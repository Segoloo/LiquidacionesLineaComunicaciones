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lineacomunicacionesco-my.sharepoint.com/personal/lini_hernandez_lineacom_co/Documents/CONSOLIDADO PRODUCCIÓN 2025/2025/DICIEMBRE/LIQUIDACIONES WOMPI/"/>
    </mc:Choice>
  </mc:AlternateContent>
  <xr:revisionPtr revIDLastSave="7" documentId="8_{C51B763A-A225-4F95-B950-DD9FFF75B376}" xr6:coauthVersionLast="47" xr6:coauthVersionMax="47" xr10:uidLastSave="{D5EFD6D1-4FF1-4A94-9BD0-1DAF2A0C01BB}"/>
  <bookViews>
    <workbookView xWindow="28680" yWindow="-120" windowWidth="29040" windowHeight="15720" activeTab="3" xr2:uid="{00000000-000D-0000-FFFF-FFFF00000000}"/>
  </bookViews>
  <sheets>
    <sheet name="RESUMEN" sheetId="5" r:id="rId1"/>
    <sheet name="BASE TARIFA 2025" sheetId="4" r:id="rId2"/>
    <sheet name="ENTREGA DE DATAFONOS EN BODEGAS" sheetId="6" r:id="rId3"/>
    <sheet name="TD" sheetId="8" r:id="rId4"/>
    <sheet name="Hoja1" sheetId="7" state="hidden" r:id="rId5"/>
  </sheets>
  <externalReferences>
    <externalReference r:id="rId6"/>
    <externalReference r:id="rId7"/>
  </externalReferences>
  <definedNames>
    <definedName name="_xlnm._FilterDatabase" localSheetId="1" hidden="1">'BASE TARIFA 2025'!$A$1:$F$23</definedName>
    <definedName name="_xlnm._FilterDatabase" localSheetId="2" hidden="1">'ENTREGA DE DATAFONOS EN BODEGAS'!$A$1:$W$785</definedName>
    <definedName name="_xlnm._FilterDatabase" localSheetId="4" hidden="1">Hoja1!$A$1:$D$17890</definedName>
  </definedNames>
  <calcPr calcId="191028"/>
  <pivotCaches>
    <pivotCache cacheId="189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" i="6" l="1"/>
  <c r="T3" i="6"/>
  <c r="V3" i="6" s="1"/>
  <c r="T4" i="6"/>
  <c r="V4" i="6" s="1"/>
  <c r="T5" i="6"/>
  <c r="V5" i="6" s="1"/>
  <c r="T6" i="6"/>
  <c r="V6" i="6" s="1"/>
  <c r="T7" i="6"/>
  <c r="V7" i="6" s="1"/>
  <c r="T8" i="6"/>
  <c r="V8" i="6" s="1"/>
  <c r="T9" i="6"/>
  <c r="V9" i="6" s="1"/>
  <c r="T10" i="6"/>
  <c r="V10" i="6" s="1"/>
  <c r="T11" i="6"/>
  <c r="V11" i="6" s="1"/>
  <c r="T12" i="6"/>
  <c r="V12" i="6" s="1"/>
  <c r="T13" i="6"/>
  <c r="V13" i="6" s="1"/>
  <c r="T14" i="6"/>
  <c r="V14" i="6" s="1"/>
  <c r="T15" i="6"/>
  <c r="V15" i="6" s="1"/>
  <c r="T16" i="6"/>
  <c r="V16" i="6" s="1"/>
  <c r="T17" i="6"/>
  <c r="V17" i="6" s="1"/>
  <c r="T18" i="6"/>
  <c r="V18" i="6" s="1"/>
  <c r="T19" i="6"/>
  <c r="V19" i="6" s="1"/>
  <c r="T20" i="6"/>
  <c r="V20" i="6" s="1"/>
  <c r="T21" i="6"/>
  <c r="V21" i="6" s="1"/>
  <c r="T22" i="6"/>
  <c r="V22" i="6" s="1"/>
  <c r="T23" i="6"/>
  <c r="V23" i="6" s="1"/>
  <c r="T24" i="6"/>
  <c r="V24" i="6" s="1"/>
  <c r="T25" i="6"/>
  <c r="V25" i="6" s="1"/>
  <c r="T26" i="6"/>
  <c r="V26" i="6" s="1"/>
  <c r="T27" i="6"/>
  <c r="V27" i="6" s="1"/>
  <c r="T28" i="6"/>
  <c r="V28" i="6" s="1"/>
  <c r="T29" i="6"/>
  <c r="V29" i="6" s="1"/>
  <c r="T30" i="6"/>
  <c r="V30" i="6" s="1"/>
  <c r="T31" i="6"/>
  <c r="V31" i="6" s="1"/>
  <c r="T32" i="6"/>
  <c r="V32" i="6" s="1"/>
  <c r="T33" i="6"/>
  <c r="V33" i="6" s="1"/>
  <c r="T34" i="6"/>
  <c r="V34" i="6" s="1"/>
  <c r="T35" i="6"/>
  <c r="V35" i="6" s="1"/>
  <c r="T36" i="6"/>
  <c r="V36" i="6" s="1"/>
  <c r="T37" i="6"/>
  <c r="V37" i="6" s="1"/>
  <c r="T38" i="6"/>
  <c r="V38" i="6" s="1"/>
  <c r="T39" i="6"/>
  <c r="V39" i="6" s="1"/>
  <c r="T40" i="6"/>
  <c r="V40" i="6" s="1"/>
  <c r="T41" i="6"/>
  <c r="V41" i="6" s="1"/>
  <c r="T42" i="6"/>
  <c r="V42" i="6" s="1"/>
  <c r="T43" i="6"/>
  <c r="V43" i="6" s="1"/>
  <c r="T44" i="6"/>
  <c r="V44" i="6" s="1"/>
  <c r="T45" i="6"/>
  <c r="V45" i="6" s="1"/>
  <c r="T46" i="6"/>
  <c r="V46" i="6" s="1"/>
  <c r="T47" i="6"/>
  <c r="V47" i="6" s="1"/>
  <c r="T48" i="6"/>
  <c r="V48" i="6" s="1"/>
  <c r="T49" i="6"/>
  <c r="V49" i="6" s="1"/>
  <c r="T50" i="6"/>
  <c r="V50" i="6" s="1"/>
  <c r="T51" i="6"/>
  <c r="V51" i="6" s="1"/>
  <c r="T52" i="6"/>
  <c r="V52" i="6" s="1"/>
  <c r="T53" i="6"/>
  <c r="V53" i="6" s="1"/>
  <c r="T54" i="6"/>
  <c r="V54" i="6" s="1"/>
  <c r="T55" i="6"/>
  <c r="V55" i="6" s="1"/>
  <c r="T56" i="6"/>
  <c r="V56" i="6" s="1"/>
  <c r="T57" i="6"/>
  <c r="V57" i="6" s="1"/>
  <c r="T58" i="6"/>
  <c r="V58" i="6" s="1"/>
  <c r="T59" i="6"/>
  <c r="V59" i="6" s="1"/>
  <c r="T60" i="6"/>
  <c r="V60" i="6" s="1"/>
  <c r="T61" i="6"/>
  <c r="V61" i="6" s="1"/>
  <c r="T62" i="6"/>
  <c r="V62" i="6" s="1"/>
  <c r="T63" i="6"/>
  <c r="V63" i="6" s="1"/>
  <c r="T64" i="6"/>
  <c r="V64" i="6" s="1"/>
  <c r="T65" i="6"/>
  <c r="V65" i="6" s="1"/>
  <c r="T66" i="6"/>
  <c r="V66" i="6" s="1"/>
  <c r="T67" i="6"/>
  <c r="V67" i="6" s="1"/>
  <c r="T68" i="6"/>
  <c r="V68" i="6" s="1"/>
  <c r="T69" i="6"/>
  <c r="V69" i="6" s="1"/>
  <c r="T70" i="6"/>
  <c r="V70" i="6" s="1"/>
  <c r="T71" i="6"/>
  <c r="V71" i="6" s="1"/>
  <c r="T72" i="6"/>
  <c r="V72" i="6" s="1"/>
  <c r="T73" i="6"/>
  <c r="V73" i="6" s="1"/>
  <c r="T74" i="6"/>
  <c r="V74" i="6" s="1"/>
  <c r="T75" i="6"/>
  <c r="V75" i="6" s="1"/>
  <c r="T76" i="6"/>
  <c r="V76" i="6" s="1"/>
  <c r="T77" i="6"/>
  <c r="V77" i="6" s="1"/>
  <c r="T78" i="6"/>
  <c r="V78" i="6" s="1"/>
  <c r="T79" i="6"/>
  <c r="V79" i="6" s="1"/>
  <c r="T80" i="6"/>
  <c r="V80" i="6" s="1"/>
  <c r="T81" i="6"/>
  <c r="V81" i="6" s="1"/>
  <c r="T82" i="6"/>
  <c r="V82" i="6" s="1"/>
  <c r="T83" i="6"/>
  <c r="V83" i="6" s="1"/>
  <c r="T84" i="6"/>
  <c r="V84" i="6" s="1"/>
  <c r="T85" i="6"/>
  <c r="V85" i="6" s="1"/>
  <c r="T86" i="6"/>
  <c r="V86" i="6" s="1"/>
  <c r="T87" i="6"/>
  <c r="V87" i="6" s="1"/>
  <c r="T88" i="6"/>
  <c r="V88" i="6" s="1"/>
  <c r="T89" i="6"/>
  <c r="V89" i="6" s="1"/>
  <c r="T90" i="6"/>
  <c r="V90" i="6" s="1"/>
  <c r="T91" i="6"/>
  <c r="V91" i="6" s="1"/>
  <c r="T92" i="6"/>
  <c r="V92" i="6" s="1"/>
  <c r="T93" i="6"/>
  <c r="V93" i="6" s="1"/>
  <c r="T94" i="6"/>
  <c r="V94" i="6" s="1"/>
  <c r="T95" i="6"/>
  <c r="V95" i="6" s="1"/>
  <c r="T96" i="6"/>
  <c r="V96" i="6" s="1"/>
  <c r="T97" i="6"/>
  <c r="V97" i="6" s="1"/>
  <c r="T98" i="6"/>
  <c r="V98" i="6" s="1"/>
  <c r="T99" i="6"/>
  <c r="V99" i="6" s="1"/>
  <c r="T100" i="6"/>
  <c r="V100" i="6" s="1"/>
  <c r="T101" i="6"/>
  <c r="V101" i="6" s="1"/>
  <c r="T102" i="6"/>
  <c r="V102" i="6" s="1"/>
  <c r="T103" i="6"/>
  <c r="V103" i="6" s="1"/>
  <c r="T104" i="6"/>
  <c r="V104" i="6" s="1"/>
  <c r="T105" i="6"/>
  <c r="V105" i="6" s="1"/>
  <c r="T106" i="6"/>
  <c r="V106" i="6" s="1"/>
  <c r="T107" i="6"/>
  <c r="V107" i="6" s="1"/>
  <c r="T108" i="6"/>
  <c r="V108" i="6" s="1"/>
  <c r="T109" i="6"/>
  <c r="V109" i="6" s="1"/>
  <c r="T110" i="6"/>
  <c r="V110" i="6" s="1"/>
  <c r="T111" i="6"/>
  <c r="V111" i="6" s="1"/>
  <c r="T112" i="6"/>
  <c r="V112" i="6" s="1"/>
  <c r="T113" i="6"/>
  <c r="V113" i="6" s="1"/>
  <c r="T114" i="6"/>
  <c r="V114" i="6" s="1"/>
  <c r="T115" i="6"/>
  <c r="V115" i="6" s="1"/>
  <c r="T116" i="6"/>
  <c r="V116" i="6" s="1"/>
  <c r="T117" i="6"/>
  <c r="V117" i="6" s="1"/>
  <c r="T118" i="6"/>
  <c r="V118" i="6" s="1"/>
  <c r="T119" i="6"/>
  <c r="V119" i="6" s="1"/>
  <c r="T120" i="6"/>
  <c r="V120" i="6" s="1"/>
  <c r="T121" i="6"/>
  <c r="V121" i="6" s="1"/>
  <c r="T122" i="6"/>
  <c r="V122" i="6" s="1"/>
  <c r="T123" i="6"/>
  <c r="V123" i="6" s="1"/>
  <c r="T124" i="6"/>
  <c r="V124" i="6" s="1"/>
  <c r="T125" i="6"/>
  <c r="V125" i="6" s="1"/>
  <c r="T126" i="6"/>
  <c r="V126" i="6" s="1"/>
  <c r="T127" i="6"/>
  <c r="V127" i="6" s="1"/>
  <c r="T128" i="6"/>
  <c r="V128" i="6" s="1"/>
  <c r="T129" i="6"/>
  <c r="V129" i="6" s="1"/>
  <c r="T130" i="6"/>
  <c r="V130" i="6" s="1"/>
  <c r="T131" i="6"/>
  <c r="V131" i="6" s="1"/>
  <c r="T132" i="6"/>
  <c r="V132" i="6" s="1"/>
  <c r="T133" i="6"/>
  <c r="V133" i="6" s="1"/>
  <c r="T134" i="6"/>
  <c r="V134" i="6" s="1"/>
  <c r="T135" i="6"/>
  <c r="V135" i="6" s="1"/>
  <c r="T136" i="6"/>
  <c r="V136" i="6" s="1"/>
  <c r="T137" i="6"/>
  <c r="T138" i="6"/>
  <c r="V138" i="6" s="1"/>
  <c r="T139" i="6"/>
  <c r="V139" i="6" s="1"/>
  <c r="T140" i="6"/>
  <c r="V140" i="6" s="1"/>
  <c r="T141" i="6"/>
  <c r="V141" i="6" s="1"/>
  <c r="T142" i="6"/>
  <c r="V142" i="6" s="1"/>
  <c r="T143" i="6"/>
  <c r="V143" i="6" s="1"/>
  <c r="T144" i="6"/>
  <c r="V144" i="6" s="1"/>
  <c r="T145" i="6"/>
  <c r="V145" i="6" s="1"/>
  <c r="T146" i="6"/>
  <c r="V146" i="6" s="1"/>
  <c r="T147" i="6"/>
  <c r="V147" i="6" s="1"/>
  <c r="T148" i="6"/>
  <c r="V148" i="6" s="1"/>
  <c r="T149" i="6"/>
  <c r="V149" i="6" s="1"/>
  <c r="T150" i="6"/>
  <c r="V150" i="6" s="1"/>
  <c r="T151" i="6"/>
  <c r="V151" i="6" s="1"/>
  <c r="T152" i="6"/>
  <c r="V152" i="6" s="1"/>
  <c r="T153" i="6"/>
  <c r="V153" i="6" s="1"/>
  <c r="T154" i="6"/>
  <c r="V154" i="6" s="1"/>
  <c r="T155" i="6"/>
  <c r="V155" i="6" s="1"/>
  <c r="T156" i="6"/>
  <c r="V156" i="6" s="1"/>
  <c r="T157" i="6"/>
  <c r="V157" i="6" s="1"/>
  <c r="T158" i="6"/>
  <c r="V158" i="6" s="1"/>
  <c r="T159" i="6"/>
  <c r="V159" i="6" s="1"/>
  <c r="T160" i="6"/>
  <c r="V160" i="6" s="1"/>
  <c r="T161" i="6"/>
  <c r="V161" i="6" s="1"/>
  <c r="T162" i="6"/>
  <c r="V162" i="6" s="1"/>
  <c r="T163" i="6"/>
  <c r="V163" i="6" s="1"/>
  <c r="T164" i="6"/>
  <c r="V164" i="6" s="1"/>
  <c r="T165" i="6"/>
  <c r="V165" i="6" s="1"/>
  <c r="T166" i="6"/>
  <c r="V166" i="6" s="1"/>
  <c r="T167" i="6"/>
  <c r="V167" i="6" s="1"/>
  <c r="T168" i="6"/>
  <c r="V168" i="6" s="1"/>
  <c r="T169" i="6"/>
  <c r="V169" i="6" s="1"/>
  <c r="T170" i="6"/>
  <c r="V170" i="6" s="1"/>
  <c r="T171" i="6"/>
  <c r="V171" i="6" s="1"/>
  <c r="T172" i="6"/>
  <c r="V172" i="6" s="1"/>
  <c r="T173" i="6"/>
  <c r="V173" i="6" s="1"/>
  <c r="T174" i="6"/>
  <c r="V174" i="6" s="1"/>
  <c r="T175" i="6"/>
  <c r="V175" i="6" s="1"/>
  <c r="T176" i="6"/>
  <c r="V176" i="6" s="1"/>
  <c r="T177" i="6"/>
  <c r="V177" i="6" s="1"/>
  <c r="T178" i="6"/>
  <c r="V178" i="6" s="1"/>
  <c r="T179" i="6"/>
  <c r="V179" i="6" s="1"/>
  <c r="T180" i="6"/>
  <c r="V180" i="6" s="1"/>
  <c r="T181" i="6"/>
  <c r="V181" i="6" s="1"/>
  <c r="T182" i="6"/>
  <c r="V182" i="6" s="1"/>
  <c r="T183" i="6"/>
  <c r="V183" i="6" s="1"/>
  <c r="T184" i="6"/>
  <c r="V184" i="6" s="1"/>
  <c r="T185" i="6"/>
  <c r="V185" i="6" s="1"/>
  <c r="T186" i="6"/>
  <c r="V186" i="6" s="1"/>
  <c r="T187" i="6"/>
  <c r="V187" i="6" s="1"/>
  <c r="T188" i="6"/>
  <c r="V188" i="6" s="1"/>
  <c r="T189" i="6"/>
  <c r="V189" i="6" s="1"/>
  <c r="T190" i="6"/>
  <c r="V190" i="6" s="1"/>
  <c r="T191" i="6"/>
  <c r="V191" i="6" s="1"/>
  <c r="T192" i="6"/>
  <c r="V192" i="6" s="1"/>
  <c r="T193" i="6"/>
  <c r="V193" i="6" s="1"/>
  <c r="T194" i="6"/>
  <c r="V194" i="6" s="1"/>
  <c r="T195" i="6"/>
  <c r="V195" i="6" s="1"/>
  <c r="T196" i="6"/>
  <c r="T197" i="6"/>
  <c r="T198" i="6"/>
  <c r="V198" i="6" s="1"/>
  <c r="T199" i="6"/>
  <c r="V199" i="6" s="1"/>
  <c r="T200" i="6"/>
  <c r="V200" i="6" s="1"/>
  <c r="T201" i="6"/>
  <c r="V201" i="6" s="1"/>
  <c r="T202" i="6"/>
  <c r="V202" i="6" s="1"/>
  <c r="T203" i="6"/>
  <c r="V203" i="6" s="1"/>
  <c r="T204" i="6"/>
  <c r="V204" i="6" s="1"/>
  <c r="T205" i="6"/>
  <c r="V205" i="6" s="1"/>
  <c r="T206" i="6"/>
  <c r="V206" i="6" s="1"/>
  <c r="T207" i="6"/>
  <c r="V207" i="6" s="1"/>
  <c r="T208" i="6"/>
  <c r="V208" i="6" s="1"/>
  <c r="T209" i="6"/>
  <c r="V209" i="6" s="1"/>
  <c r="T210" i="6"/>
  <c r="V210" i="6" s="1"/>
  <c r="T211" i="6"/>
  <c r="V211" i="6" s="1"/>
  <c r="T212" i="6"/>
  <c r="V212" i="6" s="1"/>
  <c r="T213" i="6"/>
  <c r="V213" i="6" s="1"/>
  <c r="T214" i="6"/>
  <c r="V214" i="6" s="1"/>
  <c r="T215" i="6"/>
  <c r="V215" i="6" s="1"/>
  <c r="T216" i="6"/>
  <c r="V216" i="6" s="1"/>
  <c r="T217" i="6"/>
  <c r="V217" i="6" s="1"/>
  <c r="T218" i="6"/>
  <c r="V218" i="6" s="1"/>
  <c r="T219" i="6"/>
  <c r="V219" i="6" s="1"/>
  <c r="T220" i="6"/>
  <c r="V220" i="6" s="1"/>
  <c r="T221" i="6"/>
  <c r="V221" i="6" s="1"/>
  <c r="T222" i="6"/>
  <c r="V222" i="6" s="1"/>
  <c r="T223" i="6"/>
  <c r="V223" i="6" s="1"/>
  <c r="T224" i="6"/>
  <c r="V224" i="6" s="1"/>
  <c r="T225" i="6"/>
  <c r="V225" i="6" s="1"/>
  <c r="T226" i="6"/>
  <c r="V226" i="6" s="1"/>
  <c r="T227" i="6"/>
  <c r="V227" i="6" s="1"/>
  <c r="T228" i="6"/>
  <c r="V228" i="6" s="1"/>
  <c r="T229" i="6"/>
  <c r="V229" i="6" s="1"/>
  <c r="T230" i="6"/>
  <c r="V230" i="6" s="1"/>
  <c r="T231" i="6"/>
  <c r="V231" i="6" s="1"/>
  <c r="T232" i="6"/>
  <c r="V232" i="6" s="1"/>
  <c r="T233" i="6"/>
  <c r="V233" i="6" s="1"/>
  <c r="T234" i="6"/>
  <c r="V234" i="6" s="1"/>
  <c r="T235" i="6"/>
  <c r="V235" i="6" s="1"/>
  <c r="T236" i="6"/>
  <c r="V236" i="6" s="1"/>
  <c r="T237" i="6"/>
  <c r="V237" i="6" s="1"/>
  <c r="T238" i="6"/>
  <c r="V238" i="6" s="1"/>
  <c r="T239" i="6"/>
  <c r="V239" i="6" s="1"/>
  <c r="T240" i="6"/>
  <c r="V240" i="6" s="1"/>
  <c r="T241" i="6"/>
  <c r="V241" i="6" s="1"/>
  <c r="T242" i="6"/>
  <c r="V242" i="6" s="1"/>
  <c r="T243" i="6"/>
  <c r="V243" i="6" s="1"/>
  <c r="T244" i="6"/>
  <c r="V244" i="6" s="1"/>
  <c r="T245" i="6"/>
  <c r="V245" i="6" s="1"/>
  <c r="T246" i="6"/>
  <c r="V246" i="6" s="1"/>
  <c r="T247" i="6"/>
  <c r="V247" i="6" s="1"/>
  <c r="T248" i="6"/>
  <c r="V248" i="6" s="1"/>
  <c r="T249" i="6"/>
  <c r="V249" i="6" s="1"/>
  <c r="T250" i="6"/>
  <c r="V250" i="6" s="1"/>
  <c r="T251" i="6"/>
  <c r="V251" i="6" s="1"/>
  <c r="T252" i="6"/>
  <c r="V252" i="6" s="1"/>
  <c r="T253" i="6"/>
  <c r="V253" i="6" s="1"/>
  <c r="T254" i="6"/>
  <c r="V254" i="6" s="1"/>
  <c r="T255" i="6"/>
  <c r="V255" i="6" s="1"/>
  <c r="T256" i="6"/>
  <c r="V256" i="6" s="1"/>
  <c r="T257" i="6"/>
  <c r="V257" i="6" s="1"/>
  <c r="T258" i="6"/>
  <c r="V258" i="6" s="1"/>
  <c r="T259" i="6"/>
  <c r="V259" i="6" s="1"/>
  <c r="T260" i="6"/>
  <c r="V260" i="6" s="1"/>
  <c r="T261" i="6"/>
  <c r="V261" i="6" s="1"/>
  <c r="T262" i="6"/>
  <c r="V262" i="6" s="1"/>
  <c r="T263" i="6"/>
  <c r="V263" i="6" s="1"/>
  <c r="T264" i="6"/>
  <c r="V264" i="6" s="1"/>
  <c r="T265" i="6"/>
  <c r="V265" i="6" s="1"/>
  <c r="T266" i="6"/>
  <c r="V266" i="6" s="1"/>
  <c r="T267" i="6"/>
  <c r="V267" i="6" s="1"/>
  <c r="T268" i="6"/>
  <c r="V268" i="6" s="1"/>
  <c r="T269" i="6"/>
  <c r="V269" i="6" s="1"/>
  <c r="T270" i="6"/>
  <c r="V270" i="6" s="1"/>
  <c r="T271" i="6"/>
  <c r="V271" i="6" s="1"/>
  <c r="T272" i="6"/>
  <c r="V272" i="6" s="1"/>
  <c r="T273" i="6"/>
  <c r="V273" i="6" s="1"/>
  <c r="T274" i="6"/>
  <c r="V274" i="6" s="1"/>
  <c r="T275" i="6"/>
  <c r="V275" i="6" s="1"/>
  <c r="T276" i="6"/>
  <c r="V276" i="6" s="1"/>
  <c r="T277" i="6"/>
  <c r="V277" i="6" s="1"/>
  <c r="T278" i="6"/>
  <c r="V278" i="6" s="1"/>
  <c r="T279" i="6"/>
  <c r="V279" i="6" s="1"/>
  <c r="T280" i="6"/>
  <c r="V280" i="6" s="1"/>
  <c r="T281" i="6"/>
  <c r="V281" i="6" s="1"/>
  <c r="T282" i="6"/>
  <c r="V282" i="6" s="1"/>
  <c r="T283" i="6"/>
  <c r="V283" i="6" s="1"/>
  <c r="T284" i="6"/>
  <c r="V284" i="6" s="1"/>
  <c r="T285" i="6"/>
  <c r="V285" i="6" s="1"/>
  <c r="T286" i="6"/>
  <c r="V286" i="6" s="1"/>
  <c r="T287" i="6"/>
  <c r="V287" i="6" s="1"/>
  <c r="T288" i="6"/>
  <c r="V288" i="6" s="1"/>
  <c r="T289" i="6"/>
  <c r="V289" i="6" s="1"/>
  <c r="T290" i="6"/>
  <c r="V290" i="6" s="1"/>
  <c r="T291" i="6"/>
  <c r="V291" i="6" s="1"/>
  <c r="T292" i="6"/>
  <c r="V292" i="6" s="1"/>
  <c r="T293" i="6"/>
  <c r="V293" i="6" s="1"/>
  <c r="T294" i="6"/>
  <c r="V294" i="6" s="1"/>
  <c r="T295" i="6"/>
  <c r="V295" i="6" s="1"/>
  <c r="T296" i="6"/>
  <c r="V296" i="6" s="1"/>
  <c r="T297" i="6"/>
  <c r="V297" i="6" s="1"/>
  <c r="T298" i="6"/>
  <c r="V298" i="6" s="1"/>
  <c r="T299" i="6"/>
  <c r="V299" i="6" s="1"/>
  <c r="T300" i="6"/>
  <c r="V300" i="6" s="1"/>
  <c r="T301" i="6"/>
  <c r="V301" i="6" s="1"/>
  <c r="T302" i="6"/>
  <c r="V302" i="6" s="1"/>
  <c r="T303" i="6"/>
  <c r="V303" i="6" s="1"/>
  <c r="T304" i="6"/>
  <c r="V304" i="6" s="1"/>
  <c r="T305" i="6"/>
  <c r="V305" i="6" s="1"/>
  <c r="T306" i="6"/>
  <c r="V306" i="6" s="1"/>
  <c r="T307" i="6"/>
  <c r="V307" i="6" s="1"/>
  <c r="T308" i="6"/>
  <c r="V308" i="6" s="1"/>
  <c r="T309" i="6"/>
  <c r="V309" i="6" s="1"/>
  <c r="T310" i="6"/>
  <c r="V310" i="6" s="1"/>
  <c r="T311" i="6"/>
  <c r="V311" i="6" s="1"/>
  <c r="T312" i="6"/>
  <c r="V312" i="6" s="1"/>
  <c r="T313" i="6"/>
  <c r="V313" i="6" s="1"/>
  <c r="T314" i="6"/>
  <c r="V314" i="6" s="1"/>
  <c r="T315" i="6"/>
  <c r="V315" i="6" s="1"/>
  <c r="T316" i="6"/>
  <c r="V316" i="6" s="1"/>
  <c r="T317" i="6"/>
  <c r="V317" i="6" s="1"/>
  <c r="T318" i="6"/>
  <c r="V318" i="6" s="1"/>
  <c r="T319" i="6"/>
  <c r="V319" i="6" s="1"/>
  <c r="T320" i="6"/>
  <c r="V320" i="6" s="1"/>
  <c r="T321" i="6"/>
  <c r="V321" i="6" s="1"/>
  <c r="T322" i="6"/>
  <c r="V322" i="6" s="1"/>
  <c r="T323" i="6"/>
  <c r="V323" i="6" s="1"/>
  <c r="T324" i="6"/>
  <c r="V324" i="6" s="1"/>
  <c r="T325" i="6"/>
  <c r="V325" i="6" s="1"/>
  <c r="T326" i="6"/>
  <c r="V326" i="6" s="1"/>
  <c r="T327" i="6"/>
  <c r="V327" i="6" s="1"/>
  <c r="T328" i="6"/>
  <c r="V328" i="6" s="1"/>
  <c r="T329" i="6"/>
  <c r="V329" i="6" s="1"/>
  <c r="T330" i="6"/>
  <c r="V330" i="6" s="1"/>
  <c r="T331" i="6"/>
  <c r="V331" i="6" s="1"/>
  <c r="T332" i="6"/>
  <c r="V332" i="6" s="1"/>
  <c r="T333" i="6"/>
  <c r="V333" i="6" s="1"/>
  <c r="T334" i="6"/>
  <c r="V334" i="6" s="1"/>
  <c r="T335" i="6"/>
  <c r="V335" i="6" s="1"/>
  <c r="T336" i="6"/>
  <c r="V336" i="6" s="1"/>
  <c r="T337" i="6"/>
  <c r="V337" i="6" s="1"/>
  <c r="T338" i="6"/>
  <c r="V338" i="6" s="1"/>
  <c r="T339" i="6"/>
  <c r="V339" i="6" s="1"/>
  <c r="T340" i="6"/>
  <c r="V340" i="6" s="1"/>
  <c r="T341" i="6"/>
  <c r="V341" i="6" s="1"/>
  <c r="T342" i="6"/>
  <c r="T343" i="6"/>
  <c r="V343" i="6" s="1"/>
  <c r="T344" i="6"/>
  <c r="V344" i="6" s="1"/>
  <c r="T345" i="6"/>
  <c r="V345" i="6" s="1"/>
  <c r="T346" i="6"/>
  <c r="V346" i="6" s="1"/>
  <c r="T347" i="6"/>
  <c r="V347" i="6" s="1"/>
  <c r="T348" i="6"/>
  <c r="V348" i="6" s="1"/>
  <c r="T349" i="6"/>
  <c r="V349" i="6" s="1"/>
  <c r="T350" i="6"/>
  <c r="V350" i="6" s="1"/>
  <c r="T351" i="6"/>
  <c r="V351" i="6" s="1"/>
  <c r="T352" i="6"/>
  <c r="V352" i="6" s="1"/>
  <c r="T353" i="6"/>
  <c r="V353" i="6" s="1"/>
  <c r="T354" i="6"/>
  <c r="V354" i="6" s="1"/>
  <c r="T355" i="6"/>
  <c r="V355" i="6" s="1"/>
  <c r="T356" i="6"/>
  <c r="V356" i="6" s="1"/>
  <c r="T357" i="6"/>
  <c r="V357" i="6" s="1"/>
  <c r="T358" i="6"/>
  <c r="V358" i="6" s="1"/>
  <c r="T359" i="6"/>
  <c r="V359" i="6" s="1"/>
  <c r="T360" i="6"/>
  <c r="V360" i="6" s="1"/>
  <c r="T361" i="6"/>
  <c r="V361" i="6" s="1"/>
  <c r="T362" i="6"/>
  <c r="V362" i="6" s="1"/>
  <c r="T363" i="6"/>
  <c r="V363" i="6" s="1"/>
  <c r="T364" i="6"/>
  <c r="V364" i="6" s="1"/>
  <c r="T365" i="6"/>
  <c r="V365" i="6" s="1"/>
  <c r="T366" i="6"/>
  <c r="V366" i="6" s="1"/>
  <c r="T367" i="6"/>
  <c r="V367" i="6" s="1"/>
  <c r="T368" i="6"/>
  <c r="V368" i="6" s="1"/>
  <c r="T369" i="6"/>
  <c r="V369" i="6" s="1"/>
  <c r="T370" i="6"/>
  <c r="V370" i="6" s="1"/>
  <c r="T371" i="6"/>
  <c r="V371" i="6" s="1"/>
  <c r="T372" i="6"/>
  <c r="V372" i="6" s="1"/>
  <c r="T373" i="6"/>
  <c r="V373" i="6" s="1"/>
  <c r="T374" i="6"/>
  <c r="V374" i="6" s="1"/>
  <c r="T375" i="6"/>
  <c r="V375" i="6" s="1"/>
  <c r="T376" i="6"/>
  <c r="V376" i="6" s="1"/>
  <c r="T377" i="6"/>
  <c r="V377" i="6" s="1"/>
  <c r="T378" i="6"/>
  <c r="V378" i="6" s="1"/>
  <c r="T379" i="6"/>
  <c r="V379" i="6" s="1"/>
  <c r="T380" i="6"/>
  <c r="V380" i="6" s="1"/>
  <c r="T381" i="6"/>
  <c r="V381" i="6" s="1"/>
  <c r="T382" i="6"/>
  <c r="V382" i="6" s="1"/>
  <c r="T383" i="6"/>
  <c r="V383" i="6" s="1"/>
  <c r="T384" i="6"/>
  <c r="V384" i="6" s="1"/>
  <c r="T385" i="6"/>
  <c r="V385" i="6" s="1"/>
  <c r="T386" i="6"/>
  <c r="V386" i="6" s="1"/>
  <c r="T387" i="6"/>
  <c r="V387" i="6" s="1"/>
  <c r="T388" i="6"/>
  <c r="V388" i="6" s="1"/>
  <c r="T389" i="6"/>
  <c r="V389" i="6" s="1"/>
  <c r="T390" i="6"/>
  <c r="V390" i="6" s="1"/>
  <c r="T391" i="6"/>
  <c r="V391" i="6" s="1"/>
  <c r="T392" i="6"/>
  <c r="V392" i="6" s="1"/>
  <c r="T393" i="6"/>
  <c r="V393" i="6" s="1"/>
  <c r="T394" i="6"/>
  <c r="V394" i="6" s="1"/>
  <c r="T395" i="6"/>
  <c r="V395" i="6" s="1"/>
  <c r="T396" i="6"/>
  <c r="V396" i="6" s="1"/>
  <c r="T397" i="6"/>
  <c r="V397" i="6" s="1"/>
  <c r="T398" i="6"/>
  <c r="V398" i="6" s="1"/>
  <c r="T399" i="6"/>
  <c r="V399" i="6" s="1"/>
  <c r="T400" i="6"/>
  <c r="V400" i="6" s="1"/>
  <c r="T401" i="6"/>
  <c r="V401" i="6" s="1"/>
  <c r="T402" i="6"/>
  <c r="V402" i="6" s="1"/>
  <c r="T403" i="6"/>
  <c r="V403" i="6" s="1"/>
  <c r="T404" i="6"/>
  <c r="V404" i="6" s="1"/>
  <c r="T405" i="6"/>
  <c r="V405" i="6" s="1"/>
  <c r="T406" i="6"/>
  <c r="V406" i="6" s="1"/>
  <c r="T407" i="6"/>
  <c r="V407" i="6" s="1"/>
  <c r="T408" i="6"/>
  <c r="V408" i="6" s="1"/>
  <c r="T409" i="6"/>
  <c r="V409" i="6" s="1"/>
  <c r="T410" i="6"/>
  <c r="V410" i="6" s="1"/>
  <c r="T411" i="6"/>
  <c r="V411" i="6" s="1"/>
  <c r="T412" i="6"/>
  <c r="V412" i="6" s="1"/>
  <c r="T413" i="6"/>
  <c r="V413" i="6" s="1"/>
  <c r="T414" i="6"/>
  <c r="V414" i="6" s="1"/>
  <c r="T415" i="6"/>
  <c r="V415" i="6" s="1"/>
  <c r="T416" i="6"/>
  <c r="V416" i="6" s="1"/>
  <c r="T417" i="6"/>
  <c r="V417" i="6" s="1"/>
  <c r="T418" i="6"/>
  <c r="V418" i="6" s="1"/>
  <c r="T419" i="6"/>
  <c r="V419" i="6" s="1"/>
  <c r="T420" i="6"/>
  <c r="V420" i="6" s="1"/>
  <c r="T421" i="6"/>
  <c r="V421" i="6" s="1"/>
  <c r="T422" i="6"/>
  <c r="V422" i="6" s="1"/>
  <c r="T423" i="6"/>
  <c r="V423" i="6" s="1"/>
  <c r="T424" i="6"/>
  <c r="V424" i="6" s="1"/>
  <c r="T425" i="6"/>
  <c r="V425" i="6" s="1"/>
  <c r="T426" i="6"/>
  <c r="V426" i="6" s="1"/>
  <c r="T427" i="6"/>
  <c r="V427" i="6" s="1"/>
  <c r="T428" i="6"/>
  <c r="V428" i="6" s="1"/>
  <c r="T429" i="6"/>
  <c r="V429" i="6" s="1"/>
  <c r="T430" i="6"/>
  <c r="V430" i="6" s="1"/>
  <c r="T431" i="6"/>
  <c r="V431" i="6" s="1"/>
  <c r="T432" i="6"/>
  <c r="V432" i="6" s="1"/>
  <c r="T433" i="6"/>
  <c r="V433" i="6" s="1"/>
  <c r="T434" i="6"/>
  <c r="V434" i="6" s="1"/>
  <c r="T435" i="6"/>
  <c r="V435" i="6" s="1"/>
  <c r="T436" i="6"/>
  <c r="V436" i="6" s="1"/>
  <c r="T437" i="6"/>
  <c r="V437" i="6" s="1"/>
  <c r="T438" i="6"/>
  <c r="V438" i="6" s="1"/>
  <c r="T439" i="6"/>
  <c r="V439" i="6" s="1"/>
  <c r="T440" i="6"/>
  <c r="V440" i="6" s="1"/>
  <c r="T441" i="6"/>
  <c r="V441" i="6" s="1"/>
  <c r="T442" i="6"/>
  <c r="V442" i="6" s="1"/>
  <c r="T443" i="6"/>
  <c r="V443" i="6" s="1"/>
  <c r="T444" i="6"/>
  <c r="V444" i="6" s="1"/>
  <c r="T445" i="6"/>
  <c r="V445" i="6" s="1"/>
  <c r="T446" i="6"/>
  <c r="V446" i="6" s="1"/>
  <c r="T447" i="6"/>
  <c r="V447" i="6" s="1"/>
  <c r="T448" i="6"/>
  <c r="V448" i="6" s="1"/>
  <c r="T449" i="6"/>
  <c r="V449" i="6" s="1"/>
  <c r="T450" i="6"/>
  <c r="V450" i="6" s="1"/>
  <c r="T451" i="6"/>
  <c r="V451" i="6" s="1"/>
  <c r="T452" i="6"/>
  <c r="V452" i="6" s="1"/>
  <c r="T453" i="6"/>
  <c r="V453" i="6" s="1"/>
  <c r="T454" i="6"/>
  <c r="V454" i="6" s="1"/>
  <c r="T455" i="6"/>
  <c r="V455" i="6" s="1"/>
  <c r="T456" i="6"/>
  <c r="V456" i="6" s="1"/>
  <c r="T457" i="6"/>
  <c r="V457" i="6" s="1"/>
  <c r="T458" i="6"/>
  <c r="V458" i="6" s="1"/>
  <c r="T459" i="6"/>
  <c r="V459" i="6" s="1"/>
  <c r="T460" i="6"/>
  <c r="V460" i="6" s="1"/>
  <c r="T461" i="6"/>
  <c r="V461" i="6" s="1"/>
  <c r="T462" i="6"/>
  <c r="V462" i="6" s="1"/>
  <c r="T463" i="6"/>
  <c r="V463" i="6" s="1"/>
  <c r="T464" i="6"/>
  <c r="V464" i="6" s="1"/>
  <c r="T465" i="6"/>
  <c r="V465" i="6" s="1"/>
  <c r="T466" i="6"/>
  <c r="V466" i="6" s="1"/>
  <c r="T467" i="6"/>
  <c r="V467" i="6" s="1"/>
  <c r="T468" i="6"/>
  <c r="V468" i="6" s="1"/>
  <c r="T469" i="6"/>
  <c r="V469" i="6" s="1"/>
  <c r="T470" i="6"/>
  <c r="V470" i="6" s="1"/>
  <c r="T471" i="6"/>
  <c r="V471" i="6" s="1"/>
  <c r="T472" i="6"/>
  <c r="V472" i="6" s="1"/>
  <c r="T473" i="6"/>
  <c r="V473" i="6" s="1"/>
  <c r="T474" i="6"/>
  <c r="V474" i="6" s="1"/>
  <c r="T475" i="6"/>
  <c r="V475" i="6" s="1"/>
  <c r="T476" i="6"/>
  <c r="V476" i="6" s="1"/>
  <c r="T477" i="6"/>
  <c r="V477" i="6" s="1"/>
  <c r="T478" i="6"/>
  <c r="V478" i="6" s="1"/>
  <c r="T479" i="6"/>
  <c r="V479" i="6" s="1"/>
  <c r="T480" i="6"/>
  <c r="V480" i="6" s="1"/>
  <c r="T481" i="6"/>
  <c r="V481" i="6" s="1"/>
  <c r="T482" i="6"/>
  <c r="V482" i="6" s="1"/>
  <c r="T483" i="6"/>
  <c r="V483" i="6" s="1"/>
  <c r="T484" i="6"/>
  <c r="V484" i="6" s="1"/>
  <c r="T485" i="6"/>
  <c r="V485" i="6" s="1"/>
  <c r="T486" i="6"/>
  <c r="V486" i="6" s="1"/>
  <c r="T487" i="6"/>
  <c r="V487" i="6" s="1"/>
  <c r="T488" i="6"/>
  <c r="V488" i="6" s="1"/>
  <c r="T489" i="6"/>
  <c r="V489" i="6" s="1"/>
  <c r="T490" i="6"/>
  <c r="V490" i="6" s="1"/>
  <c r="T491" i="6"/>
  <c r="V491" i="6" s="1"/>
  <c r="T492" i="6"/>
  <c r="V492" i="6" s="1"/>
  <c r="T493" i="6"/>
  <c r="V493" i="6" s="1"/>
  <c r="T494" i="6"/>
  <c r="V494" i="6" s="1"/>
  <c r="T495" i="6"/>
  <c r="V495" i="6" s="1"/>
  <c r="T496" i="6"/>
  <c r="V496" i="6" s="1"/>
  <c r="T497" i="6"/>
  <c r="V497" i="6" s="1"/>
  <c r="T498" i="6"/>
  <c r="V498" i="6" s="1"/>
  <c r="T499" i="6"/>
  <c r="V499" i="6" s="1"/>
  <c r="T500" i="6"/>
  <c r="V500" i="6" s="1"/>
  <c r="T501" i="6"/>
  <c r="V501" i="6" s="1"/>
  <c r="T502" i="6"/>
  <c r="V502" i="6" s="1"/>
  <c r="T503" i="6"/>
  <c r="V503" i="6" s="1"/>
  <c r="T504" i="6"/>
  <c r="T505" i="6"/>
  <c r="V505" i="6" s="1"/>
  <c r="T506" i="6"/>
  <c r="V506" i="6" s="1"/>
  <c r="T507" i="6"/>
  <c r="V507" i="6" s="1"/>
  <c r="T508" i="6"/>
  <c r="V508" i="6" s="1"/>
  <c r="T509" i="6"/>
  <c r="V509" i="6" s="1"/>
  <c r="T510" i="6"/>
  <c r="V510" i="6" s="1"/>
  <c r="T511" i="6"/>
  <c r="V511" i="6" s="1"/>
  <c r="T512" i="6"/>
  <c r="V512" i="6" s="1"/>
  <c r="T513" i="6"/>
  <c r="V513" i="6" s="1"/>
  <c r="T514" i="6"/>
  <c r="V514" i="6" s="1"/>
  <c r="T515" i="6"/>
  <c r="V515" i="6" s="1"/>
  <c r="T516" i="6"/>
  <c r="V516" i="6" s="1"/>
  <c r="T517" i="6"/>
  <c r="V517" i="6" s="1"/>
  <c r="T518" i="6"/>
  <c r="V518" i="6" s="1"/>
  <c r="T519" i="6"/>
  <c r="V519" i="6" s="1"/>
  <c r="T520" i="6"/>
  <c r="V520" i="6" s="1"/>
  <c r="T521" i="6"/>
  <c r="V521" i="6" s="1"/>
  <c r="T522" i="6"/>
  <c r="V522" i="6" s="1"/>
  <c r="T523" i="6"/>
  <c r="V523" i="6" s="1"/>
  <c r="T524" i="6"/>
  <c r="V524" i="6" s="1"/>
  <c r="T525" i="6"/>
  <c r="V525" i="6" s="1"/>
  <c r="T526" i="6"/>
  <c r="V526" i="6" s="1"/>
  <c r="T527" i="6"/>
  <c r="V527" i="6" s="1"/>
  <c r="T528" i="6"/>
  <c r="V528" i="6" s="1"/>
  <c r="T529" i="6"/>
  <c r="V529" i="6" s="1"/>
  <c r="T530" i="6"/>
  <c r="V530" i="6" s="1"/>
  <c r="T531" i="6"/>
  <c r="V531" i="6" s="1"/>
  <c r="T532" i="6"/>
  <c r="V532" i="6" s="1"/>
  <c r="T533" i="6"/>
  <c r="V533" i="6" s="1"/>
  <c r="T534" i="6"/>
  <c r="V534" i="6" s="1"/>
  <c r="T535" i="6"/>
  <c r="V535" i="6" s="1"/>
  <c r="T536" i="6"/>
  <c r="V536" i="6" s="1"/>
  <c r="T537" i="6"/>
  <c r="V537" i="6" s="1"/>
  <c r="T538" i="6"/>
  <c r="V538" i="6" s="1"/>
  <c r="T539" i="6"/>
  <c r="V539" i="6" s="1"/>
  <c r="T540" i="6"/>
  <c r="V540" i="6" s="1"/>
  <c r="T541" i="6"/>
  <c r="V541" i="6" s="1"/>
  <c r="T542" i="6"/>
  <c r="V542" i="6" s="1"/>
  <c r="T543" i="6"/>
  <c r="V543" i="6" s="1"/>
  <c r="T544" i="6"/>
  <c r="V544" i="6" s="1"/>
  <c r="T545" i="6"/>
  <c r="V545" i="6" s="1"/>
  <c r="T546" i="6"/>
  <c r="V546" i="6" s="1"/>
  <c r="T547" i="6"/>
  <c r="V547" i="6" s="1"/>
  <c r="T548" i="6"/>
  <c r="V548" i="6" s="1"/>
  <c r="T549" i="6"/>
  <c r="V549" i="6" s="1"/>
  <c r="T550" i="6"/>
  <c r="V550" i="6" s="1"/>
  <c r="T551" i="6"/>
  <c r="V551" i="6" s="1"/>
  <c r="T552" i="6"/>
  <c r="V552" i="6" s="1"/>
  <c r="T553" i="6"/>
  <c r="V553" i="6" s="1"/>
  <c r="T554" i="6"/>
  <c r="V554" i="6" s="1"/>
  <c r="T555" i="6"/>
  <c r="V555" i="6" s="1"/>
  <c r="T556" i="6"/>
  <c r="V556" i="6" s="1"/>
  <c r="T557" i="6"/>
  <c r="V557" i="6" s="1"/>
  <c r="T558" i="6"/>
  <c r="V558" i="6" s="1"/>
  <c r="T559" i="6"/>
  <c r="V559" i="6" s="1"/>
  <c r="T560" i="6"/>
  <c r="V560" i="6" s="1"/>
  <c r="T561" i="6"/>
  <c r="V561" i="6" s="1"/>
  <c r="T562" i="6"/>
  <c r="V562" i="6" s="1"/>
  <c r="T563" i="6"/>
  <c r="V563" i="6" s="1"/>
  <c r="T564" i="6"/>
  <c r="V564" i="6" s="1"/>
  <c r="T565" i="6"/>
  <c r="V565" i="6" s="1"/>
  <c r="T566" i="6"/>
  <c r="V566" i="6" s="1"/>
  <c r="T567" i="6"/>
  <c r="V567" i="6" s="1"/>
  <c r="T568" i="6"/>
  <c r="V568" i="6" s="1"/>
  <c r="T569" i="6"/>
  <c r="V569" i="6" s="1"/>
  <c r="T570" i="6"/>
  <c r="V570" i="6" s="1"/>
  <c r="T571" i="6"/>
  <c r="V571" i="6" s="1"/>
  <c r="T572" i="6"/>
  <c r="V572" i="6" s="1"/>
  <c r="T573" i="6"/>
  <c r="V573" i="6" s="1"/>
  <c r="T574" i="6"/>
  <c r="V574" i="6" s="1"/>
  <c r="T575" i="6"/>
  <c r="V575" i="6" s="1"/>
  <c r="T576" i="6"/>
  <c r="V576" i="6" s="1"/>
  <c r="T577" i="6"/>
  <c r="V577" i="6" s="1"/>
  <c r="T578" i="6"/>
  <c r="V578" i="6" s="1"/>
  <c r="T579" i="6"/>
  <c r="V579" i="6" s="1"/>
  <c r="T580" i="6"/>
  <c r="V580" i="6" s="1"/>
  <c r="T581" i="6"/>
  <c r="V581" i="6" s="1"/>
  <c r="T582" i="6"/>
  <c r="V582" i="6" s="1"/>
  <c r="T583" i="6"/>
  <c r="V583" i="6" s="1"/>
  <c r="T584" i="6"/>
  <c r="V584" i="6" s="1"/>
  <c r="T585" i="6"/>
  <c r="V585" i="6" s="1"/>
  <c r="T586" i="6"/>
  <c r="V586" i="6" s="1"/>
  <c r="T587" i="6"/>
  <c r="V587" i="6" s="1"/>
  <c r="T588" i="6"/>
  <c r="V588" i="6" s="1"/>
  <c r="T589" i="6"/>
  <c r="V589" i="6" s="1"/>
  <c r="T590" i="6"/>
  <c r="V590" i="6" s="1"/>
  <c r="T591" i="6"/>
  <c r="T592" i="6"/>
  <c r="V592" i="6" s="1"/>
  <c r="T593" i="6"/>
  <c r="V593" i="6" s="1"/>
  <c r="T594" i="6"/>
  <c r="V594" i="6" s="1"/>
  <c r="T595" i="6"/>
  <c r="V595" i="6" s="1"/>
  <c r="T596" i="6"/>
  <c r="V596" i="6" s="1"/>
  <c r="T597" i="6"/>
  <c r="V597" i="6" s="1"/>
  <c r="T598" i="6"/>
  <c r="V598" i="6" s="1"/>
  <c r="T599" i="6"/>
  <c r="V599" i="6" s="1"/>
  <c r="T600" i="6"/>
  <c r="V600" i="6" s="1"/>
  <c r="T601" i="6"/>
  <c r="V601" i="6" s="1"/>
  <c r="T602" i="6"/>
  <c r="V602" i="6" s="1"/>
  <c r="T603" i="6"/>
  <c r="V603" i="6" s="1"/>
  <c r="T604" i="6"/>
  <c r="V604" i="6" s="1"/>
  <c r="T605" i="6"/>
  <c r="V605" i="6" s="1"/>
  <c r="T606" i="6"/>
  <c r="V606" i="6" s="1"/>
  <c r="T607" i="6"/>
  <c r="V607" i="6" s="1"/>
  <c r="T608" i="6"/>
  <c r="V608" i="6" s="1"/>
  <c r="T609" i="6"/>
  <c r="V609" i="6" s="1"/>
  <c r="T610" i="6"/>
  <c r="V610" i="6" s="1"/>
  <c r="T611" i="6"/>
  <c r="V611" i="6" s="1"/>
  <c r="T612" i="6"/>
  <c r="V612" i="6" s="1"/>
  <c r="T613" i="6"/>
  <c r="V613" i="6" s="1"/>
  <c r="T614" i="6"/>
  <c r="V614" i="6" s="1"/>
  <c r="T615" i="6"/>
  <c r="V615" i="6" s="1"/>
  <c r="T616" i="6"/>
  <c r="V616" i="6" s="1"/>
  <c r="T617" i="6"/>
  <c r="V617" i="6" s="1"/>
  <c r="T618" i="6"/>
  <c r="V618" i="6" s="1"/>
  <c r="T619" i="6"/>
  <c r="V619" i="6" s="1"/>
  <c r="T620" i="6"/>
  <c r="V620" i="6" s="1"/>
  <c r="T621" i="6"/>
  <c r="V621" i="6" s="1"/>
  <c r="T622" i="6"/>
  <c r="V622" i="6" s="1"/>
  <c r="T623" i="6"/>
  <c r="V623" i="6" s="1"/>
  <c r="T624" i="6"/>
  <c r="V624" i="6" s="1"/>
  <c r="T625" i="6"/>
  <c r="V625" i="6" s="1"/>
  <c r="T626" i="6"/>
  <c r="T627" i="6"/>
  <c r="V627" i="6" s="1"/>
  <c r="T628" i="6"/>
  <c r="V628" i="6" s="1"/>
  <c r="T629" i="6"/>
  <c r="V629" i="6" s="1"/>
  <c r="T630" i="6"/>
  <c r="V630" i="6" s="1"/>
  <c r="T631" i="6"/>
  <c r="V631" i="6" s="1"/>
  <c r="T632" i="6"/>
  <c r="V632" i="6" s="1"/>
  <c r="T633" i="6"/>
  <c r="V633" i="6" s="1"/>
  <c r="T634" i="6"/>
  <c r="V634" i="6" s="1"/>
  <c r="T635" i="6"/>
  <c r="V635" i="6" s="1"/>
  <c r="T636" i="6"/>
  <c r="T637" i="6"/>
  <c r="V637" i="6" s="1"/>
  <c r="T638" i="6"/>
  <c r="V638" i="6" s="1"/>
  <c r="T639" i="6"/>
  <c r="V639" i="6" s="1"/>
  <c r="T640" i="6"/>
  <c r="V640" i="6" s="1"/>
  <c r="T641" i="6"/>
  <c r="V641" i="6" s="1"/>
  <c r="T642" i="6"/>
  <c r="V642" i="6" s="1"/>
  <c r="T643" i="6"/>
  <c r="V643" i="6" s="1"/>
  <c r="T644" i="6"/>
  <c r="V644" i="6" s="1"/>
  <c r="T645" i="6"/>
  <c r="V645" i="6" s="1"/>
  <c r="T646" i="6"/>
  <c r="V646" i="6" s="1"/>
  <c r="T647" i="6"/>
  <c r="V647" i="6" s="1"/>
  <c r="T648" i="6"/>
  <c r="V648" i="6" s="1"/>
  <c r="T649" i="6"/>
  <c r="V649" i="6" s="1"/>
  <c r="T650" i="6"/>
  <c r="V650" i="6" s="1"/>
  <c r="T651" i="6"/>
  <c r="V651" i="6" s="1"/>
  <c r="T652" i="6"/>
  <c r="V652" i="6" s="1"/>
  <c r="T653" i="6"/>
  <c r="V653" i="6" s="1"/>
  <c r="T654" i="6"/>
  <c r="V654" i="6" s="1"/>
  <c r="T655" i="6"/>
  <c r="V655" i="6" s="1"/>
  <c r="T656" i="6"/>
  <c r="V656" i="6" s="1"/>
  <c r="T657" i="6"/>
  <c r="V657" i="6" s="1"/>
  <c r="T658" i="6"/>
  <c r="V658" i="6" s="1"/>
  <c r="T659" i="6"/>
  <c r="V659" i="6" s="1"/>
  <c r="T660" i="6"/>
  <c r="V660" i="6" s="1"/>
  <c r="T661" i="6"/>
  <c r="V661" i="6" s="1"/>
  <c r="T662" i="6"/>
  <c r="V662" i="6" s="1"/>
  <c r="T663" i="6"/>
  <c r="V663" i="6" s="1"/>
  <c r="T664" i="6"/>
  <c r="V664" i="6" s="1"/>
  <c r="T665" i="6"/>
  <c r="V665" i="6" s="1"/>
  <c r="T666" i="6"/>
  <c r="V666" i="6" s="1"/>
  <c r="T667" i="6"/>
  <c r="V667" i="6" s="1"/>
  <c r="T668" i="6"/>
  <c r="V668" i="6" s="1"/>
  <c r="T669" i="6"/>
  <c r="V669" i="6" s="1"/>
  <c r="T670" i="6"/>
  <c r="V670" i="6" s="1"/>
  <c r="T671" i="6"/>
  <c r="V671" i="6" s="1"/>
  <c r="T672" i="6"/>
  <c r="V672" i="6" s="1"/>
  <c r="T673" i="6"/>
  <c r="V673" i="6" s="1"/>
  <c r="T674" i="6"/>
  <c r="V674" i="6" s="1"/>
  <c r="T675" i="6"/>
  <c r="V675" i="6" s="1"/>
  <c r="T676" i="6"/>
  <c r="V676" i="6" s="1"/>
  <c r="T677" i="6"/>
  <c r="V677" i="6" s="1"/>
  <c r="T678" i="6"/>
  <c r="V678" i="6" s="1"/>
  <c r="T679" i="6"/>
  <c r="V679" i="6" s="1"/>
  <c r="T680" i="6"/>
  <c r="V680" i="6" s="1"/>
  <c r="T681" i="6"/>
  <c r="V681" i="6" s="1"/>
  <c r="T682" i="6"/>
  <c r="V682" i="6" s="1"/>
  <c r="T683" i="6"/>
  <c r="V683" i="6" s="1"/>
  <c r="T684" i="6"/>
  <c r="V684" i="6" s="1"/>
  <c r="T685" i="6"/>
  <c r="V685" i="6" s="1"/>
  <c r="T686" i="6"/>
  <c r="V686" i="6" s="1"/>
  <c r="T687" i="6"/>
  <c r="V687" i="6" s="1"/>
  <c r="T688" i="6"/>
  <c r="V688" i="6" s="1"/>
  <c r="T689" i="6"/>
  <c r="V689" i="6" s="1"/>
  <c r="T690" i="6"/>
  <c r="V690" i="6" s="1"/>
  <c r="T691" i="6"/>
  <c r="V691" i="6" s="1"/>
  <c r="T692" i="6"/>
  <c r="V692" i="6" s="1"/>
  <c r="T693" i="6"/>
  <c r="V693" i="6" s="1"/>
  <c r="T694" i="6"/>
  <c r="V694" i="6" s="1"/>
  <c r="T695" i="6"/>
  <c r="V695" i="6" s="1"/>
  <c r="T696" i="6"/>
  <c r="V696" i="6" s="1"/>
  <c r="T697" i="6"/>
  <c r="V697" i="6" s="1"/>
  <c r="T698" i="6"/>
  <c r="V698" i="6" s="1"/>
  <c r="T699" i="6"/>
  <c r="V699" i="6" s="1"/>
  <c r="T700" i="6"/>
  <c r="V700" i="6" s="1"/>
  <c r="T701" i="6"/>
  <c r="V701" i="6" s="1"/>
  <c r="T702" i="6"/>
  <c r="V702" i="6" s="1"/>
  <c r="T703" i="6"/>
  <c r="V703" i="6" s="1"/>
  <c r="T704" i="6"/>
  <c r="V704" i="6" s="1"/>
  <c r="T705" i="6"/>
  <c r="V705" i="6" s="1"/>
  <c r="T706" i="6"/>
  <c r="V706" i="6" s="1"/>
  <c r="T707" i="6"/>
  <c r="V707" i="6" s="1"/>
  <c r="T708" i="6"/>
  <c r="V708" i="6" s="1"/>
  <c r="T709" i="6"/>
  <c r="V709" i="6" s="1"/>
  <c r="T710" i="6"/>
  <c r="V710" i="6" s="1"/>
  <c r="T711" i="6"/>
  <c r="V711" i="6" s="1"/>
  <c r="T712" i="6"/>
  <c r="V712" i="6" s="1"/>
  <c r="T713" i="6"/>
  <c r="V713" i="6" s="1"/>
  <c r="T714" i="6"/>
  <c r="V714" i="6" s="1"/>
  <c r="T715" i="6"/>
  <c r="V715" i="6" s="1"/>
  <c r="T716" i="6"/>
  <c r="V716" i="6" s="1"/>
  <c r="T717" i="6"/>
  <c r="V717" i="6" s="1"/>
  <c r="T718" i="6"/>
  <c r="V718" i="6" s="1"/>
  <c r="T719" i="6"/>
  <c r="V719" i="6" s="1"/>
  <c r="T720" i="6"/>
  <c r="V720" i="6" s="1"/>
  <c r="T721" i="6"/>
  <c r="V721" i="6" s="1"/>
  <c r="T722" i="6"/>
  <c r="V722" i="6" s="1"/>
  <c r="T723" i="6"/>
  <c r="V723" i="6" s="1"/>
  <c r="T724" i="6"/>
  <c r="V724" i="6" s="1"/>
  <c r="T725" i="6"/>
  <c r="V725" i="6" s="1"/>
  <c r="T726" i="6"/>
  <c r="V726" i="6" s="1"/>
  <c r="T727" i="6"/>
  <c r="V727" i="6" s="1"/>
  <c r="T728" i="6"/>
  <c r="V728" i="6" s="1"/>
  <c r="T729" i="6"/>
  <c r="V729" i="6" s="1"/>
  <c r="T730" i="6"/>
  <c r="V730" i="6" s="1"/>
  <c r="T731" i="6"/>
  <c r="V731" i="6" s="1"/>
  <c r="T732" i="6"/>
  <c r="V732" i="6" s="1"/>
  <c r="T733" i="6"/>
  <c r="V733" i="6" s="1"/>
  <c r="T734" i="6"/>
  <c r="V734" i="6" s="1"/>
  <c r="T735" i="6"/>
  <c r="V735" i="6" s="1"/>
  <c r="T736" i="6"/>
  <c r="V736" i="6" s="1"/>
  <c r="T737" i="6"/>
  <c r="V737" i="6" s="1"/>
  <c r="T738" i="6"/>
  <c r="V738" i="6" s="1"/>
  <c r="T739" i="6"/>
  <c r="V739" i="6" s="1"/>
  <c r="T740" i="6"/>
  <c r="V740" i="6" s="1"/>
  <c r="T741" i="6"/>
  <c r="V741" i="6" s="1"/>
  <c r="T742" i="6"/>
  <c r="V742" i="6" s="1"/>
  <c r="T743" i="6"/>
  <c r="V743" i="6" s="1"/>
  <c r="T744" i="6"/>
  <c r="V744" i="6" s="1"/>
  <c r="T745" i="6"/>
  <c r="V745" i="6" s="1"/>
  <c r="T746" i="6"/>
  <c r="V746" i="6" s="1"/>
  <c r="T747" i="6"/>
  <c r="V747" i="6" s="1"/>
  <c r="T748" i="6"/>
  <c r="V748" i="6" s="1"/>
  <c r="T749" i="6"/>
  <c r="V749" i="6" s="1"/>
  <c r="T750" i="6"/>
  <c r="T751" i="6"/>
  <c r="V751" i="6" s="1"/>
  <c r="T752" i="6"/>
  <c r="V752" i="6" s="1"/>
  <c r="T753" i="6"/>
  <c r="V753" i="6" s="1"/>
  <c r="T754" i="6"/>
  <c r="V754" i="6" s="1"/>
  <c r="T755" i="6"/>
  <c r="V755" i="6" s="1"/>
  <c r="T756" i="6"/>
  <c r="V756" i="6" s="1"/>
  <c r="T757" i="6"/>
  <c r="V757" i="6" s="1"/>
  <c r="T758" i="6"/>
  <c r="V758" i="6" s="1"/>
  <c r="T759" i="6"/>
  <c r="V759" i="6" s="1"/>
  <c r="T760" i="6"/>
  <c r="V760" i="6" s="1"/>
  <c r="T761" i="6"/>
  <c r="V761" i="6" s="1"/>
  <c r="T762" i="6"/>
  <c r="V762" i="6" s="1"/>
  <c r="T763" i="6"/>
  <c r="V763" i="6" s="1"/>
  <c r="T764" i="6"/>
  <c r="V764" i="6" s="1"/>
  <c r="T765" i="6"/>
  <c r="V765" i="6" s="1"/>
  <c r="T766" i="6"/>
  <c r="V766" i="6" s="1"/>
  <c r="T767" i="6"/>
  <c r="V767" i="6" s="1"/>
  <c r="T768" i="6"/>
  <c r="V768" i="6" s="1"/>
  <c r="T769" i="6"/>
  <c r="V769" i="6" s="1"/>
  <c r="T770" i="6"/>
  <c r="V770" i="6" s="1"/>
  <c r="T771" i="6"/>
  <c r="V771" i="6" s="1"/>
  <c r="T772" i="6"/>
  <c r="V772" i="6" s="1"/>
  <c r="T773" i="6"/>
  <c r="V773" i="6" s="1"/>
  <c r="T774" i="6"/>
  <c r="V774" i="6" s="1"/>
  <c r="T775" i="6"/>
  <c r="V775" i="6" s="1"/>
  <c r="T776" i="6"/>
  <c r="V776" i="6" s="1"/>
  <c r="T777" i="6"/>
  <c r="V777" i="6" s="1"/>
  <c r="T778" i="6"/>
  <c r="V778" i="6" s="1"/>
  <c r="T779" i="6"/>
  <c r="V779" i="6" s="1"/>
  <c r="T780" i="6"/>
  <c r="V780" i="6" s="1"/>
  <c r="T781" i="6"/>
  <c r="V781" i="6" s="1"/>
  <c r="T782" i="6"/>
  <c r="V782" i="6" s="1"/>
  <c r="T783" i="6"/>
  <c r="V783" i="6" s="1"/>
  <c r="T784" i="6"/>
  <c r="V784" i="6" s="1"/>
  <c r="D3" i="7"/>
  <c r="D4" i="7"/>
  <c r="S158" i="6" s="1"/>
  <c r="W158" i="6" s="1"/>
  <c r="D5" i="7"/>
  <c r="D6" i="7"/>
  <c r="D7" i="7"/>
  <c r="D8" i="7"/>
  <c r="D9" i="7"/>
  <c r="D10" i="7"/>
  <c r="S375" i="6" s="1"/>
  <c r="W375" i="6" s="1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S43" i="6" s="1"/>
  <c r="W43" i="6" s="1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S288" i="6" s="1"/>
  <c r="W288" i="6" s="1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S693" i="6" s="1"/>
  <c r="D277" i="7"/>
  <c r="D278" i="7"/>
  <c r="D279" i="7"/>
  <c r="D280" i="7"/>
  <c r="D281" i="7"/>
  <c r="D282" i="7"/>
  <c r="D283" i="7"/>
  <c r="D284" i="7"/>
  <c r="S588" i="6" s="1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S488" i="6" s="1"/>
  <c r="W488" i="6" s="1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S159" i="6" s="1"/>
  <c r="W159" i="6" s="1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S163" i="6" s="1"/>
  <c r="W163" i="6" s="1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S232" i="6" s="1"/>
  <c r="W232" i="6" s="1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S468" i="6" s="1"/>
  <c r="D556" i="7"/>
  <c r="D557" i="7"/>
  <c r="D558" i="7"/>
  <c r="D559" i="7"/>
  <c r="S698" i="6" s="1"/>
  <c r="W698" i="6" s="1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S447" i="6" s="1"/>
  <c r="W447" i="6" s="1"/>
  <c r="D616" i="7"/>
  <c r="S248" i="6" s="1"/>
  <c r="D617" i="7"/>
  <c r="D618" i="7"/>
  <c r="D619" i="7"/>
  <c r="D620" i="7"/>
  <c r="D621" i="7"/>
  <c r="D622" i="7"/>
  <c r="D623" i="7"/>
  <c r="D624" i="7"/>
  <c r="D625" i="7"/>
  <c r="D626" i="7"/>
  <c r="D627" i="7"/>
  <c r="D628" i="7"/>
  <c r="S388" i="6" s="1"/>
  <c r="W388" i="6" s="1"/>
  <c r="D629" i="7"/>
  <c r="D630" i="7"/>
  <c r="D631" i="7"/>
  <c r="D632" i="7"/>
  <c r="D633" i="7"/>
  <c r="S289" i="6" s="1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S694" i="6" s="1"/>
  <c r="W694" i="6" s="1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S700" i="6" s="1"/>
  <c r="W700" i="6" s="1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S450" i="6" s="1"/>
  <c r="W450" i="6" s="1"/>
  <c r="D685" i="7"/>
  <c r="D686" i="7"/>
  <c r="D687" i="7"/>
  <c r="S413" i="6" s="1"/>
  <c r="W413" i="6" s="1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S298" i="6" s="1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S507" i="6" s="1"/>
  <c r="W507" i="6" s="1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S280" i="6" s="1"/>
  <c r="W280" i="6" s="1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S589" i="6" s="1"/>
  <c r="D785" i="7"/>
  <c r="D786" i="7"/>
  <c r="S170" i="6" s="1"/>
  <c r="W170" i="6" s="1"/>
  <c r="D787" i="7"/>
  <c r="D788" i="7"/>
  <c r="D789" i="7"/>
  <c r="D790" i="7"/>
  <c r="D791" i="7"/>
  <c r="S508" i="6" s="1"/>
  <c r="W508" i="6" s="1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S188" i="6" s="1"/>
  <c r="W188" i="6" s="1"/>
  <c r="D862" i="7"/>
  <c r="D863" i="7"/>
  <c r="D864" i="7"/>
  <c r="D865" i="7"/>
  <c r="D866" i="7"/>
  <c r="D867" i="7"/>
  <c r="D868" i="7"/>
  <c r="D869" i="7"/>
  <c r="D870" i="7"/>
  <c r="D871" i="7"/>
  <c r="S538" i="6" s="1"/>
  <c r="D872" i="7"/>
  <c r="D873" i="7"/>
  <c r="S512" i="6" s="1"/>
  <c r="W512" i="6" s="1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S593" i="6" s="1"/>
  <c r="W593" i="6" s="1"/>
  <c r="D923" i="7"/>
  <c r="D924" i="7"/>
  <c r="S408" i="6" s="1"/>
  <c r="D925" i="7"/>
  <c r="S575" i="6" s="1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S114" i="6" s="1"/>
  <c r="W114" i="6" s="1"/>
  <c r="D967" i="7"/>
  <c r="D968" i="7"/>
  <c r="D969" i="7"/>
  <c r="D970" i="7"/>
  <c r="D971" i="7"/>
  <c r="D972" i="7"/>
  <c r="S590" i="6" s="1"/>
  <c r="W590" i="6" s="1"/>
  <c r="D973" i="7"/>
  <c r="D974" i="7"/>
  <c r="D975" i="7"/>
  <c r="D976" i="7"/>
  <c r="D977" i="7"/>
  <c r="S699" i="6" s="1"/>
  <c r="W699" i="6" s="1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S104" i="6" s="1"/>
  <c r="D1011" i="7"/>
  <c r="D1012" i="7"/>
  <c r="D1013" i="7"/>
  <c r="S591" i="6" s="1"/>
  <c r="D1014" i="7"/>
  <c r="D1015" i="7"/>
  <c r="D1016" i="7"/>
  <c r="D1017" i="7"/>
  <c r="D1018" i="7"/>
  <c r="S537" i="6" s="1"/>
  <c r="W537" i="6" s="1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S574" i="6" s="1"/>
  <c r="W574" i="6" s="1"/>
  <c r="D1031" i="7"/>
  <c r="S573" i="6" s="1"/>
  <c r="W573" i="6" s="1"/>
  <c r="D1032" i="7"/>
  <c r="D1033" i="7"/>
  <c r="D1034" i="7"/>
  <c r="D1035" i="7"/>
  <c r="D1036" i="7"/>
  <c r="D1037" i="7"/>
  <c r="D1038" i="7"/>
  <c r="D1039" i="7"/>
  <c r="S576" i="6" s="1"/>
  <c r="D1040" i="7"/>
  <c r="D1041" i="7"/>
  <c r="D1042" i="7"/>
  <c r="D1043" i="7"/>
  <c r="D1044" i="7"/>
  <c r="D1045" i="7"/>
  <c r="S339" i="6" s="1"/>
  <c r="W339" i="6" s="1"/>
  <c r="D1046" i="7"/>
  <c r="D1047" i="7"/>
  <c r="D1048" i="7"/>
  <c r="D1049" i="7"/>
  <c r="D1050" i="7"/>
  <c r="D1051" i="7"/>
  <c r="D1052" i="7"/>
  <c r="D1053" i="7"/>
  <c r="D1054" i="7"/>
  <c r="D1055" i="7"/>
  <c r="S596" i="6" s="1"/>
  <c r="W596" i="6" s="1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S218" i="6" s="1"/>
  <c r="W218" i="6" s="1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S225" i="6" s="1"/>
  <c r="W225" i="6" s="1"/>
  <c r="D1104" i="7"/>
  <c r="S594" i="6" s="1"/>
  <c r="W594" i="6" s="1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S553" i="6" s="1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S400" i="6" s="1"/>
  <c r="W400" i="6" s="1"/>
  <c r="D1147" i="7"/>
  <c r="D1148" i="7"/>
  <c r="D1149" i="7"/>
  <c r="D1150" i="7"/>
  <c r="D1151" i="7"/>
  <c r="D1152" i="7"/>
  <c r="S525" i="6" s="1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S18" i="6" s="1"/>
  <c r="W18" i="6" s="1"/>
  <c r="D1188" i="7"/>
  <c r="D1189" i="7"/>
  <c r="D1190" i="7"/>
  <c r="D1191" i="7"/>
  <c r="D1192" i="7"/>
  <c r="D1193" i="7"/>
  <c r="D1194" i="7"/>
  <c r="D1195" i="7"/>
  <c r="D1196" i="7"/>
  <c r="D1197" i="7"/>
  <c r="S179" i="6" s="1"/>
  <c r="W179" i="6" s="1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S412" i="6" s="1"/>
  <c r="W412" i="6" s="1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S452" i="6" s="1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S449" i="6" s="1"/>
  <c r="W449" i="6" s="1"/>
  <c r="D1353" i="7"/>
  <c r="D1354" i="7"/>
  <c r="D1355" i="7"/>
  <c r="D1356" i="7"/>
  <c r="D1357" i="7"/>
  <c r="D1358" i="7"/>
  <c r="D1359" i="7"/>
  <c r="S592" i="6" s="1"/>
  <c r="W592" i="6" s="1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S448" i="6" s="1"/>
  <c r="W448" i="6" s="1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S86" i="6" s="1"/>
  <c r="W86" i="6" s="1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S595" i="6" s="1"/>
  <c r="W595" i="6" s="1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S598" i="6" s="1"/>
  <c r="W598" i="6" s="1"/>
  <c r="D1511" i="7"/>
  <c r="D1512" i="7"/>
  <c r="D1513" i="7"/>
  <c r="D1514" i="7"/>
  <c r="D1515" i="7"/>
  <c r="D1516" i="7"/>
  <c r="D1517" i="7"/>
  <c r="D1518" i="7"/>
  <c r="D1519" i="7"/>
  <c r="S160" i="6" s="1"/>
  <c r="W160" i="6" s="1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S599" i="6" s="1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S272" i="6" s="1"/>
  <c r="W272" i="6" s="1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S597" i="6" s="1"/>
  <c r="D1612" i="7"/>
  <c r="D1613" i="7"/>
  <c r="D1614" i="7"/>
  <c r="D1615" i="7"/>
  <c r="D1616" i="7"/>
  <c r="D1617" i="7"/>
  <c r="D1618" i="7"/>
  <c r="D1619" i="7"/>
  <c r="D1620" i="7"/>
  <c r="D1621" i="7"/>
  <c r="D1622" i="7"/>
  <c r="S484" i="6" s="1"/>
  <c r="W484" i="6" s="1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S251" i="6" s="1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S226" i="6" s="1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S338" i="6" s="1"/>
  <c r="W338" i="6" s="1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S600" i="6" s="1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S15" i="6" s="1"/>
  <c r="W15" i="6" s="1"/>
  <c r="D1874" i="7"/>
  <c r="D1875" i="7"/>
  <c r="S601" i="6" s="1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S536" i="6" s="1"/>
  <c r="W536" i="6" s="1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S443" i="6" s="1"/>
  <c r="D1922" i="7"/>
  <c r="D1923" i="7"/>
  <c r="D1924" i="7"/>
  <c r="D1925" i="7"/>
  <c r="D1926" i="7"/>
  <c r="D1927" i="7"/>
  <c r="D1928" i="7"/>
  <c r="D1929" i="7"/>
  <c r="D1930" i="7"/>
  <c r="D1931" i="7"/>
  <c r="D1932" i="7"/>
  <c r="S62" i="6" s="1"/>
  <c r="W62" i="6" s="1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S603" i="6" s="1"/>
  <c r="W603" i="6" s="1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S411" i="6" s="1"/>
  <c r="W411" i="6" s="1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S602" i="6" s="1"/>
  <c r="W602" i="6" s="1"/>
  <c r="D2057" i="7"/>
  <c r="D2058" i="7"/>
  <c r="D2059" i="7"/>
  <c r="D2060" i="7"/>
  <c r="D2061" i="7"/>
  <c r="D2062" i="7"/>
  <c r="D2063" i="7"/>
  <c r="D2064" i="7"/>
  <c r="D2065" i="7"/>
  <c r="S506" i="6" s="1"/>
  <c r="W506" i="6" s="1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S340" i="6" s="1"/>
  <c r="W340" i="6" s="1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S606" i="6" s="1"/>
  <c r="W606" i="6" s="1"/>
  <c r="D2148" i="7"/>
  <c r="S607" i="6" s="1"/>
  <c r="D2149" i="7"/>
  <c r="D2150" i="7"/>
  <c r="D2151" i="7"/>
  <c r="D2152" i="7"/>
  <c r="D2153" i="7"/>
  <c r="D2154" i="7"/>
  <c r="D2155" i="7"/>
  <c r="D2156" i="7"/>
  <c r="S191" i="6" s="1"/>
  <c r="D2157" i="7"/>
  <c r="D2158" i="7"/>
  <c r="S100" i="6" s="1"/>
  <c r="W100" i="6" s="1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S604" i="6" s="1"/>
  <c r="W604" i="6" s="1"/>
  <c r="D2229" i="7"/>
  <c r="D2230" i="7"/>
  <c r="D2231" i="7"/>
  <c r="D2232" i="7"/>
  <c r="D2233" i="7"/>
  <c r="D2234" i="7"/>
  <c r="D2235" i="7"/>
  <c r="D2236" i="7"/>
  <c r="D2237" i="7"/>
  <c r="D2238" i="7"/>
  <c r="S61" i="6" s="1"/>
  <c r="D2239" i="7"/>
  <c r="D2240" i="7"/>
  <c r="D2241" i="7"/>
  <c r="S521" i="6" s="1"/>
  <c r="W521" i="6" s="1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S17" i="6" s="1"/>
  <c r="W17" i="6" s="1"/>
  <c r="D2256" i="7"/>
  <c r="D2257" i="7"/>
  <c r="S153" i="6" s="1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S215" i="6" s="1"/>
  <c r="D2275" i="7"/>
  <c r="S219" i="6" s="1"/>
  <c r="W219" i="6" s="1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S229" i="6" s="1"/>
  <c r="D2290" i="7"/>
  <c r="D2291" i="7"/>
  <c r="S410" i="6" s="1"/>
  <c r="W410" i="6" s="1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S608" i="6" s="1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S16" i="6" s="1"/>
  <c r="W16" i="6" s="1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S216" i="6" s="1"/>
  <c r="W216" i="6" s="1"/>
  <c r="D2411" i="7"/>
  <c r="D2412" i="7"/>
  <c r="D2413" i="7"/>
  <c r="D2414" i="7"/>
  <c r="D2415" i="7"/>
  <c r="D2416" i="7"/>
  <c r="D2417" i="7"/>
  <c r="D2418" i="7"/>
  <c r="D2419" i="7"/>
  <c r="D2420" i="7"/>
  <c r="D2421" i="7"/>
  <c r="S60" i="6" s="1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S390" i="6" s="1"/>
  <c r="W390" i="6" s="1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S691" i="6" s="1"/>
  <c r="W691" i="6" s="1"/>
  <c r="D2490" i="7"/>
  <c r="D2491" i="7"/>
  <c r="D2492" i="7"/>
  <c r="D2493" i="7"/>
  <c r="D2494" i="7"/>
  <c r="D2495" i="7"/>
  <c r="D2496" i="7"/>
  <c r="D2497" i="7"/>
  <c r="S399" i="6" s="1"/>
  <c r="W399" i="6" s="1"/>
  <c r="D2498" i="7"/>
  <c r="D2499" i="7"/>
  <c r="D2500" i="7"/>
  <c r="D2501" i="7"/>
  <c r="D2502" i="7"/>
  <c r="S58" i="6" s="1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S337" i="6" s="1"/>
  <c r="D2539" i="7"/>
  <c r="D2540" i="7"/>
  <c r="D2541" i="7"/>
  <c r="D2542" i="7"/>
  <c r="D2543" i="7"/>
  <c r="D2544" i="7"/>
  <c r="D2545" i="7"/>
  <c r="S605" i="6" s="1"/>
  <c r="W605" i="6" s="1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S83" i="6" s="1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S690" i="6" s="1"/>
  <c r="W690" i="6" s="1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S572" i="6" s="1"/>
  <c r="W572" i="6" s="1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S220" i="6" s="1"/>
  <c r="W220" i="6" s="1"/>
  <c r="D2647" i="7"/>
  <c r="S692" i="6" s="1"/>
  <c r="W692" i="6" s="1"/>
  <c r="D2648" i="7"/>
  <c r="D2649" i="7"/>
  <c r="D2650" i="7"/>
  <c r="D2651" i="7"/>
  <c r="D2652" i="7"/>
  <c r="D2653" i="7"/>
  <c r="D2654" i="7"/>
  <c r="D2655" i="7"/>
  <c r="D2656" i="7"/>
  <c r="S612" i="6" s="1"/>
  <c r="D2657" i="7"/>
  <c r="D2658" i="7"/>
  <c r="D2659" i="7"/>
  <c r="D2660" i="7"/>
  <c r="D2661" i="7"/>
  <c r="D2662" i="7"/>
  <c r="D2663" i="7"/>
  <c r="D2664" i="7"/>
  <c r="D2665" i="7"/>
  <c r="S334" i="6" s="1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S335" i="6" s="1"/>
  <c r="W335" i="6" s="1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S205" i="6" s="1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S59" i="6" s="1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S446" i="6" s="1"/>
  <c r="W446" i="6" s="1"/>
  <c r="D2798" i="7"/>
  <c r="D2799" i="7"/>
  <c r="D2800" i="7"/>
  <c r="D2801" i="7"/>
  <c r="D2802" i="7"/>
  <c r="S154" i="6" s="1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S391" i="6" s="1"/>
  <c r="W391" i="6" s="1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S85" i="6" s="1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S151" i="6" s="1"/>
  <c r="W151" i="6" s="1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S454" i="6" s="1"/>
  <c r="W454" i="6" s="1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S206" i="6" s="1"/>
  <c r="W206" i="6" s="1"/>
  <c r="D2948" i="7"/>
  <c r="D2949" i="7"/>
  <c r="D2950" i="7"/>
  <c r="D2951" i="7"/>
  <c r="D2952" i="7"/>
  <c r="D2953" i="7"/>
  <c r="D2954" i="7"/>
  <c r="S121" i="6" s="1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S84" i="6" s="1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S217" i="6" s="1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S389" i="6" s="1"/>
  <c r="W389" i="6" s="1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S240" i="6" s="1"/>
  <c r="W240" i="6" s="1"/>
  <c r="D3156" i="7"/>
  <c r="D3157" i="7"/>
  <c r="D3158" i="7"/>
  <c r="D3159" i="7"/>
  <c r="D3160" i="7"/>
  <c r="D3161" i="7"/>
  <c r="D3162" i="7"/>
  <c r="D3163" i="7"/>
  <c r="S209" i="6" s="1"/>
  <c r="W209" i="6" s="1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S609" i="6" s="1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S336" i="6" s="1"/>
  <c r="W336" i="6" s="1"/>
  <c r="D3215" i="7"/>
  <c r="D3216" i="7"/>
  <c r="S152" i="6" s="1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S614" i="6" s="1"/>
  <c r="W614" i="6" s="1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S150" i="6" s="1"/>
  <c r="W150" i="6" s="1"/>
  <c r="D3269" i="7"/>
  <c r="S613" i="6" s="1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S453" i="6" s="1"/>
  <c r="D3282" i="7"/>
  <c r="S122" i="6" s="1"/>
  <c r="W122" i="6" s="1"/>
  <c r="D3283" i="7"/>
  <c r="D3284" i="7"/>
  <c r="D3285" i="7"/>
  <c r="D3286" i="7"/>
  <c r="D3287" i="7"/>
  <c r="S461" i="6" s="1"/>
  <c r="W461" i="6" s="1"/>
  <c r="D3288" i="7"/>
  <c r="D3289" i="7"/>
  <c r="D3290" i="7"/>
  <c r="D3291" i="7"/>
  <c r="D3292" i="7"/>
  <c r="D3293" i="7"/>
  <c r="D3294" i="7"/>
  <c r="D3295" i="7"/>
  <c r="S94" i="6" s="1"/>
  <c r="D3296" i="7"/>
  <c r="S615" i="6" s="1"/>
  <c r="W615" i="6" s="1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S486" i="6" s="1"/>
  <c r="W486" i="6" s="1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S277" i="6" s="1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S610" i="6" s="1"/>
  <c r="D3421" i="7"/>
  <c r="D3422" i="7"/>
  <c r="D3423" i="7"/>
  <c r="D3424" i="7"/>
  <c r="S208" i="6" s="1"/>
  <c r="W208" i="6" s="1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S271" i="6" s="1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S93" i="6" s="1"/>
  <c r="D3460" i="7"/>
  <c r="D3461" i="7"/>
  <c r="D3462" i="7"/>
  <c r="D3463" i="7"/>
  <c r="S535" i="6" s="1"/>
  <c r="W535" i="6" s="1"/>
  <c r="D3464" i="7"/>
  <c r="D3465" i="7"/>
  <c r="D3466" i="7"/>
  <c r="D3467" i="7"/>
  <c r="D3468" i="7"/>
  <c r="D3469" i="7"/>
  <c r="D3470" i="7"/>
  <c r="D3471" i="7"/>
  <c r="S611" i="6" s="1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S483" i="6" s="1"/>
  <c r="W483" i="6" s="1"/>
  <c r="D3504" i="7"/>
  <c r="D3505" i="7"/>
  <c r="D3506" i="7"/>
  <c r="D3507" i="7"/>
  <c r="D3508" i="7"/>
  <c r="D3509" i="7"/>
  <c r="S11" i="6" s="1"/>
  <c r="D3510" i="7"/>
  <c r="D3511" i="7"/>
  <c r="D3512" i="7"/>
  <c r="D3513" i="7"/>
  <c r="D3514" i="7"/>
  <c r="S276" i="6" s="1"/>
  <c r="W276" i="6" s="1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S520" i="6" s="1"/>
  <c r="W520" i="6" s="1"/>
  <c r="D3535" i="7"/>
  <c r="D3536" i="7"/>
  <c r="D3537" i="7"/>
  <c r="D3538" i="7"/>
  <c r="D3539" i="7"/>
  <c r="D3540" i="7"/>
  <c r="S616" i="6" s="1"/>
  <c r="W616" i="6" s="1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S480" i="6" s="1"/>
  <c r="D3565" i="7"/>
  <c r="D3566" i="7"/>
  <c r="S617" i="6" s="1"/>
  <c r="W617" i="6" s="1"/>
  <c r="D3567" i="7"/>
  <c r="D3568" i="7"/>
  <c r="D3569" i="7"/>
  <c r="D3570" i="7"/>
  <c r="S13" i="6" s="1"/>
  <c r="D3571" i="7"/>
  <c r="D3572" i="7"/>
  <c r="D3573" i="7"/>
  <c r="D3574" i="7"/>
  <c r="D3575" i="7"/>
  <c r="D3576" i="7"/>
  <c r="D3577" i="7"/>
  <c r="D3578" i="7"/>
  <c r="D3579" i="7"/>
  <c r="S207" i="6" s="1"/>
  <c r="W207" i="6" s="1"/>
  <c r="D3580" i="7"/>
  <c r="D3581" i="7"/>
  <c r="D3582" i="7"/>
  <c r="S330" i="6" s="1"/>
  <c r="W330" i="6" s="1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S623" i="6" s="1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S456" i="6" s="1"/>
  <c r="D3633" i="7"/>
  <c r="S457" i="6" s="1"/>
  <c r="D3634" i="7"/>
  <c r="D3635" i="7"/>
  <c r="D3636" i="7"/>
  <c r="D3637" i="7"/>
  <c r="D3638" i="7"/>
  <c r="D3639" i="7"/>
  <c r="S204" i="6" s="1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S455" i="6" s="1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S619" i="6" s="1"/>
  <c r="W619" i="6" s="1"/>
  <c r="D3716" i="7"/>
  <c r="D3717" i="7"/>
  <c r="D3718" i="7"/>
  <c r="D3719" i="7"/>
  <c r="S242" i="6" s="1"/>
  <c r="W242" i="6" s="1"/>
  <c r="D3720" i="7"/>
  <c r="D3721" i="7"/>
  <c r="D3722" i="7"/>
  <c r="S57" i="6" s="1"/>
  <c r="D3723" i="7"/>
  <c r="D3724" i="7"/>
  <c r="D3725" i="7"/>
  <c r="D3726" i="7"/>
  <c r="S81" i="6" s="1"/>
  <c r="D3727" i="7"/>
  <c r="D3728" i="7"/>
  <c r="D3729" i="7"/>
  <c r="D3730" i="7"/>
  <c r="D3731" i="7"/>
  <c r="S620" i="6" s="1"/>
  <c r="W620" i="6" s="1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S331" i="6" s="1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S149" i="6" s="1"/>
  <c r="W149" i="6" s="1"/>
  <c r="D3778" i="7"/>
  <c r="D3779" i="7"/>
  <c r="D3780" i="7"/>
  <c r="D3781" i="7"/>
  <c r="D3782" i="7"/>
  <c r="D3783" i="7"/>
  <c r="S618" i="6" s="1"/>
  <c r="W618" i="6" s="1"/>
  <c r="D3784" i="7"/>
  <c r="D3785" i="7"/>
  <c r="D3786" i="7"/>
  <c r="D3787" i="7"/>
  <c r="D3788" i="7"/>
  <c r="D3789" i="7"/>
  <c r="D3790" i="7"/>
  <c r="S409" i="6" s="1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S586" i="6" s="1"/>
  <c r="W586" i="6" s="1"/>
  <c r="D3816" i="7"/>
  <c r="S144" i="6" s="1"/>
  <c r="D3817" i="7"/>
  <c r="D3818" i="7"/>
  <c r="D3819" i="7"/>
  <c r="S532" i="6" s="1"/>
  <c r="W532" i="6" s="1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S14" i="6" s="1"/>
  <c r="W14" i="6" s="1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S624" i="6" s="1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S459" i="6" s="1"/>
  <c r="W459" i="6" s="1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S95" i="6" s="1"/>
  <c r="W95" i="6" s="1"/>
  <c r="D3911" i="7"/>
  <c r="D3912" i="7"/>
  <c r="D3913" i="7"/>
  <c r="D3914" i="7"/>
  <c r="S621" i="6" s="1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S228" i="6" s="1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S82" i="6" s="1"/>
  <c r="W82" i="6" s="1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S385" i="6" s="1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S706" i="6" s="1"/>
  <c r="D3998" i="7"/>
  <c r="D3999" i="7"/>
  <c r="D4000" i="7"/>
  <c r="D4001" i="7"/>
  <c r="D4002" i="7"/>
  <c r="D4003" i="7"/>
  <c r="D4004" i="7"/>
  <c r="D4005" i="7"/>
  <c r="D4006" i="7"/>
  <c r="D4007" i="7"/>
  <c r="S504" i="6" s="1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S505" i="6" s="1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S348" i="6" s="1"/>
  <c r="W348" i="6" s="1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S406" i="6" s="1"/>
  <c r="W406" i="6" s="1"/>
  <c r="D4128" i="7"/>
  <c r="D4129" i="7"/>
  <c r="D4130" i="7"/>
  <c r="D4131" i="7"/>
  <c r="D4132" i="7"/>
  <c r="D4133" i="7"/>
  <c r="S524" i="6" s="1"/>
  <c r="D4134" i="7"/>
  <c r="D4135" i="7"/>
  <c r="D4136" i="7"/>
  <c r="D4137" i="7"/>
  <c r="D4138" i="7"/>
  <c r="D4139" i="7"/>
  <c r="D4140" i="7"/>
  <c r="D4141" i="7"/>
  <c r="D4142" i="7"/>
  <c r="D4143" i="7"/>
  <c r="S622" i="6" s="1"/>
  <c r="D4144" i="7"/>
  <c r="D4145" i="7"/>
  <c r="D4146" i="7"/>
  <c r="D4147" i="7"/>
  <c r="D4148" i="7"/>
  <c r="S12" i="6" s="1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S482" i="6" s="1"/>
  <c r="W482" i="6" s="1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S202" i="6" s="1"/>
  <c r="W202" i="6" s="1"/>
  <c r="D4185" i="7"/>
  <c r="D4186" i="7"/>
  <c r="S332" i="6" s="1"/>
  <c r="W332" i="6" s="1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S407" i="6" s="1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S481" i="6" s="1"/>
  <c r="D4253" i="7"/>
  <c r="D4254" i="7"/>
  <c r="D4255" i="7"/>
  <c r="D4256" i="7"/>
  <c r="D4257" i="7"/>
  <c r="D4258" i="7"/>
  <c r="D4259" i="7"/>
  <c r="D4260" i="7"/>
  <c r="D4261" i="7"/>
  <c r="S52" i="6" s="1"/>
  <c r="W52" i="6" s="1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S75" i="6" s="1"/>
  <c r="W75" i="6" s="1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S625" i="6" s="1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S327" i="6" s="1"/>
  <c r="W327" i="6" s="1"/>
  <c r="D4413" i="7"/>
  <c r="D4414" i="7"/>
  <c r="D4415" i="7"/>
  <c r="D4416" i="7"/>
  <c r="D4417" i="7"/>
  <c r="D4418" i="7"/>
  <c r="D4419" i="7"/>
  <c r="D4420" i="7"/>
  <c r="D4421" i="7"/>
  <c r="D4422" i="7"/>
  <c r="S135" i="6" s="1"/>
  <c r="W135" i="6" s="1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S440" i="6" s="1"/>
  <c r="W440" i="6" s="1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S533" i="6" s="1"/>
  <c r="W533" i="6" s="1"/>
  <c r="D4466" i="7"/>
  <c r="D4467" i="7"/>
  <c r="D4468" i="7"/>
  <c r="D4469" i="7"/>
  <c r="D4470" i="7"/>
  <c r="D4471" i="7"/>
  <c r="D4472" i="7"/>
  <c r="D4473" i="7"/>
  <c r="D4474" i="7"/>
  <c r="S383" i="6" s="1"/>
  <c r="W383" i="6" s="1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S349" i="6" s="1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S329" i="6" s="1"/>
  <c r="W329" i="6" s="1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S328" i="6" s="1"/>
  <c r="W328" i="6" s="1"/>
  <c r="D4528" i="7"/>
  <c r="D4529" i="7"/>
  <c r="D4530" i="7"/>
  <c r="D4531" i="7"/>
  <c r="D4532" i="7"/>
  <c r="S148" i="6" s="1"/>
  <c r="W148" i="6" s="1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S324" i="6" s="1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S44" i="6" s="1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S475" i="6" s="1"/>
  <c r="D4610" i="7"/>
  <c r="S627" i="6" s="1"/>
  <c r="W627" i="6" s="1"/>
  <c r="D4611" i="7"/>
  <c r="D4612" i="7"/>
  <c r="D4613" i="7"/>
  <c r="S155" i="6" s="1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S203" i="6" s="1"/>
  <c r="D4634" i="7"/>
  <c r="D4635" i="7"/>
  <c r="D4636" i="7"/>
  <c r="D4637" i="7"/>
  <c r="D4638" i="7"/>
  <c r="D4639" i="7"/>
  <c r="D4640" i="7"/>
  <c r="D4641" i="7"/>
  <c r="S392" i="6" s="1"/>
  <c r="W392" i="6" s="1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S707" i="6" s="1"/>
  <c r="W707" i="6" s="1"/>
  <c r="D4680" i="7"/>
  <c r="D4681" i="7"/>
  <c r="S534" i="6" s="1"/>
  <c r="W534" i="6" s="1"/>
  <c r="D4682" i="7"/>
  <c r="D4683" i="7"/>
  <c r="D4684" i="7"/>
  <c r="D4685" i="7"/>
  <c r="D4686" i="7"/>
  <c r="D4687" i="7"/>
  <c r="D4688" i="7"/>
  <c r="D4689" i="7"/>
  <c r="D4690" i="7"/>
  <c r="D4691" i="7"/>
  <c r="S107" i="6" s="1"/>
  <c r="W107" i="6" s="1"/>
  <c r="D4692" i="7"/>
  <c r="S405" i="6" s="1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S571" i="6" s="1"/>
  <c r="W571" i="6" s="1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S531" i="6" s="1"/>
  <c r="W531" i="6" s="1"/>
  <c r="D4760" i="7"/>
  <c r="D4761" i="7"/>
  <c r="D4762" i="7"/>
  <c r="D4763" i="7"/>
  <c r="D4764" i="7"/>
  <c r="S436" i="6" s="1"/>
  <c r="W436" i="6" s="1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S626" i="6" s="1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S474" i="6" s="1"/>
  <c r="W474" i="6" s="1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S435" i="6" s="1"/>
  <c r="W435" i="6" s="1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S628" i="6" s="1"/>
  <c r="W628" i="6" s="1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S347" i="6" s="1"/>
  <c r="D4961" i="7"/>
  <c r="D4962" i="7"/>
  <c r="D4963" i="7"/>
  <c r="D4964" i="7"/>
  <c r="D4965" i="7"/>
  <c r="D4966" i="7"/>
  <c r="D4967" i="7"/>
  <c r="S476" i="6" s="1"/>
  <c r="W476" i="6" s="1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S147" i="6" s="1"/>
  <c r="W147" i="6" s="1"/>
  <c r="D4990" i="7"/>
  <c r="D4991" i="7"/>
  <c r="D4992" i="7"/>
  <c r="S92" i="6" s="1"/>
  <c r="D4993" i="7"/>
  <c r="D4994" i="7"/>
  <c r="D4995" i="7"/>
  <c r="D4996" i="7"/>
  <c r="D4997" i="7"/>
  <c r="D4998" i="7"/>
  <c r="D4999" i="7"/>
  <c r="D5000" i="7"/>
  <c r="D5001" i="7"/>
  <c r="D5002" i="7"/>
  <c r="D5003" i="7"/>
  <c r="D5004" i="7"/>
  <c r="D5005" i="7"/>
  <c r="D5006" i="7"/>
  <c r="D5007" i="7"/>
  <c r="D5008" i="7"/>
  <c r="D5009" i="7"/>
  <c r="D5010" i="7"/>
  <c r="D5011" i="7"/>
  <c r="D5012" i="7"/>
  <c r="D5013" i="7"/>
  <c r="D5014" i="7"/>
  <c r="D5015" i="7"/>
  <c r="D5016" i="7"/>
  <c r="D5017" i="7"/>
  <c r="D5018" i="7"/>
  <c r="D5019" i="7"/>
  <c r="D5020" i="7"/>
  <c r="D5021" i="7"/>
  <c r="D5022" i="7"/>
  <c r="D5023" i="7"/>
  <c r="D5024" i="7"/>
  <c r="D5025" i="7"/>
  <c r="D5026" i="7"/>
  <c r="D5027" i="7"/>
  <c r="D5028" i="7"/>
  <c r="D5029" i="7"/>
  <c r="D5030" i="7"/>
  <c r="D5031" i="7"/>
  <c r="D5032" i="7"/>
  <c r="D5033" i="7"/>
  <c r="D5034" i="7"/>
  <c r="D5035" i="7"/>
  <c r="D5036" i="7"/>
  <c r="D5037" i="7"/>
  <c r="D5038" i="7"/>
  <c r="D5039" i="7"/>
  <c r="D5040" i="7"/>
  <c r="D5041" i="7"/>
  <c r="D5042" i="7"/>
  <c r="D5043" i="7"/>
  <c r="D5044" i="7"/>
  <c r="D5045" i="7"/>
  <c r="D5046" i="7"/>
  <c r="D5047" i="7"/>
  <c r="D5048" i="7"/>
  <c r="D5049" i="7"/>
  <c r="D5050" i="7"/>
  <c r="D5051" i="7"/>
  <c r="D5052" i="7"/>
  <c r="D5053" i="7"/>
  <c r="D5054" i="7"/>
  <c r="D5055" i="7"/>
  <c r="D5056" i="7"/>
  <c r="D5057" i="7"/>
  <c r="D5058" i="7"/>
  <c r="D5059" i="7"/>
  <c r="D5060" i="7"/>
  <c r="D5061" i="7"/>
  <c r="D5062" i="7"/>
  <c r="D5063" i="7"/>
  <c r="D5064" i="7"/>
  <c r="D5065" i="7"/>
  <c r="D5066" i="7"/>
  <c r="D5067" i="7"/>
  <c r="S146" i="6" s="1"/>
  <c r="W146" i="6" s="1"/>
  <c r="D5068" i="7"/>
  <c r="D5069" i="7"/>
  <c r="D5070" i="7"/>
  <c r="D5071" i="7"/>
  <c r="D5072" i="7"/>
  <c r="D5073" i="7"/>
  <c r="D5074" i="7"/>
  <c r="D5075" i="7"/>
  <c r="D5076" i="7"/>
  <c r="D5077" i="7"/>
  <c r="D5078" i="7"/>
  <c r="D5079" i="7"/>
  <c r="S325" i="6" s="1"/>
  <c r="D5080" i="7"/>
  <c r="S326" i="6" s="1"/>
  <c r="W326" i="6" s="1"/>
  <c r="D5081" i="7"/>
  <c r="D5082" i="7"/>
  <c r="D5083" i="7"/>
  <c r="D5084" i="7"/>
  <c r="D5085" i="7"/>
  <c r="D5086" i="7"/>
  <c r="D5087" i="7"/>
  <c r="D5088" i="7"/>
  <c r="D5089" i="7"/>
  <c r="D5090" i="7"/>
  <c r="D5091" i="7"/>
  <c r="D5092" i="7"/>
  <c r="D5093" i="7"/>
  <c r="D5094" i="7"/>
  <c r="D5095" i="7"/>
  <c r="D5096" i="7"/>
  <c r="D5097" i="7"/>
  <c r="D5098" i="7"/>
  <c r="D5099" i="7"/>
  <c r="D5100" i="7"/>
  <c r="D5101" i="7"/>
  <c r="D5102" i="7"/>
  <c r="D5103" i="7"/>
  <c r="D5104" i="7"/>
  <c r="D5105" i="7"/>
  <c r="D5106" i="7"/>
  <c r="D5107" i="7"/>
  <c r="D5108" i="7"/>
  <c r="D5109" i="7"/>
  <c r="D5110" i="7"/>
  <c r="D5111" i="7"/>
  <c r="D5112" i="7"/>
  <c r="D5113" i="7"/>
  <c r="D5114" i="7"/>
  <c r="S321" i="6" s="1"/>
  <c r="D5115" i="7"/>
  <c r="S322" i="6" s="1"/>
  <c r="D5116" i="7"/>
  <c r="S323" i="6" s="1"/>
  <c r="D5117" i="7"/>
  <c r="D5118" i="7"/>
  <c r="D5119" i="7"/>
  <c r="D5120" i="7"/>
  <c r="D5121" i="7"/>
  <c r="D5122" i="7"/>
  <c r="D5123" i="7"/>
  <c r="D5124" i="7"/>
  <c r="D5125" i="7"/>
  <c r="D5126" i="7"/>
  <c r="D5127" i="7"/>
  <c r="D5128" i="7"/>
  <c r="D5129" i="7"/>
  <c r="D5130" i="7"/>
  <c r="D5131" i="7"/>
  <c r="D5132" i="7"/>
  <c r="D5133" i="7"/>
  <c r="D5134" i="7"/>
  <c r="D5135" i="7"/>
  <c r="D5136" i="7"/>
  <c r="D5137" i="7"/>
  <c r="D5138" i="7"/>
  <c r="D5139" i="7"/>
  <c r="D5140" i="7"/>
  <c r="D5141" i="7"/>
  <c r="D5142" i="7"/>
  <c r="D5143" i="7"/>
  <c r="D5144" i="7"/>
  <c r="D5145" i="7"/>
  <c r="D5146" i="7"/>
  <c r="D5147" i="7"/>
  <c r="D5148" i="7"/>
  <c r="D5149" i="7"/>
  <c r="D5150" i="7"/>
  <c r="D5151" i="7"/>
  <c r="D5152" i="7"/>
  <c r="D5153" i="7"/>
  <c r="D5154" i="7"/>
  <c r="D5155" i="7"/>
  <c r="D5156" i="7"/>
  <c r="D5157" i="7"/>
  <c r="S320" i="6" s="1"/>
  <c r="W320" i="6" s="1"/>
  <c r="D5158" i="7"/>
  <c r="D5159" i="7"/>
  <c r="D5160" i="7"/>
  <c r="D5161" i="7"/>
  <c r="D5162" i="7"/>
  <c r="D5163" i="7"/>
  <c r="D5164" i="7"/>
  <c r="D5165" i="7"/>
  <c r="D5166" i="7"/>
  <c r="D5167" i="7"/>
  <c r="D5168" i="7"/>
  <c r="D5169" i="7"/>
  <c r="D5170" i="7"/>
  <c r="D5171" i="7"/>
  <c r="D5172" i="7"/>
  <c r="D5173" i="7"/>
  <c r="D5174" i="7"/>
  <c r="D5175" i="7"/>
  <c r="D5176" i="7"/>
  <c r="D5177" i="7"/>
  <c r="D5178" i="7"/>
  <c r="D5179" i="7"/>
  <c r="D5180" i="7"/>
  <c r="S639" i="6" s="1"/>
  <c r="W639" i="6" s="1"/>
  <c r="D5181" i="7"/>
  <c r="S640" i="6" s="1"/>
  <c r="W640" i="6" s="1"/>
  <c r="D5182" i="7"/>
  <c r="D5183" i="7"/>
  <c r="D5184" i="7"/>
  <c r="D5185" i="7"/>
  <c r="D5186" i="7"/>
  <c r="D5187" i="7"/>
  <c r="D5188" i="7"/>
  <c r="D5189" i="7"/>
  <c r="D5190" i="7"/>
  <c r="D5191" i="7"/>
  <c r="D5192" i="7"/>
  <c r="D5193" i="7"/>
  <c r="D5194" i="7"/>
  <c r="D5195" i="7"/>
  <c r="D5196" i="7"/>
  <c r="D5197" i="7"/>
  <c r="D5198" i="7"/>
  <c r="D5199" i="7"/>
  <c r="D5200" i="7"/>
  <c r="D5201" i="7"/>
  <c r="D5202" i="7"/>
  <c r="D5203" i="7"/>
  <c r="S278" i="6" s="1"/>
  <c r="W278" i="6" s="1"/>
  <c r="D5204" i="7"/>
  <c r="S641" i="6" s="1"/>
  <c r="W641" i="6" s="1"/>
  <c r="D5205" i="7"/>
  <c r="D5206" i="7"/>
  <c r="D5207" i="7"/>
  <c r="D5208" i="7"/>
  <c r="D5209" i="7"/>
  <c r="D5210" i="7"/>
  <c r="D5211" i="7"/>
  <c r="D5212" i="7"/>
  <c r="D5213" i="7"/>
  <c r="D5214" i="7"/>
  <c r="D5215" i="7"/>
  <c r="D5216" i="7"/>
  <c r="D5217" i="7"/>
  <c r="D5218" i="7"/>
  <c r="D5219" i="7"/>
  <c r="D5220" i="7"/>
  <c r="D5221" i="7"/>
  <c r="D5222" i="7"/>
  <c r="D5223" i="7"/>
  <c r="D5224" i="7"/>
  <c r="D5225" i="7"/>
  <c r="D5226" i="7"/>
  <c r="D5227" i="7"/>
  <c r="D5228" i="7"/>
  <c r="D5229" i="7"/>
  <c r="D5230" i="7"/>
  <c r="D5231" i="7"/>
  <c r="D5232" i="7"/>
  <c r="D5233" i="7"/>
  <c r="D5234" i="7"/>
  <c r="D5235" i="7"/>
  <c r="D5236" i="7"/>
  <c r="D5237" i="7"/>
  <c r="S642" i="6" s="1"/>
  <c r="W642" i="6" s="1"/>
  <c r="D5238" i="7"/>
  <c r="D5239" i="7"/>
  <c r="D5240" i="7"/>
  <c r="D5241" i="7"/>
  <c r="D5242" i="7"/>
  <c r="D5243" i="7"/>
  <c r="D5244" i="7"/>
  <c r="D5245" i="7"/>
  <c r="D5246" i="7"/>
  <c r="D5247" i="7"/>
  <c r="D5248" i="7"/>
  <c r="D5249" i="7"/>
  <c r="D5250" i="7"/>
  <c r="D5251" i="7"/>
  <c r="D5252" i="7"/>
  <c r="D5253" i="7"/>
  <c r="D5254" i="7"/>
  <c r="D5255" i="7"/>
  <c r="D5256" i="7"/>
  <c r="D5257" i="7"/>
  <c r="D5258" i="7"/>
  <c r="D5259" i="7"/>
  <c r="D5260" i="7"/>
  <c r="D5261" i="7"/>
  <c r="S270" i="6" s="1"/>
  <c r="W270" i="6" s="1"/>
  <c r="D5262" i="7"/>
  <c r="D5263" i="7"/>
  <c r="D5264" i="7"/>
  <c r="D5265" i="7"/>
  <c r="D5266" i="7"/>
  <c r="D5267" i="7"/>
  <c r="D5268" i="7"/>
  <c r="D5269" i="7"/>
  <c r="D5270" i="7"/>
  <c r="D5271" i="7"/>
  <c r="D5272" i="7"/>
  <c r="D5273" i="7"/>
  <c r="D5274" i="7"/>
  <c r="D5275" i="7"/>
  <c r="D5276" i="7"/>
  <c r="D5277" i="7"/>
  <c r="D5278" i="7"/>
  <c r="D5279" i="7"/>
  <c r="D5280" i="7"/>
  <c r="D5281" i="7"/>
  <c r="D5282" i="7"/>
  <c r="D5283" i="7"/>
  <c r="D5284" i="7"/>
  <c r="D5285" i="7"/>
  <c r="S189" i="6" s="1"/>
  <c r="D5286" i="7"/>
  <c r="D5287" i="7"/>
  <c r="D5288" i="7"/>
  <c r="D5289" i="7"/>
  <c r="D5290" i="7"/>
  <c r="D5291" i="7"/>
  <c r="D5292" i="7"/>
  <c r="D5293" i="7"/>
  <c r="D5294" i="7"/>
  <c r="D5295" i="7"/>
  <c r="D5296" i="7"/>
  <c r="D5297" i="7"/>
  <c r="D5298" i="7"/>
  <c r="D5299" i="7"/>
  <c r="D5300" i="7"/>
  <c r="D5301" i="7"/>
  <c r="D5302" i="7"/>
  <c r="D5303" i="7"/>
  <c r="D5304" i="7"/>
  <c r="D5305" i="7"/>
  <c r="D5306" i="7"/>
  <c r="D5307" i="7"/>
  <c r="D5308" i="7"/>
  <c r="D5309" i="7"/>
  <c r="D5310" i="7"/>
  <c r="D5311" i="7"/>
  <c r="D5312" i="7"/>
  <c r="D5313" i="7"/>
  <c r="D5314" i="7"/>
  <c r="D5315" i="7"/>
  <c r="D5316" i="7"/>
  <c r="D5317" i="7"/>
  <c r="D5318" i="7"/>
  <c r="D5319" i="7"/>
  <c r="D5320" i="7"/>
  <c r="D5321" i="7"/>
  <c r="D5322" i="7"/>
  <c r="D5323" i="7"/>
  <c r="D5324" i="7"/>
  <c r="D5325" i="7"/>
  <c r="D5326" i="7"/>
  <c r="D5327" i="7"/>
  <c r="D5328" i="7"/>
  <c r="D5329" i="7"/>
  <c r="D5330" i="7"/>
  <c r="D5331" i="7"/>
  <c r="D5332" i="7"/>
  <c r="D5333" i="7"/>
  <c r="D5334" i="7"/>
  <c r="D5335" i="7"/>
  <c r="S319" i="6" s="1"/>
  <c r="W319" i="6" s="1"/>
  <c r="D5336" i="7"/>
  <c r="D5337" i="7"/>
  <c r="D5338" i="7"/>
  <c r="D5339" i="7"/>
  <c r="D5340" i="7"/>
  <c r="D5341" i="7"/>
  <c r="D5342" i="7"/>
  <c r="D5343" i="7"/>
  <c r="S570" i="6" s="1"/>
  <c r="W570" i="6" s="1"/>
  <c r="D5344" i="7"/>
  <c r="D5345" i="7"/>
  <c r="D5346" i="7"/>
  <c r="D5347" i="7"/>
  <c r="D5348" i="7"/>
  <c r="D5349" i="7"/>
  <c r="D5350" i="7"/>
  <c r="D5351" i="7"/>
  <c r="D5352" i="7"/>
  <c r="D5353" i="7"/>
  <c r="D5354" i="7"/>
  <c r="D5355" i="7"/>
  <c r="D5356" i="7"/>
  <c r="S441" i="6" s="1"/>
  <c r="D5357" i="7"/>
  <c r="S442" i="6" s="1"/>
  <c r="D5358" i="7"/>
  <c r="D5359" i="7"/>
  <c r="D5360" i="7"/>
  <c r="D5361" i="7"/>
  <c r="D5362" i="7"/>
  <c r="D5363" i="7"/>
  <c r="D5364" i="7"/>
  <c r="D5365" i="7"/>
  <c r="D5366" i="7"/>
  <c r="D5367" i="7"/>
  <c r="D5368" i="7"/>
  <c r="D5369" i="7"/>
  <c r="D5370" i="7"/>
  <c r="D5371" i="7"/>
  <c r="D5372" i="7"/>
  <c r="D5373" i="7"/>
  <c r="D5374" i="7"/>
  <c r="D5375" i="7"/>
  <c r="D5376" i="7"/>
  <c r="D5377" i="7"/>
  <c r="D5378" i="7"/>
  <c r="D5379" i="7"/>
  <c r="D5380" i="7"/>
  <c r="D5381" i="7"/>
  <c r="D5382" i="7"/>
  <c r="D5383" i="7"/>
  <c r="D5384" i="7"/>
  <c r="D5385" i="7"/>
  <c r="D5386" i="7"/>
  <c r="D5387" i="7"/>
  <c r="D5388" i="7"/>
  <c r="D5389" i="7"/>
  <c r="D5390" i="7"/>
  <c r="D5391" i="7"/>
  <c r="D5392" i="7"/>
  <c r="D5393" i="7"/>
  <c r="D5394" i="7"/>
  <c r="D5395" i="7"/>
  <c r="D5396" i="7"/>
  <c r="D5397" i="7"/>
  <c r="D5398" i="7"/>
  <c r="D5399" i="7"/>
  <c r="S386" i="6" s="1"/>
  <c r="W386" i="6" s="1"/>
  <c r="D5400" i="7"/>
  <c r="D5401" i="7"/>
  <c r="S485" i="6" s="1"/>
  <c r="W485" i="6" s="1"/>
  <c r="D5402" i="7"/>
  <c r="D5403" i="7"/>
  <c r="D5404" i="7"/>
  <c r="D5405" i="7"/>
  <c r="D5406" i="7"/>
  <c r="D5407" i="7"/>
  <c r="D5408" i="7"/>
  <c r="D5409" i="7"/>
  <c r="D5410" i="7"/>
  <c r="D5411" i="7"/>
  <c r="S646" i="6" s="1"/>
  <c r="W646" i="6" s="1"/>
  <c r="D5412" i="7"/>
  <c r="D5413" i="7"/>
  <c r="S647" i="6" s="1"/>
  <c r="D5414" i="7"/>
  <c r="D5415" i="7"/>
  <c r="D5416" i="7"/>
  <c r="S384" i="6" s="1"/>
  <c r="D5417" i="7"/>
  <c r="D5418" i="7"/>
  <c r="D5419" i="7"/>
  <c r="D5420" i="7"/>
  <c r="D5421" i="7"/>
  <c r="D5422" i="7"/>
  <c r="D5423" i="7"/>
  <c r="D5424" i="7"/>
  <c r="D5425" i="7"/>
  <c r="D5426" i="7"/>
  <c r="D5427" i="7"/>
  <c r="D5428" i="7"/>
  <c r="D5429" i="7"/>
  <c r="D5430" i="7"/>
  <c r="D5431" i="7"/>
  <c r="D5432" i="7"/>
  <c r="D5433" i="7"/>
  <c r="D5434" i="7"/>
  <c r="D5435" i="7"/>
  <c r="S643" i="6" s="1"/>
  <c r="W643" i="6" s="1"/>
  <c r="D5436" i="7"/>
  <c r="D5437" i="7"/>
  <c r="D5438" i="7"/>
  <c r="D5439" i="7"/>
  <c r="D5440" i="7"/>
  <c r="S569" i="6" s="1"/>
  <c r="W569" i="6" s="1"/>
  <c r="D5441" i="7"/>
  <c r="D5442" i="7"/>
  <c r="D5443" i="7"/>
  <c r="D5444" i="7"/>
  <c r="D5445" i="7"/>
  <c r="S51" i="6" s="1"/>
  <c r="W51" i="6" s="1"/>
  <c r="D5446" i="7"/>
  <c r="D5447" i="7"/>
  <c r="D5448" i="7"/>
  <c r="D5449" i="7"/>
  <c r="D5450" i="7"/>
  <c r="D5451" i="7"/>
  <c r="D5452" i="7"/>
  <c r="D5453" i="7"/>
  <c r="D5454" i="7"/>
  <c r="D5455" i="7"/>
  <c r="D5456" i="7"/>
  <c r="S644" i="6" s="1"/>
  <c r="W644" i="6" s="1"/>
  <c r="D5457" i="7"/>
  <c r="D5458" i="7"/>
  <c r="D5459" i="7"/>
  <c r="D5460" i="7"/>
  <c r="D5461" i="7"/>
  <c r="D5462" i="7"/>
  <c r="D5463" i="7"/>
  <c r="D5464" i="7"/>
  <c r="S8" i="6" s="1"/>
  <c r="D5465" i="7"/>
  <c r="D5466" i="7"/>
  <c r="S10" i="6" s="1"/>
  <c r="D5467" i="7"/>
  <c r="D5468" i="7"/>
  <c r="D5469" i="7"/>
  <c r="D5470" i="7"/>
  <c r="D5471" i="7"/>
  <c r="D5472" i="7"/>
  <c r="D5473" i="7"/>
  <c r="D5474" i="7"/>
  <c r="D5475" i="7"/>
  <c r="D5476" i="7"/>
  <c r="D5477" i="7"/>
  <c r="D5478" i="7"/>
  <c r="D5479" i="7"/>
  <c r="D5480" i="7"/>
  <c r="D5481" i="7"/>
  <c r="D5482" i="7"/>
  <c r="D5483" i="7"/>
  <c r="D5484" i="7"/>
  <c r="D5485" i="7"/>
  <c r="D5486" i="7"/>
  <c r="D5487" i="7"/>
  <c r="D5488" i="7"/>
  <c r="D5489" i="7"/>
  <c r="D5490" i="7"/>
  <c r="D5491" i="7"/>
  <c r="D5492" i="7"/>
  <c r="D5493" i="7"/>
  <c r="D5494" i="7"/>
  <c r="D5495" i="7"/>
  <c r="D5496" i="7"/>
  <c r="D5497" i="7"/>
  <c r="D5498" i="7"/>
  <c r="D5499" i="7"/>
  <c r="D5500" i="7"/>
  <c r="D5501" i="7"/>
  <c r="D5502" i="7"/>
  <c r="D5503" i="7"/>
  <c r="D5504" i="7"/>
  <c r="D5505" i="7"/>
  <c r="D5506" i="7"/>
  <c r="D5507" i="7"/>
  <c r="D5508" i="7"/>
  <c r="D5509" i="7"/>
  <c r="D5510" i="7"/>
  <c r="D5511" i="7"/>
  <c r="D5512" i="7"/>
  <c r="D5513" i="7"/>
  <c r="D5514" i="7"/>
  <c r="D5515" i="7"/>
  <c r="D5516" i="7"/>
  <c r="D5517" i="7"/>
  <c r="D5518" i="7"/>
  <c r="D5519" i="7"/>
  <c r="D5520" i="7"/>
  <c r="D5521" i="7"/>
  <c r="D5522" i="7"/>
  <c r="D5523" i="7"/>
  <c r="D5524" i="7"/>
  <c r="D5525" i="7"/>
  <c r="D5526" i="7"/>
  <c r="D5527" i="7"/>
  <c r="D5528" i="7"/>
  <c r="D5529" i="7"/>
  <c r="S374" i="6" s="1"/>
  <c r="W374" i="6" s="1"/>
  <c r="D5530" i="7"/>
  <c r="D5531" i="7"/>
  <c r="D5532" i="7"/>
  <c r="D5533" i="7"/>
  <c r="D5534" i="7"/>
  <c r="D5535" i="7"/>
  <c r="D5536" i="7"/>
  <c r="D5537" i="7"/>
  <c r="D5538" i="7"/>
  <c r="D5539" i="7"/>
  <c r="D5540" i="7"/>
  <c r="D5541" i="7"/>
  <c r="D5542" i="7"/>
  <c r="D5543" i="7"/>
  <c r="D5544" i="7"/>
  <c r="D5545" i="7"/>
  <c r="D5546" i="7"/>
  <c r="D5547" i="7"/>
  <c r="D5548" i="7"/>
  <c r="D5549" i="7"/>
  <c r="D5550" i="7"/>
  <c r="D5551" i="7"/>
  <c r="D5552" i="7"/>
  <c r="D5553" i="7"/>
  <c r="D5554" i="7"/>
  <c r="D5555" i="7"/>
  <c r="D5556" i="7"/>
  <c r="D5557" i="7"/>
  <c r="D5558" i="7"/>
  <c r="D5559" i="7"/>
  <c r="D5560" i="7"/>
  <c r="D5561" i="7"/>
  <c r="D5562" i="7"/>
  <c r="D5563" i="7"/>
  <c r="D5564" i="7"/>
  <c r="D5565" i="7"/>
  <c r="D5566" i="7"/>
  <c r="D5567" i="7"/>
  <c r="D5568" i="7"/>
  <c r="D5569" i="7"/>
  <c r="D5570" i="7"/>
  <c r="D5571" i="7"/>
  <c r="S697" i="6" s="1"/>
  <c r="D5572" i="7"/>
  <c r="S696" i="6" s="1"/>
  <c r="D5573" i="7"/>
  <c r="D5574" i="7"/>
  <c r="D5575" i="7"/>
  <c r="D5576" i="7"/>
  <c r="D5577" i="7"/>
  <c r="D5578" i="7"/>
  <c r="D5579" i="7"/>
  <c r="S705" i="6" s="1"/>
  <c r="W705" i="6" s="1"/>
  <c r="D5580" i="7"/>
  <c r="D5581" i="7"/>
  <c r="D5582" i="7"/>
  <c r="D5583" i="7"/>
  <c r="D5584" i="7"/>
  <c r="D5585" i="7"/>
  <c r="D5586" i="7"/>
  <c r="D5587" i="7"/>
  <c r="D5588" i="7"/>
  <c r="D5589" i="7"/>
  <c r="D5590" i="7"/>
  <c r="D5591" i="7"/>
  <c r="D5592" i="7"/>
  <c r="D5593" i="7"/>
  <c r="D5594" i="7"/>
  <c r="D5595" i="7"/>
  <c r="D5596" i="7"/>
  <c r="D5597" i="7"/>
  <c r="D5598" i="7"/>
  <c r="D5599" i="7"/>
  <c r="D5600" i="7"/>
  <c r="D5601" i="7"/>
  <c r="S79" i="6" s="1"/>
  <c r="W79" i="6" s="1"/>
  <c r="D5602" i="7"/>
  <c r="D5603" i="7"/>
  <c r="D5604" i="7"/>
  <c r="D5605" i="7"/>
  <c r="D5606" i="7"/>
  <c r="D5607" i="7"/>
  <c r="D5608" i="7"/>
  <c r="S437" i="6" s="1"/>
  <c r="W437" i="6" s="1"/>
  <c r="D5609" i="7"/>
  <c r="D5610" i="7"/>
  <c r="D5611" i="7"/>
  <c r="D5612" i="7"/>
  <c r="D5613" i="7"/>
  <c r="S373" i="6" s="1"/>
  <c r="D5614" i="7"/>
  <c r="D5615" i="7"/>
  <c r="D5616" i="7"/>
  <c r="D5617" i="7"/>
  <c r="D5618" i="7"/>
  <c r="D5619" i="7"/>
  <c r="D5620" i="7"/>
  <c r="D5621" i="7"/>
  <c r="D5622" i="7"/>
  <c r="D5623" i="7"/>
  <c r="D5624" i="7"/>
  <c r="D5625" i="7"/>
  <c r="D5626" i="7"/>
  <c r="D5627" i="7"/>
  <c r="D5628" i="7"/>
  <c r="D5629" i="7"/>
  <c r="D5630" i="7"/>
  <c r="D5631" i="7"/>
  <c r="D5632" i="7"/>
  <c r="D5633" i="7"/>
  <c r="D5634" i="7"/>
  <c r="D5635" i="7"/>
  <c r="D5636" i="7"/>
  <c r="S80" i="6" s="1"/>
  <c r="W80" i="6" s="1"/>
  <c r="D5637" i="7"/>
  <c r="D5638" i="7"/>
  <c r="D5639" i="7"/>
  <c r="D5640" i="7"/>
  <c r="D5641" i="7"/>
  <c r="D5642" i="7"/>
  <c r="S311" i="6" s="1"/>
  <c r="D5643" i="7"/>
  <c r="D5644" i="7"/>
  <c r="D5645" i="7"/>
  <c r="S145" i="6" s="1"/>
  <c r="D5646" i="7"/>
  <c r="D5647" i="7"/>
  <c r="D5648" i="7"/>
  <c r="D5649" i="7"/>
  <c r="D5650" i="7"/>
  <c r="D5651" i="7"/>
  <c r="D5652" i="7"/>
  <c r="D5653" i="7"/>
  <c r="D5654" i="7"/>
  <c r="D5655" i="7"/>
  <c r="D5656" i="7"/>
  <c r="D5657" i="7"/>
  <c r="D5658" i="7"/>
  <c r="D5659" i="7"/>
  <c r="D5660" i="7"/>
  <c r="D5661" i="7"/>
  <c r="D5662" i="7"/>
  <c r="D5663" i="7"/>
  <c r="D5664" i="7"/>
  <c r="D5665" i="7"/>
  <c r="D5666" i="7"/>
  <c r="D5667" i="7"/>
  <c r="D5668" i="7"/>
  <c r="D5669" i="7"/>
  <c r="D5670" i="7"/>
  <c r="D5671" i="7"/>
  <c r="D5672" i="7"/>
  <c r="S689" i="6" s="1"/>
  <c r="W689" i="6" s="1"/>
  <c r="D5673" i="7"/>
  <c r="D5674" i="7"/>
  <c r="D5675" i="7"/>
  <c r="D5676" i="7"/>
  <c r="D5677" i="7"/>
  <c r="D5678" i="7"/>
  <c r="D5679" i="7"/>
  <c r="D5680" i="7"/>
  <c r="D5681" i="7"/>
  <c r="D5682" i="7"/>
  <c r="D5683" i="7"/>
  <c r="D5684" i="7"/>
  <c r="D5685" i="7"/>
  <c r="D5686" i="7"/>
  <c r="D5687" i="7"/>
  <c r="D5688" i="7"/>
  <c r="D5689" i="7"/>
  <c r="D5690" i="7"/>
  <c r="D5691" i="7"/>
  <c r="D5692" i="7"/>
  <c r="S645" i="6" s="1"/>
  <c r="D5693" i="7"/>
  <c r="D5694" i="7"/>
  <c r="S503" i="6" s="1"/>
  <c r="D5695" i="7"/>
  <c r="D5696" i="7"/>
  <c r="D5697" i="7"/>
  <c r="D5698" i="7"/>
  <c r="D5699" i="7"/>
  <c r="D5700" i="7"/>
  <c r="D5701" i="7"/>
  <c r="D5702" i="7"/>
  <c r="D5703" i="7"/>
  <c r="D5704" i="7"/>
  <c r="D5705" i="7"/>
  <c r="D5706" i="7"/>
  <c r="S313" i="6" s="1"/>
  <c r="D5707" i="7"/>
  <c r="D5708" i="7"/>
  <c r="D5709" i="7"/>
  <c r="D5710" i="7"/>
  <c r="D5711" i="7"/>
  <c r="D5712" i="7"/>
  <c r="D5713" i="7"/>
  <c r="D5714" i="7"/>
  <c r="D5715" i="7"/>
  <c r="D5716" i="7"/>
  <c r="D5717" i="7"/>
  <c r="D5718" i="7"/>
  <c r="D5719" i="7"/>
  <c r="D5720" i="7"/>
  <c r="D5721" i="7"/>
  <c r="D5722" i="7"/>
  <c r="D5723" i="7"/>
  <c r="D5724" i="7"/>
  <c r="D5725" i="7"/>
  <c r="D5726" i="7"/>
  <c r="D5727" i="7"/>
  <c r="D5728" i="7"/>
  <c r="D5729" i="7"/>
  <c r="D5730" i="7"/>
  <c r="D5731" i="7"/>
  <c r="D5732" i="7"/>
  <c r="D5733" i="7"/>
  <c r="D5734" i="7"/>
  <c r="D5735" i="7"/>
  <c r="D5736" i="7"/>
  <c r="D5737" i="7"/>
  <c r="D5738" i="7"/>
  <c r="D5739" i="7"/>
  <c r="D5740" i="7"/>
  <c r="D5741" i="7"/>
  <c r="D5742" i="7"/>
  <c r="D5743" i="7"/>
  <c r="D5744" i="7"/>
  <c r="D5745" i="7"/>
  <c r="D5746" i="7"/>
  <c r="S312" i="6" s="1"/>
  <c r="W312" i="6" s="1"/>
  <c r="D5747" i="7"/>
  <c r="D5748" i="7"/>
  <c r="D5749" i="7"/>
  <c r="D5750" i="7"/>
  <c r="S142" i="6" s="1"/>
  <c r="D5751" i="7"/>
  <c r="D5752" i="7"/>
  <c r="D5753" i="7"/>
  <c r="D5754" i="7"/>
  <c r="D5755" i="7"/>
  <c r="D5756" i="7"/>
  <c r="D5757" i="7"/>
  <c r="D5758" i="7"/>
  <c r="D5759" i="7"/>
  <c r="D5760" i="7"/>
  <c r="D5761" i="7"/>
  <c r="D5762" i="7"/>
  <c r="D5763" i="7"/>
  <c r="D5764" i="7"/>
  <c r="D5765" i="7"/>
  <c r="D5766" i="7"/>
  <c r="D5767" i="7"/>
  <c r="D5768" i="7"/>
  <c r="D5769" i="7"/>
  <c r="D5770" i="7"/>
  <c r="D5771" i="7"/>
  <c r="D5772" i="7"/>
  <c r="D5773" i="7"/>
  <c r="D5774" i="7"/>
  <c r="D5775" i="7"/>
  <c r="D5776" i="7"/>
  <c r="D5777" i="7"/>
  <c r="D5778" i="7"/>
  <c r="D5779" i="7"/>
  <c r="D5780" i="7"/>
  <c r="D5781" i="7"/>
  <c r="D5782" i="7"/>
  <c r="D5783" i="7"/>
  <c r="D5784" i="7"/>
  <c r="D5785" i="7"/>
  <c r="D5786" i="7"/>
  <c r="D5787" i="7"/>
  <c r="D5788" i="7"/>
  <c r="D5789" i="7"/>
  <c r="D5790" i="7"/>
  <c r="D5791" i="7"/>
  <c r="D5792" i="7"/>
  <c r="D5793" i="7"/>
  <c r="D5794" i="7"/>
  <c r="D5795" i="7"/>
  <c r="D5796" i="7"/>
  <c r="D5797" i="7"/>
  <c r="D5798" i="7"/>
  <c r="D5799" i="7"/>
  <c r="D5800" i="7"/>
  <c r="D5801" i="7"/>
  <c r="D5802" i="7"/>
  <c r="D5803" i="7"/>
  <c r="D5804" i="7"/>
  <c r="D5805" i="7"/>
  <c r="D5806" i="7"/>
  <c r="D5807" i="7"/>
  <c r="D5808" i="7"/>
  <c r="S9" i="6" s="1"/>
  <c r="D5809" i="7"/>
  <c r="D5810" i="7"/>
  <c r="D5811" i="7"/>
  <c r="D5812" i="7"/>
  <c r="D5813" i="7"/>
  <c r="D5814" i="7"/>
  <c r="D5815" i="7"/>
  <c r="D5816" i="7"/>
  <c r="D5817" i="7"/>
  <c r="S568" i="6" s="1"/>
  <c r="W568" i="6" s="1"/>
  <c r="D5818" i="7"/>
  <c r="D5819" i="7"/>
  <c r="D5820" i="7"/>
  <c r="D5821" i="7"/>
  <c r="D5822" i="7"/>
  <c r="D5823" i="7"/>
  <c r="D5824" i="7"/>
  <c r="D5825" i="7"/>
  <c r="S650" i="6" s="1"/>
  <c r="W650" i="6" s="1"/>
  <c r="D5826" i="7"/>
  <c r="D5827" i="7"/>
  <c r="D5828" i="7"/>
  <c r="D5829" i="7"/>
  <c r="D5830" i="7"/>
  <c r="D5831" i="7"/>
  <c r="D5832" i="7"/>
  <c r="D5833" i="7"/>
  <c r="D5834" i="7"/>
  <c r="D5835" i="7"/>
  <c r="D5836" i="7"/>
  <c r="S651" i="6" s="1"/>
  <c r="W651" i="6" s="1"/>
  <c r="D5837" i="7"/>
  <c r="D5838" i="7"/>
  <c r="D5839" i="7"/>
  <c r="D5840" i="7"/>
  <c r="D5841" i="7"/>
  <c r="D5842" i="7"/>
  <c r="D5843" i="7"/>
  <c r="D5844" i="7"/>
  <c r="S50" i="6" s="1"/>
  <c r="W50" i="6" s="1"/>
  <c r="D5845" i="7"/>
  <c r="D5846" i="7"/>
  <c r="D5847" i="7"/>
  <c r="D5848" i="7"/>
  <c r="D5849" i="7"/>
  <c r="D5850" i="7"/>
  <c r="D5851" i="7"/>
  <c r="D5852" i="7"/>
  <c r="D5853" i="7"/>
  <c r="D5854" i="7"/>
  <c r="D5855" i="7"/>
  <c r="D5856" i="7"/>
  <c r="D5857" i="7"/>
  <c r="D5858" i="7"/>
  <c r="D5859" i="7"/>
  <c r="D5860" i="7"/>
  <c r="D5861" i="7"/>
  <c r="D5862" i="7"/>
  <c r="D5863" i="7"/>
  <c r="D5864" i="7"/>
  <c r="D5865" i="7"/>
  <c r="D5866" i="7"/>
  <c r="D5867" i="7"/>
  <c r="D5868" i="7"/>
  <c r="D5869" i="7"/>
  <c r="D5870" i="7"/>
  <c r="S165" i="6" s="1"/>
  <c r="D5871" i="7"/>
  <c r="D5872" i="7"/>
  <c r="D5873" i="7"/>
  <c r="S261" i="6" s="1"/>
  <c r="D5874" i="7"/>
  <c r="D5875" i="7"/>
  <c r="S652" i="6" s="1"/>
  <c r="W652" i="6" s="1"/>
  <c r="D5876" i="7"/>
  <c r="S653" i="6" s="1"/>
  <c r="W653" i="6" s="1"/>
  <c r="D5877" i="7"/>
  <c r="D5878" i="7"/>
  <c r="D5879" i="7"/>
  <c r="D5880" i="7"/>
  <c r="D5881" i="7"/>
  <c r="D5882" i="7"/>
  <c r="D5883" i="7"/>
  <c r="D5884" i="7"/>
  <c r="D5885" i="7"/>
  <c r="D5886" i="7"/>
  <c r="D5887" i="7"/>
  <c r="D5888" i="7"/>
  <c r="D5889" i="7"/>
  <c r="D5890" i="7"/>
  <c r="D5891" i="7"/>
  <c r="D5892" i="7"/>
  <c r="D5893" i="7"/>
  <c r="D5894" i="7"/>
  <c r="D5895" i="7"/>
  <c r="D5896" i="7"/>
  <c r="D5897" i="7"/>
  <c r="D5898" i="7"/>
  <c r="D5899" i="7"/>
  <c r="D5900" i="7"/>
  <c r="D5901" i="7"/>
  <c r="D5902" i="7"/>
  <c r="D5903" i="7"/>
  <c r="D5904" i="7"/>
  <c r="D5905" i="7"/>
  <c r="D5906" i="7"/>
  <c r="D5907" i="7"/>
  <c r="D5908" i="7"/>
  <c r="D5909" i="7"/>
  <c r="D5910" i="7"/>
  <c r="D5911" i="7"/>
  <c r="D5912" i="7"/>
  <c r="D5913" i="7"/>
  <c r="D5914" i="7"/>
  <c r="D5915" i="7"/>
  <c r="D5916" i="7"/>
  <c r="D5917" i="7"/>
  <c r="D5918" i="7"/>
  <c r="D5919" i="7"/>
  <c r="D5920" i="7"/>
  <c r="D5921" i="7"/>
  <c r="D5922" i="7"/>
  <c r="D5923" i="7"/>
  <c r="D5924" i="7"/>
  <c r="D5925" i="7"/>
  <c r="D5926" i="7"/>
  <c r="D5927" i="7"/>
  <c r="D5928" i="7"/>
  <c r="D5929" i="7"/>
  <c r="D5930" i="7"/>
  <c r="D5931" i="7"/>
  <c r="D5932" i="7"/>
  <c r="D5933" i="7"/>
  <c r="D5934" i="7"/>
  <c r="D5935" i="7"/>
  <c r="S649" i="6" s="1"/>
  <c r="D5936" i="7"/>
  <c r="D5937" i="7"/>
  <c r="D5938" i="7"/>
  <c r="D5939" i="7"/>
  <c r="D5940" i="7"/>
  <c r="D5941" i="7"/>
  <c r="D5942" i="7"/>
  <c r="D5943" i="7"/>
  <c r="D5944" i="7"/>
  <c r="D5945" i="7"/>
  <c r="D5946" i="7"/>
  <c r="D5947" i="7"/>
  <c r="D5948" i="7"/>
  <c r="D5949" i="7"/>
  <c r="D5950" i="7"/>
  <c r="D5951" i="7"/>
  <c r="D5952" i="7"/>
  <c r="D5953" i="7"/>
  <c r="D5954" i="7"/>
  <c r="D5955" i="7"/>
  <c r="D5956" i="7"/>
  <c r="D5957" i="7"/>
  <c r="D5958" i="7"/>
  <c r="D5959" i="7"/>
  <c r="D5960" i="7"/>
  <c r="D5961" i="7"/>
  <c r="D5962" i="7"/>
  <c r="D5963" i="7"/>
  <c r="D5964" i="7"/>
  <c r="S585" i="6" s="1"/>
  <c r="D5965" i="7"/>
  <c r="D5966" i="7"/>
  <c r="D5967" i="7"/>
  <c r="D5968" i="7"/>
  <c r="D5969" i="7"/>
  <c r="D5970" i="7"/>
  <c r="D5971" i="7"/>
  <c r="D5972" i="7"/>
  <c r="D5973" i="7"/>
  <c r="D5974" i="7"/>
  <c r="D5975" i="7"/>
  <c r="S310" i="6" s="1"/>
  <c r="W310" i="6" s="1"/>
  <c r="D5976" i="7"/>
  <c r="D5977" i="7"/>
  <c r="D5978" i="7"/>
  <c r="D5979" i="7"/>
  <c r="D5980" i="7"/>
  <c r="D5981" i="7"/>
  <c r="D5982" i="7"/>
  <c r="D5983" i="7"/>
  <c r="D5984" i="7"/>
  <c r="D5985" i="7"/>
  <c r="D5986" i="7"/>
  <c r="D5987" i="7"/>
  <c r="D5988" i="7"/>
  <c r="D5989" i="7"/>
  <c r="D5990" i="7"/>
  <c r="D5991" i="7"/>
  <c r="S68" i="6" s="1"/>
  <c r="D5992" i="7"/>
  <c r="D5993" i="7"/>
  <c r="D5994" i="7"/>
  <c r="D5995" i="7"/>
  <c r="D5996" i="7"/>
  <c r="D5997" i="7"/>
  <c r="D5998" i="7"/>
  <c r="D5999" i="7"/>
  <c r="D6000" i="7"/>
  <c r="D6001" i="7"/>
  <c r="D6002" i="7"/>
  <c r="D6003" i="7"/>
  <c r="D6004" i="7"/>
  <c r="D6005" i="7"/>
  <c r="S655" i="6" s="1"/>
  <c r="W655" i="6" s="1"/>
  <c r="D6006" i="7"/>
  <c r="D6007" i="7"/>
  <c r="D6008" i="7"/>
  <c r="D6009" i="7"/>
  <c r="D6010" i="7"/>
  <c r="D6011" i="7"/>
  <c r="D6012" i="7"/>
  <c r="D6013" i="7"/>
  <c r="D6014" i="7"/>
  <c r="D6015" i="7"/>
  <c r="D6016" i="7"/>
  <c r="D6017" i="7"/>
  <c r="D6018" i="7"/>
  <c r="D6019" i="7"/>
  <c r="D6020" i="7"/>
  <c r="D6021" i="7"/>
  <c r="D6022" i="7"/>
  <c r="D6023" i="7"/>
  <c r="D6024" i="7"/>
  <c r="D6025" i="7"/>
  <c r="D6026" i="7"/>
  <c r="D6027" i="7"/>
  <c r="D6028" i="7"/>
  <c r="D6029" i="7"/>
  <c r="D6030" i="7"/>
  <c r="D6031" i="7"/>
  <c r="D6032" i="7"/>
  <c r="D6033" i="7"/>
  <c r="D6034" i="7"/>
  <c r="D6035" i="7"/>
  <c r="D6036" i="7"/>
  <c r="D6037" i="7"/>
  <c r="D6038" i="7"/>
  <c r="D6039" i="7"/>
  <c r="D6040" i="7"/>
  <c r="D6041" i="7"/>
  <c r="S648" i="6" s="1"/>
  <c r="D6042" i="7"/>
  <c r="D6043" i="7"/>
  <c r="D6044" i="7"/>
  <c r="D6045" i="7"/>
  <c r="D6046" i="7"/>
  <c r="D6047" i="7"/>
  <c r="D6048" i="7"/>
  <c r="D6049" i="7"/>
  <c r="D6050" i="7"/>
  <c r="D6051" i="7"/>
  <c r="D6052" i="7"/>
  <c r="D6053" i="7"/>
  <c r="D6054" i="7"/>
  <c r="D6055" i="7"/>
  <c r="D6056" i="7"/>
  <c r="D6057" i="7"/>
  <c r="D6058" i="7"/>
  <c r="D6059" i="7"/>
  <c r="D6060" i="7"/>
  <c r="D6061" i="7"/>
  <c r="D6062" i="7"/>
  <c r="D6063" i="7"/>
  <c r="D6064" i="7"/>
  <c r="D6065" i="7"/>
  <c r="D6066" i="7"/>
  <c r="D6067" i="7"/>
  <c r="D6068" i="7"/>
  <c r="D6069" i="7"/>
  <c r="D6070" i="7"/>
  <c r="D6071" i="7"/>
  <c r="D6072" i="7"/>
  <c r="D6073" i="7"/>
  <c r="D6074" i="7"/>
  <c r="D6075" i="7"/>
  <c r="D6076" i="7"/>
  <c r="D6077" i="7"/>
  <c r="D6078" i="7"/>
  <c r="D6079" i="7"/>
  <c r="D6080" i="7"/>
  <c r="D6081" i="7"/>
  <c r="D6082" i="7"/>
  <c r="D6083" i="7"/>
  <c r="D6084" i="7"/>
  <c r="D6085" i="7"/>
  <c r="D6086" i="7"/>
  <c r="D6087" i="7"/>
  <c r="D6088" i="7"/>
  <c r="D6089" i="7"/>
  <c r="D6090" i="7"/>
  <c r="D6091" i="7"/>
  <c r="D6092" i="7"/>
  <c r="D6093" i="7"/>
  <c r="D6094" i="7"/>
  <c r="S654" i="6" s="1"/>
  <c r="W654" i="6" s="1"/>
  <c r="D6095" i="7"/>
  <c r="D6096" i="7"/>
  <c r="D6097" i="7"/>
  <c r="D6098" i="7"/>
  <c r="D6099" i="7"/>
  <c r="D6100" i="7"/>
  <c r="D6101" i="7"/>
  <c r="D6102" i="7"/>
  <c r="D6103" i="7"/>
  <c r="D6104" i="7"/>
  <c r="D6105" i="7"/>
  <c r="D6106" i="7"/>
  <c r="D6107" i="7"/>
  <c r="D6108" i="7"/>
  <c r="D6109" i="7"/>
  <c r="D6110" i="7"/>
  <c r="D6111" i="7"/>
  <c r="D6112" i="7"/>
  <c r="D6113" i="7"/>
  <c r="D6114" i="7"/>
  <c r="D6115" i="7"/>
  <c r="D6116" i="7"/>
  <c r="S74" i="6" s="1"/>
  <c r="W74" i="6" s="1"/>
  <c r="D6117" i="7"/>
  <c r="D6118" i="7"/>
  <c r="D6119" i="7"/>
  <c r="D6120" i="7"/>
  <c r="D6121" i="7"/>
  <c r="D6122" i="7"/>
  <c r="D6123" i="7"/>
  <c r="D6124" i="7"/>
  <c r="D6125" i="7"/>
  <c r="D6126" i="7"/>
  <c r="D6127" i="7"/>
  <c r="D6128" i="7"/>
  <c r="D6129" i="7"/>
  <c r="D6130" i="7"/>
  <c r="D6131" i="7"/>
  <c r="D6132" i="7"/>
  <c r="D6133" i="7"/>
  <c r="S489" i="6" s="1"/>
  <c r="D6134" i="7"/>
  <c r="D6135" i="7"/>
  <c r="D6136" i="7"/>
  <c r="D6137" i="7"/>
  <c r="D6138" i="7"/>
  <c r="S223" i="6" s="1"/>
  <c r="W223" i="6" s="1"/>
  <c r="D6139" i="7"/>
  <c r="D6140" i="7"/>
  <c r="D6141" i="7"/>
  <c r="D6142" i="7"/>
  <c r="D6143" i="7"/>
  <c r="D6144" i="7"/>
  <c r="D6145" i="7"/>
  <c r="D6146" i="7"/>
  <c r="D6147" i="7"/>
  <c r="D6148" i="7"/>
  <c r="D6149" i="7"/>
  <c r="D6150" i="7"/>
  <c r="D6151" i="7"/>
  <c r="D6152" i="7"/>
  <c r="D6153" i="7"/>
  <c r="D6154" i="7"/>
  <c r="D6155" i="7"/>
  <c r="D6156" i="7"/>
  <c r="D6157" i="7"/>
  <c r="D6158" i="7"/>
  <c r="D6159" i="7"/>
  <c r="D6160" i="7"/>
  <c r="D6161" i="7"/>
  <c r="D6162" i="7"/>
  <c r="D6163" i="7"/>
  <c r="D6164" i="7"/>
  <c r="D6165" i="7"/>
  <c r="D6166" i="7"/>
  <c r="D6167" i="7"/>
  <c r="D6168" i="7"/>
  <c r="D6169" i="7"/>
  <c r="D6170" i="7"/>
  <c r="D6171" i="7"/>
  <c r="D6172" i="7"/>
  <c r="D6173" i="7"/>
  <c r="D6174" i="7"/>
  <c r="D6175" i="7"/>
  <c r="D6176" i="7"/>
  <c r="D6177" i="7"/>
  <c r="D6178" i="7"/>
  <c r="D6179" i="7"/>
  <c r="D6180" i="7"/>
  <c r="D6181" i="7"/>
  <c r="D6182" i="7"/>
  <c r="D6183" i="7"/>
  <c r="D6184" i="7"/>
  <c r="D6185" i="7"/>
  <c r="D6186" i="7"/>
  <c r="D6187" i="7"/>
  <c r="D6188" i="7"/>
  <c r="D6189" i="7"/>
  <c r="D6190" i="7"/>
  <c r="D6191" i="7"/>
  <c r="D6192" i="7"/>
  <c r="D6193" i="7"/>
  <c r="D6194" i="7"/>
  <c r="D6195" i="7"/>
  <c r="D6196" i="7"/>
  <c r="D6197" i="7"/>
  <c r="S387" i="6" s="1"/>
  <c r="W387" i="6" s="1"/>
  <c r="D6198" i="7"/>
  <c r="D6199" i="7"/>
  <c r="D6200" i="7"/>
  <c r="D6201" i="7"/>
  <c r="D6202" i="7"/>
  <c r="D6203" i="7"/>
  <c r="D6204" i="7"/>
  <c r="D6205" i="7"/>
  <c r="D6206" i="7"/>
  <c r="D6207" i="7"/>
  <c r="D6208" i="7"/>
  <c r="D6209" i="7"/>
  <c r="D6210" i="7"/>
  <c r="D6211" i="7"/>
  <c r="D6212" i="7"/>
  <c r="D6213" i="7"/>
  <c r="D6214" i="7"/>
  <c r="D6215" i="7"/>
  <c r="D6216" i="7"/>
  <c r="D6217" i="7"/>
  <c r="D6218" i="7"/>
  <c r="D6219" i="7"/>
  <c r="D6220" i="7"/>
  <c r="D6221" i="7"/>
  <c r="D6222" i="7"/>
  <c r="D6223" i="7"/>
  <c r="D6224" i="7"/>
  <c r="D6225" i="7"/>
  <c r="D6226" i="7"/>
  <c r="D6227" i="7"/>
  <c r="D6228" i="7"/>
  <c r="D6229" i="7"/>
  <c r="D6230" i="7"/>
  <c r="D6231" i="7"/>
  <c r="D6232" i="7"/>
  <c r="D6233" i="7"/>
  <c r="D6234" i="7"/>
  <c r="D6235" i="7"/>
  <c r="D6236" i="7"/>
  <c r="D6237" i="7"/>
  <c r="D6238" i="7"/>
  <c r="D6239" i="7"/>
  <c r="D6240" i="7"/>
  <c r="D6241" i="7"/>
  <c r="D6242" i="7"/>
  <c r="D6243" i="7"/>
  <c r="D6244" i="7"/>
  <c r="D6245" i="7"/>
  <c r="D6246" i="7"/>
  <c r="D6247" i="7"/>
  <c r="D6248" i="7"/>
  <c r="D6249" i="7"/>
  <c r="D6250" i="7"/>
  <c r="D6251" i="7"/>
  <c r="D6252" i="7"/>
  <c r="D6253" i="7"/>
  <c r="D6254" i="7"/>
  <c r="D6255" i="7"/>
  <c r="D6256" i="7"/>
  <c r="D6257" i="7"/>
  <c r="D6258" i="7"/>
  <c r="D6259" i="7"/>
  <c r="D6260" i="7"/>
  <c r="D6261" i="7"/>
  <c r="D6262" i="7"/>
  <c r="D6263" i="7"/>
  <c r="D6264" i="7"/>
  <c r="D6265" i="7"/>
  <c r="D6266" i="7"/>
  <c r="D6267" i="7"/>
  <c r="S657" i="6" s="1"/>
  <c r="D6268" i="7"/>
  <c r="D6269" i="7"/>
  <c r="D6270" i="7"/>
  <c r="D6271" i="7"/>
  <c r="S658" i="6" s="1"/>
  <c r="D6272" i="7"/>
  <c r="D6273" i="7"/>
  <c r="D6274" i="7"/>
  <c r="D6275" i="7"/>
  <c r="D6276" i="7"/>
  <c r="D6277" i="7"/>
  <c r="D6278" i="7"/>
  <c r="D6279" i="7"/>
  <c r="D6280" i="7"/>
  <c r="D6281" i="7"/>
  <c r="D6282" i="7"/>
  <c r="D6283" i="7"/>
  <c r="D6284" i="7"/>
  <c r="D6285" i="7"/>
  <c r="D6286" i="7"/>
  <c r="D6287" i="7"/>
  <c r="D6288" i="7"/>
  <c r="D6289" i="7"/>
  <c r="D6290" i="7"/>
  <c r="D6291" i="7"/>
  <c r="D6292" i="7"/>
  <c r="D6293" i="7"/>
  <c r="D6294" i="7"/>
  <c r="D6295" i="7"/>
  <c r="D6296" i="7"/>
  <c r="D6297" i="7"/>
  <c r="D6298" i="7"/>
  <c r="D6299" i="7"/>
  <c r="D6300" i="7"/>
  <c r="D6301" i="7"/>
  <c r="D6302" i="7"/>
  <c r="D6303" i="7"/>
  <c r="D6304" i="7"/>
  <c r="D6305" i="7"/>
  <c r="D6306" i="7"/>
  <c r="S193" i="6" s="1"/>
  <c r="D6307" i="7"/>
  <c r="D6308" i="7"/>
  <c r="D6309" i="7"/>
  <c r="D6310" i="7"/>
  <c r="D6311" i="7"/>
  <c r="D6312" i="7"/>
  <c r="D6313" i="7"/>
  <c r="D6314" i="7"/>
  <c r="D6315" i="7"/>
  <c r="D6316" i="7"/>
  <c r="D6317" i="7"/>
  <c r="D6318" i="7"/>
  <c r="D6319" i="7"/>
  <c r="D6320" i="7"/>
  <c r="D6321" i="7"/>
  <c r="D6322" i="7"/>
  <c r="D6323" i="7"/>
  <c r="D6324" i="7"/>
  <c r="D6325" i="7"/>
  <c r="D6326" i="7"/>
  <c r="D6327" i="7"/>
  <c r="D6328" i="7"/>
  <c r="D6329" i="7"/>
  <c r="D6330" i="7"/>
  <c r="D6331" i="7"/>
  <c r="D6332" i="7"/>
  <c r="D6333" i="7"/>
  <c r="D6334" i="7"/>
  <c r="D6335" i="7"/>
  <c r="D6336" i="7"/>
  <c r="D6337" i="7"/>
  <c r="D6338" i="7"/>
  <c r="D6339" i="7"/>
  <c r="D6340" i="7"/>
  <c r="D6341" i="7"/>
  <c r="D6342" i="7"/>
  <c r="D6343" i="7"/>
  <c r="D6344" i="7"/>
  <c r="D6345" i="7"/>
  <c r="D6346" i="7"/>
  <c r="D6347" i="7"/>
  <c r="D6348" i="7"/>
  <c r="D6349" i="7"/>
  <c r="D6350" i="7"/>
  <c r="D6351" i="7"/>
  <c r="D6352" i="7"/>
  <c r="D6353" i="7"/>
  <c r="D6354" i="7"/>
  <c r="D6355" i="7"/>
  <c r="D6356" i="7"/>
  <c r="D6357" i="7"/>
  <c r="D6358" i="7"/>
  <c r="D6359" i="7"/>
  <c r="D6360" i="7"/>
  <c r="D6361" i="7"/>
  <c r="D6362" i="7"/>
  <c r="D6363" i="7"/>
  <c r="D6364" i="7"/>
  <c r="D6365" i="7"/>
  <c r="D6366" i="7"/>
  <c r="D6367" i="7"/>
  <c r="D6368" i="7"/>
  <c r="D6369" i="7"/>
  <c r="D6370" i="7"/>
  <c r="D6371" i="7"/>
  <c r="D6372" i="7"/>
  <c r="D6373" i="7"/>
  <c r="D6374" i="7"/>
  <c r="D6375" i="7"/>
  <c r="D6376" i="7"/>
  <c r="S566" i="6" s="1"/>
  <c r="W566" i="6" s="1"/>
  <c r="D6377" i="7"/>
  <c r="D6378" i="7"/>
  <c r="D6379" i="7"/>
  <c r="D6380" i="7"/>
  <c r="D6381" i="7"/>
  <c r="D6382" i="7"/>
  <c r="D6383" i="7"/>
  <c r="D6384" i="7"/>
  <c r="D6385" i="7"/>
  <c r="D6386" i="7"/>
  <c r="D6387" i="7"/>
  <c r="D6388" i="7"/>
  <c r="D6389" i="7"/>
  <c r="D6390" i="7"/>
  <c r="D6391" i="7"/>
  <c r="D6392" i="7"/>
  <c r="D6393" i="7"/>
  <c r="D6394" i="7"/>
  <c r="D6395" i="7"/>
  <c r="D6396" i="7"/>
  <c r="D6397" i="7"/>
  <c r="S224" i="6" s="1"/>
  <c r="D6398" i="7"/>
  <c r="D6399" i="7"/>
  <c r="D6400" i="7"/>
  <c r="D6401" i="7"/>
  <c r="D6402" i="7"/>
  <c r="S660" i="6" s="1"/>
  <c r="D6403" i="7"/>
  <c r="D6404" i="7"/>
  <c r="D6405" i="7"/>
  <c r="D6406" i="7"/>
  <c r="D6407" i="7"/>
  <c r="S73" i="6" s="1"/>
  <c r="W73" i="6" s="1"/>
  <c r="D6408" i="7"/>
  <c r="D6409" i="7"/>
  <c r="D6410" i="7"/>
  <c r="D6411" i="7"/>
  <c r="D6412" i="7"/>
  <c r="D6413" i="7"/>
  <c r="D6414" i="7"/>
  <c r="D6415" i="7"/>
  <c r="D6416" i="7"/>
  <c r="D6417" i="7"/>
  <c r="D6418" i="7"/>
  <c r="D6419" i="7"/>
  <c r="D6420" i="7"/>
  <c r="D6421" i="7"/>
  <c r="D6422" i="7"/>
  <c r="D6423" i="7"/>
  <c r="D6424" i="7"/>
  <c r="D6425" i="7"/>
  <c r="D6426" i="7"/>
  <c r="S382" i="6" s="1"/>
  <c r="D6427" i="7"/>
  <c r="D6428" i="7"/>
  <c r="D6429" i="7"/>
  <c r="D6430" i="7"/>
  <c r="D6431" i="7"/>
  <c r="D6432" i="7"/>
  <c r="D6433" i="7"/>
  <c r="D6434" i="7"/>
  <c r="D6435" i="7"/>
  <c r="S309" i="6" s="1"/>
  <c r="D6436" i="7"/>
  <c r="D6437" i="7"/>
  <c r="D6438" i="7"/>
  <c r="D6439" i="7"/>
  <c r="D6440" i="7"/>
  <c r="D6441" i="7"/>
  <c r="D6442" i="7"/>
  <c r="D6443" i="7"/>
  <c r="D6444" i="7"/>
  <c r="D6445" i="7"/>
  <c r="S656" i="6" s="1"/>
  <c r="D6446" i="7"/>
  <c r="D6447" i="7"/>
  <c r="D6448" i="7"/>
  <c r="D6449" i="7"/>
  <c r="D6450" i="7"/>
  <c r="D6451" i="7"/>
  <c r="D6452" i="7"/>
  <c r="D6453" i="7"/>
  <c r="D6454" i="7"/>
  <c r="D6455" i="7"/>
  <c r="D6456" i="7"/>
  <c r="D6457" i="7"/>
  <c r="D6458" i="7"/>
  <c r="D6459" i="7"/>
  <c r="D6460" i="7"/>
  <c r="D6461" i="7"/>
  <c r="D6462" i="7"/>
  <c r="D6463" i="7"/>
  <c r="D6464" i="7"/>
  <c r="D6465" i="7"/>
  <c r="D6466" i="7"/>
  <c r="D6467" i="7"/>
  <c r="D6468" i="7"/>
  <c r="D6469" i="7"/>
  <c r="D6470" i="7"/>
  <c r="D6471" i="7"/>
  <c r="D6472" i="7"/>
  <c r="D6473" i="7"/>
  <c r="D6474" i="7"/>
  <c r="D6475" i="7"/>
  <c r="D6476" i="7"/>
  <c r="D6477" i="7"/>
  <c r="D6478" i="7"/>
  <c r="D6479" i="7"/>
  <c r="D6480" i="7"/>
  <c r="D6481" i="7"/>
  <c r="D6482" i="7"/>
  <c r="D6483" i="7"/>
  <c r="S659" i="6" s="1"/>
  <c r="D6484" i="7"/>
  <c r="D6485" i="7"/>
  <c r="D6486" i="7"/>
  <c r="D6487" i="7"/>
  <c r="D6488" i="7"/>
  <c r="D6489" i="7"/>
  <c r="D6490" i="7"/>
  <c r="D6491" i="7"/>
  <c r="D6492" i="7"/>
  <c r="D6493" i="7"/>
  <c r="D6494" i="7"/>
  <c r="D6495" i="7"/>
  <c r="D6496" i="7"/>
  <c r="D6497" i="7"/>
  <c r="D6498" i="7"/>
  <c r="D6499" i="7"/>
  <c r="D6500" i="7"/>
  <c r="D6501" i="7"/>
  <c r="D6502" i="7"/>
  <c r="D6503" i="7"/>
  <c r="D6504" i="7"/>
  <c r="D6505" i="7"/>
  <c r="D6506" i="7"/>
  <c r="D6507" i="7"/>
  <c r="D6508" i="7"/>
  <c r="D6509" i="7"/>
  <c r="D6510" i="7"/>
  <c r="D6511" i="7"/>
  <c r="D6512" i="7"/>
  <c r="D6513" i="7"/>
  <c r="D6514" i="7"/>
  <c r="D6515" i="7"/>
  <c r="S665" i="6" s="1"/>
  <c r="W665" i="6" s="1"/>
  <c r="D6516" i="7"/>
  <c r="D6517" i="7"/>
  <c r="D6518" i="7"/>
  <c r="D6519" i="7"/>
  <c r="D6520" i="7"/>
  <c r="S72" i="6" s="1"/>
  <c r="D6521" i="7"/>
  <c r="D6522" i="7"/>
  <c r="D6523" i="7"/>
  <c r="D6524" i="7"/>
  <c r="D6525" i="7"/>
  <c r="S194" i="6" s="1"/>
  <c r="W194" i="6" s="1"/>
  <c r="D6526" i="7"/>
  <c r="D6527" i="7"/>
  <c r="D6528" i="7"/>
  <c r="D6529" i="7"/>
  <c r="D6530" i="7"/>
  <c r="D6531" i="7"/>
  <c r="D6532" i="7"/>
  <c r="D6533" i="7"/>
  <c r="D6534" i="7"/>
  <c r="D6535" i="7"/>
  <c r="D6536" i="7"/>
  <c r="D6537" i="7"/>
  <c r="D6538" i="7"/>
  <c r="D6539" i="7"/>
  <c r="D6540" i="7"/>
  <c r="D6541" i="7"/>
  <c r="D6542" i="7"/>
  <c r="D6543" i="7"/>
  <c r="D6544" i="7"/>
  <c r="S662" i="6" s="1"/>
  <c r="W662" i="6" s="1"/>
  <c r="D6545" i="7"/>
  <c r="D6546" i="7"/>
  <c r="D6547" i="7"/>
  <c r="D6548" i="7"/>
  <c r="D6549" i="7"/>
  <c r="D6550" i="7"/>
  <c r="D6551" i="7"/>
  <c r="D6552" i="7"/>
  <c r="D6553" i="7"/>
  <c r="D6554" i="7"/>
  <c r="D6555" i="7"/>
  <c r="D6556" i="7"/>
  <c r="D6557" i="7"/>
  <c r="D6558" i="7"/>
  <c r="D6559" i="7"/>
  <c r="D6560" i="7"/>
  <c r="D6561" i="7"/>
  <c r="D6562" i="7"/>
  <c r="D6563" i="7"/>
  <c r="D6564" i="7"/>
  <c r="D6565" i="7"/>
  <c r="S260" i="6" s="1"/>
  <c r="D6566" i="7"/>
  <c r="D6567" i="7"/>
  <c r="D6568" i="7"/>
  <c r="D6569" i="7"/>
  <c r="D6570" i="7"/>
  <c r="D6571" i="7"/>
  <c r="D6572" i="7"/>
  <c r="D6573" i="7"/>
  <c r="D6574" i="7"/>
  <c r="D6575" i="7"/>
  <c r="D6576" i="7"/>
  <c r="D6577" i="7"/>
  <c r="D6578" i="7"/>
  <c r="D6579" i="7"/>
  <c r="D6580" i="7"/>
  <c r="D6581" i="7"/>
  <c r="D6582" i="7"/>
  <c r="D6583" i="7"/>
  <c r="D6584" i="7"/>
  <c r="S490" i="6" s="1"/>
  <c r="W490" i="6" s="1"/>
  <c r="D6585" i="7"/>
  <c r="D6586" i="7"/>
  <c r="D6587" i="7"/>
  <c r="D6588" i="7"/>
  <c r="D6589" i="7"/>
  <c r="D6590" i="7"/>
  <c r="D6591" i="7"/>
  <c r="D6592" i="7"/>
  <c r="D6593" i="7"/>
  <c r="D6594" i="7"/>
  <c r="D6595" i="7"/>
  <c r="D6596" i="7"/>
  <c r="D6597" i="7"/>
  <c r="D6598" i="7"/>
  <c r="D6599" i="7"/>
  <c r="D6600" i="7"/>
  <c r="D6601" i="7"/>
  <c r="D6602" i="7"/>
  <c r="D6603" i="7"/>
  <c r="D6604" i="7"/>
  <c r="D6605" i="7"/>
  <c r="D6606" i="7"/>
  <c r="D6607" i="7"/>
  <c r="D6608" i="7"/>
  <c r="D6609" i="7"/>
  <c r="D6610" i="7"/>
  <c r="D6611" i="7"/>
  <c r="D6612" i="7"/>
  <c r="D6613" i="7"/>
  <c r="D6614" i="7"/>
  <c r="D6615" i="7"/>
  <c r="D6616" i="7"/>
  <c r="S663" i="6" s="1"/>
  <c r="W663" i="6" s="1"/>
  <c r="D6617" i="7"/>
  <c r="S451" i="6" s="1"/>
  <c r="W451" i="6" s="1"/>
  <c r="D6618" i="7"/>
  <c r="D6619" i="7"/>
  <c r="D6620" i="7"/>
  <c r="S49" i="6" s="1"/>
  <c r="D6621" i="7"/>
  <c r="D6622" i="7"/>
  <c r="D6623" i="7"/>
  <c r="D6624" i="7"/>
  <c r="D6625" i="7"/>
  <c r="D6626" i="7"/>
  <c r="S241" i="6" s="1"/>
  <c r="D6627" i="7"/>
  <c r="D6628" i="7"/>
  <c r="D6629" i="7"/>
  <c r="D6630" i="7"/>
  <c r="D6631" i="7"/>
  <c r="D6632" i="7"/>
  <c r="D6633" i="7"/>
  <c r="S91" i="6" s="1"/>
  <c r="W91" i="6" s="1"/>
  <c r="D6634" i="7"/>
  <c r="D6635" i="7"/>
  <c r="D6636" i="7"/>
  <c r="S404" i="6" s="1"/>
  <c r="D6637" i="7"/>
  <c r="D6638" i="7"/>
  <c r="D6639" i="7"/>
  <c r="D6640" i="7"/>
  <c r="D6641" i="7"/>
  <c r="D6642" i="7"/>
  <c r="D6643" i="7"/>
  <c r="D6644" i="7"/>
  <c r="D6645" i="7"/>
  <c r="D6646" i="7"/>
  <c r="D6647" i="7"/>
  <c r="D6648" i="7"/>
  <c r="D6649" i="7"/>
  <c r="D6650" i="7"/>
  <c r="D6651" i="7"/>
  <c r="D6652" i="7"/>
  <c r="D6653" i="7"/>
  <c r="D6654" i="7"/>
  <c r="D6655" i="7"/>
  <c r="D6656" i="7"/>
  <c r="S360" i="6" s="1"/>
  <c r="D6657" i="7"/>
  <c r="D6658" i="7"/>
  <c r="D6659" i="7"/>
  <c r="D6660" i="7"/>
  <c r="D6661" i="7"/>
  <c r="D6662" i="7"/>
  <c r="S187" i="6" s="1"/>
  <c r="D6663" i="7"/>
  <c r="D6664" i="7"/>
  <c r="D6665" i="7"/>
  <c r="D6666" i="7"/>
  <c r="D6667" i="7"/>
  <c r="D6668" i="7"/>
  <c r="D6669" i="7"/>
  <c r="D6670" i="7"/>
  <c r="D6671" i="7"/>
  <c r="D6672" i="7"/>
  <c r="D6673" i="7"/>
  <c r="D6674" i="7"/>
  <c r="D6675" i="7"/>
  <c r="D6676" i="7"/>
  <c r="D6677" i="7"/>
  <c r="D6678" i="7"/>
  <c r="D6679" i="7"/>
  <c r="D6680" i="7"/>
  <c r="D6681" i="7"/>
  <c r="D6682" i="7"/>
  <c r="D6683" i="7"/>
  <c r="D6684" i="7"/>
  <c r="D6685" i="7"/>
  <c r="D6686" i="7"/>
  <c r="D6687" i="7"/>
  <c r="D6688" i="7"/>
  <c r="D6689" i="7"/>
  <c r="D6690" i="7"/>
  <c r="D6691" i="7"/>
  <c r="D6692" i="7"/>
  <c r="D6693" i="7"/>
  <c r="D6694" i="7"/>
  <c r="D6695" i="7"/>
  <c r="D6696" i="7"/>
  <c r="D6697" i="7"/>
  <c r="D6698" i="7"/>
  <c r="D6699" i="7"/>
  <c r="D6700" i="7"/>
  <c r="D6701" i="7"/>
  <c r="D6702" i="7"/>
  <c r="D6703" i="7"/>
  <c r="D6704" i="7"/>
  <c r="D6705" i="7"/>
  <c r="D6706" i="7"/>
  <c r="D6707" i="7"/>
  <c r="D6708" i="7"/>
  <c r="D6709" i="7"/>
  <c r="D6710" i="7"/>
  <c r="D6711" i="7"/>
  <c r="D6712" i="7"/>
  <c r="D6713" i="7"/>
  <c r="D6714" i="7"/>
  <c r="D6715" i="7"/>
  <c r="D6716" i="7"/>
  <c r="D6717" i="7"/>
  <c r="D6718" i="7"/>
  <c r="S192" i="6" s="1"/>
  <c r="W192" i="6" s="1"/>
  <c r="D6719" i="7"/>
  <c r="D6720" i="7"/>
  <c r="D6721" i="7"/>
  <c r="D6722" i="7"/>
  <c r="D6723" i="7"/>
  <c r="D6724" i="7"/>
  <c r="D6725" i="7"/>
  <c r="D6726" i="7"/>
  <c r="D6727" i="7"/>
  <c r="D6728" i="7"/>
  <c r="D6729" i="7"/>
  <c r="S47" i="6" s="1"/>
  <c r="W47" i="6" s="1"/>
  <c r="D6730" i="7"/>
  <c r="D6731" i="7"/>
  <c r="D6732" i="7"/>
  <c r="D6733" i="7"/>
  <c r="D6734" i="7"/>
  <c r="D6735" i="7"/>
  <c r="D6736" i="7"/>
  <c r="D6737" i="7"/>
  <c r="D6738" i="7"/>
  <c r="D6739" i="7"/>
  <c r="S664" i="6" s="1"/>
  <c r="W664" i="6" s="1"/>
  <c r="D6740" i="7"/>
  <c r="D6741" i="7"/>
  <c r="D6742" i="7"/>
  <c r="D6743" i="7"/>
  <c r="D6744" i="7"/>
  <c r="D6745" i="7"/>
  <c r="D6746" i="7"/>
  <c r="D6747" i="7"/>
  <c r="S307" i="6" s="1"/>
  <c r="D6748" i="7"/>
  <c r="D6749" i="7"/>
  <c r="D6750" i="7"/>
  <c r="D6751" i="7"/>
  <c r="D6752" i="7"/>
  <c r="D6753" i="7"/>
  <c r="D6754" i="7"/>
  <c r="D6755" i="7"/>
  <c r="D6756" i="7"/>
  <c r="D6757" i="7"/>
  <c r="S567" i="6" s="1"/>
  <c r="W567" i="6" s="1"/>
  <c r="D6758" i="7"/>
  <c r="D6759" i="7"/>
  <c r="D6760" i="7"/>
  <c r="D6761" i="7"/>
  <c r="D6762" i="7"/>
  <c r="D6763" i="7"/>
  <c r="D6764" i="7"/>
  <c r="D6765" i="7"/>
  <c r="D6766" i="7"/>
  <c r="D6767" i="7"/>
  <c r="D6768" i="7"/>
  <c r="D6769" i="7"/>
  <c r="D6770" i="7"/>
  <c r="D6771" i="7"/>
  <c r="D6772" i="7"/>
  <c r="D6773" i="7"/>
  <c r="S341" i="6" s="1"/>
  <c r="W341" i="6" s="1"/>
  <c r="D6774" i="7"/>
  <c r="D6775" i="7"/>
  <c r="D6776" i="7"/>
  <c r="D6777" i="7"/>
  <c r="D6778" i="7"/>
  <c r="D6779" i="7"/>
  <c r="D6780" i="7"/>
  <c r="D6781" i="7"/>
  <c r="D6782" i="7"/>
  <c r="D6783" i="7"/>
  <c r="D6784" i="7"/>
  <c r="D6785" i="7"/>
  <c r="D6786" i="7"/>
  <c r="D6787" i="7"/>
  <c r="D6788" i="7"/>
  <c r="D6789" i="7"/>
  <c r="D6790" i="7"/>
  <c r="D6791" i="7"/>
  <c r="S502" i="6" s="1"/>
  <c r="W502" i="6" s="1"/>
  <c r="D6792" i="7"/>
  <c r="D6793" i="7"/>
  <c r="D6794" i="7"/>
  <c r="S439" i="6" s="1"/>
  <c r="D6795" i="7"/>
  <c r="D6796" i="7"/>
  <c r="D6797" i="7"/>
  <c r="D6798" i="7"/>
  <c r="D6799" i="7"/>
  <c r="D6800" i="7"/>
  <c r="D6801" i="7"/>
  <c r="D6802" i="7"/>
  <c r="D6803" i="7"/>
  <c r="D6804" i="7"/>
  <c r="D6805" i="7"/>
  <c r="D6806" i="7"/>
  <c r="D6807" i="7"/>
  <c r="D6808" i="7"/>
  <c r="D6809" i="7"/>
  <c r="D6810" i="7"/>
  <c r="D6811" i="7"/>
  <c r="S143" i="6" s="1"/>
  <c r="D6812" i="7"/>
  <c r="D6813" i="7"/>
  <c r="D6814" i="7"/>
  <c r="D6815" i="7"/>
  <c r="D6816" i="7"/>
  <c r="D6817" i="7"/>
  <c r="D6818" i="7"/>
  <c r="D6819" i="7"/>
  <c r="D6820" i="7"/>
  <c r="D6821" i="7"/>
  <c r="D6822" i="7"/>
  <c r="D6823" i="7"/>
  <c r="D6824" i="7"/>
  <c r="D6825" i="7"/>
  <c r="D6826" i="7"/>
  <c r="D6827" i="7"/>
  <c r="S103" i="6" s="1"/>
  <c r="W103" i="6" s="1"/>
  <c r="D6828" i="7"/>
  <c r="D6829" i="7"/>
  <c r="D6830" i="7"/>
  <c r="D6831" i="7"/>
  <c r="D6832" i="7"/>
  <c r="D6833" i="7"/>
  <c r="D6834" i="7"/>
  <c r="D6835" i="7"/>
  <c r="D6836" i="7"/>
  <c r="D6837" i="7"/>
  <c r="D6838" i="7"/>
  <c r="D6839" i="7"/>
  <c r="D6840" i="7"/>
  <c r="D6841" i="7"/>
  <c r="D6842" i="7"/>
  <c r="D6843" i="7"/>
  <c r="D6844" i="7"/>
  <c r="D6845" i="7"/>
  <c r="D6846" i="7"/>
  <c r="D6847" i="7"/>
  <c r="D6848" i="7"/>
  <c r="D6849" i="7"/>
  <c r="D6850" i="7"/>
  <c r="D6851" i="7"/>
  <c r="D6852" i="7"/>
  <c r="D6853" i="7"/>
  <c r="D6854" i="7"/>
  <c r="D6855" i="7"/>
  <c r="S46" i="6" s="1"/>
  <c r="D6856" i="7"/>
  <c r="D6857" i="7"/>
  <c r="D6858" i="7"/>
  <c r="D6859" i="7"/>
  <c r="D6860" i="7"/>
  <c r="D6861" i="7"/>
  <c r="D6862" i="7"/>
  <c r="D6863" i="7"/>
  <c r="D6864" i="7"/>
  <c r="D6865" i="7"/>
  <c r="D6866" i="7"/>
  <c r="D6867" i="7"/>
  <c r="D6868" i="7"/>
  <c r="D6869" i="7"/>
  <c r="D6870" i="7"/>
  <c r="D6871" i="7"/>
  <c r="D6872" i="7"/>
  <c r="D6873" i="7"/>
  <c r="D6874" i="7"/>
  <c r="D6875" i="7"/>
  <c r="D6876" i="7"/>
  <c r="D6877" i="7"/>
  <c r="D6878" i="7"/>
  <c r="D6879" i="7"/>
  <c r="D6880" i="7"/>
  <c r="D6881" i="7"/>
  <c r="D6882" i="7"/>
  <c r="D6883" i="7"/>
  <c r="D6884" i="7"/>
  <c r="D6885" i="7"/>
  <c r="D6886" i="7"/>
  <c r="D6887" i="7"/>
  <c r="D6888" i="7"/>
  <c r="D6889" i="7"/>
  <c r="D6890" i="7"/>
  <c r="D6891" i="7"/>
  <c r="S306" i="6" s="1"/>
  <c r="W306" i="6" s="1"/>
  <c r="D6892" i="7"/>
  <c r="D6893" i="7"/>
  <c r="D6894" i="7"/>
  <c r="S78" i="6" s="1"/>
  <c r="W78" i="6" s="1"/>
  <c r="D6895" i="7"/>
  <c r="D6896" i="7"/>
  <c r="D6897" i="7"/>
  <c r="D6898" i="7"/>
  <c r="D6899" i="7"/>
  <c r="D6900" i="7"/>
  <c r="D6901" i="7"/>
  <c r="D6902" i="7"/>
  <c r="D6903" i="7"/>
  <c r="D6904" i="7"/>
  <c r="D6905" i="7"/>
  <c r="D6906" i="7"/>
  <c r="D6907" i="7"/>
  <c r="D6908" i="7"/>
  <c r="D6909" i="7"/>
  <c r="D6910" i="7"/>
  <c r="D6911" i="7"/>
  <c r="D6912" i="7"/>
  <c r="D6913" i="7"/>
  <c r="D6914" i="7"/>
  <c r="D6915" i="7"/>
  <c r="D6916" i="7"/>
  <c r="D6917" i="7"/>
  <c r="D6918" i="7"/>
  <c r="D6919" i="7"/>
  <c r="D6920" i="7"/>
  <c r="D6921" i="7"/>
  <c r="D6922" i="7"/>
  <c r="D6923" i="7"/>
  <c r="D6924" i="7"/>
  <c r="D6925" i="7"/>
  <c r="D6926" i="7"/>
  <c r="D6927" i="7"/>
  <c r="D6928" i="7"/>
  <c r="D6929" i="7"/>
  <c r="D6930" i="7"/>
  <c r="D6931" i="7"/>
  <c r="D6932" i="7"/>
  <c r="D6933" i="7"/>
  <c r="D6934" i="7"/>
  <c r="D6935" i="7"/>
  <c r="D6936" i="7"/>
  <c r="D6937" i="7"/>
  <c r="D6938" i="7"/>
  <c r="S584" i="6" s="1"/>
  <c r="D6939" i="7"/>
  <c r="D6940" i="7"/>
  <c r="D6941" i="7"/>
  <c r="D6942" i="7"/>
  <c r="D6943" i="7"/>
  <c r="D6944" i="7"/>
  <c r="S381" i="6" s="1"/>
  <c r="W381" i="6" s="1"/>
  <c r="D6945" i="7"/>
  <c r="D6946" i="7"/>
  <c r="D6947" i="7"/>
  <c r="D6948" i="7"/>
  <c r="D6949" i="7"/>
  <c r="D6950" i="7"/>
  <c r="D6951" i="7"/>
  <c r="D6952" i="7"/>
  <c r="D6953" i="7"/>
  <c r="D6954" i="7"/>
  <c r="D6955" i="7"/>
  <c r="D6956" i="7"/>
  <c r="D6957" i="7"/>
  <c r="D6958" i="7"/>
  <c r="D6959" i="7"/>
  <c r="D6960" i="7"/>
  <c r="S661" i="6" s="1"/>
  <c r="D6961" i="7"/>
  <c r="D6962" i="7"/>
  <c r="D6963" i="7"/>
  <c r="D6964" i="7"/>
  <c r="S48" i="6" s="1"/>
  <c r="D6965" i="7"/>
  <c r="D6966" i="7"/>
  <c r="D6967" i="7"/>
  <c r="D6968" i="7"/>
  <c r="D6969" i="7"/>
  <c r="D6970" i="7"/>
  <c r="S438" i="6" s="1"/>
  <c r="W438" i="6" s="1"/>
  <c r="D6971" i="7"/>
  <c r="D6972" i="7"/>
  <c r="D6973" i="7"/>
  <c r="D6974" i="7"/>
  <c r="D6975" i="7"/>
  <c r="D6976" i="7"/>
  <c r="D6977" i="7"/>
  <c r="D6978" i="7"/>
  <c r="D6979" i="7"/>
  <c r="D6980" i="7"/>
  <c r="D6981" i="7"/>
  <c r="D6982" i="7"/>
  <c r="D6983" i="7"/>
  <c r="D6984" i="7"/>
  <c r="D6985" i="7"/>
  <c r="D6986" i="7"/>
  <c r="D6987" i="7"/>
  <c r="D6988" i="7"/>
  <c r="D6989" i="7"/>
  <c r="D6990" i="7"/>
  <c r="D6991" i="7"/>
  <c r="D6992" i="7"/>
  <c r="D6993" i="7"/>
  <c r="D6994" i="7"/>
  <c r="D6995" i="7"/>
  <c r="D6996" i="7"/>
  <c r="D6997" i="7"/>
  <c r="D6998" i="7"/>
  <c r="D6999" i="7"/>
  <c r="D7000" i="7"/>
  <c r="D7001" i="7"/>
  <c r="D7002" i="7"/>
  <c r="D7003" i="7"/>
  <c r="D7004" i="7"/>
  <c r="S184" i="6" s="1"/>
  <c r="W184" i="6" s="1"/>
  <c r="D7005" i="7"/>
  <c r="D7006" i="7"/>
  <c r="D7007" i="7"/>
  <c r="D7008" i="7"/>
  <c r="D7009" i="7"/>
  <c r="D7010" i="7"/>
  <c r="D7011" i="7"/>
  <c r="D7012" i="7"/>
  <c r="D7013" i="7"/>
  <c r="D7014" i="7"/>
  <c r="D7015" i="7"/>
  <c r="D7016" i="7"/>
  <c r="D7017" i="7"/>
  <c r="D7018" i="7"/>
  <c r="D7019" i="7"/>
  <c r="D7020" i="7"/>
  <c r="D7021" i="7"/>
  <c r="D7022" i="7"/>
  <c r="D7023" i="7"/>
  <c r="D7024" i="7"/>
  <c r="D7025" i="7"/>
  <c r="D7026" i="7"/>
  <c r="D7027" i="7"/>
  <c r="D7028" i="7"/>
  <c r="D7029" i="7"/>
  <c r="D7030" i="7"/>
  <c r="D7031" i="7"/>
  <c r="D7032" i="7"/>
  <c r="D7033" i="7"/>
  <c r="D7034" i="7"/>
  <c r="D7035" i="7"/>
  <c r="D7036" i="7"/>
  <c r="D7037" i="7"/>
  <c r="D7038" i="7"/>
  <c r="D7039" i="7"/>
  <c r="D7040" i="7"/>
  <c r="D7041" i="7"/>
  <c r="D7042" i="7"/>
  <c r="D7043" i="7"/>
  <c r="D7044" i="7"/>
  <c r="D7045" i="7"/>
  <c r="D7046" i="7"/>
  <c r="D7047" i="7"/>
  <c r="D7048" i="7"/>
  <c r="D7049" i="7"/>
  <c r="D7050" i="7"/>
  <c r="D7051" i="7"/>
  <c r="D7052" i="7"/>
  <c r="D7053" i="7"/>
  <c r="D7054" i="7"/>
  <c r="D7055" i="7"/>
  <c r="D7056" i="7"/>
  <c r="D7057" i="7"/>
  <c r="D7058" i="7"/>
  <c r="D7059" i="7"/>
  <c r="D7060" i="7"/>
  <c r="D7061" i="7"/>
  <c r="D7062" i="7"/>
  <c r="D7063" i="7"/>
  <c r="D7064" i="7"/>
  <c r="D7065" i="7"/>
  <c r="D7066" i="7"/>
  <c r="D7067" i="7"/>
  <c r="D7068" i="7"/>
  <c r="D7069" i="7"/>
  <c r="S350" i="6" s="1"/>
  <c r="W350" i="6" s="1"/>
  <c r="D7070" i="7"/>
  <c r="D7071" i="7"/>
  <c r="D7072" i="7"/>
  <c r="D7073" i="7"/>
  <c r="D7074" i="7"/>
  <c r="D7075" i="7"/>
  <c r="D7076" i="7"/>
  <c r="D7077" i="7"/>
  <c r="D7078" i="7"/>
  <c r="D7079" i="7"/>
  <c r="D7080" i="7"/>
  <c r="D7081" i="7"/>
  <c r="D7082" i="7"/>
  <c r="D7083" i="7"/>
  <c r="D7084" i="7"/>
  <c r="D7085" i="7"/>
  <c r="D7086" i="7"/>
  <c r="D7087" i="7"/>
  <c r="D7088" i="7"/>
  <c r="D7089" i="7"/>
  <c r="D7090" i="7"/>
  <c r="D7091" i="7"/>
  <c r="D7092" i="7"/>
  <c r="D7093" i="7"/>
  <c r="D7094" i="7"/>
  <c r="D7095" i="7"/>
  <c r="D7096" i="7"/>
  <c r="D7097" i="7"/>
  <c r="D7098" i="7"/>
  <c r="D7099" i="7"/>
  <c r="D7100" i="7"/>
  <c r="D7101" i="7"/>
  <c r="D7102" i="7"/>
  <c r="D7103" i="7"/>
  <c r="D7104" i="7"/>
  <c r="D7105" i="7"/>
  <c r="D7106" i="7"/>
  <c r="D7107" i="7"/>
  <c r="D7108" i="7"/>
  <c r="D7109" i="7"/>
  <c r="D7110" i="7"/>
  <c r="D7111" i="7"/>
  <c r="D7112" i="7"/>
  <c r="D7113" i="7"/>
  <c r="D7114" i="7"/>
  <c r="D7115" i="7"/>
  <c r="D7116" i="7"/>
  <c r="D7117" i="7"/>
  <c r="D7118" i="7"/>
  <c r="D7119" i="7"/>
  <c r="D7120" i="7"/>
  <c r="D7121" i="7"/>
  <c r="D7122" i="7"/>
  <c r="D7123" i="7"/>
  <c r="D7124" i="7"/>
  <c r="D7125" i="7"/>
  <c r="D7126" i="7"/>
  <c r="D7127" i="7"/>
  <c r="D7128" i="7"/>
  <c r="D7129" i="7"/>
  <c r="D7130" i="7"/>
  <c r="D7131" i="7"/>
  <c r="D7132" i="7"/>
  <c r="D7133" i="7"/>
  <c r="D7134" i="7"/>
  <c r="D7135" i="7"/>
  <c r="D7136" i="7"/>
  <c r="D7137" i="7"/>
  <c r="D7138" i="7"/>
  <c r="D7139" i="7"/>
  <c r="D7140" i="7"/>
  <c r="D7141" i="7"/>
  <c r="D7142" i="7"/>
  <c r="D7143" i="7"/>
  <c r="D7144" i="7"/>
  <c r="D7145" i="7"/>
  <c r="D7146" i="7"/>
  <c r="D7147" i="7"/>
  <c r="D7148" i="7"/>
  <c r="D7149" i="7"/>
  <c r="D7150" i="7"/>
  <c r="D7151" i="7"/>
  <c r="D7152" i="7"/>
  <c r="D7153" i="7"/>
  <c r="D7154" i="7"/>
  <c r="D7155" i="7"/>
  <c r="D7156" i="7"/>
  <c r="D7157" i="7"/>
  <c r="D7158" i="7"/>
  <c r="D7159" i="7"/>
  <c r="D7160" i="7"/>
  <c r="D7161" i="7"/>
  <c r="D7162" i="7"/>
  <c r="D7163" i="7"/>
  <c r="D7164" i="7"/>
  <c r="D7165" i="7"/>
  <c r="D7166" i="7"/>
  <c r="D7167" i="7"/>
  <c r="D7168" i="7"/>
  <c r="D7169" i="7"/>
  <c r="D7170" i="7"/>
  <c r="D7171" i="7"/>
  <c r="D7172" i="7"/>
  <c r="D7173" i="7"/>
  <c r="D7174" i="7"/>
  <c r="D7175" i="7"/>
  <c r="D7176" i="7"/>
  <c r="D7177" i="7"/>
  <c r="D7178" i="7"/>
  <c r="D7179" i="7"/>
  <c r="D7180" i="7"/>
  <c r="D7181" i="7"/>
  <c r="D7182" i="7"/>
  <c r="D7183" i="7"/>
  <c r="D7184" i="7"/>
  <c r="D7185" i="7"/>
  <c r="D7186" i="7"/>
  <c r="D7187" i="7"/>
  <c r="D7188" i="7"/>
  <c r="D7189" i="7"/>
  <c r="D7190" i="7"/>
  <c r="D7191" i="7"/>
  <c r="D7192" i="7"/>
  <c r="D7193" i="7"/>
  <c r="D7194" i="7"/>
  <c r="D7195" i="7"/>
  <c r="S473" i="6" s="1"/>
  <c r="W473" i="6" s="1"/>
  <c r="D7196" i="7"/>
  <c r="D7197" i="7"/>
  <c r="D7198" i="7"/>
  <c r="D7199" i="7"/>
  <c r="D7200" i="7"/>
  <c r="D7201" i="7"/>
  <c r="D7202" i="7"/>
  <c r="D7203" i="7"/>
  <c r="D7204" i="7"/>
  <c r="D7205" i="7"/>
  <c r="D7206" i="7"/>
  <c r="D7207" i="7"/>
  <c r="S666" i="6" s="1"/>
  <c r="W666" i="6" s="1"/>
  <c r="D7208" i="7"/>
  <c r="D7209" i="7"/>
  <c r="D7210" i="7"/>
  <c r="D7211" i="7"/>
  <c r="D7212" i="7"/>
  <c r="D7213" i="7"/>
  <c r="D7214" i="7"/>
  <c r="D7215" i="7"/>
  <c r="D7216" i="7"/>
  <c r="D7217" i="7"/>
  <c r="D7218" i="7"/>
  <c r="D7219" i="7"/>
  <c r="D7220" i="7"/>
  <c r="D7221" i="7"/>
  <c r="D7222" i="7"/>
  <c r="D7223" i="7"/>
  <c r="D7224" i="7"/>
  <c r="D7225" i="7"/>
  <c r="D7226" i="7"/>
  <c r="D7227" i="7"/>
  <c r="D7228" i="7"/>
  <c r="D7229" i="7"/>
  <c r="D7230" i="7"/>
  <c r="D7231" i="7"/>
  <c r="D7232" i="7"/>
  <c r="D7233" i="7"/>
  <c r="D7234" i="7"/>
  <c r="D7235" i="7"/>
  <c r="D7236" i="7"/>
  <c r="D7237" i="7"/>
  <c r="D7238" i="7"/>
  <c r="D7239" i="7"/>
  <c r="D7240" i="7"/>
  <c r="D7241" i="7"/>
  <c r="D7242" i="7"/>
  <c r="D7243" i="7"/>
  <c r="S186" i="6" s="1"/>
  <c r="W186" i="6" s="1"/>
  <c r="D7244" i="7"/>
  <c r="D7245" i="7"/>
  <c r="D7246" i="7"/>
  <c r="D7247" i="7"/>
  <c r="D7248" i="7"/>
  <c r="D7249" i="7"/>
  <c r="D7250" i="7"/>
  <c r="D7251" i="7"/>
  <c r="D7252" i="7"/>
  <c r="D7253" i="7"/>
  <c r="D7254" i="7"/>
  <c r="D7255" i="7"/>
  <c r="D7256" i="7"/>
  <c r="D7257" i="7"/>
  <c r="D7258" i="7"/>
  <c r="D7259" i="7"/>
  <c r="D7260" i="7"/>
  <c r="D7261" i="7"/>
  <c r="D7262" i="7"/>
  <c r="D7263" i="7"/>
  <c r="D7264" i="7"/>
  <c r="D7265" i="7"/>
  <c r="D7266" i="7"/>
  <c r="D7267" i="7"/>
  <c r="D7268" i="7"/>
  <c r="D7269" i="7"/>
  <c r="D7270" i="7"/>
  <c r="D7271" i="7"/>
  <c r="D7272" i="7"/>
  <c r="D7273" i="7"/>
  <c r="D7274" i="7"/>
  <c r="D7275" i="7"/>
  <c r="D7276" i="7"/>
  <c r="D7277" i="7"/>
  <c r="D7278" i="7"/>
  <c r="D7279" i="7"/>
  <c r="D7280" i="7"/>
  <c r="D7281" i="7"/>
  <c r="D7282" i="7"/>
  <c r="D7283" i="7"/>
  <c r="D7284" i="7"/>
  <c r="D7285" i="7"/>
  <c r="D7286" i="7"/>
  <c r="D7287" i="7"/>
  <c r="S668" i="6" s="1"/>
  <c r="D7288" i="7"/>
  <c r="D7289" i="7"/>
  <c r="D7290" i="7"/>
  <c r="D7291" i="7"/>
  <c r="D7292" i="7"/>
  <c r="D7293" i="7"/>
  <c r="D7294" i="7"/>
  <c r="D7295" i="7"/>
  <c r="D7296" i="7"/>
  <c r="D7297" i="7"/>
  <c r="D7298" i="7"/>
  <c r="D7299" i="7"/>
  <c r="D7300" i="7"/>
  <c r="D7301" i="7"/>
  <c r="D7302" i="7"/>
  <c r="D7303" i="7"/>
  <c r="D7304" i="7"/>
  <c r="D7305" i="7"/>
  <c r="D7306" i="7"/>
  <c r="D7307" i="7"/>
  <c r="D7308" i="7"/>
  <c r="D7309" i="7"/>
  <c r="D7310" i="7"/>
  <c r="D7311" i="7"/>
  <c r="D7312" i="7"/>
  <c r="D7313" i="7"/>
  <c r="D7314" i="7"/>
  <c r="D7315" i="7"/>
  <c r="D7316" i="7"/>
  <c r="D7317" i="7"/>
  <c r="D7318" i="7"/>
  <c r="D7319" i="7"/>
  <c r="D7320" i="7"/>
  <c r="D7321" i="7"/>
  <c r="D7322" i="7"/>
  <c r="D7323" i="7"/>
  <c r="D7324" i="7"/>
  <c r="S185" i="6" s="1"/>
  <c r="W185" i="6" s="1"/>
  <c r="D7325" i="7"/>
  <c r="D7326" i="7"/>
  <c r="D7327" i="7"/>
  <c r="D7328" i="7"/>
  <c r="D7329" i="7"/>
  <c r="D7330" i="7"/>
  <c r="D7331" i="7"/>
  <c r="D7332" i="7"/>
  <c r="D7333" i="7"/>
  <c r="D7334" i="7"/>
  <c r="D7335" i="7"/>
  <c r="D7336" i="7"/>
  <c r="D7337" i="7"/>
  <c r="D7338" i="7"/>
  <c r="D7339" i="7"/>
  <c r="D7340" i="7"/>
  <c r="D7341" i="7"/>
  <c r="D7342" i="7"/>
  <c r="D7343" i="7"/>
  <c r="D7344" i="7"/>
  <c r="D7345" i="7"/>
  <c r="D7346" i="7"/>
  <c r="D7347" i="7"/>
  <c r="D7348" i="7"/>
  <c r="D7349" i="7"/>
  <c r="S403" i="6" s="1"/>
  <c r="W403" i="6" s="1"/>
  <c r="D7350" i="7"/>
  <c r="S564" i="6" s="1"/>
  <c r="D7351" i="7"/>
  <c r="D7352" i="7"/>
  <c r="D7353" i="7"/>
  <c r="D7354" i="7"/>
  <c r="D7355" i="7"/>
  <c r="D7356" i="7"/>
  <c r="D7357" i="7"/>
  <c r="D7358" i="7"/>
  <c r="D7359" i="7"/>
  <c r="D7360" i="7"/>
  <c r="D7361" i="7"/>
  <c r="D7362" i="7"/>
  <c r="D7363" i="7"/>
  <c r="D7364" i="7"/>
  <c r="D7365" i="7"/>
  <c r="D7366" i="7"/>
  <c r="S305" i="6" s="1"/>
  <c r="W305" i="6" s="1"/>
  <c r="D7367" i="7"/>
  <c r="D7368" i="7"/>
  <c r="D7369" i="7"/>
  <c r="D7370" i="7"/>
  <c r="D7371" i="7"/>
  <c r="D7372" i="7"/>
  <c r="D7373" i="7"/>
  <c r="D7374" i="7"/>
  <c r="D7375" i="7"/>
  <c r="D7376" i="7"/>
  <c r="D7377" i="7"/>
  <c r="D7378" i="7"/>
  <c r="D7379" i="7"/>
  <c r="D7380" i="7"/>
  <c r="D7381" i="7"/>
  <c r="D7382" i="7"/>
  <c r="D7383" i="7"/>
  <c r="D7384" i="7"/>
  <c r="D7385" i="7"/>
  <c r="D7386" i="7"/>
  <c r="D7387" i="7"/>
  <c r="D7388" i="7"/>
  <c r="D7389" i="7"/>
  <c r="D7390" i="7"/>
  <c r="D7391" i="7"/>
  <c r="D7392" i="7"/>
  <c r="D7393" i="7"/>
  <c r="D7394" i="7"/>
  <c r="D7395" i="7"/>
  <c r="D7396" i="7"/>
  <c r="D7397" i="7"/>
  <c r="D7398" i="7"/>
  <c r="D7399" i="7"/>
  <c r="D7400" i="7"/>
  <c r="D7401" i="7"/>
  <c r="D7402" i="7"/>
  <c r="D7403" i="7"/>
  <c r="D7404" i="7"/>
  <c r="D7405" i="7"/>
  <c r="D7406" i="7"/>
  <c r="D7407" i="7"/>
  <c r="D7408" i="7"/>
  <c r="D7409" i="7"/>
  <c r="D7410" i="7"/>
  <c r="S304" i="6" s="1"/>
  <c r="W304" i="6" s="1"/>
  <c r="D7411" i="7"/>
  <c r="D7412" i="7"/>
  <c r="D7413" i="7"/>
  <c r="D7414" i="7"/>
  <c r="D7415" i="7"/>
  <c r="D7416" i="7"/>
  <c r="D7417" i="7"/>
  <c r="D7418" i="7"/>
  <c r="D7419" i="7"/>
  <c r="D7420" i="7"/>
  <c r="D7421" i="7"/>
  <c r="D7422" i="7"/>
  <c r="D7423" i="7"/>
  <c r="D7424" i="7"/>
  <c r="D7425" i="7"/>
  <c r="D7426" i="7"/>
  <c r="D7427" i="7"/>
  <c r="D7428" i="7"/>
  <c r="D7429" i="7"/>
  <c r="D7430" i="7"/>
  <c r="D7431" i="7"/>
  <c r="S673" i="6" s="1"/>
  <c r="D7432" i="7"/>
  <c r="D7433" i="7"/>
  <c r="D7434" i="7"/>
  <c r="D7435" i="7"/>
  <c r="D7436" i="7"/>
  <c r="D7437" i="7"/>
  <c r="D7438" i="7"/>
  <c r="D7439" i="7"/>
  <c r="D7440" i="7"/>
  <c r="D7441" i="7"/>
  <c r="D7442" i="7"/>
  <c r="D7443" i="7"/>
  <c r="D7444" i="7"/>
  <c r="D7445" i="7"/>
  <c r="D7446" i="7"/>
  <c r="D7447" i="7"/>
  <c r="D7448" i="7"/>
  <c r="S180" i="6" s="1"/>
  <c r="D7449" i="7"/>
  <c r="D7450" i="7"/>
  <c r="D7451" i="7"/>
  <c r="D7452" i="7"/>
  <c r="D7453" i="7"/>
  <c r="D7454" i="7"/>
  <c r="D7455" i="7"/>
  <c r="D7456" i="7"/>
  <c r="D7457" i="7"/>
  <c r="D7458" i="7"/>
  <c r="D7459" i="7"/>
  <c r="D7460" i="7"/>
  <c r="S491" i="6" s="1"/>
  <c r="D7461" i="7"/>
  <c r="D7462" i="7"/>
  <c r="D7463" i="7"/>
  <c r="D7464" i="7"/>
  <c r="D7465" i="7"/>
  <c r="S253" i="6" s="1"/>
  <c r="D7466" i="7"/>
  <c r="D7467" i="7"/>
  <c r="D7468" i="7"/>
  <c r="D7469" i="7"/>
  <c r="D7470" i="7"/>
  <c r="D7471" i="7"/>
  <c r="D7472" i="7"/>
  <c r="D7473" i="7"/>
  <c r="D7474" i="7"/>
  <c r="D7475" i="7"/>
  <c r="D7476" i="7"/>
  <c r="D7477" i="7"/>
  <c r="D7478" i="7"/>
  <c r="D7479" i="7"/>
  <c r="D7480" i="7"/>
  <c r="S667" i="6" s="1"/>
  <c r="D7481" i="7"/>
  <c r="S258" i="6" s="1"/>
  <c r="W258" i="6" s="1"/>
  <c r="D7482" i="7"/>
  <c r="D7483" i="7"/>
  <c r="D7484" i="7"/>
  <c r="D7485" i="7"/>
  <c r="D7486" i="7"/>
  <c r="D7487" i="7"/>
  <c r="D7488" i="7"/>
  <c r="S495" i="6" s="1"/>
  <c r="W495" i="6" s="1"/>
  <c r="D7489" i="7"/>
  <c r="D7490" i="7"/>
  <c r="D7491" i="7"/>
  <c r="D7492" i="7"/>
  <c r="D7493" i="7"/>
  <c r="D7494" i="7"/>
  <c r="D7495" i="7"/>
  <c r="D7496" i="7"/>
  <c r="S462" i="6" s="1"/>
  <c r="W462" i="6" s="1"/>
  <c r="D7497" i="7"/>
  <c r="S463" i="6" s="1"/>
  <c r="W463" i="6" s="1"/>
  <c r="D7498" i="7"/>
  <c r="S464" i="6" s="1"/>
  <c r="W464" i="6" s="1"/>
  <c r="D7499" i="7"/>
  <c r="S465" i="6" s="1"/>
  <c r="W465" i="6" s="1"/>
  <c r="D7500" i="7"/>
  <c r="D7501" i="7"/>
  <c r="D7502" i="7"/>
  <c r="D7503" i="7"/>
  <c r="D7504" i="7"/>
  <c r="D7505" i="7"/>
  <c r="D7506" i="7"/>
  <c r="S302" i="6" s="1"/>
  <c r="W302" i="6" s="1"/>
  <c r="D7507" i="7"/>
  <c r="D7508" i="7"/>
  <c r="S303" i="6" s="1"/>
  <c r="W303" i="6" s="1"/>
  <c r="D7509" i="7"/>
  <c r="D7510" i="7"/>
  <c r="D7511" i="7"/>
  <c r="D7512" i="7"/>
  <c r="D7513" i="7"/>
  <c r="D7514" i="7"/>
  <c r="S563" i="6" s="1"/>
  <c r="D7515" i="7"/>
  <c r="D7516" i="7"/>
  <c r="D7517" i="7"/>
  <c r="D7518" i="7"/>
  <c r="D7519" i="7"/>
  <c r="D7520" i="7"/>
  <c r="D7521" i="7"/>
  <c r="D7522" i="7"/>
  <c r="D7523" i="7"/>
  <c r="D7524" i="7"/>
  <c r="D7525" i="7"/>
  <c r="D7526" i="7"/>
  <c r="D7527" i="7"/>
  <c r="D7528" i="7"/>
  <c r="D7529" i="7"/>
  <c r="D7530" i="7"/>
  <c r="D7531" i="7"/>
  <c r="D7532" i="7"/>
  <c r="D7533" i="7"/>
  <c r="D7534" i="7"/>
  <c r="D7535" i="7"/>
  <c r="D7536" i="7"/>
  <c r="D7537" i="7"/>
  <c r="D7538" i="7"/>
  <c r="D7539" i="7"/>
  <c r="S379" i="6" s="1"/>
  <c r="D7540" i="7"/>
  <c r="D7541" i="7"/>
  <c r="D7542" i="7"/>
  <c r="D7543" i="7"/>
  <c r="D7544" i="7"/>
  <c r="D7545" i="7"/>
  <c r="D7546" i="7"/>
  <c r="D7547" i="7"/>
  <c r="D7548" i="7"/>
  <c r="D7549" i="7"/>
  <c r="D7550" i="7"/>
  <c r="D7551" i="7"/>
  <c r="D7552" i="7"/>
  <c r="D7553" i="7"/>
  <c r="D7554" i="7"/>
  <c r="D7555" i="7"/>
  <c r="D7556" i="7"/>
  <c r="D7557" i="7"/>
  <c r="D7558" i="7"/>
  <c r="D7559" i="7"/>
  <c r="D7560" i="7"/>
  <c r="D7561" i="7"/>
  <c r="D7562" i="7"/>
  <c r="D7563" i="7"/>
  <c r="S40" i="6" s="1"/>
  <c r="W40" i="6" s="1"/>
  <c r="D7564" i="7"/>
  <c r="D7565" i="7"/>
  <c r="D7566" i="7"/>
  <c r="D7567" i="7"/>
  <c r="D7568" i="7"/>
  <c r="D7569" i="7"/>
  <c r="D7570" i="7"/>
  <c r="D7571" i="7"/>
  <c r="D7572" i="7"/>
  <c r="D7573" i="7"/>
  <c r="D7574" i="7"/>
  <c r="D7575" i="7"/>
  <c r="D7576" i="7"/>
  <c r="D7577" i="7"/>
  <c r="D7578" i="7"/>
  <c r="S297" i="6" s="1"/>
  <c r="D7579" i="7"/>
  <c r="D7580" i="7"/>
  <c r="D7581" i="7"/>
  <c r="S565" i="6" s="1"/>
  <c r="D7582" i="7"/>
  <c r="D7583" i="7"/>
  <c r="D7584" i="7"/>
  <c r="D7585" i="7"/>
  <c r="D7586" i="7"/>
  <c r="D7587" i="7"/>
  <c r="D7588" i="7"/>
  <c r="D7589" i="7"/>
  <c r="D7590" i="7"/>
  <c r="D7591" i="7"/>
  <c r="D7592" i="7"/>
  <c r="D7593" i="7"/>
  <c r="D7594" i="7"/>
  <c r="D7595" i="7"/>
  <c r="S669" i="6" s="1"/>
  <c r="W669" i="6" s="1"/>
  <c r="D7596" i="7"/>
  <c r="D7597" i="7"/>
  <c r="D7598" i="7"/>
  <c r="D7599" i="7"/>
  <c r="D7600" i="7"/>
  <c r="D7601" i="7"/>
  <c r="D7602" i="7"/>
  <c r="D7603" i="7"/>
  <c r="D7604" i="7"/>
  <c r="D7605" i="7"/>
  <c r="D7606" i="7"/>
  <c r="D7607" i="7"/>
  <c r="D7608" i="7"/>
  <c r="D7609" i="7"/>
  <c r="D7610" i="7"/>
  <c r="D7611" i="7"/>
  <c r="D7612" i="7"/>
  <c r="D7613" i="7"/>
  <c r="D7614" i="7"/>
  <c r="D7615" i="7"/>
  <c r="D7616" i="7"/>
  <c r="D7617" i="7"/>
  <c r="D7618" i="7"/>
  <c r="D7619" i="7"/>
  <c r="D7620" i="7"/>
  <c r="D7621" i="7"/>
  <c r="D7622" i="7"/>
  <c r="D7623" i="7"/>
  <c r="D7624" i="7"/>
  <c r="D7625" i="7"/>
  <c r="D7626" i="7"/>
  <c r="D7627" i="7"/>
  <c r="D7628" i="7"/>
  <c r="D7629" i="7"/>
  <c r="D7630" i="7"/>
  <c r="D7631" i="7"/>
  <c r="D7632" i="7"/>
  <c r="D7633" i="7"/>
  <c r="D7634" i="7"/>
  <c r="D7635" i="7"/>
  <c r="D7636" i="7"/>
  <c r="D7637" i="7"/>
  <c r="D7638" i="7"/>
  <c r="D7639" i="7"/>
  <c r="D7640" i="7"/>
  <c r="D7641" i="7"/>
  <c r="D7642" i="7"/>
  <c r="D7643" i="7"/>
  <c r="D7644" i="7"/>
  <c r="D7645" i="7"/>
  <c r="D7646" i="7"/>
  <c r="D7647" i="7"/>
  <c r="D7648" i="7"/>
  <c r="D7649" i="7"/>
  <c r="D7650" i="7"/>
  <c r="D7651" i="7"/>
  <c r="D7652" i="7"/>
  <c r="D7653" i="7"/>
  <c r="S183" i="6" s="1"/>
  <c r="W183" i="6" s="1"/>
  <c r="D7654" i="7"/>
  <c r="D7655" i="7"/>
  <c r="D7656" i="7"/>
  <c r="D7657" i="7"/>
  <c r="D7658" i="7"/>
  <c r="D7659" i="7"/>
  <c r="D7660" i="7"/>
  <c r="D7661" i="7"/>
  <c r="D7662" i="7"/>
  <c r="D7663" i="7"/>
  <c r="D7664" i="7"/>
  <c r="D7665" i="7"/>
  <c r="D7666" i="7"/>
  <c r="D7667" i="7"/>
  <c r="D7668" i="7"/>
  <c r="D7669" i="7"/>
  <c r="S562" i="6" s="1"/>
  <c r="D7670" i="7"/>
  <c r="D7671" i="7"/>
  <c r="D7672" i="7"/>
  <c r="D7673" i="7"/>
  <c r="D7674" i="7"/>
  <c r="D7675" i="7"/>
  <c r="D7676" i="7"/>
  <c r="D7677" i="7"/>
  <c r="D7678" i="7"/>
  <c r="D7679" i="7"/>
  <c r="D7680" i="7"/>
  <c r="D7681" i="7"/>
  <c r="D7682" i="7"/>
  <c r="D7683" i="7"/>
  <c r="D7684" i="7"/>
  <c r="D7685" i="7"/>
  <c r="S245" i="6" s="1"/>
  <c r="W245" i="6" s="1"/>
  <c r="D7686" i="7"/>
  <c r="D7687" i="7"/>
  <c r="D7688" i="7"/>
  <c r="D7689" i="7"/>
  <c r="D7690" i="7"/>
  <c r="D7691" i="7"/>
  <c r="D7692" i="7"/>
  <c r="D7693" i="7"/>
  <c r="D7694" i="7"/>
  <c r="D7695" i="7"/>
  <c r="D7696" i="7"/>
  <c r="D7697" i="7"/>
  <c r="D7698" i="7"/>
  <c r="D7699" i="7"/>
  <c r="D7700" i="7"/>
  <c r="D7701" i="7"/>
  <c r="D7702" i="7"/>
  <c r="D7703" i="7"/>
  <c r="D7704" i="7"/>
  <c r="D7705" i="7"/>
  <c r="D7706" i="7"/>
  <c r="D7707" i="7"/>
  <c r="D7708" i="7"/>
  <c r="D7709" i="7"/>
  <c r="D7710" i="7"/>
  <c r="D7711" i="7"/>
  <c r="D7712" i="7"/>
  <c r="D7713" i="7"/>
  <c r="D7714" i="7"/>
  <c r="D7715" i="7"/>
  <c r="D7716" i="7"/>
  <c r="D7717" i="7"/>
  <c r="D7718" i="7"/>
  <c r="D7719" i="7"/>
  <c r="D7720" i="7"/>
  <c r="D7721" i="7"/>
  <c r="D7722" i="7"/>
  <c r="D7723" i="7"/>
  <c r="D7724" i="7"/>
  <c r="D7725" i="7"/>
  <c r="D7726" i="7"/>
  <c r="D7727" i="7"/>
  <c r="D7728" i="7"/>
  <c r="D7729" i="7"/>
  <c r="D7730" i="7"/>
  <c r="D7731" i="7"/>
  <c r="D7732" i="7"/>
  <c r="D7733" i="7"/>
  <c r="D7734" i="7"/>
  <c r="D7735" i="7"/>
  <c r="D7736" i="7"/>
  <c r="D7737" i="7"/>
  <c r="D7738" i="7"/>
  <c r="D7739" i="7"/>
  <c r="D7740" i="7"/>
  <c r="D7741" i="7"/>
  <c r="D7742" i="7"/>
  <c r="D7743" i="7"/>
  <c r="D7744" i="7"/>
  <c r="D7745" i="7"/>
  <c r="S259" i="6" s="1"/>
  <c r="W259" i="6" s="1"/>
  <c r="D7746" i="7"/>
  <c r="D7747" i="7"/>
  <c r="S496" i="6" s="1"/>
  <c r="W496" i="6" s="1"/>
  <c r="D7748" i="7"/>
  <c r="D7749" i="7"/>
  <c r="D7750" i="7"/>
  <c r="D7751" i="7"/>
  <c r="D7752" i="7"/>
  <c r="D7753" i="7"/>
  <c r="D7754" i="7"/>
  <c r="D7755" i="7"/>
  <c r="D7756" i="7"/>
  <c r="D7757" i="7"/>
  <c r="D7758" i="7"/>
  <c r="D7759" i="7"/>
  <c r="D7760" i="7"/>
  <c r="D7761" i="7"/>
  <c r="D7762" i="7"/>
  <c r="D7763" i="7"/>
  <c r="D7764" i="7"/>
  <c r="D7765" i="7"/>
  <c r="D7766" i="7"/>
  <c r="D7767" i="7"/>
  <c r="D7768" i="7"/>
  <c r="D7769" i="7"/>
  <c r="D7770" i="7"/>
  <c r="D7771" i="7"/>
  <c r="D7772" i="7"/>
  <c r="D7773" i="7"/>
  <c r="D7774" i="7"/>
  <c r="D7775" i="7"/>
  <c r="D7776" i="7"/>
  <c r="D7777" i="7"/>
  <c r="S671" i="6" s="1"/>
  <c r="D7778" i="7"/>
  <c r="D7779" i="7"/>
  <c r="D7780" i="7"/>
  <c r="D7781" i="7"/>
  <c r="D7782" i="7"/>
  <c r="D7783" i="7"/>
  <c r="D7784" i="7"/>
  <c r="D7785" i="7"/>
  <c r="D7786" i="7"/>
  <c r="D7787" i="7"/>
  <c r="D7788" i="7"/>
  <c r="D7789" i="7"/>
  <c r="D7790" i="7"/>
  <c r="D7791" i="7"/>
  <c r="D7792" i="7"/>
  <c r="D7793" i="7"/>
  <c r="D7794" i="7"/>
  <c r="D7795" i="7"/>
  <c r="D7796" i="7"/>
  <c r="D7797" i="7"/>
  <c r="D7798" i="7"/>
  <c r="D7799" i="7"/>
  <c r="D7800" i="7"/>
  <c r="D7801" i="7"/>
  <c r="D7802" i="7"/>
  <c r="D7803" i="7"/>
  <c r="D7804" i="7"/>
  <c r="S670" i="6" s="1"/>
  <c r="D7805" i="7"/>
  <c r="D7806" i="7"/>
  <c r="D7807" i="7"/>
  <c r="D7808" i="7"/>
  <c r="D7809" i="7"/>
  <c r="D7810" i="7"/>
  <c r="D7811" i="7"/>
  <c r="D7812" i="7"/>
  <c r="D7813" i="7"/>
  <c r="D7814" i="7"/>
  <c r="D7815" i="7"/>
  <c r="D7816" i="7"/>
  <c r="D7817" i="7"/>
  <c r="D7818" i="7"/>
  <c r="D7819" i="7"/>
  <c r="D7820" i="7"/>
  <c r="D7821" i="7"/>
  <c r="D7822" i="7"/>
  <c r="D7823" i="7"/>
  <c r="D7824" i="7"/>
  <c r="D7825" i="7"/>
  <c r="D7826" i="7"/>
  <c r="D7827" i="7"/>
  <c r="D7828" i="7"/>
  <c r="D7829" i="7"/>
  <c r="D7830" i="7"/>
  <c r="D7831" i="7"/>
  <c r="D7832" i="7"/>
  <c r="D7833" i="7"/>
  <c r="D7834" i="7"/>
  <c r="S561" i="6" s="1"/>
  <c r="W561" i="6" s="1"/>
  <c r="D7835" i="7"/>
  <c r="D7836" i="7"/>
  <c r="D7837" i="7"/>
  <c r="D7838" i="7"/>
  <c r="D7839" i="7"/>
  <c r="D7840" i="7"/>
  <c r="D7841" i="7"/>
  <c r="D7842" i="7"/>
  <c r="D7843" i="7"/>
  <c r="D7844" i="7"/>
  <c r="D7845" i="7"/>
  <c r="D7846" i="7"/>
  <c r="D7847" i="7"/>
  <c r="D7848" i="7"/>
  <c r="D7849" i="7"/>
  <c r="D7850" i="7"/>
  <c r="D7851" i="7"/>
  <c r="D7852" i="7"/>
  <c r="D7853" i="7"/>
  <c r="D7854" i="7"/>
  <c r="D7855" i="7"/>
  <c r="D7856" i="7"/>
  <c r="D7857" i="7"/>
  <c r="D7858" i="7"/>
  <c r="D7859" i="7"/>
  <c r="D7860" i="7"/>
  <c r="D7861" i="7"/>
  <c r="D7862" i="7"/>
  <c r="D7863" i="7"/>
  <c r="D7864" i="7"/>
  <c r="D7865" i="7"/>
  <c r="D7866" i="7"/>
  <c r="D7867" i="7"/>
  <c r="D7868" i="7"/>
  <c r="D7869" i="7"/>
  <c r="D7870" i="7"/>
  <c r="D7871" i="7"/>
  <c r="D7872" i="7"/>
  <c r="D7873" i="7"/>
  <c r="D7874" i="7"/>
  <c r="D7875" i="7"/>
  <c r="D7876" i="7"/>
  <c r="D7877" i="7"/>
  <c r="D7878" i="7"/>
  <c r="D7879" i="7"/>
  <c r="D7880" i="7"/>
  <c r="D7881" i="7"/>
  <c r="D7882" i="7"/>
  <c r="D7883" i="7"/>
  <c r="D7884" i="7"/>
  <c r="D7885" i="7"/>
  <c r="D7886" i="7"/>
  <c r="D7887" i="7"/>
  <c r="D7888" i="7"/>
  <c r="D7889" i="7"/>
  <c r="D7890" i="7"/>
  <c r="D7891" i="7"/>
  <c r="D7892" i="7"/>
  <c r="D7893" i="7"/>
  <c r="D7894" i="7"/>
  <c r="D7895" i="7"/>
  <c r="D7896" i="7"/>
  <c r="D7897" i="7"/>
  <c r="D7898" i="7"/>
  <c r="D7899" i="7"/>
  <c r="D7900" i="7"/>
  <c r="D7901" i="7"/>
  <c r="D7902" i="7"/>
  <c r="D7903" i="7"/>
  <c r="D7904" i="7"/>
  <c r="D7905" i="7"/>
  <c r="D7906" i="7"/>
  <c r="S295" i="6" s="1"/>
  <c r="W295" i="6" s="1"/>
  <c r="D7907" i="7"/>
  <c r="D7908" i="7"/>
  <c r="D7909" i="7"/>
  <c r="D7910" i="7"/>
  <c r="D7911" i="7"/>
  <c r="D7912" i="7"/>
  <c r="D7913" i="7"/>
  <c r="D7914" i="7"/>
  <c r="D7915" i="7"/>
  <c r="D7916" i="7"/>
  <c r="D7917" i="7"/>
  <c r="D7918" i="7"/>
  <c r="D7919" i="7"/>
  <c r="S398" i="6" s="1"/>
  <c r="W398" i="6" s="1"/>
  <c r="D7920" i="7"/>
  <c r="D7921" i="7"/>
  <c r="D7922" i="7"/>
  <c r="D7923" i="7"/>
  <c r="D7924" i="7"/>
  <c r="D7925" i="7"/>
  <c r="D7926" i="7"/>
  <c r="D7927" i="7"/>
  <c r="D7928" i="7"/>
  <c r="D7929" i="7"/>
  <c r="D7930" i="7"/>
  <c r="D7931" i="7"/>
  <c r="D7932" i="7"/>
  <c r="D7933" i="7"/>
  <c r="S422" i="6" s="1"/>
  <c r="W422" i="6" s="1"/>
  <c r="D7934" i="7"/>
  <c r="D7935" i="7"/>
  <c r="D7936" i="7"/>
  <c r="D7937" i="7"/>
  <c r="D7938" i="7"/>
  <c r="D7939" i="7"/>
  <c r="D7940" i="7"/>
  <c r="D7941" i="7"/>
  <c r="D7942" i="7"/>
  <c r="D7943" i="7"/>
  <c r="D7944" i="7"/>
  <c r="D7945" i="7"/>
  <c r="D7946" i="7"/>
  <c r="D7947" i="7"/>
  <c r="D7948" i="7"/>
  <c r="D7949" i="7"/>
  <c r="D7950" i="7"/>
  <c r="D7951" i="7"/>
  <c r="D7952" i="7"/>
  <c r="D7953" i="7"/>
  <c r="D7954" i="7"/>
  <c r="D7955" i="7"/>
  <c r="D7956" i="7"/>
  <c r="D7957" i="7"/>
  <c r="D7958" i="7"/>
  <c r="D7959" i="7"/>
  <c r="D7960" i="7"/>
  <c r="D7961" i="7"/>
  <c r="D7962" i="7"/>
  <c r="D7963" i="7"/>
  <c r="D7964" i="7"/>
  <c r="D7965" i="7"/>
  <c r="D7966" i="7"/>
  <c r="D7967" i="7"/>
  <c r="D7968" i="7"/>
  <c r="D7969" i="7"/>
  <c r="D7970" i="7"/>
  <c r="D7971" i="7"/>
  <c r="D7972" i="7"/>
  <c r="D7973" i="7"/>
  <c r="D7974" i="7"/>
  <c r="D7975" i="7"/>
  <c r="D7976" i="7"/>
  <c r="D7977" i="7"/>
  <c r="D7978" i="7"/>
  <c r="D7979" i="7"/>
  <c r="D7980" i="7"/>
  <c r="S401" i="6" s="1"/>
  <c r="W401" i="6" s="1"/>
  <c r="D7981" i="7"/>
  <c r="D7982" i="7"/>
  <c r="D7983" i="7"/>
  <c r="D7984" i="7"/>
  <c r="D7985" i="7"/>
  <c r="D7986" i="7"/>
  <c r="D7987" i="7"/>
  <c r="D7988" i="7"/>
  <c r="D7989" i="7"/>
  <c r="D7990" i="7"/>
  <c r="D7991" i="7"/>
  <c r="D7992" i="7"/>
  <c r="D7993" i="7"/>
  <c r="D7994" i="7"/>
  <c r="D7995" i="7"/>
  <c r="D7996" i="7"/>
  <c r="D7997" i="7"/>
  <c r="D7998" i="7"/>
  <c r="D7999" i="7"/>
  <c r="D8000" i="7"/>
  <c r="D8001" i="7"/>
  <c r="D8002" i="7"/>
  <c r="D8003" i="7"/>
  <c r="D8004" i="7"/>
  <c r="D8005" i="7"/>
  <c r="D8006" i="7"/>
  <c r="D8007" i="7"/>
  <c r="D8008" i="7"/>
  <c r="D8009" i="7"/>
  <c r="D8010" i="7"/>
  <c r="D8011" i="7"/>
  <c r="D8012" i="7"/>
  <c r="D8013" i="7"/>
  <c r="D8014" i="7"/>
  <c r="D8015" i="7"/>
  <c r="D8016" i="7"/>
  <c r="D8017" i="7"/>
  <c r="D8018" i="7"/>
  <c r="D8019" i="7"/>
  <c r="D8020" i="7"/>
  <c r="D8021" i="7"/>
  <c r="D8022" i="7"/>
  <c r="D8023" i="7"/>
  <c r="D8024" i="7"/>
  <c r="D8025" i="7"/>
  <c r="D8026" i="7"/>
  <c r="D8027" i="7"/>
  <c r="D8028" i="7"/>
  <c r="D8029" i="7"/>
  <c r="D8030" i="7"/>
  <c r="S222" i="6" s="1"/>
  <c r="W222" i="6" s="1"/>
  <c r="D8031" i="7"/>
  <c r="D8032" i="7"/>
  <c r="D8033" i="7"/>
  <c r="D8034" i="7"/>
  <c r="D8035" i="7"/>
  <c r="D8036" i="7"/>
  <c r="D8037" i="7"/>
  <c r="D8038" i="7"/>
  <c r="D8039" i="7"/>
  <c r="D8040" i="7"/>
  <c r="D8041" i="7"/>
  <c r="D8042" i="7"/>
  <c r="D8043" i="7"/>
  <c r="D8044" i="7"/>
  <c r="D8045" i="7"/>
  <c r="D8046" i="7"/>
  <c r="D8047" i="7"/>
  <c r="D8048" i="7"/>
  <c r="D8049" i="7"/>
  <c r="D8050" i="7"/>
  <c r="D8051" i="7"/>
  <c r="D8052" i="7"/>
  <c r="D8053" i="7"/>
  <c r="D8054" i="7"/>
  <c r="D8055" i="7"/>
  <c r="S140" i="6" s="1"/>
  <c r="D8056" i="7"/>
  <c r="D8057" i="7"/>
  <c r="D8058" i="7"/>
  <c r="D8059" i="7"/>
  <c r="D8060" i="7"/>
  <c r="D8061" i="7"/>
  <c r="D8062" i="7"/>
  <c r="D8063" i="7"/>
  <c r="D8064" i="7"/>
  <c r="D8065" i="7"/>
  <c r="D8066" i="7"/>
  <c r="D8067" i="7"/>
  <c r="D8068" i="7"/>
  <c r="D8069" i="7"/>
  <c r="D8070" i="7"/>
  <c r="D8071" i="7"/>
  <c r="D8072" i="7"/>
  <c r="D8073" i="7"/>
  <c r="D8074" i="7"/>
  <c r="D8075" i="7"/>
  <c r="D8076" i="7"/>
  <c r="D8077" i="7"/>
  <c r="D8078" i="7"/>
  <c r="D8079" i="7"/>
  <c r="D8080" i="7"/>
  <c r="D8081" i="7"/>
  <c r="D8082" i="7"/>
  <c r="D8083" i="7"/>
  <c r="D8084" i="7"/>
  <c r="D8085" i="7"/>
  <c r="S296" i="6" s="1"/>
  <c r="W296" i="6" s="1"/>
  <c r="D8086" i="7"/>
  <c r="D8087" i="7"/>
  <c r="D8088" i="7"/>
  <c r="D8089" i="7"/>
  <c r="D8090" i="7"/>
  <c r="D8091" i="7"/>
  <c r="D8092" i="7"/>
  <c r="D8093" i="7"/>
  <c r="D8094" i="7"/>
  <c r="D8095" i="7"/>
  <c r="D8096" i="7"/>
  <c r="D8097" i="7"/>
  <c r="D8098" i="7"/>
  <c r="D8099" i="7"/>
  <c r="D8100" i="7"/>
  <c r="D8101" i="7"/>
  <c r="D8102" i="7"/>
  <c r="D8103" i="7"/>
  <c r="D8104" i="7"/>
  <c r="D8105" i="7"/>
  <c r="D8106" i="7"/>
  <c r="D8107" i="7"/>
  <c r="D8108" i="7"/>
  <c r="D8109" i="7"/>
  <c r="D8110" i="7"/>
  <c r="D8111" i="7"/>
  <c r="D8112" i="7"/>
  <c r="D8113" i="7"/>
  <c r="D8114" i="7"/>
  <c r="D8115" i="7"/>
  <c r="D8116" i="7"/>
  <c r="D8117" i="7"/>
  <c r="D8118" i="7"/>
  <c r="D8119" i="7"/>
  <c r="D8120" i="7"/>
  <c r="D8121" i="7"/>
  <c r="D8122" i="7"/>
  <c r="D8123" i="7"/>
  <c r="D8124" i="7"/>
  <c r="D8125" i="7"/>
  <c r="D8126" i="7"/>
  <c r="D8127" i="7"/>
  <c r="D8128" i="7"/>
  <c r="D8129" i="7"/>
  <c r="D8130" i="7"/>
  <c r="D8131" i="7"/>
  <c r="D8132" i="7"/>
  <c r="D8133" i="7"/>
  <c r="D8134" i="7"/>
  <c r="D8135" i="7"/>
  <c r="D8136" i="7"/>
  <c r="S181" i="6" s="1"/>
  <c r="D8137" i="7"/>
  <c r="D8138" i="7"/>
  <c r="D8139" i="7"/>
  <c r="D8140" i="7"/>
  <c r="D8141" i="7"/>
  <c r="D8142" i="7"/>
  <c r="D8143" i="7"/>
  <c r="D8144" i="7"/>
  <c r="D8145" i="7"/>
  <c r="D8146" i="7"/>
  <c r="D8147" i="7"/>
  <c r="D8148" i="7"/>
  <c r="D8149" i="7"/>
  <c r="D8150" i="7"/>
  <c r="D8151" i="7"/>
  <c r="D8152" i="7"/>
  <c r="D8153" i="7"/>
  <c r="D8154" i="7"/>
  <c r="D8155" i="7"/>
  <c r="D8156" i="7"/>
  <c r="D8157" i="7"/>
  <c r="D8158" i="7"/>
  <c r="D8159" i="7"/>
  <c r="D8160" i="7"/>
  <c r="D8161" i="7"/>
  <c r="D8162" i="7"/>
  <c r="S674" i="6" s="1"/>
  <c r="W674" i="6" s="1"/>
  <c r="D8163" i="7"/>
  <c r="S675" i="6" s="1"/>
  <c r="W675" i="6" s="1"/>
  <c r="D8164" i="7"/>
  <c r="D8165" i="7"/>
  <c r="D8166" i="7"/>
  <c r="D8167" i="7"/>
  <c r="D8168" i="7"/>
  <c r="D8169" i="7"/>
  <c r="D8170" i="7"/>
  <c r="D8171" i="7"/>
  <c r="D8172" i="7"/>
  <c r="D8173" i="7"/>
  <c r="D8174" i="7"/>
  <c r="D8175" i="7"/>
  <c r="D8176" i="7"/>
  <c r="D8177" i="7"/>
  <c r="D8178" i="7"/>
  <c r="D8179" i="7"/>
  <c r="D8180" i="7"/>
  <c r="D8181" i="7"/>
  <c r="S361" i="6" s="1"/>
  <c r="D8182" i="7"/>
  <c r="D8183" i="7"/>
  <c r="D8184" i="7"/>
  <c r="D8185" i="7"/>
  <c r="D8186" i="7"/>
  <c r="D8187" i="7"/>
  <c r="D8188" i="7"/>
  <c r="D8189" i="7"/>
  <c r="D8190" i="7"/>
  <c r="D8191" i="7"/>
  <c r="D8192" i="7"/>
  <c r="D8193" i="7"/>
  <c r="D8194" i="7"/>
  <c r="D8195" i="7"/>
  <c r="D8196" i="7"/>
  <c r="D8197" i="7"/>
  <c r="D8198" i="7"/>
  <c r="S676" i="6" s="1"/>
  <c r="W676" i="6" s="1"/>
  <c r="D8199" i="7"/>
  <c r="D8200" i="7"/>
  <c r="D8201" i="7"/>
  <c r="D8202" i="7"/>
  <c r="D8203" i="7"/>
  <c r="D8204" i="7"/>
  <c r="D8205" i="7"/>
  <c r="D8206" i="7"/>
  <c r="D8207" i="7"/>
  <c r="S380" i="6" s="1"/>
  <c r="W380" i="6" s="1"/>
  <c r="D8208" i="7"/>
  <c r="D8209" i="7"/>
  <c r="D8210" i="7"/>
  <c r="D8211" i="7"/>
  <c r="D8212" i="7"/>
  <c r="D8213" i="7"/>
  <c r="D8214" i="7"/>
  <c r="S293" i="6" s="1"/>
  <c r="W293" i="6" s="1"/>
  <c r="D8215" i="7"/>
  <c r="S294" i="6" s="1"/>
  <c r="W294" i="6" s="1"/>
  <c r="D8216" i="7"/>
  <c r="D8217" i="7"/>
  <c r="D8218" i="7"/>
  <c r="D8219" i="7"/>
  <c r="D8220" i="7"/>
  <c r="D8221" i="7"/>
  <c r="D8222" i="7"/>
  <c r="D8223" i="7"/>
  <c r="D8224" i="7"/>
  <c r="D8225" i="7"/>
  <c r="D8226" i="7"/>
  <c r="D8227" i="7"/>
  <c r="D8228" i="7"/>
  <c r="D8229" i="7"/>
  <c r="D8230" i="7"/>
  <c r="D8231" i="7"/>
  <c r="D8232" i="7"/>
  <c r="D8233" i="7"/>
  <c r="D8234" i="7"/>
  <c r="D8235" i="7"/>
  <c r="D8236" i="7"/>
  <c r="D8237" i="7"/>
  <c r="D8238" i="7"/>
  <c r="D8239" i="7"/>
  <c r="D8240" i="7"/>
  <c r="D8241" i="7"/>
  <c r="D8242" i="7"/>
  <c r="D8243" i="7"/>
  <c r="D8244" i="7"/>
  <c r="D8245" i="7"/>
  <c r="D8246" i="7"/>
  <c r="D8247" i="7"/>
  <c r="D8248" i="7"/>
  <c r="D8249" i="7"/>
  <c r="D8250" i="7"/>
  <c r="D8251" i="7"/>
  <c r="D8252" i="7"/>
  <c r="D8253" i="7"/>
  <c r="D8254" i="7"/>
  <c r="D8255" i="7"/>
  <c r="D8256" i="7"/>
  <c r="D8257" i="7"/>
  <c r="D8258" i="7"/>
  <c r="S106" i="6" s="1"/>
  <c r="D8259" i="7"/>
  <c r="D8260" i="7"/>
  <c r="D8261" i="7"/>
  <c r="D8262" i="7"/>
  <c r="D8263" i="7"/>
  <c r="D8264" i="7"/>
  <c r="D8265" i="7"/>
  <c r="D8266" i="7"/>
  <c r="D8267" i="7"/>
  <c r="D8268" i="7"/>
  <c r="D8269" i="7"/>
  <c r="D8270" i="7"/>
  <c r="D8271" i="7"/>
  <c r="D8272" i="7"/>
  <c r="D8273" i="7"/>
  <c r="D8274" i="7"/>
  <c r="D8275" i="7"/>
  <c r="D8276" i="7"/>
  <c r="D8277" i="7"/>
  <c r="D8278" i="7"/>
  <c r="D8279" i="7"/>
  <c r="D8280" i="7"/>
  <c r="D8281" i="7"/>
  <c r="D8282" i="7"/>
  <c r="D8283" i="7"/>
  <c r="D8284" i="7"/>
  <c r="D8285" i="7"/>
  <c r="D8286" i="7"/>
  <c r="D8287" i="7"/>
  <c r="D8288" i="7"/>
  <c r="D8289" i="7"/>
  <c r="D8290" i="7"/>
  <c r="D8291" i="7"/>
  <c r="D8292" i="7"/>
  <c r="D8293" i="7"/>
  <c r="D8294" i="7"/>
  <c r="D8295" i="7"/>
  <c r="D8296" i="7"/>
  <c r="D8297" i="7"/>
  <c r="D8298" i="7"/>
  <c r="D8299" i="7"/>
  <c r="D8300" i="7"/>
  <c r="D8301" i="7"/>
  <c r="D8302" i="7"/>
  <c r="D8303" i="7"/>
  <c r="D8304" i="7"/>
  <c r="D8305" i="7"/>
  <c r="D8306" i="7"/>
  <c r="D8307" i="7"/>
  <c r="D8308" i="7"/>
  <c r="D8309" i="7"/>
  <c r="D8310" i="7"/>
  <c r="D8311" i="7"/>
  <c r="D8312" i="7"/>
  <c r="D8313" i="7"/>
  <c r="D8314" i="7"/>
  <c r="D8315" i="7"/>
  <c r="D8316" i="7"/>
  <c r="D8317" i="7"/>
  <c r="D8318" i="7"/>
  <c r="D8319" i="7"/>
  <c r="S402" i="6" s="1"/>
  <c r="W402" i="6" s="1"/>
  <c r="D8320" i="7"/>
  <c r="D8321" i="7"/>
  <c r="D8322" i="7"/>
  <c r="D8323" i="7"/>
  <c r="D8324" i="7"/>
  <c r="D8325" i="7"/>
  <c r="D8326" i="7"/>
  <c r="D8327" i="7"/>
  <c r="D8328" i="7"/>
  <c r="D8329" i="7"/>
  <c r="D8330" i="7"/>
  <c r="D8331" i="7"/>
  <c r="D8332" i="7"/>
  <c r="D8333" i="7"/>
  <c r="D8334" i="7"/>
  <c r="D8335" i="7"/>
  <c r="D8336" i="7"/>
  <c r="S423" i="6" s="1"/>
  <c r="W423" i="6" s="1"/>
  <c r="D8337" i="7"/>
  <c r="S424" i="6" s="1"/>
  <c r="W424" i="6" s="1"/>
  <c r="D8338" i="7"/>
  <c r="D8339" i="7"/>
  <c r="D8340" i="7"/>
  <c r="D8341" i="7"/>
  <c r="D8342" i="7"/>
  <c r="D8343" i="7"/>
  <c r="D8344" i="7"/>
  <c r="D8345" i="7"/>
  <c r="D8346" i="7"/>
  <c r="D8347" i="7"/>
  <c r="D8348" i="7"/>
  <c r="D8349" i="7"/>
  <c r="D8350" i="7"/>
  <c r="D8351" i="7"/>
  <c r="D8352" i="7"/>
  <c r="D8353" i="7"/>
  <c r="D8354" i="7"/>
  <c r="D8355" i="7"/>
  <c r="D8356" i="7"/>
  <c r="D8357" i="7"/>
  <c r="D8358" i="7"/>
  <c r="D8359" i="7"/>
  <c r="D8360" i="7"/>
  <c r="D8361" i="7"/>
  <c r="D8362" i="7"/>
  <c r="D8363" i="7"/>
  <c r="D8364" i="7"/>
  <c r="D8365" i="7"/>
  <c r="D8366" i="7"/>
  <c r="D8367" i="7"/>
  <c r="D8368" i="7"/>
  <c r="D8369" i="7"/>
  <c r="D8370" i="7"/>
  <c r="D8371" i="7"/>
  <c r="D8372" i="7"/>
  <c r="D8373" i="7"/>
  <c r="D8374" i="7"/>
  <c r="D8375" i="7"/>
  <c r="D8376" i="7"/>
  <c r="D8377" i="7"/>
  <c r="D8378" i="7"/>
  <c r="D8379" i="7"/>
  <c r="D8380" i="7"/>
  <c r="S672" i="6" s="1"/>
  <c r="D8381" i="7"/>
  <c r="D8382" i="7"/>
  <c r="D8383" i="7"/>
  <c r="D8384" i="7"/>
  <c r="D8385" i="7"/>
  <c r="D8386" i="7"/>
  <c r="D8387" i="7"/>
  <c r="D8388" i="7"/>
  <c r="D8389" i="7"/>
  <c r="D8390" i="7"/>
  <c r="D8391" i="7"/>
  <c r="D8392" i="7"/>
  <c r="S583" i="6" s="1"/>
  <c r="D8393" i="7"/>
  <c r="D8394" i="7"/>
  <c r="D8395" i="7"/>
  <c r="D8396" i="7"/>
  <c r="D8397" i="7"/>
  <c r="D8398" i="7"/>
  <c r="D8399" i="7"/>
  <c r="D8400" i="7"/>
  <c r="D8401" i="7"/>
  <c r="S559" i="6" s="1"/>
  <c r="D8402" i="7"/>
  <c r="D8403" i="7"/>
  <c r="D8404" i="7"/>
  <c r="D8405" i="7"/>
  <c r="D8406" i="7"/>
  <c r="D8407" i="7"/>
  <c r="D8408" i="7"/>
  <c r="D8409" i="7"/>
  <c r="D8410" i="7"/>
  <c r="D8411" i="7"/>
  <c r="D8412" i="7"/>
  <c r="D8413" i="7"/>
  <c r="D8414" i="7"/>
  <c r="D8415" i="7"/>
  <c r="D8416" i="7"/>
  <c r="D8417" i="7"/>
  <c r="D8418" i="7"/>
  <c r="D8419" i="7"/>
  <c r="D8420" i="7"/>
  <c r="D8421" i="7"/>
  <c r="D8422" i="7"/>
  <c r="D8423" i="7"/>
  <c r="D8424" i="7"/>
  <c r="D8425" i="7"/>
  <c r="D8426" i="7"/>
  <c r="S109" i="6" s="1"/>
  <c r="D8427" i="7"/>
  <c r="D8428" i="7"/>
  <c r="D8429" i="7"/>
  <c r="D8430" i="7"/>
  <c r="D8431" i="7"/>
  <c r="D8432" i="7"/>
  <c r="D8433" i="7"/>
  <c r="D8434" i="7"/>
  <c r="D8435" i="7"/>
  <c r="D8436" i="7"/>
  <c r="D8437" i="7"/>
  <c r="D8438" i="7"/>
  <c r="D8439" i="7"/>
  <c r="D8440" i="7"/>
  <c r="D8441" i="7"/>
  <c r="D8442" i="7"/>
  <c r="D8443" i="7"/>
  <c r="D8444" i="7"/>
  <c r="D8445" i="7"/>
  <c r="D8446" i="7"/>
  <c r="D8447" i="7"/>
  <c r="D8448" i="7"/>
  <c r="D8449" i="7"/>
  <c r="D8450" i="7"/>
  <c r="D8451" i="7"/>
  <c r="D8452" i="7"/>
  <c r="S138" i="6" s="1"/>
  <c r="W138" i="6" s="1"/>
  <c r="D8453" i="7"/>
  <c r="D8454" i="7"/>
  <c r="D8455" i="7"/>
  <c r="D8456" i="7"/>
  <c r="D8457" i="7"/>
  <c r="D8458" i="7"/>
  <c r="D8459" i="7"/>
  <c r="S714" i="6" s="1"/>
  <c r="W714" i="6" s="1"/>
  <c r="D8460" i="7"/>
  <c r="D8461" i="7"/>
  <c r="D8462" i="7"/>
  <c r="D8463" i="7"/>
  <c r="D8464" i="7"/>
  <c r="D8465" i="7"/>
  <c r="D8466" i="7"/>
  <c r="D8467" i="7"/>
  <c r="D8468" i="7"/>
  <c r="D8469" i="7"/>
  <c r="D8470" i="7"/>
  <c r="D8471" i="7"/>
  <c r="D8472" i="7"/>
  <c r="D8473" i="7"/>
  <c r="D8474" i="7"/>
  <c r="D8475" i="7"/>
  <c r="D8476" i="7"/>
  <c r="D8477" i="7"/>
  <c r="D8478" i="7"/>
  <c r="D8479" i="7"/>
  <c r="D8480" i="7"/>
  <c r="D8481" i="7"/>
  <c r="D8482" i="7"/>
  <c r="D8483" i="7"/>
  <c r="D8484" i="7"/>
  <c r="D8485" i="7"/>
  <c r="D8486" i="7"/>
  <c r="D8487" i="7"/>
  <c r="D8488" i="7"/>
  <c r="D8489" i="7"/>
  <c r="D8490" i="7"/>
  <c r="S715" i="6" s="1"/>
  <c r="W715" i="6" s="1"/>
  <c r="D8491" i="7"/>
  <c r="D8492" i="7"/>
  <c r="D8493" i="7"/>
  <c r="D8494" i="7"/>
  <c r="D8495" i="7"/>
  <c r="D8496" i="7"/>
  <c r="D8497" i="7"/>
  <c r="D8498" i="7"/>
  <c r="D8499" i="7"/>
  <c r="D8500" i="7"/>
  <c r="S420" i="6" s="1"/>
  <c r="D8501" i="7"/>
  <c r="D8502" i="7"/>
  <c r="D8503" i="7"/>
  <c r="D8504" i="7"/>
  <c r="D8505" i="7"/>
  <c r="D8506" i="7"/>
  <c r="D8507" i="7"/>
  <c r="D8508" i="7"/>
  <c r="D8509" i="7"/>
  <c r="D8510" i="7"/>
  <c r="D8511" i="7"/>
  <c r="D8512" i="7"/>
  <c r="D8513" i="7"/>
  <c r="D8514" i="7"/>
  <c r="D8515" i="7"/>
  <c r="D8516" i="7"/>
  <c r="D8517" i="7"/>
  <c r="D8518" i="7"/>
  <c r="D8519" i="7"/>
  <c r="D8520" i="7"/>
  <c r="D8521" i="7"/>
  <c r="D8522" i="7"/>
  <c r="D8523" i="7"/>
  <c r="D8524" i="7"/>
  <c r="D8525" i="7"/>
  <c r="D8526" i="7"/>
  <c r="D8527" i="7"/>
  <c r="D8528" i="7"/>
  <c r="D8529" i="7"/>
  <c r="D8530" i="7"/>
  <c r="D8531" i="7"/>
  <c r="D8532" i="7"/>
  <c r="D8533" i="7"/>
  <c r="D8534" i="7"/>
  <c r="D8535" i="7"/>
  <c r="D8536" i="7"/>
  <c r="D8537" i="7"/>
  <c r="D8538" i="7"/>
  <c r="D8539" i="7"/>
  <c r="D8540" i="7"/>
  <c r="D8541" i="7"/>
  <c r="D8542" i="7"/>
  <c r="D8543" i="7"/>
  <c r="D8544" i="7"/>
  <c r="D8545" i="7"/>
  <c r="S558" i="6" s="1"/>
  <c r="W558" i="6" s="1"/>
  <c r="D8546" i="7"/>
  <c r="D8547" i="7"/>
  <c r="D8548" i="7"/>
  <c r="D8549" i="7"/>
  <c r="D8550" i="7"/>
  <c r="D8551" i="7"/>
  <c r="D8552" i="7"/>
  <c r="S139" i="6" s="1"/>
  <c r="W139" i="6" s="1"/>
  <c r="D8553" i="7"/>
  <c r="D8554" i="7"/>
  <c r="D8555" i="7"/>
  <c r="D8556" i="7"/>
  <c r="D8557" i="7"/>
  <c r="D8558" i="7"/>
  <c r="D8559" i="7"/>
  <c r="D8560" i="7"/>
  <c r="S678" i="6" s="1"/>
  <c r="W678" i="6" s="1"/>
  <c r="D8561" i="7"/>
  <c r="D8562" i="7"/>
  <c r="D8563" i="7"/>
  <c r="D8564" i="7"/>
  <c r="D8565" i="7"/>
  <c r="D8566" i="7"/>
  <c r="D8567" i="7"/>
  <c r="D8568" i="7"/>
  <c r="D8569" i="7"/>
  <c r="D8570" i="7"/>
  <c r="D8571" i="7"/>
  <c r="D8572" i="7"/>
  <c r="D8573" i="7"/>
  <c r="D8574" i="7"/>
  <c r="D8575" i="7"/>
  <c r="D8576" i="7"/>
  <c r="D8577" i="7"/>
  <c r="D8578" i="7"/>
  <c r="D8579" i="7"/>
  <c r="D8580" i="7"/>
  <c r="D8581" i="7"/>
  <c r="D8582" i="7"/>
  <c r="D8583" i="7"/>
  <c r="D8584" i="7"/>
  <c r="D8585" i="7"/>
  <c r="S677" i="6" s="1"/>
  <c r="W677" i="6" s="1"/>
  <c r="D8586" i="7"/>
  <c r="D8587" i="7"/>
  <c r="D8588" i="7"/>
  <c r="D8589" i="7"/>
  <c r="D8590" i="7"/>
  <c r="S39" i="6" s="1"/>
  <c r="W39" i="6" s="1"/>
  <c r="D8591" i="7"/>
  <c r="D8592" i="7"/>
  <c r="D8593" i="7"/>
  <c r="D8594" i="7"/>
  <c r="D8595" i="7"/>
  <c r="D8596" i="7"/>
  <c r="D8597" i="7"/>
  <c r="D8598" i="7"/>
  <c r="D8599" i="7"/>
  <c r="D8600" i="7"/>
  <c r="D8601" i="7"/>
  <c r="D8602" i="7"/>
  <c r="D8603" i="7"/>
  <c r="D8604" i="7"/>
  <c r="D8605" i="7"/>
  <c r="D8606" i="7"/>
  <c r="D8607" i="7"/>
  <c r="D8608" i="7"/>
  <c r="D8609" i="7"/>
  <c r="D8610" i="7"/>
  <c r="D8611" i="7"/>
  <c r="D8612" i="7"/>
  <c r="D8613" i="7"/>
  <c r="D8614" i="7"/>
  <c r="D8615" i="7"/>
  <c r="D8616" i="7"/>
  <c r="D8617" i="7"/>
  <c r="D8618" i="7"/>
  <c r="D8619" i="7"/>
  <c r="D8620" i="7"/>
  <c r="D8621" i="7"/>
  <c r="D8622" i="7"/>
  <c r="D8623" i="7"/>
  <c r="D8624" i="7"/>
  <c r="S377" i="6" s="1"/>
  <c r="W377" i="6" s="1"/>
  <c r="D8625" i="7"/>
  <c r="D8626" i="7"/>
  <c r="D8627" i="7"/>
  <c r="D8628" i="7"/>
  <c r="D8629" i="7"/>
  <c r="D8630" i="7"/>
  <c r="D8631" i="7"/>
  <c r="D8632" i="7"/>
  <c r="D8633" i="7"/>
  <c r="D8634" i="7"/>
  <c r="D8635" i="7"/>
  <c r="D8636" i="7"/>
  <c r="D8637" i="7"/>
  <c r="D8638" i="7"/>
  <c r="D8639" i="7"/>
  <c r="D8640" i="7"/>
  <c r="D8641" i="7"/>
  <c r="D8642" i="7"/>
  <c r="D8643" i="7"/>
  <c r="D8644" i="7"/>
  <c r="D8645" i="7"/>
  <c r="D8646" i="7"/>
  <c r="D8647" i="7"/>
  <c r="D8648" i="7"/>
  <c r="D8649" i="7"/>
  <c r="D8650" i="7"/>
  <c r="D8651" i="7"/>
  <c r="D8652" i="7"/>
  <c r="D8653" i="7"/>
  <c r="D8654" i="7"/>
  <c r="D8655" i="7"/>
  <c r="D8656" i="7"/>
  <c r="D8657" i="7"/>
  <c r="D8658" i="7"/>
  <c r="D8659" i="7"/>
  <c r="D8660" i="7"/>
  <c r="D8661" i="7"/>
  <c r="D8662" i="7"/>
  <c r="D8663" i="7"/>
  <c r="D8664" i="7"/>
  <c r="D8665" i="7"/>
  <c r="D8666" i="7"/>
  <c r="D8667" i="7"/>
  <c r="D8668" i="7"/>
  <c r="D8669" i="7"/>
  <c r="D8670" i="7"/>
  <c r="D8671" i="7"/>
  <c r="D8672" i="7"/>
  <c r="D8673" i="7"/>
  <c r="D8674" i="7"/>
  <c r="D8675" i="7"/>
  <c r="D8676" i="7"/>
  <c r="D8677" i="7"/>
  <c r="D8678" i="7"/>
  <c r="D8679" i="7"/>
  <c r="D8680" i="7"/>
  <c r="D8681" i="7"/>
  <c r="D8682" i="7"/>
  <c r="D8683" i="7"/>
  <c r="D8684" i="7"/>
  <c r="D8685" i="7"/>
  <c r="D8686" i="7"/>
  <c r="D8687" i="7"/>
  <c r="D8688" i="7"/>
  <c r="D8689" i="7"/>
  <c r="D8690" i="7"/>
  <c r="D8691" i="7"/>
  <c r="D8692" i="7"/>
  <c r="D8693" i="7"/>
  <c r="D8694" i="7"/>
  <c r="D8695" i="7"/>
  <c r="D8696" i="7"/>
  <c r="D8697" i="7"/>
  <c r="S291" i="6" s="1"/>
  <c r="W291" i="6" s="1"/>
  <c r="D8698" i="7"/>
  <c r="D8699" i="7"/>
  <c r="D8700" i="7"/>
  <c r="D8701" i="7"/>
  <c r="D8702" i="7"/>
  <c r="D8703" i="7"/>
  <c r="D8704" i="7"/>
  <c r="D8705" i="7"/>
  <c r="D8706" i="7"/>
  <c r="D8707" i="7"/>
  <c r="D8708" i="7"/>
  <c r="D8709" i="7"/>
  <c r="D8710" i="7"/>
  <c r="D8711" i="7"/>
  <c r="D8712" i="7"/>
  <c r="D8713" i="7"/>
  <c r="D8714" i="7"/>
  <c r="D8715" i="7"/>
  <c r="D8716" i="7"/>
  <c r="D8717" i="7"/>
  <c r="D8718" i="7"/>
  <c r="D8719" i="7"/>
  <c r="D8720" i="7"/>
  <c r="D8721" i="7"/>
  <c r="D8722" i="7"/>
  <c r="D8723" i="7"/>
  <c r="D8724" i="7"/>
  <c r="D8725" i="7"/>
  <c r="D8726" i="7"/>
  <c r="D8727" i="7"/>
  <c r="D8728" i="7"/>
  <c r="D8729" i="7"/>
  <c r="D8730" i="7"/>
  <c r="D8731" i="7"/>
  <c r="D8732" i="7"/>
  <c r="D8733" i="7"/>
  <c r="D8734" i="7"/>
  <c r="D8735" i="7"/>
  <c r="D8736" i="7"/>
  <c r="D8737" i="7"/>
  <c r="D8738" i="7"/>
  <c r="D8739" i="7"/>
  <c r="D8740" i="7"/>
  <c r="D8741" i="7"/>
  <c r="D8742" i="7"/>
  <c r="D8743" i="7"/>
  <c r="D8744" i="7"/>
  <c r="D8745" i="7"/>
  <c r="D8746" i="7"/>
  <c r="D8747" i="7"/>
  <c r="D8748" i="7"/>
  <c r="D8749" i="7"/>
  <c r="D8750" i="7"/>
  <c r="D8751" i="7"/>
  <c r="D8752" i="7"/>
  <c r="D8753" i="7"/>
  <c r="D8754" i="7"/>
  <c r="D8755" i="7"/>
  <c r="D8756" i="7"/>
  <c r="D8757" i="7"/>
  <c r="D8758" i="7"/>
  <c r="D8759" i="7"/>
  <c r="D8760" i="7"/>
  <c r="D8761" i="7"/>
  <c r="D8762" i="7"/>
  <c r="D8763" i="7"/>
  <c r="D8764" i="7"/>
  <c r="D8765" i="7"/>
  <c r="D8766" i="7"/>
  <c r="D8767" i="7"/>
  <c r="D8768" i="7"/>
  <c r="D8769" i="7"/>
  <c r="D8770" i="7"/>
  <c r="D8771" i="7"/>
  <c r="D8772" i="7"/>
  <c r="S560" i="6" s="1"/>
  <c r="D8773" i="7"/>
  <c r="S710" i="6" s="1"/>
  <c r="W710" i="6" s="1"/>
  <c r="D8774" i="7"/>
  <c r="D8775" i="7"/>
  <c r="D8776" i="7"/>
  <c r="D8777" i="7"/>
  <c r="D8778" i="7"/>
  <c r="D8779" i="7"/>
  <c r="D8780" i="7"/>
  <c r="D8781" i="7"/>
  <c r="D8782" i="7"/>
  <c r="D8783" i="7"/>
  <c r="D8784" i="7"/>
  <c r="S711" i="6" s="1"/>
  <c r="W711" i="6" s="1"/>
  <c r="D8785" i="7"/>
  <c r="D8786" i="7"/>
  <c r="D8787" i="7"/>
  <c r="D8788" i="7"/>
  <c r="D8789" i="7"/>
  <c r="D8790" i="7"/>
  <c r="D8791" i="7"/>
  <c r="D8792" i="7"/>
  <c r="D8793" i="7"/>
  <c r="D8794" i="7"/>
  <c r="D8795" i="7"/>
  <c r="D8796" i="7"/>
  <c r="D8797" i="7"/>
  <c r="D8798" i="7"/>
  <c r="D8799" i="7"/>
  <c r="D8800" i="7"/>
  <c r="D8801" i="7"/>
  <c r="D8802" i="7"/>
  <c r="D8803" i="7"/>
  <c r="D8804" i="7"/>
  <c r="D8805" i="7"/>
  <c r="D8806" i="7"/>
  <c r="D8807" i="7"/>
  <c r="D8808" i="7"/>
  <c r="D8809" i="7"/>
  <c r="D8810" i="7"/>
  <c r="D8811" i="7"/>
  <c r="D8812" i="7"/>
  <c r="D8813" i="7"/>
  <c r="D8814" i="7"/>
  <c r="D8815" i="7"/>
  <c r="D8816" i="7"/>
  <c r="D8817" i="7"/>
  <c r="D8818" i="7"/>
  <c r="D8819" i="7"/>
  <c r="D8820" i="7"/>
  <c r="D8821" i="7"/>
  <c r="D8822" i="7"/>
  <c r="D8823" i="7"/>
  <c r="D8824" i="7"/>
  <c r="D8825" i="7"/>
  <c r="D8826" i="7"/>
  <c r="D8827" i="7"/>
  <c r="D8828" i="7"/>
  <c r="D8829" i="7"/>
  <c r="D8830" i="7"/>
  <c r="D8831" i="7"/>
  <c r="D8832" i="7"/>
  <c r="D8833" i="7"/>
  <c r="D8834" i="7"/>
  <c r="D8835" i="7"/>
  <c r="D8836" i="7"/>
  <c r="D8837" i="7"/>
  <c r="D8838" i="7"/>
  <c r="D8839" i="7"/>
  <c r="D8840" i="7"/>
  <c r="D8841" i="7"/>
  <c r="D8842" i="7"/>
  <c r="D8843" i="7"/>
  <c r="D8844" i="7"/>
  <c r="D8845" i="7"/>
  <c r="D8846" i="7"/>
  <c r="D8847" i="7"/>
  <c r="D8848" i="7"/>
  <c r="D8849" i="7"/>
  <c r="D8850" i="7"/>
  <c r="D8851" i="7"/>
  <c r="D8852" i="7"/>
  <c r="D8853" i="7"/>
  <c r="D8854" i="7"/>
  <c r="D8855" i="7"/>
  <c r="D8856" i="7"/>
  <c r="D8857" i="7"/>
  <c r="D8858" i="7"/>
  <c r="D8859" i="7"/>
  <c r="D8860" i="7"/>
  <c r="D8861" i="7"/>
  <c r="D8862" i="7"/>
  <c r="D8863" i="7"/>
  <c r="D8864" i="7"/>
  <c r="D8865" i="7"/>
  <c r="D8866" i="7"/>
  <c r="D8867" i="7"/>
  <c r="D8868" i="7"/>
  <c r="D8869" i="7"/>
  <c r="D8870" i="7"/>
  <c r="D8871" i="7"/>
  <c r="S472" i="6" s="1"/>
  <c r="W472" i="6" s="1"/>
  <c r="D8872" i="7"/>
  <c r="D8873" i="7"/>
  <c r="D8874" i="7"/>
  <c r="D8875" i="7"/>
  <c r="D8876" i="7"/>
  <c r="D8877" i="7"/>
  <c r="D8878" i="7"/>
  <c r="D8879" i="7"/>
  <c r="D8880" i="7"/>
  <c r="D8881" i="7"/>
  <c r="D8882" i="7"/>
  <c r="D8883" i="7"/>
  <c r="D8884" i="7"/>
  <c r="D8885" i="7"/>
  <c r="D8886" i="7"/>
  <c r="D8887" i="7"/>
  <c r="S128" i="6" s="1"/>
  <c r="W128" i="6" s="1"/>
  <c r="D8888" i="7"/>
  <c r="D8889" i="7"/>
  <c r="D8890" i="7"/>
  <c r="D8891" i="7"/>
  <c r="D8892" i="7"/>
  <c r="D8893" i="7"/>
  <c r="S90" i="6" s="1"/>
  <c r="W90" i="6" s="1"/>
  <c r="D8894" i="7"/>
  <c r="D8895" i="7"/>
  <c r="D8896" i="7"/>
  <c r="D8897" i="7"/>
  <c r="S686" i="6" s="1"/>
  <c r="W686" i="6" s="1"/>
  <c r="D8898" i="7"/>
  <c r="S687" i="6" s="1"/>
  <c r="W687" i="6" s="1"/>
  <c r="D8899" i="7"/>
  <c r="D8900" i="7"/>
  <c r="D8901" i="7"/>
  <c r="D8902" i="7"/>
  <c r="D8903" i="7"/>
  <c r="D8904" i="7"/>
  <c r="D8905" i="7"/>
  <c r="D8906" i="7"/>
  <c r="D8907" i="7"/>
  <c r="D8908" i="7"/>
  <c r="D8909" i="7"/>
  <c r="D8910" i="7"/>
  <c r="D8911" i="7"/>
  <c r="D8912" i="7"/>
  <c r="D8913" i="7"/>
  <c r="D8914" i="7"/>
  <c r="D8915" i="7"/>
  <c r="S712" i="6" s="1"/>
  <c r="W712" i="6" s="1"/>
  <c r="D8916" i="7"/>
  <c r="S342" i="6" s="1"/>
  <c r="D8917" i="7"/>
  <c r="D8918" i="7"/>
  <c r="D8919" i="7"/>
  <c r="D8920" i="7"/>
  <c r="D8921" i="7"/>
  <c r="D8922" i="7"/>
  <c r="D8923" i="7"/>
  <c r="D8924" i="7"/>
  <c r="D8925" i="7"/>
  <c r="D8926" i="7"/>
  <c r="D8927" i="7"/>
  <c r="D8928" i="7"/>
  <c r="D8929" i="7"/>
  <c r="D8930" i="7"/>
  <c r="D8931" i="7"/>
  <c r="D8932" i="7"/>
  <c r="D8933" i="7"/>
  <c r="D8934" i="7"/>
  <c r="D8935" i="7"/>
  <c r="D8936" i="7"/>
  <c r="D8937" i="7"/>
  <c r="D8938" i="7"/>
  <c r="D8939" i="7"/>
  <c r="D8940" i="7"/>
  <c r="D8941" i="7"/>
  <c r="D8942" i="7"/>
  <c r="D8943" i="7"/>
  <c r="D8944" i="7"/>
  <c r="D8945" i="7"/>
  <c r="S519" i="6" s="1"/>
  <c r="W519" i="6" s="1"/>
  <c r="D8946" i="7"/>
  <c r="D8947" i="7"/>
  <c r="D8948" i="7"/>
  <c r="D8949" i="7"/>
  <c r="D8950" i="7"/>
  <c r="D8951" i="7"/>
  <c r="D8952" i="7"/>
  <c r="D8953" i="7"/>
  <c r="D8954" i="7"/>
  <c r="D8955" i="7"/>
  <c r="D8956" i="7"/>
  <c r="D8957" i="7"/>
  <c r="D8958" i="7"/>
  <c r="D8959" i="7"/>
  <c r="D8960" i="7"/>
  <c r="D8961" i="7"/>
  <c r="D8962" i="7"/>
  <c r="D8963" i="7"/>
  <c r="D8964" i="7"/>
  <c r="D8965" i="7"/>
  <c r="D8966" i="7"/>
  <c r="D8967" i="7"/>
  <c r="D8968" i="7"/>
  <c r="D8969" i="7"/>
  <c r="D8970" i="7"/>
  <c r="D8971" i="7"/>
  <c r="S713" i="6" s="1"/>
  <c r="W713" i="6" s="1"/>
  <c r="D8972" i="7"/>
  <c r="D8973" i="7"/>
  <c r="D8974" i="7"/>
  <c r="D8975" i="7"/>
  <c r="D8976" i="7"/>
  <c r="D8977" i="7"/>
  <c r="D8978" i="7"/>
  <c r="D8979" i="7"/>
  <c r="D8980" i="7"/>
  <c r="D8981" i="7"/>
  <c r="S378" i="6" s="1"/>
  <c r="W378" i="6" s="1"/>
  <c r="D8982" i="7"/>
  <c r="D8983" i="7"/>
  <c r="D8984" i="7"/>
  <c r="D8985" i="7"/>
  <c r="D8986" i="7"/>
  <c r="D8987" i="7"/>
  <c r="D8988" i="7"/>
  <c r="D8989" i="7"/>
  <c r="D8990" i="7"/>
  <c r="D8991" i="7"/>
  <c r="D8992" i="7"/>
  <c r="D8993" i="7"/>
  <c r="D8994" i="7"/>
  <c r="D8995" i="7"/>
  <c r="D8996" i="7"/>
  <c r="D8997" i="7"/>
  <c r="D8998" i="7"/>
  <c r="D8999" i="7"/>
  <c r="D9000" i="7"/>
  <c r="D9001" i="7"/>
  <c r="D9002" i="7"/>
  <c r="D9003" i="7"/>
  <c r="D9004" i="7"/>
  <c r="D9005" i="7"/>
  <c r="D9006" i="7"/>
  <c r="D9007" i="7"/>
  <c r="D9008" i="7"/>
  <c r="D9009" i="7"/>
  <c r="D9010" i="7"/>
  <c r="D9011" i="7"/>
  <c r="D9012" i="7"/>
  <c r="D9013" i="7"/>
  <c r="S166" i="6" s="1"/>
  <c r="D9014" i="7"/>
  <c r="D9015" i="7"/>
  <c r="D9016" i="7"/>
  <c r="D9017" i="7"/>
  <c r="D9018" i="7"/>
  <c r="D9019" i="7"/>
  <c r="D9020" i="7"/>
  <c r="D9021" i="7"/>
  <c r="D9022" i="7"/>
  <c r="S284" i="6" s="1"/>
  <c r="W284" i="6" s="1"/>
  <c r="D9023" i="7"/>
  <c r="S285" i="6" s="1"/>
  <c r="W285" i="6" s="1"/>
  <c r="D9024" i="7"/>
  <c r="D9025" i="7"/>
  <c r="D9026" i="7"/>
  <c r="D9027" i="7"/>
  <c r="S708" i="6" s="1"/>
  <c r="D9028" i="7"/>
  <c r="D9029" i="7"/>
  <c r="D9030" i="7"/>
  <c r="D9031" i="7"/>
  <c r="D9032" i="7"/>
  <c r="D9033" i="7"/>
  <c r="D9034" i="7"/>
  <c r="S709" i="6" s="1"/>
  <c r="D9035" i="7"/>
  <c r="D9036" i="7"/>
  <c r="D9037" i="7"/>
  <c r="D9038" i="7"/>
  <c r="D9039" i="7"/>
  <c r="D9040" i="7"/>
  <c r="D9041" i="7"/>
  <c r="D9042" i="7"/>
  <c r="D9043" i="7"/>
  <c r="D9044" i="7"/>
  <c r="D9045" i="7"/>
  <c r="D9046" i="7"/>
  <c r="D9047" i="7"/>
  <c r="D9048" i="7"/>
  <c r="D9049" i="7"/>
  <c r="D9050" i="7"/>
  <c r="D9051" i="7"/>
  <c r="D9052" i="7"/>
  <c r="D9053" i="7"/>
  <c r="D9054" i="7"/>
  <c r="D9055" i="7"/>
  <c r="D9056" i="7"/>
  <c r="D9057" i="7"/>
  <c r="D9058" i="7"/>
  <c r="D9059" i="7"/>
  <c r="D9060" i="7"/>
  <c r="D9061" i="7"/>
  <c r="D9062" i="7"/>
  <c r="D9063" i="7"/>
  <c r="S557" i="6" s="1"/>
  <c r="W557" i="6" s="1"/>
  <c r="D9064" i="7"/>
  <c r="D9065" i="7"/>
  <c r="D9066" i="7"/>
  <c r="D9067" i="7"/>
  <c r="D9068" i="7"/>
  <c r="D9069" i="7"/>
  <c r="D9070" i="7"/>
  <c r="D9071" i="7"/>
  <c r="D9072" i="7"/>
  <c r="D9073" i="7"/>
  <c r="D9074" i="7"/>
  <c r="S292" i="6" s="1"/>
  <c r="W292" i="6" s="1"/>
  <c r="D9075" i="7"/>
  <c r="D9076" i="7"/>
  <c r="D9077" i="7"/>
  <c r="D9078" i="7"/>
  <c r="D9079" i="7"/>
  <c r="D9080" i="7"/>
  <c r="D9081" i="7"/>
  <c r="D9082" i="7"/>
  <c r="D9083" i="7"/>
  <c r="D9084" i="7"/>
  <c r="D9085" i="7"/>
  <c r="D9086" i="7"/>
  <c r="D9087" i="7"/>
  <c r="D9088" i="7"/>
  <c r="D9089" i="7"/>
  <c r="D9090" i="7"/>
  <c r="D9091" i="7"/>
  <c r="D9092" i="7"/>
  <c r="D9093" i="7"/>
  <c r="D9094" i="7"/>
  <c r="D9095" i="7"/>
  <c r="D9096" i="7"/>
  <c r="D9097" i="7"/>
  <c r="D9098" i="7"/>
  <c r="D9099" i="7"/>
  <c r="D9100" i="7"/>
  <c r="D9101" i="7"/>
  <c r="D9102" i="7"/>
  <c r="D9103" i="7"/>
  <c r="D9104" i="7"/>
  <c r="S287" i="6" s="1"/>
  <c r="D9105" i="7"/>
  <c r="D9106" i="7"/>
  <c r="D9107" i="7"/>
  <c r="D9108" i="7"/>
  <c r="D9109" i="7"/>
  <c r="D9110" i="7"/>
  <c r="D9111" i="7"/>
  <c r="D9112" i="7"/>
  <c r="D9113" i="7"/>
  <c r="D9114" i="7"/>
  <c r="D9115" i="7"/>
  <c r="D9116" i="7"/>
  <c r="D9117" i="7"/>
  <c r="D9118" i="7"/>
  <c r="D9119" i="7"/>
  <c r="D9120" i="7"/>
  <c r="D9121" i="7"/>
  <c r="D9122" i="7"/>
  <c r="D9123" i="7"/>
  <c r="D9124" i="7"/>
  <c r="D9125" i="7"/>
  <c r="D9126" i="7"/>
  <c r="D9127" i="7"/>
  <c r="D9128" i="7"/>
  <c r="D9129" i="7"/>
  <c r="D9130" i="7"/>
  <c r="D9131" i="7"/>
  <c r="D9132" i="7"/>
  <c r="D9133" i="7"/>
  <c r="S555" i="6" s="1"/>
  <c r="W555" i="6" s="1"/>
  <c r="D9134" i="7"/>
  <c r="D9135" i="7"/>
  <c r="D9136" i="7"/>
  <c r="D9137" i="7"/>
  <c r="D9138" i="7"/>
  <c r="D9139" i="7"/>
  <c r="D9140" i="7"/>
  <c r="D9141" i="7"/>
  <c r="D9142" i="7"/>
  <c r="D9143" i="7"/>
  <c r="D9144" i="7"/>
  <c r="D9145" i="7"/>
  <c r="D9146" i="7"/>
  <c r="D9147" i="7"/>
  <c r="D9148" i="7"/>
  <c r="D9149" i="7"/>
  <c r="D9150" i="7"/>
  <c r="D9151" i="7"/>
  <c r="D9152" i="7"/>
  <c r="D9153" i="7"/>
  <c r="D9154" i="7"/>
  <c r="D9155" i="7"/>
  <c r="D9156" i="7"/>
  <c r="D9157" i="7"/>
  <c r="D9158" i="7"/>
  <c r="D9159" i="7"/>
  <c r="S716" i="6" s="1"/>
  <c r="D9160" i="7"/>
  <c r="D9161" i="7"/>
  <c r="D9162" i="7"/>
  <c r="D9163" i="7"/>
  <c r="D9164" i="7"/>
  <c r="D9165" i="7"/>
  <c r="D9166" i="7"/>
  <c r="D9167" i="7"/>
  <c r="D9168" i="7"/>
  <c r="D9169" i="7"/>
  <c r="D9170" i="7"/>
  <c r="D9171" i="7"/>
  <c r="D9172" i="7"/>
  <c r="D9173" i="7"/>
  <c r="D9174" i="7"/>
  <c r="D9175" i="7"/>
  <c r="D9176" i="7"/>
  <c r="D9177" i="7"/>
  <c r="D9178" i="7"/>
  <c r="D9179" i="7"/>
  <c r="D9180" i="7"/>
  <c r="D9181" i="7"/>
  <c r="D9182" i="7"/>
  <c r="D9183" i="7"/>
  <c r="D9184" i="7"/>
  <c r="D9185" i="7"/>
  <c r="D9186" i="7"/>
  <c r="D9187" i="7"/>
  <c r="D9188" i="7"/>
  <c r="S582" i="6" s="1"/>
  <c r="W582" i="6" s="1"/>
  <c r="D9189" i="7"/>
  <c r="D9190" i="7"/>
  <c r="D9191" i="7"/>
  <c r="D9192" i="7"/>
  <c r="D9193" i="7"/>
  <c r="D9194" i="7"/>
  <c r="D9195" i="7"/>
  <c r="D9196" i="7"/>
  <c r="D9197" i="7"/>
  <c r="S421" i="6" s="1"/>
  <c r="D9198" i="7"/>
  <c r="D9199" i="7"/>
  <c r="S65" i="6" s="1"/>
  <c r="W65" i="6" s="1"/>
  <c r="D9200" i="7"/>
  <c r="S66" i="6" s="1"/>
  <c r="W66" i="6" s="1"/>
  <c r="D9201" i="7"/>
  <c r="D9202" i="7"/>
  <c r="D9203" i="7"/>
  <c r="D9204" i="7"/>
  <c r="S511" i="6" s="1"/>
  <c r="D9205" i="7"/>
  <c r="D9206" i="7"/>
  <c r="D9207" i="7"/>
  <c r="D9208" i="7"/>
  <c r="D9209" i="7"/>
  <c r="D9210" i="7"/>
  <c r="D9211" i="7"/>
  <c r="D9212" i="7"/>
  <c r="S182" i="6" s="1"/>
  <c r="W182" i="6" s="1"/>
  <c r="D9213" i="7"/>
  <c r="D9214" i="7"/>
  <c r="D9215" i="7"/>
  <c r="D9216" i="7"/>
  <c r="D9217" i="7"/>
  <c r="D9218" i="7"/>
  <c r="D9219" i="7"/>
  <c r="D9220" i="7"/>
  <c r="D9221" i="7"/>
  <c r="D9222" i="7"/>
  <c r="D9223" i="7"/>
  <c r="D9224" i="7"/>
  <c r="D9225" i="7"/>
  <c r="D9226" i="7"/>
  <c r="D9227" i="7"/>
  <c r="D9228" i="7"/>
  <c r="D9229" i="7"/>
  <c r="D9230" i="7"/>
  <c r="D9231" i="7"/>
  <c r="D9232" i="7"/>
  <c r="D9233" i="7"/>
  <c r="D9234" i="7"/>
  <c r="D9235" i="7"/>
  <c r="D9236" i="7"/>
  <c r="D9237" i="7"/>
  <c r="D9238" i="7"/>
  <c r="D9239" i="7"/>
  <c r="D9240" i="7"/>
  <c r="D9241" i="7"/>
  <c r="D9242" i="7"/>
  <c r="D9243" i="7"/>
  <c r="D9244" i="7"/>
  <c r="D9245" i="7"/>
  <c r="D9246" i="7"/>
  <c r="D9247" i="7"/>
  <c r="D9248" i="7"/>
  <c r="D9249" i="7"/>
  <c r="D9250" i="7"/>
  <c r="D9251" i="7"/>
  <c r="D9252" i="7"/>
  <c r="D9253" i="7"/>
  <c r="D9254" i="7"/>
  <c r="D9255" i="7"/>
  <c r="D9256" i="7"/>
  <c r="D9257" i="7"/>
  <c r="D9258" i="7"/>
  <c r="D9259" i="7"/>
  <c r="D9260" i="7"/>
  <c r="D9261" i="7"/>
  <c r="D9262" i="7"/>
  <c r="D9263" i="7"/>
  <c r="D9264" i="7"/>
  <c r="D9265" i="7"/>
  <c r="D9266" i="7"/>
  <c r="D9267" i="7"/>
  <c r="D9268" i="7"/>
  <c r="D9269" i="7"/>
  <c r="D9270" i="7"/>
  <c r="D9271" i="7"/>
  <c r="D9272" i="7"/>
  <c r="D9273" i="7"/>
  <c r="D9274" i="7"/>
  <c r="D9275" i="7"/>
  <c r="S556" i="6" s="1"/>
  <c r="W556" i="6" s="1"/>
  <c r="D9276" i="7"/>
  <c r="D9277" i="7"/>
  <c r="D9278" i="7"/>
  <c r="D9279" i="7"/>
  <c r="S169" i="6" s="1"/>
  <c r="D9280" i="7"/>
  <c r="D9281" i="7"/>
  <c r="D9282" i="7"/>
  <c r="D9283" i="7"/>
  <c r="D9284" i="7"/>
  <c r="D9285" i="7"/>
  <c r="D9286" i="7"/>
  <c r="D9287" i="7"/>
  <c r="D9288" i="7"/>
  <c r="D9289" i="7"/>
  <c r="D9290" i="7"/>
  <c r="D9291" i="7"/>
  <c r="D9292" i="7"/>
  <c r="D9293" i="7"/>
  <c r="D9294" i="7"/>
  <c r="D9295" i="7"/>
  <c r="D9296" i="7"/>
  <c r="D9297" i="7"/>
  <c r="D9298" i="7"/>
  <c r="D9299" i="7"/>
  <c r="D9300" i="7"/>
  <c r="D9301" i="7"/>
  <c r="D9302" i="7"/>
  <c r="D9303" i="7"/>
  <c r="D9304" i="7"/>
  <c r="D9305" i="7"/>
  <c r="D9306" i="7"/>
  <c r="D9307" i="7"/>
  <c r="D9308" i="7"/>
  <c r="D9309" i="7"/>
  <c r="D9310" i="7"/>
  <c r="D9311" i="7"/>
  <c r="D9312" i="7"/>
  <c r="D9313" i="7"/>
  <c r="D9314" i="7"/>
  <c r="D9315" i="7"/>
  <c r="D9316" i="7"/>
  <c r="D9317" i="7"/>
  <c r="D9318" i="7"/>
  <c r="D9319" i="7"/>
  <c r="D9320" i="7"/>
  <c r="D9321" i="7"/>
  <c r="D9322" i="7"/>
  <c r="D9323" i="7"/>
  <c r="D9324" i="7"/>
  <c r="D9325" i="7"/>
  <c r="D9326" i="7"/>
  <c r="D9327" i="7"/>
  <c r="D9328" i="7"/>
  <c r="D9329" i="7"/>
  <c r="D9330" i="7"/>
  <c r="D9331" i="7"/>
  <c r="D9332" i="7"/>
  <c r="D9333" i="7"/>
  <c r="D9334" i="7"/>
  <c r="D9335" i="7"/>
  <c r="D9336" i="7"/>
  <c r="D9337" i="7"/>
  <c r="D9338" i="7"/>
  <c r="D9339" i="7"/>
  <c r="D9340" i="7"/>
  <c r="D9341" i="7"/>
  <c r="D9342" i="7"/>
  <c r="D9343" i="7"/>
  <c r="D9344" i="7"/>
  <c r="D9345" i="7"/>
  <c r="D9346" i="7"/>
  <c r="D9347" i="7"/>
  <c r="D9348" i="7"/>
  <c r="D9349" i="7"/>
  <c r="D9350" i="7"/>
  <c r="D9351" i="7"/>
  <c r="D9352" i="7"/>
  <c r="D9353" i="7"/>
  <c r="D9354" i="7"/>
  <c r="D9355" i="7"/>
  <c r="D9356" i="7"/>
  <c r="D9357" i="7"/>
  <c r="D9358" i="7"/>
  <c r="D9359" i="7"/>
  <c r="D9360" i="7"/>
  <c r="D9361" i="7"/>
  <c r="D9362" i="7"/>
  <c r="D9363" i="7"/>
  <c r="D9364" i="7"/>
  <c r="D9365" i="7"/>
  <c r="D9366" i="7"/>
  <c r="D9367" i="7"/>
  <c r="D9368" i="7"/>
  <c r="D9369" i="7"/>
  <c r="D9370" i="7"/>
  <c r="D9371" i="7"/>
  <c r="D9372" i="7"/>
  <c r="D9373" i="7"/>
  <c r="D9374" i="7"/>
  <c r="D9375" i="7"/>
  <c r="D9376" i="7"/>
  <c r="S136" i="6" s="1"/>
  <c r="W136" i="6" s="1"/>
  <c r="D9377" i="7"/>
  <c r="D9378" i="7"/>
  <c r="D9379" i="7"/>
  <c r="D9380" i="7"/>
  <c r="D9381" i="7"/>
  <c r="D9382" i="7"/>
  <c r="D9383" i="7"/>
  <c r="D9384" i="7"/>
  <c r="D9385" i="7"/>
  <c r="D9386" i="7"/>
  <c r="D9387" i="7"/>
  <c r="D9388" i="7"/>
  <c r="D9389" i="7"/>
  <c r="D9390" i="7"/>
  <c r="D9391" i="7"/>
  <c r="D9392" i="7"/>
  <c r="D9393" i="7"/>
  <c r="D9394" i="7"/>
  <c r="D9395" i="7"/>
  <c r="D9396" i="7"/>
  <c r="D9397" i="7"/>
  <c r="D9398" i="7"/>
  <c r="D9399" i="7"/>
  <c r="D9400" i="7"/>
  <c r="D9401" i="7"/>
  <c r="D9402" i="7"/>
  <c r="D9403" i="7"/>
  <c r="D9404" i="7"/>
  <c r="D9405" i="7"/>
  <c r="D9406" i="7"/>
  <c r="D9407" i="7"/>
  <c r="D9408" i="7"/>
  <c r="D9409" i="7"/>
  <c r="D9410" i="7"/>
  <c r="D9411" i="7"/>
  <c r="D9412" i="7"/>
  <c r="D9413" i="7"/>
  <c r="D9414" i="7"/>
  <c r="D9415" i="7"/>
  <c r="D9416" i="7"/>
  <c r="D9417" i="7"/>
  <c r="D9418" i="7"/>
  <c r="D9419" i="7"/>
  <c r="D9420" i="7"/>
  <c r="D9421" i="7"/>
  <c r="D9422" i="7"/>
  <c r="D9423" i="7"/>
  <c r="D9424" i="7"/>
  <c r="D9425" i="7"/>
  <c r="D9426" i="7"/>
  <c r="D9427" i="7"/>
  <c r="D9428" i="7"/>
  <c r="D9429" i="7"/>
  <c r="D9430" i="7"/>
  <c r="D9431" i="7"/>
  <c r="D9432" i="7"/>
  <c r="D9433" i="7"/>
  <c r="D9434" i="7"/>
  <c r="D9435" i="7"/>
  <c r="D9436" i="7"/>
  <c r="D9437" i="7"/>
  <c r="D9438" i="7"/>
  <c r="D9439" i="7"/>
  <c r="D9440" i="7"/>
  <c r="D9441" i="7"/>
  <c r="D9442" i="7"/>
  <c r="D9443" i="7"/>
  <c r="D9444" i="7"/>
  <c r="D9445" i="7"/>
  <c r="D9446" i="7"/>
  <c r="D9447" i="7"/>
  <c r="D9448" i="7"/>
  <c r="D9449" i="7"/>
  <c r="D9450" i="7"/>
  <c r="D9451" i="7"/>
  <c r="S717" i="6" s="1"/>
  <c r="W717" i="6" s="1"/>
  <c r="D9452" i="7"/>
  <c r="D9453" i="7"/>
  <c r="D9454" i="7"/>
  <c r="D9455" i="7"/>
  <c r="D9456" i="7"/>
  <c r="D9457" i="7"/>
  <c r="D9458" i="7"/>
  <c r="D9459" i="7"/>
  <c r="D9460" i="7"/>
  <c r="D9461" i="7"/>
  <c r="D9462" i="7"/>
  <c r="D9463" i="7"/>
  <c r="D9464" i="7"/>
  <c r="D9465" i="7"/>
  <c r="D9466" i="7"/>
  <c r="D9467" i="7"/>
  <c r="D9468" i="7"/>
  <c r="D9469" i="7"/>
  <c r="D9470" i="7"/>
  <c r="D9471" i="7"/>
  <c r="D9472" i="7"/>
  <c r="D9473" i="7"/>
  <c r="D9474" i="7"/>
  <c r="D9475" i="7"/>
  <c r="D9476" i="7"/>
  <c r="D9477" i="7"/>
  <c r="D9478" i="7"/>
  <c r="D9479" i="7"/>
  <c r="D9480" i="7"/>
  <c r="D9481" i="7"/>
  <c r="D9482" i="7"/>
  <c r="D9483" i="7"/>
  <c r="D9484" i="7"/>
  <c r="D9485" i="7"/>
  <c r="D9486" i="7"/>
  <c r="S286" i="6" s="1"/>
  <c r="D9487" i="7"/>
  <c r="D9488" i="7"/>
  <c r="D9489" i="7"/>
  <c r="D9490" i="7"/>
  <c r="D9491" i="7"/>
  <c r="D9492" i="7"/>
  <c r="D9493" i="7"/>
  <c r="D9494" i="7"/>
  <c r="D9495" i="7"/>
  <c r="D9496" i="7"/>
  <c r="S718" i="6" s="1"/>
  <c r="D9497" i="7"/>
  <c r="D9498" i="7"/>
  <c r="D9499" i="7"/>
  <c r="S719" i="6" s="1"/>
  <c r="D9500" i="7"/>
  <c r="D9501" i="7"/>
  <c r="D9502" i="7"/>
  <c r="S720" i="6" s="1"/>
  <c r="W720" i="6" s="1"/>
  <c r="D9503" i="7"/>
  <c r="D9504" i="7"/>
  <c r="D9505" i="7"/>
  <c r="D9506" i="7"/>
  <c r="D9507" i="7"/>
  <c r="D9508" i="7"/>
  <c r="D9509" i="7"/>
  <c r="D9510" i="7"/>
  <c r="D9511" i="7"/>
  <c r="D9512" i="7"/>
  <c r="D9513" i="7"/>
  <c r="D9514" i="7"/>
  <c r="D9515" i="7"/>
  <c r="D9516" i="7"/>
  <c r="D9517" i="7"/>
  <c r="D9518" i="7"/>
  <c r="D9519" i="7"/>
  <c r="D9520" i="7"/>
  <c r="D9521" i="7"/>
  <c r="D9522" i="7"/>
  <c r="D9523" i="7"/>
  <c r="D9524" i="7"/>
  <c r="D9525" i="7"/>
  <c r="D9526" i="7"/>
  <c r="D9527" i="7"/>
  <c r="D9528" i="7"/>
  <c r="D9529" i="7"/>
  <c r="D9530" i="7"/>
  <c r="D9531" i="7"/>
  <c r="D9532" i="7"/>
  <c r="D9533" i="7"/>
  <c r="D9534" i="7"/>
  <c r="D9535" i="7"/>
  <c r="D9536" i="7"/>
  <c r="D9537" i="7"/>
  <c r="D9538" i="7"/>
  <c r="D9539" i="7"/>
  <c r="D9540" i="7"/>
  <c r="D9541" i="7"/>
  <c r="D9542" i="7"/>
  <c r="D9543" i="7"/>
  <c r="D9544" i="7"/>
  <c r="D9545" i="7"/>
  <c r="D9546" i="7"/>
  <c r="D9547" i="7"/>
  <c r="D9548" i="7"/>
  <c r="D9549" i="7"/>
  <c r="D9550" i="7"/>
  <c r="D9551" i="7"/>
  <c r="D9552" i="7"/>
  <c r="D9553" i="7"/>
  <c r="D9554" i="7"/>
  <c r="D9555" i="7"/>
  <c r="D9556" i="7"/>
  <c r="D9557" i="7"/>
  <c r="S444" i="6" s="1"/>
  <c r="D9558" i="7"/>
  <c r="D9559" i="7"/>
  <c r="D9560" i="7"/>
  <c r="D9561" i="7"/>
  <c r="D9562" i="7"/>
  <c r="D9563" i="7"/>
  <c r="D9564" i="7"/>
  <c r="D9565" i="7"/>
  <c r="D9566" i="7"/>
  <c r="D9567" i="7"/>
  <c r="D9568" i="7"/>
  <c r="D9569" i="7"/>
  <c r="D9570" i="7"/>
  <c r="D9571" i="7"/>
  <c r="D9572" i="7"/>
  <c r="D9573" i="7"/>
  <c r="D9574" i="7"/>
  <c r="D9575" i="7"/>
  <c r="D9576" i="7"/>
  <c r="D9577" i="7"/>
  <c r="D9578" i="7"/>
  <c r="D9579" i="7"/>
  <c r="D9580" i="7"/>
  <c r="D9581" i="7"/>
  <c r="D9582" i="7"/>
  <c r="D9583" i="7"/>
  <c r="D9584" i="7"/>
  <c r="D9585" i="7"/>
  <c r="D9586" i="7"/>
  <c r="D9587" i="7"/>
  <c r="D9588" i="7"/>
  <c r="D9589" i="7"/>
  <c r="D9590" i="7"/>
  <c r="D9591" i="7"/>
  <c r="D9592" i="7"/>
  <c r="D9593" i="7"/>
  <c r="D9594" i="7"/>
  <c r="D9595" i="7"/>
  <c r="D9596" i="7"/>
  <c r="D9597" i="7"/>
  <c r="D9598" i="7"/>
  <c r="D9599" i="7"/>
  <c r="S137" i="6" s="1"/>
  <c r="D9600" i="7"/>
  <c r="D9601" i="7"/>
  <c r="D9602" i="7"/>
  <c r="D9603" i="7"/>
  <c r="D9604" i="7"/>
  <c r="D9605" i="7"/>
  <c r="D9606" i="7"/>
  <c r="D9607" i="7"/>
  <c r="D9608" i="7"/>
  <c r="D9609" i="7"/>
  <c r="D9610" i="7"/>
  <c r="D9611" i="7"/>
  <c r="D9612" i="7"/>
  <c r="D9613" i="7"/>
  <c r="D9614" i="7"/>
  <c r="D9615" i="7"/>
  <c r="D9616" i="7"/>
  <c r="D9617" i="7"/>
  <c r="D9618" i="7"/>
  <c r="D9619" i="7"/>
  <c r="D9620" i="7"/>
  <c r="D9621" i="7"/>
  <c r="D9622" i="7"/>
  <c r="D9623" i="7"/>
  <c r="D9624" i="7"/>
  <c r="D9625" i="7"/>
  <c r="S688" i="6" s="1"/>
  <c r="W688" i="6" s="1"/>
  <c r="D9626" i="7"/>
  <c r="D9627" i="7"/>
  <c r="D9628" i="7"/>
  <c r="D9629" i="7"/>
  <c r="D9630" i="7"/>
  <c r="D9631" i="7"/>
  <c r="D9632" i="7"/>
  <c r="D9633" i="7"/>
  <c r="D9634" i="7"/>
  <c r="D9635" i="7"/>
  <c r="D9636" i="7"/>
  <c r="D9637" i="7"/>
  <c r="D9638" i="7"/>
  <c r="D9639" i="7"/>
  <c r="D9640" i="7"/>
  <c r="D9641" i="7"/>
  <c r="D9642" i="7"/>
  <c r="D9643" i="7"/>
  <c r="D9644" i="7"/>
  <c r="D9645" i="7"/>
  <c r="D9646" i="7"/>
  <c r="D9647" i="7"/>
  <c r="D9648" i="7"/>
  <c r="D9649" i="7"/>
  <c r="D9650" i="7"/>
  <c r="D9651" i="7"/>
  <c r="D9652" i="7"/>
  <c r="D9653" i="7"/>
  <c r="D9654" i="7"/>
  <c r="D9655" i="7"/>
  <c r="D9656" i="7"/>
  <c r="D9657" i="7"/>
  <c r="D9658" i="7"/>
  <c r="D9659" i="7"/>
  <c r="D9660" i="7"/>
  <c r="D9661" i="7"/>
  <c r="D9662" i="7"/>
  <c r="D9663" i="7"/>
  <c r="S726" i="6" s="1"/>
  <c r="W726" i="6" s="1"/>
  <c r="D9664" i="7"/>
  <c r="D9665" i="7"/>
  <c r="D9666" i="7"/>
  <c r="D9667" i="7"/>
  <c r="D9668" i="7"/>
  <c r="D9669" i="7"/>
  <c r="D9670" i="7"/>
  <c r="D9671" i="7"/>
  <c r="D9672" i="7"/>
  <c r="D9673" i="7"/>
  <c r="D9674" i="7"/>
  <c r="D9675" i="7"/>
  <c r="D9676" i="7"/>
  <c r="D9677" i="7"/>
  <c r="S414" i="6" s="1"/>
  <c r="W414" i="6" s="1"/>
  <c r="D9678" i="7"/>
  <c r="D9679" i="7"/>
  <c r="D9680" i="7"/>
  <c r="D9681" i="7"/>
  <c r="D9682" i="7"/>
  <c r="D9683" i="7"/>
  <c r="D9684" i="7"/>
  <c r="D9685" i="7"/>
  <c r="D9686" i="7"/>
  <c r="D9687" i="7"/>
  <c r="D9688" i="7"/>
  <c r="D9689" i="7"/>
  <c r="D9690" i="7"/>
  <c r="D9691" i="7"/>
  <c r="D9692" i="7"/>
  <c r="D9693" i="7"/>
  <c r="D9694" i="7"/>
  <c r="D9695" i="7"/>
  <c r="D9696" i="7"/>
  <c r="D9697" i="7"/>
  <c r="D9698" i="7"/>
  <c r="D9699" i="7"/>
  <c r="D9700" i="7"/>
  <c r="D9701" i="7"/>
  <c r="D9702" i="7"/>
  <c r="D9703" i="7"/>
  <c r="D9704" i="7"/>
  <c r="D9705" i="7"/>
  <c r="D9706" i="7"/>
  <c r="D9707" i="7"/>
  <c r="D9708" i="7"/>
  <c r="D9709" i="7"/>
  <c r="D9710" i="7"/>
  <c r="D9711" i="7"/>
  <c r="D9712" i="7"/>
  <c r="D9713" i="7"/>
  <c r="D9714" i="7"/>
  <c r="D9715" i="7"/>
  <c r="D9716" i="7"/>
  <c r="D9717" i="7"/>
  <c r="D9718" i="7"/>
  <c r="D9719" i="7"/>
  <c r="D9720" i="7"/>
  <c r="D9721" i="7"/>
  <c r="D9722" i="7"/>
  <c r="D9723" i="7"/>
  <c r="D9724" i="7"/>
  <c r="D9725" i="7"/>
  <c r="D9726" i="7"/>
  <c r="D9727" i="7"/>
  <c r="D9728" i="7"/>
  <c r="S178" i="6" s="1"/>
  <c r="W178" i="6" s="1"/>
  <c r="D9729" i="7"/>
  <c r="D9730" i="7"/>
  <c r="D9731" i="7"/>
  <c r="D9732" i="7"/>
  <c r="D9733" i="7"/>
  <c r="D9734" i="7"/>
  <c r="D9735" i="7"/>
  <c r="D9736" i="7"/>
  <c r="D9737" i="7"/>
  <c r="S721" i="6" s="1"/>
  <c r="D9738" i="7"/>
  <c r="D9739" i="7"/>
  <c r="D9740" i="7"/>
  <c r="D9741" i="7"/>
  <c r="D9742" i="7"/>
  <c r="D9743" i="7"/>
  <c r="D9744" i="7"/>
  <c r="D9745" i="7"/>
  <c r="D9746" i="7"/>
  <c r="D9747" i="7"/>
  <c r="D9748" i="7"/>
  <c r="D9749" i="7"/>
  <c r="D9750" i="7"/>
  <c r="D9751" i="7"/>
  <c r="D9752" i="7"/>
  <c r="D9753" i="7"/>
  <c r="D9754" i="7"/>
  <c r="D9755" i="7"/>
  <c r="D9756" i="7"/>
  <c r="D9757" i="7"/>
  <c r="D9758" i="7"/>
  <c r="D9759" i="7"/>
  <c r="D9760" i="7"/>
  <c r="D9761" i="7"/>
  <c r="D9762" i="7"/>
  <c r="D9763" i="7"/>
  <c r="D9764" i="7"/>
  <c r="D9765" i="7"/>
  <c r="D9766" i="7"/>
  <c r="D9767" i="7"/>
  <c r="D9768" i="7"/>
  <c r="D9769" i="7"/>
  <c r="D9770" i="7"/>
  <c r="D9771" i="7"/>
  <c r="D9772" i="7"/>
  <c r="D9773" i="7"/>
  <c r="D9774" i="7"/>
  <c r="D9775" i="7"/>
  <c r="D9776" i="7"/>
  <c r="D9777" i="7"/>
  <c r="D9778" i="7"/>
  <c r="D9779" i="7"/>
  <c r="S38" i="6" s="1"/>
  <c r="W38" i="6" s="1"/>
  <c r="D9780" i="7"/>
  <c r="D9781" i="7"/>
  <c r="D9782" i="7"/>
  <c r="D9783" i="7"/>
  <c r="D9784" i="7"/>
  <c r="S87" i="6" s="1"/>
  <c r="W87" i="6" s="1"/>
  <c r="D9785" i="7"/>
  <c r="D9786" i="7"/>
  <c r="D9787" i="7"/>
  <c r="D9788" i="7"/>
  <c r="D9789" i="7"/>
  <c r="D9790" i="7"/>
  <c r="D9791" i="7"/>
  <c r="S282" i="6" s="1"/>
  <c r="W282" i="6" s="1"/>
  <c r="D9792" i="7"/>
  <c r="D9793" i="7"/>
  <c r="D9794" i="7"/>
  <c r="D9795" i="7"/>
  <c r="D9796" i="7"/>
  <c r="D9797" i="7"/>
  <c r="D9798" i="7"/>
  <c r="D9799" i="7"/>
  <c r="D9800" i="7"/>
  <c r="D9801" i="7"/>
  <c r="D9802" i="7"/>
  <c r="D9803" i="7"/>
  <c r="D9804" i="7"/>
  <c r="D9805" i="7"/>
  <c r="D9806" i="7"/>
  <c r="D9807" i="7"/>
  <c r="D9808" i="7"/>
  <c r="D9809" i="7"/>
  <c r="D9810" i="7"/>
  <c r="D9811" i="7"/>
  <c r="S283" i="6" s="1"/>
  <c r="W283" i="6" s="1"/>
  <c r="D9812" i="7"/>
  <c r="D9813" i="7"/>
  <c r="D9814" i="7"/>
  <c r="S162" i="6" s="1"/>
  <c r="W162" i="6" s="1"/>
  <c r="D9815" i="7"/>
  <c r="D9816" i="7"/>
  <c r="D9817" i="7"/>
  <c r="S722" i="6" s="1"/>
  <c r="W722" i="6" s="1"/>
  <c r="D9818" i="7"/>
  <c r="D9819" i="7"/>
  <c r="D9820" i="7"/>
  <c r="D9821" i="7"/>
  <c r="S550" i="6" s="1"/>
  <c r="D9822" i="7"/>
  <c r="D9823" i="7"/>
  <c r="D9824" i="7"/>
  <c r="D9825" i="7"/>
  <c r="D9826" i="7"/>
  <c r="D9827" i="7"/>
  <c r="D9828" i="7"/>
  <c r="D9829" i="7"/>
  <c r="D9830" i="7"/>
  <c r="D9831" i="7"/>
  <c r="D9832" i="7"/>
  <c r="D9833" i="7"/>
  <c r="S723" i="6" s="1"/>
  <c r="W723" i="6" s="1"/>
  <c r="D9834" i="7"/>
  <c r="D9835" i="7"/>
  <c r="D9836" i="7"/>
  <c r="D9837" i="7"/>
  <c r="D9838" i="7"/>
  <c r="D9839" i="7"/>
  <c r="D9840" i="7"/>
  <c r="D9841" i="7"/>
  <c r="D9842" i="7"/>
  <c r="D9843" i="7"/>
  <c r="D9844" i="7"/>
  <c r="D9845" i="7"/>
  <c r="D9846" i="7"/>
  <c r="D9847" i="7"/>
  <c r="D9848" i="7"/>
  <c r="D9849" i="7"/>
  <c r="D9850" i="7"/>
  <c r="D9851" i="7"/>
  <c r="D9852" i="7"/>
  <c r="D9853" i="7"/>
  <c r="D9854" i="7"/>
  <c r="D9855" i="7"/>
  <c r="D9856" i="7"/>
  <c r="D9857" i="7"/>
  <c r="D9858" i="7"/>
  <c r="D9859" i="7"/>
  <c r="D9860" i="7"/>
  <c r="D9861" i="7"/>
  <c r="D9862" i="7"/>
  <c r="D9863" i="7"/>
  <c r="D9864" i="7"/>
  <c r="D9865" i="7"/>
  <c r="D9866" i="7"/>
  <c r="D9867" i="7"/>
  <c r="D9868" i="7"/>
  <c r="D9869" i="7"/>
  <c r="D9870" i="7"/>
  <c r="D9871" i="7"/>
  <c r="D9872" i="7"/>
  <c r="D9873" i="7"/>
  <c r="D9874" i="7"/>
  <c r="D9875" i="7"/>
  <c r="D9876" i="7"/>
  <c r="D9877" i="7"/>
  <c r="D9878" i="7"/>
  <c r="D9879" i="7"/>
  <c r="D9880" i="7"/>
  <c r="D9881" i="7"/>
  <c r="D9882" i="7"/>
  <c r="D9883" i="7"/>
  <c r="D9884" i="7"/>
  <c r="D9885" i="7"/>
  <c r="D9886" i="7"/>
  <c r="D9887" i="7"/>
  <c r="D9888" i="7"/>
  <c r="D9889" i="7"/>
  <c r="D9890" i="7"/>
  <c r="D9891" i="7"/>
  <c r="D9892" i="7"/>
  <c r="D9893" i="7"/>
  <c r="D9894" i="7"/>
  <c r="D9895" i="7"/>
  <c r="D9896" i="7"/>
  <c r="D9897" i="7"/>
  <c r="D9898" i="7"/>
  <c r="D9899" i="7"/>
  <c r="D9900" i="7"/>
  <c r="D9901" i="7"/>
  <c r="S345" i="6" s="1"/>
  <c r="D9902" i="7"/>
  <c r="D9903" i="7"/>
  <c r="D9904" i="7"/>
  <c r="D9905" i="7"/>
  <c r="D9906" i="7"/>
  <c r="D9907" i="7"/>
  <c r="D9908" i="7"/>
  <c r="D9909" i="7"/>
  <c r="D9910" i="7"/>
  <c r="D9911" i="7"/>
  <c r="D9912" i="7"/>
  <c r="D9913" i="7"/>
  <c r="S175" i="6" s="1"/>
  <c r="D9914" i="7"/>
  <c r="D9915" i="7"/>
  <c r="D9916" i="7"/>
  <c r="D9917" i="7"/>
  <c r="D9918" i="7"/>
  <c r="D9919" i="7"/>
  <c r="D9920" i="7"/>
  <c r="D9921" i="7"/>
  <c r="D9922" i="7"/>
  <c r="D9923" i="7"/>
  <c r="D9924" i="7"/>
  <c r="D9925" i="7"/>
  <c r="D9926" i="7"/>
  <c r="D9927" i="7"/>
  <c r="D9928" i="7"/>
  <c r="D9929" i="7"/>
  <c r="D9930" i="7"/>
  <c r="D9931" i="7"/>
  <c r="D9932" i="7"/>
  <c r="D9933" i="7"/>
  <c r="S333" i="6" s="1"/>
  <c r="W333" i="6" s="1"/>
  <c r="D9934" i="7"/>
  <c r="D9935" i="7"/>
  <c r="D9936" i="7"/>
  <c r="D9937" i="7"/>
  <c r="D9938" i="7"/>
  <c r="D9939" i="7"/>
  <c r="D9940" i="7"/>
  <c r="D9941" i="7"/>
  <c r="D9942" i="7"/>
  <c r="D9943" i="7"/>
  <c r="D9944" i="7"/>
  <c r="D9945" i="7"/>
  <c r="D9946" i="7"/>
  <c r="D9947" i="7"/>
  <c r="D9948" i="7"/>
  <c r="D9949" i="7"/>
  <c r="D9950" i="7"/>
  <c r="D9951" i="7"/>
  <c r="D9952" i="7"/>
  <c r="D9953" i="7"/>
  <c r="D9954" i="7"/>
  <c r="D9955" i="7"/>
  <c r="D9956" i="7"/>
  <c r="D9957" i="7"/>
  <c r="D9958" i="7"/>
  <c r="D9959" i="7"/>
  <c r="D9960" i="7"/>
  <c r="D9961" i="7"/>
  <c r="D9962" i="7"/>
  <c r="D9963" i="7"/>
  <c r="S64" i="6" s="1"/>
  <c r="W64" i="6" s="1"/>
  <c r="D9964" i="7"/>
  <c r="D9965" i="7"/>
  <c r="D9966" i="7"/>
  <c r="D9967" i="7"/>
  <c r="D9968" i="7"/>
  <c r="D9969" i="7"/>
  <c r="D9970" i="7"/>
  <c r="D9971" i="7"/>
  <c r="S221" i="6" s="1"/>
  <c r="W221" i="6" s="1"/>
  <c r="D9972" i="7"/>
  <c r="D9973" i="7"/>
  <c r="D9974" i="7"/>
  <c r="D9975" i="7"/>
  <c r="D9976" i="7"/>
  <c r="D9977" i="7"/>
  <c r="D9978" i="7"/>
  <c r="D9979" i="7"/>
  <c r="D9980" i="7"/>
  <c r="D9981" i="7"/>
  <c r="D9982" i="7"/>
  <c r="D9983" i="7"/>
  <c r="D9984" i="7"/>
  <c r="D9985" i="7"/>
  <c r="D9986" i="7"/>
  <c r="D9987" i="7"/>
  <c r="D9988" i="7"/>
  <c r="D9989" i="7"/>
  <c r="D9990" i="7"/>
  <c r="D9991" i="7"/>
  <c r="D9992" i="7"/>
  <c r="D9993" i="7"/>
  <c r="S88" i="6" s="1"/>
  <c r="W88" i="6" s="1"/>
  <c r="D9994" i="7"/>
  <c r="D9995" i="7"/>
  <c r="S176" i="6" s="1"/>
  <c r="W176" i="6" s="1"/>
  <c r="D9996" i="7"/>
  <c r="D9997" i="7"/>
  <c r="D9998" i="7"/>
  <c r="D9999" i="7"/>
  <c r="D10000" i="7"/>
  <c r="D10001" i="7"/>
  <c r="D10002" i="7"/>
  <c r="D10003" i="7"/>
  <c r="D10004" i="7"/>
  <c r="D10005" i="7"/>
  <c r="D10006" i="7"/>
  <c r="S554" i="6" s="1"/>
  <c r="W554" i="6" s="1"/>
  <c r="D10007" i="7"/>
  <c r="D10008" i="7"/>
  <c r="D10009" i="7"/>
  <c r="D10010" i="7"/>
  <c r="D10011" i="7"/>
  <c r="D10012" i="7"/>
  <c r="S177" i="6" s="1"/>
  <c r="D10013" i="7"/>
  <c r="D10014" i="7"/>
  <c r="D10015" i="7"/>
  <c r="D10016" i="7"/>
  <c r="D10017" i="7"/>
  <c r="D10018" i="7"/>
  <c r="D10019" i="7"/>
  <c r="S397" i="6" s="1"/>
  <c r="W397" i="6" s="1"/>
  <c r="D10020" i="7"/>
  <c r="D10021" i="7"/>
  <c r="D10022" i="7"/>
  <c r="D10023" i="7"/>
  <c r="D10024" i="7"/>
  <c r="D10025" i="7"/>
  <c r="D10026" i="7"/>
  <c r="D10027" i="7"/>
  <c r="D10028" i="7"/>
  <c r="D10029" i="7"/>
  <c r="D10030" i="7"/>
  <c r="D10031" i="7"/>
  <c r="D10032" i="7"/>
  <c r="D10033" i="7"/>
  <c r="D10034" i="7"/>
  <c r="D10035" i="7"/>
  <c r="D10036" i="7"/>
  <c r="D10037" i="7"/>
  <c r="D10038" i="7"/>
  <c r="D10039" i="7"/>
  <c r="D10040" i="7"/>
  <c r="D10041" i="7"/>
  <c r="D10042" i="7"/>
  <c r="D10043" i="7"/>
  <c r="D10044" i="7"/>
  <c r="D10045" i="7"/>
  <c r="D10046" i="7"/>
  <c r="D10047" i="7"/>
  <c r="D10048" i="7"/>
  <c r="D10049" i="7"/>
  <c r="D10050" i="7"/>
  <c r="D10051" i="7"/>
  <c r="D10052" i="7"/>
  <c r="D10053" i="7"/>
  <c r="D10054" i="7"/>
  <c r="D10055" i="7"/>
  <c r="D10056" i="7"/>
  <c r="D10057" i="7"/>
  <c r="D10058" i="7"/>
  <c r="D10059" i="7"/>
  <c r="D10060" i="7"/>
  <c r="D10061" i="7"/>
  <c r="D10062" i="7"/>
  <c r="D10063" i="7"/>
  <c r="S37" i="6" s="1"/>
  <c r="D10064" i="7"/>
  <c r="D10065" i="7"/>
  <c r="D10066" i="7"/>
  <c r="D10067" i="7"/>
  <c r="D10068" i="7"/>
  <c r="D10069" i="7"/>
  <c r="D10070" i="7"/>
  <c r="D10071" i="7"/>
  <c r="D10072" i="7"/>
  <c r="D10073" i="7"/>
  <c r="D10074" i="7"/>
  <c r="D10075" i="7"/>
  <c r="D10076" i="7"/>
  <c r="D10077" i="7"/>
  <c r="D10078" i="7"/>
  <c r="D10079" i="7"/>
  <c r="D10080" i="7"/>
  <c r="D10081" i="7"/>
  <c r="S577" i="6" s="1"/>
  <c r="D10082" i="7"/>
  <c r="D10083" i="7"/>
  <c r="D10084" i="7"/>
  <c r="D10085" i="7"/>
  <c r="D10086" i="7"/>
  <c r="D10087" i="7"/>
  <c r="D10088" i="7"/>
  <c r="D10089" i="7"/>
  <c r="D10090" i="7"/>
  <c r="D10091" i="7"/>
  <c r="D10092" i="7"/>
  <c r="D10093" i="7"/>
  <c r="D10094" i="7"/>
  <c r="D10095" i="7"/>
  <c r="D10096" i="7"/>
  <c r="D10097" i="7"/>
  <c r="D10098" i="7"/>
  <c r="D10099" i="7"/>
  <c r="D10100" i="7"/>
  <c r="D10101" i="7"/>
  <c r="D10102" i="7"/>
  <c r="D10103" i="7"/>
  <c r="D10104" i="7"/>
  <c r="D10105" i="7"/>
  <c r="D10106" i="7"/>
  <c r="D10107" i="7"/>
  <c r="D10108" i="7"/>
  <c r="D10109" i="7"/>
  <c r="D10110" i="7"/>
  <c r="D10111" i="7"/>
  <c r="D10112" i="7"/>
  <c r="D10113" i="7"/>
  <c r="D10114" i="7"/>
  <c r="D10115" i="7"/>
  <c r="D10116" i="7"/>
  <c r="D10117" i="7"/>
  <c r="D10118" i="7"/>
  <c r="D10119" i="7"/>
  <c r="D10120" i="7"/>
  <c r="D10121" i="7"/>
  <c r="D10122" i="7"/>
  <c r="D10123" i="7"/>
  <c r="D10124" i="7"/>
  <c r="D10125" i="7"/>
  <c r="D10126" i="7"/>
  <c r="D10127" i="7"/>
  <c r="D10128" i="7"/>
  <c r="D10129" i="7"/>
  <c r="D10130" i="7"/>
  <c r="D10131" i="7"/>
  <c r="S214" i="6" s="1"/>
  <c r="D10132" i="7"/>
  <c r="D10133" i="7"/>
  <c r="D10134" i="7"/>
  <c r="D10135" i="7"/>
  <c r="D10136" i="7"/>
  <c r="D10137" i="7"/>
  <c r="D10138" i="7"/>
  <c r="D10139" i="7"/>
  <c r="D10140" i="7"/>
  <c r="D10141" i="7"/>
  <c r="D10142" i="7"/>
  <c r="D10143" i="7"/>
  <c r="D10144" i="7"/>
  <c r="D10145" i="7"/>
  <c r="D10146" i="7"/>
  <c r="D10147" i="7"/>
  <c r="D10148" i="7"/>
  <c r="D10149" i="7"/>
  <c r="D10150" i="7"/>
  <c r="D10151" i="7"/>
  <c r="D10152" i="7"/>
  <c r="D10153" i="7"/>
  <c r="D10154" i="7"/>
  <c r="D10155" i="7"/>
  <c r="D10156" i="7"/>
  <c r="D10157" i="7"/>
  <c r="D10158" i="7"/>
  <c r="D10159" i="7"/>
  <c r="D10160" i="7"/>
  <c r="D10161" i="7"/>
  <c r="D10162" i="7"/>
  <c r="D10163" i="7"/>
  <c r="D10164" i="7"/>
  <c r="D10165" i="7"/>
  <c r="D10166" i="7"/>
  <c r="D10167" i="7"/>
  <c r="D10168" i="7"/>
  <c r="D10169" i="7"/>
  <c r="D10170" i="7"/>
  <c r="D10171" i="7"/>
  <c r="D10172" i="7"/>
  <c r="D10173" i="7"/>
  <c r="D10174" i="7"/>
  <c r="D10175" i="7"/>
  <c r="D10176" i="7"/>
  <c r="D10177" i="7"/>
  <c r="D10178" i="7"/>
  <c r="D10179" i="7"/>
  <c r="D10180" i="7"/>
  <c r="D10181" i="7"/>
  <c r="D10182" i="7"/>
  <c r="D10183" i="7"/>
  <c r="D10184" i="7"/>
  <c r="D10185" i="7"/>
  <c r="D10186" i="7"/>
  <c r="D10187" i="7"/>
  <c r="D10188" i="7"/>
  <c r="D10189" i="7"/>
  <c r="D10190" i="7"/>
  <c r="D10191" i="7"/>
  <c r="D10192" i="7"/>
  <c r="S500" i="6" s="1"/>
  <c r="D10193" i="7"/>
  <c r="D10194" i="7"/>
  <c r="D10195" i="7"/>
  <c r="D10196" i="7"/>
  <c r="D10197" i="7"/>
  <c r="D10198" i="7"/>
  <c r="D10199" i="7"/>
  <c r="D10200" i="7"/>
  <c r="D10201" i="7"/>
  <c r="D10202" i="7"/>
  <c r="D10203" i="7"/>
  <c r="D10204" i="7"/>
  <c r="D10205" i="7"/>
  <c r="S445" i="6" s="1"/>
  <c r="D10206" i="7"/>
  <c r="D10207" i="7"/>
  <c r="D10208" i="7"/>
  <c r="D10209" i="7"/>
  <c r="D10210" i="7"/>
  <c r="D10211" i="7"/>
  <c r="D10212" i="7"/>
  <c r="D10213" i="7"/>
  <c r="S724" i="6" s="1"/>
  <c r="W724" i="6" s="1"/>
  <c r="D10214" i="7"/>
  <c r="D10215" i="7"/>
  <c r="D10216" i="7"/>
  <c r="S725" i="6" s="1"/>
  <c r="W725" i="6" s="1"/>
  <c r="D10217" i="7"/>
  <c r="D10218" i="7"/>
  <c r="D10219" i="7"/>
  <c r="D10220" i="7"/>
  <c r="D10221" i="7"/>
  <c r="D10222" i="7"/>
  <c r="D10223" i="7"/>
  <c r="D10224" i="7"/>
  <c r="D10225" i="7"/>
  <c r="D10226" i="7"/>
  <c r="D10227" i="7"/>
  <c r="D10228" i="7"/>
  <c r="D10229" i="7"/>
  <c r="D10230" i="7"/>
  <c r="D10231" i="7"/>
  <c r="D10232" i="7"/>
  <c r="D10233" i="7"/>
  <c r="D10234" i="7"/>
  <c r="D10235" i="7"/>
  <c r="D10236" i="7"/>
  <c r="D10237" i="7"/>
  <c r="D10238" i="7"/>
  <c r="D10239" i="7"/>
  <c r="D10240" i="7"/>
  <c r="D10241" i="7"/>
  <c r="D10242" i="7"/>
  <c r="D10243" i="7"/>
  <c r="D10244" i="7"/>
  <c r="D10245" i="7"/>
  <c r="D10246" i="7"/>
  <c r="D10247" i="7"/>
  <c r="D10248" i="7"/>
  <c r="D10249" i="7"/>
  <c r="D10250" i="7"/>
  <c r="D10251" i="7"/>
  <c r="D10252" i="7"/>
  <c r="D10253" i="7"/>
  <c r="D10254" i="7"/>
  <c r="D10255" i="7"/>
  <c r="D10256" i="7"/>
  <c r="D10257" i="7"/>
  <c r="D10258" i="7"/>
  <c r="D10259" i="7"/>
  <c r="D10260" i="7"/>
  <c r="D10261" i="7"/>
  <c r="S551" i="6" s="1"/>
  <c r="D10262" i="7"/>
  <c r="D10263" i="7"/>
  <c r="D10264" i="7"/>
  <c r="D10265" i="7"/>
  <c r="D10266" i="7"/>
  <c r="D10267" i="7"/>
  <c r="D10268" i="7"/>
  <c r="D10269" i="7"/>
  <c r="D10270" i="7"/>
  <c r="D10271" i="7"/>
  <c r="D10272" i="7"/>
  <c r="D10273" i="7"/>
  <c r="D10274" i="7"/>
  <c r="D10275" i="7"/>
  <c r="D10276" i="7"/>
  <c r="D10277" i="7"/>
  <c r="D10278" i="7"/>
  <c r="D10279" i="7"/>
  <c r="D10280" i="7"/>
  <c r="D10281" i="7"/>
  <c r="D10282" i="7"/>
  <c r="D10283" i="7"/>
  <c r="D10284" i="7"/>
  <c r="D10285" i="7"/>
  <c r="D10286" i="7"/>
  <c r="D10287" i="7"/>
  <c r="D10288" i="7"/>
  <c r="D10289" i="7"/>
  <c r="D10290" i="7"/>
  <c r="S372" i="6" s="1"/>
  <c r="D10291" i="7"/>
  <c r="D10292" i="7"/>
  <c r="D10293" i="7"/>
  <c r="D10294" i="7"/>
  <c r="D10295" i="7"/>
  <c r="D10296" i="7"/>
  <c r="D10297" i="7"/>
  <c r="D10298" i="7"/>
  <c r="D10299" i="7"/>
  <c r="D10300" i="7"/>
  <c r="D10301" i="7"/>
  <c r="D10302" i="7"/>
  <c r="D10303" i="7"/>
  <c r="D10304" i="7"/>
  <c r="D10305" i="7"/>
  <c r="D10306" i="7"/>
  <c r="D10307" i="7"/>
  <c r="D10308" i="7"/>
  <c r="D10309" i="7"/>
  <c r="D10310" i="7"/>
  <c r="D10311" i="7"/>
  <c r="D10312" i="7"/>
  <c r="D10313" i="7"/>
  <c r="D10314" i="7"/>
  <c r="D10315" i="7"/>
  <c r="D10316" i="7"/>
  <c r="D10317" i="7"/>
  <c r="D10318" i="7"/>
  <c r="D10319" i="7"/>
  <c r="D10320" i="7"/>
  <c r="D10321" i="7"/>
  <c r="D10322" i="7"/>
  <c r="D10323" i="7"/>
  <c r="D10324" i="7"/>
  <c r="D10325" i="7"/>
  <c r="D10326" i="7"/>
  <c r="D10327" i="7"/>
  <c r="D10328" i="7"/>
  <c r="D10329" i="7"/>
  <c r="D10330" i="7"/>
  <c r="D10331" i="7"/>
  <c r="D10332" i="7"/>
  <c r="D10333" i="7"/>
  <c r="D10334" i="7"/>
  <c r="D10335" i="7"/>
  <c r="D10336" i="7"/>
  <c r="D10337" i="7"/>
  <c r="D10338" i="7"/>
  <c r="D10339" i="7"/>
  <c r="D10340" i="7"/>
  <c r="D10341" i="7"/>
  <c r="D10342" i="7"/>
  <c r="D10343" i="7"/>
  <c r="D10344" i="7"/>
  <c r="D10345" i="7"/>
  <c r="D10346" i="7"/>
  <c r="S530" i="6" s="1"/>
  <c r="W530" i="6" s="1"/>
  <c r="D10347" i="7"/>
  <c r="D10348" i="7"/>
  <c r="S549" i="6" s="1"/>
  <c r="D10349" i="7"/>
  <c r="D10350" i="7"/>
  <c r="D10351" i="7"/>
  <c r="D10352" i="7"/>
  <c r="S552" i="6" s="1"/>
  <c r="D10353" i="7"/>
  <c r="D10354" i="7"/>
  <c r="D10355" i="7"/>
  <c r="D10356" i="7"/>
  <c r="D10357" i="7"/>
  <c r="D10358" i="7"/>
  <c r="D10359" i="7"/>
  <c r="D10360" i="7"/>
  <c r="D10361" i="7"/>
  <c r="D10362" i="7"/>
  <c r="D10363" i="7"/>
  <c r="D10364" i="7"/>
  <c r="D10365" i="7"/>
  <c r="D10366" i="7"/>
  <c r="D10367" i="7"/>
  <c r="D10368" i="7"/>
  <c r="D10369" i="7"/>
  <c r="D10370" i="7"/>
  <c r="D10371" i="7"/>
  <c r="D10372" i="7"/>
  <c r="D10373" i="7"/>
  <c r="D10374" i="7"/>
  <c r="D10375" i="7"/>
  <c r="D10376" i="7"/>
  <c r="D10377" i="7"/>
  <c r="D10378" i="7"/>
  <c r="D10379" i="7"/>
  <c r="D10380" i="7"/>
  <c r="D10381" i="7"/>
  <c r="D10382" i="7"/>
  <c r="D10383" i="7"/>
  <c r="D10384" i="7"/>
  <c r="D10385" i="7"/>
  <c r="D10386" i="7"/>
  <c r="D10387" i="7"/>
  <c r="D10388" i="7"/>
  <c r="D10389" i="7"/>
  <c r="D10390" i="7"/>
  <c r="D10391" i="7"/>
  <c r="D10392" i="7"/>
  <c r="D10393" i="7"/>
  <c r="D10394" i="7"/>
  <c r="D10395" i="7"/>
  <c r="D10396" i="7"/>
  <c r="D10397" i="7"/>
  <c r="D10398" i="7"/>
  <c r="D10399" i="7"/>
  <c r="D10400" i="7"/>
  <c r="D10401" i="7"/>
  <c r="D10402" i="7"/>
  <c r="D10403" i="7"/>
  <c r="D10404" i="7"/>
  <c r="D10405" i="7"/>
  <c r="D10406" i="7"/>
  <c r="D10407" i="7"/>
  <c r="D10408" i="7"/>
  <c r="D10409" i="7"/>
  <c r="D10410" i="7"/>
  <c r="D10411" i="7"/>
  <c r="D10412" i="7"/>
  <c r="D10413" i="7"/>
  <c r="D10414" i="7"/>
  <c r="D10415" i="7"/>
  <c r="D10416" i="7"/>
  <c r="D10417" i="7"/>
  <c r="D10418" i="7"/>
  <c r="D10419" i="7"/>
  <c r="D10420" i="7"/>
  <c r="D10421" i="7"/>
  <c r="D10422" i="7"/>
  <c r="D10423" i="7"/>
  <c r="D10424" i="7"/>
  <c r="D10425" i="7"/>
  <c r="D10426" i="7"/>
  <c r="D10427" i="7"/>
  <c r="D10428" i="7"/>
  <c r="D10429" i="7"/>
  <c r="D10430" i="7"/>
  <c r="D10431" i="7"/>
  <c r="D10432" i="7"/>
  <c r="D10433" i="7"/>
  <c r="D10434" i="7"/>
  <c r="D10435" i="7"/>
  <c r="D10436" i="7"/>
  <c r="D10437" i="7"/>
  <c r="D10438" i="7"/>
  <c r="D10439" i="7"/>
  <c r="D10440" i="7"/>
  <c r="D10441" i="7"/>
  <c r="D10442" i="7"/>
  <c r="D10443" i="7"/>
  <c r="D10444" i="7"/>
  <c r="D10445" i="7"/>
  <c r="D10446" i="7"/>
  <c r="D10447" i="7"/>
  <c r="D10448" i="7"/>
  <c r="D10449" i="7"/>
  <c r="D10450" i="7"/>
  <c r="D10451" i="7"/>
  <c r="D10452" i="7"/>
  <c r="D10453" i="7"/>
  <c r="D10454" i="7"/>
  <c r="D10455" i="7"/>
  <c r="D10456" i="7"/>
  <c r="D10457" i="7"/>
  <c r="D10458" i="7"/>
  <c r="D10459" i="7"/>
  <c r="D10460" i="7"/>
  <c r="D10461" i="7"/>
  <c r="D10462" i="7"/>
  <c r="D10463" i="7"/>
  <c r="D10464" i="7"/>
  <c r="D10465" i="7"/>
  <c r="D10466" i="7"/>
  <c r="D10467" i="7"/>
  <c r="D10468" i="7"/>
  <c r="D10469" i="7"/>
  <c r="D10470" i="7"/>
  <c r="D10471" i="7"/>
  <c r="D10472" i="7"/>
  <c r="D10473" i="7"/>
  <c r="D10474" i="7"/>
  <c r="D10475" i="7"/>
  <c r="D10476" i="7"/>
  <c r="D10477" i="7"/>
  <c r="D10478" i="7"/>
  <c r="D10479" i="7"/>
  <c r="D10480" i="7"/>
  <c r="D10481" i="7"/>
  <c r="D10482" i="7"/>
  <c r="D10483" i="7"/>
  <c r="D10484" i="7"/>
  <c r="D10485" i="7"/>
  <c r="D10486" i="7"/>
  <c r="D10487" i="7"/>
  <c r="D10488" i="7"/>
  <c r="D10489" i="7"/>
  <c r="D10490" i="7"/>
  <c r="D10491" i="7"/>
  <c r="D10492" i="7"/>
  <c r="D10493" i="7"/>
  <c r="D10494" i="7"/>
  <c r="D10495" i="7"/>
  <c r="D10496" i="7"/>
  <c r="D10497" i="7"/>
  <c r="S76" i="6" s="1"/>
  <c r="W76" i="6" s="1"/>
  <c r="D10498" i="7"/>
  <c r="D10499" i="7"/>
  <c r="D10500" i="7"/>
  <c r="D10501" i="7"/>
  <c r="D10502" i="7"/>
  <c r="S477" i="6" s="1"/>
  <c r="D10503" i="7"/>
  <c r="D10504" i="7"/>
  <c r="D10505" i="7"/>
  <c r="D10506" i="7"/>
  <c r="D10507" i="7"/>
  <c r="D10508" i="7"/>
  <c r="D10509" i="7"/>
  <c r="D10510" i="7"/>
  <c r="D10511" i="7"/>
  <c r="D10512" i="7"/>
  <c r="D10513" i="7"/>
  <c r="D10514" i="7"/>
  <c r="D10515" i="7"/>
  <c r="D10516" i="7"/>
  <c r="D10517" i="7"/>
  <c r="D10518" i="7"/>
  <c r="D10519" i="7"/>
  <c r="D10520" i="7"/>
  <c r="D10521" i="7"/>
  <c r="D10522" i="7"/>
  <c r="D10523" i="7"/>
  <c r="D10524" i="7"/>
  <c r="D10525" i="7"/>
  <c r="D10526" i="7"/>
  <c r="D10527" i="7"/>
  <c r="D10528" i="7"/>
  <c r="D10529" i="7"/>
  <c r="D10530" i="7"/>
  <c r="S243" i="6" s="1"/>
  <c r="W243" i="6" s="1"/>
  <c r="D10531" i="7"/>
  <c r="D10532" i="7"/>
  <c r="D10533" i="7"/>
  <c r="D10534" i="7"/>
  <c r="D10535" i="7"/>
  <c r="D10536" i="7"/>
  <c r="D10537" i="7"/>
  <c r="D10538" i="7"/>
  <c r="D10539" i="7"/>
  <c r="D10540" i="7"/>
  <c r="D10541" i="7"/>
  <c r="D10542" i="7"/>
  <c r="D10543" i="7"/>
  <c r="D10544" i="7"/>
  <c r="S101" i="6" s="1"/>
  <c r="W101" i="6" s="1"/>
  <c r="D10545" i="7"/>
  <c r="D10546" i="7"/>
  <c r="D10547" i="7"/>
  <c r="D10548" i="7"/>
  <c r="D10549" i="7"/>
  <c r="D10550" i="7"/>
  <c r="D10551" i="7"/>
  <c r="D10552" i="7"/>
  <c r="D10553" i="7"/>
  <c r="D10554" i="7"/>
  <c r="D10555" i="7"/>
  <c r="D10556" i="7"/>
  <c r="D10557" i="7"/>
  <c r="D10558" i="7"/>
  <c r="D10559" i="7"/>
  <c r="D10560" i="7"/>
  <c r="D10561" i="7"/>
  <c r="D10562" i="7"/>
  <c r="D10563" i="7"/>
  <c r="D10564" i="7"/>
  <c r="D10565" i="7"/>
  <c r="D10566" i="7"/>
  <c r="D10567" i="7"/>
  <c r="S419" i="6" s="1"/>
  <c r="D10568" i="7"/>
  <c r="D10569" i="7"/>
  <c r="D10570" i="7"/>
  <c r="D10571" i="7"/>
  <c r="D10572" i="7"/>
  <c r="D10573" i="7"/>
  <c r="D10574" i="7"/>
  <c r="D10575" i="7"/>
  <c r="D10576" i="7"/>
  <c r="D10577" i="7"/>
  <c r="D10578" i="7"/>
  <c r="D10579" i="7"/>
  <c r="D10580" i="7"/>
  <c r="D10581" i="7"/>
  <c r="D10582" i="7"/>
  <c r="D10583" i="7"/>
  <c r="D10584" i="7"/>
  <c r="D10585" i="7"/>
  <c r="D10586" i="7"/>
  <c r="D10587" i="7"/>
  <c r="D10588" i="7"/>
  <c r="S432" i="6" s="1"/>
  <c r="D10589" i="7"/>
  <c r="D10590" i="7"/>
  <c r="D10591" i="7"/>
  <c r="D10592" i="7"/>
  <c r="D10593" i="7"/>
  <c r="D10594" i="7"/>
  <c r="D10595" i="7"/>
  <c r="D10596" i="7"/>
  <c r="D10597" i="7"/>
  <c r="D10598" i="7"/>
  <c r="D10599" i="7"/>
  <c r="D10600" i="7"/>
  <c r="D10601" i="7"/>
  <c r="D10602" i="7"/>
  <c r="D10603" i="7"/>
  <c r="D10604" i="7"/>
  <c r="D10605" i="7"/>
  <c r="D10606" i="7"/>
  <c r="S729" i="6" s="1"/>
  <c r="W729" i="6" s="1"/>
  <c r="D10607" i="7"/>
  <c r="S730" i="6" s="1"/>
  <c r="W730" i="6" s="1"/>
  <c r="D10608" i="7"/>
  <c r="D10609" i="7"/>
  <c r="D10610" i="7"/>
  <c r="D10611" i="7"/>
  <c r="D10612" i="7"/>
  <c r="D10613" i="7"/>
  <c r="D10614" i="7"/>
  <c r="D10615" i="7"/>
  <c r="D10616" i="7"/>
  <c r="D10617" i="7"/>
  <c r="D10618" i="7"/>
  <c r="D10619" i="7"/>
  <c r="D10620" i="7"/>
  <c r="D10621" i="7"/>
  <c r="D10622" i="7"/>
  <c r="D10623" i="7"/>
  <c r="D10624" i="7"/>
  <c r="D10625" i="7"/>
  <c r="D10626" i="7"/>
  <c r="D10627" i="7"/>
  <c r="D10628" i="7"/>
  <c r="D10629" i="7"/>
  <c r="S102" i="6" s="1"/>
  <c r="W102" i="6" s="1"/>
  <c r="D10630" i="7"/>
  <c r="D10631" i="7"/>
  <c r="D10632" i="7"/>
  <c r="D10633" i="7"/>
  <c r="D10634" i="7"/>
  <c r="D10635" i="7"/>
  <c r="S731" i="6" s="1"/>
  <c r="D10636" i="7"/>
  <c r="D10637" i="7"/>
  <c r="D10638" i="7"/>
  <c r="D10639" i="7"/>
  <c r="D10640" i="7"/>
  <c r="D10641" i="7"/>
  <c r="D10642" i="7"/>
  <c r="D10643" i="7"/>
  <c r="D10644" i="7"/>
  <c r="D10645" i="7"/>
  <c r="D10646" i="7"/>
  <c r="D10647" i="7"/>
  <c r="D10648" i="7"/>
  <c r="D10649" i="7"/>
  <c r="D10650" i="7"/>
  <c r="D10651" i="7"/>
  <c r="D10652" i="7"/>
  <c r="D10653" i="7"/>
  <c r="D10654" i="7"/>
  <c r="D10655" i="7"/>
  <c r="D10656" i="7"/>
  <c r="D10657" i="7"/>
  <c r="D10658" i="7"/>
  <c r="D10659" i="7"/>
  <c r="D10660" i="7"/>
  <c r="D10661" i="7"/>
  <c r="D10662" i="7"/>
  <c r="D10663" i="7"/>
  <c r="D10664" i="7"/>
  <c r="D10665" i="7"/>
  <c r="D10666" i="7"/>
  <c r="D10667" i="7"/>
  <c r="D10668" i="7"/>
  <c r="D10669" i="7"/>
  <c r="D10670" i="7"/>
  <c r="D10671" i="7"/>
  <c r="D10672" i="7"/>
  <c r="D10673" i="7"/>
  <c r="D10674" i="7"/>
  <c r="D10675" i="7"/>
  <c r="D10676" i="7"/>
  <c r="D10677" i="7"/>
  <c r="D10678" i="7"/>
  <c r="D10679" i="7"/>
  <c r="D10680" i="7"/>
  <c r="D10681" i="7"/>
  <c r="D10682" i="7"/>
  <c r="D10683" i="7"/>
  <c r="D10684" i="7"/>
  <c r="D10685" i="7"/>
  <c r="D10686" i="7"/>
  <c r="D10687" i="7"/>
  <c r="D10688" i="7"/>
  <c r="D10689" i="7"/>
  <c r="D10690" i="7"/>
  <c r="D10691" i="7"/>
  <c r="D10692" i="7"/>
  <c r="D10693" i="7"/>
  <c r="D10694" i="7"/>
  <c r="D10695" i="7"/>
  <c r="D10696" i="7"/>
  <c r="D10697" i="7"/>
  <c r="D10698" i="7"/>
  <c r="D10699" i="7"/>
  <c r="D10700" i="7"/>
  <c r="D10701" i="7"/>
  <c r="D10702" i="7"/>
  <c r="D10703" i="7"/>
  <c r="D10704" i="7"/>
  <c r="D10705" i="7"/>
  <c r="D10706" i="7"/>
  <c r="D10707" i="7"/>
  <c r="D10708" i="7"/>
  <c r="D10709" i="7"/>
  <c r="D10710" i="7"/>
  <c r="D10711" i="7"/>
  <c r="D10712" i="7"/>
  <c r="D10713" i="7"/>
  <c r="D10714" i="7"/>
  <c r="D10715" i="7"/>
  <c r="D10716" i="7"/>
  <c r="D10717" i="7"/>
  <c r="D10718" i="7"/>
  <c r="S370" i="6" s="1"/>
  <c r="D10719" i="7"/>
  <c r="D10720" i="7"/>
  <c r="D10721" i="7"/>
  <c r="D10722" i="7"/>
  <c r="D10723" i="7"/>
  <c r="D10724" i="7"/>
  <c r="D10725" i="7"/>
  <c r="D10726" i="7"/>
  <c r="D10727" i="7"/>
  <c r="D10728" i="7"/>
  <c r="S133" i="6" s="1"/>
  <c r="D10729" i="7"/>
  <c r="D10730" i="7"/>
  <c r="S134" i="6" s="1"/>
  <c r="W134" i="6" s="1"/>
  <c r="D10731" i="7"/>
  <c r="D10732" i="7"/>
  <c r="D10733" i="7"/>
  <c r="D10734" i="7"/>
  <c r="D10735" i="7"/>
  <c r="D10736" i="7"/>
  <c r="D10737" i="7"/>
  <c r="D10738" i="7"/>
  <c r="D10739" i="7"/>
  <c r="D10740" i="7"/>
  <c r="D10741" i="7"/>
  <c r="D10742" i="7"/>
  <c r="D10743" i="7"/>
  <c r="D10744" i="7"/>
  <c r="D10745" i="7"/>
  <c r="D10746" i="7"/>
  <c r="D10747" i="7"/>
  <c r="D10748" i="7"/>
  <c r="D10749" i="7"/>
  <c r="D10750" i="7"/>
  <c r="D10751" i="7"/>
  <c r="D10752" i="7"/>
  <c r="D10753" i="7"/>
  <c r="D10754" i="7"/>
  <c r="D10755" i="7"/>
  <c r="D10756" i="7"/>
  <c r="D10757" i="7"/>
  <c r="D10758" i="7"/>
  <c r="D10759" i="7"/>
  <c r="D10760" i="7"/>
  <c r="D10761" i="7"/>
  <c r="D10762" i="7"/>
  <c r="D10763" i="7"/>
  <c r="D10764" i="7"/>
  <c r="D10765" i="7"/>
  <c r="D10766" i="7"/>
  <c r="D10767" i="7"/>
  <c r="D10768" i="7"/>
  <c r="D10769" i="7"/>
  <c r="D10770" i="7"/>
  <c r="D10771" i="7"/>
  <c r="D10772" i="7"/>
  <c r="D10773" i="7"/>
  <c r="D10774" i="7"/>
  <c r="D10775" i="7"/>
  <c r="D10776" i="7"/>
  <c r="D10777" i="7"/>
  <c r="D10778" i="7"/>
  <c r="D10779" i="7"/>
  <c r="D10780" i="7"/>
  <c r="D10781" i="7"/>
  <c r="D10782" i="7"/>
  <c r="D10783" i="7"/>
  <c r="D10784" i="7"/>
  <c r="D10785" i="7"/>
  <c r="D10786" i="7"/>
  <c r="D10787" i="7"/>
  <c r="D10788" i="7"/>
  <c r="D10789" i="7"/>
  <c r="D10790" i="7"/>
  <c r="D10791" i="7"/>
  <c r="D10792" i="7"/>
  <c r="D10793" i="7"/>
  <c r="D10794" i="7"/>
  <c r="D10795" i="7"/>
  <c r="D10796" i="7"/>
  <c r="D10797" i="7"/>
  <c r="D10798" i="7"/>
  <c r="D10799" i="7"/>
  <c r="D10800" i="7"/>
  <c r="D10801" i="7"/>
  <c r="D10802" i="7"/>
  <c r="D10803" i="7"/>
  <c r="D10804" i="7"/>
  <c r="D10805" i="7"/>
  <c r="S734" i="6" s="1"/>
  <c r="W734" i="6" s="1"/>
  <c r="D10806" i="7"/>
  <c r="D10807" i="7"/>
  <c r="D10808" i="7"/>
  <c r="D10809" i="7"/>
  <c r="D10810" i="7"/>
  <c r="D10811" i="7"/>
  <c r="D10812" i="7"/>
  <c r="D10813" i="7"/>
  <c r="D10814" i="7"/>
  <c r="D10815" i="7"/>
  <c r="D10816" i="7"/>
  <c r="D10817" i="7"/>
  <c r="D10818" i="7"/>
  <c r="D10819" i="7"/>
  <c r="D10820" i="7"/>
  <c r="D10821" i="7"/>
  <c r="D10822" i="7"/>
  <c r="D10823" i="7"/>
  <c r="D10824" i="7"/>
  <c r="D10825" i="7"/>
  <c r="D10826" i="7"/>
  <c r="D10827" i="7"/>
  <c r="D10828" i="7"/>
  <c r="D10829" i="7"/>
  <c r="D10830" i="7"/>
  <c r="D10831" i="7"/>
  <c r="S36" i="6" s="1"/>
  <c r="D10832" i="7"/>
  <c r="D10833" i="7"/>
  <c r="D10834" i="7"/>
  <c r="D10835" i="7"/>
  <c r="D10836" i="7"/>
  <c r="D10837" i="7"/>
  <c r="D10838" i="7"/>
  <c r="D10839" i="7"/>
  <c r="D10840" i="7"/>
  <c r="S210" i="6" s="1"/>
  <c r="W210" i="6" s="1"/>
  <c r="D10841" i="7"/>
  <c r="D10842" i="7"/>
  <c r="D10843" i="7"/>
  <c r="D10844" i="7"/>
  <c r="D10845" i="7"/>
  <c r="D10846" i="7"/>
  <c r="D10847" i="7"/>
  <c r="D10848" i="7"/>
  <c r="D10849" i="7"/>
  <c r="D10850" i="7"/>
  <c r="D10851" i="7"/>
  <c r="D10852" i="7"/>
  <c r="D10853" i="7"/>
  <c r="D10854" i="7"/>
  <c r="D10855" i="7"/>
  <c r="D10856" i="7"/>
  <c r="D10857" i="7"/>
  <c r="D10858" i="7"/>
  <c r="D10859" i="7"/>
  <c r="S344" i="6" s="1"/>
  <c r="W344" i="6" s="1"/>
  <c r="D10860" i="7"/>
  <c r="D10861" i="7"/>
  <c r="D10862" i="7"/>
  <c r="D10863" i="7"/>
  <c r="D10864" i="7"/>
  <c r="D10865" i="7"/>
  <c r="D10866" i="7"/>
  <c r="D10867" i="7"/>
  <c r="D10868" i="7"/>
  <c r="D10869" i="7"/>
  <c r="D10870" i="7"/>
  <c r="D10871" i="7"/>
  <c r="D10872" i="7"/>
  <c r="D10873" i="7"/>
  <c r="D10874" i="7"/>
  <c r="D10875" i="7"/>
  <c r="D10876" i="7"/>
  <c r="D10877" i="7"/>
  <c r="D10878" i="7"/>
  <c r="D10879" i="7"/>
  <c r="D10880" i="7"/>
  <c r="D10881" i="7"/>
  <c r="D10882" i="7"/>
  <c r="D10883" i="7"/>
  <c r="D10884" i="7"/>
  <c r="D10885" i="7"/>
  <c r="D10886" i="7"/>
  <c r="D10887" i="7"/>
  <c r="D10888" i="7"/>
  <c r="D10889" i="7"/>
  <c r="D10890" i="7"/>
  <c r="D10891" i="7"/>
  <c r="D10892" i="7"/>
  <c r="D10893" i="7"/>
  <c r="D10894" i="7"/>
  <c r="D10895" i="7"/>
  <c r="D10896" i="7"/>
  <c r="D10897" i="7"/>
  <c r="D10898" i="7"/>
  <c r="D10899" i="7"/>
  <c r="D10900" i="7"/>
  <c r="D10901" i="7"/>
  <c r="D10902" i="7"/>
  <c r="D10903" i="7"/>
  <c r="D10904" i="7"/>
  <c r="D10905" i="7"/>
  <c r="D10906" i="7"/>
  <c r="D10907" i="7"/>
  <c r="S346" i="6" s="1"/>
  <c r="W346" i="6" s="1"/>
  <c r="D10908" i="7"/>
  <c r="D10909" i="7"/>
  <c r="D10910" i="7"/>
  <c r="D10911" i="7"/>
  <c r="D10912" i="7"/>
  <c r="D10913" i="7"/>
  <c r="D10914" i="7"/>
  <c r="D10915" i="7"/>
  <c r="D10916" i="7"/>
  <c r="D10917" i="7"/>
  <c r="D10918" i="7"/>
  <c r="D10919" i="7"/>
  <c r="D10920" i="7"/>
  <c r="D10921" i="7"/>
  <c r="D10922" i="7"/>
  <c r="D10923" i="7"/>
  <c r="D10924" i="7"/>
  <c r="D10925" i="7"/>
  <c r="D10926" i="7"/>
  <c r="D10927" i="7"/>
  <c r="D10928" i="7"/>
  <c r="D10929" i="7"/>
  <c r="D10930" i="7"/>
  <c r="D10931" i="7"/>
  <c r="D10932" i="7"/>
  <c r="D10933" i="7"/>
  <c r="D10934" i="7"/>
  <c r="D10935" i="7"/>
  <c r="D10936" i="7"/>
  <c r="D10937" i="7"/>
  <c r="D10938" i="7"/>
  <c r="D10939" i="7"/>
  <c r="D10940" i="7"/>
  <c r="D10941" i="7"/>
  <c r="D10942" i="7"/>
  <c r="D10943" i="7"/>
  <c r="D10944" i="7"/>
  <c r="D10945" i="7"/>
  <c r="D10946" i="7"/>
  <c r="D10947" i="7"/>
  <c r="D10948" i="7"/>
  <c r="D10949" i="7"/>
  <c r="D10950" i="7"/>
  <c r="D10951" i="7"/>
  <c r="D10952" i="7"/>
  <c r="D10953" i="7"/>
  <c r="D10954" i="7"/>
  <c r="D10955" i="7"/>
  <c r="D10956" i="7"/>
  <c r="D10957" i="7"/>
  <c r="D10958" i="7"/>
  <c r="D10959" i="7"/>
  <c r="D10960" i="7"/>
  <c r="D10961" i="7"/>
  <c r="D10962" i="7"/>
  <c r="D10963" i="7"/>
  <c r="D10964" i="7"/>
  <c r="S161" i="6" s="1"/>
  <c r="W161" i="6" s="1"/>
  <c r="D10965" i="7"/>
  <c r="D10966" i="7"/>
  <c r="D10967" i="7"/>
  <c r="D10968" i="7"/>
  <c r="D10969" i="7"/>
  <c r="D10970" i="7"/>
  <c r="D10971" i="7"/>
  <c r="D10972" i="7"/>
  <c r="D10973" i="7"/>
  <c r="D10974" i="7"/>
  <c r="D10975" i="7"/>
  <c r="D10976" i="7"/>
  <c r="D10977" i="7"/>
  <c r="D10978" i="7"/>
  <c r="D10979" i="7"/>
  <c r="D10980" i="7"/>
  <c r="D10981" i="7"/>
  <c r="D10982" i="7"/>
  <c r="D10983" i="7"/>
  <c r="D10984" i="7"/>
  <c r="D10985" i="7"/>
  <c r="D10986" i="7"/>
  <c r="D10987" i="7"/>
  <c r="S212" i="6" s="1"/>
  <c r="W212" i="6" s="1"/>
  <c r="D10988" i="7"/>
  <c r="D10989" i="7"/>
  <c r="D10990" i="7"/>
  <c r="D10991" i="7"/>
  <c r="D10992" i="7"/>
  <c r="D10993" i="7"/>
  <c r="D10994" i="7"/>
  <c r="D10995" i="7"/>
  <c r="D10996" i="7"/>
  <c r="D10997" i="7"/>
  <c r="S77" i="6" s="1"/>
  <c r="W77" i="6" s="1"/>
  <c r="D10998" i="7"/>
  <c r="D10999" i="7"/>
  <c r="D11000" i="7"/>
  <c r="D11001" i="7"/>
  <c r="D11002" i="7"/>
  <c r="D11003" i="7"/>
  <c r="D11004" i="7"/>
  <c r="D11005" i="7"/>
  <c r="D11006" i="7"/>
  <c r="D11007" i="7"/>
  <c r="D11008" i="7"/>
  <c r="D11009" i="7"/>
  <c r="D11010" i="7"/>
  <c r="D11011" i="7"/>
  <c r="D11012" i="7"/>
  <c r="D11013" i="7"/>
  <c r="D11014" i="7"/>
  <c r="D11015" i="7"/>
  <c r="D11016" i="7"/>
  <c r="D11017" i="7"/>
  <c r="D11018" i="7"/>
  <c r="D11019" i="7"/>
  <c r="D11020" i="7"/>
  <c r="D11021" i="7"/>
  <c r="D11022" i="7"/>
  <c r="D11023" i="7"/>
  <c r="D11024" i="7"/>
  <c r="D11025" i="7"/>
  <c r="D11026" i="7"/>
  <c r="D11027" i="7"/>
  <c r="D11028" i="7"/>
  <c r="D11029" i="7"/>
  <c r="D11030" i="7"/>
  <c r="D11031" i="7"/>
  <c r="D11032" i="7"/>
  <c r="D11033" i="7"/>
  <c r="D11034" i="7"/>
  <c r="D11035" i="7"/>
  <c r="D11036" i="7"/>
  <c r="S213" i="6" s="1"/>
  <c r="W213" i="6" s="1"/>
  <c r="D11037" i="7"/>
  <c r="D11038" i="7"/>
  <c r="D11039" i="7"/>
  <c r="D11040" i="7"/>
  <c r="D11041" i="7"/>
  <c r="D11042" i="7"/>
  <c r="D11043" i="7"/>
  <c r="D11044" i="7"/>
  <c r="D11045" i="7"/>
  <c r="D11046" i="7"/>
  <c r="D11047" i="7"/>
  <c r="D11048" i="7"/>
  <c r="D11049" i="7"/>
  <c r="D11050" i="7"/>
  <c r="D11051" i="7"/>
  <c r="D11052" i="7"/>
  <c r="S704" i="6" s="1"/>
  <c r="D11053" i="7"/>
  <c r="D11054" i="7"/>
  <c r="D11055" i="7"/>
  <c r="D11056" i="7"/>
  <c r="D11057" i="7"/>
  <c r="D11058" i="7"/>
  <c r="S433" i="6" s="1"/>
  <c r="D11059" i="7"/>
  <c r="D11060" i="7"/>
  <c r="D11061" i="7"/>
  <c r="D11062" i="7"/>
  <c r="D11063" i="7"/>
  <c r="D11064" i="7"/>
  <c r="D11065" i="7"/>
  <c r="D11066" i="7"/>
  <c r="S279" i="6" s="1"/>
  <c r="W279" i="6" s="1"/>
  <c r="D11067" i="7"/>
  <c r="D11068" i="7"/>
  <c r="D11069" i="7"/>
  <c r="D11070" i="7"/>
  <c r="D11071" i="7"/>
  <c r="S548" i="6" s="1"/>
  <c r="W548" i="6" s="1"/>
  <c r="D11072" i="7"/>
  <c r="D11073" i="7"/>
  <c r="D11074" i="7"/>
  <c r="D11075" i="7"/>
  <c r="D11076" i="7"/>
  <c r="D11077" i="7"/>
  <c r="S732" i="6" s="1"/>
  <c r="D11078" i="7"/>
  <c r="D11079" i="7"/>
  <c r="D11080" i="7"/>
  <c r="D11081" i="7"/>
  <c r="D11082" i="7"/>
  <c r="D11083" i="7"/>
  <c r="D11084" i="7"/>
  <c r="D11085" i="7"/>
  <c r="D11086" i="7"/>
  <c r="D11087" i="7"/>
  <c r="D11088" i="7"/>
  <c r="D11089" i="7"/>
  <c r="D11090" i="7"/>
  <c r="D11091" i="7"/>
  <c r="D11092" i="7"/>
  <c r="D11093" i="7"/>
  <c r="D11094" i="7"/>
  <c r="S685" i="6" s="1"/>
  <c r="D11095" i="7"/>
  <c r="D11096" i="7"/>
  <c r="S141" i="6" s="1"/>
  <c r="W141" i="6" s="1"/>
  <c r="D11097" i="7"/>
  <c r="D11098" i="7"/>
  <c r="D11099" i="7"/>
  <c r="D11100" i="7"/>
  <c r="D11101" i="7"/>
  <c r="D11102" i="7"/>
  <c r="D11103" i="7"/>
  <c r="D11104" i="7"/>
  <c r="D11105" i="7"/>
  <c r="D11106" i="7"/>
  <c r="D11107" i="7"/>
  <c r="D11108" i="7"/>
  <c r="D11109" i="7"/>
  <c r="D11110" i="7"/>
  <c r="D11111" i="7"/>
  <c r="D11112" i="7"/>
  <c r="D11113" i="7"/>
  <c r="D11114" i="7"/>
  <c r="D11115" i="7"/>
  <c r="D11116" i="7"/>
  <c r="D11117" i="7"/>
  <c r="D11118" i="7"/>
  <c r="D11119" i="7"/>
  <c r="D11120" i="7"/>
  <c r="D11121" i="7"/>
  <c r="D11122" i="7"/>
  <c r="D11123" i="7"/>
  <c r="D11124" i="7"/>
  <c r="D11125" i="7"/>
  <c r="D11126" i="7"/>
  <c r="D11127" i="7"/>
  <c r="D11128" i="7"/>
  <c r="D11129" i="7"/>
  <c r="D11130" i="7"/>
  <c r="D11131" i="7"/>
  <c r="D11132" i="7"/>
  <c r="D11133" i="7"/>
  <c r="D11134" i="7"/>
  <c r="D11135" i="7"/>
  <c r="D11136" i="7"/>
  <c r="D11137" i="7"/>
  <c r="D11138" i="7"/>
  <c r="D11139" i="7"/>
  <c r="D11140" i="7"/>
  <c r="D11141" i="7"/>
  <c r="D11142" i="7"/>
  <c r="D11143" i="7"/>
  <c r="D11144" i="7"/>
  <c r="D11145" i="7"/>
  <c r="D11146" i="7"/>
  <c r="D11147" i="7"/>
  <c r="D11148" i="7"/>
  <c r="D11149" i="7"/>
  <c r="D11150" i="7"/>
  <c r="D11151" i="7"/>
  <c r="D11152" i="7"/>
  <c r="D11153" i="7"/>
  <c r="D11154" i="7"/>
  <c r="D11155" i="7"/>
  <c r="D11156" i="7"/>
  <c r="D11157" i="7"/>
  <c r="D11158" i="7"/>
  <c r="D11159" i="7"/>
  <c r="S547" i="6" s="1"/>
  <c r="W547" i="6" s="1"/>
  <c r="D11160" i="7"/>
  <c r="D11161" i="7"/>
  <c r="D11162" i="7"/>
  <c r="D11163" i="7"/>
  <c r="D11164" i="7"/>
  <c r="D11165" i="7"/>
  <c r="D11166" i="7"/>
  <c r="D11167" i="7"/>
  <c r="D11168" i="7"/>
  <c r="D11169" i="7"/>
  <c r="D11170" i="7"/>
  <c r="D11171" i="7"/>
  <c r="D11172" i="7"/>
  <c r="D11173" i="7"/>
  <c r="D11174" i="7"/>
  <c r="D11175" i="7"/>
  <c r="D11176" i="7"/>
  <c r="D11177" i="7"/>
  <c r="D11178" i="7"/>
  <c r="D11179" i="7"/>
  <c r="D11180" i="7"/>
  <c r="D11181" i="7"/>
  <c r="D11182" i="7"/>
  <c r="D11183" i="7"/>
  <c r="D11184" i="7"/>
  <c r="D11185" i="7"/>
  <c r="D11186" i="7"/>
  <c r="D11187" i="7"/>
  <c r="D11188" i="7"/>
  <c r="D11189" i="7"/>
  <c r="D11190" i="7"/>
  <c r="S733" i="6" s="1"/>
  <c r="D11191" i="7"/>
  <c r="D11192" i="7"/>
  <c r="D11193" i="7"/>
  <c r="D11194" i="7"/>
  <c r="D11195" i="7"/>
  <c r="D11196" i="7"/>
  <c r="D11197" i="7"/>
  <c r="D11198" i="7"/>
  <c r="D11199" i="7"/>
  <c r="D11200" i="7"/>
  <c r="D11201" i="7"/>
  <c r="S501" i="6" s="1"/>
  <c r="D11202" i="7"/>
  <c r="D11203" i="7"/>
  <c r="D11204" i="7"/>
  <c r="S167" i="6" s="1"/>
  <c r="D11205" i="7"/>
  <c r="D11206" i="7"/>
  <c r="D11207" i="7"/>
  <c r="D11208" i="7"/>
  <c r="D11209" i="7"/>
  <c r="S156" i="6" s="1"/>
  <c r="D11210" i="7"/>
  <c r="D11211" i="7"/>
  <c r="D11212" i="7"/>
  <c r="D11213" i="7"/>
  <c r="D11214" i="7"/>
  <c r="D11215" i="7"/>
  <c r="D11216" i="7"/>
  <c r="D11217" i="7"/>
  <c r="D11218" i="7"/>
  <c r="D11219" i="7"/>
  <c r="D11220" i="7"/>
  <c r="D11221" i="7"/>
  <c r="D11222" i="7"/>
  <c r="D11223" i="7"/>
  <c r="D11224" i="7"/>
  <c r="D11225" i="7"/>
  <c r="D11226" i="7"/>
  <c r="D11227" i="7"/>
  <c r="D11228" i="7"/>
  <c r="D11229" i="7"/>
  <c r="D11230" i="7"/>
  <c r="D11231" i="7"/>
  <c r="D11232" i="7"/>
  <c r="D11233" i="7"/>
  <c r="D11234" i="7"/>
  <c r="D11235" i="7"/>
  <c r="S371" i="6" s="1"/>
  <c r="D11236" i="7"/>
  <c r="D11237" i="7"/>
  <c r="S396" i="6" s="1"/>
  <c r="D11238" i="7"/>
  <c r="D11239" i="7"/>
  <c r="D11240" i="7"/>
  <c r="D11241" i="7"/>
  <c r="D11242" i="7"/>
  <c r="D11243" i="7"/>
  <c r="D11244" i="7"/>
  <c r="D11245" i="7"/>
  <c r="D11246" i="7"/>
  <c r="D11247" i="7"/>
  <c r="D11248" i="7"/>
  <c r="D11249" i="7"/>
  <c r="D11250" i="7"/>
  <c r="D11251" i="7"/>
  <c r="D11252" i="7"/>
  <c r="D11253" i="7"/>
  <c r="D11254" i="7"/>
  <c r="D11255" i="7"/>
  <c r="D11256" i="7"/>
  <c r="D11257" i="7"/>
  <c r="D11258" i="7"/>
  <c r="D11259" i="7"/>
  <c r="D11260" i="7"/>
  <c r="D11261" i="7"/>
  <c r="D11262" i="7"/>
  <c r="D11263" i="7"/>
  <c r="D11264" i="7"/>
  <c r="D11265" i="7"/>
  <c r="S395" i="6" s="1"/>
  <c r="W395" i="6" s="1"/>
  <c r="D11266" i="7"/>
  <c r="D11267" i="7"/>
  <c r="D11268" i="7"/>
  <c r="D11269" i="7"/>
  <c r="D11270" i="7"/>
  <c r="D11271" i="7"/>
  <c r="D11272" i="7"/>
  <c r="D11273" i="7"/>
  <c r="D11274" i="7"/>
  <c r="D11275" i="7"/>
  <c r="D11276" i="7"/>
  <c r="D11277" i="7"/>
  <c r="D11278" i="7"/>
  <c r="D11279" i="7"/>
  <c r="D11280" i="7"/>
  <c r="D11281" i="7"/>
  <c r="D11282" i="7"/>
  <c r="D11283" i="7"/>
  <c r="D11284" i="7"/>
  <c r="D11285" i="7"/>
  <c r="D11286" i="7"/>
  <c r="D11287" i="7"/>
  <c r="D11288" i="7"/>
  <c r="D11289" i="7"/>
  <c r="D11290" i="7"/>
  <c r="D11291" i="7"/>
  <c r="D11292" i="7"/>
  <c r="D11293" i="7"/>
  <c r="D11294" i="7"/>
  <c r="D11295" i="7"/>
  <c r="D11296" i="7"/>
  <c r="D11297" i="7"/>
  <c r="D11298" i="7"/>
  <c r="D11299" i="7"/>
  <c r="D11300" i="7"/>
  <c r="D11301" i="7"/>
  <c r="D11302" i="7"/>
  <c r="D11303" i="7"/>
  <c r="D11304" i="7"/>
  <c r="D11305" i="7"/>
  <c r="D11306" i="7"/>
  <c r="D11307" i="7"/>
  <c r="D11308" i="7"/>
  <c r="D11309" i="7"/>
  <c r="D11310" i="7"/>
  <c r="D11311" i="7"/>
  <c r="D11312" i="7"/>
  <c r="S230" i="6" s="1"/>
  <c r="W230" i="6" s="1"/>
  <c r="D11313" i="7"/>
  <c r="S231" i="6" s="1"/>
  <c r="W231" i="6" s="1"/>
  <c r="D11314" i="7"/>
  <c r="D11315" i="7"/>
  <c r="D11316" i="7"/>
  <c r="D11317" i="7"/>
  <c r="D11318" i="7"/>
  <c r="D11319" i="7"/>
  <c r="D11320" i="7"/>
  <c r="D11321" i="7"/>
  <c r="D11322" i="7"/>
  <c r="D11323" i="7"/>
  <c r="D11324" i="7"/>
  <c r="D11325" i="7"/>
  <c r="D11326" i="7"/>
  <c r="D11327" i="7"/>
  <c r="D11328" i="7"/>
  <c r="D11329" i="7"/>
  <c r="D11330" i="7"/>
  <c r="D11331" i="7"/>
  <c r="D11332" i="7"/>
  <c r="D11333" i="7"/>
  <c r="D11334" i="7"/>
  <c r="D11335" i="7"/>
  <c r="D11336" i="7"/>
  <c r="D11337" i="7"/>
  <c r="D11338" i="7"/>
  <c r="D11339" i="7"/>
  <c r="D11340" i="7"/>
  <c r="D11341" i="7"/>
  <c r="D11342" i="7"/>
  <c r="D11343" i="7"/>
  <c r="D11344" i="7"/>
  <c r="D11345" i="7"/>
  <c r="D11346" i="7"/>
  <c r="D11347" i="7"/>
  <c r="D11348" i="7"/>
  <c r="D11349" i="7"/>
  <c r="D11350" i="7"/>
  <c r="D11351" i="7"/>
  <c r="D11352" i="7"/>
  <c r="D11353" i="7"/>
  <c r="D11354" i="7"/>
  <c r="D11355" i="7"/>
  <c r="D11356" i="7"/>
  <c r="D11357" i="7"/>
  <c r="D11358" i="7"/>
  <c r="D11359" i="7"/>
  <c r="D11360" i="7"/>
  <c r="D11361" i="7"/>
  <c r="D11362" i="7"/>
  <c r="D11363" i="7"/>
  <c r="D11364" i="7"/>
  <c r="D11365" i="7"/>
  <c r="D11366" i="7"/>
  <c r="D11367" i="7"/>
  <c r="S728" i="6" s="1"/>
  <c r="D11368" i="7"/>
  <c r="D11369" i="7"/>
  <c r="D11370" i="7"/>
  <c r="D11371" i="7"/>
  <c r="D11372" i="7"/>
  <c r="D11373" i="7"/>
  <c r="D11374" i="7"/>
  <c r="D11375" i="7"/>
  <c r="D11376" i="7"/>
  <c r="D11377" i="7"/>
  <c r="D11378" i="7"/>
  <c r="D11379" i="7"/>
  <c r="D11380" i="7"/>
  <c r="D11381" i="7"/>
  <c r="D11382" i="7"/>
  <c r="D11383" i="7"/>
  <c r="D11384" i="7"/>
  <c r="D11385" i="7"/>
  <c r="D11386" i="7"/>
  <c r="D11387" i="7"/>
  <c r="D11388" i="7"/>
  <c r="D11389" i="7"/>
  <c r="D11390" i="7"/>
  <c r="D11391" i="7"/>
  <c r="D11392" i="7"/>
  <c r="D11393" i="7"/>
  <c r="S434" i="6" s="1"/>
  <c r="W434" i="6" s="1"/>
  <c r="D11394" i="7"/>
  <c r="S369" i="6" s="1"/>
  <c r="D11395" i="7"/>
  <c r="D11396" i="7"/>
  <c r="D11397" i="7"/>
  <c r="D11398" i="7"/>
  <c r="D11399" i="7"/>
  <c r="D11400" i="7"/>
  <c r="D11401" i="7"/>
  <c r="D11402" i="7"/>
  <c r="D11403" i="7"/>
  <c r="D11404" i="7"/>
  <c r="D11405" i="7"/>
  <c r="D11406" i="7"/>
  <c r="D11407" i="7"/>
  <c r="D11408" i="7"/>
  <c r="D11409" i="7"/>
  <c r="D11410" i="7"/>
  <c r="D11411" i="7"/>
  <c r="D11412" i="7"/>
  <c r="D11413" i="7"/>
  <c r="D11414" i="7"/>
  <c r="D11415" i="7"/>
  <c r="D11416" i="7"/>
  <c r="D11417" i="7"/>
  <c r="D11418" i="7"/>
  <c r="D11419" i="7"/>
  <c r="D11420" i="7"/>
  <c r="D11421" i="7"/>
  <c r="D11422" i="7"/>
  <c r="D11423" i="7"/>
  <c r="D11424" i="7"/>
  <c r="D11425" i="7"/>
  <c r="D11426" i="7"/>
  <c r="D11427" i="7"/>
  <c r="S727" i="6" s="1"/>
  <c r="D11428" i="7"/>
  <c r="D11429" i="7"/>
  <c r="D11430" i="7"/>
  <c r="D11431" i="7"/>
  <c r="D11432" i="7"/>
  <c r="D11433" i="7"/>
  <c r="D11434" i="7"/>
  <c r="D11435" i="7"/>
  <c r="S736" i="6" s="1"/>
  <c r="W736" i="6" s="1"/>
  <c r="D11436" i="7"/>
  <c r="D11437" i="7"/>
  <c r="D11438" i="7"/>
  <c r="D11439" i="7"/>
  <c r="D11440" i="7"/>
  <c r="D11441" i="7"/>
  <c r="D11442" i="7"/>
  <c r="D11443" i="7"/>
  <c r="D11444" i="7"/>
  <c r="D11445" i="7"/>
  <c r="D11446" i="7"/>
  <c r="D11447" i="7"/>
  <c r="D11448" i="7"/>
  <c r="D11449" i="7"/>
  <c r="D11450" i="7"/>
  <c r="D11451" i="7"/>
  <c r="D11452" i="7"/>
  <c r="D11453" i="7"/>
  <c r="D11454" i="7"/>
  <c r="D11455" i="7"/>
  <c r="D11456" i="7"/>
  <c r="D11457" i="7"/>
  <c r="D11458" i="7"/>
  <c r="D11459" i="7"/>
  <c r="D11460" i="7"/>
  <c r="D11461" i="7"/>
  <c r="D11462" i="7"/>
  <c r="D11463" i="7"/>
  <c r="D11464" i="7"/>
  <c r="D11465" i="7"/>
  <c r="D11466" i="7"/>
  <c r="D11467" i="7"/>
  <c r="D11468" i="7"/>
  <c r="D11469" i="7"/>
  <c r="D11470" i="7"/>
  <c r="D11471" i="7"/>
  <c r="D11472" i="7"/>
  <c r="D11473" i="7"/>
  <c r="D11474" i="7"/>
  <c r="D11475" i="7"/>
  <c r="D11476" i="7"/>
  <c r="D11477" i="7"/>
  <c r="D11478" i="7"/>
  <c r="D11479" i="7"/>
  <c r="S735" i="6" s="1"/>
  <c r="W735" i="6" s="1"/>
  <c r="D11480" i="7"/>
  <c r="D11481" i="7"/>
  <c r="D11482" i="7"/>
  <c r="D11483" i="7"/>
  <c r="D11484" i="7"/>
  <c r="D11485" i="7"/>
  <c r="D11486" i="7"/>
  <c r="D11487" i="7"/>
  <c r="D11488" i="7"/>
  <c r="D11489" i="7"/>
  <c r="D11490" i="7"/>
  <c r="D11491" i="7"/>
  <c r="D11492" i="7"/>
  <c r="D11493" i="7"/>
  <c r="D11494" i="7"/>
  <c r="D11495" i="7"/>
  <c r="D11496" i="7"/>
  <c r="D11497" i="7"/>
  <c r="D11498" i="7"/>
  <c r="D11499" i="7"/>
  <c r="D11500" i="7"/>
  <c r="D11501" i="7"/>
  <c r="D11502" i="7"/>
  <c r="D11503" i="7"/>
  <c r="D11504" i="7"/>
  <c r="D11505" i="7"/>
  <c r="D11506" i="7"/>
  <c r="D11507" i="7"/>
  <c r="D11508" i="7"/>
  <c r="D11509" i="7"/>
  <c r="D11510" i="7"/>
  <c r="D11511" i="7"/>
  <c r="D11512" i="7"/>
  <c r="D11513" i="7"/>
  <c r="D11514" i="7"/>
  <c r="D11515" i="7"/>
  <c r="D11516" i="7"/>
  <c r="D11517" i="7"/>
  <c r="D11518" i="7"/>
  <c r="D11519" i="7"/>
  <c r="D11520" i="7"/>
  <c r="D11521" i="7"/>
  <c r="D11522" i="7"/>
  <c r="D11523" i="7"/>
  <c r="D11524" i="7"/>
  <c r="D11525" i="7"/>
  <c r="S211" i="6" s="1"/>
  <c r="W211" i="6" s="1"/>
  <c r="D11526" i="7"/>
  <c r="D11527" i="7"/>
  <c r="D11528" i="7"/>
  <c r="D11529" i="7"/>
  <c r="D11530" i="7"/>
  <c r="D11531" i="7"/>
  <c r="D11532" i="7"/>
  <c r="D11533" i="7"/>
  <c r="D11534" i="7"/>
  <c r="D11535" i="7"/>
  <c r="D11536" i="7"/>
  <c r="D11537" i="7"/>
  <c r="D11538" i="7"/>
  <c r="D11539" i="7"/>
  <c r="D11540" i="7"/>
  <c r="D11541" i="7"/>
  <c r="D11542" i="7"/>
  <c r="D11543" i="7"/>
  <c r="D11544" i="7"/>
  <c r="D11545" i="7"/>
  <c r="D11546" i="7"/>
  <c r="D11547" i="7"/>
  <c r="D11548" i="7"/>
  <c r="S131" i="6" s="1"/>
  <c r="D11549" i="7"/>
  <c r="D11550" i="7"/>
  <c r="D11551" i="7"/>
  <c r="D11552" i="7"/>
  <c r="D11553" i="7"/>
  <c r="D11554" i="7"/>
  <c r="D11555" i="7"/>
  <c r="D11556" i="7"/>
  <c r="D11557" i="7"/>
  <c r="D11558" i="7"/>
  <c r="D11559" i="7"/>
  <c r="D11560" i="7"/>
  <c r="D11561" i="7"/>
  <c r="D11562" i="7"/>
  <c r="S683" i="6" s="1"/>
  <c r="D11563" i="7"/>
  <c r="S739" i="6" s="1"/>
  <c r="W739" i="6" s="1"/>
  <c r="D11564" i="7"/>
  <c r="D11565" i="7"/>
  <c r="D11566" i="7"/>
  <c r="D11567" i="7"/>
  <c r="D11568" i="7"/>
  <c r="D11569" i="7"/>
  <c r="D11570" i="7"/>
  <c r="D11571" i="7"/>
  <c r="D11572" i="7"/>
  <c r="D11573" i="7"/>
  <c r="D11574" i="7"/>
  <c r="D11575" i="7"/>
  <c r="D11576" i="7"/>
  <c r="D11577" i="7"/>
  <c r="D11578" i="7"/>
  <c r="D11579" i="7"/>
  <c r="D11580" i="7"/>
  <c r="D11581" i="7"/>
  <c r="D11582" i="7"/>
  <c r="D11583" i="7"/>
  <c r="D11584" i="7"/>
  <c r="D11585" i="7"/>
  <c r="D11586" i="7"/>
  <c r="D11587" i="7"/>
  <c r="D11588" i="7"/>
  <c r="D11589" i="7"/>
  <c r="D11590" i="7"/>
  <c r="D11591" i="7"/>
  <c r="D11592" i="7"/>
  <c r="D11593" i="7"/>
  <c r="D11594" i="7"/>
  <c r="D11595" i="7"/>
  <c r="S393" i="6" s="1"/>
  <c r="D11596" i="7"/>
  <c r="D11597" i="7"/>
  <c r="D11598" i="7"/>
  <c r="D11599" i="7"/>
  <c r="D11600" i="7"/>
  <c r="S367" i="6" s="1"/>
  <c r="W367" i="6" s="1"/>
  <c r="D11601" i="7"/>
  <c r="S168" i="6" s="1"/>
  <c r="D11602" i="7"/>
  <c r="D11603" i="7"/>
  <c r="D11604" i="7"/>
  <c r="D11605" i="7"/>
  <c r="D11606" i="7"/>
  <c r="D11607" i="7"/>
  <c r="D11608" i="7"/>
  <c r="D11609" i="7"/>
  <c r="D11610" i="7"/>
  <c r="D11611" i="7"/>
  <c r="D11612" i="7"/>
  <c r="D11613" i="7"/>
  <c r="D11614" i="7"/>
  <c r="D11615" i="7"/>
  <c r="D11616" i="7"/>
  <c r="D11617" i="7"/>
  <c r="D11618" i="7"/>
  <c r="S32" i="6" s="1"/>
  <c r="D11619" i="7"/>
  <c r="D11620" i="7"/>
  <c r="D11621" i="7"/>
  <c r="D11622" i="7"/>
  <c r="D11623" i="7"/>
  <c r="D11624" i="7"/>
  <c r="D11625" i="7"/>
  <c r="D11626" i="7"/>
  <c r="D11627" i="7"/>
  <c r="D11628" i="7"/>
  <c r="D11629" i="7"/>
  <c r="D11630" i="7"/>
  <c r="D11631" i="7"/>
  <c r="D11632" i="7"/>
  <c r="D11633" i="7"/>
  <c r="S368" i="6" s="1"/>
  <c r="D11634" i="7"/>
  <c r="D11635" i="7"/>
  <c r="D11636" i="7"/>
  <c r="D11637" i="7"/>
  <c r="D11638" i="7"/>
  <c r="D11639" i="7"/>
  <c r="D11640" i="7"/>
  <c r="D11641" i="7"/>
  <c r="D11642" i="7"/>
  <c r="D11643" i="7"/>
  <c r="D11644" i="7"/>
  <c r="D11645" i="7"/>
  <c r="D11646" i="7"/>
  <c r="S738" i="6" s="1"/>
  <c r="W738" i="6" s="1"/>
  <c r="D11647" i="7"/>
  <c r="D11648" i="7"/>
  <c r="D11649" i="7"/>
  <c r="D11650" i="7"/>
  <c r="S471" i="6" s="1"/>
  <c r="W471" i="6" s="1"/>
  <c r="D11651" i="7"/>
  <c r="D11652" i="7"/>
  <c r="D11653" i="7"/>
  <c r="D11654" i="7"/>
  <c r="D11655" i="7"/>
  <c r="D11656" i="7"/>
  <c r="D11657" i="7"/>
  <c r="D11658" i="7"/>
  <c r="D11659" i="7"/>
  <c r="D11660" i="7"/>
  <c r="D11661" i="7"/>
  <c r="D11662" i="7"/>
  <c r="D11663" i="7"/>
  <c r="D11664" i="7"/>
  <c r="S266" i="6" s="1"/>
  <c r="W266" i="6" s="1"/>
  <c r="D11665" i="7"/>
  <c r="D11666" i="7"/>
  <c r="D11667" i="7"/>
  <c r="S35" i="6" s="1"/>
  <c r="D11668" i="7"/>
  <c r="S267" i="6" s="1"/>
  <c r="W267" i="6" s="1"/>
  <c r="D11669" i="7"/>
  <c r="D11670" i="7"/>
  <c r="D11671" i="7"/>
  <c r="D11672" i="7"/>
  <c r="D11673" i="7"/>
  <c r="D11674" i="7"/>
  <c r="D11675" i="7"/>
  <c r="D11676" i="7"/>
  <c r="D11677" i="7"/>
  <c r="S737" i="6" s="1"/>
  <c r="W737" i="6" s="1"/>
  <c r="D11678" i="7"/>
  <c r="D11679" i="7"/>
  <c r="D11680" i="7"/>
  <c r="S318" i="6" s="1"/>
  <c r="W318" i="6" s="1"/>
  <c r="D11681" i="7"/>
  <c r="D11682" i="7"/>
  <c r="D11683" i="7"/>
  <c r="D11684" i="7"/>
  <c r="D11685" i="7"/>
  <c r="D11686" i="7"/>
  <c r="D11687" i="7"/>
  <c r="D11688" i="7"/>
  <c r="D11689" i="7"/>
  <c r="D11690" i="7"/>
  <c r="D11691" i="7"/>
  <c r="D11692" i="7"/>
  <c r="D11693" i="7"/>
  <c r="D11694" i="7"/>
  <c r="D11695" i="7"/>
  <c r="D11696" i="7"/>
  <c r="D11697" i="7"/>
  <c r="D11698" i="7"/>
  <c r="D11699" i="7"/>
  <c r="D11700" i="7"/>
  <c r="D11701" i="7"/>
  <c r="D11702" i="7"/>
  <c r="S89" i="6" s="1"/>
  <c r="W89" i="6" s="1"/>
  <c r="D11703" i="7"/>
  <c r="D11704" i="7"/>
  <c r="D11705" i="7"/>
  <c r="D11706" i="7"/>
  <c r="D11707" i="7"/>
  <c r="D11708" i="7"/>
  <c r="S684" i="6" s="1"/>
  <c r="D11709" i="7"/>
  <c r="D11710" i="7"/>
  <c r="D11711" i="7"/>
  <c r="D11712" i="7"/>
  <c r="D11713" i="7"/>
  <c r="D11714" i="7"/>
  <c r="D11715" i="7"/>
  <c r="D11716" i="7"/>
  <c r="D11717" i="7"/>
  <c r="D11718" i="7"/>
  <c r="D11719" i="7"/>
  <c r="D11720" i="7"/>
  <c r="D11721" i="7"/>
  <c r="D11722" i="7"/>
  <c r="D11723" i="7"/>
  <c r="D11724" i="7"/>
  <c r="D11725" i="7"/>
  <c r="D11726" i="7"/>
  <c r="D11727" i="7"/>
  <c r="D11728" i="7"/>
  <c r="D11729" i="7"/>
  <c r="D11730" i="7"/>
  <c r="D11731" i="7"/>
  <c r="D11732" i="7"/>
  <c r="D11733" i="7"/>
  <c r="S157" i="6" s="1"/>
  <c r="D11734" i="7"/>
  <c r="D11735" i="7"/>
  <c r="D11736" i="7"/>
  <c r="D11737" i="7"/>
  <c r="D11738" i="7"/>
  <c r="D11739" i="7"/>
  <c r="D11740" i="7"/>
  <c r="D11741" i="7"/>
  <c r="D11742" i="7"/>
  <c r="D11743" i="7"/>
  <c r="D11744" i="7"/>
  <c r="D11745" i="7"/>
  <c r="D11746" i="7"/>
  <c r="D11747" i="7"/>
  <c r="D11748" i="7"/>
  <c r="D11749" i="7"/>
  <c r="D11750" i="7"/>
  <c r="D11751" i="7"/>
  <c r="D11752" i="7"/>
  <c r="D11753" i="7"/>
  <c r="D11754" i="7"/>
  <c r="S129" i="6" s="1"/>
  <c r="D11755" i="7"/>
  <c r="D11756" i="7"/>
  <c r="D11757" i="7"/>
  <c r="D11758" i="7"/>
  <c r="D11759" i="7"/>
  <c r="D11760" i="7"/>
  <c r="D11761" i="7"/>
  <c r="D11762" i="7"/>
  <c r="D11763" i="7"/>
  <c r="D11764" i="7"/>
  <c r="D11765" i="7"/>
  <c r="D11766" i="7"/>
  <c r="D11767" i="7"/>
  <c r="D11768" i="7"/>
  <c r="D11769" i="7"/>
  <c r="D11770" i="7"/>
  <c r="D11771" i="7"/>
  <c r="D11772" i="7"/>
  <c r="D11773" i="7"/>
  <c r="D11774" i="7"/>
  <c r="D11775" i="7"/>
  <c r="D11776" i="7"/>
  <c r="D11777" i="7"/>
  <c r="D11778" i="7"/>
  <c r="D11779" i="7"/>
  <c r="D11780" i="7"/>
  <c r="D11781" i="7"/>
  <c r="D11782" i="7"/>
  <c r="D11783" i="7"/>
  <c r="D11784" i="7"/>
  <c r="D11785" i="7"/>
  <c r="D11786" i="7"/>
  <c r="D11787" i="7"/>
  <c r="D11788" i="7"/>
  <c r="D11789" i="7"/>
  <c r="D11790" i="7"/>
  <c r="D11791" i="7"/>
  <c r="D11792" i="7"/>
  <c r="D11793" i="7"/>
  <c r="D11794" i="7"/>
  <c r="D11795" i="7"/>
  <c r="D11796" i="7"/>
  <c r="D11797" i="7"/>
  <c r="D11798" i="7"/>
  <c r="D11799" i="7"/>
  <c r="D11800" i="7"/>
  <c r="D11801" i="7"/>
  <c r="D11802" i="7"/>
  <c r="D11803" i="7"/>
  <c r="D11804" i="7"/>
  <c r="D11805" i="7"/>
  <c r="D11806" i="7"/>
  <c r="D11807" i="7"/>
  <c r="D11808" i="7"/>
  <c r="D11809" i="7"/>
  <c r="D11810" i="7"/>
  <c r="D11811" i="7"/>
  <c r="D11812" i="7"/>
  <c r="D11813" i="7"/>
  <c r="D11814" i="7"/>
  <c r="D11815" i="7"/>
  <c r="D11816" i="7"/>
  <c r="D11817" i="7"/>
  <c r="D11818" i="7"/>
  <c r="D11819" i="7"/>
  <c r="D11820" i="7"/>
  <c r="D11821" i="7"/>
  <c r="D11822" i="7"/>
  <c r="D11823" i="7"/>
  <c r="D11824" i="7"/>
  <c r="D11825" i="7"/>
  <c r="D11826" i="7"/>
  <c r="D11827" i="7"/>
  <c r="D11828" i="7"/>
  <c r="D11829" i="7"/>
  <c r="D11830" i="7"/>
  <c r="D11831" i="7"/>
  <c r="D11832" i="7"/>
  <c r="D11833" i="7"/>
  <c r="D11834" i="7"/>
  <c r="D11835" i="7"/>
  <c r="D11836" i="7"/>
  <c r="D11837" i="7"/>
  <c r="D11838" i="7"/>
  <c r="D11839" i="7"/>
  <c r="D11840" i="7"/>
  <c r="D11841" i="7"/>
  <c r="D11842" i="7"/>
  <c r="D11843" i="7"/>
  <c r="D11844" i="7"/>
  <c r="D11845" i="7"/>
  <c r="D11846" i="7"/>
  <c r="D11847" i="7"/>
  <c r="D11848" i="7"/>
  <c r="D11849" i="7"/>
  <c r="D11850" i="7"/>
  <c r="D11851" i="7"/>
  <c r="D11852" i="7"/>
  <c r="D11853" i="7"/>
  <c r="D11854" i="7"/>
  <c r="D11855" i="7"/>
  <c r="D11856" i="7"/>
  <c r="D11857" i="7"/>
  <c r="D11858" i="7"/>
  <c r="D11859" i="7"/>
  <c r="D11860" i="7"/>
  <c r="D11861" i="7"/>
  <c r="D11862" i="7"/>
  <c r="D11863" i="7"/>
  <c r="D11864" i="7"/>
  <c r="D11865" i="7"/>
  <c r="D11866" i="7"/>
  <c r="D11867" i="7"/>
  <c r="D11868" i="7"/>
  <c r="S34" i="6" s="1"/>
  <c r="D11869" i="7"/>
  <c r="D11870" i="7"/>
  <c r="D11871" i="7"/>
  <c r="D11872" i="7"/>
  <c r="D11873" i="7"/>
  <c r="D11874" i="7"/>
  <c r="D11875" i="7"/>
  <c r="D11876" i="7"/>
  <c r="D11877" i="7"/>
  <c r="D11878" i="7"/>
  <c r="D11879" i="7"/>
  <c r="D11880" i="7"/>
  <c r="D11881" i="7"/>
  <c r="D11882" i="7"/>
  <c r="D11883" i="7"/>
  <c r="D11884" i="7"/>
  <c r="D11885" i="7"/>
  <c r="D11886" i="7"/>
  <c r="D11887" i="7"/>
  <c r="D11888" i="7"/>
  <c r="D11889" i="7"/>
  <c r="D11890" i="7"/>
  <c r="D11891" i="7"/>
  <c r="D11892" i="7"/>
  <c r="D11893" i="7"/>
  <c r="D11894" i="7"/>
  <c r="S268" i="6" s="1"/>
  <c r="W268" i="6" s="1"/>
  <c r="D11895" i="7"/>
  <c r="D11896" i="7"/>
  <c r="D11897" i="7"/>
  <c r="D11898" i="7"/>
  <c r="D11899" i="7"/>
  <c r="D11900" i="7"/>
  <c r="D11901" i="7"/>
  <c r="D11902" i="7"/>
  <c r="D11903" i="7"/>
  <c r="D11904" i="7"/>
  <c r="D11905" i="7"/>
  <c r="D11906" i="7"/>
  <c r="D11907" i="7"/>
  <c r="D11908" i="7"/>
  <c r="D11909" i="7"/>
  <c r="D11910" i="7"/>
  <c r="D11911" i="7"/>
  <c r="S33" i="6" s="1"/>
  <c r="W33" i="6" s="1"/>
  <c r="D11912" i="7"/>
  <c r="D11913" i="7"/>
  <c r="D11914" i="7"/>
  <c r="D11915" i="7"/>
  <c r="D11916" i="7"/>
  <c r="D11917" i="7"/>
  <c r="D11918" i="7"/>
  <c r="D11919" i="7"/>
  <c r="D11920" i="7"/>
  <c r="D11921" i="7"/>
  <c r="D11922" i="7"/>
  <c r="D11923" i="7"/>
  <c r="D11924" i="7"/>
  <c r="S394" i="6" s="1"/>
  <c r="W394" i="6" s="1"/>
  <c r="D11925" i="7"/>
  <c r="D11926" i="7"/>
  <c r="D11927" i="7"/>
  <c r="D11928" i="7"/>
  <c r="D11929" i="7"/>
  <c r="D11930" i="7"/>
  <c r="D11931" i="7"/>
  <c r="D11932" i="7"/>
  <c r="D11933" i="7"/>
  <c r="D11934" i="7"/>
  <c r="D11935" i="7"/>
  <c r="D11936" i="7"/>
  <c r="D11937" i="7"/>
  <c r="D11938" i="7"/>
  <c r="D11939" i="7"/>
  <c r="D11940" i="7"/>
  <c r="D11941" i="7"/>
  <c r="D11942" i="7"/>
  <c r="D11943" i="7"/>
  <c r="D11944" i="7"/>
  <c r="D11945" i="7"/>
  <c r="D11946" i="7"/>
  <c r="D11947" i="7"/>
  <c r="D11948" i="7"/>
  <c r="D11949" i="7"/>
  <c r="D11950" i="7"/>
  <c r="D11951" i="7"/>
  <c r="D11952" i="7"/>
  <c r="D11953" i="7"/>
  <c r="D11954" i="7"/>
  <c r="D11955" i="7"/>
  <c r="D11956" i="7"/>
  <c r="D11957" i="7"/>
  <c r="D11958" i="7"/>
  <c r="D11959" i="7"/>
  <c r="D11960" i="7"/>
  <c r="D11961" i="7"/>
  <c r="D11962" i="7"/>
  <c r="D11963" i="7"/>
  <c r="D11964" i="7"/>
  <c r="D11965" i="7"/>
  <c r="D11966" i="7"/>
  <c r="D11967" i="7"/>
  <c r="D11968" i="7"/>
  <c r="D11969" i="7"/>
  <c r="D11970" i="7"/>
  <c r="D11971" i="7"/>
  <c r="D11972" i="7"/>
  <c r="D11973" i="7"/>
  <c r="D11974" i="7"/>
  <c r="D11975" i="7"/>
  <c r="D11976" i="7"/>
  <c r="D11977" i="7"/>
  <c r="D11978" i="7"/>
  <c r="D11979" i="7"/>
  <c r="D11980" i="7"/>
  <c r="D11981" i="7"/>
  <c r="D11982" i="7"/>
  <c r="D11983" i="7"/>
  <c r="D11984" i="7"/>
  <c r="D11985" i="7"/>
  <c r="D11986" i="7"/>
  <c r="D11987" i="7"/>
  <c r="D11988" i="7"/>
  <c r="D11989" i="7"/>
  <c r="D11990" i="7"/>
  <c r="D11991" i="7"/>
  <c r="D11992" i="7"/>
  <c r="D11993" i="7"/>
  <c r="D11994" i="7"/>
  <c r="D11995" i="7"/>
  <c r="D11996" i="7"/>
  <c r="D11997" i="7"/>
  <c r="D11998" i="7"/>
  <c r="D11999" i="7"/>
  <c r="D12000" i="7"/>
  <c r="D12001" i="7"/>
  <c r="D12002" i="7"/>
  <c r="D12003" i="7"/>
  <c r="D12004" i="7"/>
  <c r="D12005" i="7"/>
  <c r="D12006" i="7"/>
  <c r="D12007" i="7"/>
  <c r="D12008" i="7"/>
  <c r="D12009" i="7"/>
  <c r="D12010" i="7"/>
  <c r="D12011" i="7"/>
  <c r="D12012" i="7"/>
  <c r="D12013" i="7"/>
  <c r="D12014" i="7"/>
  <c r="D12015" i="7"/>
  <c r="D12016" i="7"/>
  <c r="D12017" i="7"/>
  <c r="D12018" i="7"/>
  <c r="D12019" i="7"/>
  <c r="D12020" i="7"/>
  <c r="D12021" i="7"/>
  <c r="D12022" i="7"/>
  <c r="D12023" i="7"/>
  <c r="D12024" i="7"/>
  <c r="D12025" i="7"/>
  <c r="D12026" i="7"/>
  <c r="D12027" i="7"/>
  <c r="D12028" i="7"/>
  <c r="D12029" i="7"/>
  <c r="D12030" i="7"/>
  <c r="D12031" i="7"/>
  <c r="D12032" i="7"/>
  <c r="D12033" i="7"/>
  <c r="D12034" i="7"/>
  <c r="D12035" i="7"/>
  <c r="D12036" i="7"/>
  <c r="D12037" i="7"/>
  <c r="D12038" i="7"/>
  <c r="D12039" i="7"/>
  <c r="D12040" i="7"/>
  <c r="D12041" i="7"/>
  <c r="D12042" i="7"/>
  <c r="D12043" i="7"/>
  <c r="D12044" i="7"/>
  <c r="D12045" i="7"/>
  <c r="D12046" i="7"/>
  <c r="D12047" i="7"/>
  <c r="D12048" i="7"/>
  <c r="D12049" i="7"/>
  <c r="D12050" i="7"/>
  <c r="D12051" i="7"/>
  <c r="D12052" i="7"/>
  <c r="D12053" i="7"/>
  <c r="D12054" i="7"/>
  <c r="D12055" i="7"/>
  <c r="D12056" i="7"/>
  <c r="D12057" i="7"/>
  <c r="D12058" i="7"/>
  <c r="D12059" i="7"/>
  <c r="D12060" i="7"/>
  <c r="D12061" i="7"/>
  <c r="D12062" i="7"/>
  <c r="D12063" i="7"/>
  <c r="D12064" i="7"/>
  <c r="D12065" i="7"/>
  <c r="D12066" i="7"/>
  <c r="D12067" i="7"/>
  <c r="D12068" i="7"/>
  <c r="D12069" i="7"/>
  <c r="D12070" i="7"/>
  <c r="D12071" i="7"/>
  <c r="D12072" i="7"/>
  <c r="D12073" i="7"/>
  <c r="D12074" i="7"/>
  <c r="D12075" i="7"/>
  <c r="D12076" i="7"/>
  <c r="D12077" i="7"/>
  <c r="D12078" i="7"/>
  <c r="D12079" i="7"/>
  <c r="D12080" i="7"/>
  <c r="D12081" i="7"/>
  <c r="D12082" i="7"/>
  <c r="D12083" i="7"/>
  <c r="D12084" i="7"/>
  <c r="D12085" i="7"/>
  <c r="D12086" i="7"/>
  <c r="D12087" i="7"/>
  <c r="S366" i="6" s="1"/>
  <c r="W366" i="6" s="1"/>
  <c r="D12088" i="7"/>
  <c r="D12089" i="7"/>
  <c r="D12090" i="7"/>
  <c r="D12091" i="7"/>
  <c r="D12092" i="7"/>
  <c r="D12093" i="7"/>
  <c r="D12094" i="7"/>
  <c r="D12095" i="7"/>
  <c r="D12096" i="7"/>
  <c r="D12097" i="7"/>
  <c r="D12098" i="7"/>
  <c r="D12099" i="7"/>
  <c r="D12100" i="7"/>
  <c r="D12101" i="7"/>
  <c r="D12102" i="7"/>
  <c r="D12103" i="7"/>
  <c r="D12104" i="7"/>
  <c r="D12105" i="7"/>
  <c r="D12106" i="7"/>
  <c r="D12107" i="7"/>
  <c r="D12108" i="7"/>
  <c r="D12109" i="7"/>
  <c r="D12110" i="7"/>
  <c r="D12111" i="7"/>
  <c r="D12112" i="7"/>
  <c r="D12113" i="7"/>
  <c r="D12114" i="7"/>
  <c r="D12115" i="7"/>
  <c r="D12116" i="7"/>
  <c r="D12117" i="7"/>
  <c r="D12118" i="7"/>
  <c r="D12119" i="7"/>
  <c r="D12120" i="7"/>
  <c r="D12121" i="7"/>
  <c r="D12122" i="7"/>
  <c r="D12123" i="7"/>
  <c r="D12124" i="7"/>
  <c r="D12125" i="7"/>
  <c r="D12126" i="7"/>
  <c r="D12127" i="7"/>
  <c r="D12128" i="7"/>
  <c r="D12129" i="7"/>
  <c r="D12130" i="7"/>
  <c r="D12131" i="7"/>
  <c r="D12132" i="7"/>
  <c r="D12133" i="7"/>
  <c r="D12134" i="7"/>
  <c r="D12135" i="7"/>
  <c r="D12136" i="7"/>
  <c r="D12137" i="7"/>
  <c r="D12138" i="7"/>
  <c r="D12139" i="7"/>
  <c r="D12140" i="7"/>
  <c r="D12141" i="7"/>
  <c r="D12142" i="7"/>
  <c r="D12143" i="7"/>
  <c r="D12144" i="7"/>
  <c r="D12145" i="7"/>
  <c r="D12146" i="7"/>
  <c r="D12147" i="7"/>
  <c r="D12148" i="7"/>
  <c r="D12149" i="7"/>
  <c r="D12150" i="7"/>
  <c r="D12151" i="7"/>
  <c r="D12152" i="7"/>
  <c r="D12153" i="7"/>
  <c r="D12154" i="7"/>
  <c r="D12155" i="7"/>
  <c r="D12156" i="7"/>
  <c r="D12157" i="7"/>
  <c r="D12158" i="7"/>
  <c r="D12159" i="7"/>
  <c r="D12160" i="7"/>
  <c r="D12161" i="7"/>
  <c r="D12162" i="7"/>
  <c r="D12163" i="7"/>
  <c r="D12164" i="7"/>
  <c r="D12165" i="7"/>
  <c r="D12166" i="7"/>
  <c r="D12167" i="7"/>
  <c r="D12168" i="7"/>
  <c r="D12169" i="7"/>
  <c r="D12170" i="7"/>
  <c r="D12171" i="7"/>
  <c r="D12172" i="7"/>
  <c r="D12173" i="7"/>
  <c r="D12174" i="7"/>
  <c r="D12175" i="7"/>
  <c r="D12176" i="7"/>
  <c r="D12177" i="7"/>
  <c r="D12178" i="7"/>
  <c r="D12179" i="7"/>
  <c r="D12180" i="7"/>
  <c r="D12181" i="7"/>
  <c r="D12182" i="7"/>
  <c r="D12183" i="7"/>
  <c r="D12184" i="7"/>
  <c r="D12185" i="7"/>
  <c r="D12186" i="7"/>
  <c r="D12187" i="7"/>
  <c r="D12188" i="7"/>
  <c r="D12189" i="7"/>
  <c r="D12190" i="7"/>
  <c r="D12191" i="7"/>
  <c r="D12192" i="7"/>
  <c r="D12193" i="7"/>
  <c r="D12194" i="7"/>
  <c r="D12195" i="7"/>
  <c r="D12196" i="7"/>
  <c r="D12197" i="7"/>
  <c r="D12198" i="7"/>
  <c r="D12199" i="7"/>
  <c r="D12200" i="7"/>
  <c r="D12201" i="7"/>
  <c r="S164" i="6" s="1"/>
  <c r="W164" i="6" s="1"/>
  <c r="D12202" i="7"/>
  <c r="D12203" i="7"/>
  <c r="D12204" i="7"/>
  <c r="D12205" i="7"/>
  <c r="D12206" i="7"/>
  <c r="D12207" i="7"/>
  <c r="D12208" i="7"/>
  <c r="D12209" i="7"/>
  <c r="D12210" i="7"/>
  <c r="D12211" i="7"/>
  <c r="D12212" i="7"/>
  <c r="D12213" i="7"/>
  <c r="D12214" i="7"/>
  <c r="D12215" i="7"/>
  <c r="D12216" i="7"/>
  <c r="D12217" i="7"/>
  <c r="D12218" i="7"/>
  <c r="D12219" i="7"/>
  <c r="D12220" i="7"/>
  <c r="D12221" i="7"/>
  <c r="D12222" i="7"/>
  <c r="D12223" i="7"/>
  <c r="D12224" i="7"/>
  <c r="D12225" i="7"/>
  <c r="D12226" i="7"/>
  <c r="D12227" i="7"/>
  <c r="D12228" i="7"/>
  <c r="D12229" i="7"/>
  <c r="D12230" i="7"/>
  <c r="D12231" i="7"/>
  <c r="D12232" i="7"/>
  <c r="D12233" i="7"/>
  <c r="D12234" i="7"/>
  <c r="S265" i="6" s="1"/>
  <c r="D12235" i="7"/>
  <c r="D12236" i="7"/>
  <c r="D12237" i="7"/>
  <c r="D12238" i="7"/>
  <c r="S546" i="6" s="1"/>
  <c r="W546" i="6" s="1"/>
  <c r="D12239" i="7"/>
  <c r="D12240" i="7"/>
  <c r="D12241" i="7"/>
  <c r="D12242" i="7"/>
  <c r="D12243" i="7"/>
  <c r="D12244" i="7"/>
  <c r="D12245" i="7"/>
  <c r="S744" i="6" s="1"/>
  <c r="D12246" i="7"/>
  <c r="D12247" i="7"/>
  <c r="D12248" i="7"/>
  <c r="D12249" i="7"/>
  <c r="D12250" i="7"/>
  <c r="D12251" i="7"/>
  <c r="S741" i="6" s="1"/>
  <c r="W741" i="6" s="1"/>
  <c r="D12252" i="7"/>
  <c r="D12253" i="7"/>
  <c r="S743" i="6" s="1"/>
  <c r="D12254" i="7"/>
  <c r="D12255" i="7"/>
  <c r="D12256" i="7"/>
  <c r="D12257" i="7"/>
  <c r="D12258" i="7"/>
  <c r="D12259" i="7"/>
  <c r="D12260" i="7"/>
  <c r="D12261" i="7"/>
  <c r="D12262" i="7"/>
  <c r="D12263" i="7"/>
  <c r="D12264" i="7"/>
  <c r="D12265" i="7"/>
  <c r="D12266" i="7"/>
  <c r="D12267" i="7"/>
  <c r="D12268" i="7"/>
  <c r="D12269" i="7"/>
  <c r="D12270" i="7"/>
  <c r="D12271" i="7"/>
  <c r="D12272" i="7"/>
  <c r="D12273" i="7"/>
  <c r="D12274" i="7"/>
  <c r="D12275" i="7"/>
  <c r="D12276" i="7"/>
  <c r="D12277" i="7"/>
  <c r="D12278" i="7"/>
  <c r="D12279" i="7"/>
  <c r="D12280" i="7"/>
  <c r="D12281" i="7"/>
  <c r="D12282" i="7"/>
  <c r="D12283" i="7"/>
  <c r="D12284" i="7"/>
  <c r="D12285" i="7"/>
  <c r="D12286" i="7"/>
  <c r="D12287" i="7"/>
  <c r="D12288" i="7"/>
  <c r="D12289" i="7"/>
  <c r="D12290" i="7"/>
  <c r="D12291" i="7"/>
  <c r="D12292" i="7"/>
  <c r="D12293" i="7"/>
  <c r="D12294" i="7"/>
  <c r="D12295" i="7"/>
  <c r="D12296" i="7"/>
  <c r="D12297" i="7"/>
  <c r="D12298" i="7"/>
  <c r="D12299" i="7"/>
  <c r="D12300" i="7"/>
  <c r="D12301" i="7"/>
  <c r="D12302" i="7"/>
  <c r="D12303" i="7"/>
  <c r="D12304" i="7"/>
  <c r="D12305" i="7"/>
  <c r="D12306" i="7"/>
  <c r="D12307" i="7"/>
  <c r="D12308" i="7"/>
  <c r="S244" i="6" s="1"/>
  <c r="W244" i="6" s="1"/>
  <c r="D12309" i="7"/>
  <c r="D12310" i="7"/>
  <c r="D12311" i="7"/>
  <c r="D12312" i="7"/>
  <c r="D12313" i="7"/>
  <c r="D12314" i="7"/>
  <c r="D12315" i="7"/>
  <c r="D12316" i="7"/>
  <c r="D12317" i="7"/>
  <c r="D12318" i="7"/>
  <c r="D12319" i="7"/>
  <c r="S518" i="6" s="1"/>
  <c r="W518" i="6" s="1"/>
  <c r="D12320" i="7"/>
  <c r="D12321" i="7"/>
  <c r="D12322" i="7"/>
  <c r="D12323" i="7"/>
  <c r="D12324" i="7"/>
  <c r="D12325" i="7"/>
  <c r="D12326" i="7"/>
  <c r="D12327" i="7"/>
  <c r="D12328" i="7"/>
  <c r="D12329" i="7"/>
  <c r="D12330" i="7"/>
  <c r="D12331" i="7"/>
  <c r="D12332" i="7"/>
  <c r="D12333" i="7"/>
  <c r="D12334" i="7"/>
  <c r="D12335" i="7"/>
  <c r="D12336" i="7"/>
  <c r="D12337" i="7"/>
  <c r="D12338" i="7"/>
  <c r="D12339" i="7"/>
  <c r="D12340" i="7"/>
  <c r="S316" i="6" s="1"/>
  <c r="W316" i="6" s="1"/>
  <c r="D12341" i="7"/>
  <c r="D12342" i="7"/>
  <c r="D12343" i="7"/>
  <c r="D12344" i="7"/>
  <c r="D12345" i="7"/>
  <c r="D12346" i="7"/>
  <c r="D12347" i="7"/>
  <c r="D12348" i="7"/>
  <c r="D12349" i="7"/>
  <c r="D12350" i="7"/>
  <c r="D12351" i="7"/>
  <c r="D12352" i="7"/>
  <c r="D12353" i="7"/>
  <c r="D12354" i="7"/>
  <c r="D12355" i="7"/>
  <c r="D12356" i="7"/>
  <c r="D12357" i="7"/>
  <c r="D12358" i="7"/>
  <c r="D12359" i="7"/>
  <c r="D12360" i="7"/>
  <c r="D12361" i="7"/>
  <c r="D12362" i="7"/>
  <c r="D12363" i="7"/>
  <c r="D12364" i="7"/>
  <c r="D12365" i="7"/>
  <c r="D12366" i="7"/>
  <c r="D12367" i="7"/>
  <c r="D12368" i="7"/>
  <c r="D12369" i="7"/>
  <c r="D12370" i="7"/>
  <c r="D12371" i="7"/>
  <c r="D12372" i="7"/>
  <c r="D12373" i="7"/>
  <c r="D12374" i="7"/>
  <c r="D12375" i="7"/>
  <c r="D12376" i="7"/>
  <c r="D12377" i="7"/>
  <c r="D12378" i="7"/>
  <c r="D12379" i="7"/>
  <c r="D12380" i="7"/>
  <c r="D12381" i="7"/>
  <c r="D12382" i="7"/>
  <c r="D12383" i="7"/>
  <c r="D12384" i="7"/>
  <c r="D12385" i="7"/>
  <c r="D12386" i="7"/>
  <c r="S745" i="6" s="1"/>
  <c r="D12387" i="7"/>
  <c r="D12388" i="7"/>
  <c r="D12389" i="7"/>
  <c r="D12390" i="7"/>
  <c r="D12391" i="7"/>
  <c r="D12392" i="7"/>
  <c r="D12393" i="7"/>
  <c r="D12394" i="7"/>
  <c r="D12395" i="7"/>
  <c r="D12396" i="7"/>
  <c r="D12397" i="7"/>
  <c r="D12398" i="7"/>
  <c r="D12399" i="7"/>
  <c r="D12400" i="7"/>
  <c r="D12401" i="7"/>
  <c r="D12402" i="7"/>
  <c r="D12403" i="7"/>
  <c r="D12404" i="7"/>
  <c r="D12405" i="7"/>
  <c r="D12406" i="7"/>
  <c r="D12407" i="7"/>
  <c r="D12408" i="7"/>
  <c r="D12409" i="7"/>
  <c r="D12410" i="7"/>
  <c r="D12411" i="7"/>
  <c r="D12412" i="7"/>
  <c r="D12413" i="7"/>
  <c r="D12414" i="7"/>
  <c r="D12415" i="7"/>
  <c r="D12416" i="7"/>
  <c r="D12417" i="7"/>
  <c r="S740" i="6" s="1"/>
  <c r="W740" i="6" s="1"/>
  <c r="D12418" i="7"/>
  <c r="D12419" i="7"/>
  <c r="D12420" i="7"/>
  <c r="D12421" i="7"/>
  <c r="D12422" i="7"/>
  <c r="D12423" i="7"/>
  <c r="D12424" i="7"/>
  <c r="D12425" i="7"/>
  <c r="D12426" i="7"/>
  <c r="D12427" i="7"/>
  <c r="D12428" i="7"/>
  <c r="D12429" i="7"/>
  <c r="D12430" i="7"/>
  <c r="D12431" i="7"/>
  <c r="D12432" i="7"/>
  <c r="D12433" i="7"/>
  <c r="D12434" i="7"/>
  <c r="D12435" i="7"/>
  <c r="D12436" i="7"/>
  <c r="D12437" i="7"/>
  <c r="D12438" i="7"/>
  <c r="D12439" i="7"/>
  <c r="D12440" i="7"/>
  <c r="D12441" i="7"/>
  <c r="D12442" i="7"/>
  <c r="D12443" i="7"/>
  <c r="D12444" i="7"/>
  <c r="D12445" i="7"/>
  <c r="D12446" i="7"/>
  <c r="D12447" i="7"/>
  <c r="S264" i="6" s="1"/>
  <c r="D12448" i="7"/>
  <c r="D12449" i="7"/>
  <c r="D12450" i="7"/>
  <c r="D12451" i="7"/>
  <c r="D12452" i="7"/>
  <c r="D12453" i="7"/>
  <c r="D12454" i="7"/>
  <c r="D12455" i="7"/>
  <c r="D12456" i="7"/>
  <c r="D12457" i="7"/>
  <c r="D12458" i="7"/>
  <c r="D12459" i="7"/>
  <c r="D12460" i="7"/>
  <c r="D12461" i="7"/>
  <c r="D12462" i="7"/>
  <c r="D12463" i="7"/>
  <c r="D12464" i="7"/>
  <c r="D12465" i="7"/>
  <c r="D12466" i="7"/>
  <c r="D12467" i="7"/>
  <c r="D12468" i="7"/>
  <c r="D12469" i="7"/>
  <c r="D12470" i="7"/>
  <c r="D12471" i="7"/>
  <c r="D12472" i="7"/>
  <c r="D12473" i="7"/>
  <c r="D12474" i="7"/>
  <c r="D12475" i="7"/>
  <c r="D12476" i="7"/>
  <c r="D12477" i="7"/>
  <c r="D12478" i="7"/>
  <c r="D12479" i="7"/>
  <c r="D12480" i="7"/>
  <c r="D12481" i="7"/>
  <c r="D12482" i="7"/>
  <c r="D12483" i="7"/>
  <c r="D12484" i="7"/>
  <c r="D12485" i="7"/>
  <c r="D12486" i="7"/>
  <c r="D12487" i="7"/>
  <c r="D12488" i="7"/>
  <c r="D12489" i="7"/>
  <c r="S742" i="6" s="1"/>
  <c r="W742" i="6" s="1"/>
  <c r="D12490" i="7"/>
  <c r="D12491" i="7"/>
  <c r="S317" i="6" s="1"/>
  <c r="W317" i="6" s="1"/>
  <c r="D12492" i="7"/>
  <c r="D12493" i="7"/>
  <c r="D12494" i="7"/>
  <c r="D12495" i="7"/>
  <c r="D12496" i="7"/>
  <c r="D12497" i="7"/>
  <c r="D12498" i="7"/>
  <c r="D12499" i="7"/>
  <c r="D12500" i="7"/>
  <c r="D12501" i="7"/>
  <c r="D12502" i="7"/>
  <c r="D12503" i="7"/>
  <c r="D12504" i="7"/>
  <c r="D12505" i="7"/>
  <c r="D12506" i="7"/>
  <c r="D12507" i="7"/>
  <c r="D12508" i="7"/>
  <c r="D12509" i="7"/>
  <c r="D12510" i="7"/>
  <c r="D12511" i="7"/>
  <c r="D12512" i="7"/>
  <c r="D12513" i="7"/>
  <c r="D12514" i="7"/>
  <c r="D12515" i="7"/>
  <c r="D12516" i="7"/>
  <c r="D12517" i="7"/>
  <c r="D12518" i="7"/>
  <c r="D12519" i="7"/>
  <c r="D12520" i="7"/>
  <c r="D12521" i="7"/>
  <c r="D12522" i="7"/>
  <c r="D12523" i="7"/>
  <c r="S467" i="6" s="1"/>
  <c r="D12524" i="7"/>
  <c r="D12525" i="7"/>
  <c r="D12526" i="7"/>
  <c r="D12527" i="7"/>
  <c r="D12528" i="7"/>
  <c r="D12529" i="7"/>
  <c r="D12530" i="7"/>
  <c r="D12531" i="7"/>
  <c r="D12532" i="7"/>
  <c r="D12533" i="7"/>
  <c r="D12534" i="7"/>
  <c r="D12535" i="7"/>
  <c r="D12536" i="7"/>
  <c r="D12537" i="7"/>
  <c r="D12538" i="7"/>
  <c r="D12539" i="7"/>
  <c r="D12540" i="7"/>
  <c r="D12541" i="7"/>
  <c r="D12542" i="7"/>
  <c r="D12543" i="7"/>
  <c r="D12544" i="7"/>
  <c r="D12545" i="7"/>
  <c r="D12546" i="7"/>
  <c r="D12547" i="7"/>
  <c r="D12548" i="7"/>
  <c r="D12549" i="7"/>
  <c r="D12550" i="7"/>
  <c r="D12551" i="7"/>
  <c r="D12552" i="7"/>
  <c r="D12553" i="7"/>
  <c r="D12554" i="7"/>
  <c r="D12555" i="7"/>
  <c r="D12556" i="7"/>
  <c r="D12557" i="7"/>
  <c r="D12558" i="7"/>
  <c r="D12559" i="7"/>
  <c r="D12560" i="7"/>
  <c r="D12561" i="7"/>
  <c r="D12562" i="7"/>
  <c r="D12563" i="7"/>
  <c r="D12564" i="7"/>
  <c r="D12565" i="7"/>
  <c r="D12566" i="7"/>
  <c r="D12567" i="7"/>
  <c r="D12568" i="7"/>
  <c r="D12569" i="7"/>
  <c r="D12570" i="7"/>
  <c r="D12571" i="7"/>
  <c r="D12572" i="7"/>
  <c r="D12573" i="7"/>
  <c r="D12574" i="7"/>
  <c r="D12575" i="7"/>
  <c r="D12576" i="7"/>
  <c r="D12577" i="7"/>
  <c r="D12578" i="7"/>
  <c r="D12579" i="7"/>
  <c r="D12580" i="7"/>
  <c r="D12581" i="7"/>
  <c r="D12582" i="7"/>
  <c r="D12583" i="7"/>
  <c r="D12584" i="7"/>
  <c r="D12585" i="7"/>
  <c r="D12586" i="7"/>
  <c r="D12587" i="7"/>
  <c r="D12588" i="7"/>
  <c r="D12589" i="7"/>
  <c r="D12590" i="7"/>
  <c r="D12591" i="7"/>
  <c r="D12592" i="7"/>
  <c r="D12593" i="7"/>
  <c r="D12594" i="7"/>
  <c r="D12595" i="7"/>
  <c r="D12596" i="7"/>
  <c r="D12597" i="7"/>
  <c r="D12598" i="7"/>
  <c r="D12599" i="7"/>
  <c r="D12600" i="7"/>
  <c r="D12601" i="7"/>
  <c r="D12602" i="7"/>
  <c r="S190" i="6" s="1"/>
  <c r="D12603" i="7"/>
  <c r="D12604" i="7"/>
  <c r="D12605" i="7"/>
  <c r="D12606" i="7"/>
  <c r="D12607" i="7"/>
  <c r="D12608" i="7"/>
  <c r="D12609" i="7"/>
  <c r="D12610" i="7"/>
  <c r="D12611" i="7"/>
  <c r="S747" i="6" s="1"/>
  <c r="W747" i="6" s="1"/>
  <c r="D12612" i="7"/>
  <c r="D12613" i="7"/>
  <c r="D12614" i="7"/>
  <c r="D12615" i="7"/>
  <c r="D12616" i="7"/>
  <c r="D12617" i="7"/>
  <c r="D12618" i="7"/>
  <c r="D12619" i="7"/>
  <c r="D12620" i="7"/>
  <c r="D12621" i="7"/>
  <c r="D12622" i="7"/>
  <c r="D12623" i="7"/>
  <c r="S746" i="6" s="1"/>
  <c r="W746" i="6" s="1"/>
  <c r="D12624" i="7"/>
  <c r="D12625" i="7"/>
  <c r="D12626" i="7"/>
  <c r="D12627" i="7"/>
  <c r="D12628" i="7"/>
  <c r="D12629" i="7"/>
  <c r="D12630" i="7"/>
  <c r="D12631" i="7"/>
  <c r="D12632" i="7"/>
  <c r="D12633" i="7"/>
  <c r="D12634" i="7"/>
  <c r="D12635" i="7"/>
  <c r="D12636" i="7"/>
  <c r="D12637" i="7"/>
  <c r="D12638" i="7"/>
  <c r="S45" i="6" s="1"/>
  <c r="D12639" i="7"/>
  <c r="D12640" i="7"/>
  <c r="D12641" i="7"/>
  <c r="D12642" i="7"/>
  <c r="D12643" i="7"/>
  <c r="D12644" i="7"/>
  <c r="D12645" i="7"/>
  <c r="D12646" i="7"/>
  <c r="D12647" i="7"/>
  <c r="D12648" i="7"/>
  <c r="D12649" i="7"/>
  <c r="D12650" i="7"/>
  <c r="D12651" i="7"/>
  <c r="D12652" i="7"/>
  <c r="D12653" i="7"/>
  <c r="D12654" i="7"/>
  <c r="D12655" i="7"/>
  <c r="D12656" i="7"/>
  <c r="D12657" i="7"/>
  <c r="D12658" i="7"/>
  <c r="D12659" i="7"/>
  <c r="D12660" i="7"/>
  <c r="D12661" i="7"/>
  <c r="S119" i="6" s="1"/>
  <c r="D12662" i="7"/>
  <c r="S120" i="6" s="1"/>
  <c r="D12663" i="7"/>
  <c r="D12664" i="7"/>
  <c r="D12665" i="7"/>
  <c r="D12666" i="7"/>
  <c r="D12667" i="7"/>
  <c r="D12668" i="7"/>
  <c r="D12669" i="7"/>
  <c r="D12670" i="7"/>
  <c r="D12671" i="7"/>
  <c r="D12672" i="7"/>
  <c r="D12673" i="7"/>
  <c r="D12674" i="7"/>
  <c r="D12675" i="7"/>
  <c r="D12676" i="7"/>
  <c r="D12677" i="7"/>
  <c r="D12678" i="7"/>
  <c r="D12679" i="7"/>
  <c r="D12680" i="7"/>
  <c r="D12681" i="7"/>
  <c r="D12682" i="7"/>
  <c r="D12683" i="7"/>
  <c r="D12684" i="7"/>
  <c r="D12685" i="7"/>
  <c r="D12686" i="7"/>
  <c r="D12687" i="7"/>
  <c r="D12688" i="7"/>
  <c r="S200" i="6" s="1"/>
  <c r="D12689" i="7"/>
  <c r="D12690" i="7"/>
  <c r="D12691" i="7"/>
  <c r="D12692" i="7"/>
  <c r="D12693" i="7"/>
  <c r="D12694" i="7"/>
  <c r="D12695" i="7"/>
  <c r="D12696" i="7"/>
  <c r="D12697" i="7"/>
  <c r="D12698" i="7"/>
  <c r="D12699" i="7"/>
  <c r="D12700" i="7"/>
  <c r="D12701" i="7"/>
  <c r="D12702" i="7"/>
  <c r="D12703" i="7"/>
  <c r="D12704" i="7"/>
  <c r="D12705" i="7"/>
  <c r="D12706" i="7"/>
  <c r="D12707" i="7"/>
  <c r="D12708" i="7"/>
  <c r="D12709" i="7"/>
  <c r="D12710" i="7"/>
  <c r="D12711" i="7"/>
  <c r="S470" i="6" s="1"/>
  <c r="W470" i="6" s="1"/>
  <c r="D12712" i="7"/>
  <c r="D12713" i="7"/>
  <c r="D12714" i="7"/>
  <c r="D12715" i="7"/>
  <c r="D12716" i="7"/>
  <c r="D12717" i="7"/>
  <c r="D12718" i="7"/>
  <c r="D12719" i="7"/>
  <c r="D12720" i="7"/>
  <c r="D12721" i="7"/>
  <c r="D12722" i="7"/>
  <c r="D12723" i="7"/>
  <c r="D12724" i="7"/>
  <c r="D12725" i="7"/>
  <c r="D12726" i="7"/>
  <c r="D12727" i="7"/>
  <c r="D12728" i="7"/>
  <c r="D12729" i="7"/>
  <c r="D12730" i="7"/>
  <c r="D12731" i="7"/>
  <c r="D12732" i="7"/>
  <c r="D12733" i="7"/>
  <c r="D12734" i="7"/>
  <c r="D12735" i="7"/>
  <c r="D12736" i="7"/>
  <c r="D12737" i="7"/>
  <c r="D12738" i="7"/>
  <c r="D12739" i="7"/>
  <c r="D12740" i="7"/>
  <c r="D12741" i="7"/>
  <c r="D12742" i="7"/>
  <c r="D12743" i="7"/>
  <c r="D12744" i="7"/>
  <c r="D12745" i="7"/>
  <c r="D12746" i="7"/>
  <c r="S263" i="6" s="1"/>
  <c r="D12747" i="7"/>
  <c r="D12748" i="7"/>
  <c r="D12749" i="7"/>
  <c r="D12750" i="7"/>
  <c r="D12751" i="7"/>
  <c r="D12752" i="7"/>
  <c r="D12753" i="7"/>
  <c r="D12754" i="7"/>
  <c r="D12755" i="7"/>
  <c r="D12756" i="7"/>
  <c r="D12757" i="7"/>
  <c r="D12758" i="7"/>
  <c r="D12759" i="7"/>
  <c r="D12760" i="7"/>
  <c r="D12761" i="7"/>
  <c r="D12762" i="7"/>
  <c r="D12763" i="7"/>
  <c r="D12764" i="7"/>
  <c r="D12765" i="7"/>
  <c r="D12766" i="7"/>
  <c r="D12767" i="7"/>
  <c r="D12768" i="7"/>
  <c r="D12769" i="7"/>
  <c r="D12770" i="7"/>
  <c r="D12771" i="7"/>
  <c r="D12772" i="7"/>
  <c r="S364" i="6" s="1"/>
  <c r="W364" i="6" s="1"/>
  <c r="D12773" i="7"/>
  <c r="S365" i="6" s="1"/>
  <c r="W365" i="6" s="1"/>
  <c r="D12774" i="7"/>
  <c r="D12775" i="7"/>
  <c r="D12776" i="7"/>
  <c r="D12777" i="7"/>
  <c r="D12778" i="7"/>
  <c r="D12779" i="7"/>
  <c r="D12780" i="7"/>
  <c r="S201" i="6" s="1"/>
  <c r="D12781" i="7"/>
  <c r="D12782" i="7"/>
  <c r="D12783" i="7"/>
  <c r="D12784" i="7"/>
  <c r="D12785" i="7"/>
  <c r="D12786" i="7"/>
  <c r="D12787" i="7"/>
  <c r="D12788" i="7"/>
  <c r="D12789" i="7"/>
  <c r="S749" i="6" s="1"/>
  <c r="W749" i="6" s="1"/>
  <c r="D12790" i="7"/>
  <c r="S750" i="6" s="1"/>
  <c r="D12791" i="7"/>
  <c r="D12792" i="7"/>
  <c r="D12793" i="7"/>
  <c r="D12794" i="7"/>
  <c r="D12795" i="7"/>
  <c r="D12796" i="7"/>
  <c r="D12797" i="7"/>
  <c r="D12798" i="7"/>
  <c r="D12799" i="7"/>
  <c r="D12800" i="7"/>
  <c r="D12801" i="7"/>
  <c r="D12802" i="7"/>
  <c r="D12803" i="7"/>
  <c r="D12804" i="7"/>
  <c r="D12805" i="7"/>
  <c r="D12806" i="7"/>
  <c r="D12807" i="7"/>
  <c r="D12808" i="7"/>
  <c r="D12809" i="7"/>
  <c r="D12810" i="7"/>
  <c r="D12811" i="7"/>
  <c r="D12812" i="7"/>
  <c r="D12813" i="7"/>
  <c r="D12814" i="7"/>
  <c r="D12815" i="7"/>
  <c r="D12816" i="7"/>
  <c r="D12817" i="7"/>
  <c r="D12818" i="7"/>
  <c r="D12819" i="7"/>
  <c r="D12820" i="7"/>
  <c r="S497" i="6" s="1"/>
  <c r="W497" i="6" s="1"/>
  <c r="D12821" i="7"/>
  <c r="D12822" i="7"/>
  <c r="D12823" i="7"/>
  <c r="D12824" i="7"/>
  <c r="D12825" i="7"/>
  <c r="D12826" i="7"/>
  <c r="D12827" i="7"/>
  <c r="D12828" i="7"/>
  <c r="D12829" i="7"/>
  <c r="D12830" i="7"/>
  <c r="D12831" i="7"/>
  <c r="D12832" i="7"/>
  <c r="D12833" i="7"/>
  <c r="D12834" i="7"/>
  <c r="D12835" i="7"/>
  <c r="D12836" i="7"/>
  <c r="D12837" i="7"/>
  <c r="D12838" i="7"/>
  <c r="D12839" i="7"/>
  <c r="D12840" i="7"/>
  <c r="D12841" i="7"/>
  <c r="D12842" i="7"/>
  <c r="D12843" i="7"/>
  <c r="D12844" i="7"/>
  <c r="D12845" i="7"/>
  <c r="D12846" i="7"/>
  <c r="D12847" i="7"/>
  <c r="D12848" i="7"/>
  <c r="S118" i="6" s="1"/>
  <c r="W118" i="6" s="1"/>
  <c r="D12849" i="7"/>
  <c r="D12850" i="7"/>
  <c r="D12851" i="7"/>
  <c r="S529" i="6" s="1"/>
  <c r="W529" i="6" s="1"/>
  <c r="D12852" i="7"/>
  <c r="D12853" i="7"/>
  <c r="D12854" i="7"/>
  <c r="D12855" i="7"/>
  <c r="D12856" i="7"/>
  <c r="D12857" i="7"/>
  <c r="D12858" i="7"/>
  <c r="D12859" i="7"/>
  <c r="D12860" i="7"/>
  <c r="D12861" i="7"/>
  <c r="D12862" i="7"/>
  <c r="D12863" i="7"/>
  <c r="D12864" i="7"/>
  <c r="D12865" i="7"/>
  <c r="D12866" i="7"/>
  <c r="D12867" i="7"/>
  <c r="D12868" i="7"/>
  <c r="D12869" i="7"/>
  <c r="D12870" i="7"/>
  <c r="D12871" i="7"/>
  <c r="D12872" i="7"/>
  <c r="D12873" i="7"/>
  <c r="D12874" i="7"/>
  <c r="D12875" i="7"/>
  <c r="D12876" i="7"/>
  <c r="D12877" i="7"/>
  <c r="D12878" i="7"/>
  <c r="D12879" i="7"/>
  <c r="D12880" i="7"/>
  <c r="D12881" i="7"/>
  <c r="D12882" i="7"/>
  <c r="D12883" i="7"/>
  <c r="D12884" i="7"/>
  <c r="D12885" i="7"/>
  <c r="D12886" i="7"/>
  <c r="D12887" i="7"/>
  <c r="D12888" i="7"/>
  <c r="D12889" i="7"/>
  <c r="D12890" i="7"/>
  <c r="D12891" i="7"/>
  <c r="D12892" i="7"/>
  <c r="S70" i="6" s="1"/>
  <c r="D12893" i="7"/>
  <c r="D12894" i="7"/>
  <c r="D12895" i="7"/>
  <c r="D12896" i="7"/>
  <c r="D12897" i="7"/>
  <c r="D12898" i="7"/>
  <c r="D12899" i="7"/>
  <c r="D12900" i="7"/>
  <c r="D12901" i="7"/>
  <c r="D12902" i="7"/>
  <c r="D12903" i="7"/>
  <c r="D12904" i="7"/>
  <c r="D12905" i="7"/>
  <c r="D12906" i="7"/>
  <c r="D12907" i="7"/>
  <c r="D12908" i="7"/>
  <c r="D12909" i="7"/>
  <c r="D12910" i="7"/>
  <c r="D12911" i="7"/>
  <c r="S748" i="6" s="1"/>
  <c r="W748" i="6" s="1"/>
  <c r="D12912" i="7"/>
  <c r="D12913" i="7"/>
  <c r="D12914" i="7"/>
  <c r="D12915" i="7"/>
  <c r="D12916" i="7"/>
  <c r="D12917" i="7"/>
  <c r="D12918" i="7"/>
  <c r="S7" i="6" s="1"/>
  <c r="W7" i="6" s="1"/>
  <c r="D12919" i="7"/>
  <c r="D12920" i="7"/>
  <c r="D12921" i="7"/>
  <c r="D12922" i="7"/>
  <c r="D12923" i="7"/>
  <c r="D12924" i="7"/>
  <c r="D12925" i="7"/>
  <c r="D12926" i="7"/>
  <c r="D12927" i="7"/>
  <c r="S431" i="6" s="1"/>
  <c r="D12928" i="7"/>
  <c r="D12929" i="7"/>
  <c r="D12930" i="7"/>
  <c r="D12931" i="7"/>
  <c r="D12932" i="7"/>
  <c r="D12933" i="7"/>
  <c r="D12934" i="7"/>
  <c r="D12935" i="7"/>
  <c r="D12936" i="7"/>
  <c r="D12937" i="7"/>
  <c r="D12938" i="7"/>
  <c r="D12939" i="7"/>
  <c r="D12940" i="7"/>
  <c r="D12941" i="7"/>
  <c r="D12942" i="7"/>
  <c r="D12943" i="7"/>
  <c r="D12944" i="7"/>
  <c r="D12945" i="7"/>
  <c r="S256" i="6" s="1"/>
  <c r="W256" i="6" s="1"/>
  <c r="D12946" i="7"/>
  <c r="S257" i="6" s="1"/>
  <c r="W257" i="6" s="1"/>
  <c r="D12947" i="7"/>
  <c r="D12948" i="7"/>
  <c r="D12949" i="7"/>
  <c r="D12950" i="7"/>
  <c r="D12951" i="7"/>
  <c r="D12952" i="7"/>
  <c r="D12953" i="7"/>
  <c r="D12954" i="7"/>
  <c r="D12955" i="7"/>
  <c r="D12956" i="7"/>
  <c r="D12957" i="7"/>
  <c r="D12958" i="7"/>
  <c r="S756" i="6" s="1"/>
  <c r="W756" i="6" s="1"/>
  <c r="D12959" i="7"/>
  <c r="D12960" i="7"/>
  <c r="D12961" i="7"/>
  <c r="D12962" i="7"/>
  <c r="D12963" i="7"/>
  <c r="D12964" i="7"/>
  <c r="D12965" i="7"/>
  <c r="D12966" i="7"/>
  <c r="D12967" i="7"/>
  <c r="D12968" i="7"/>
  <c r="D12969" i="7"/>
  <c r="D12970" i="7"/>
  <c r="D12971" i="7"/>
  <c r="D12972" i="7"/>
  <c r="D12973" i="7"/>
  <c r="D12974" i="7"/>
  <c r="D12975" i="7"/>
  <c r="D12976" i="7"/>
  <c r="D12977" i="7"/>
  <c r="D12978" i="7"/>
  <c r="D12979" i="7"/>
  <c r="S493" i="6" s="1"/>
  <c r="D12980" i="7"/>
  <c r="D12981" i="7"/>
  <c r="D12982" i="7"/>
  <c r="D12983" i="7"/>
  <c r="D12984" i="7"/>
  <c r="D12985" i="7"/>
  <c r="D12986" i="7"/>
  <c r="D12987" i="7"/>
  <c r="D12988" i="7"/>
  <c r="D12989" i="7"/>
  <c r="D12990" i="7"/>
  <c r="D12991" i="7"/>
  <c r="D12992" i="7"/>
  <c r="D12993" i="7"/>
  <c r="D12994" i="7"/>
  <c r="D12995" i="7"/>
  <c r="D12996" i="7"/>
  <c r="D12997" i="7"/>
  <c r="D12998" i="7"/>
  <c r="D12999" i="7"/>
  <c r="D13000" i="7"/>
  <c r="S199" i="6" s="1"/>
  <c r="D13001" i="7"/>
  <c r="D13002" i="7"/>
  <c r="D13003" i="7"/>
  <c r="D13004" i="7"/>
  <c r="D13005" i="7"/>
  <c r="D13006" i="7"/>
  <c r="D13007" i="7"/>
  <c r="D13008" i="7"/>
  <c r="D13009" i="7"/>
  <c r="D13010" i="7"/>
  <c r="D13011" i="7"/>
  <c r="D13012" i="7"/>
  <c r="D13013" i="7"/>
  <c r="D13014" i="7"/>
  <c r="D13015" i="7"/>
  <c r="D13016" i="7"/>
  <c r="D13017" i="7"/>
  <c r="D13018" i="7"/>
  <c r="D13019" i="7"/>
  <c r="D13020" i="7"/>
  <c r="D13021" i="7"/>
  <c r="D13022" i="7"/>
  <c r="S757" i="6" s="1"/>
  <c r="D13023" i="7"/>
  <c r="D13024" i="7"/>
  <c r="D13025" i="7"/>
  <c r="D13026" i="7"/>
  <c r="D13027" i="7"/>
  <c r="D13028" i="7"/>
  <c r="D13029" i="7"/>
  <c r="D13030" i="7"/>
  <c r="D13031" i="7"/>
  <c r="D13032" i="7"/>
  <c r="D13033" i="7"/>
  <c r="D13034" i="7"/>
  <c r="D13035" i="7"/>
  <c r="D13036" i="7"/>
  <c r="D13037" i="7"/>
  <c r="D13038" i="7"/>
  <c r="D13039" i="7"/>
  <c r="D13040" i="7"/>
  <c r="D13041" i="7"/>
  <c r="D13042" i="7"/>
  <c r="D13043" i="7"/>
  <c r="D13044" i="7"/>
  <c r="D13045" i="7"/>
  <c r="D13046" i="7"/>
  <c r="D13047" i="7"/>
  <c r="D13048" i="7"/>
  <c r="D13049" i="7"/>
  <c r="D13050" i="7"/>
  <c r="D13051" i="7"/>
  <c r="D13052" i="7"/>
  <c r="D13053" i="7"/>
  <c r="D13054" i="7"/>
  <c r="D13055" i="7"/>
  <c r="D13056" i="7"/>
  <c r="D13057" i="7"/>
  <c r="D13058" i="7"/>
  <c r="D13059" i="7"/>
  <c r="D13060" i="7"/>
  <c r="D13061" i="7"/>
  <c r="D13062" i="7"/>
  <c r="S262" i="6" s="1"/>
  <c r="D13063" i="7"/>
  <c r="D13064" i="7"/>
  <c r="D13065" i="7"/>
  <c r="D13066" i="7"/>
  <c r="D13067" i="7"/>
  <c r="D13068" i="7"/>
  <c r="D13069" i="7"/>
  <c r="D13070" i="7"/>
  <c r="D13071" i="7"/>
  <c r="D13072" i="7"/>
  <c r="D13073" i="7"/>
  <c r="D13074" i="7"/>
  <c r="D13075" i="7"/>
  <c r="D13076" i="7"/>
  <c r="D13077" i="7"/>
  <c r="D13078" i="7"/>
  <c r="D13079" i="7"/>
  <c r="D13080" i="7"/>
  <c r="D13081" i="7"/>
  <c r="D13082" i="7"/>
  <c r="D13083" i="7"/>
  <c r="D13084" i="7"/>
  <c r="D13085" i="7"/>
  <c r="D13086" i="7"/>
  <c r="D13087" i="7"/>
  <c r="D13088" i="7"/>
  <c r="D13089" i="7"/>
  <c r="D13090" i="7"/>
  <c r="D13091" i="7"/>
  <c r="S430" i="6" s="1"/>
  <c r="W430" i="6" s="1"/>
  <c r="D13092" i="7"/>
  <c r="D13093" i="7"/>
  <c r="D13094" i="7"/>
  <c r="D13095" i="7"/>
  <c r="D13096" i="7"/>
  <c r="D13097" i="7"/>
  <c r="D13098" i="7"/>
  <c r="D13099" i="7"/>
  <c r="D13100" i="7"/>
  <c r="D13101" i="7"/>
  <c r="D13102" i="7"/>
  <c r="D13103" i="7"/>
  <c r="D13104" i="7"/>
  <c r="D13105" i="7"/>
  <c r="D13106" i="7"/>
  <c r="D13107" i="7"/>
  <c r="D13108" i="7"/>
  <c r="D13109" i="7"/>
  <c r="D13110" i="7"/>
  <c r="D13111" i="7"/>
  <c r="S315" i="6" s="1"/>
  <c r="W315" i="6" s="1"/>
  <c r="D13112" i="7"/>
  <c r="D13113" i="7"/>
  <c r="D13114" i="7"/>
  <c r="D13115" i="7"/>
  <c r="D13116" i="7"/>
  <c r="S363" i="6" s="1"/>
  <c r="W363" i="6" s="1"/>
  <c r="D13117" i="7"/>
  <c r="D13118" i="7"/>
  <c r="D13119" i="7"/>
  <c r="D13120" i="7"/>
  <c r="D13121" i="7"/>
  <c r="D13122" i="7"/>
  <c r="D13123" i="7"/>
  <c r="D13124" i="7"/>
  <c r="D13125" i="7"/>
  <c r="D13126" i="7"/>
  <c r="S545" i="6" s="1"/>
  <c r="W545" i="6" s="1"/>
  <c r="D13127" i="7"/>
  <c r="D13128" i="7"/>
  <c r="D13129" i="7"/>
  <c r="D13130" i="7"/>
  <c r="D13131" i="7"/>
  <c r="S29" i="6" s="1"/>
  <c r="W29" i="6" s="1"/>
  <c r="D13132" i="7"/>
  <c r="D13133" i="7"/>
  <c r="D13134" i="7"/>
  <c r="D13135" i="7"/>
  <c r="D13136" i="7"/>
  <c r="D13137" i="7"/>
  <c r="S55" i="6" s="1"/>
  <c r="W55" i="6" s="1"/>
  <c r="D13138" i="7"/>
  <c r="D13139" i="7"/>
  <c r="D13140" i="7"/>
  <c r="D13141" i="7"/>
  <c r="D13142" i="7"/>
  <c r="D13143" i="7"/>
  <c r="D13144" i="7"/>
  <c r="D13145" i="7"/>
  <c r="D13146" i="7"/>
  <c r="D13147" i="7"/>
  <c r="D13148" i="7"/>
  <c r="D13149" i="7"/>
  <c r="D13150" i="7"/>
  <c r="D13151" i="7"/>
  <c r="D13152" i="7"/>
  <c r="D13153" i="7"/>
  <c r="D13154" i="7"/>
  <c r="D13155" i="7"/>
  <c r="D13156" i="7"/>
  <c r="D13157" i="7"/>
  <c r="D13158" i="7"/>
  <c r="D13159" i="7"/>
  <c r="D13160" i="7"/>
  <c r="D13161" i="7"/>
  <c r="D13162" i="7"/>
  <c r="S273" i="6" s="1"/>
  <c r="W273" i="6" s="1"/>
  <c r="D13163" i="7"/>
  <c r="D13164" i="7"/>
  <c r="D13165" i="7"/>
  <c r="D13166" i="7"/>
  <c r="D13167" i="7"/>
  <c r="D13168" i="7"/>
  <c r="D13169" i="7"/>
  <c r="D13170" i="7"/>
  <c r="D13171" i="7"/>
  <c r="D13172" i="7"/>
  <c r="D13173" i="7"/>
  <c r="D13174" i="7"/>
  <c r="D13175" i="7"/>
  <c r="D13176" i="7"/>
  <c r="D13177" i="7"/>
  <c r="D13178" i="7"/>
  <c r="D13179" i="7"/>
  <c r="D13180" i="7"/>
  <c r="D13181" i="7"/>
  <c r="D13182" i="7"/>
  <c r="D13183" i="7"/>
  <c r="D13184" i="7"/>
  <c r="D13185" i="7"/>
  <c r="D13186" i="7"/>
  <c r="D13187" i="7"/>
  <c r="D13188" i="7"/>
  <c r="D13189" i="7"/>
  <c r="D13190" i="7"/>
  <c r="D13191" i="7"/>
  <c r="D13192" i="7"/>
  <c r="D13193" i="7"/>
  <c r="D13194" i="7"/>
  <c r="D13195" i="7"/>
  <c r="D13196" i="7"/>
  <c r="D13197" i="7"/>
  <c r="D13198" i="7"/>
  <c r="D13199" i="7"/>
  <c r="D13200" i="7"/>
  <c r="D13201" i="7"/>
  <c r="D13202" i="7"/>
  <c r="D13203" i="7"/>
  <c r="D13204" i="7"/>
  <c r="D13205" i="7"/>
  <c r="D13206" i="7"/>
  <c r="D13207" i="7"/>
  <c r="D13208" i="7"/>
  <c r="D13209" i="7"/>
  <c r="D13210" i="7"/>
  <c r="D13211" i="7"/>
  <c r="D13212" i="7"/>
  <c r="D13213" i="7"/>
  <c r="D13214" i="7"/>
  <c r="D13215" i="7"/>
  <c r="D13216" i="7"/>
  <c r="D13217" i="7"/>
  <c r="D13218" i="7"/>
  <c r="S751" i="6" s="1"/>
  <c r="W751" i="6" s="1"/>
  <c r="D13219" i="7"/>
  <c r="D13220" i="7"/>
  <c r="D13221" i="7"/>
  <c r="D13222" i="7"/>
  <c r="D13223" i="7"/>
  <c r="D13224" i="7"/>
  <c r="D13225" i="7"/>
  <c r="D13226" i="7"/>
  <c r="S314" i="6" s="1"/>
  <c r="W314" i="6" s="1"/>
  <c r="D13227" i="7"/>
  <c r="D13228" i="7"/>
  <c r="D13229" i="7"/>
  <c r="D13230" i="7"/>
  <c r="D13231" i="7"/>
  <c r="D13232" i="7"/>
  <c r="D13233" i="7"/>
  <c r="D13234" i="7"/>
  <c r="D13235" i="7"/>
  <c r="D13236" i="7"/>
  <c r="D13237" i="7"/>
  <c r="D13238" i="7"/>
  <c r="S132" i="6" s="1"/>
  <c r="D13239" i="7"/>
  <c r="D13240" i="7"/>
  <c r="D13241" i="7"/>
  <c r="D13242" i="7"/>
  <c r="D13243" i="7"/>
  <c r="D13244" i="7"/>
  <c r="D13245" i="7"/>
  <c r="D13246" i="7"/>
  <c r="D13247" i="7"/>
  <c r="D13248" i="7"/>
  <c r="D13249" i="7"/>
  <c r="D13250" i="7"/>
  <c r="D13251" i="7"/>
  <c r="D13252" i="7"/>
  <c r="D13253" i="7"/>
  <c r="D13254" i="7"/>
  <c r="D13255" i="7"/>
  <c r="D13256" i="7"/>
  <c r="D13257" i="7"/>
  <c r="D13258" i="7"/>
  <c r="D13259" i="7"/>
  <c r="D13260" i="7"/>
  <c r="D13261" i="7"/>
  <c r="S376" i="6" s="1"/>
  <c r="W376" i="6" s="1"/>
  <c r="D13262" i="7"/>
  <c r="D13263" i="7"/>
  <c r="D13264" i="7"/>
  <c r="D13265" i="7"/>
  <c r="D13266" i="7"/>
  <c r="D13267" i="7"/>
  <c r="D13268" i="7"/>
  <c r="D13269" i="7"/>
  <c r="D13270" i="7"/>
  <c r="S752" i="6" s="1"/>
  <c r="W752" i="6" s="1"/>
  <c r="D13271" i="7"/>
  <c r="D13272" i="7"/>
  <c r="D13273" i="7"/>
  <c r="D13274" i="7"/>
  <c r="S753" i="6" s="1"/>
  <c r="D13275" i="7"/>
  <c r="D13276" i="7"/>
  <c r="D13277" i="7"/>
  <c r="D13278" i="7"/>
  <c r="D13279" i="7"/>
  <c r="D13280" i="7"/>
  <c r="D13281" i="7"/>
  <c r="D13282" i="7"/>
  <c r="D13283" i="7"/>
  <c r="S308" i="6" s="1"/>
  <c r="W308" i="6" s="1"/>
  <c r="D13284" i="7"/>
  <c r="D13285" i="7"/>
  <c r="D13286" i="7"/>
  <c r="D13287" i="7"/>
  <c r="D13288" i="7"/>
  <c r="S6" i="6" s="1"/>
  <c r="W6" i="6" s="1"/>
  <c r="D13289" i="7"/>
  <c r="D13290" i="7"/>
  <c r="D13291" i="7"/>
  <c r="D13292" i="7"/>
  <c r="D13293" i="7"/>
  <c r="D13294" i="7"/>
  <c r="D13295" i="7"/>
  <c r="S754" i="6" s="1"/>
  <c r="W754" i="6" s="1"/>
  <c r="D13296" i="7"/>
  <c r="D13297" i="7"/>
  <c r="D13298" i="7"/>
  <c r="D13299" i="7"/>
  <c r="D13300" i="7"/>
  <c r="D13301" i="7"/>
  <c r="D13302" i="7"/>
  <c r="D13303" i="7"/>
  <c r="D13304" i="7"/>
  <c r="D13305" i="7"/>
  <c r="D13306" i="7"/>
  <c r="D13307" i="7"/>
  <c r="D13308" i="7"/>
  <c r="D13309" i="7"/>
  <c r="D13310" i="7"/>
  <c r="D13311" i="7"/>
  <c r="D13312" i="7"/>
  <c r="D13313" i="7"/>
  <c r="D13314" i="7"/>
  <c r="D13315" i="7"/>
  <c r="D13316" i="7"/>
  <c r="D13317" i="7"/>
  <c r="D13318" i="7"/>
  <c r="D13319" i="7"/>
  <c r="D13320" i="7"/>
  <c r="D13321" i="7"/>
  <c r="D13322" i="7"/>
  <c r="D13323" i="7"/>
  <c r="D13324" i="7"/>
  <c r="D13325" i="7"/>
  <c r="D13326" i="7"/>
  <c r="D13327" i="7"/>
  <c r="S499" i="6" s="1"/>
  <c r="W499" i="6" s="1"/>
  <c r="D13328" i="7"/>
  <c r="D13329" i="7"/>
  <c r="D13330" i="7"/>
  <c r="D13331" i="7"/>
  <c r="D13332" i="7"/>
  <c r="D13333" i="7"/>
  <c r="D13334" i="7"/>
  <c r="D13335" i="7"/>
  <c r="D13336" i="7"/>
  <c r="D13337" i="7"/>
  <c r="S115" i="6" s="1"/>
  <c r="W115" i="6" s="1"/>
  <c r="D13338" i="7"/>
  <c r="D13339" i="7"/>
  <c r="D13340" i="7"/>
  <c r="D13341" i="7"/>
  <c r="D13342" i="7"/>
  <c r="D13343" i="7"/>
  <c r="D13344" i="7"/>
  <c r="D13345" i="7"/>
  <c r="D13346" i="7"/>
  <c r="D13347" i="7"/>
  <c r="D13348" i="7"/>
  <c r="D13349" i="7"/>
  <c r="D13350" i="7"/>
  <c r="D13351" i="7"/>
  <c r="D13352" i="7"/>
  <c r="D13353" i="7"/>
  <c r="D13354" i="7"/>
  <c r="D13355" i="7"/>
  <c r="D13356" i="7"/>
  <c r="D13357" i="7"/>
  <c r="D13358" i="7"/>
  <c r="D13359" i="7"/>
  <c r="D13360" i="7"/>
  <c r="D13361" i="7"/>
  <c r="D13362" i="7"/>
  <c r="D13363" i="7"/>
  <c r="D13364" i="7"/>
  <c r="D13365" i="7"/>
  <c r="D13366" i="7"/>
  <c r="D13367" i="7"/>
  <c r="D13368" i="7"/>
  <c r="D13369" i="7"/>
  <c r="D13370" i="7"/>
  <c r="D13371" i="7"/>
  <c r="D13372" i="7"/>
  <c r="D13373" i="7"/>
  <c r="D13374" i="7"/>
  <c r="D13375" i="7"/>
  <c r="D13376" i="7"/>
  <c r="D13377" i="7"/>
  <c r="D13378" i="7"/>
  <c r="D13379" i="7"/>
  <c r="D13380" i="7"/>
  <c r="D13381" i="7"/>
  <c r="D13382" i="7"/>
  <c r="D13383" i="7"/>
  <c r="D13384" i="7"/>
  <c r="D13385" i="7"/>
  <c r="D13386" i="7"/>
  <c r="D13387" i="7"/>
  <c r="D13388" i="7"/>
  <c r="D13389" i="7"/>
  <c r="D13390" i="7"/>
  <c r="D13391" i="7"/>
  <c r="D13392" i="7"/>
  <c r="D13393" i="7"/>
  <c r="S703" i="6" s="1"/>
  <c r="D13394" i="7"/>
  <c r="D13395" i="7"/>
  <c r="D13396" i="7"/>
  <c r="D13397" i="7"/>
  <c r="D13398" i="7"/>
  <c r="D13399" i="7"/>
  <c r="D13400" i="7"/>
  <c r="D13401" i="7"/>
  <c r="D13402" i="7"/>
  <c r="S56" i="6" s="1"/>
  <c r="W56" i="6" s="1"/>
  <c r="D13403" i="7"/>
  <c r="D13404" i="7"/>
  <c r="D13405" i="7"/>
  <c r="D13406" i="7"/>
  <c r="D13407" i="7"/>
  <c r="D13408" i="7"/>
  <c r="D13409" i="7"/>
  <c r="D13410" i="7"/>
  <c r="D13411" i="7"/>
  <c r="D13412" i="7"/>
  <c r="D13413" i="7"/>
  <c r="D13414" i="7"/>
  <c r="D13415" i="7"/>
  <c r="D13416" i="7"/>
  <c r="D13417" i="7"/>
  <c r="D13418" i="7"/>
  <c r="D13419" i="7"/>
  <c r="D13420" i="7"/>
  <c r="D13421" i="7"/>
  <c r="D13422" i="7"/>
  <c r="D13423" i="7"/>
  <c r="D13424" i="7"/>
  <c r="D13425" i="7"/>
  <c r="D13426" i="7"/>
  <c r="D13427" i="7"/>
  <c r="S30" i="6" s="1"/>
  <c r="W30" i="6" s="1"/>
  <c r="D13428" i="7"/>
  <c r="D13429" i="7"/>
  <c r="D13430" i="7"/>
  <c r="D13431" i="7"/>
  <c r="D13432" i="7"/>
  <c r="D13433" i="7"/>
  <c r="D13434" i="7"/>
  <c r="D13435" i="7"/>
  <c r="D13436" i="7"/>
  <c r="D13437" i="7"/>
  <c r="D13438" i="7"/>
  <c r="D13439" i="7"/>
  <c r="D13440" i="7"/>
  <c r="D13441" i="7"/>
  <c r="D13442" i="7"/>
  <c r="D13443" i="7"/>
  <c r="D13444" i="7"/>
  <c r="D13445" i="7"/>
  <c r="D13446" i="7"/>
  <c r="D13447" i="7"/>
  <c r="D13448" i="7"/>
  <c r="D13449" i="7"/>
  <c r="D13450" i="7"/>
  <c r="S702" i="6" s="1"/>
  <c r="W702" i="6" s="1"/>
  <c r="D13451" i="7"/>
  <c r="D13452" i="7"/>
  <c r="D13453" i="7"/>
  <c r="D13454" i="7"/>
  <c r="D13455" i="7"/>
  <c r="D13456" i="7"/>
  <c r="D13457" i="7"/>
  <c r="D13458" i="7"/>
  <c r="D13459" i="7"/>
  <c r="D13460" i="7"/>
  <c r="D13461" i="7"/>
  <c r="D13462" i="7"/>
  <c r="D13463" i="7"/>
  <c r="D13464" i="7"/>
  <c r="D13465" i="7"/>
  <c r="D13466" i="7"/>
  <c r="D13467" i="7"/>
  <c r="D13468" i="7"/>
  <c r="D13469" i="7"/>
  <c r="D13470" i="7"/>
  <c r="D13471" i="7"/>
  <c r="D13472" i="7"/>
  <c r="D13473" i="7"/>
  <c r="D13474" i="7"/>
  <c r="D13475" i="7"/>
  <c r="D13476" i="7"/>
  <c r="D13477" i="7"/>
  <c r="D13478" i="7"/>
  <c r="D13479" i="7"/>
  <c r="D13480" i="7"/>
  <c r="D13481" i="7"/>
  <c r="D13482" i="7"/>
  <c r="D13483" i="7"/>
  <c r="D13484" i="7"/>
  <c r="D13485" i="7"/>
  <c r="D13486" i="7"/>
  <c r="D13487" i="7"/>
  <c r="D13488" i="7"/>
  <c r="D13489" i="7"/>
  <c r="S765" i="6" s="1"/>
  <c r="D13490" i="7"/>
  <c r="D13491" i="7"/>
  <c r="D13492" i="7"/>
  <c r="D13493" i="7"/>
  <c r="S27" i="6" s="1"/>
  <c r="W27" i="6" s="1"/>
  <c r="D13494" i="7"/>
  <c r="D13495" i="7"/>
  <c r="S487" i="6" s="1"/>
  <c r="W487" i="6" s="1"/>
  <c r="D13496" i="7"/>
  <c r="D13497" i="7"/>
  <c r="D13498" i="7"/>
  <c r="D13499" i="7"/>
  <c r="D13500" i="7"/>
  <c r="D13501" i="7"/>
  <c r="D13502" i="7"/>
  <c r="D13503" i="7"/>
  <c r="D13504" i="7"/>
  <c r="D13505" i="7"/>
  <c r="D13506" i="7"/>
  <c r="D13507" i="7"/>
  <c r="D13508" i="7"/>
  <c r="S254" i="6" s="1"/>
  <c r="W254" i="6" s="1"/>
  <c r="D13509" i="7"/>
  <c r="D13510" i="7"/>
  <c r="D13511" i="7"/>
  <c r="D13512" i="7"/>
  <c r="D13513" i="7"/>
  <c r="D13514" i="7"/>
  <c r="S250" i="6" s="1"/>
  <c r="D13515" i="7"/>
  <c r="D13516" i="7"/>
  <c r="D13517" i="7"/>
  <c r="D13518" i="7"/>
  <c r="D13519" i="7"/>
  <c r="D13520" i="7"/>
  <c r="D13521" i="7"/>
  <c r="D13522" i="7"/>
  <c r="D13523" i="7"/>
  <c r="D13524" i="7"/>
  <c r="D13525" i="7"/>
  <c r="D13526" i="7"/>
  <c r="D13527" i="7"/>
  <c r="D13528" i="7"/>
  <c r="D13529" i="7"/>
  <c r="D13530" i="7"/>
  <c r="D13531" i="7"/>
  <c r="D13532" i="7"/>
  <c r="S249" i="6" s="1"/>
  <c r="W249" i="6" s="1"/>
  <c r="D13533" i="7"/>
  <c r="S71" i="6" s="1"/>
  <c r="W71" i="6" s="1"/>
  <c r="D13534" i="7"/>
  <c r="D13535" i="7"/>
  <c r="D13536" i="7"/>
  <c r="D13537" i="7"/>
  <c r="D13538" i="7"/>
  <c r="D13539" i="7"/>
  <c r="D13540" i="7"/>
  <c r="D13541" i="7"/>
  <c r="D13542" i="7"/>
  <c r="D13543" i="7"/>
  <c r="D13544" i="7"/>
  <c r="D13545" i="7"/>
  <c r="D13546" i="7"/>
  <c r="D13547" i="7"/>
  <c r="D13548" i="7"/>
  <c r="D13549" i="7"/>
  <c r="D13550" i="7"/>
  <c r="D13551" i="7"/>
  <c r="D13552" i="7"/>
  <c r="D13553" i="7"/>
  <c r="D13554" i="7"/>
  <c r="D13555" i="7"/>
  <c r="D13556" i="7"/>
  <c r="D13557" i="7"/>
  <c r="D13558" i="7"/>
  <c r="D13559" i="7"/>
  <c r="D13560" i="7"/>
  <c r="D13561" i="7"/>
  <c r="D13562" i="7"/>
  <c r="D13563" i="7"/>
  <c r="D13564" i="7"/>
  <c r="D13565" i="7"/>
  <c r="D13566" i="7"/>
  <c r="D13567" i="7"/>
  <c r="D13568" i="7"/>
  <c r="D13569" i="7"/>
  <c r="D13570" i="7"/>
  <c r="D13571" i="7"/>
  <c r="S116" i="6" s="1"/>
  <c r="W116" i="6" s="1"/>
  <c r="D13572" i="7"/>
  <c r="D13573" i="7"/>
  <c r="D13574" i="7"/>
  <c r="D13575" i="7"/>
  <c r="D13576" i="7"/>
  <c r="D13577" i="7"/>
  <c r="D13578" i="7"/>
  <c r="D13579" i="7"/>
  <c r="D13580" i="7"/>
  <c r="D13581" i="7"/>
  <c r="D13582" i="7"/>
  <c r="D13583" i="7"/>
  <c r="D13584" i="7"/>
  <c r="D13585" i="7"/>
  <c r="D13586" i="7"/>
  <c r="D13587" i="7"/>
  <c r="D13588" i="7"/>
  <c r="D13589" i="7"/>
  <c r="D13590" i="7"/>
  <c r="D13591" i="7"/>
  <c r="D13592" i="7"/>
  <c r="D13593" i="7"/>
  <c r="D13594" i="7"/>
  <c r="D13595" i="7"/>
  <c r="D13596" i="7"/>
  <c r="D13597" i="7"/>
  <c r="D13598" i="7"/>
  <c r="D13599" i="7"/>
  <c r="D13600" i="7"/>
  <c r="D13601" i="7"/>
  <c r="D13602" i="7"/>
  <c r="D13603" i="7"/>
  <c r="D13604" i="7"/>
  <c r="D13605" i="7"/>
  <c r="S113" i="6" s="1"/>
  <c r="W113" i="6" s="1"/>
  <c r="D13606" i="7"/>
  <c r="D13607" i="7"/>
  <c r="D13608" i="7"/>
  <c r="D13609" i="7"/>
  <c r="D13610" i="7"/>
  <c r="D13611" i="7"/>
  <c r="D13612" i="7"/>
  <c r="D13613" i="7"/>
  <c r="D13614" i="7"/>
  <c r="D13615" i="7"/>
  <c r="D13616" i="7"/>
  <c r="D13617" i="7"/>
  <c r="D13618" i="7"/>
  <c r="D13619" i="7"/>
  <c r="D13620" i="7"/>
  <c r="D13621" i="7"/>
  <c r="D13622" i="7"/>
  <c r="D13623" i="7"/>
  <c r="D13624" i="7"/>
  <c r="D13625" i="7"/>
  <c r="D13626" i="7"/>
  <c r="D13627" i="7"/>
  <c r="D13628" i="7"/>
  <c r="D13629" i="7"/>
  <c r="D13630" i="7"/>
  <c r="D13631" i="7"/>
  <c r="D13632" i="7"/>
  <c r="D13633" i="7"/>
  <c r="S755" i="6" s="1"/>
  <c r="D13634" i="7"/>
  <c r="D13635" i="7"/>
  <c r="D13636" i="7"/>
  <c r="S31" i="6" s="1"/>
  <c r="D13637" i="7"/>
  <c r="D13638" i="7"/>
  <c r="D13639" i="7"/>
  <c r="D13640" i="7"/>
  <c r="D13641" i="7"/>
  <c r="D13642" i="7"/>
  <c r="D13643" i="7"/>
  <c r="D13644" i="7"/>
  <c r="D13645" i="7"/>
  <c r="D13646" i="7"/>
  <c r="D13647" i="7"/>
  <c r="D13648" i="7"/>
  <c r="D13649" i="7"/>
  <c r="D13650" i="7"/>
  <c r="D13651" i="7"/>
  <c r="D13652" i="7"/>
  <c r="D13653" i="7"/>
  <c r="D13654" i="7"/>
  <c r="D13655" i="7"/>
  <c r="D13656" i="7"/>
  <c r="D13657" i="7"/>
  <c r="D13658" i="7"/>
  <c r="D13659" i="7"/>
  <c r="D13660" i="7"/>
  <c r="D13661" i="7"/>
  <c r="D13662" i="7"/>
  <c r="D13663" i="7"/>
  <c r="D13664" i="7"/>
  <c r="D13665" i="7"/>
  <c r="S479" i="6" s="1"/>
  <c r="W479" i="6" s="1"/>
  <c r="D13666" i="7"/>
  <c r="D13667" i="7"/>
  <c r="D13668" i="7"/>
  <c r="D13669" i="7"/>
  <c r="D13670" i="7"/>
  <c r="D13671" i="7"/>
  <c r="D13672" i="7"/>
  <c r="D13673" i="7"/>
  <c r="D13674" i="7"/>
  <c r="D13675" i="7"/>
  <c r="D13676" i="7"/>
  <c r="D13677" i="7"/>
  <c r="D13678" i="7"/>
  <c r="D13679" i="7"/>
  <c r="S492" i="6" s="1"/>
  <c r="W492" i="6" s="1"/>
  <c r="D13680" i="7"/>
  <c r="D13681" i="7"/>
  <c r="S359" i="6" s="1"/>
  <c r="D13682" i="7"/>
  <c r="D13683" i="7"/>
  <c r="D13684" i="7"/>
  <c r="D13685" i="7"/>
  <c r="D13686" i="7"/>
  <c r="D13687" i="7"/>
  <c r="D13688" i="7"/>
  <c r="D13689" i="7"/>
  <c r="D13690" i="7"/>
  <c r="D13691" i="7"/>
  <c r="D13692" i="7"/>
  <c r="D13693" i="7"/>
  <c r="D13694" i="7"/>
  <c r="D13695" i="7"/>
  <c r="D13696" i="7"/>
  <c r="D13697" i="7"/>
  <c r="D13698" i="7"/>
  <c r="D13699" i="7"/>
  <c r="D13700" i="7"/>
  <c r="D13701" i="7"/>
  <c r="D13702" i="7"/>
  <c r="D13703" i="7"/>
  <c r="D13704" i="7"/>
  <c r="D13705" i="7"/>
  <c r="D13706" i="7"/>
  <c r="D13707" i="7"/>
  <c r="D13708" i="7"/>
  <c r="D13709" i="7"/>
  <c r="D13710" i="7"/>
  <c r="D13711" i="7"/>
  <c r="D13712" i="7"/>
  <c r="D13713" i="7"/>
  <c r="D13714" i="7"/>
  <c r="D13715" i="7"/>
  <c r="D13716" i="7"/>
  <c r="D13717" i="7"/>
  <c r="D13718" i="7"/>
  <c r="D13719" i="7"/>
  <c r="D13720" i="7"/>
  <c r="D13721" i="7"/>
  <c r="D13722" i="7"/>
  <c r="D13723" i="7"/>
  <c r="D13724" i="7"/>
  <c r="D13725" i="7"/>
  <c r="D13726" i="7"/>
  <c r="D13727" i="7"/>
  <c r="D13728" i="7"/>
  <c r="D13729" i="7"/>
  <c r="D13730" i="7"/>
  <c r="D13731" i="7"/>
  <c r="D13732" i="7"/>
  <c r="D13733" i="7"/>
  <c r="D13734" i="7"/>
  <c r="D13735" i="7"/>
  <c r="D13736" i="7"/>
  <c r="D13737" i="7"/>
  <c r="D13738" i="7"/>
  <c r="D13739" i="7"/>
  <c r="D13740" i="7"/>
  <c r="D13741" i="7"/>
  <c r="D13742" i="7"/>
  <c r="D13743" i="7"/>
  <c r="D13744" i="7"/>
  <c r="S681" i="6" s="1"/>
  <c r="D13745" i="7"/>
  <c r="S682" i="6" s="1"/>
  <c r="D13746" i="7"/>
  <c r="D13747" i="7"/>
  <c r="D13748" i="7"/>
  <c r="S695" i="6" s="1"/>
  <c r="D13749" i="7"/>
  <c r="D13750" i="7"/>
  <c r="S247" i="6" s="1"/>
  <c r="W247" i="6" s="1"/>
  <c r="D13751" i="7"/>
  <c r="D13752" i="7"/>
  <c r="D13753" i="7"/>
  <c r="D13754" i="7"/>
  <c r="D13755" i="7"/>
  <c r="D13756" i="7"/>
  <c r="D13757" i="7"/>
  <c r="D13758" i="7"/>
  <c r="D13759" i="7"/>
  <c r="D13760" i="7"/>
  <c r="D13761" i="7"/>
  <c r="D13762" i="7"/>
  <c r="D13763" i="7"/>
  <c r="D13764" i="7"/>
  <c r="D13765" i="7"/>
  <c r="S769" i="6" s="1"/>
  <c r="D13766" i="7"/>
  <c r="S770" i="6" s="1"/>
  <c r="W770" i="6" s="1"/>
  <c r="D13767" i="7"/>
  <c r="D13768" i="7"/>
  <c r="D13769" i="7"/>
  <c r="D13770" i="7"/>
  <c r="D13771" i="7"/>
  <c r="D13772" i="7"/>
  <c r="D13773" i="7"/>
  <c r="D13774" i="7"/>
  <c r="D13775" i="7"/>
  <c r="D13776" i="7"/>
  <c r="D13777" i="7"/>
  <c r="D13778" i="7"/>
  <c r="D13779" i="7"/>
  <c r="D13780" i="7"/>
  <c r="D13781" i="7"/>
  <c r="D13782" i="7"/>
  <c r="D13783" i="7"/>
  <c r="D13784" i="7"/>
  <c r="D13785" i="7"/>
  <c r="D13786" i="7"/>
  <c r="D13787" i="7"/>
  <c r="D13788" i="7"/>
  <c r="D13789" i="7"/>
  <c r="D13790" i="7"/>
  <c r="D13791" i="7"/>
  <c r="D13792" i="7"/>
  <c r="D13793" i="7"/>
  <c r="D13794" i="7"/>
  <c r="D13795" i="7"/>
  <c r="D13796" i="7"/>
  <c r="D13797" i="7"/>
  <c r="D13798" i="7"/>
  <c r="D13799" i="7"/>
  <c r="D13800" i="7"/>
  <c r="D13801" i="7"/>
  <c r="D13802" i="7"/>
  <c r="D13803" i="7"/>
  <c r="D13804" i="7"/>
  <c r="D13805" i="7"/>
  <c r="S758" i="6" s="1"/>
  <c r="W758" i="6" s="1"/>
  <c r="D13806" i="7"/>
  <c r="D13807" i="7"/>
  <c r="S759" i="6" s="1"/>
  <c r="W759" i="6" s="1"/>
  <c r="D13808" i="7"/>
  <c r="S760" i="6" s="1"/>
  <c r="W760" i="6" s="1"/>
  <c r="D13809" i="7"/>
  <c r="D13810" i="7"/>
  <c r="D13811" i="7"/>
  <c r="D13812" i="7"/>
  <c r="S54" i="6" s="1"/>
  <c r="W54" i="6" s="1"/>
  <c r="D13813" i="7"/>
  <c r="D13814" i="7"/>
  <c r="D13815" i="7"/>
  <c r="D13816" i="7"/>
  <c r="D13817" i="7"/>
  <c r="D13818" i="7"/>
  <c r="D13819" i="7"/>
  <c r="D13820" i="7"/>
  <c r="D13821" i="7"/>
  <c r="D13822" i="7"/>
  <c r="D13823" i="7"/>
  <c r="D13824" i="7"/>
  <c r="D13825" i="7"/>
  <c r="D13826" i="7"/>
  <c r="D13827" i="7"/>
  <c r="D13828" i="7"/>
  <c r="D13829" i="7"/>
  <c r="D13830" i="7"/>
  <c r="D13831" i="7"/>
  <c r="D13832" i="7"/>
  <c r="D13833" i="7"/>
  <c r="D13834" i="7"/>
  <c r="D13835" i="7"/>
  <c r="D13836" i="7"/>
  <c r="D13837" i="7"/>
  <c r="D13838" i="7"/>
  <c r="S117" i="6" s="1"/>
  <c r="D13839" i="7"/>
  <c r="D13840" i="7"/>
  <c r="D13841" i="7"/>
  <c r="D13842" i="7"/>
  <c r="D13843" i="7"/>
  <c r="D13844" i="7"/>
  <c r="D13845" i="7"/>
  <c r="D13846" i="7"/>
  <c r="D13847" i="7"/>
  <c r="D13848" i="7"/>
  <c r="S362" i="6" s="1"/>
  <c r="W362" i="6" s="1"/>
  <c r="D13849" i="7"/>
  <c r="D13850" i="7"/>
  <c r="D13851" i="7"/>
  <c r="D13852" i="7"/>
  <c r="D13853" i="7"/>
  <c r="D13854" i="7"/>
  <c r="D13855" i="7"/>
  <c r="D13856" i="7"/>
  <c r="D13857" i="7"/>
  <c r="D13858" i="7"/>
  <c r="D13859" i="7"/>
  <c r="D13860" i="7"/>
  <c r="S761" i="6" s="1"/>
  <c r="W761" i="6" s="1"/>
  <c r="D13861" i="7"/>
  <c r="S762" i="6" s="1"/>
  <c r="W762" i="6" s="1"/>
  <c r="D13862" i="7"/>
  <c r="D13863" i="7"/>
  <c r="D13864" i="7"/>
  <c r="D13865" i="7"/>
  <c r="D13866" i="7"/>
  <c r="D13867" i="7"/>
  <c r="D13868" i="7"/>
  <c r="D13869" i="7"/>
  <c r="D13870" i="7"/>
  <c r="D13871" i="7"/>
  <c r="D13872" i="7"/>
  <c r="D13873" i="7"/>
  <c r="D13874" i="7"/>
  <c r="D13875" i="7"/>
  <c r="D13876" i="7"/>
  <c r="D13877" i="7"/>
  <c r="D13878" i="7"/>
  <c r="D13879" i="7"/>
  <c r="D13880" i="7"/>
  <c r="S105" i="6" s="1"/>
  <c r="W105" i="6" s="1"/>
  <c r="D13881" i="7"/>
  <c r="D13882" i="7"/>
  <c r="D13883" i="7"/>
  <c r="D13884" i="7"/>
  <c r="D13885" i="7"/>
  <c r="D13886" i="7"/>
  <c r="D13887" i="7"/>
  <c r="S429" i="6" s="1"/>
  <c r="D13888" i="7"/>
  <c r="S425" i="6" s="1"/>
  <c r="W425" i="6" s="1"/>
  <c r="D13889" i="7"/>
  <c r="D13890" i="7"/>
  <c r="D13891" i="7"/>
  <c r="D13892" i="7"/>
  <c r="D13893" i="7"/>
  <c r="D13894" i="7"/>
  <c r="D13895" i="7"/>
  <c r="D13896" i="7"/>
  <c r="D13897" i="7"/>
  <c r="D13898" i="7"/>
  <c r="D13899" i="7"/>
  <c r="D13900" i="7"/>
  <c r="D13901" i="7"/>
  <c r="D13902" i="7"/>
  <c r="D13903" i="7"/>
  <c r="D13904" i="7"/>
  <c r="S269" i="6" s="1"/>
  <c r="W269" i="6" s="1"/>
  <c r="D13905" i="7"/>
  <c r="D13906" i="7"/>
  <c r="D13907" i="7"/>
  <c r="D13908" i="7"/>
  <c r="D13909" i="7"/>
  <c r="D13910" i="7"/>
  <c r="D13911" i="7"/>
  <c r="D13912" i="7"/>
  <c r="D13913" i="7"/>
  <c r="D13914" i="7"/>
  <c r="D13915" i="7"/>
  <c r="D13916" i="7"/>
  <c r="D13917" i="7"/>
  <c r="D13918" i="7"/>
  <c r="D13919" i="7"/>
  <c r="S764" i="6" s="1"/>
  <c r="W764" i="6" s="1"/>
  <c r="D13920" i="7"/>
  <c r="D13921" i="7"/>
  <c r="D13922" i="7"/>
  <c r="D13923" i="7"/>
  <c r="D13924" i="7"/>
  <c r="D13925" i="7"/>
  <c r="D13926" i="7"/>
  <c r="D13927" i="7"/>
  <c r="D13928" i="7"/>
  <c r="D13929" i="7"/>
  <c r="D13930" i="7"/>
  <c r="S763" i="6" s="1"/>
  <c r="W763" i="6" s="1"/>
  <c r="D13931" i="7"/>
  <c r="D13932" i="7"/>
  <c r="D13933" i="7"/>
  <c r="D13934" i="7"/>
  <c r="D13935" i="7"/>
  <c r="D13936" i="7"/>
  <c r="D13937" i="7"/>
  <c r="D13938" i="7"/>
  <c r="D13939" i="7"/>
  <c r="D13940" i="7"/>
  <c r="D13941" i="7"/>
  <c r="D13942" i="7"/>
  <c r="D13943" i="7"/>
  <c r="D13944" i="7"/>
  <c r="D13945" i="7"/>
  <c r="D13946" i="7"/>
  <c r="D13947" i="7"/>
  <c r="D13948" i="7"/>
  <c r="D13949" i="7"/>
  <c r="D13950" i="7"/>
  <c r="D13951" i="7"/>
  <c r="D13952" i="7"/>
  <c r="D13953" i="7"/>
  <c r="D13954" i="7"/>
  <c r="D13955" i="7"/>
  <c r="D13956" i="7"/>
  <c r="D13957" i="7"/>
  <c r="D13958" i="7"/>
  <c r="S255" i="6" s="1"/>
  <c r="W255" i="6" s="1"/>
  <c r="D13959" i="7"/>
  <c r="D13960" i="7"/>
  <c r="D13961" i="7"/>
  <c r="D13962" i="7"/>
  <c r="D13963" i="7"/>
  <c r="D13964" i="7"/>
  <c r="D13965" i="7"/>
  <c r="D13966" i="7"/>
  <c r="D13967" i="7"/>
  <c r="D13968" i="7"/>
  <c r="D13969" i="7"/>
  <c r="D13970" i="7"/>
  <c r="D13971" i="7"/>
  <c r="D13972" i="7"/>
  <c r="D13973" i="7"/>
  <c r="D13974" i="7"/>
  <c r="D13975" i="7"/>
  <c r="D13976" i="7"/>
  <c r="D13977" i="7"/>
  <c r="D13978" i="7"/>
  <c r="D13979" i="7"/>
  <c r="D13980" i="7"/>
  <c r="D13981" i="7"/>
  <c r="D13982" i="7"/>
  <c r="D13983" i="7"/>
  <c r="D13984" i="7"/>
  <c r="D13985" i="7"/>
  <c r="D13986" i="7"/>
  <c r="D13987" i="7"/>
  <c r="D13988" i="7"/>
  <c r="D13989" i="7"/>
  <c r="D13990" i="7"/>
  <c r="D13991" i="7"/>
  <c r="D13992" i="7"/>
  <c r="D13993" i="7"/>
  <c r="D13994" i="7"/>
  <c r="D13995" i="7"/>
  <c r="D13996" i="7"/>
  <c r="D13997" i="7"/>
  <c r="D13998" i="7"/>
  <c r="D13999" i="7"/>
  <c r="D14000" i="7"/>
  <c r="D14001" i="7"/>
  <c r="D14002" i="7"/>
  <c r="D14003" i="7"/>
  <c r="D14004" i="7"/>
  <c r="D14005" i="7"/>
  <c r="D14006" i="7"/>
  <c r="D14007" i="7"/>
  <c r="S766" i="6" s="1"/>
  <c r="D14008" i="7"/>
  <c r="D14009" i="7"/>
  <c r="D14010" i="7"/>
  <c r="D14011" i="7"/>
  <c r="D14012" i="7"/>
  <c r="D14013" i="7"/>
  <c r="D14014" i="7"/>
  <c r="D14015" i="7"/>
  <c r="D14016" i="7"/>
  <c r="D14017" i="7"/>
  <c r="D14018" i="7"/>
  <c r="D14019" i="7"/>
  <c r="D14020" i="7"/>
  <c r="D14021" i="7"/>
  <c r="D14022" i="7"/>
  <c r="D14023" i="7"/>
  <c r="D14024" i="7"/>
  <c r="D14025" i="7"/>
  <c r="D14026" i="7"/>
  <c r="D14027" i="7"/>
  <c r="D14028" i="7"/>
  <c r="D14029" i="7"/>
  <c r="D14030" i="7"/>
  <c r="D14031" i="7"/>
  <c r="D14032" i="7"/>
  <c r="D14033" i="7"/>
  <c r="D14034" i="7"/>
  <c r="D14035" i="7"/>
  <c r="D14036" i="7"/>
  <c r="D14037" i="7"/>
  <c r="D14038" i="7"/>
  <c r="D14039" i="7"/>
  <c r="D14040" i="7"/>
  <c r="D14041" i="7"/>
  <c r="D14042" i="7"/>
  <c r="D14043" i="7"/>
  <c r="D14044" i="7"/>
  <c r="D14045" i="7"/>
  <c r="D14046" i="7"/>
  <c r="D14047" i="7"/>
  <c r="S198" i="6" s="1"/>
  <c r="W198" i="6" s="1"/>
  <c r="D14048" i="7"/>
  <c r="D14049" i="7"/>
  <c r="D14050" i="7"/>
  <c r="D14051" i="7"/>
  <c r="D14052" i="7"/>
  <c r="D14053" i="7"/>
  <c r="D14054" i="7"/>
  <c r="D14055" i="7"/>
  <c r="D14056" i="7"/>
  <c r="D14057" i="7"/>
  <c r="D14058" i="7"/>
  <c r="D14059" i="7"/>
  <c r="D14060" i="7"/>
  <c r="D14061" i="7"/>
  <c r="D14062" i="7"/>
  <c r="D14063" i="7"/>
  <c r="D14064" i="7"/>
  <c r="D14065" i="7"/>
  <c r="D14066" i="7"/>
  <c r="D14067" i="7"/>
  <c r="D14068" i="7"/>
  <c r="D14069" i="7"/>
  <c r="D14070" i="7"/>
  <c r="D14071" i="7"/>
  <c r="D14072" i="7"/>
  <c r="D14073" i="7"/>
  <c r="S544" i="6" s="1"/>
  <c r="W544" i="6" s="1"/>
  <c r="D14074" i="7"/>
  <c r="S28" i="6" s="1"/>
  <c r="W28" i="6" s="1"/>
  <c r="D14075" i="7"/>
  <c r="D14076" i="7"/>
  <c r="D14077" i="7"/>
  <c r="D14078" i="7"/>
  <c r="D14079" i="7"/>
  <c r="D14080" i="7"/>
  <c r="D14081" i="7"/>
  <c r="D14082" i="7"/>
  <c r="D14083" i="7"/>
  <c r="D14084" i="7"/>
  <c r="S427" i="6" s="1"/>
  <c r="W427" i="6" s="1"/>
  <c r="D14085" i="7"/>
  <c r="D14086" i="7"/>
  <c r="D14087" i="7"/>
  <c r="D14088" i="7"/>
  <c r="D14089" i="7"/>
  <c r="D14090" i="7"/>
  <c r="D14091" i="7"/>
  <c r="D14092" i="7"/>
  <c r="D14093" i="7"/>
  <c r="D14094" i="7"/>
  <c r="D14095" i="7"/>
  <c r="D14096" i="7"/>
  <c r="D14097" i="7"/>
  <c r="D14098" i="7"/>
  <c r="D14099" i="7"/>
  <c r="D14100" i="7"/>
  <c r="D14101" i="7"/>
  <c r="D14102" i="7"/>
  <c r="D14103" i="7"/>
  <c r="D14104" i="7"/>
  <c r="D14105" i="7"/>
  <c r="D14106" i="7"/>
  <c r="D14107" i="7"/>
  <c r="D14108" i="7"/>
  <c r="D14109" i="7"/>
  <c r="D14110" i="7"/>
  <c r="D14111" i="7"/>
  <c r="D14112" i="7"/>
  <c r="D14113" i="7"/>
  <c r="D14114" i="7"/>
  <c r="D14115" i="7"/>
  <c r="D14116" i="7"/>
  <c r="D14117" i="7"/>
  <c r="D14118" i="7"/>
  <c r="D14119" i="7"/>
  <c r="D14120" i="7"/>
  <c r="D14121" i="7"/>
  <c r="D14122" i="7"/>
  <c r="S517" i="6" s="1"/>
  <c r="D14123" i="7"/>
  <c r="D14124" i="7"/>
  <c r="D14125" i="7"/>
  <c r="D14126" i="7"/>
  <c r="D14127" i="7"/>
  <c r="D14128" i="7"/>
  <c r="D14129" i="7"/>
  <c r="D14130" i="7"/>
  <c r="D14131" i="7"/>
  <c r="D14132" i="7"/>
  <c r="D14133" i="7"/>
  <c r="D14134" i="7"/>
  <c r="D14135" i="7"/>
  <c r="D14136" i="7"/>
  <c r="D14137" i="7"/>
  <c r="D14138" i="7"/>
  <c r="D14139" i="7"/>
  <c r="D14140" i="7"/>
  <c r="D14141" i="7"/>
  <c r="D14142" i="7"/>
  <c r="D14143" i="7"/>
  <c r="D14144" i="7"/>
  <c r="D14145" i="7"/>
  <c r="D14146" i="7"/>
  <c r="D14147" i="7"/>
  <c r="D14148" i="7"/>
  <c r="D14149" i="7"/>
  <c r="D14150" i="7"/>
  <c r="D14151" i="7"/>
  <c r="D14152" i="7"/>
  <c r="D14153" i="7"/>
  <c r="D14154" i="7"/>
  <c r="D14155" i="7"/>
  <c r="D14156" i="7"/>
  <c r="D14157" i="7"/>
  <c r="D14158" i="7"/>
  <c r="D14159" i="7"/>
  <c r="D14160" i="7"/>
  <c r="D14161" i="7"/>
  <c r="D14162" i="7"/>
  <c r="D14163" i="7"/>
  <c r="D14164" i="7"/>
  <c r="D14165" i="7"/>
  <c r="D14166" i="7"/>
  <c r="D14167" i="7"/>
  <c r="D14168" i="7"/>
  <c r="D14169" i="7"/>
  <c r="D14170" i="7"/>
  <c r="D14171" i="7"/>
  <c r="D14172" i="7"/>
  <c r="D14173" i="7"/>
  <c r="D14174" i="7"/>
  <c r="D14175" i="7"/>
  <c r="D14176" i="7"/>
  <c r="D14177" i="7"/>
  <c r="D14178" i="7"/>
  <c r="D14179" i="7"/>
  <c r="D14180" i="7"/>
  <c r="D14181" i="7"/>
  <c r="D14182" i="7"/>
  <c r="D14183" i="7"/>
  <c r="D14184" i="7"/>
  <c r="S767" i="6" s="1"/>
  <c r="D14185" i="7"/>
  <c r="D14186" i="7"/>
  <c r="D14187" i="7"/>
  <c r="D14188" i="7"/>
  <c r="D14189" i="7"/>
  <c r="D14190" i="7"/>
  <c r="D14191" i="7"/>
  <c r="D14192" i="7"/>
  <c r="D14193" i="7"/>
  <c r="D14194" i="7"/>
  <c r="D14195" i="7"/>
  <c r="D14196" i="7"/>
  <c r="D14197" i="7"/>
  <c r="D14198" i="7"/>
  <c r="D14199" i="7"/>
  <c r="D14200" i="7"/>
  <c r="D14201" i="7"/>
  <c r="D14202" i="7"/>
  <c r="D14203" i="7"/>
  <c r="D14204" i="7"/>
  <c r="D14205" i="7"/>
  <c r="S358" i="6" s="1"/>
  <c r="W358" i="6" s="1"/>
  <c r="D14206" i="7"/>
  <c r="D14207" i="7"/>
  <c r="D14208" i="7"/>
  <c r="D14209" i="7"/>
  <c r="S768" i="6" s="1"/>
  <c r="D14210" i="7"/>
  <c r="D14211" i="7"/>
  <c r="D14212" i="7"/>
  <c r="D14213" i="7"/>
  <c r="D14214" i="7"/>
  <c r="D14215" i="7"/>
  <c r="D14216" i="7"/>
  <c r="D14217" i="7"/>
  <c r="D14218" i="7"/>
  <c r="D14219" i="7"/>
  <c r="D14220" i="7"/>
  <c r="D14221" i="7"/>
  <c r="D14222" i="7"/>
  <c r="D14223" i="7"/>
  <c r="D14224" i="7"/>
  <c r="D14225" i="7"/>
  <c r="D14226" i="7"/>
  <c r="D14227" i="7"/>
  <c r="D14228" i="7"/>
  <c r="D14229" i="7"/>
  <c r="D14230" i="7"/>
  <c r="D14231" i="7"/>
  <c r="D14232" i="7"/>
  <c r="D14233" i="7"/>
  <c r="D14234" i="7"/>
  <c r="D14235" i="7"/>
  <c r="D14236" i="7"/>
  <c r="D14237" i="7"/>
  <c r="D14238" i="7"/>
  <c r="S110" i="6" s="1"/>
  <c r="W110" i="6" s="1"/>
  <c r="D14239" i="7"/>
  <c r="D14240" i="7"/>
  <c r="D14241" i="7"/>
  <c r="D14242" i="7"/>
  <c r="D14243" i="7"/>
  <c r="D14244" i="7"/>
  <c r="D14245" i="7"/>
  <c r="D14246" i="7"/>
  <c r="D14247" i="7"/>
  <c r="D14248" i="7"/>
  <c r="D14249" i="7"/>
  <c r="D14250" i="7"/>
  <c r="D14251" i="7"/>
  <c r="D14252" i="7"/>
  <c r="D14253" i="7"/>
  <c r="D14254" i="7"/>
  <c r="D14255" i="7"/>
  <c r="D14256" i="7"/>
  <c r="D14257" i="7"/>
  <c r="D14258" i="7"/>
  <c r="D14259" i="7"/>
  <c r="D14260" i="7"/>
  <c r="D14261" i="7"/>
  <c r="D14262" i="7"/>
  <c r="D14263" i="7"/>
  <c r="D14264" i="7"/>
  <c r="D14265" i="7"/>
  <c r="D14266" i="7"/>
  <c r="D14267" i="7"/>
  <c r="D14268" i="7"/>
  <c r="D14269" i="7"/>
  <c r="D14270" i="7"/>
  <c r="D14271" i="7"/>
  <c r="D14272" i="7"/>
  <c r="D14273" i="7"/>
  <c r="D14274" i="7"/>
  <c r="D14275" i="7"/>
  <c r="D14276" i="7"/>
  <c r="D14277" i="7"/>
  <c r="D14278" i="7"/>
  <c r="D14279" i="7"/>
  <c r="D14280" i="7"/>
  <c r="D14281" i="7"/>
  <c r="D14282" i="7"/>
  <c r="S774" i="6" s="1"/>
  <c r="W774" i="6" s="1"/>
  <c r="D14283" i="7"/>
  <c r="D14284" i="7"/>
  <c r="D14285" i="7"/>
  <c r="D14286" i="7"/>
  <c r="D14287" i="7"/>
  <c r="D14288" i="7"/>
  <c r="D14289" i="7"/>
  <c r="D14290" i="7"/>
  <c r="D14291" i="7"/>
  <c r="S775" i="6" s="1"/>
  <c r="W775" i="6" s="1"/>
  <c r="D14292" i="7"/>
  <c r="D14293" i="7"/>
  <c r="D14294" i="7"/>
  <c r="D14295" i="7"/>
  <c r="D14296" i="7"/>
  <c r="D14297" i="7"/>
  <c r="D14298" i="7"/>
  <c r="D14299" i="7"/>
  <c r="S578" i="6" s="1"/>
  <c r="W578" i="6" s="1"/>
  <c r="D14300" i="7"/>
  <c r="D14301" i="7"/>
  <c r="D14302" i="7"/>
  <c r="D14303" i="7"/>
  <c r="D14304" i="7"/>
  <c r="D14305" i="7"/>
  <c r="D14306" i="7"/>
  <c r="D14307" i="7"/>
  <c r="D14308" i="7"/>
  <c r="D14309" i="7"/>
  <c r="D14310" i="7"/>
  <c r="D14311" i="7"/>
  <c r="D14312" i="7"/>
  <c r="D14313" i="7"/>
  <c r="D14314" i="7"/>
  <c r="D14315" i="7"/>
  <c r="D14316" i="7"/>
  <c r="D14317" i="7"/>
  <c r="D14318" i="7"/>
  <c r="D14319" i="7"/>
  <c r="D14320" i="7"/>
  <c r="D14321" i="7"/>
  <c r="D14322" i="7"/>
  <c r="D14323" i="7"/>
  <c r="D14324" i="7"/>
  <c r="S523" i="6" s="1"/>
  <c r="W523" i="6" s="1"/>
  <c r="D14325" i="7"/>
  <c r="D14326" i="7"/>
  <c r="D14327" i="7"/>
  <c r="D14328" i="7"/>
  <c r="D14329" i="7"/>
  <c r="D14330" i="7"/>
  <c r="D14331" i="7"/>
  <c r="D14332" i="7"/>
  <c r="D14333" i="7"/>
  <c r="D14334" i="7"/>
  <c r="D14335" i="7"/>
  <c r="D14336" i="7"/>
  <c r="D14337" i="7"/>
  <c r="D14338" i="7"/>
  <c r="D14339" i="7"/>
  <c r="D14340" i="7"/>
  <c r="D14341" i="7"/>
  <c r="D14342" i="7"/>
  <c r="D14343" i="7"/>
  <c r="D14344" i="7"/>
  <c r="D14345" i="7"/>
  <c r="D14346" i="7"/>
  <c r="D14347" i="7"/>
  <c r="D14348" i="7"/>
  <c r="D14349" i="7"/>
  <c r="D14350" i="7"/>
  <c r="D14351" i="7"/>
  <c r="D14352" i="7"/>
  <c r="D14353" i="7"/>
  <c r="D14354" i="7"/>
  <c r="S776" i="6" s="1"/>
  <c r="D14355" i="7"/>
  <c r="D14356" i="7"/>
  <c r="D14357" i="7"/>
  <c r="D14358" i="7"/>
  <c r="D14359" i="7"/>
  <c r="D14360" i="7"/>
  <c r="D14361" i="7"/>
  <c r="D14362" i="7"/>
  <c r="D14363" i="7"/>
  <c r="D14364" i="7"/>
  <c r="D14365" i="7"/>
  <c r="D14366" i="7"/>
  <c r="D14367" i="7"/>
  <c r="D14368" i="7"/>
  <c r="S771" i="6" s="1"/>
  <c r="W771" i="6" s="1"/>
  <c r="D14369" i="7"/>
  <c r="D14370" i="7"/>
  <c r="D14371" i="7"/>
  <c r="D14372" i="7"/>
  <c r="D14373" i="7"/>
  <c r="D14374" i="7"/>
  <c r="D14375" i="7"/>
  <c r="D14376" i="7"/>
  <c r="D14377" i="7"/>
  <c r="D14378" i="7"/>
  <c r="S772" i="6" s="1"/>
  <c r="W772" i="6" s="1"/>
  <c r="D14379" i="7"/>
  <c r="D14380" i="7"/>
  <c r="D14381" i="7"/>
  <c r="D14382" i="7"/>
  <c r="D14383" i="7"/>
  <c r="D14384" i="7"/>
  <c r="D14385" i="7"/>
  <c r="D14386" i="7"/>
  <c r="D14387" i="7"/>
  <c r="D14388" i="7"/>
  <c r="D14389" i="7"/>
  <c r="D14390" i="7"/>
  <c r="D14391" i="7"/>
  <c r="D14392" i="7"/>
  <c r="D14393" i="7"/>
  <c r="D14394" i="7"/>
  <c r="D14395" i="7"/>
  <c r="D14396" i="7"/>
  <c r="D14397" i="7"/>
  <c r="D14398" i="7"/>
  <c r="D14399" i="7"/>
  <c r="D14400" i="7"/>
  <c r="D14401" i="7"/>
  <c r="D14402" i="7"/>
  <c r="D14403" i="7"/>
  <c r="D14404" i="7"/>
  <c r="D14405" i="7"/>
  <c r="D14406" i="7"/>
  <c r="D14407" i="7"/>
  <c r="D14408" i="7"/>
  <c r="D14409" i="7"/>
  <c r="D14410" i="7"/>
  <c r="D14411" i="7"/>
  <c r="D14412" i="7"/>
  <c r="D14413" i="7"/>
  <c r="D14414" i="7"/>
  <c r="D14415" i="7"/>
  <c r="D14416" i="7"/>
  <c r="D14417" i="7"/>
  <c r="D14418" i="7"/>
  <c r="D14419" i="7"/>
  <c r="D14420" i="7"/>
  <c r="D14421" i="7"/>
  <c r="D14422" i="7"/>
  <c r="D14423" i="7"/>
  <c r="D14424" i="7"/>
  <c r="D14425" i="7"/>
  <c r="D14426" i="7"/>
  <c r="D14427" i="7"/>
  <c r="D14428" i="7"/>
  <c r="D14429" i="7"/>
  <c r="D14430" i="7"/>
  <c r="D14431" i="7"/>
  <c r="D14432" i="7"/>
  <c r="D14433" i="7"/>
  <c r="D14434" i="7"/>
  <c r="D14435" i="7"/>
  <c r="D14436" i="7"/>
  <c r="D14437" i="7"/>
  <c r="D14438" i="7"/>
  <c r="D14439" i="7"/>
  <c r="D14440" i="7"/>
  <c r="D14441" i="7"/>
  <c r="D14442" i="7"/>
  <c r="D14443" i="7"/>
  <c r="D14444" i="7"/>
  <c r="D14445" i="7"/>
  <c r="S301" i="6" s="1"/>
  <c r="D14446" i="7"/>
  <c r="D14447" i="7"/>
  <c r="S773" i="6" s="1"/>
  <c r="W773" i="6" s="1"/>
  <c r="D14448" i="7"/>
  <c r="D14449" i="7"/>
  <c r="D14450" i="7"/>
  <c r="D14451" i="7"/>
  <c r="D14452" i="7"/>
  <c r="S274" i="6" s="1"/>
  <c r="D14453" i="7"/>
  <c r="D14454" i="7"/>
  <c r="D14455" i="7"/>
  <c r="D14456" i="7"/>
  <c r="D14457" i="7"/>
  <c r="D14458" i="7"/>
  <c r="D14459" i="7"/>
  <c r="D14460" i="7"/>
  <c r="D14461" i="7"/>
  <c r="D14462" i="7"/>
  <c r="D14463" i="7"/>
  <c r="D14464" i="7"/>
  <c r="D14465" i="7"/>
  <c r="D14466" i="7"/>
  <c r="D14467" i="7"/>
  <c r="S784" i="6" s="1"/>
  <c r="W784" i="6" s="1"/>
  <c r="D14468" i="7"/>
  <c r="D14469" i="7"/>
  <c r="D14470" i="7"/>
  <c r="D14471" i="7"/>
  <c r="D14472" i="7"/>
  <c r="D14473" i="7"/>
  <c r="D14474" i="7"/>
  <c r="D14475" i="7"/>
  <c r="D14476" i="7"/>
  <c r="D14477" i="7"/>
  <c r="D14478" i="7"/>
  <c r="D14479" i="7"/>
  <c r="D14480" i="7"/>
  <c r="D14481" i="7"/>
  <c r="D14482" i="7"/>
  <c r="D14483" i="7"/>
  <c r="D14484" i="7"/>
  <c r="D14485" i="7"/>
  <c r="D14486" i="7"/>
  <c r="D14487" i="7"/>
  <c r="D14488" i="7"/>
  <c r="D14489" i="7"/>
  <c r="D14490" i="7"/>
  <c r="D14491" i="7"/>
  <c r="D14492" i="7"/>
  <c r="D14493" i="7"/>
  <c r="D14494" i="7"/>
  <c r="S581" i="6" s="1"/>
  <c r="W581" i="6" s="1"/>
  <c r="D14495" i="7"/>
  <c r="D14496" i="7"/>
  <c r="D14497" i="7"/>
  <c r="D14498" i="7"/>
  <c r="D14499" i="7"/>
  <c r="D14500" i="7"/>
  <c r="D14501" i="7"/>
  <c r="D14502" i="7"/>
  <c r="D14503" i="7"/>
  <c r="D14504" i="7"/>
  <c r="D14505" i="7"/>
  <c r="D14506" i="7"/>
  <c r="D14507" i="7"/>
  <c r="D14508" i="7"/>
  <c r="D14509" i="7"/>
  <c r="D14510" i="7"/>
  <c r="D14511" i="7"/>
  <c r="D14512" i="7"/>
  <c r="D14513" i="7"/>
  <c r="D14514" i="7"/>
  <c r="D14515" i="7"/>
  <c r="D14516" i="7"/>
  <c r="D14517" i="7"/>
  <c r="D14518" i="7"/>
  <c r="D14519" i="7"/>
  <c r="D14520" i="7"/>
  <c r="D14521" i="7"/>
  <c r="D14522" i="7"/>
  <c r="D14523" i="7"/>
  <c r="D14524" i="7"/>
  <c r="D14525" i="7"/>
  <c r="D14526" i="7"/>
  <c r="D14527" i="7"/>
  <c r="D14528" i="7"/>
  <c r="D14529" i="7"/>
  <c r="D14530" i="7"/>
  <c r="D14531" i="7"/>
  <c r="D14532" i="7"/>
  <c r="D14533" i="7"/>
  <c r="D14534" i="7"/>
  <c r="D14535" i="7"/>
  <c r="D14536" i="7"/>
  <c r="D14537" i="7"/>
  <c r="D14538" i="7"/>
  <c r="D14539" i="7"/>
  <c r="D14540" i="7"/>
  <c r="D14541" i="7"/>
  <c r="D14542" i="7"/>
  <c r="D14543" i="7"/>
  <c r="D14544" i="7"/>
  <c r="D14545" i="7"/>
  <c r="D14546" i="7"/>
  <c r="D14547" i="7"/>
  <c r="D14548" i="7"/>
  <c r="D14549" i="7"/>
  <c r="D14550" i="7"/>
  <c r="D14551" i="7"/>
  <c r="D14552" i="7"/>
  <c r="D14553" i="7"/>
  <c r="D14554" i="7"/>
  <c r="D14555" i="7"/>
  <c r="D14556" i="7"/>
  <c r="D14557" i="7"/>
  <c r="D14558" i="7"/>
  <c r="D14559" i="7"/>
  <c r="D14560" i="7"/>
  <c r="D14561" i="7"/>
  <c r="D14562" i="7"/>
  <c r="D14563" i="7"/>
  <c r="D14564" i="7"/>
  <c r="D14565" i="7"/>
  <c r="D14566" i="7"/>
  <c r="D14567" i="7"/>
  <c r="D14568" i="7"/>
  <c r="D14569" i="7"/>
  <c r="D14570" i="7"/>
  <c r="D14571" i="7"/>
  <c r="D14572" i="7"/>
  <c r="D14573" i="7"/>
  <c r="D14574" i="7"/>
  <c r="D14575" i="7"/>
  <c r="D14576" i="7"/>
  <c r="D14577" i="7"/>
  <c r="D14578" i="7"/>
  <c r="D14579" i="7"/>
  <c r="D14580" i="7"/>
  <c r="S357" i="6" s="1"/>
  <c r="D14581" i="7"/>
  <c r="D14582" i="7"/>
  <c r="D14583" i="7"/>
  <c r="D14584" i="7"/>
  <c r="D14585" i="7"/>
  <c r="D14586" i="7"/>
  <c r="D14587" i="7"/>
  <c r="D14588" i="7"/>
  <c r="D14589" i="7"/>
  <c r="D14590" i="7"/>
  <c r="D14591" i="7"/>
  <c r="S300" i="6" s="1"/>
  <c r="W300" i="6" s="1"/>
  <c r="D14592" i="7"/>
  <c r="D14593" i="7"/>
  <c r="D14594" i="7"/>
  <c r="D14595" i="7"/>
  <c r="D14596" i="7"/>
  <c r="D14597" i="7"/>
  <c r="D14598" i="7"/>
  <c r="D14599" i="7"/>
  <c r="S2" i="6" s="1"/>
  <c r="D14600" i="7"/>
  <c r="D14601" i="7"/>
  <c r="D14602" i="7"/>
  <c r="D14603" i="7"/>
  <c r="D14604" i="7"/>
  <c r="D14605" i="7"/>
  <c r="D14606" i="7"/>
  <c r="D14607" i="7"/>
  <c r="D14608" i="7"/>
  <c r="D14609" i="7"/>
  <c r="D14610" i="7"/>
  <c r="S783" i="6" s="1"/>
  <c r="W783" i="6" s="1"/>
  <c r="D14611" i="7"/>
  <c r="D14612" i="7"/>
  <c r="D14613" i="7"/>
  <c r="D14614" i="7"/>
  <c r="D14615" i="7"/>
  <c r="D14616" i="7"/>
  <c r="D14617" i="7"/>
  <c r="D14618" i="7"/>
  <c r="D14619" i="7"/>
  <c r="D14620" i="7"/>
  <c r="D14621" i="7"/>
  <c r="D14622" i="7"/>
  <c r="D14623" i="7"/>
  <c r="D14624" i="7"/>
  <c r="S416" i="6" s="1"/>
  <c r="W416" i="6" s="1"/>
  <c r="D14625" i="7"/>
  <c r="D14626" i="7"/>
  <c r="D14627" i="7"/>
  <c r="D14628" i="7"/>
  <c r="D14629" i="7"/>
  <c r="D14630" i="7"/>
  <c r="D14631" i="7"/>
  <c r="D14632" i="7"/>
  <c r="D14633" i="7"/>
  <c r="D14634" i="7"/>
  <c r="D14635" i="7"/>
  <c r="D14636" i="7"/>
  <c r="D14637" i="7"/>
  <c r="D14638" i="7"/>
  <c r="D14639" i="7"/>
  <c r="D14640" i="7"/>
  <c r="D14641" i="7"/>
  <c r="D14642" i="7"/>
  <c r="D14643" i="7"/>
  <c r="D14644" i="7"/>
  <c r="S53" i="6" s="1"/>
  <c r="W53" i="6" s="1"/>
  <c r="D14645" i="7"/>
  <c r="D14646" i="7"/>
  <c r="D14647" i="7"/>
  <c r="D14648" i="7"/>
  <c r="D14649" i="7"/>
  <c r="D14650" i="7"/>
  <c r="D14651" i="7"/>
  <c r="D14652" i="7"/>
  <c r="D14653" i="7"/>
  <c r="D14654" i="7"/>
  <c r="D14655" i="7"/>
  <c r="D14656" i="7"/>
  <c r="D14657" i="7"/>
  <c r="D14658" i="7"/>
  <c r="D14659" i="7"/>
  <c r="D14660" i="7"/>
  <c r="D14661" i="7"/>
  <c r="D14662" i="7"/>
  <c r="D14663" i="7"/>
  <c r="D14664" i="7"/>
  <c r="D14665" i="7"/>
  <c r="D14666" i="7"/>
  <c r="D14667" i="7"/>
  <c r="D14668" i="7"/>
  <c r="D14669" i="7"/>
  <c r="D14670" i="7"/>
  <c r="D14671" i="7"/>
  <c r="D14672" i="7"/>
  <c r="D14673" i="7"/>
  <c r="D14674" i="7"/>
  <c r="D14675" i="7"/>
  <c r="D14676" i="7"/>
  <c r="D14677" i="7"/>
  <c r="D14678" i="7"/>
  <c r="D14679" i="7"/>
  <c r="D14680" i="7"/>
  <c r="D14681" i="7"/>
  <c r="D14682" i="7"/>
  <c r="D14683" i="7"/>
  <c r="D14684" i="7"/>
  <c r="D14685" i="7"/>
  <c r="D14686" i="7"/>
  <c r="D14687" i="7"/>
  <c r="D14688" i="7"/>
  <c r="D14689" i="7"/>
  <c r="D14690" i="7"/>
  <c r="D14691" i="7"/>
  <c r="D14692" i="7"/>
  <c r="D14693" i="7"/>
  <c r="D14694" i="7"/>
  <c r="D14695" i="7"/>
  <c r="D14696" i="7"/>
  <c r="D14697" i="7"/>
  <c r="D14698" i="7"/>
  <c r="D14699" i="7"/>
  <c r="D14700" i="7"/>
  <c r="D14701" i="7"/>
  <c r="D14702" i="7"/>
  <c r="D14703" i="7"/>
  <c r="D14704" i="7"/>
  <c r="D14705" i="7"/>
  <c r="D14706" i="7"/>
  <c r="D14707" i="7"/>
  <c r="D14708" i="7"/>
  <c r="D14709" i="7"/>
  <c r="D14710" i="7"/>
  <c r="D14711" i="7"/>
  <c r="D14712" i="7"/>
  <c r="D14713" i="7"/>
  <c r="D14714" i="7"/>
  <c r="D14715" i="7"/>
  <c r="D14716" i="7"/>
  <c r="D14717" i="7"/>
  <c r="D14718" i="7"/>
  <c r="D14719" i="7"/>
  <c r="D14720" i="7"/>
  <c r="D14721" i="7"/>
  <c r="D14722" i="7"/>
  <c r="D14723" i="7"/>
  <c r="D14724" i="7"/>
  <c r="S777" i="6" s="1"/>
  <c r="D14725" i="7"/>
  <c r="D14726" i="7"/>
  <c r="D14727" i="7"/>
  <c r="D14728" i="7"/>
  <c r="D14729" i="7"/>
  <c r="D14730" i="7"/>
  <c r="D14731" i="7"/>
  <c r="D14732" i="7"/>
  <c r="D14733" i="7"/>
  <c r="D14734" i="7"/>
  <c r="D14735" i="7"/>
  <c r="D14736" i="7"/>
  <c r="D14737" i="7"/>
  <c r="D14738" i="7"/>
  <c r="D14739" i="7"/>
  <c r="D14740" i="7"/>
  <c r="D14741" i="7"/>
  <c r="D14742" i="7"/>
  <c r="D14743" i="7"/>
  <c r="D14744" i="7"/>
  <c r="D14745" i="7"/>
  <c r="D14746" i="7"/>
  <c r="D14747" i="7"/>
  <c r="D14748" i="7"/>
  <c r="D14749" i="7"/>
  <c r="D14750" i="7"/>
  <c r="D14751" i="7"/>
  <c r="D14752" i="7"/>
  <c r="D14753" i="7"/>
  <c r="D14754" i="7"/>
  <c r="D14755" i="7"/>
  <c r="D14756" i="7"/>
  <c r="D14757" i="7"/>
  <c r="D14758" i="7"/>
  <c r="D14759" i="7"/>
  <c r="D14760" i="7"/>
  <c r="D14761" i="7"/>
  <c r="D14762" i="7"/>
  <c r="D14763" i="7"/>
  <c r="D14764" i="7"/>
  <c r="D14765" i="7"/>
  <c r="D14766" i="7"/>
  <c r="D14767" i="7"/>
  <c r="D14768" i="7"/>
  <c r="D14769" i="7"/>
  <c r="S428" i="6" s="1"/>
  <c r="W428" i="6" s="1"/>
  <c r="D14770" i="7"/>
  <c r="D14771" i="7"/>
  <c r="D14772" i="7"/>
  <c r="D14773" i="7"/>
  <c r="D14774" i="7"/>
  <c r="D14775" i="7"/>
  <c r="D14776" i="7"/>
  <c r="D14777" i="7"/>
  <c r="D14778" i="7"/>
  <c r="D14779" i="7"/>
  <c r="D14780" i="7"/>
  <c r="D14781" i="7"/>
  <c r="D14782" i="7"/>
  <c r="S173" i="6" s="1"/>
  <c r="W173" i="6" s="1"/>
  <c r="D14783" i="7"/>
  <c r="D14784" i="7"/>
  <c r="D14785" i="7"/>
  <c r="D14786" i="7"/>
  <c r="D14787" i="7"/>
  <c r="D14788" i="7"/>
  <c r="D14789" i="7"/>
  <c r="D14790" i="7"/>
  <c r="D14791" i="7"/>
  <c r="D14792" i="7"/>
  <c r="D14793" i="7"/>
  <c r="D14794" i="7"/>
  <c r="D14795" i="7"/>
  <c r="D14796" i="7"/>
  <c r="D14797" i="7"/>
  <c r="D14798" i="7"/>
  <c r="D14799" i="7"/>
  <c r="D14800" i="7"/>
  <c r="D14801" i="7"/>
  <c r="D14802" i="7"/>
  <c r="D14803" i="7"/>
  <c r="S528" i="6" s="1"/>
  <c r="D14804" i="7"/>
  <c r="D14805" i="7"/>
  <c r="D14806" i="7"/>
  <c r="D14807" i="7"/>
  <c r="D14808" i="7"/>
  <c r="D14809" i="7"/>
  <c r="D14810" i="7"/>
  <c r="D14811" i="7"/>
  <c r="D14812" i="7"/>
  <c r="D14813" i="7"/>
  <c r="D14814" i="7"/>
  <c r="D14815" i="7"/>
  <c r="D14816" i="7"/>
  <c r="D14817" i="7"/>
  <c r="D14818" i="7"/>
  <c r="D14819" i="7"/>
  <c r="D14820" i="7"/>
  <c r="D14821" i="7"/>
  <c r="D14822" i="7"/>
  <c r="D14823" i="7"/>
  <c r="D14824" i="7"/>
  <c r="D14825" i="7"/>
  <c r="D14826" i="7"/>
  <c r="D14827" i="7"/>
  <c r="D14828" i="7"/>
  <c r="D14829" i="7"/>
  <c r="D14830" i="7"/>
  <c r="D14831" i="7"/>
  <c r="D14832" i="7"/>
  <c r="D14833" i="7"/>
  <c r="D14834" i="7"/>
  <c r="S779" i="6" s="1"/>
  <c r="D14835" i="7"/>
  <c r="S780" i="6" s="1"/>
  <c r="D14836" i="7"/>
  <c r="D14837" i="7"/>
  <c r="D14838" i="7"/>
  <c r="D14839" i="7"/>
  <c r="D14840" i="7"/>
  <c r="D14841" i="7"/>
  <c r="D14842" i="7"/>
  <c r="D14843" i="7"/>
  <c r="D14844" i="7"/>
  <c r="D14845" i="7"/>
  <c r="D14846" i="7"/>
  <c r="D14847" i="7"/>
  <c r="D14848" i="7"/>
  <c r="D14849" i="7"/>
  <c r="D14850" i="7"/>
  <c r="D14851" i="7"/>
  <c r="D14852" i="7"/>
  <c r="D14853" i="7"/>
  <c r="D14854" i="7"/>
  <c r="D14855" i="7"/>
  <c r="D14856" i="7"/>
  <c r="D14857" i="7"/>
  <c r="D14858" i="7"/>
  <c r="D14859" i="7"/>
  <c r="D14860" i="7"/>
  <c r="D14861" i="7"/>
  <c r="D14862" i="7"/>
  <c r="D14863" i="7"/>
  <c r="D14864" i="7"/>
  <c r="D14865" i="7"/>
  <c r="D14866" i="7"/>
  <c r="D14867" i="7"/>
  <c r="D14868" i="7"/>
  <c r="D14869" i="7"/>
  <c r="D14870" i="7"/>
  <c r="D14871" i="7"/>
  <c r="D14872" i="7"/>
  <c r="D14873" i="7"/>
  <c r="D14874" i="7"/>
  <c r="D14875" i="7"/>
  <c r="D14876" i="7"/>
  <c r="D14877" i="7"/>
  <c r="D14878" i="7"/>
  <c r="S26" i="6" s="1"/>
  <c r="W26" i="6" s="1"/>
  <c r="D14879" i="7"/>
  <c r="D14880" i="7"/>
  <c r="D14881" i="7"/>
  <c r="D14882" i="7"/>
  <c r="D14883" i="7"/>
  <c r="S112" i="6" s="1"/>
  <c r="W112" i="6" s="1"/>
  <c r="D14884" i="7"/>
  <c r="D14885" i="7"/>
  <c r="D14886" i="7"/>
  <c r="D14887" i="7"/>
  <c r="D14888" i="7"/>
  <c r="D14889" i="7"/>
  <c r="D14890" i="7"/>
  <c r="D14891" i="7"/>
  <c r="D14892" i="7"/>
  <c r="D14893" i="7"/>
  <c r="D14894" i="7"/>
  <c r="S130" i="6" s="1"/>
  <c r="D14895" i="7"/>
  <c r="D14896" i="7"/>
  <c r="D14897" i="7"/>
  <c r="D14898" i="7"/>
  <c r="D14899" i="7"/>
  <c r="S680" i="6" s="1"/>
  <c r="W680" i="6" s="1"/>
  <c r="D14900" i="7"/>
  <c r="D14901" i="7"/>
  <c r="D14902" i="7"/>
  <c r="D14903" i="7"/>
  <c r="D14904" i="7"/>
  <c r="D14905" i="7"/>
  <c r="D14906" i="7"/>
  <c r="D14907" i="7"/>
  <c r="D14908" i="7"/>
  <c r="D14909" i="7"/>
  <c r="D14910" i="7"/>
  <c r="D14911" i="7"/>
  <c r="D14912" i="7"/>
  <c r="D14913" i="7"/>
  <c r="D14914" i="7"/>
  <c r="D14915" i="7"/>
  <c r="S197" i="6" s="1"/>
  <c r="D14916" i="7"/>
  <c r="D14917" i="7"/>
  <c r="D14918" i="7"/>
  <c r="D14919" i="7"/>
  <c r="D14920" i="7"/>
  <c r="D14921" i="7"/>
  <c r="D14922" i="7"/>
  <c r="D14923" i="7"/>
  <c r="D14924" i="7"/>
  <c r="D14925" i="7"/>
  <c r="D14926" i="7"/>
  <c r="D14927" i="7"/>
  <c r="D14928" i="7"/>
  <c r="D14929" i="7"/>
  <c r="D14930" i="7"/>
  <c r="D14931" i="7"/>
  <c r="D14932" i="7"/>
  <c r="S778" i="6" s="1"/>
  <c r="D14933" i="7"/>
  <c r="D14934" i="7"/>
  <c r="D14935" i="7"/>
  <c r="D14936" i="7"/>
  <c r="D14937" i="7"/>
  <c r="D14938" i="7"/>
  <c r="D14939" i="7"/>
  <c r="D14940" i="7"/>
  <c r="D14941" i="7"/>
  <c r="D14942" i="7"/>
  <c r="D14943" i="7"/>
  <c r="D14944" i="7"/>
  <c r="D14945" i="7"/>
  <c r="D14946" i="7"/>
  <c r="D14947" i="7"/>
  <c r="D14948" i="7"/>
  <c r="D14949" i="7"/>
  <c r="D14950" i="7"/>
  <c r="D14951" i="7"/>
  <c r="D14952" i="7"/>
  <c r="D14953" i="7"/>
  <c r="D14954" i="7"/>
  <c r="D14955" i="7"/>
  <c r="D14956" i="7"/>
  <c r="D14957" i="7"/>
  <c r="S195" i="6" s="1"/>
  <c r="W195" i="6" s="1"/>
  <c r="D14958" i="7"/>
  <c r="D14959" i="7"/>
  <c r="D14960" i="7"/>
  <c r="D14961" i="7"/>
  <c r="D14962" i="7"/>
  <c r="D14963" i="7"/>
  <c r="D14964" i="7"/>
  <c r="D14965" i="7"/>
  <c r="D14966" i="7"/>
  <c r="D14967" i="7"/>
  <c r="D14968" i="7"/>
  <c r="D14969" i="7"/>
  <c r="D14970" i="7"/>
  <c r="D14971" i="7"/>
  <c r="D14972" i="7"/>
  <c r="D14973" i="7"/>
  <c r="D14974" i="7"/>
  <c r="D14975" i="7"/>
  <c r="D14976" i="7"/>
  <c r="S781" i="6" s="1"/>
  <c r="D14977" i="7"/>
  <c r="D14978" i="7"/>
  <c r="D14979" i="7"/>
  <c r="D14980" i="7"/>
  <c r="D14981" i="7"/>
  <c r="D14982" i="7"/>
  <c r="D14983" i="7"/>
  <c r="D14984" i="7"/>
  <c r="D14985" i="7"/>
  <c r="D14986" i="7"/>
  <c r="D14987" i="7"/>
  <c r="D14988" i="7"/>
  <c r="D14989" i="7"/>
  <c r="S466" i="6" s="1"/>
  <c r="D14990" i="7"/>
  <c r="D14991" i="7"/>
  <c r="D14992" i="7"/>
  <c r="D14993" i="7"/>
  <c r="D14994" i="7"/>
  <c r="D14995" i="7"/>
  <c r="D14996" i="7"/>
  <c r="D14997" i="7"/>
  <c r="D14998" i="7"/>
  <c r="D14999" i="7"/>
  <c r="D15000" i="7"/>
  <c r="D15001" i="7"/>
  <c r="D15002" i="7"/>
  <c r="D15003" i="7"/>
  <c r="D15004" i="7"/>
  <c r="D15005" i="7"/>
  <c r="D15006" i="7"/>
  <c r="D15007" i="7"/>
  <c r="D15008" i="7"/>
  <c r="D15009" i="7"/>
  <c r="D15010" i="7"/>
  <c r="D15011" i="7"/>
  <c r="D15012" i="7"/>
  <c r="D15013" i="7"/>
  <c r="D15014" i="7"/>
  <c r="D15015" i="7"/>
  <c r="D15016" i="7"/>
  <c r="D15017" i="7"/>
  <c r="D15018" i="7"/>
  <c r="D15019" i="7"/>
  <c r="D15020" i="7"/>
  <c r="D15021" i="7"/>
  <c r="D15022" i="7"/>
  <c r="D15023" i="7"/>
  <c r="D15024" i="7"/>
  <c r="D15025" i="7"/>
  <c r="D15026" i="7"/>
  <c r="D15027" i="7"/>
  <c r="S426" i="6" s="1"/>
  <c r="W426" i="6" s="1"/>
  <c r="D15028" i="7"/>
  <c r="D15029" i="7"/>
  <c r="D15030" i="7"/>
  <c r="D15031" i="7"/>
  <c r="D15032" i="7"/>
  <c r="D15033" i="7"/>
  <c r="D15034" i="7"/>
  <c r="D15035" i="7"/>
  <c r="D15036" i="7"/>
  <c r="D15037" i="7"/>
  <c r="D15038" i="7"/>
  <c r="D15039" i="7"/>
  <c r="D15040" i="7"/>
  <c r="D15041" i="7"/>
  <c r="D15042" i="7"/>
  <c r="D15043" i="7"/>
  <c r="D15044" i="7"/>
  <c r="D15045" i="7"/>
  <c r="D15046" i="7"/>
  <c r="D15047" i="7"/>
  <c r="D15048" i="7"/>
  <c r="D15049" i="7"/>
  <c r="D15050" i="7"/>
  <c r="S174" i="6" s="1"/>
  <c r="W174" i="6" s="1"/>
  <c r="D15051" i="7"/>
  <c r="D15052" i="7"/>
  <c r="D15053" i="7"/>
  <c r="S227" i="6" s="1"/>
  <c r="D15054" i="7"/>
  <c r="D15055" i="7"/>
  <c r="D15056" i="7"/>
  <c r="D15057" i="7"/>
  <c r="D15058" i="7"/>
  <c r="D15059" i="7"/>
  <c r="D15060" i="7"/>
  <c r="D15061" i="7"/>
  <c r="D15062" i="7"/>
  <c r="D15063" i="7"/>
  <c r="D15064" i="7"/>
  <c r="D15065" i="7"/>
  <c r="D15066" i="7"/>
  <c r="D15067" i="7"/>
  <c r="D15068" i="7"/>
  <c r="D15069" i="7"/>
  <c r="D15070" i="7"/>
  <c r="D15071" i="7"/>
  <c r="D15072" i="7"/>
  <c r="D15073" i="7"/>
  <c r="D15074" i="7"/>
  <c r="D15075" i="7"/>
  <c r="D15076" i="7"/>
  <c r="D15077" i="7"/>
  <c r="D15078" i="7"/>
  <c r="D15079" i="7"/>
  <c r="D15080" i="7"/>
  <c r="D15081" i="7"/>
  <c r="D15082" i="7"/>
  <c r="D15083" i="7"/>
  <c r="D15084" i="7"/>
  <c r="D15085" i="7"/>
  <c r="D15086" i="7"/>
  <c r="D15087" i="7"/>
  <c r="D15088" i="7"/>
  <c r="D15089" i="7"/>
  <c r="D15090" i="7"/>
  <c r="D15091" i="7"/>
  <c r="S526" i="6" s="1"/>
  <c r="D15092" i="7"/>
  <c r="D15093" i="7"/>
  <c r="D15094" i="7"/>
  <c r="S23" i="6" s="1"/>
  <c r="W23" i="6" s="1"/>
  <c r="D15095" i="7"/>
  <c r="D15096" i="7"/>
  <c r="D15097" i="7"/>
  <c r="D15098" i="7"/>
  <c r="D15099" i="7"/>
  <c r="D15100" i="7"/>
  <c r="D15101" i="7"/>
  <c r="D15102" i="7"/>
  <c r="D15103" i="7"/>
  <c r="D15104" i="7"/>
  <c r="D15105" i="7"/>
  <c r="D15106" i="7"/>
  <c r="D15107" i="7"/>
  <c r="D15108" i="7"/>
  <c r="D15109" i="7"/>
  <c r="D15110" i="7"/>
  <c r="D15111" i="7"/>
  <c r="S24" i="6" s="1"/>
  <c r="D15112" i="7"/>
  <c r="D15113" i="7"/>
  <c r="D15114" i="7"/>
  <c r="D15115" i="7"/>
  <c r="D15116" i="7"/>
  <c r="D15117" i="7"/>
  <c r="D15118" i="7"/>
  <c r="S782" i="6" s="1"/>
  <c r="W782" i="6" s="1"/>
  <c r="D15119" i="7"/>
  <c r="D15120" i="7"/>
  <c r="D15121" i="7"/>
  <c r="D15122" i="7"/>
  <c r="D15123" i="7"/>
  <c r="D15124" i="7"/>
  <c r="D15125" i="7"/>
  <c r="D15126" i="7"/>
  <c r="D15127" i="7"/>
  <c r="D15128" i="7"/>
  <c r="D15129" i="7"/>
  <c r="D15130" i="7"/>
  <c r="D15131" i="7"/>
  <c r="D15132" i="7"/>
  <c r="D15133" i="7"/>
  <c r="D15134" i="7"/>
  <c r="D15135" i="7"/>
  <c r="D15136" i="7"/>
  <c r="D15137" i="7"/>
  <c r="D15138" i="7"/>
  <c r="D15139" i="7"/>
  <c r="D15140" i="7"/>
  <c r="D15141" i="7"/>
  <c r="D15142" i="7"/>
  <c r="D15143" i="7"/>
  <c r="D15144" i="7"/>
  <c r="D15145" i="7"/>
  <c r="D15146" i="7"/>
  <c r="D15147" i="7"/>
  <c r="D15148" i="7"/>
  <c r="D15149" i="7"/>
  <c r="D15150" i="7"/>
  <c r="D15151" i="7"/>
  <c r="D15152" i="7"/>
  <c r="D15153" i="7"/>
  <c r="D15154" i="7"/>
  <c r="D15155" i="7"/>
  <c r="D15156" i="7"/>
  <c r="D15157" i="7"/>
  <c r="D15158" i="7"/>
  <c r="D15159" i="7"/>
  <c r="D15160" i="7"/>
  <c r="D15161" i="7"/>
  <c r="D15162" i="7"/>
  <c r="D15163" i="7"/>
  <c r="D15164" i="7"/>
  <c r="D15165" i="7"/>
  <c r="D15166" i="7"/>
  <c r="D15167" i="7"/>
  <c r="D15168" i="7"/>
  <c r="D15169" i="7"/>
  <c r="D15170" i="7"/>
  <c r="D15171" i="7"/>
  <c r="D15172" i="7"/>
  <c r="D15173" i="7"/>
  <c r="D15174" i="7"/>
  <c r="D15175" i="7"/>
  <c r="D15176" i="7"/>
  <c r="D15177" i="7"/>
  <c r="D15178" i="7"/>
  <c r="D15179" i="7"/>
  <c r="D15180" i="7"/>
  <c r="D15181" i="7"/>
  <c r="D15182" i="7"/>
  <c r="S124" i="6" s="1"/>
  <c r="W124" i="6" s="1"/>
  <c r="D15183" i="7"/>
  <c r="S25" i="6" s="1"/>
  <c r="D15184" i="7"/>
  <c r="D15185" i="7"/>
  <c r="D15186" i="7"/>
  <c r="D15187" i="7"/>
  <c r="D15188" i="7"/>
  <c r="D15189" i="7"/>
  <c r="D15190" i="7"/>
  <c r="D15191" i="7"/>
  <c r="D15192" i="7"/>
  <c r="D15193" i="7"/>
  <c r="D15194" i="7"/>
  <c r="D15195" i="7"/>
  <c r="D15196" i="7"/>
  <c r="D15197" i="7"/>
  <c r="D15198" i="7"/>
  <c r="D15199" i="7"/>
  <c r="D15200" i="7"/>
  <c r="D15201" i="7"/>
  <c r="D15202" i="7"/>
  <c r="D15203" i="7"/>
  <c r="D15204" i="7"/>
  <c r="D15205" i="7"/>
  <c r="D15206" i="7"/>
  <c r="D15207" i="7"/>
  <c r="D15208" i="7"/>
  <c r="D15209" i="7"/>
  <c r="D15210" i="7"/>
  <c r="D15211" i="7"/>
  <c r="D15212" i="7"/>
  <c r="D15213" i="7"/>
  <c r="S125" i="6" s="1"/>
  <c r="W125" i="6" s="1"/>
  <c r="D15214" i="7"/>
  <c r="D15215" i="7"/>
  <c r="D15216" i="7"/>
  <c r="D15217" i="7"/>
  <c r="D15218" i="7"/>
  <c r="D15219" i="7"/>
  <c r="D15220" i="7"/>
  <c r="D15221" i="7"/>
  <c r="S629" i="6" s="1"/>
  <c r="W629" i="6" s="1"/>
  <c r="D15222" i="7"/>
  <c r="D15223" i="7"/>
  <c r="D15224" i="7"/>
  <c r="D15225" i="7"/>
  <c r="D15226" i="7"/>
  <c r="D15227" i="7"/>
  <c r="D15228" i="7"/>
  <c r="D15229" i="7"/>
  <c r="D15230" i="7"/>
  <c r="D15231" i="7"/>
  <c r="D15232" i="7"/>
  <c r="D15233" i="7"/>
  <c r="D15234" i="7"/>
  <c r="D15235" i="7"/>
  <c r="D15236" i="7"/>
  <c r="D15237" i="7"/>
  <c r="D15238" i="7"/>
  <c r="D15239" i="7"/>
  <c r="D15240" i="7"/>
  <c r="D15241" i="7"/>
  <c r="D15242" i="7"/>
  <c r="D15243" i="7"/>
  <c r="D15244" i="7"/>
  <c r="D15245" i="7"/>
  <c r="D15246" i="7"/>
  <c r="D15247" i="7"/>
  <c r="D15248" i="7"/>
  <c r="D15249" i="7"/>
  <c r="D15250" i="7"/>
  <c r="D15251" i="7"/>
  <c r="D15252" i="7"/>
  <c r="D15253" i="7"/>
  <c r="D15254" i="7"/>
  <c r="D15255" i="7"/>
  <c r="D15256" i="7"/>
  <c r="D15257" i="7"/>
  <c r="D15258" i="7"/>
  <c r="D15259" i="7"/>
  <c r="D15260" i="7"/>
  <c r="D15261" i="7"/>
  <c r="S5" i="6" s="1"/>
  <c r="W5" i="6" s="1"/>
  <c r="D15262" i="7"/>
  <c r="D15263" i="7"/>
  <c r="D15264" i="7"/>
  <c r="D15265" i="7"/>
  <c r="D15266" i="7"/>
  <c r="D15267" i="7"/>
  <c r="D15268" i="7"/>
  <c r="D15269" i="7"/>
  <c r="D15270" i="7"/>
  <c r="D15271" i="7"/>
  <c r="D15272" i="7"/>
  <c r="D15273" i="7"/>
  <c r="D15274" i="7"/>
  <c r="D15275" i="7"/>
  <c r="D15276" i="7"/>
  <c r="D15277" i="7"/>
  <c r="D15278" i="7"/>
  <c r="D15279" i="7"/>
  <c r="D15280" i="7"/>
  <c r="D15281" i="7"/>
  <c r="D15282" i="7"/>
  <c r="D15283" i="7"/>
  <c r="S478" i="6" s="1"/>
  <c r="D15284" i="7"/>
  <c r="D15285" i="7"/>
  <c r="D15286" i="7"/>
  <c r="D15287" i="7"/>
  <c r="D15288" i="7"/>
  <c r="D15289" i="7"/>
  <c r="D15290" i="7"/>
  <c r="D15291" i="7"/>
  <c r="D15292" i="7"/>
  <c r="D15293" i="7"/>
  <c r="D15294" i="7"/>
  <c r="D15295" i="7"/>
  <c r="D15296" i="7"/>
  <c r="D15297" i="7"/>
  <c r="D15298" i="7"/>
  <c r="D15299" i="7"/>
  <c r="D15300" i="7"/>
  <c r="D15301" i="7"/>
  <c r="D15302" i="7"/>
  <c r="D15303" i="7"/>
  <c r="D15304" i="7"/>
  <c r="D15305" i="7"/>
  <c r="D15306" i="7"/>
  <c r="D15307" i="7"/>
  <c r="D15308" i="7"/>
  <c r="D15309" i="7"/>
  <c r="D15310" i="7"/>
  <c r="D15311" i="7"/>
  <c r="S356" i="6" s="1"/>
  <c r="W356" i="6" s="1"/>
  <c r="D15312" i="7"/>
  <c r="D15313" i="7"/>
  <c r="D15314" i="7"/>
  <c r="D15315" i="7"/>
  <c r="D15316" i="7"/>
  <c r="D15317" i="7"/>
  <c r="D15318" i="7"/>
  <c r="D15319" i="7"/>
  <c r="D15320" i="7"/>
  <c r="D15321" i="7"/>
  <c r="D15322" i="7"/>
  <c r="D15323" i="7"/>
  <c r="D15324" i="7"/>
  <c r="D15325" i="7"/>
  <c r="D15326" i="7"/>
  <c r="D15327" i="7"/>
  <c r="D15328" i="7"/>
  <c r="D15329" i="7"/>
  <c r="D15330" i="7"/>
  <c r="D15331" i="7"/>
  <c r="D15332" i="7"/>
  <c r="D15333" i="7"/>
  <c r="D15334" i="7"/>
  <c r="D15335" i="7"/>
  <c r="D15336" i="7"/>
  <c r="D15337" i="7"/>
  <c r="D15338" i="7"/>
  <c r="D15339" i="7"/>
  <c r="D15340" i="7"/>
  <c r="S127" i="6" s="1"/>
  <c r="D15341" i="7"/>
  <c r="D15342" i="7"/>
  <c r="D15343" i="7"/>
  <c r="D15344" i="7"/>
  <c r="D15345" i="7"/>
  <c r="D15346" i="7"/>
  <c r="D15347" i="7"/>
  <c r="D15348" i="7"/>
  <c r="D15349" i="7"/>
  <c r="D15350" i="7"/>
  <c r="D15351" i="7"/>
  <c r="D15352" i="7"/>
  <c r="S22" i="6" s="1"/>
  <c r="D15353" i="7"/>
  <c r="D15354" i="7"/>
  <c r="S20" i="6" s="1"/>
  <c r="W20" i="6" s="1"/>
  <c r="D15355" i="7"/>
  <c r="D15356" i="7"/>
  <c r="S4" i="6" s="1"/>
  <c r="W4" i="6" s="1"/>
  <c r="D15357" i="7"/>
  <c r="D15358" i="7"/>
  <c r="D15359" i="7"/>
  <c r="D15360" i="7"/>
  <c r="D15361" i="7"/>
  <c r="D15362" i="7"/>
  <c r="S69" i="6" s="1"/>
  <c r="D15363" i="7"/>
  <c r="D15364" i="7"/>
  <c r="D15365" i="7"/>
  <c r="D15366" i="7"/>
  <c r="D15367" i="7"/>
  <c r="D15368" i="7"/>
  <c r="D15369" i="7"/>
  <c r="D15370" i="7"/>
  <c r="D15371" i="7"/>
  <c r="D15372" i="7"/>
  <c r="D15373" i="7"/>
  <c r="D15374" i="7"/>
  <c r="D15375" i="7"/>
  <c r="D15376" i="7"/>
  <c r="D15377" i="7"/>
  <c r="D15378" i="7"/>
  <c r="D15379" i="7"/>
  <c r="D15380" i="7"/>
  <c r="D15381" i="7"/>
  <c r="D15382" i="7"/>
  <c r="D15383" i="7"/>
  <c r="D15384" i="7"/>
  <c r="D15385" i="7"/>
  <c r="D15386" i="7"/>
  <c r="D15387" i="7"/>
  <c r="D15388" i="7"/>
  <c r="D15389" i="7"/>
  <c r="D15390" i="7"/>
  <c r="D15391" i="7"/>
  <c r="D15392" i="7"/>
  <c r="D15393" i="7"/>
  <c r="D15394" i="7"/>
  <c r="D15395" i="7"/>
  <c r="D15396" i="7"/>
  <c r="D15397" i="7"/>
  <c r="D15398" i="7"/>
  <c r="D15399" i="7"/>
  <c r="D15400" i="7"/>
  <c r="D15401" i="7"/>
  <c r="D15402" i="7"/>
  <c r="D15403" i="7"/>
  <c r="D15404" i="7"/>
  <c r="D15405" i="7"/>
  <c r="D15406" i="7"/>
  <c r="D15407" i="7"/>
  <c r="S67" i="6" s="1"/>
  <c r="W67" i="6" s="1"/>
  <c r="D15408" i="7"/>
  <c r="D15409" i="7"/>
  <c r="D15410" i="7"/>
  <c r="S460" i="6" s="1"/>
  <c r="W460" i="6" s="1"/>
  <c r="D15411" i="7"/>
  <c r="D15412" i="7"/>
  <c r="D15413" i="7"/>
  <c r="D15414" i="7"/>
  <c r="D15415" i="7"/>
  <c r="S196" i="6" s="1"/>
  <c r="D15416" i="7"/>
  <c r="D15417" i="7"/>
  <c r="D15418" i="7"/>
  <c r="D15419" i="7"/>
  <c r="D15420" i="7"/>
  <c r="S234" i="6" s="1"/>
  <c r="W234" i="6" s="1"/>
  <c r="D15421" i="7"/>
  <c r="D15422" i="7"/>
  <c r="D15423" i="7"/>
  <c r="D15424" i="7"/>
  <c r="D15425" i="7"/>
  <c r="D15426" i="7"/>
  <c r="D15427" i="7"/>
  <c r="D15428" i="7"/>
  <c r="D15429" i="7"/>
  <c r="D15430" i="7"/>
  <c r="D15431" i="7"/>
  <c r="D15432" i="7"/>
  <c r="D15433" i="7"/>
  <c r="D15434" i="7"/>
  <c r="D15435" i="7"/>
  <c r="D15436" i="7"/>
  <c r="D15437" i="7"/>
  <c r="D15438" i="7"/>
  <c r="D15439" i="7"/>
  <c r="D15440" i="7"/>
  <c r="D15441" i="7"/>
  <c r="D15442" i="7"/>
  <c r="D15443" i="7"/>
  <c r="D15444" i="7"/>
  <c r="D15445" i="7"/>
  <c r="D15446" i="7"/>
  <c r="D15447" i="7"/>
  <c r="D15448" i="7"/>
  <c r="D15449" i="7"/>
  <c r="D15450" i="7"/>
  <c r="D15451" i="7"/>
  <c r="D15452" i="7"/>
  <c r="D15453" i="7"/>
  <c r="D15454" i="7"/>
  <c r="D15455" i="7"/>
  <c r="D15456" i="7"/>
  <c r="D15457" i="7"/>
  <c r="D15458" i="7"/>
  <c r="D15459" i="7"/>
  <c r="D15460" i="7"/>
  <c r="D15461" i="7"/>
  <c r="D15462" i="7"/>
  <c r="S239" i="6" s="1"/>
  <c r="D15463" i="7"/>
  <c r="D15464" i="7"/>
  <c r="D15465" i="7"/>
  <c r="D15466" i="7"/>
  <c r="D15467" i="7"/>
  <c r="D15468" i="7"/>
  <c r="D15469" i="7"/>
  <c r="D15470" i="7"/>
  <c r="D15471" i="7"/>
  <c r="D15472" i="7"/>
  <c r="S542" i="6" s="1"/>
  <c r="W542" i="6" s="1"/>
  <c r="D15473" i="7"/>
  <c r="D15474" i="7"/>
  <c r="D15475" i="7"/>
  <c r="D15476" i="7"/>
  <c r="D15477" i="7"/>
  <c r="D15478" i="7"/>
  <c r="S352" i="6" s="1"/>
  <c r="W352" i="6" s="1"/>
  <c r="D15479" i="7"/>
  <c r="D15480" i="7"/>
  <c r="D15481" i="7"/>
  <c r="D15482" i="7"/>
  <c r="D15483" i="7"/>
  <c r="S679" i="6" s="1"/>
  <c r="D15484" i="7"/>
  <c r="D15485" i="7"/>
  <c r="D15486" i="7"/>
  <c r="D15487" i="7"/>
  <c r="D15488" i="7"/>
  <c r="D15489" i="7"/>
  <c r="D15490" i="7"/>
  <c r="D15491" i="7"/>
  <c r="D15492" i="7"/>
  <c r="D15493" i="7"/>
  <c r="D15494" i="7"/>
  <c r="D15495" i="7"/>
  <c r="D15496" i="7"/>
  <c r="D15497" i="7"/>
  <c r="D15498" i="7"/>
  <c r="D15499" i="7"/>
  <c r="D15500" i="7"/>
  <c r="D15501" i="7"/>
  <c r="D15502" i="7"/>
  <c r="D15503" i="7"/>
  <c r="D15504" i="7"/>
  <c r="S418" i="6" s="1"/>
  <c r="D15505" i="7"/>
  <c r="D15506" i="7"/>
  <c r="D15507" i="7"/>
  <c r="D15508" i="7"/>
  <c r="D15509" i="7"/>
  <c r="D15510" i="7"/>
  <c r="D15511" i="7"/>
  <c r="D15512" i="7"/>
  <c r="D15513" i="7"/>
  <c r="S99" i="6" s="1"/>
  <c r="W99" i="6" s="1"/>
  <c r="D15514" i="7"/>
  <c r="D15515" i="7"/>
  <c r="D15516" i="7"/>
  <c r="D15517" i="7"/>
  <c r="D15518" i="7"/>
  <c r="D15519" i="7"/>
  <c r="D15520" i="7"/>
  <c r="D15521" i="7"/>
  <c r="D15522" i="7"/>
  <c r="D15523" i="7"/>
  <c r="D15524" i="7"/>
  <c r="D15525" i="7"/>
  <c r="D15526" i="7"/>
  <c r="D15527" i="7"/>
  <c r="D15528" i="7"/>
  <c r="D15529" i="7"/>
  <c r="D15530" i="7"/>
  <c r="D15531" i="7"/>
  <c r="D15532" i="7"/>
  <c r="D15533" i="7"/>
  <c r="D15534" i="7"/>
  <c r="D15535" i="7"/>
  <c r="S527" i="6" s="1"/>
  <c r="D15536" i="7"/>
  <c r="D15537" i="7"/>
  <c r="D15538" i="7"/>
  <c r="D15539" i="7"/>
  <c r="D15540" i="7"/>
  <c r="D15541" i="7"/>
  <c r="D15542" i="7"/>
  <c r="D15543" i="7"/>
  <c r="D15544" i="7"/>
  <c r="D15545" i="7"/>
  <c r="D15546" i="7"/>
  <c r="D15547" i="7"/>
  <c r="D15548" i="7"/>
  <c r="D15549" i="7"/>
  <c r="D15550" i="7"/>
  <c r="D15551" i="7"/>
  <c r="D15552" i="7"/>
  <c r="D15553" i="7"/>
  <c r="D15554" i="7"/>
  <c r="D15555" i="7"/>
  <c r="D15556" i="7"/>
  <c r="D15557" i="7"/>
  <c r="D15558" i="7"/>
  <c r="D15559" i="7"/>
  <c r="D15560" i="7"/>
  <c r="D15561" i="7"/>
  <c r="D15562" i="7"/>
  <c r="D15563" i="7"/>
  <c r="D15564" i="7"/>
  <c r="D15565" i="7"/>
  <c r="D15566" i="7"/>
  <c r="D15567" i="7"/>
  <c r="D15568" i="7"/>
  <c r="D15569" i="7"/>
  <c r="D15570" i="7"/>
  <c r="D15571" i="7"/>
  <c r="D15572" i="7"/>
  <c r="D15573" i="7"/>
  <c r="D15574" i="7"/>
  <c r="D15575" i="7"/>
  <c r="D15576" i="7"/>
  <c r="S351" i="6" s="1"/>
  <c r="W351" i="6" s="1"/>
  <c r="D15577" i="7"/>
  <c r="D15578" i="7"/>
  <c r="D15579" i="7"/>
  <c r="D15580" i="7"/>
  <c r="D15581" i="7"/>
  <c r="D15582" i="7"/>
  <c r="D15583" i="7"/>
  <c r="D15584" i="7"/>
  <c r="D15585" i="7"/>
  <c r="D15586" i="7"/>
  <c r="D15587" i="7"/>
  <c r="D15588" i="7"/>
  <c r="D15589" i="7"/>
  <c r="S108" i="6" s="1"/>
  <c r="D15590" i="7"/>
  <c r="D15591" i="7"/>
  <c r="D15592" i="7"/>
  <c r="D15593" i="7"/>
  <c r="D15594" i="7"/>
  <c r="D15595" i="7"/>
  <c r="D15596" i="7"/>
  <c r="S353" i="6" s="1"/>
  <c r="W353" i="6" s="1"/>
  <c r="D15597" i="7"/>
  <c r="S354" i="6" s="1"/>
  <c r="W354" i="6" s="1"/>
  <c r="D15598" i="7"/>
  <c r="D15599" i="7"/>
  <c r="D15600" i="7"/>
  <c r="D15601" i="7"/>
  <c r="D15602" i="7"/>
  <c r="D15603" i="7"/>
  <c r="D15604" i="7"/>
  <c r="D15605" i="7"/>
  <c r="D15606" i="7"/>
  <c r="D15607" i="7"/>
  <c r="D15608" i="7"/>
  <c r="D15609" i="7"/>
  <c r="D15610" i="7"/>
  <c r="D15611" i="7"/>
  <c r="D15612" i="7"/>
  <c r="D15613" i="7"/>
  <c r="D15614" i="7"/>
  <c r="D15615" i="7"/>
  <c r="D15616" i="7"/>
  <c r="D15617" i="7"/>
  <c r="S238" i="6" s="1"/>
  <c r="D15618" i="7"/>
  <c r="D15619" i="7"/>
  <c r="D15620" i="7"/>
  <c r="D15621" i="7"/>
  <c r="D15622" i="7"/>
  <c r="D15623" i="7"/>
  <c r="D15624" i="7"/>
  <c r="D15625" i="7"/>
  <c r="D15626" i="7"/>
  <c r="D15627" i="7"/>
  <c r="D15628" i="7"/>
  <c r="D15629" i="7"/>
  <c r="D15630" i="7"/>
  <c r="D15631" i="7"/>
  <c r="D15632" i="7"/>
  <c r="D15633" i="7"/>
  <c r="D15634" i="7"/>
  <c r="D15635" i="7"/>
  <c r="D15636" i="7"/>
  <c r="D15637" i="7"/>
  <c r="D15638" i="7"/>
  <c r="D15639" i="7"/>
  <c r="D15640" i="7"/>
  <c r="D15641" i="7"/>
  <c r="D15642" i="7"/>
  <c r="D15643" i="7"/>
  <c r="D15644" i="7"/>
  <c r="D15645" i="7"/>
  <c r="D15646" i="7"/>
  <c r="D15647" i="7"/>
  <c r="D15648" i="7"/>
  <c r="D15649" i="7"/>
  <c r="D15650" i="7"/>
  <c r="D15651" i="7"/>
  <c r="D15652" i="7"/>
  <c r="D15653" i="7"/>
  <c r="D15654" i="7"/>
  <c r="D15655" i="7"/>
  <c r="D15656" i="7"/>
  <c r="D15657" i="7"/>
  <c r="D15658" i="7"/>
  <c r="D15659" i="7"/>
  <c r="D15660" i="7"/>
  <c r="D15661" i="7"/>
  <c r="D15662" i="7"/>
  <c r="D15663" i="7"/>
  <c r="D15664" i="7"/>
  <c r="D15665" i="7"/>
  <c r="D15666" i="7"/>
  <c r="D15667" i="7"/>
  <c r="D15668" i="7"/>
  <c r="D15669" i="7"/>
  <c r="D15670" i="7"/>
  <c r="D15671" i="7"/>
  <c r="D15672" i="7"/>
  <c r="D15673" i="7"/>
  <c r="D15674" i="7"/>
  <c r="D15675" i="7"/>
  <c r="D15676" i="7"/>
  <c r="D15677" i="7"/>
  <c r="D15678" i="7"/>
  <c r="D15679" i="7"/>
  <c r="D15680" i="7"/>
  <c r="D15681" i="7"/>
  <c r="D15682" i="7"/>
  <c r="D15683" i="7"/>
  <c r="D15684" i="7"/>
  <c r="D15685" i="7"/>
  <c r="D15686" i="7"/>
  <c r="S21" i="6" s="1"/>
  <c r="D15687" i="7"/>
  <c r="D15688" i="7"/>
  <c r="D15689" i="7"/>
  <c r="D15690" i="7"/>
  <c r="S630" i="6" s="1"/>
  <c r="W630" i="6" s="1"/>
  <c r="D15691" i="7"/>
  <c r="D15692" i="7"/>
  <c r="D15693" i="7"/>
  <c r="S275" i="6" s="1"/>
  <c r="W275" i="6" s="1"/>
  <c r="D15694" i="7"/>
  <c r="D15695" i="7"/>
  <c r="D15696" i="7"/>
  <c r="D15697" i="7"/>
  <c r="D15698" i="7"/>
  <c r="D15699" i="7"/>
  <c r="D15700" i="7"/>
  <c r="D15701" i="7"/>
  <c r="D15702" i="7"/>
  <c r="D15703" i="7"/>
  <c r="D15704" i="7"/>
  <c r="S539" i="6" s="1"/>
  <c r="D15705" i="7"/>
  <c r="D15706" i="7"/>
  <c r="D15707" i="7"/>
  <c r="D15708" i="7"/>
  <c r="D15709" i="7"/>
  <c r="D15710" i="7"/>
  <c r="S355" i="6" s="1"/>
  <c r="D15711" i="7"/>
  <c r="D15712" i="7"/>
  <c r="D15713" i="7"/>
  <c r="D15714" i="7"/>
  <c r="D15715" i="7"/>
  <c r="D15716" i="7"/>
  <c r="D15717" i="7"/>
  <c r="D15718" i="7"/>
  <c r="D15719" i="7"/>
  <c r="D15720" i="7"/>
  <c r="D15721" i="7"/>
  <c r="D15722" i="7"/>
  <c r="D15723" i="7"/>
  <c r="D15724" i="7"/>
  <c r="D15725" i="7"/>
  <c r="D15726" i="7"/>
  <c r="D15727" i="7"/>
  <c r="D15728" i="7"/>
  <c r="D15729" i="7"/>
  <c r="D15730" i="7"/>
  <c r="D15731" i="7"/>
  <c r="D15732" i="7"/>
  <c r="D15733" i="7"/>
  <c r="D15734" i="7"/>
  <c r="D15735" i="7"/>
  <c r="D15736" i="7"/>
  <c r="D15737" i="7"/>
  <c r="D15738" i="7"/>
  <c r="D15739" i="7"/>
  <c r="D15740" i="7"/>
  <c r="D15741" i="7"/>
  <c r="D15742" i="7"/>
  <c r="D15743" i="7"/>
  <c r="D15744" i="7"/>
  <c r="D15745" i="7"/>
  <c r="D15746" i="7"/>
  <c r="D15747" i="7"/>
  <c r="D15748" i="7"/>
  <c r="D15749" i="7"/>
  <c r="D15750" i="7"/>
  <c r="D15751" i="7"/>
  <c r="D15752" i="7"/>
  <c r="D15753" i="7"/>
  <c r="D15754" i="7"/>
  <c r="D15755" i="7"/>
  <c r="D15756" i="7"/>
  <c r="S126" i="6" s="1"/>
  <c r="W126" i="6" s="1"/>
  <c r="D15757" i="7"/>
  <c r="D15758" i="7"/>
  <c r="D15759" i="7"/>
  <c r="D15760" i="7"/>
  <c r="D15761" i="7"/>
  <c r="D15762" i="7"/>
  <c r="D15763" i="7"/>
  <c r="D15764" i="7"/>
  <c r="D15765" i="7"/>
  <c r="D15766" i="7"/>
  <c r="D15767" i="7"/>
  <c r="D15768" i="7"/>
  <c r="D15769" i="7"/>
  <c r="D15770" i="7"/>
  <c r="D15771" i="7"/>
  <c r="D15772" i="7"/>
  <c r="D15773" i="7"/>
  <c r="D15774" i="7"/>
  <c r="D15775" i="7"/>
  <c r="D15776" i="7"/>
  <c r="D15777" i="7"/>
  <c r="D15778" i="7"/>
  <c r="S96" i="6" s="1"/>
  <c r="W96" i="6" s="1"/>
  <c r="D15779" i="7"/>
  <c r="D15780" i="7"/>
  <c r="D15781" i="7"/>
  <c r="D15782" i="7"/>
  <c r="D15783" i="7"/>
  <c r="D15784" i="7"/>
  <c r="D15785" i="7"/>
  <c r="D15786" i="7"/>
  <c r="D15787" i="7"/>
  <c r="D15788" i="7"/>
  <c r="D15789" i="7"/>
  <c r="D15790" i="7"/>
  <c r="D15791" i="7"/>
  <c r="D15792" i="7"/>
  <c r="D15793" i="7"/>
  <c r="D15794" i="7"/>
  <c r="D15795" i="7"/>
  <c r="D15796" i="7"/>
  <c r="D15797" i="7"/>
  <c r="D15798" i="7"/>
  <c r="D15799" i="7"/>
  <c r="D15800" i="7"/>
  <c r="D15801" i="7"/>
  <c r="D15802" i="7"/>
  <c r="D15803" i="7"/>
  <c r="D15804" i="7"/>
  <c r="D15805" i="7"/>
  <c r="S631" i="6" s="1"/>
  <c r="D15806" i="7"/>
  <c r="S632" i="6" s="1"/>
  <c r="D15807" i="7"/>
  <c r="D15808" i="7"/>
  <c r="D15809" i="7"/>
  <c r="D15810" i="7"/>
  <c r="S98" i="6" s="1"/>
  <c r="W98" i="6" s="1"/>
  <c r="D15811" i="7"/>
  <c r="D15812" i="7"/>
  <c r="D15813" i="7"/>
  <c r="D15814" i="7"/>
  <c r="D15815" i="7"/>
  <c r="D15816" i="7"/>
  <c r="D15817" i="7"/>
  <c r="D15818" i="7"/>
  <c r="D15819" i="7"/>
  <c r="D15820" i="7"/>
  <c r="D15821" i="7"/>
  <c r="D15822" i="7"/>
  <c r="D15823" i="7"/>
  <c r="D15824" i="7"/>
  <c r="D15825" i="7"/>
  <c r="D15826" i="7"/>
  <c r="D15827" i="7"/>
  <c r="D15828" i="7"/>
  <c r="D15829" i="7"/>
  <c r="D15830" i="7"/>
  <c r="D15831" i="7"/>
  <c r="D15832" i="7"/>
  <c r="D15833" i="7"/>
  <c r="D15834" i="7"/>
  <c r="D15835" i="7"/>
  <c r="D15836" i="7"/>
  <c r="D15837" i="7"/>
  <c r="D15838" i="7"/>
  <c r="D15839" i="7"/>
  <c r="D15840" i="7"/>
  <c r="D15841" i="7"/>
  <c r="D15842" i="7"/>
  <c r="D15843" i="7"/>
  <c r="D15844" i="7"/>
  <c r="D15845" i="7"/>
  <c r="D15846" i="7"/>
  <c r="D15847" i="7"/>
  <c r="D15848" i="7"/>
  <c r="D15849" i="7"/>
  <c r="D15850" i="7"/>
  <c r="D15851" i="7"/>
  <c r="D15852" i="7"/>
  <c r="D15853" i="7"/>
  <c r="D15854" i="7"/>
  <c r="D15855" i="7"/>
  <c r="D15856" i="7"/>
  <c r="D15857" i="7"/>
  <c r="D15858" i="7"/>
  <c r="D15859" i="7"/>
  <c r="D15860" i="7"/>
  <c r="D15861" i="7"/>
  <c r="D15862" i="7"/>
  <c r="D15863" i="7"/>
  <c r="D15864" i="7"/>
  <c r="D15865" i="7"/>
  <c r="D15866" i="7"/>
  <c r="D15867" i="7"/>
  <c r="D15868" i="7"/>
  <c r="D15869" i="7"/>
  <c r="D15870" i="7"/>
  <c r="D15871" i="7"/>
  <c r="D15872" i="7"/>
  <c r="D15873" i="7"/>
  <c r="D15874" i="7"/>
  <c r="D15875" i="7"/>
  <c r="D15876" i="7"/>
  <c r="D15877" i="7"/>
  <c r="D15878" i="7"/>
  <c r="D15879" i="7"/>
  <c r="D15880" i="7"/>
  <c r="D15881" i="7"/>
  <c r="D15882" i="7"/>
  <c r="D15883" i="7"/>
  <c r="D15884" i="7"/>
  <c r="D15885" i="7"/>
  <c r="D15886" i="7"/>
  <c r="D15887" i="7"/>
  <c r="D15888" i="7"/>
  <c r="D15889" i="7"/>
  <c r="D15890" i="7"/>
  <c r="D15891" i="7"/>
  <c r="D15892" i="7"/>
  <c r="S237" i="6" s="1"/>
  <c r="D15893" i="7"/>
  <c r="D15894" i="7"/>
  <c r="D15895" i="7"/>
  <c r="D15896" i="7"/>
  <c r="D15897" i="7"/>
  <c r="D15898" i="7"/>
  <c r="D15899" i="7"/>
  <c r="D15900" i="7"/>
  <c r="D15901" i="7"/>
  <c r="D15902" i="7"/>
  <c r="D15903" i="7"/>
  <c r="D15904" i="7"/>
  <c r="D15905" i="7"/>
  <c r="D15906" i="7"/>
  <c r="D15907" i="7"/>
  <c r="D15908" i="7"/>
  <c r="D15909" i="7"/>
  <c r="D15910" i="7"/>
  <c r="D15911" i="7"/>
  <c r="S3" i="6" s="1"/>
  <c r="W3" i="6" s="1"/>
  <c r="D15912" i="7"/>
  <c r="S235" i="6" s="1"/>
  <c r="D15913" i="7"/>
  <c r="D15914" i="7"/>
  <c r="D15915" i="7"/>
  <c r="D15916" i="7"/>
  <c r="S543" i="6" s="1"/>
  <c r="W543" i="6" s="1"/>
  <c r="D15917" i="7"/>
  <c r="S541" i="6" s="1"/>
  <c r="D15918" i="7"/>
  <c r="D15919" i="7"/>
  <c r="D15920" i="7"/>
  <c r="D15921" i="7"/>
  <c r="D15922" i="7"/>
  <c r="D15923" i="7"/>
  <c r="D15924" i="7"/>
  <c r="D15925" i="7"/>
  <c r="D15926" i="7"/>
  <c r="D15927" i="7"/>
  <c r="D15928" i="7"/>
  <c r="D15929" i="7"/>
  <c r="D15930" i="7"/>
  <c r="D15931" i="7"/>
  <c r="D15932" i="7"/>
  <c r="D15933" i="7"/>
  <c r="D15934" i="7"/>
  <c r="D15935" i="7"/>
  <c r="D15936" i="7"/>
  <c r="D15937" i="7"/>
  <c r="D15938" i="7"/>
  <c r="D15939" i="7"/>
  <c r="D15940" i="7"/>
  <c r="D15941" i="7"/>
  <c r="D15942" i="7"/>
  <c r="D15943" i="7"/>
  <c r="D15944" i="7"/>
  <c r="D15945" i="7"/>
  <c r="D15946" i="7"/>
  <c r="D15947" i="7"/>
  <c r="D15948" i="7"/>
  <c r="D15949" i="7"/>
  <c r="D15950" i="7"/>
  <c r="D15951" i="7"/>
  <c r="D15952" i="7"/>
  <c r="S236" i="6" s="1"/>
  <c r="D15953" i="7"/>
  <c r="D15954" i="7"/>
  <c r="D15955" i="7"/>
  <c r="D15956" i="7"/>
  <c r="D15957" i="7"/>
  <c r="D15958" i="7"/>
  <c r="D15959" i="7"/>
  <c r="D15960" i="7"/>
  <c r="D15961" i="7"/>
  <c r="D15962" i="7"/>
  <c r="D15963" i="7"/>
  <c r="D15964" i="7"/>
  <c r="D15965" i="7"/>
  <c r="D15966" i="7"/>
  <c r="D15967" i="7"/>
  <c r="D15968" i="7"/>
  <c r="D15969" i="7"/>
  <c r="S417" i="6" s="1"/>
  <c r="W417" i="6" s="1"/>
  <c r="D15970" i="7"/>
  <c r="D15971" i="7"/>
  <c r="D15972" i="7"/>
  <c r="D15973" i="7"/>
  <c r="D15974" i="7"/>
  <c r="D15975" i="7"/>
  <c r="D15976" i="7"/>
  <c r="D15977" i="7"/>
  <c r="D15978" i="7"/>
  <c r="D15979" i="7"/>
  <c r="D15980" i="7"/>
  <c r="D15981" i="7"/>
  <c r="D15982" i="7"/>
  <c r="D15983" i="7"/>
  <c r="D15984" i="7"/>
  <c r="D15985" i="7"/>
  <c r="D15986" i="7"/>
  <c r="D15987" i="7"/>
  <c r="D15988" i="7"/>
  <c r="D15989" i="7"/>
  <c r="D15990" i="7"/>
  <c r="D15991" i="7"/>
  <c r="D15992" i="7"/>
  <c r="D15993" i="7"/>
  <c r="D15994" i="7"/>
  <c r="D15995" i="7"/>
  <c r="D15996" i="7"/>
  <c r="D15997" i="7"/>
  <c r="D15998" i="7"/>
  <c r="D15999" i="7"/>
  <c r="D16000" i="7"/>
  <c r="D16001" i="7"/>
  <c r="D16002" i="7"/>
  <c r="D16003" i="7"/>
  <c r="D16004" i="7"/>
  <c r="D16005" i="7"/>
  <c r="D16006" i="7"/>
  <c r="D16007" i="7"/>
  <c r="D16008" i="7"/>
  <c r="D16009" i="7"/>
  <c r="D16010" i="7"/>
  <c r="D16011" i="7"/>
  <c r="D16012" i="7"/>
  <c r="D16013" i="7"/>
  <c r="D16014" i="7"/>
  <c r="D16015" i="7"/>
  <c r="D16016" i="7"/>
  <c r="D16017" i="7"/>
  <c r="S701" i="6" s="1"/>
  <c r="W701" i="6" s="1"/>
  <c r="D16018" i="7"/>
  <c r="D16019" i="7"/>
  <c r="D16020" i="7"/>
  <c r="S540" i="6" s="1"/>
  <c r="D16021" i="7"/>
  <c r="D16022" i="7"/>
  <c r="D16023" i="7"/>
  <c r="D16024" i="7"/>
  <c r="D16025" i="7"/>
  <c r="D16026" i="7"/>
  <c r="D16027" i="7"/>
  <c r="D16028" i="7"/>
  <c r="D16029" i="7"/>
  <c r="D16030" i="7"/>
  <c r="D16031" i="7"/>
  <c r="D16032" i="7"/>
  <c r="D16033" i="7"/>
  <c r="D16034" i="7"/>
  <c r="D16035" i="7"/>
  <c r="D16036" i="7"/>
  <c r="D16037" i="7"/>
  <c r="D16038" i="7"/>
  <c r="D16039" i="7"/>
  <c r="D16040" i="7"/>
  <c r="D16041" i="7"/>
  <c r="S587" i="6" s="1"/>
  <c r="W587" i="6" s="1"/>
  <c r="D16042" i="7"/>
  <c r="D16043" i="7"/>
  <c r="D16044" i="7"/>
  <c r="D16045" i="7"/>
  <c r="D16046" i="7"/>
  <c r="D16047" i="7"/>
  <c r="D16048" i="7"/>
  <c r="D16049" i="7"/>
  <c r="D16050" i="7"/>
  <c r="D16051" i="7"/>
  <c r="D16052" i="7"/>
  <c r="D16053" i="7"/>
  <c r="D16054" i="7"/>
  <c r="D16055" i="7"/>
  <c r="D16056" i="7"/>
  <c r="D16057" i="7"/>
  <c r="D16058" i="7"/>
  <c r="D16059" i="7"/>
  <c r="D16060" i="7"/>
  <c r="D16061" i="7"/>
  <c r="D16062" i="7"/>
  <c r="D16063" i="7"/>
  <c r="D16064" i="7"/>
  <c r="D16065" i="7"/>
  <c r="D16066" i="7"/>
  <c r="D16067" i="7"/>
  <c r="D16068" i="7"/>
  <c r="D16069" i="7"/>
  <c r="D16070" i="7"/>
  <c r="D16071" i="7"/>
  <c r="D16072" i="7"/>
  <c r="D16073" i="7"/>
  <c r="D16074" i="7"/>
  <c r="D16075" i="7"/>
  <c r="D16076" i="7"/>
  <c r="D16077" i="7"/>
  <c r="D16078" i="7"/>
  <c r="D16079" i="7"/>
  <c r="D16080" i="7"/>
  <c r="D16081" i="7"/>
  <c r="D16082" i="7"/>
  <c r="D16083" i="7"/>
  <c r="D16084" i="7"/>
  <c r="D16085" i="7"/>
  <c r="D16086" i="7"/>
  <c r="D16087" i="7"/>
  <c r="D16088" i="7"/>
  <c r="D16089" i="7"/>
  <c r="D16090" i="7"/>
  <c r="D16091" i="7"/>
  <c r="S252" i="6" s="1"/>
  <c r="W252" i="6" s="1"/>
  <c r="D16092" i="7"/>
  <c r="D16093" i="7"/>
  <c r="D16094" i="7"/>
  <c r="D16095" i="7"/>
  <c r="D16096" i="7"/>
  <c r="D16097" i="7"/>
  <c r="D16098" i="7"/>
  <c r="D16099" i="7"/>
  <c r="D16100" i="7"/>
  <c r="D16101" i="7"/>
  <c r="D16102" i="7"/>
  <c r="D16103" i="7"/>
  <c r="D16104" i="7"/>
  <c r="D16105" i="7"/>
  <c r="S19" i="6" s="1"/>
  <c r="D16106" i="7"/>
  <c r="D16107" i="7"/>
  <c r="D16108" i="7"/>
  <c r="D16109" i="7"/>
  <c r="D16110" i="7"/>
  <c r="D16111" i="7"/>
  <c r="D16112" i="7"/>
  <c r="D16113" i="7"/>
  <c r="D16114" i="7"/>
  <c r="D16115" i="7"/>
  <c r="D16116" i="7"/>
  <c r="D16117" i="7"/>
  <c r="D16118" i="7"/>
  <c r="D16119" i="7"/>
  <c r="D16120" i="7"/>
  <c r="D16121" i="7"/>
  <c r="D16122" i="7"/>
  <c r="D16123" i="7"/>
  <c r="D16124" i="7"/>
  <c r="D16125" i="7"/>
  <c r="D16126" i="7"/>
  <c r="D16127" i="7"/>
  <c r="D16128" i="7"/>
  <c r="D16129" i="7"/>
  <c r="D16130" i="7"/>
  <c r="D16131" i="7"/>
  <c r="D16132" i="7"/>
  <c r="D16133" i="7"/>
  <c r="D16134" i="7"/>
  <c r="D16135" i="7"/>
  <c r="D16136" i="7"/>
  <c r="D16137" i="7"/>
  <c r="S494" i="6" s="1"/>
  <c r="W494" i="6" s="1"/>
  <c r="D16138" i="7"/>
  <c r="D16139" i="7"/>
  <c r="D16140" i="7"/>
  <c r="D16141" i="7"/>
  <c r="D16142" i="7"/>
  <c r="D16143" i="7"/>
  <c r="D16144" i="7"/>
  <c r="D16145" i="7"/>
  <c r="D16146" i="7"/>
  <c r="D16147" i="7"/>
  <c r="D16148" i="7"/>
  <c r="D16149" i="7"/>
  <c r="D16150" i="7"/>
  <c r="D16151" i="7"/>
  <c r="D16152" i="7"/>
  <c r="D16153" i="7"/>
  <c r="D16154" i="7"/>
  <c r="D16155" i="7"/>
  <c r="D16156" i="7"/>
  <c r="D16157" i="7"/>
  <c r="D16158" i="7"/>
  <c r="D16159" i="7"/>
  <c r="D16160" i="7"/>
  <c r="D16161" i="7"/>
  <c r="S63" i="6" s="1"/>
  <c r="W63" i="6" s="1"/>
  <c r="D16162" i="7"/>
  <c r="D16163" i="7"/>
  <c r="S343" i="6" s="1"/>
  <c r="W343" i="6" s="1"/>
  <c r="D16164" i="7"/>
  <c r="D16165" i="7"/>
  <c r="D16166" i="7"/>
  <c r="D16167" i="7"/>
  <c r="D16168" i="7"/>
  <c r="D16169" i="7"/>
  <c r="D16170" i="7"/>
  <c r="D16171" i="7"/>
  <c r="S522" i="6" s="1"/>
  <c r="W522" i="6" s="1"/>
  <c r="D16172" i="7"/>
  <c r="D16173" i="7"/>
  <c r="D16174" i="7"/>
  <c r="D16175" i="7"/>
  <c r="D16176" i="7"/>
  <c r="D16177" i="7"/>
  <c r="D16178" i="7"/>
  <c r="D16179" i="7"/>
  <c r="D16180" i="7"/>
  <c r="D16181" i="7"/>
  <c r="D16182" i="7"/>
  <c r="D16183" i="7"/>
  <c r="D16184" i="7"/>
  <c r="D16185" i="7"/>
  <c r="S42" i="6" s="1"/>
  <c r="W42" i="6" s="1"/>
  <c r="D16186" i="7"/>
  <c r="D16187" i="7"/>
  <c r="D16188" i="7"/>
  <c r="D16189" i="7"/>
  <c r="D16190" i="7"/>
  <c r="D16191" i="7"/>
  <c r="D16192" i="7"/>
  <c r="D16193" i="7"/>
  <c r="D16194" i="7"/>
  <c r="D16195" i="7"/>
  <c r="D16196" i="7"/>
  <c r="D16197" i="7"/>
  <c r="D16198" i="7"/>
  <c r="D16199" i="7"/>
  <c r="D16200" i="7"/>
  <c r="D16201" i="7"/>
  <c r="D16202" i="7"/>
  <c r="D16203" i="7"/>
  <c r="D16204" i="7"/>
  <c r="D16205" i="7"/>
  <c r="D16206" i="7"/>
  <c r="D16207" i="7"/>
  <c r="D16208" i="7"/>
  <c r="D16209" i="7"/>
  <c r="D16210" i="7"/>
  <c r="D16211" i="7"/>
  <c r="D16212" i="7"/>
  <c r="D16213" i="7"/>
  <c r="D16214" i="7"/>
  <c r="D16215" i="7"/>
  <c r="D16216" i="7"/>
  <c r="D16217" i="7"/>
  <c r="D16218" i="7"/>
  <c r="D16219" i="7"/>
  <c r="D16220" i="7"/>
  <c r="D16221" i="7"/>
  <c r="D16222" i="7"/>
  <c r="D16223" i="7"/>
  <c r="D16224" i="7"/>
  <c r="D16225" i="7"/>
  <c r="D16226" i="7"/>
  <c r="D16227" i="7"/>
  <c r="D16228" i="7"/>
  <c r="D16229" i="7"/>
  <c r="D16230" i="7"/>
  <c r="D16231" i="7"/>
  <c r="D16232" i="7"/>
  <c r="D16233" i="7"/>
  <c r="D16234" i="7"/>
  <c r="D16235" i="7"/>
  <c r="D16236" i="7"/>
  <c r="D16237" i="7"/>
  <c r="D16238" i="7"/>
  <c r="D16239" i="7"/>
  <c r="D16240" i="7"/>
  <c r="D16241" i="7"/>
  <c r="D16242" i="7"/>
  <c r="D16243" i="7"/>
  <c r="D16244" i="7"/>
  <c r="D16245" i="7"/>
  <c r="D16246" i="7"/>
  <c r="D16247" i="7"/>
  <c r="D16248" i="7"/>
  <c r="D16249" i="7"/>
  <c r="D16250" i="7"/>
  <c r="D16251" i="7"/>
  <c r="D16252" i="7"/>
  <c r="D16253" i="7"/>
  <c r="D16254" i="7"/>
  <c r="D16255" i="7"/>
  <c r="D16256" i="7"/>
  <c r="D16257" i="7"/>
  <c r="D16258" i="7"/>
  <c r="D16259" i="7"/>
  <c r="D16260" i="7"/>
  <c r="D16261" i="7"/>
  <c r="D16262" i="7"/>
  <c r="D16263" i="7"/>
  <c r="D16264" i="7"/>
  <c r="D16265" i="7"/>
  <c r="D16266" i="7"/>
  <c r="D16267" i="7"/>
  <c r="D16268" i="7"/>
  <c r="D16269" i="7"/>
  <c r="D16270" i="7"/>
  <c r="D16271" i="7"/>
  <c r="D16272" i="7"/>
  <c r="D16273" i="7"/>
  <c r="D16274" i="7"/>
  <c r="D16275" i="7"/>
  <c r="D16276" i="7"/>
  <c r="D16277" i="7"/>
  <c r="D16278" i="7"/>
  <c r="D16279" i="7"/>
  <c r="D16280" i="7"/>
  <c r="D16281" i="7"/>
  <c r="D16282" i="7"/>
  <c r="D16283" i="7"/>
  <c r="D16284" i="7"/>
  <c r="D16285" i="7"/>
  <c r="D16286" i="7"/>
  <c r="D16287" i="7"/>
  <c r="D16288" i="7"/>
  <c r="D16289" i="7"/>
  <c r="D16290" i="7"/>
  <c r="D16291" i="7"/>
  <c r="D16292" i="7"/>
  <c r="D16293" i="7"/>
  <c r="D16294" i="7"/>
  <c r="D16295" i="7"/>
  <c r="D16296" i="7"/>
  <c r="D16297" i="7"/>
  <c r="D16298" i="7"/>
  <c r="D16299" i="7"/>
  <c r="D16300" i="7"/>
  <c r="D16301" i="7"/>
  <c r="D16302" i="7"/>
  <c r="D16303" i="7"/>
  <c r="D16304" i="7"/>
  <c r="D16305" i="7"/>
  <c r="D16306" i="7"/>
  <c r="D16307" i="7"/>
  <c r="D16308" i="7"/>
  <c r="D16309" i="7"/>
  <c r="D16310" i="7"/>
  <c r="D16311" i="7"/>
  <c r="D16312" i="7"/>
  <c r="D16313" i="7"/>
  <c r="D16314" i="7"/>
  <c r="D16315" i="7"/>
  <c r="D16316" i="7"/>
  <c r="D16317" i="7"/>
  <c r="D16318" i="7"/>
  <c r="D16319" i="7"/>
  <c r="D16320" i="7"/>
  <c r="D16321" i="7"/>
  <c r="D16322" i="7"/>
  <c r="D16323" i="7"/>
  <c r="D16324" i="7"/>
  <c r="D16325" i="7"/>
  <c r="D16326" i="7"/>
  <c r="D16327" i="7"/>
  <c r="D16328" i="7"/>
  <c r="D16329" i="7"/>
  <c r="D16330" i="7"/>
  <c r="D16331" i="7"/>
  <c r="D16332" i="7"/>
  <c r="D16333" i="7"/>
  <c r="D16334" i="7"/>
  <c r="D16335" i="7"/>
  <c r="D16336" i="7"/>
  <c r="D16337" i="7"/>
  <c r="D16338" i="7"/>
  <c r="S510" i="6" s="1"/>
  <c r="W510" i="6" s="1"/>
  <c r="D16339" i="7"/>
  <c r="D16340" i="7"/>
  <c r="S509" i="6" s="1"/>
  <c r="W509" i="6" s="1"/>
  <c r="D16341" i="7"/>
  <c r="D16342" i="7"/>
  <c r="D16343" i="7"/>
  <c r="D16344" i="7"/>
  <c r="D16345" i="7"/>
  <c r="D16346" i="7"/>
  <c r="D16347" i="7"/>
  <c r="D16348" i="7"/>
  <c r="D16349" i="7"/>
  <c r="D16350" i="7"/>
  <c r="D16351" i="7"/>
  <c r="D16352" i="7"/>
  <c r="D16353" i="7"/>
  <c r="D16354" i="7"/>
  <c r="D16355" i="7"/>
  <c r="D16356" i="7"/>
  <c r="S415" i="6" s="1"/>
  <c r="D16357" i="7"/>
  <c r="D16358" i="7"/>
  <c r="D16359" i="7"/>
  <c r="D16360" i="7"/>
  <c r="D16361" i="7"/>
  <c r="D16362" i="7"/>
  <c r="D16363" i="7"/>
  <c r="D16364" i="7"/>
  <c r="D16365" i="7"/>
  <c r="D16366" i="7"/>
  <c r="D16367" i="7"/>
  <c r="D16368" i="7"/>
  <c r="D16369" i="7"/>
  <c r="D16370" i="7"/>
  <c r="D16371" i="7"/>
  <c r="D16372" i="7"/>
  <c r="D16373" i="7"/>
  <c r="D16374" i="7"/>
  <c r="D16375" i="7"/>
  <c r="D16376" i="7"/>
  <c r="D16377" i="7"/>
  <c r="D16378" i="7"/>
  <c r="D16379" i="7"/>
  <c r="D16380" i="7"/>
  <c r="D16381" i="7"/>
  <c r="D16382" i="7"/>
  <c r="D16383" i="7"/>
  <c r="D16384" i="7"/>
  <c r="D16385" i="7"/>
  <c r="D16386" i="7"/>
  <c r="D16387" i="7"/>
  <c r="D16388" i="7"/>
  <c r="D16389" i="7"/>
  <c r="D16390" i="7"/>
  <c r="D16391" i="7"/>
  <c r="D16392" i="7"/>
  <c r="D16393" i="7"/>
  <c r="S516" i="6" s="1"/>
  <c r="D16394" i="7"/>
  <c r="D16395" i="7"/>
  <c r="D16396" i="7"/>
  <c r="D16397" i="7"/>
  <c r="D16398" i="7"/>
  <c r="D16399" i="7"/>
  <c r="D16400" i="7"/>
  <c r="D16401" i="7"/>
  <c r="D16402" i="7"/>
  <c r="D16403" i="7"/>
  <c r="D16404" i="7"/>
  <c r="D16405" i="7"/>
  <c r="D16406" i="7"/>
  <c r="D16407" i="7"/>
  <c r="D16408" i="7"/>
  <c r="D16409" i="7"/>
  <c r="D16410" i="7"/>
  <c r="D16411" i="7"/>
  <c r="D16412" i="7"/>
  <c r="D16413" i="7"/>
  <c r="D16414" i="7"/>
  <c r="D16415" i="7"/>
  <c r="D16416" i="7"/>
  <c r="D16417" i="7"/>
  <c r="D16418" i="7"/>
  <c r="D16419" i="7"/>
  <c r="D16420" i="7"/>
  <c r="D16421" i="7"/>
  <c r="D16422" i="7"/>
  <c r="D16423" i="7"/>
  <c r="D16424" i="7"/>
  <c r="D16425" i="7"/>
  <c r="D16426" i="7"/>
  <c r="D16427" i="7"/>
  <c r="D16428" i="7"/>
  <c r="D16429" i="7"/>
  <c r="S633" i="6" s="1"/>
  <c r="D16430" i="7"/>
  <c r="D16431" i="7"/>
  <c r="D16432" i="7"/>
  <c r="D16433" i="7"/>
  <c r="D16434" i="7"/>
  <c r="D16435" i="7"/>
  <c r="D16436" i="7"/>
  <c r="D16437" i="7"/>
  <c r="D16438" i="7"/>
  <c r="D16439" i="7"/>
  <c r="S97" i="6" s="1"/>
  <c r="W97" i="6" s="1"/>
  <c r="D16440" i="7"/>
  <c r="D16441" i="7"/>
  <c r="D16442" i="7"/>
  <c r="D16443" i="7"/>
  <c r="D16444" i="7"/>
  <c r="D16445" i="7"/>
  <c r="D16446" i="7"/>
  <c r="D16447" i="7"/>
  <c r="D16448" i="7"/>
  <c r="D16449" i="7"/>
  <c r="D16450" i="7"/>
  <c r="D16451" i="7"/>
  <c r="D16452" i="7"/>
  <c r="D16453" i="7"/>
  <c r="D16454" i="7"/>
  <c r="D16455" i="7"/>
  <c r="D16456" i="7"/>
  <c r="D16457" i="7"/>
  <c r="D16458" i="7"/>
  <c r="D16459" i="7"/>
  <c r="D16460" i="7"/>
  <c r="D16461" i="7"/>
  <c r="D16462" i="7"/>
  <c r="D16463" i="7"/>
  <c r="D16464" i="7"/>
  <c r="D16465" i="7"/>
  <c r="D16466" i="7"/>
  <c r="D16467" i="7"/>
  <c r="D16468" i="7"/>
  <c r="D16469" i="7"/>
  <c r="D16470" i="7"/>
  <c r="D16471" i="7"/>
  <c r="D16472" i="7"/>
  <c r="D16473" i="7"/>
  <c r="D16474" i="7"/>
  <c r="D16475" i="7"/>
  <c r="S299" i="6" s="1"/>
  <c r="W299" i="6" s="1"/>
  <c r="D16476" i="7"/>
  <c r="D16477" i="7"/>
  <c r="D16478" i="7"/>
  <c r="D16479" i="7"/>
  <c r="D16480" i="7"/>
  <c r="D16481" i="7"/>
  <c r="D16482" i="7"/>
  <c r="D16483" i="7"/>
  <c r="D16484" i="7"/>
  <c r="D16485" i="7"/>
  <c r="D16486" i="7"/>
  <c r="D16487" i="7"/>
  <c r="D16488" i="7"/>
  <c r="D16489" i="7"/>
  <c r="D16490" i="7"/>
  <c r="D16491" i="7"/>
  <c r="D16492" i="7"/>
  <c r="D16493" i="7"/>
  <c r="D16494" i="7"/>
  <c r="D16495" i="7"/>
  <c r="D16496" i="7"/>
  <c r="D16497" i="7"/>
  <c r="D16498" i="7"/>
  <c r="D16499" i="7"/>
  <c r="D16500" i="7"/>
  <c r="D16501" i="7"/>
  <c r="D16502" i="7"/>
  <c r="D16503" i="7"/>
  <c r="D16504" i="7"/>
  <c r="D16505" i="7"/>
  <c r="D16506" i="7"/>
  <c r="D16507" i="7"/>
  <c r="D16508" i="7"/>
  <c r="D16509" i="7"/>
  <c r="D16510" i="7"/>
  <c r="D16511" i="7"/>
  <c r="D16512" i="7"/>
  <c r="D16513" i="7"/>
  <c r="S233" i="6" s="1"/>
  <c r="W233" i="6" s="1"/>
  <c r="D16514" i="7"/>
  <c r="D16515" i="7"/>
  <c r="D16516" i="7"/>
  <c r="D16517" i="7"/>
  <c r="D16518" i="7"/>
  <c r="D16519" i="7"/>
  <c r="D16520" i="7"/>
  <c r="D16521" i="7"/>
  <c r="D16522" i="7"/>
  <c r="D16523" i="7"/>
  <c r="D16524" i="7"/>
  <c r="D16525" i="7"/>
  <c r="D16526" i="7"/>
  <c r="D16527" i="7"/>
  <c r="D16528" i="7"/>
  <c r="D16529" i="7"/>
  <c r="D16530" i="7"/>
  <c r="D16531" i="7"/>
  <c r="D16532" i="7"/>
  <c r="D16533" i="7"/>
  <c r="D16534" i="7"/>
  <c r="D16535" i="7"/>
  <c r="D16536" i="7"/>
  <c r="D16537" i="7"/>
  <c r="D16538" i="7"/>
  <c r="D16539" i="7"/>
  <c r="D16540" i="7"/>
  <c r="D16541" i="7"/>
  <c r="D16542" i="7"/>
  <c r="D16543" i="7"/>
  <c r="D16544" i="7"/>
  <c r="D16545" i="7"/>
  <c r="D16546" i="7"/>
  <c r="D16547" i="7"/>
  <c r="D16548" i="7"/>
  <c r="D16549" i="7"/>
  <c r="D16550" i="7"/>
  <c r="D16551" i="7"/>
  <c r="D16552" i="7"/>
  <c r="D16553" i="7"/>
  <c r="D16554" i="7"/>
  <c r="D16555" i="7"/>
  <c r="D16556" i="7"/>
  <c r="D16557" i="7"/>
  <c r="D16558" i="7"/>
  <c r="D16559" i="7"/>
  <c r="D16560" i="7"/>
  <c r="D16561" i="7"/>
  <c r="D16562" i="7"/>
  <c r="D16563" i="7"/>
  <c r="D16564" i="7"/>
  <c r="D16565" i="7"/>
  <c r="D16566" i="7"/>
  <c r="D16567" i="7"/>
  <c r="D16568" i="7"/>
  <c r="D16569" i="7"/>
  <c r="D16570" i="7"/>
  <c r="D16571" i="7"/>
  <c r="D16572" i="7"/>
  <c r="D16573" i="7"/>
  <c r="D16574" i="7"/>
  <c r="D16575" i="7"/>
  <c r="D16576" i="7"/>
  <c r="D16577" i="7"/>
  <c r="D16578" i="7"/>
  <c r="D16579" i="7"/>
  <c r="D16580" i="7"/>
  <c r="D16581" i="7"/>
  <c r="D16582" i="7"/>
  <c r="D16583" i="7"/>
  <c r="D16584" i="7"/>
  <c r="D16585" i="7"/>
  <c r="D16586" i="7"/>
  <c r="D16587" i="7"/>
  <c r="D16588" i="7"/>
  <c r="D16589" i="7"/>
  <c r="D16590" i="7"/>
  <c r="D16591" i="7"/>
  <c r="D16592" i="7"/>
  <c r="D16593" i="7"/>
  <c r="D16594" i="7"/>
  <c r="D16595" i="7"/>
  <c r="D16596" i="7"/>
  <c r="D16597" i="7"/>
  <c r="D16598" i="7"/>
  <c r="D16599" i="7"/>
  <c r="D16600" i="7"/>
  <c r="D16601" i="7"/>
  <c r="D16602" i="7"/>
  <c r="D16603" i="7"/>
  <c r="D16604" i="7"/>
  <c r="D16605" i="7"/>
  <c r="D16606" i="7"/>
  <c r="D16607" i="7"/>
  <c r="D16608" i="7"/>
  <c r="D16609" i="7"/>
  <c r="D16610" i="7"/>
  <c r="D16611" i="7"/>
  <c r="D16612" i="7"/>
  <c r="D16613" i="7"/>
  <c r="D16614" i="7"/>
  <c r="D16615" i="7"/>
  <c r="D16616" i="7"/>
  <c r="D16617" i="7"/>
  <c r="D16618" i="7"/>
  <c r="D16619" i="7"/>
  <c r="D16620" i="7"/>
  <c r="D16621" i="7"/>
  <c r="D16622" i="7"/>
  <c r="D16623" i="7"/>
  <c r="D16624" i="7"/>
  <c r="D16625" i="7"/>
  <c r="D16626" i="7"/>
  <c r="D16627" i="7"/>
  <c r="S171" i="6" s="1"/>
  <c r="W171" i="6" s="1"/>
  <c r="D16628" i="7"/>
  <c r="D16629" i="7"/>
  <c r="D16630" i="7"/>
  <c r="D16631" i="7"/>
  <c r="D16632" i="7"/>
  <c r="D16633" i="7"/>
  <c r="D16634" i="7"/>
  <c r="D16635" i="7"/>
  <c r="D16636" i="7"/>
  <c r="D16637" i="7"/>
  <c r="D16638" i="7"/>
  <c r="D16639" i="7"/>
  <c r="D16640" i="7"/>
  <c r="D16641" i="7"/>
  <c r="D16642" i="7"/>
  <c r="D16643" i="7"/>
  <c r="D16644" i="7"/>
  <c r="D16645" i="7"/>
  <c r="D16646" i="7"/>
  <c r="D16647" i="7"/>
  <c r="D16648" i="7"/>
  <c r="D16649" i="7"/>
  <c r="D16650" i="7"/>
  <c r="D16651" i="7"/>
  <c r="D16652" i="7"/>
  <c r="D16653" i="7"/>
  <c r="D16654" i="7"/>
  <c r="D16655" i="7"/>
  <c r="D16656" i="7"/>
  <c r="D16657" i="7"/>
  <c r="D16658" i="7"/>
  <c r="D16659" i="7"/>
  <c r="D16660" i="7"/>
  <c r="D16661" i="7"/>
  <c r="D16662" i="7"/>
  <c r="D16663" i="7"/>
  <c r="D16664" i="7"/>
  <c r="D16665" i="7"/>
  <c r="D16666" i="7"/>
  <c r="D16667" i="7"/>
  <c r="D16668" i="7"/>
  <c r="D16669" i="7"/>
  <c r="D16670" i="7"/>
  <c r="D16671" i="7"/>
  <c r="D16672" i="7"/>
  <c r="D16673" i="7"/>
  <c r="D16674" i="7"/>
  <c r="D16675" i="7"/>
  <c r="D16676" i="7"/>
  <c r="D16677" i="7"/>
  <c r="D16678" i="7"/>
  <c r="D16679" i="7"/>
  <c r="D16680" i="7"/>
  <c r="D16681" i="7"/>
  <c r="D16682" i="7"/>
  <c r="D16683" i="7"/>
  <c r="D16684" i="7"/>
  <c r="D16685" i="7"/>
  <c r="D16686" i="7"/>
  <c r="D16687" i="7"/>
  <c r="D16688" i="7"/>
  <c r="D16689" i="7"/>
  <c r="D16690" i="7"/>
  <c r="D16691" i="7"/>
  <c r="D16692" i="7"/>
  <c r="D16693" i="7"/>
  <c r="D16694" i="7"/>
  <c r="D16695" i="7"/>
  <c r="D16696" i="7"/>
  <c r="D16697" i="7"/>
  <c r="D16698" i="7"/>
  <c r="D16699" i="7"/>
  <c r="D16700" i="7"/>
  <c r="D16701" i="7"/>
  <c r="D16702" i="7"/>
  <c r="D16703" i="7"/>
  <c r="D16704" i="7"/>
  <c r="D16705" i="7"/>
  <c r="D16706" i="7"/>
  <c r="D16707" i="7"/>
  <c r="D16708" i="7"/>
  <c r="D16709" i="7"/>
  <c r="D16710" i="7"/>
  <c r="D16711" i="7"/>
  <c r="D16712" i="7"/>
  <c r="D16713" i="7"/>
  <c r="D16714" i="7"/>
  <c r="D16715" i="7"/>
  <c r="D16716" i="7"/>
  <c r="D16717" i="7"/>
  <c r="D16718" i="7"/>
  <c r="D16719" i="7"/>
  <c r="D16720" i="7"/>
  <c r="D16721" i="7"/>
  <c r="S515" i="6" s="1"/>
  <c r="D16722" i="7"/>
  <c r="D16723" i="7"/>
  <c r="D16724" i="7"/>
  <c r="D16725" i="7"/>
  <c r="D16726" i="7"/>
  <c r="D16727" i="7"/>
  <c r="D16728" i="7"/>
  <c r="D16729" i="7"/>
  <c r="S634" i="6" s="1"/>
  <c r="D16730" i="7"/>
  <c r="D16731" i="7"/>
  <c r="D16732" i="7"/>
  <c r="D16733" i="7"/>
  <c r="D16734" i="7"/>
  <c r="D16735" i="7"/>
  <c r="D16736" i="7"/>
  <c r="D16737" i="7"/>
  <c r="D16738" i="7"/>
  <c r="D16739" i="7"/>
  <c r="D16740" i="7"/>
  <c r="D16741" i="7"/>
  <c r="D16742" i="7"/>
  <c r="D16743" i="7"/>
  <c r="D16744" i="7"/>
  <c r="D16745" i="7"/>
  <c r="D16746" i="7"/>
  <c r="D16747" i="7"/>
  <c r="S290" i="6" s="1"/>
  <c r="W290" i="6" s="1"/>
  <c r="D16748" i="7"/>
  <c r="D16749" i="7"/>
  <c r="D16750" i="7"/>
  <c r="D16751" i="7"/>
  <c r="D16752" i="7"/>
  <c r="D16753" i="7"/>
  <c r="D16754" i="7"/>
  <c r="D16755" i="7"/>
  <c r="D16756" i="7"/>
  <c r="D16757" i="7"/>
  <c r="D16758" i="7"/>
  <c r="D16759" i="7"/>
  <c r="D16760" i="7"/>
  <c r="D16761" i="7"/>
  <c r="D16762" i="7"/>
  <c r="D16763" i="7"/>
  <c r="D16764" i="7"/>
  <c r="D16765" i="7"/>
  <c r="D16766" i="7"/>
  <c r="D16767" i="7"/>
  <c r="D16768" i="7"/>
  <c r="D16769" i="7"/>
  <c r="D16770" i="7"/>
  <c r="D16771" i="7"/>
  <c r="D16772" i="7"/>
  <c r="D16773" i="7"/>
  <c r="D16774" i="7"/>
  <c r="D16775" i="7"/>
  <c r="D16776" i="7"/>
  <c r="D16777" i="7"/>
  <c r="D16778" i="7"/>
  <c r="D16779" i="7"/>
  <c r="D16780" i="7"/>
  <c r="D16781" i="7"/>
  <c r="D16782" i="7"/>
  <c r="D16783" i="7"/>
  <c r="D16784" i="7"/>
  <c r="D16785" i="7"/>
  <c r="D16786" i="7"/>
  <c r="D16787" i="7"/>
  <c r="D16788" i="7"/>
  <c r="D16789" i="7"/>
  <c r="D16790" i="7"/>
  <c r="D16791" i="7"/>
  <c r="D16792" i="7"/>
  <c r="D16793" i="7"/>
  <c r="D16794" i="7"/>
  <c r="D16795" i="7"/>
  <c r="D16796" i="7"/>
  <c r="D16797" i="7"/>
  <c r="D16798" i="7"/>
  <c r="D16799" i="7"/>
  <c r="D16800" i="7"/>
  <c r="D16801" i="7"/>
  <c r="D16802" i="7"/>
  <c r="D16803" i="7"/>
  <c r="D16804" i="7"/>
  <c r="D16805" i="7"/>
  <c r="D16806" i="7"/>
  <c r="D16807" i="7"/>
  <c r="D16808" i="7"/>
  <c r="D16809" i="7"/>
  <c r="D16810" i="7"/>
  <c r="D16811" i="7"/>
  <c r="D16812" i="7"/>
  <c r="D16813" i="7"/>
  <c r="S579" i="6" s="1"/>
  <c r="W579" i="6" s="1"/>
  <c r="D16814" i="7"/>
  <c r="D16815" i="7"/>
  <c r="D16816" i="7"/>
  <c r="D16817" i="7"/>
  <c r="D16818" i="7"/>
  <c r="D16819" i="7"/>
  <c r="D16820" i="7"/>
  <c r="D16821" i="7"/>
  <c r="D16822" i="7"/>
  <c r="D16823" i="7"/>
  <c r="D16824" i="7"/>
  <c r="D16825" i="7"/>
  <c r="D16826" i="7"/>
  <c r="D16827" i="7"/>
  <c r="D16828" i="7"/>
  <c r="D16829" i="7"/>
  <c r="D16830" i="7"/>
  <c r="D16831" i="7"/>
  <c r="D16832" i="7"/>
  <c r="D16833" i="7"/>
  <c r="D16834" i="7"/>
  <c r="D16835" i="7"/>
  <c r="D16836" i="7"/>
  <c r="D16837" i="7"/>
  <c r="D16838" i="7"/>
  <c r="D16839" i="7"/>
  <c r="D16840" i="7"/>
  <c r="D16841" i="7"/>
  <c r="D16842" i="7"/>
  <c r="D16843" i="7"/>
  <c r="D16844" i="7"/>
  <c r="D16845" i="7"/>
  <c r="D16846" i="7"/>
  <c r="D16847" i="7"/>
  <c r="D16848" i="7"/>
  <c r="D16849" i="7"/>
  <c r="D16850" i="7"/>
  <c r="D16851" i="7"/>
  <c r="D16852" i="7"/>
  <c r="D16853" i="7"/>
  <c r="D16854" i="7"/>
  <c r="D16855" i="7"/>
  <c r="D16856" i="7"/>
  <c r="D16857" i="7"/>
  <c r="D16858" i="7"/>
  <c r="D16859" i="7"/>
  <c r="D16860" i="7"/>
  <c r="D16861" i="7"/>
  <c r="D16862" i="7"/>
  <c r="D16863" i="7"/>
  <c r="D16864" i="7"/>
  <c r="D16865" i="7"/>
  <c r="D16866" i="7"/>
  <c r="D16867" i="7"/>
  <c r="D16868" i="7"/>
  <c r="D16869" i="7"/>
  <c r="D16870" i="7"/>
  <c r="D16871" i="7"/>
  <c r="D16872" i="7"/>
  <c r="D16873" i="7"/>
  <c r="D16874" i="7"/>
  <c r="D16875" i="7"/>
  <c r="D16876" i="7"/>
  <c r="D16877" i="7"/>
  <c r="D16878" i="7"/>
  <c r="D16879" i="7"/>
  <c r="D16880" i="7"/>
  <c r="D16881" i="7"/>
  <c r="D16882" i="7"/>
  <c r="D16883" i="7"/>
  <c r="D16884" i="7"/>
  <c r="D16885" i="7"/>
  <c r="D16886" i="7"/>
  <c r="D16887" i="7"/>
  <c r="D16888" i="7"/>
  <c r="D16889" i="7"/>
  <c r="D16890" i="7"/>
  <c r="D16891" i="7"/>
  <c r="D16892" i="7"/>
  <c r="D16893" i="7"/>
  <c r="D16894" i="7"/>
  <c r="D16895" i="7"/>
  <c r="D16896" i="7"/>
  <c r="D16897" i="7"/>
  <c r="D16898" i="7"/>
  <c r="D16899" i="7"/>
  <c r="D16900" i="7"/>
  <c r="D16901" i="7"/>
  <c r="D16902" i="7"/>
  <c r="D16903" i="7"/>
  <c r="D16904" i="7"/>
  <c r="D16905" i="7"/>
  <c r="D16906" i="7"/>
  <c r="D16907" i="7"/>
  <c r="D16908" i="7"/>
  <c r="D16909" i="7"/>
  <c r="D16910" i="7"/>
  <c r="D16911" i="7"/>
  <c r="D16912" i="7"/>
  <c r="D16913" i="7"/>
  <c r="D16914" i="7"/>
  <c r="D16915" i="7"/>
  <c r="D16916" i="7"/>
  <c r="D16917" i="7"/>
  <c r="D16918" i="7"/>
  <c r="D16919" i="7"/>
  <c r="D16920" i="7"/>
  <c r="D16921" i="7"/>
  <c r="D16922" i="7"/>
  <c r="D16923" i="7"/>
  <c r="D16924" i="7"/>
  <c r="D16925" i="7"/>
  <c r="D16926" i="7"/>
  <c r="D16927" i="7"/>
  <c r="D16928" i="7"/>
  <c r="D16929" i="7"/>
  <c r="D16930" i="7"/>
  <c r="D16931" i="7"/>
  <c r="D16932" i="7"/>
  <c r="D16933" i="7"/>
  <c r="D16934" i="7"/>
  <c r="D16935" i="7"/>
  <c r="D16936" i="7"/>
  <c r="D16937" i="7"/>
  <c r="D16938" i="7"/>
  <c r="D16939" i="7"/>
  <c r="D16940" i="7"/>
  <c r="D16941" i="7"/>
  <c r="D16942" i="7"/>
  <c r="D16943" i="7"/>
  <c r="D16944" i="7"/>
  <c r="D16945" i="7"/>
  <c r="D16946" i="7"/>
  <c r="D16947" i="7"/>
  <c r="D16948" i="7"/>
  <c r="D16949" i="7"/>
  <c r="D16950" i="7"/>
  <c r="D16951" i="7"/>
  <c r="D16952" i="7"/>
  <c r="D16953" i="7"/>
  <c r="D16954" i="7"/>
  <c r="D16955" i="7"/>
  <c r="D16956" i="7"/>
  <c r="D16957" i="7"/>
  <c r="D16958" i="7"/>
  <c r="D16959" i="7"/>
  <c r="D16960" i="7"/>
  <c r="D16961" i="7"/>
  <c r="D16962" i="7"/>
  <c r="D16963" i="7"/>
  <c r="D16964" i="7"/>
  <c r="D16965" i="7"/>
  <c r="D16966" i="7"/>
  <c r="D16967" i="7"/>
  <c r="D16968" i="7"/>
  <c r="S111" i="6" s="1"/>
  <c r="W111" i="6" s="1"/>
  <c r="D16969" i="7"/>
  <c r="D16970" i="7"/>
  <c r="D16971" i="7"/>
  <c r="S281" i="6" s="1"/>
  <c r="W281" i="6" s="1"/>
  <c r="D16972" i="7"/>
  <c r="D16973" i="7"/>
  <c r="D16974" i="7"/>
  <c r="D16975" i="7"/>
  <c r="D16976" i="7"/>
  <c r="D16977" i="7"/>
  <c r="D16978" i="7"/>
  <c r="D16979" i="7"/>
  <c r="D16980" i="7"/>
  <c r="D16981" i="7"/>
  <c r="D16982" i="7"/>
  <c r="D16983" i="7"/>
  <c r="D16984" i="7"/>
  <c r="D16985" i="7"/>
  <c r="D16986" i="7"/>
  <c r="D16987" i="7"/>
  <c r="D16988" i="7"/>
  <c r="D16989" i="7"/>
  <c r="D16990" i="7"/>
  <c r="D16991" i="7"/>
  <c r="D16992" i="7"/>
  <c r="D16993" i="7"/>
  <c r="D16994" i="7"/>
  <c r="D16995" i="7"/>
  <c r="D16996" i="7"/>
  <c r="D16997" i="7"/>
  <c r="D16998" i="7"/>
  <c r="D16999" i="7"/>
  <c r="D17000" i="7"/>
  <c r="D17001" i="7"/>
  <c r="D17002" i="7"/>
  <c r="D17003" i="7"/>
  <c r="D17004" i="7"/>
  <c r="D17005" i="7"/>
  <c r="D17006" i="7"/>
  <c r="D17007" i="7"/>
  <c r="D17008" i="7"/>
  <c r="D17009" i="7"/>
  <c r="D17010" i="7"/>
  <c r="D17011" i="7"/>
  <c r="D17012" i="7"/>
  <c r="D17013" i="7"/>
  <c r="D17014" i="7"/>
  <c r="D17015" i="7"/>
  <c r="D17016" i="7"/>
  <c r="D17017" i="7"/>
  <c r="D17018" i="7"/>
  <c r="D17019" i="7"/>
  <c r="D17020" i="7"/>
  <c r="D17021" i="7"/>
  <c r="D17022" i="7"/>
  <c r="D17023" i="7"/>
  <c r="D17024" i="7"/>
  <c r="D17025" i="7"/>
  <c r="D17026" i="7"/>
  <c r="D17027" i="7"/>
  <c r="D17028" i="7"/>
  <c r="D17029" i="7"/>
  <c r="D17030" i="7"/>
  <c r="D17031" i="7"/>
  <c r="D17032" i="7"/>
  <c r="D17033" i="7"/>
  <c r="D17034" i="7"/>
  <c r="D17035" i="7"/>
  <c r="D17036" i="7"/>
  <c r="D17037" i="7"/>
  <c r="D17038" i="7"/>
  <c r="D17039" i="7"/>
  <c r="D17040" i="7"/>
  <c r="D17041" i="7"/>
  <c r="D17042" i="7"/>
  <c r="D17043" i="7"/>
  <c r="D17044" i="7"/>
  <c r="D17045" i="7"/>
  <c r="D17046" i="7"/>
  <c r="D17047" i="7"/>
  <c r="D17048" i="7"/>
  <c r="D17049" i="7"/>
  <c r="D17050" i="7"/>
  <c r="D17051" i="7"/>
  <c r="S636" i="6" s="1"/>
  <c r="D17052" i="7"/>
  <c r="D17053" i="7"/>
  <c r="D17054" i="7"/>
  <c r="D17055" i="7"/>
  <c r="D17056" i="7"/>
  <c r="D17057" i="7"/>
  <c r="D17058" i="7"/>
  <c r="D17059" i="7"/>
  <c r="D17060" i="7"/>
  <c r="D17061" i="7"/>
  <c r="D17062" i="7"/>
  <c r="D17063" i="7"/>
  <c r="D17064" i="7"/>
  <c r="D17065" i="7"/>
  <c r="D17066" i="7"/>
  <c r="D17067" i="7"/>
  <c r="D17068" i="7"/>
  <c r="D17069" i="7"/>
  <c r="D17070" i="7"/>
  <c r="D17071" i="7"/>
  <c r="D17072" i="7"/>
  <c r="D17073" i="7"/>
  <c r="D17074" i="7"/>
  <c r="D17075" i="7"/>
  <c r="D17076" i="7"/>
  <c r="D17077" i="7"/>
  <c r="D17078" i="7"/>
  <c r="D17079" i="7"/>
  <c r="D17080" i="7"/>
  <c r="D17081" i="7"/>
  <c r="D17082" i="7"/>
  <c r="D17083" i="7"/>
  <c r="D17084" i="7"/>
  <c r="D17085" i="7"/>
  <c r="D17086" i="7"/>
  <c r="D17087" i="7"/>
  <c r="D17088" i="7"/>
  <c r="D17089" i="7"/>
  <c r="D17090" i="7"/>
  <c r="D17091" i="7"/>
  <c r="D17092" i="7"/>
  <c r="D17093" i="7"/>
  <c r="D17094" i="7"/>
  <c r="D17095" i="7"/>
  <c r="D17096" i="7"/>
  <c r="D17097" i="7"/>
  <c r="D17098" i="7"/>
  <c r="D17099" i="7"/>
  <c r="D17100" i="7"/>
  <c r="D17101" i="7"/>
  <c r="D17102" i="7"/>
  <c r="D17103" i="7"/>
  <c r="D17104" i="7"/>
  <c r="D17105" i="7"/>
  <c r="D17106" i="7"/>
  <c r="D17107" i="7"/>
  <c r="D17108" i="7"/>
  <c r="D17109" i="7"/>
  <c r="D17110" i="7"/>
  <c r="D17111" i="7"/>
  <c r="D17112" i="7"/>
  <c r="D17113" i="7"/>
  <c r="D17114" i="7"/>
  <c r="D17115" i="7"/>
  <c r="D17116" i="7"/>
  <c r="D17117" i="7"/>
  <c r="D17118" i="7"/>
  <c r="D17119" i="7"/>
  <c r="D17120" i="7"/>
  <c r="D17121" i="7"/>
  <c r="D17122" i="7"/>
  <c r="D17123" i="7"/>
  <c r="D17124" i="7"/>
  <c r="D17125" i="7"/>
  <c r="D17126" i="7"/>
  <c r="D17127" i="7"/>
  <c r="D17128" i="7"/>
  <c r="D17129" i="7"/>
  <c r="D17130" i="7"/>
  <c r="D17131" i="7"/>
  <c r="D17132" i="7"/>
  <c r="D17133" i="7"/>
  <c r="D17134" i="7"/>
  <c r="D17135" i="7"/>
  <c r="D17136" i="7"/>
  <c r="D17137" i="7"/>
  <c r="D17138" i="7"/>
  <c r="D17139" i="7"/>
  <c r="D17140" i="7"/>
  <c r="D17141" i="7"/>
  <c r="D17142" i="7"/>
  <c r="D17143" i="7"/>
  <c r="D17144" i="7"/>
  <c r="D17145" i="7"/>
  <c r="D17146" i="7"/>
  <c r="D17147" i="7"/>
  <c r="S635" i="6" s="1"/>
  <c r="W635" i="6" s="1"/>
  <c r="D17148" i="7"/>
  <c r="D17149" i="7"/>
  <c r="D17150" i="7"/>
  <c r="D17151" i="7"/>
  <c r="D17152" i="7"/>
  <c r="D17153" i="7"/>
  <c r="D17154" i="7"/>
  <c r="D17155" i="7"/>
  <c r="D17156" i="7"/>
  <c r="D17157" i="7"/>
  <c r="D17158" i="7"/>
  <c r="D17159" i="7"/>
  <c r="D17160" i="7"/>
  <c r="D17161" i="7"/>
  <c r="D17162" i="7"/>
  <c r="D17163" i="7"/>
  <c r="D17164" i="7"/>
  <c r="D17165" i="7"/>
  <c r="D17166" i="7"/>
  <c r="D17167" i="7"/>
  <c r="D17168" i="7"/>
  <c r="D17169" i="7"/>
  <c r="D17170" i="7"/>
  <c r="D17171" i="7"/>
  <c r="D17172" i="7"/>
  <c r="D17173" i="7"/>
  <c r="D17174" i="7"/>
  <c r="D17175" i="7"/>
  <c r="D17176" i="7"/>
  <c r="D17177" i="7"/>
  <c r="D17178" i="7"/>
  <c r="D17179" i="7"/>
  <c r="D17180" i="7"/>
  <c r="D17181" i="7"/>
  <c r="D17182" i="7"/>
  <c r="D17183" i="7"/>
  <c r="D17184" i="7"/>
  <c r="D17185" i="7"/>
  <c r="D17186" i="7"/>
  <c r="D17187" i="7"/>
  <c r="D17188" i="7"/>
  <c r="D17189" i="7"/>
  <c r="D17190" i="7"/>
  <c r="D17191" i="7"/>
  <c r="D17192" i="7"/>
  <c r="D17193" i="7"/>
  <c r="D17194" i="7"/>
  <c r="D17195" i="7"/>
  <c r="D17196" i="7"/>
  <c r="D17197" i="7"/>
  <c r="D17198" i="7"/>
  <c r="D17199" i="7"/>
  <c r="D17200" i="7"/>
  <c r="D17201" i="7"/>
  <c r="D17202" i="7"/>
  <c r="D17203" i="7"/>
  <c r="D17204" i="7"/>
  <c r="D17205" i="7"/>
  <c r="D17206" i="7"/>
  <c r="D17207" i="7"/>
  <c r="D17208" i="7"/>
  <c r="D17209" i="7"/>
  <c r="D17210" i="7"/>
  <c r="D17211" i="7"/>
  <c r="D17212" i="7"/>
  <c r="D17213" i="7"/>
  <c r="D17214" i="7"/>
  <c r="D17215" i="7"/>
  <c r="D17216" i="7"/>
  <c r="D17217" i="7"/>
  <c r="D17218" i="7"/>
  <c r="D17219" i="7"/>
  <c r="D17220" i="7"/>
  <c r="D17221" i="7"/>
  <c r="D17222" i="7"/>
  <c r="D17223" i="7"/>
  <c r="D17224" i="7"/>
  <c r="D17225" i="7"/>
  <c r="D17226" i="7"/>
  <c r="D17227" i="7"/>
  <c r="D17228" i="7"/>
  <c r="D17229" i="7"/>
  <c r="D17230" i="7"/>
  <c r="D17231" i="7"/>
  <c r="D17232" i="7"/>
  <c r="D17233" i="7"/>
  <c r="D17234" i="7"/>
  <c r="D17235" i="7"/>
  <c r="D17236" i="7"/>
  <c r="D17237" i="7"/>
  <c r="D17238" i="7"/>
  <c r="D17239" i="7"/>
  <c r="D17240" i="7"/>
  <c r="D17241" i="7"/>
  <c r="D17242" i="7"/>
  <c r="D17243" i="7"/>
  <c r="D17244" i="7"/>
  <c r="D17245" i="7"/>
  <c r="D17246" i="7"/>
  <c r="D17247" i="7"/>
  <c r="D17248" i="7"/>
  <c r="D17249" i="7"/>
  <c r="D17250" i="7"/>
  <c r="D17251" i="7"/>
  <c r="D17252" i="7"/>
  <c r="D17253" i="7"/>
  <c r="D17254" i="7"/>
  <c r="D17255" i="7"/>
  <c r="D17256" i="7"/>
  <c r="D17257" i="7"/>
  <c r="D17258" i="7"/>
  <c r="D17259" i="7"/>
  <c r="S498" i="6" s="1"/>
  <c r="W498" i="6" s="1"/>
  <c r="D17260" i="7"/>
  <c r="D17261" i="7"/>
  <c r="D17262" i="7"/>
  <c r="D17263" i="7"/>
  <c r="D17264" i="7"/>
  <c r="D17265" i="7"/>
  <c r="D17266" i="7"/>
  <c r="D17267" i="7"/>
  <c r="S513" i="6" s="1"/>
  <c r="W513" i="6" s="1"/>
  <c r="D17268" i="7"/>
  <c r="D17269" i="7"/>
  <c r="D17270" i="7"/>
  <c r="D17271" i="7"/>
  <c r="D17272" i="7"/>
  <c r="D17273" i="7"/>
  <c r="D17274" i="7"/>
  <c r="D17275" i="7"/>
  <c r="D17276" i="7"/>
  <c r="D17277" i="7"/>
  <c r="D17278" i="7"/>
  <c r="D17279" i="7"/>
  <c r="D17280" i="7"/>
  <c r="D17281" i="7"/>
  <c r="D17282" i="7"/>
  <c r="D17283" i="7"/>
  <c r="D17284" i="7"/>
  <c r="D17285" i="7"/>
  <c r="D17286" i="7"/>
  <c r="D17287" i="7"/>
  <c r="D17288" i="7"/>
  <c r="D17289" i="7"/>
  <c r="D17290" i="7"/>
  <c r="D17291" i="7"/>
  <c r="D17292" i="7"/>
  <c r="D17293" i="7"/>
  <c r="D17294" i="7"/>
  <c r="D17295" i="7"/>
  <c r="D17296" i="7"/>
  <c r="D17297" i="7"/>
  <c r="D17298" i="7"/>
  <c r="D17299" i="7"/>
  <c r="D17300" i="7"/>
  <c r="D17301" i="7"/>
  <c r="D17302" i="7"/>
  <c r="D17303" i="7"/>
  <c r="D17304" i="7"/>
  <c r="S638" i="6" s="1"/>
  <c r="W638" i="6" s="1"/>
  <c r="D17305" i="7"/>
  <c r="D17306" i="7"/>
  <c r="D17307" i="7"/>
  <c r="D17308" i="7"/>
  <c r="D17309" i="7"/>
  <c r="D17310" i="7"/>
  <c r="D17311" i="7"/>
  <c r="D17312" i="7"/>
  <c r="D17313" i="7"/>
  <c r="D17314" i="7"/>
  <c r="D17315" i="7"/>
  <c r="D17316" i="7"/>
  <c r="D17317" i="7"/>
  <c r="D17318" i="7"/>
  <c r="D17319" i="7"/>
  <c r="D17320" i="7"/>
  <c r="D17321" i="7"/>
  <c r="D17322" i="7"/>
  <c r="D17323" i="7"/>
  <c r="D17324" i="7"/>
  <c r="D17325" i="7"/>
  <c r="D17326" i="7"/>
  <c r="D17327" i="7"/>
  <c r="D17328" i="7"/>
  <c r="D17329" i="7"/>
  <c r="D17330" i="7"/>
  <c r="D17331" i="7"/>
  <c r="D17332" i="7"/>
  <c r="D17333" i="7"/>
  <c r="D17334" i="7"/>
  <c r="D17335" i="7"/>
  <c r="D17336" i="7"/>
  <c r="D17337" i="7"/>
  <c r="D17338" i="7"/>
  <c r="D17339" i="7"/>
  <c r="D17340" i="7"/>
  <c r="D17341" i="7"/>
  <c r="D17342" i="7"/>
  <c r="D17343" i="7"/>
  <c r="D17344" i="7"/>
  <c r="D17345" i="7"/>
  <c r="D17346" i="7"/>
  <c r="S41" i="6" s="1"/>
  <c r="W41" i="6" s="1"/>
  <c r="D17347" i="7"/>
  <c r="D17348" i="7"/>
  <c r="D17349" i="7"/>
  <c r="D17350" i="7"/>
  <c r="D17351" i="7"/>
  <c r="D17352" i="7"/>
  <c r="D17353" i="7"/>
  <c r="D17354" i="7"/>
  <c r="D17355" i="7"/>
  <c r="D17356" i="7"/>
  <c r="D17357" i="7"/>
  <c r="D17358" i="7"/>
  <c r="D17359" i="7"/>
  <c r="D17360" i="7"/>
  <c r="D17361" i="7"/>
  <c r="D17362" i="7"/>
  <c r="D17363" i="7"/>
  <c r="D17364" i="7"/>
  <c r="D17365" i="7"/>
  <c r="D17366" i="7"/>
  <c r="D17367" i="7"/>
  <c r="D17368" i="7"/>
  <c r="D17369" i="7"/>
  <c r="D17370" i="7"/>
  <c r="D17371" i="7"/>
  <c r="D17372" i="7"/>
  <c r="D17373" i="7"/>
  <c r="D17374" i="7"/>
  <c r="D17375" i="7"/>
  <c r="D17376" i="7"/>
  <c r="D17377" i="7"/>
  <c r="D17378" i="7"/>
  <c r="D17379" i="7"/>
  <c r="D17380" i="7"/>
  <c r="D17381" i="7"/>
  <c r="D17382" i="7"/>
  <c r="D17383" i="7"/>
  <c r="D17384" i="7"/>
  <c r="D17385" i="7"/>
  <c r="D17386" i="7"/>
  <c r="D17387" i="7"/>
  <c r="D17388" i="7"/>
  <c r="D17389" i="7"/>
  <c r="D17390" i="7"/>
  <c r="D17391" i="7"/>
  <c r="D17392" i="7"/>
  <c r="D17393" i="7"/>
  <c r="D17394" i="7"/>
  <c r="D17395" i="7"/>
  <c r="D17396" i="7"/>
  <c r="D17397" i="7"/>
  <c r="D17398" i="7"/>
  <c r="D17399" i="7"/>
  <c r="D17400" i="7"/>
  <c r="D17401" i="7"/>
  <c r="D17402" i="7"/>
  <c r="D17403" i="7"/>
  <c r="D17404" i="7"/>
  <c r="D17405" i="7"/>
  <c r="D17406" i="7"/>
  <c r="D17407" i="7"/>
  <c r="D17408" i="7"/>
  <c r="D17409" i="7"/>
  <c r="D17410" i="7"/>
  <c r="D17411" i="7"/>
  <c r="D17412" i="7"/>
  <c r="D17413" i="7"/>
  <c r="D17414" i="7"/>
  <c r="D17415" i="7"/>
  <c r="D17416" i="7"/>
  <c r="D17417" i="7"/>
  <c r="D17418" i="7"/>
  <c r="D17419" i="7"/>
  <c r="D17420" i="7"/>
  <c r="D17421" i="7"/>
  <c r="D17422" i="7"/>
  <c r="D17423" i="7"/>
  <c r="D17424" i="7"/>
  <c r="D17425" i="7"/>
  <c r="D17426" i="7"/>
  <c r="D17427" i="7"/>
  <c r="D17428" i="7"/>
  <c r="D17429" i="7"/>
  <c r="D17430" i="7"/>
  <c r="D17431" i="7"/>
  <c r="D17432" i="7"/>
  <c r="D17433" i="7"/>
  <c r="D17434" i="7"/>
  <c r="D17435" i="7"/>
  <c r="D17436" i="7"/>
  <c r="S580" i="6" s="1"/>
  <c r="W580" i="6" s="1"/>
  <c r="D17437" i="7"/>
  <c r="D17438" i="7"/>
  <c r="D17439" i="7"/>
  <c r="D17440" i="7"/>
  <c r="D17441" i="7"/>
  <c r="D17442" i="7"/>
  <c r="D17443" i="7"/>
  <c r="D17444" i="7"/>
  <c r="D17445" i="7"/>
  <c r="D17446" i="7"/>
  <c r="D17447" i="7"/>
  <c r="D17448" i="7"/>
  <c r="D17449" i="7"/>
  <c r="D17450" i="7"/>
  <c r="D17451" i="7"/>
  <c r="D17452" i="7"/>
  <c r="D17453" i="7"/>
  <c r="D17454" i="7"/>
  <c r="D17455" i="7"/>
  <c r="S637" i="6" s="1"/>
  <c r="D17456" i="7"/>
  <c r="D17457" i="7"/>
  <c r="D17458" i="7"/>
  <c r="D17459" i="7"/>
  <c r="D17460" i="7"/>
  <c r="D17461" i="7"/>
  <c r="D17462" i="7"/>
  <c r="D17463" i="7"/>
  <c r="D17464" i="7"/>
  <c r="D17465" i="7"/>
  <c r="D17466" i="7"/>
  <c r="D17467" i="7"/>
  <c r="D17468" i="7"/>
  <c r="D17469" i="7"/>
  <c r="D17470" i="7"/>
  <c r="D17471" i="7"/>
  <c r="D17472" i="7"/>
  <c r="D17473" i="7"/>
  <c r="D17474" i="7"/>
  <c r="D17475" i="7"/>
  <c r="D17476" i="7"/>
  <c r="D17477" i="7"/>
  <c r="D17478" i="7"/>
  <c r="D17479" i="7"/>
  <c r="D17480" i="7"/>
  <c r="D17481" i="7"/>
  <c r="D17482" i="7"/>
  <c r="D17483" i="7"/>
  <c r="D17484" i="7"/>
  <c r="D17485" i="7"/>
  <c r="D17486" i="7"/>
  <c r="D17487" i="7"/>
  <c r="D17488" i="7"/>
  <c r="D17489" i="7"/>
  <c r="D17490" i="7"/>
  <c r="D17491" i="7"/>
  <c r="D17492" i="7"/>
  <c r="D17493" i="7"/>
  <c r="D17494" i="7"/>
  <c r="D17495" i="7"/>
  <c r="D17496" i="7"/>
  <c r="D17497" i="7"/>
  <c r="D17498" i="7"/>
  <c r="D17499" i="7"/>
  <c r="D17500" i="7"/>
  <c r="D17501" i="7"/>
  <c r="D17502" i="7"/>
  <c r="D17503" i="7"/>
  <c r="D17504" i="7"/>
  <c r="D17505" i="7"/>
  <c r="D17506" i="7"/>
  <c r="D17507" i="7"/>
  <c r="D17508" i="7"/>
  <c r="D17509" i="7"/>
  <c r="D17510" i="7"/>
  <c r="D17511" i="7"/>
  <c r="D17512" i="7"/>
  <c r="D17513" i="7"/>
  <c r="D17514" i="7"/>
  <c r="D17515" i="7"/>
  <c r="D17516" i="7"/>
  <c r="D17517" i="7"/>
  <c r="D17518" i="7"/>
  <c r="D17519" i="7"/>
  <c r="D17520" i="7"/>
  <c r="D17521" i="7"/>
  <c r="D17522" i="7"/>
  <c r="D17523" i="7"/>
  <c r="D17524" i="7"/>
  <c r="D17525" i="7"/>
  <c r="D17526" i="7"/>
  <c r="D17527" i="7"/>
  <c r="D17528" i="7"/>
  <c r="D17529" i="7"/>
  <c r="D17530" i="7"/>
  <c r="D17531" i="7"/>
  <c r="D17532" i="7"/>
  <c r="D17533" i="7"/>
  <c r="D17534" i="7"/>
  <c r="D17535" i="7"/>
  <c r="D17536" i="7"/>
  <c r="D17537" i="7"/>
  <c r="D17538" i="7"/>
  <c r="D17539" i="7"/>
  <c r="D17540" i="7"/>
  <c r="D17541" i="7"/>
  <c r="D17542" i="7"/>
  <c r="D17543" i="7"/>
  <c r="D17544" i="7"/>
  <c r="D17545" i="7"/>
  <c r="D17546" i="7"/>
  <c r="D17547" i="7"/>
  <c r="D17548" i="7"/>
  <c r="D17549" i="7"/>
  <c r="D17550" i="7"/>
  <c r="D17551" i="7"/>
  <c r="D17552" i="7"/>
  <c r="D17553" i="7"/>
  <c r="D17554" i="7"/>
  <c r="D17555" i="7"/>
  <c r="D17556" i="7"/>
  <c r="D17557" i="7"/>
  <c r="D17558" i="7"/>
  <c r="D17559" i="7"/>
  <c r="D17560" i="7"/>
  <c r="D17561" i="7"/>
  <c r="D17562" i="7"/>
  <c r="D17563" i="7"/>
  <c r="D17564" i="7"/>
  <c r="D17565" i="7"/>
  <c r="D17566" i="7"/>
  <c r="D17567" i="7"/>
  <c r="D17568" i="7"/>
  <c r="D17569" i="7"/>
  <c r="D17570" i="7"/>
  <c r="D17571" i="7"/>
  <c r="D17572" i="7"/>
  <c r="D17573" i="7"/>
  <c r="D17574" i="7"/>
  <c r="D17575" i="7"/>
  <c r="D17576" i="7"/>
  <c r="D17577" i="7"/>
  <c r="D17578" i="7"/>
  <c r="D17579" i="7"/>
  <c r="D17580" i="7"/>
  <c r="D17581" i="7"/>
  <c r="D17582" i="7"/>
  <c r="D17583" i="7"/>
  <c r="D17584" i="7"/>
  <c r="D17585" i="7"/>
  <c r="D17586" i="7"/>
  <c r="D17587" i="7"/>
  <c r="D17588" i="7"/>
  <c r="D17589" i="7"/>
  <c r="D17590" i="7"/>
  <c r="D17591" i="7"/>
  <c r="D17592" i="7"/>
  <c r="D17593" i="7"/>
  <c r="D17594" i="7"/>
  <c r="D17595" i="7"/>
  <c r="D17596" i="7"/>
  <c r="D17597" i="7"/>
  <c r="D17598" i="7"/>
  <c r="D17599" i="7"/>
  <c r="D17600" i="7"/>
  <c r="D17601" i="7"/>
  <c r="D17602" i="7"/>
  <c r="D17603" i="7"/>
  <c r="D17604" i="7"/>
  <c r="D17605" i="7"/>
  <c r="D17606" i="7"/>
  <c r="D17607" i="7"/>
  <c r="D17608" i="7"/>
  <c r="D17609" i="7"/>
  <c r="D17610" i="7"/>
  <c r="D17611" i="7"/>
  <c r="D17612" i="7"/>
  <c r="D17613" i="7"/>
  <c r="D17614" i="7"/>
  <c r="D17615" i="7"/>
  <c r="D17616" i="7"/>
  <c r="D17617" i="7"/>
  <c r="D17618" i="7"/>
  <c r="D17619" i="7"/>
  <c r="D17620" i="7"/>
  <c r="D17621" i="7"/>
  <c r="D17622" i="7"/>
  <c r="D17623" i="7"/>
  <c r="D17624" i="7"/>
  <c r="D17625" i="7"/>
  <c r="D17626" i="7"/>
  <c r="D17627" i="7"/>
  <c r="D17628" i="7"/>
  <c r="D17629" i="7"/>
  <c r="D17630" i="7"/>
  <c r="D17631" i="7"/>
  <c r="D17632" i="7"/>
  <c r="D17633" i="7"/>
  <c r="D17634" i="7"/>
  <c r="D17635" i="7"/>
  <c r="D17636" i="7"/>
  <c r="D17637" i="7"/>
  <c r="D17638" i="7"/>
  <c r="D17639" i="7"/>
  <c r="D17640" i="7"/>
  <c r="D17641" i="7"/>
  <c r="D17642" i="7"/>
  <c r="D17643" i="7"/>
  <c r="D17644" i="7"/>
  <c r="D17645" i="7"/>
  <c r="D17646" i="7"/>
  <c r="D17647" i="7"/>
  <c r="D17648" i="7"/>
  <c r="D17649" i="7"/>
  <c r="D17650" i="7"/>
  <c r="D17651" i="7"/>
  <c r="D17652" i="7"/>
  <c r="D17653" i="7"/>
  <c r="D17654" i="7"/>
  <c r="D17655" i="7"/>
  <c r="D17656" i="7"/>
  <c r="D17657" i="7"/>
  <c r="D17658" i="7"/>
  <c r="D17659" i="7"/>
  <c r="D17660" i="7"/>
  <c r="D17661" i="7"/>
  <c r="D17662" i="7"/>
  <c r="D17663" i="7"/>
  <c r="D17664" i="7"/>
  <c r="D17665" i="7"/>
  <c r="D17666" i="7"/>
  <c r="D17667" i="7"/>
  <c r="D17668" i="7"/>
  <c r="D17669" i="7"/>
  <c r="D17670" i="7"/>
  <c r="D17671" i="7"/>
  <c r="D17672" i="7"/>
  <c r="S458" i="6" s="1"/>
  <c r="W458" i="6" s="1"/>
  <c r="D17673" i="7"/>
  <c r="D17674" i="7"/>
  <c r="D17675" i="7"/>
  <c r="D17676" i="7"/>
  <c r="D17677" i="7"/>
  <c r="D17678" i="7"/>
  <c r="D17679" i="7"/>
  <c r="D17680" i="7"/>
  <c r="D17681" i="7"/>
  <c r="D17682" i="7"/>
  <c r="D17683" i="7"/>
  <c r="D17684" i="7"/>
  <c r="D17685" i="7"/>
  <c r="D17686" i="7"/>
  <c r="D17687" i="7"/>
  <c r="S172" i="6" s="1"/>
  <c r="W172" i="6" s="1"/>
  <c r="D17688" i="7"/>
  <c r="D17689" i="7"/>
  <c r="D17690" i="7"/>
  <c r="D17691" i="7"/>
  <c r="D17692" i="7"/>
  <c r="D17693" i="7"/>
  <c r="D17694" i="7"/>
  <c r="D17695" i="7"/>
  <c r="D17696" i="7"/>
  <c r="D17697" i="7"/>
  <c r="D17698" i="7"/>
  <c r="D17699" i="7"/>
  <c r="D17700" i="7"/>
  <c r="S469" i="6" s="1"/>
  <c r="D17701" i="7"/>
  <c r="D17702" i="7"/>
  <c r="D17703" i="7"/>
  <c r="D17704" i="7"/>
  <c r="D17705" i="7"/>
  <c r="D17706" i="7"/>
  <c r="S514" i="6" s="1"/>
  <c r="D17707" i="7"/>
  <c r="D17708" i="7"/>
  <c r="D17709" i="7"/>
  <c r="D17710" i="7"/>
  <c r="D17711" i="7"/>
  <c r="D17712" i="7"/>
  <c r="D17713" i="7"/>
  <c r="D17714" i="7"/>
  <c r="D17715" i="7"/>
  <c r="D17716" i="7"/>
  <c r="D17717" i="7"/>
  <c r="D17718" i="7"/>
  <c r="D17719" i="7"/>
  <c r="D17720" i="7"/>
  <c r="D17721" i="7"/>
  <c r="D17722" i="7"/>
  <c r="D17723" i="7"/>
  <c r="D17724" i="7"/>
  <c r="D17725" i="7"/>
  <c r="D17726" i="7"/>
  <c r="S123" i="6" s="1"/>
  <c r="W123" i="6" s="1"/>
  <c r="D17727" i="7"/>
  <c r="D17728" i="7"/>
  <c r="D17729" i="7"/>
  <c r="D17730" i="7"/>
  <c r="D17731" i="7"/>
  <c r="D17732" i="7"/>
  <c r="D17733" i="7"/>
  <c r="D17734" i="7"/>
  <c r="D17735" i="7"/>
  <c r="D17736" i="7"/>
  <c r="D17737" i="7"/>
  <c r="D17738" i="7"/>
  <c r="D17739" i="7"/>
  <c r="D17740" i="7"/>
  <c r="D17741" i="7"/>
  <c r="D17742" i="7"/>
  <c r="D17743" i="7"/>
  <c r="D17744" i="7"/>
  <c r="D17745" i="7"/>
  <c r="D17746" i="7"/>
  <c r="D17747" i="7"/>
  <c r="D17748" i="7"/>
  <c r="D17749" i="7"/>
  <c r="D17750" i="7"/>
  <c r="D17751" i="7"/>
  <c r="D17752" i="7"/>
  <c r="D17753" i="7"/>
  <c r="D17754" i="7"/>
  <c r="D17755" i="7"/>
  <c r="D17756" i="7"/>
  <c r="D17757" i="7"/>
  <c r="D17758" i="7"/>
  <c r="D17759" i="7"/>
  <c r="D17760" i="7"/>
  <c r="D17761" i="7"/>
  <c r="D17762" i="7"/>
  <c r="D17763" i="7"/>
  <c r="D17764" i="7"/>
  <c r="D17765" i="7"/>
  <c r="D17766" i="7"/>
  <c r="D17767" i="7"/>
  <c r="D17768" i="7"/>
  <c r="D17769" i="7"/>
  <c r="D17770" i="7"/>
  <c r="D17771" i="7"/>
  <c r="D17772" i="7"/>
  <c r="D17773" i="7"/>
  <c r="D17774" i="7"/>
  <c r="D17775" i="7"/>
  <c r="D17776" i="7"/>
  <c r="D17777" i="7"/>
  <c r="D17778" i="7"/>
  <c r="D17779" i="7"/>
  <c r="D17780" i="7"/>
  <c r="D17781" i="7"/>
  <c r="D17782" i="7"/>
  <c r="D17783" i="7"/>
  <c r="D17784" i="7"/>
  <c r="D17785" i="7"/>
  <c r="D17786" i="7"/>
  <c r="D17787" i="7"/>
  <c r="D17788" i="7"/>
  <c r="D17789" i="7"/>
  <c r="D17790" i="7"/>
  <c r="D17791" i="7"/>
  <c r="D17792" i="7"/>
  <c r="D17793" i="7"/>
  <c r="D17794" i="7"/>
  <c r="D17795" i="7"/>
  <c r="D17796" i="7"/>
  <c r="D17797" i="7"/>
  <c r="D17798" i="7"/>
  <c r="D17799" i="7"/>
  <c r="D17800" i="7"/>
  <c r="D17801" i="7"/>
  <c r="D17802" i="7"/>
  <c r="D17803" i="7"/>
  <c r="D17804" i="7"/>
  <c r="D17805" i="7"/>
  <c r="D17806" i="7"/>
  <c r="D17807" i="7"/>
  <c r="D17808" i="7"/>
  <c r="D17809" i="7"/>
  <c r="D17810" i="7"/>
  <c r="D17811" i="7"/>
  <c r="D17812" i="7"/>
  <c r="D17813" i="7"/>
  <c r="D17814" i="7"/>
  <c r="D17815" i="7"/>
  <c r="D17816" i="7"/>
  <c r="D17817" i="7"/>
  <c r="D17818" i="7"/>
  <c r="D17819" i="7"/>
  <c r="D17820" i="7"/>
  <c r="D17821" i="7"/>
  <c r="D17822" i="7"/>
  <c r="D17823" i="7"/>
  <c r="D17824" i="7"/>
  <c r="D17825" i="7"/>
  <c r="D17826" i="7"/>
  <c r="D17827" i="7"/>
  <c r="D17828" i="7"/>
  <c r="D17829" i="7"/>
  <c r="D17830" i="7"/>
  <c r="D17831" i="7"/>
  <c r="D17832" i="7"/>
  <c r="D17833" i="7"/>
  <c r="D17834" i="7"/>
  <c r="D17835" i="7"/>
  <c r="D17836" i="7"/>
  <c r="D17837" i="7"/>
  <c r="D17838" i="7"/>
  <c r="D17839" i="7"/>
  <c r="D17840" i="7"/>
  <c r="D17841" i="7"/>
  <c r="D17842" i="7"/>
  <c r="D17843" i="7"/>
  <c r="D17844" i="7"/>
  <c r="D17845" i="7"/>
  <c r="D17846" i="7"/>
  <c r="D17847" i="7"/>
  <c r="D17848" i="7"/>
  <c r="D17849" i="7"/>
  <c r="S246" i="6" s="1"/>
  <c r="W246" i="6" s="1"/>
  <c r="D17850" i="7"/>
  <c r="D17851" i="7"/>
  <c r="D17852" i="7"/>
  <c r="D17853" i="7"/>
  <c r="D17854" i="7"/>
  <c r="D17855" i="7"/>
  <c r="D17856" i="7"/>
  <c r="D17857" i="7"/>
  <c r="D17858" i="7"/>
  <c r="D17859" i="7"/>
  <c r="D17860" i="7"/>
  <c r="D17861" i="7"/>
  <c r="D17862" i="7"/>
  <c r="D17863" i="7"/>
  <c r="D17864" i="7"/>
  <c r="D17865" i="7"/>
  <c r="D17866" i="7"/>
  <c r="D17867" i="7"/>
  <c r="D17868" i="7"/>
  <c r="D17869" i="7"/>
  <c r="D17870" i="7"/>
  <c r="D17871" i="7"/>
  <c r="D17872" i="7"/>
  <c r="D17873" i="7"/>
  <c r="D17874" i="7"/>
  <c r="D17875" i="7"/>
  <c r="D17876" i="7"/>
  <c r="D17877" i="7"/>
  <c r="D17878" i="7"/>
  <c r="D17879" i="7"/>
  <c r="D17880" i="7"/>
  <c r="D17881" i="7"/>
  <c r="D17882" i="7"/>
  <c r="D17883" i="7"/>
  <c r="D17884" i="7"/>
  <c r="D17885" i="7"/>
  <c r="D17886" i="7"/>
  <c r="D17887" i="7"/>
  <c r="D17888" i="7"/>
  <c r="D17889" i="7"/>
  <c r="D17890" i="7"/>
  <c r="C2" i="7"/>
  <c r="D2" i="7" s="1"/>
  <c r="B2" i="7"/>
  <c r="W517" i="6" l="1"/>
  <c r="W709" i="6"/>
  <c r="U504" i="6"/>
  <c r="V504" i="6"/>
  <c r="W157" i="6"/>
  <c r="W361" i="6"/>
  <c r="W228" i="6"/>
  <c r="W457" i="6"/>
  <c r="W289" i="6"/>
  <c r="W695" i="6"/>
  <c r="W491" i="6"/>
  <c r="W505" i="6"/>
  <c r="W191" i="6"/>
  <c r="W588" i="6"/>
  <c r="W493" i="6"/>
  <c r="W467" i="6"/>
  <c r="W36" i="6"/>
  <c r="W419" i="6"/>
  <c r="W143" i="6"/>
  <c r="W649" i="6"/>
  <c r="W94" i="6"/>
  <c r="W226" i="6"/>
  <c r="W514" i="6"/>
  <c r="W239" i="6"/>
  <c r="W265" i="6"/>
  <c r="W433" i="6"/>
  <c r="W372" i="6"/>
  <c r="W297" i="6"/>
  <c r="W382" i="6"/>
  <c r="W503" i="6"/>
  <c r="W154" i="6"/>
  <c r="W61" i="6"/>
  <c r="W515" i="6"/>
  <c r="W396" i="6"/>
  <c r="W550" i="6"/>
  <c r="W648" i="6"/>
  <c r="W189" i="6"/>
  <c r="W155" i="6"/>
  <c r="W524" i="6"/>
  <c r="W623" i="6"/>
  <c r="W217" i="6"/>
  <c r="W236" i="6"/>
  <c r="W237" i="6"/>
  <c r="W22" i="6"/>
  <c r="W127" i="6"/>
  <c r="W778" i="6"/>
  <c r="W274" i="6"/>
  <c r="W681" i="6"/>
  <c r="W31" i="6"/>
  <c r="W199" i="6"/>
  <c r="W70" i="6"/>
  <c r="W200" i="6"/>
  <c r="W131" i="6"/>
  <c r="W432" i="6"/>
  <c r="W549" i="6"/>
  <c r="W500" i="6"/>
  <c r="W177" i="6"/>
  <c r="W718" i="6"/>
  <c r="W420" i="6"/>
  <c r="W583" i="6"/>
  <c r="W672" i="6"/>
  <c r="W670" i="6"/>
  <c r="W667" i="6"/>
  <c r="W48" i="6"/>
  <c r="W72" i="6"/>
  <c r="W645" i="6"/>
  <c r="W696" i="6"/>
  <c r="W8" i="6"/>
  <c r="W384" i="6"/>
  <c r="W441" i="6"/>
  <c r="W323" i="6"/>
  <c r="W347" i="6"/>
  <c r="W481" i="6"/>
  <c r="W609" i="6"/>
  <c r="W612" i="6"/>
  <c r="W83" i="6"/>
  <c r="W589" i="6"/>
  <c r="W248" i="6"/>
  <c r="U750" i="6"/>
  <c r="V750" i="6"/>
  <c r="W750" i="6" s="1"/>
  <c r="U342" i="6"/>
  <c r="V342" i="6"/>
  <c r="W349" i="6"/>
  <c r="W409" i="6"/>
  <c r="W301" i="6"/>
  <c r="W168" i="6"/>
  <c r="W684" i="6"/>
  <c r="W167" i="6"/>
  <c r="W287" i="6"/>
  <c r="W180" i="6"/>
  <c r="W49" i="6"/>
  <c r="W12" i="6"/>
  <c r="W456" i="6"/>
  <c r="W637" i="6"/>
  <c r="W478" i="6"/>
  <c r="W528" i="6"/>
  <c r="W719" i="6"/>
  <c r="W658" i="6"/>
  <c r="W262" i="6"/>
  <c r="W733" i="6"/>
  <c r="W685" i="6"/>
  <c r="W660" i="6"/>
  <c r="W313" i="6"/>
  <c r="W10" i="6"/>
  <c r="W81" i="6"/>
  <c r="W337" i="6"/>
  <c r="W238" i="6"/>
  <c r="W227" i="6"/>
  <c r="W682" i="6"/>
  <c r="W744" i="6"/>
  <c r="W368" i="6"/>
  <c r="W501" i="6"/>
  <c r="W721" i="6"/>
  <c r="W261" i="6"/>
  <c r="W442" i="6"/>
  <c r="W455" i="6"/>
  <c r="W453" i="6"/>
  <c r="W679" i="6"/>
  <c r="W25" i="6"/>
  <c r="W24" i="6"/>
  <c r="W780" i="6"/>
  <c r="W766" i="6"/>
  <c r="W429" i="6"/>
  <c r="W431" i="6"/>
  <c r="W264" i="6"/>
  <c r="W35" i="6"/>
  <c r="W393" i="6"/>
  <c r="W727" i="6"/>
  <c r="W728" i="6"/>
  <c r="W371" i="6"/>
  <c r="W731" i="6"/>
  <c r="W214" i="6"/>
  <c r="W169" i="6"/>
  <c r="W716" i="6"/>
  <c r="W708" i="6"/>
  <c r="W140" i="6"/>
  <c r="W379" i="6"/>
  <c r="W673" i="6"/>
  <c r="W668" i="6"/>
  <c r="W46" i="6"/>
  <c r="W307" i="6"/>
  <c r="W659" i="6"/>
  <c r="W309" i="6"/>
  <c r="W657" i="6"/>
  <c r="W68" i="6"/>
  <c r="W697" i="6"/>
  <c r="W322" i="6"/>
  <c r="W325" i="6"/>
  <c r="W407" i="6"/>
  <c r="W622" i="6"/>
  <c r="W204" i="6"/>
  <c r="W611" i="6"/>
  <c r="W93" i="6"/>
  <c r="W59" i="6"/>
  <c r="W205" i="6"/>
  <c r="W601" i="6"/>
  <c r="W597" i="6"/>
  <c r="W468" i="6"/>
  <c r="U197" i="6"/>
  <c r="V197" i="6"/>
  <c r="U137" i="6"/>
  <c r="V137" i="6"/>
  <c r="W137" i="6" s="1"/>
  <c r="W565" i="6"/>
  <c r="W373" i="6"/>
  <c r="W229" i="6"/>
  <c r="W539" i="6"/>
  <c r="W360" i="6"/>
  <c r="W527" i="6"/>
  <c r="W526" i="6"/>
  <c r="W37" i="6"/>
  <c r="W600" i="6"/>
  <c r="W683" i="6"/>
  <c r="W369" i="6"/>
  <c r="W564" i="6"/>
  <c r="W193" i="6"/>
  <c r="W13" i="6"/>
  <c r="W58" i="6"/>
  <c r="W541" i="6"/>
  <c r="W421" i="6"/>
  <c r="W145" i="6"/>
  <c r="W11" i="6"/>
  <c r="W632" i="6"/>
  <c r="W355" i="6"/>
  <c r="W21" i="6"/>
  <c r="W69" i="6"/>
  <c r="W130" i="6"/>
  <c r="W779" i="6"/>
  <c r="W776" i="6"/>
  <c r="W117" i="6"/>
  <c r="W250" i="6"/>
  <c r="W753" i="6"/>
  <c r="W132" i="6"/>
  <c r="W757" i="6"/>
  <c r="W263" i="6"/>
  <c r="W120" i="6"/>
  <c r="W45" i="6"/>
  <c r="W190" i="6"/>
  <c r="W745" i="6"/>
  <c r="W32" i="6"/>
  <c r="W370" i="6"/>
  <c r="W477" i="6"/>
  <c r="W109" i="6"/>
  <c r="W106" i="6"/>
  <c r="W563" i="6"/>
  <c r="W584" i="6"/>
  <c r="W439" i="6"/>
  <c r="W187" i="6"/>
  <c r="W241" i="6"/>
  <c r="W165" i="6"/>
  <c r="W142" i="6"/>
  <c r="W311" i="6"/>
  <c r="W321" i="6"/>
  <c r="W324" i="6"/>
  <c r="W621" i="6"/>
  <c r="W331" i="6"/>
  <c r="W57" i="6"/>
  <c r="W277" i="6"/>
  <c r="W121" i="6"/>
  <c r="W104" i="6"/>
  <c r="W298" i="6"/>
  <c r="U196" i="6"/>
  <c r="V196" i="6"/>
  <c r="W196" i="6" s="1"/>
  <c r="W60" i="6"/>
  <c r="W552" i="6"/>
  <c r="W84" i="6"/>
  <c r="W576" i="6"/>
  <c r="W129" i="6"/>
  <c r="W215" i="6"/>
  <c r="W445" i="6"/>
  <c r="W444" i="6"/>
  <c r="W613" i="6"/>
  <c r="W634" i="6"/>
  <c r="W633" i="6"/>
  <c r="W516" i="6"/>
  <c r="W19" i="6"/>
  <c r="W631" i="6"/>
  <c r="W108" i="6"/>
  <c r="W466" i="6"/>
  <c r="W768" i="6"/>
  <c r="W769" i="6"/>
  <c r="W359" i="6"/>
  <c r="W755" i="6"/>
  <c r="W765" i="6"/>
  <c r="W703" i="6"/>
  <c r="W119" i="6"/>
  <c r="W743" i="6"/>
  <c r="W156" i="6"/>
  <c r="W732" i="6"/>
  <c r="W551" i="6"/>
  <c r="W577" i="6"/>
  <c r="W175" i="6"/>
  <c r="W345" i="6"/>
  <c r="W166" i="6"/>
  <c r="W559" i="6"/>
  <c r="W671" i="6"/>
  <c r="W562" i="6"/>
  <c r="W253" i="6"/>
  <c r="W260" i="6"/>
  <c r="W656" i="6"/>
  <c r="W224" i="6"/>
  <c r="W489" i="6"/>
  <c r="W647" i="6"/>
  <c r="W203" i="6"/>
  <c r="W475" i="6"/>
  <c r="W44" i="6"/>
  <c r="W706" i="6"/>
  <c r="W385" i="6"/>
  <c r="W624" i="6"/>
  <c r="W271" i="6"/>
  <c r="W85" i="6"/>
  <c r="W334" i="6"/>
  <c r="W153" i="6"/>
  <c r="W443" i="6"/>
  <c r="W599" i="6"/>
  <c r="W452" i="6"/>
  <c r="W553" i="6"/>
  <c r="W575" i="6"/>
  <c r="U591" i="6"/>
  <c r="V591" i="6"/>
  <c r="W591" i="6" s="1"/>
  <c r="W636" i="6"/>
  <c r="W197" i="6"/>
  <c r="W504" i="6"/>
  <c r="U636" i="6"/>
  <c r="V636" i="6"/>
  <c r="W625" i="6"/>
  <c r="W538" i="6"/>
  <c r="W286" i="6"/>
  <c r="W469" i="6"/>
  <c r="W415" i="6"/>
  <c r="W540" i="6"/>
  <c r="W235" i="6"/>
  <c r="W418" i="6"/>
  <c r="W781" i="6"/>
  <c r="W777" i="6"/>
  <c r="W357" i="6"/>
  <c r="W767" i="6"/>
  <c r="W201" i="6"/>
  <c r="W34" i="6"/>
  <c r="W704" i="6"/>
  <c r="W133" i="6"/>
  <c r="W511" i="6"/>
  <c r="W342" i="6"/>
  <c r="W560" i="6"/>
  <c r="W181" i="6"/>
  <c r="W661" i="6"/>
  <c r="W404" i="6"/>
  <c r="W585" i="6"/>
  <c r="W9" i="6"/>
  <c r="W92" i="6"/>
  <c r="W405" i="6"/>
  <c r="W144" i="6"/>
  <c r="W480" i="6"/>
  <c r="W610" i="6"/>
  <c r="W152" i="6"/>
  <c r="W608" i="6"/>
  <c r="W607" i="6"/>
  <c r="W251" i="6"/>
  <c r="W525" i="6"/>
  <c r="W408" i="6"/>
  <c r="W693" i="6"/>
  <c r="U626" i="6"/>
  <c r="V626" i="6"/>
  <c r="W626" i="6" s="1"/>
  <c r="U325" i="6"/>
  <c r="U193" i="6"/>
  <c r="U192" i="6"/>
  <c r="U194" i="6"/>
  <c r="U195" i="6"/>
  <c r="U553" i="6"/>
  <c r="U173" i="6"/>
  <c r="U665" i="6"/>
  <c r="U509" i="6"/>
  <c r="U85" i="6"/>
  <c r="U401" i="6"/>
  <c r="U377" i="6"/>
  <c r="U533" i="6"/>
  <c r="U125" i="6"/>
  <c r="U425" i="6"/>
  <c r="U77" i="6"/>
  <c r="U326" i="6"/>
  <c r="U780" i="6"/>
  <c r="U265" i="6"/>
  <c r="U732" i="6"/>
  <c r="U375" i="6"/>
  <c r="U169" i="6"/>
  <c r="U506" i="6"/>
  <c r="U243" i="6"/>
  <c r="U37" i="6"/>
  <c r="U482" i="6"/>
  <c r="U373" i="6"/>
  <c r="U242" i="6"/>
  <c r="U36" i="6"/>
  <c r="U687" i="6"/>
  <c r="U147" i="6"/>
  <c r="U625" i="6"/>
  <c r="U461" i="6"/>
  <c r="U352" i="6"/>
  <c r="U220" i="6"/>
  <c r="U111" i="6"/>
  <c r="U35" i="6"/>
  <c r="U268" i="6"/>
  <c r="U508" i="6"/>
  <c r="U376" i="6"/>
  <c r="U61" i="6"/>
  <c r="U507" i="6"/>
  <c r="U244" i="6"/>
  <c r="U38" i="6"/>
  <c r="U374" i="6"/>
  <c r="U624" i="6"/>
  <c r="U444" i="6"/>
  <c r="U351" i="6"/>
  <c r="U219" i="6"/>
  <c r="U101" i="6"/>
  <c r="U16" i="6"/>
  <c r="U400" i="6"/>
  <c r="U530" i="6"/>
  <c r="U63" i="6"/>
  <c r="U601" i="6"/>
  <c r="U350" i="6"/>
  <c r="U218" i="6"/>
  <c r="U87" i="6"/>
  <c r="U782" i="6"/>
  <c r="U399" i="6"/>
  <c r="U304" i="6"/>
  <c r="U781" i="6"/>
  <c r="U62" i="6"/>
  <c r="U557" i="6"/>
  <c r="U422" i="6"/>
  <c r="U349" i="6"/>
  <c r="U217" i="6"/>
  <c r="U86" i="6"/>
  <c r="U779" i="6"/>
  <c r="U767" i="6"/>
  <c r="U755" i="6"/>
  <c r="U743" i="6"/>
  <c r="U731" i="6"/>
  <c r="U719" i="6"/>
  <c r="U707" i="6"/>
  <c r="U695" i="6"/>
  <c r="U683" i="6"/>
  <c r="U671" i="6"/>
  <c r="U659" i="6"/>
  <c r="U647" i="6"/>
  <c r="U635" i="6"/>
  <c r="U623" i="6"/>
  <c r="U611" i="6"/>
  <c r="U599" i="6"/>
  <c r="U587" i="6"/>
  <c r="U575" i="6"/>
  <c r="U563" i="6"/>
  <c r="U551" i="6"/>
  <c r="U539" i="6"/>
  <c r="U527" i="6"/>
  <c r="U515" i="6"/>
  <c r="U503" i="6"/>
  <c r="U491" i="6"/>
  <c r="U479" i="6"/>
  <c r="U467" i="6"/>
  <c r="U455" i="6"/>
  <c r="U443" i="6"/>
  <c r="U431" i="6"/>
  <c r="U419" i="6"/>
  <c r="U407" i="6"/>
  <c r="U395" i="6"/>
  <c r="U383" i="6"/>
  <c r="U371" i="6"/>
  <c r="U359" i="6"/>
  <c r="U347" i="6"/>
  <c r="U335" i="6"/>
  <c r="U323" i="6"/>
  <c r="U311" i="6"/>
  <c r="U299" i="6"/>
  <c r="U287" i="6"/>
  <c r="U275" i="6"/>
  <c r="U263" i="6"/>
  <c r="U251" i="6"/>
  <c r="U239" i="6"/>
  <c r="U227" i="6"/>
  <c r="U215" i="6"/>
  <c r="U203" i="6"/>
  <c r="U191" i="6"/>
  <c r="U179" i="6"/>
  <c r="U167" i="6"/>
  <c r="U155" i="6"/>
  <c r="U143" i="6"/>
  <c r="U131" i="6"/>
  <c r="U119" i="6"/>
  <c r="U107" i="6"/>
  <c r="U95" i="6"/>
  <c r="U778" i="6"/>
  <c r="U766" i="6"/>
  <c r="U754" i="6"/>
  <c r="U742" i="6"/>
  <c r="U730" i="6"/>
  <c r="U718" i="6"/>
  <c r="U706" i="6"/>
  <c r="U694" i="6"/>
  <c r="U682" i="6"/>
  <c r="U670" i="6"/>
  <c r="U658" i="6"/>
  <c r="U646" i="6"/>
  <c r="U634" i="6"/>
  <c r="U622" i="6"/>
  <c r="U610" i="6"/>
  <c r="U598" i="6"/>
  <c r="U586" i="6"/>
  <c r="U574" i="6"/>
  <c r="U562" i="6"/>
  <c r="U550" i="6"/>
  <c r="U538" i="6"/>
  <c r="U526" i="6"/>
  <c r="U514" i="6"/>
  <c r="U502" i="6"/>
  <c r="U490" i="6"/>
  <c r="U478" i="6"/>
  <c r="U466" i="6"/>
  <c r="U454" i="6"/>
  <c r="U442" i="6"/>
  <c r="U430" i="6"/>
  <c r="U418" i="6"/>
  <c r="U406" i="6"/>
  <c r="U394" i="6"/>
  <c r="U382" i="6"/>
  <c r="U370" i="6"/>
  <c r="U358" i="6"/>
  <c r="U346" i="6"/>
  <c r="U334" i="6"/>
  <c r="U322" i="6"/>
  <c r="U310" i="6"/>
  <c r="U298" i="6"/>
  <c r="U286" i="6"/>
  <c r="U274" i="6"/>
  <c r="U262" i="6"/>
  <c r="U250" i="6"/>
  <c r="U238" i="6"/>
  <c r="U226" i="6"/>
  <c r="U214" i="6"/>
  <c r="U202" i="6"/>
  <c r="U190" i="6"/>
  <c r="U178" i="6"/>
  <c r="U166" i="6"/>
  <c r="U154" i="6"/>
  <c r="U142" i="6"/>
  <c r="U130" i="6"/>
  <c r="U118" i="6"/>
  <c r="U106" i="6"/>
  <c r="U94" i="6"/>
  <c r="U82" i="6"/>
  <c r="U70" i="6"/>
  <c r="U777" i="6"/>
  <c r="U765" i="6"/>
  <c r="U753" i="6"/>
  <c r="U741" i="6"/>
  <c r="U729" i="6"/>
  <c r="U717" i="6"/>
  <c r="U705" i="6"/>
  <c r="U693" i="6"/>
  <c r="U681" i="6"/>
  <c r="U669" i="6"/>
  <c r="U657" i="6"/>
  <c r="U645" i="6"/>
  <c r="U633" i="6"/>
  <c r="U621" i="6"/>
  <c r="U609" i="6"/>
  <c r="U597" i="6"/>
  <c r="U585" i="6"/>
  <c r="U573" i="6"/>
  <c r="U561" i="6"/>
  <c r="U549" i="6"/>
  <c r="U537" i="6"/>
  <c r="U525" i="6"/>
  <c r="U513" i="6"/>
  <c r="U501" i="6"/>
  <c r="U489" i="6"/>
  <c r="U477" i="6"/>
  <c r="U465" i="6"/>
  <c r="U453" i="6"/>
  <c r="U441" i="6"/>
  <c r="U429" i="6"/>
  <c r="U417" i="6"/>
  <c r="U405" i="6"/>
  <c r="U393" i="6"/>
  <c r="U381" i="6"/>
  <c r="U369" i="6"/>
  <c r="U357" i="6"/>
  <c r="U345" i="6"/>
  <c r="U333" i="6"/>
  <c r="U321" i="6"/>
  <c r="U309" i="6"/>
  <c r="U297" i="6"/>
  <c r="U285" i="6"/>
  <c r="U273" i="6"/>
  <c r="U261" i="6"/>
  <c r="U249" i="6"/>
  <c r="U237" i="6"/>
  <c r="U225" i="6"/>
  <c r="U213" i="6"/>
  <c r="U201" i="6"/>
  <c r="U189" i="6"/>
  <c r="U177" i="6"/>
  <c r="U165" i="6"/>
  <c r="U153" i="6"/>
  <c r="U141" i="6"/>
  <c r="U129" i="6"/>
  <c r="U117" i="6"/>
  <c r="U105" i="6"/>
  <c r="U93" i="6"/>
  <c r="U776" i="6"/>
  <c r="U764" i="6"/>
  <c r="U752" i="6"/>
  <c r="U740" i="6"/>
  <c r="U728" i="6"/>
  <c r="U716" i="6"/>
  <c r="U704" i="6"/>
  <c r="U692" i="6"/>
  <c r="U680" i="6"/>
  <c r="U668" i="6"/>
  <c r="U656" i="6"/>
  <c r="U644" i="6"/>
  <c r="U632" i="6"/>
  <c r="U620" i="6"/>
  <c r="U608" i="6"/>
  <c r="U596" i="6"/>
  <c r="U584" i="6"/>
  <c r="U572" i="6"/>
  <c r="U560" i="6"/>
  <c r="U548" i="6"/>
  <c r="U536" i="6"/>
  <c r="U524" i="6"/>
  <c r="U512" i="6"/>
  <c r="U500" i="6"/>
  <c r="U488" i="6"/>
  <c r="U476" i="6"/>
  <c r="U464" i="6"/>
  <c r="U452" i="6"/>
  <c r="U440" i="6"/>
  <c r="U428" i="6"/>
  <c r="U416" i="6"/>
  <c r="U404" i="6"/>
  <c r="U392" i="6"/>
  <c r="U380" i="6"/>
  <c r="U368" i="6"/>
  <c r="U356" i="6"/>
  <c r="U344" i="6"/>
  <c r="U332" i="6"/>
  <c r="U320" i="6"/>
  <c r="U775" i="6"/>
  <c r="U763" i="6"/>
  <c r="U751" i="6"/>
  <c r="U739" i="6"/>
  <c r="U727" i="6"/>
  <c r="U83" i="6"/>
  <c r="U71" i="6"/>
  <c r="U47" i="6"/>
  <c r="U23" i="6"/>
  <c r="U308" i="6"/>
  <c r="U58" i="6"/>
  <c r="U46" i="6"/>
  <c r="U34" i="6"/>
  <c r="U22" i="6"/>
  <c r="U10" i="6"/>
  <c r="U81" i="6"/>
  <c r="U69" i="6"/>
  <c r="U57" i="6"/>
  <c r="U45" i="6"/>
  <c r="U33" i="6"/>
  <c r="U9" i="6"/>
  <c r="U667" i="6"/>
  <c r="U559" i="6"/>
  <c r="U21" i="6"/>
  <c r="U296" i="6"/>
  <c r="U272" i="6"/>
  <c r="U248" i="6"/>
  <c r="U236" i="6"/>
  <c r="U224" i="6"/>
  <c r="U212" i="6"/>
  <c r="U188" i="6"/>
  <c r="U176" i="6"/>
  <c r="U164" i="6"/>
  <c r="U140" i="6"/>
  <c r="U116" i="6"/>
  <c r="U92" i="6"/>
  <c r="U80" i="6"/>
  <c r="U68" i="6"/>
  <c r="U56" i="6"/>
  <c r="U44" i="6"/>
  <c r="U32" i="6"/>
  <c r="U8" i="6"/>
  <c r="U619" i="6"/>
  <c r="U128" i="6"/>
  <c r="U20" i="6"/>
  <c r="U703" i="6"/>
  <c r="U679" i="6"/>
  <c r="U655" i="6"/>
  <c r="U643" i="6"/>
  <c r="U631" i="6"/>
  <c r="U607" i="6"/>
  <c r="U595" i="6"/>
  <c r="U571" i="6"/>
  <c r="U547" i="6"/>
  <c r="U523" i="6"/>
  <c r="U511" i="6"/>
  <c r="U499" i="6"/>
  <c r="U487" i="6"/>
  <c r="U475" i="6"/>
  <c r="U463" i="6"/>
  <c r="U451" i="6"/>
  <c r="U439" i="6"/>
  <c r="U427" i="6"/>
  <c r="U415" i="6"/>
  <c r="U403" i="6"/>
  <c r="U391" i="6"/>
  <c r="U379" i="6"/>
  <c r="U367" i="6"/>
  <c r="U355" i="6"/>
  <c r="U343" i="6"/>
  <c r="U319" i="6"/>
  <c r="U307" i="6"/>
  <c r="U295" i="6"/>
  <c r="U271" i="6"/>
  <c r="U247" i="6"/>
  <c r="U223" i="6"/>
  <c r="U211" i="6"/>
  <c r="U199" i="6"/>
  <c r="U187" i="6"/>
  <c r="U175" i="6"/>
  <c r="U163" i="6"/>
  <c r="U139" i="6"/>
  <c r="U115" i="6"/>
  <c r="U91" i="6"/>
  <c r="U79" i="6"/>
  <c r="U67" i="6"/>
  <c r="U55" i="6"/>
  <c r="U31" i="6"/>
  <c r="U19" i="6"/>
  <c r="U715" i="6"/>
  <c r="U664" i="6"/>
  <c r="U556" i="6"/>
  <c r="U396" i="6"/>
  <c r="U235" i="6"/>
  <c r="U127" i="6"/>
  <c r="U758" i="6"/>
  <c r="U713" i="6"/>
  <c r="U663" i="6"/>
  <c r="U600" i="6"/>
  <c r="U492" i="6"/>
  <c r="U284" i="6"/>
  <c r="U12" i="6"/>
  <c r="U773" i="6"/>
  <c r="U761" i="6"/>
  <c r="U749" i="6"/>
  <c r="U737" i="6"/>
  <c r="U725" i="6"/>
  <c r="U701" i="6"/>
  <c r="U677" i="6"/>
  <c r="U653" i="6"/>
  <c r="U641" i="6"/>
  <c r="U629" i="6"/>
  <c r="U617" i="6"/>
  <c r="U605" i="6"/>
  <c r="U593" i="6"/>
  <c r="U581" i="6"/>
  <c r="U569" i="6"/>
  <c r="U757" i="6"/>
  <c r="U710" i="6"/>
  <c r="U649" i="6"/>
  <c r="U331" i="6"/>
  <c r="U283" i="6"/>
  <c r="U11" i="6"/>
  <c r="U784" i="6"/>
  <c r="U772" i="6"/>
  <c r="U760" i="6"/>
  <c r="U748" i="6"/>
  <c r="U724" i="6"/>
  <c r="U712" i="6"/>
  <c r="U700" i="6"/>
  <c r="U676" i="6"/>
  <c r="U652" i="6"/>
  <c r="U628" i="6"/>
  <c r="U616" i="6"/>
  <c r="U604" i="6"/>
  <c r="U592" i="6"/>
  <c r="U580" i="6"/>
  <c r="U568" i="6"/>
  <c r="U544" i="6"/>
  <c r="U520" i="6"/>
  <c r="U496" i="6"/>
  <c r="U484" i="6"/>
  <c r="U472" i="6"/>
  <c r="U460" i="6"/>
  <c r="U448" i="6"/>
  <c r="U436" i="6"/>
  <c r="U424" i="6"/>
  <c r="U412" i="6"/>
  <c r="U756" i="6"/>
  <c r="U648" i="6"/>
  <c r="U535" i="6"/>
  <c r="U168" i="6"/>
  <c r="U108" i="6"/>
  <c r="U60" i="6"/>
  <c r="U783" i="6"/>
  <c r="U771" i="6"/>
  <c r="U759" i="6"/>
  <c r="U747" i="6"/>
  <c r="U735" i="6"/>
  <c r="U723" i="6"/>
  <c r="U711" i="6"/>
  <c r="U699" i="6"/>
  <c r="U675" i="6"/>
  <c r="U651" i="6"/>
  <c r="U627" i="6"/>
  <c r="U615" i="6"/>
  <c r="U603" i="6"/>
  <c r="U567" i="6"/>
  <c r="U555" i="6"/>
  <c r="U543" i="6"/>
  <c r="U519" i="6"/>
  <c r="U495" i="6"/>
  <c r="U471" i="6"/>
  <c r="U459" i="6"/>
  <c r="U447" i="6"/>
  <c r="U435" i="6"/>
  <c r="U423" i="6"/>
  <c r="U411" i="6"/>
  <c r="U483" i="6"/>
  <c r="U104" i="6"/>
  <c r="U59" i="6"/>
  <c r="U770" i="6"/>
  <c r="U746" i="6"/>
  <c r="U734" i="6"/>
  <c r="U722" i="6"/>
  <c r="U698" i="6"/>
  <c r="U686" i="6"/>
  <c r="U674" i="6"/>
  <c r="U662" i="6"/>
  <c r="U650" i="6"/>
  <c r="U691" i="6"/>
  <c r="U640" i="6"/>
  <c r="U583" i="6"/>
  <c r="U532" i="6"/>
  <c r="U216" i="6"/>
  <c r="U103" i="6"/>
  <c r="U43" i="6"/>
  <c r="U769" i="6"/>
  <c r="U745" i="6"/>
  <c r="U733" i="6"/>
  <c r="U721" i="6"/>
  <c r="U709" i="6"/>
  <c r="U697" i="6"/>
  <c r="U685" i="6"/>
  <c r="U673" i="6"/>
  <c r="U661" i="6"/>
  <c r="U637" i="6"/>
  <c r="U689" i="6"/>
  <c r="U639" i="6"/>
  <c r="U579" i="6"/>
  <c r="U531" i="6"/>
  <c r="U468" i="6"/>
  <c r="U260" i="6"/>
  <c r="U200" i="6"/>
  <c r="U152" i="6"/>
  <c r="U768" i="6"/>
  <c r="U744" i="6"/>
  <c r="U720" i="6"/>
  <c r="U708" i="6"/>
  <c r="U696" i="6"/>
  <c r="U684" i="6"/>
  <c r="U672" i="6"/>
  <c r="U660" i="6"/>
  <c r="U612" i="6"/>
  <c r="U588" i="6"/>
  <c r="U576" i="6"/>
  <c r="U564" i="6"/>
  <c r="U552" i="6"/>
  <c r="U540" i="6"/>
  <c r="U528" i="6"/>
  <c r="U516" i="6"/>
  <c r="U480" i="6"/>
  <c r="U456" i="6"/>
  <c r="U432" i="6"/>
  <c r="U420" i="6"/>
  <c r="U408" i="6"/>
  <c r="U384" i="6"/>
  <c r="U372" i="6"/>
  <c r="U360" i="6"/>
  <c r="U348" i="6"/>
  <c r="U336" i="6"/>
  <c r="U324" i="6"/>
  <c r="U312" i="6"/>
  <c r="U300" i="6"/>
  <c r="U288" i="6"/>
  <c r="U276" i="6"/>
  <c r="U264" i="6"/>
  <c r="U252" i="6"/>
  <c r="U240" i="6"/>
  <c r="U228" i="6"/>
  <c r="U204" i="6"/>
  <c r="U180" i="6"/>
  <c r="U156" i="6"/>
  <c r="U144" i="6"/>
  <c r="U132" i="6"/>
  <c r="U120" i="6"/>
  <c r="U96" i="6"/>
  <c r="U84" i="6"/>
  <c r="U72" i="6"/>
  <c r="U48" i="6"/>
  <c r="U24" i="6"/>
  <c r="U736" i="6"/>
  <c r="U688" i="6"/>
  <c r="U259" i="6"/>
  <c r="U151" i="6"/>
  <c r="U638" i="6"/>
  <c r="U614" i="6"/>
  <c r="U505" i="6"/>
  <c r="U481" i="6"/>
  <c r="U457" i="6"/>
  <c r="U281" i="6"/>
  <c r="U257" i="6"/>
  <c r="U233" i="6"/>
  <c r="U124" i="6"/>
  <c r="U100" i="6"/>
  <c r="U76" i="6"/>
  <c r="U774" i="6"/>
  <c r="U762" i="6"/>
  <c r="U738" i="6"/>
  <c r="U726" i="6"/>
  <c r="U714" i="6"/>
  <c r="U702" i="6"/>
  <c r="U690" i="6"/>
  <c r="U678" i="6"/>
  <c r="U666" i="6"/>
  <c r="U654" i="6"/>
  <c r="U642" i="6"/>
  <c r="U630" i="6"/>
  <c r="U618" i="6"/>
  <c r="U606" i="6"/>
  <c r="U594" i="6"/>
  <c r="U582" i="6"/>
  <c r="U570" i="6"/>
  <c r="U558" i="6"/>
  <c r="U546" i="6"/>
  <c r="U534" i="6"/>
  <c r="U522" i="6"/>
  <c r="U510" i="6"/>
  <c r="U498" i="6"/>
  <c r="U486" i="6"/>
  <c r="U474" i="6"/>
  <c r="U462" i="6"/>
  <c r="U450" i="6"/>
  <c r="U438" i="6"/>
  <c r="U426" i="6"/>
  <c r="U414" i="6"/>
  <c r="U402" i="6"/>
  <c r="U390" i="6"/>
  <c r="U378" i="6"/>
  <c r="U366" i="6"/>
  <c r="U354" i="6"/>
  <c r="U330" i="6"/>
  <c r="U318" i="6"/>
  <c r="U306" i="6"/>
  <c r="U294" i="6"/>
  <c r="U282" i="6"/>
  <c r="U270" i="6"/>
  <c r="U258" i="6"/>
  <c r="U246" i="6"/>
  <c r="U234" i="6"/>
  <c r="U222" i="6"/>
  <c r="U210" i="6"/>
  <c r="U198" i="6"/>
  <c r="U186" i="6"/>
  <c r="U174" i="6"/>
  <c r="U162" i="6"/>
  <c r="U150" i="6"/>
  <c r="U138" i="6"/>
  <c r="U126" i="6"/>
  <c r="U114" i="6"/>
  <c r="U102" i="6"/>
  <c r="U90" i="6"/>
  <c r="U78" i="6"/>
  <c r="U66" i="6"/>
  <c r="U54" i="6"/>
  <c r="U42" i="6"/>
  <c r="U30" i="6"/>
  <c r="U18" i="6"/>
  <c r="U6" i="6"/>
  <c r="U613" i="6"/>
  <c r="U413" i="6"/>
  <c r="U389" i="6"/>
  <c r="U365" i="6"/>
  <c r="U278" i="6"/>
  <c r="U256" i="6"/>
  <c r="U232" i="6"/>
  <c r="U208" i="6"/>
  <c r="U121" i="6"/>
  <c r="U99" i="6"/>
  <c r="U75" i="6"/>
  <c r="U51" i="6"/>
  <c r="U497" i="6"/>
  <c r="U485" i="6"/>
  <c r="U473" i="6"/>
  <c r="U449" i="6"/>
  <c r="U437" i="6"/>
  <c r="U353" i="6"/>
  <c r="U341" i="6"/>
  <c r="U329" i="6"/>
  <c r="U305" i="6"/>
  <c r="U293" i="6"/>
  <c r="U209" i="6"/>
  <c r="U185" i="6"/>
  <c r="U161" i="6"/>
  <c r="U149" i="6"/>
  <c r="U65" i="6"/>
  <c r="U53" i="6"/>
  <c r="U41" i="6"/>
  <c r="U17" i="6"/>
  <c r="U5" i="6"/>
  <c r="U545" i="6"/>
  <c r="U521" i="6"/>
  <c r="U388" i="6"/>
  <c r="U364" i="6"/>
  <c r="U255" i="6"/>
  <c r="U231" i="6"/>
  <c r="U207" i="6"/>
  <c r="U98" i="6"/>
  <c r="U74" i="6"/>
  <c r="U50" i="6"/>
  <c r="U29" i="6"/>
  <c r="U340" i="6"/>
  <c r="U328" i="6"/>
  <c r="U316" i="6"/>
  <c r="U292" i="6"/>
  <c r="U280" i="6"/>
  <c r="U184" i="6"/>
  <c r="U172" i="6"/>
  <c r="U148" i="6"/>
  <c r="U136" i="6"/>
  <c r="U52" i="6"/>
  <c r="U40" i="6"/>
  <c r="U28" i="6"/>
  <c r="U4" i="6"/>
  <c r="U566" i="6"/>
  <c r="U409" i="6"/>
  <c r="U387" i="6"/>
  <c r="U363" i="6"/>
  <c r="U339" i="6"/>
  <c r="U230" i="6"/>
  <c r="U206" i="6"/>
  <c r="U182" i="6"/>
  <c r="U73" i="6"/>
  <c r="U49" i="6"/>
  <c r="U25" i="6"/>
  <c r="U7" i="6"/>
  <c r="U327" i="6"/>
  <c r="U315" i="6"/>
  <c r="U303" i="6"/>
  <c r="U279" i="6"/>
  <c r="U267" i="6"/>
  <c r="U183" i="6"/>
  <c r="U171" i="6"/>
  <c r="U159" i="6"/>
  <c r="U135" i="6"/>
  <c r="U123" i="6"/>
  <c r="U39" i="6"/>
  <c r="U27" i="6"/>
  <c r="U15" i="6"/>
  <c r="U386" i="6"/>
  <c r="U362" i="6"/>
  <c r="U338" i="6"/>
  <c r="U317" i="6"/>
  <c r="U229" i="6"/>
  <c r="U205" i="6"/>
  <c r="U181" i="6"/>
  <c r="U160" i="6"/>
  <c r="U3" i="6"/>
  <c r="U602" i="6"/>
  <c r="U590" i="6"/>
  <c r="U578" i="6"/>
  <c r="U554" i="6"/>
  <c r="U542" i="6"/>
  <c r="U458" i="6"/>
  <c r="U446" i="6"/>
  <c r="U434" i="6"/>
  <c r="U410" i="6"/>
  <c r="U398" i="6"/>
  <c r="U314" i="6"/>
  <c r="U302" i="6"/>
  <c r="U290" i="6"/>
  <c r="U266" i="6"/>
  <c r="U254" i="6"/>
  <c r="U170" i="6"/>
  <c r="U158" i="6"/>
  <c r="U146" i="6"/>
  <c r="U122" i="6"/>
  <c r="U110" i="6"/>
  <c r="U26" i="6"/>
  <c r="U14" i="6"/>
  <c r="V2" i="6"/>
  <c r="W2" i="6" s="1"/>
  <c r="U2" i="6"/>
  <c r="U518" i="6"/>
  <c r="U494" i="6"/>
  <c r="U470" i="6"/>
  <c r="U361" i="6"/>
  <c r="U337" i="6"/>
  <c r="U313" i="6"/>
  <c r="U113" i="6"/>
  <c r="U89" i="6"/>
  <c r="U589" i="6"/>
  <c r="U577" i="6"/>
  <c r="U565" i="6"/>
  <c r="U541" i="6"/>
  <c r="U529" i="6"/>
  <c r="U445" i="6"/>
  <c r="U433" i="6"/>
  <c r="U421" i="6"/>
  <c r="U397" i="6"/>
  <c r="U385" i="6"/>
  <c r="U301" i="6"/>
  <c r="U289" i="6"/>
  <c r="U277" i="6"/>
  <c r="U253" i="6"/>
  <c r="U241" i="6"/>
  <c r="U157" i="6"/>
  <c r="U145" i="6"/>
  <c r="U133" i="6"/>
  <c r="U109" i="6"/>
  <c r="U97" i="6"/>
  <c r="U13" i="6"/>
  <c r="U517" i="6"/>
  <c r="U493" i="6"/>
  <c r="U469" i="6"/>
  <c r="U291" i="6"/>
  <c r="U269" i="6"/>
  <c r="U245" i="6"/>
  <c r="U221" i="6"/>
  <c r="U134" i="6"/>
  <c r="U112" i="6"/>
  <c r="U88" i="6"/>
  <c r="U64" i="6"/>
  <c r="B5" i="5" l="1"/>
  <c r="W785" i="6" l="1"/>
  <c r="C5" i="5" s="1"/>
  <c r="C6" i="5" l="1"/>
  <c r="C7" i="5" s="1"/>
  <c r="C8" i="5" s="1"/>
</calcChain>
</file>

<file path=xl/sharedStrings.xml><?xml version="1.0" encoding="utf-8"?>
<sst xmlns="http://schemas.openxmlformats.org/spreadsheetml/2006/main" count="8669" uniqueCount="4580">
  <si>
    <t>FACTURACIÓN ENTREGA DE DATAFONO A GESTORES</t>
  </si>
  <si>
    <t>WOMPI</t>
  </si>
  <si>
    <t>CONCEPTOS</t>
  </si>
  <si>
    <t>CANTIDAD</t>
  </si>
  <si>
    <t>TOTAL</t>
  </si>
  <si>
    <t>ENTREGA DE DATAFONOS EN BODEGAS</t>
  </si>
  <si>
    <t xml:space="preserve">SUBTOTAL </t>
  </si>
  <si>
    <t>Iva</t>
  </si>
  <si>
    <t>PROPONENTE</t>
  </si>
  <si>
    <t>TIPO ACTIVIDAD</t>
  </si>
  <si>
    <t>BODEGA</t>
  </si>
  <si>
    <t>CENTRO DE COSTOS</t>
  </si>
  <si>
    <t>ENTREGA DE ROLLOS EN BODEGAS</t>
  </si>
  <si>
    <t>WOMPI (SOLICITUD ADICIONAL)</t>
  </si>
  <si>
    <t>ENTREGA DE DATAFONOS EN BODEGAS UBICADAS EN CIUDADES PRINCIPALES</t>
  </si>
  <si>
    <t>MEDELLIN</t>
  </si>
  <si>
    <t>WOMPI NOROCCIDENTE</t>
  </si>
  <si>
    <t>BOGOTA</t>
  </si>
  <si>
    <t>WOMPI CENTRO</t>
  </si>
  <si>
    <t>CALI</t>
  </si>
  <si>
    <t>WOMPI SUROCCIDENTE</t>
  </si>
  <si>
    <t>PEREIRA</t>
  </si>
  <si>
    <t>WOMPI EJE CAFETERO</t>
  </si>
  <si>
    <t>BARRANQUILLA</t>
  </si>
  <si>
    <t>WOMPI COSTA</t>
  </si>
  <si>
    <t>BUCARAMANGA</t>
  </si>
  <si>
    <t>WOMPI SANTANDERES</t>
  </si>
  <si>
    <t>MONTERIA</t>
  </si>
  <si>
    <t>ENTREGA DE DATAFONOS EN BODEGAS UBICADAS EN CIUDADES REMOTAS CERTIFICADAS</t>
  </si>
  <si>
    <t>CUCUTA</t>
  </si>
  <si>
    <t>NEIVA</t>
  </si>
  <si>
    <t>WOMPI ORIENTE</t>
  </si>
  <si>
    <t>SANTA MARTA</t>
  </si>
  <si>
    <t>TUNJA</t>
  </si>
  <si>
    <t>VILLAVICENCIO</t>
  </si>
  <si>
    <t>ENTREGA DE DATAFONOS EN BODEGAS UBICADAS EN CIUDADES REMOTAS NO CERTIFICADAS</t>
  </si>
  <si>
    <t>APARTADO</t>
  </si>
  <si>
    <t>CARTAGENA</t>
  </si>
  <si>
    <t>FLORENCIA</t>
  </si>
  <si>
    <t>IBAGUE</t>
  </si>
  <si>
    <t>MANIZALES</t>
  </si>
  <si>
    <t>PASTO</t>
  </si>
  <si>
    <t>POPAYAN</t>
  </si>
  <si>
    <t>SINCELEJO</t>
  </si>
  <si>
    <t>VALLEDUPAR</t>
  </si>
  <si>
    <t>YOPAL</t>
  </si>
  <si>
    <t>Codigo_Punto</t>
  </si>
  <si>
    <t>Nombre_Punto</t>
  </si>
  <si>
    <t>Nit_CC_Persona</t>
  </si>
  <si>
    <t>TelefonoCB</t>
  </si>
  <si>
    <t>Celular_Contacto1</t>
  </si>
  <si>
    <t>Celular_dueno</t>
  </si>
  <si>
    <t>Dirección_Establecimiento</t>
  </si>
  <si>
    <t>Latitud</t>
  </si>
  <si>
    <t>Longitud</t>
  </si>
  <si>
    <t>Departamento</t>
  </si>
  <si>
    <t>Municipio</t>
  </si>
  <si>
    <t>Corregimiento</t>
  </si>
  <si>
    <t>Codigo_Dane</t>
  </si>
  <si>
    <t>Fecha_Migracion</t>
  </si>
  <si>
    <t>Cantidad de quipos por CB</t>
  </si>
  <si>
    <t>Bodega</t>
  </si>
  <si>
    <t>Centro_de_Costos</t>
  </si>
  <si>
    <t>Valor por datáfono</t>
  </si>
  <si>
    <t>valor total</t>
  </si>
  <si>
    <t>ANTIOQUIA</t>
  </si>
  <si>
    <t>RIONEGRO</t>
  </si>
  <si>
    <t>0</t>
  </si>
  <si>
    <t>CUNDINAMARCA</t>
  </si>
  <si>
    <t>1111111</t>
  </si>
  <si>
    <t>6050962</t>
  </si>
  <si>
    <t>BOYACÁ</t>
  </si>
  <si>
    <t>NARIÑO</t>
  </si>
  <si>
    <t>CAUCA</t>
  </si>
  <si>
    <t>META</t>
  </si>
  <si>
    <t>SAN CARLOS DE GUAROA</t>
  </si>
  <si>
    <t>VENTAQUEMADA</t>
  </si>
  <si>
    <t>CALDAS</t>
  </si>
  <si>
    <t>ANSERMA</t>
  </si>
  <si>
    <t>3134785390</t>
  </si>
  <si>
    <t>BOLÍVAR</t>
  </si>
  <si>
    <t>VIRACACHÁ</t>
  </si>
  <si>
    <t>ARANZAZU</t>
  </si>
  <si>
    <t>CÓRDOBA</t>
  </si>
  <si>
    <t>3133370645</t>
  </si>
  <si>
    <t>3666417</t>
  </si>
  <si>
    <t>RISARALDA</t>
  </si>
  <si>
    <t>HUILA</t>
  </si>
  <si>
    <t>9041876</t>
  </si>
  <si>
    <t>BUESACO</t>
  </si>
  <si>
    <t>NORTE DE SANTANDER</t>
  </si>
  <si>
    <t>EL ZULIA</t>
  </si>
  <si>
    <t>SANTANDER</t>
  </si>
  <si>
    <t>SUCRE</t>
  </si>
  <si>
    <t>PUERTO ESCONDIDO</t>
  </si>
  <si>
    <t>3195117362</t>
  </si>
  <si>
    <t>CONSACÁ</t>
  </si>
  <si>
    <t>7732304</t>
  </si>
  <si>
    <t>PAMPLONA</t>
  </si>
  <si>
    <t>5832270</t>
  </si>
  <si>
    <t>5.721</t>
  </si>
  <si>
    <t>TOLIMA</t>
  </si>
  <si>
    <t>BOJACÁ</t>
  </si>
  <si>
    <t>CHÍA</t>
  </si>
  <si>
    <t>QUINDÍO</t>
  </si>
  <si>
    <t>VILLA DEL ROSARIO</t>
  </si>
  <si>
    <t>3123103799</t>
  </si>
  <si>
    <t>3156682745</t>
  </si>
  <si>
    <t>VALLE DEL CAUCA</t>
  </si>
  <si>
    <t>SAN JUAN DE URABÁ</t>
  </si>
  <si>
    <t>CASANARE</t>
  </si>
  <si>
    <t>PUTUMAYO</t>
  </si>
  <si>
    <t>SAN FRANCISCO</t>
  </si>
  <si>
    <t>3118313651</t>
  </si>
  <si>
    <t>EL COLEGIO</t>
  </si>
  <si>
    <t>FACATATIVÁ</t>
  </si>
  <si>
    <t>3123934858</t>
  </si>
  <si>
    <t>PUERTO LÓPEZ</t>
  </si>
  <si>
    <t>RESTREPO</t>
  </si>
  <si>
    <t>LA UNIÓN</t>
  </si>
  <si>
    <t>LINARES</t>
  </si>
  <si>
    <t>SAN BERNARDO</t>
  </si>
  <si>
    <t>SIBUNDOY</t>
  </si>
  <si>
    <t>MEDELLÍN</t>
  </si>
  <si>
    <t>6450054</t>
  </si>
  <si>
    <t>3046583395</t>
  </si>
  <si>
    <t>4239530</t>
  </si>
  <si>
    <t>EL TAMBO</t>
  </si>
  <si>
    <t>1</t>
  </si>
  <si>
    <t>SILVIA</t>
  </si>
  <si>
    <t>TIMBÍO</t>
  </si>
  <si>
    <t>CERETÉ</t>
  </si>
  <si>
    <t>TIERRALTA</t>
  </si>
  <si>
    <t>MOSQUERA</t>
  </si>
  <si>
    <t>NEMOCÓN</t>
  </si>
  <si>
    <t>5.066969</t>
  </si>
  <si>
    <t>-73.880696</t>
  </si>
  <si>
    <t>PULÍ</t>
  </si>
  <si>
    <t>SOACHA</t>
  </si>
  <si>
    <t>ATLÁNTICO</t>
  </si>
  <si>
    <t>CHIQUINQUIRÁ</t>
  </si>
  <si>
    <t>3103028829</t>
  </si>
  <si>
    <t>CAQUETÁ</t>
  </si>
  <si>
    <t>SAN VICENTE DEL CAGUÁN</t>
  </si>
  <si>
    <t>4944263</t>
  </si>
  <si>
    <t>SAN JUAN DE RIOSECO</t>
  </si>
  <si>
    <t>SASAIMA</t>
  </si>
  <si>
    <t>TOCANCIPÁ</t>
  </si>
  <si>
    <t>UBAQUE</t>
  </si>
  <si>
    <t>VIANÍ</t>
  </si>
  <si>
    <t>VILLETA</t>
  </si>
  <si>
    <t>ZIPAQUIRÁ</t>
  </si>
  <si>
    <t>3212692205</t>
  </si>
  <si>
    <t>GIGANTE</t>
  </si>
  <si>
    <t>PALMIRA</t>
  </si>
  <si>
    <t>CÚCUTA</t>
  </si>
  <si>
    <t>-73.359</t>
  </si>
  <si>
    <t>5.529</t>
  </si>
  <si>
    <t>-73.368</t>
  </si>
  <si>
    <t>LÍBANO</t>
  </si>
  <si>
    <t>EL CERRITO</t>
  </si>
  <si>
    <t>DOSQUEBRADAS</t>
  </si>
  <si>
    <t>CIMITARRA</t>
  </si>
  <si>
    <t>3178878473</t>
  </si>
  <si>
    <t>ARCABUCO</t>
  </si>
  <si>
    <t>SAN LUIS DE SINCÉ</t>
  </si>
  <si>
    <t>SINCÉ</t>
  </si>
  <si>
    <t>SANTIAGO DE TOLÚ</t>
  </si>
  <si>
    <t>TOLÚ VIEJO</t>
  </si>
  <si>
    <t>SOGAMOSO</t>
  </si>
  <si>
    <t>3114845759</t>
  </si>
  <si>
    <t>-72.933</t>
  </si>
  <si>
    <t>-72.938</t>
  </si>
  <si>
    <t>5.725</t>
  </si>
  <si>
    <t>-72.940</t>
  </si>
  <si>
    <t>-72.9293</t>
  </si>
  <si>
    <t>5.717</t>
  </si>
  <si>
    <t>CHINCHINÁ</t>
  </si>
  <si>
    <t>BELALCÁZAR</t>
  </si>
  <si>
    <t>LOS PATIOS</t>
  </si>
  <si>
    <t>CALARCÁ</t>
  </si>
  <si>
    <t>BELLO</t>
  </si>
  <si>
    <t>3117312577</t>
  </si>
  <si>
    <t>CORINTO</t>
  </si>
  <si>
    <t>3135451495</t>
  </si>
  <si>
    <t>SAN ANDRÉS DE SOTAVENTO</t>
  </si>
  <si>
    <t>SAN ANTERO</t>
  </si>
  <si>
    <t>SAN ANTONIO DEL TEQUENDAMA</t>
  </si>
  <si>
    <t>TENA</t>
  </si>
  <si>
    <t>ALGECIRAS</t>
  </si>
  <si>
    <t>2.389230</t>
  </si>
  <si>
    <t>-75.545958</t>
  </si>
  <si>
    <t>SAMANIEGO</t>
  </si>
  <si>
    <t>CHINÁCOTA</t>
  </si>
  <si>
    <t>GUÁTICA</t>
  </si>
  <si>
    <t>SANTA ROSA DE CABAL</t>
  </si>
  <si>
    <t>7465100</t>
  </si>
  <si>
    <t>BARICHARA</t>
  </si>
  <si>
    <t>BARRANCABERMEJA</t>
  </si>
  <si>
    <t>GIRÓN</t>
  </si>
  <si>
    <t>PIEDECUESTA</t>
  </si>
  <si>
    <t>JAMUNDÍ</t>
  </si>
  <si>
    <t>ITAGÜÍ</t>
  </si>
  <si>
    <t>PUERTO RICO</t>
  </si>
  <si>
    <t>SAN JOSÉ DEL FRAGUA</t>
  </si>
  <si>
    <t>POPAYÁN</t>
  </si>
  <si>
    <t>COROZAL</t>
  </si>
  <si>
    <t>6837593</t>
  </si>
  <si>
    <t>GALERAS</t>
  </si>
  <si>
    <t>CAICEDONIA</t>
  </si>
  <si>
    <t>FLORIDA</t>
  </si>
  <si>
    <t>GINEBRA</t>
  </si>
  <si>
    <t>CR 55C 51 10,BELLO</t>
  </si>
  <si>
    <t>6.3349392</t>
  </si>
  <si>
    <t>-75.5625377</t>
  </si>
  <si>
    <t>VRD LA CHINA CGT SAN FELIX,VEREDA LA CHINA ,CORREGIMIENTO SAN FÉLIX BELLO ANT</t>
  </si>
  <si>
    <t>6.3992554</t>
  </si>
  <si>
    <t>-75.6150391</t>
  </si>
  <si>
    <t>KM 7 VIA ANTIGUA A GUARNE ,EL PINAR</t>
  </si>
  <si>
    <t>6.3001703</t>
  </si>
  <si>
    <t>-75.5345878</t>
  </si>
  <si>
    <t>3234731942</t>
  </si>
  <si>
    <t>CL 10 43B 22,POBLADO MEDELLIN</t>
  </si>
  <si>
    <t>6.2109401</t>
  </si>
  <si>
    <t>-75.5713804</t>
  </si>
  <si>
    <t>3005304792</t>
  </si>
  <si>
    <t>CL 52 20 C 26,CAICEDO</t>
  </si>
  <si>
    <t>6.2404735</t>
  </si>
  <si>
    <t>-75.5450131</t>
  </si>
  <si>
    <t>3225690611</t>
  </si>
  <si>
    <t>CL 78B 69 240 LC 19,ROBLEDO</t>
  </si>
  <si>
    <t>6.2769201</t>
  </si>
  <si>
    <t>-75.5796903</t>
  </si>
  <si>
    <t>3103406407</t>
  </si>
  <si>
    <t xml:space="preserve"> CL 4 7 03</t>
  </si>
  <si>
    <t>5.5018876</t>
  </si>
  <si>
    <t>-73.3348425</t>
  </si>
  <si>
    <t>SORACÁ</t>
  </si>
  <si>
    <t>3002659903</t>
  </si>
  <si>
    <t>CL 14 12 52,CENTRO</t>
  </si>
  <si>
    <t>8.8885035</t>
  </si>
  <si>
    <t>-75.7902537</t>
  </si>
  <si>
    <t>3227606722</t>
  </si>
  <si>
    <t>CR 3 21 24 LC 2 BRR EL CABRERO</t>
  </si>
  <si>
    <t>4.7133989</t>
  </si>
  <si>
    <t>-74.2186155</t>
  </si>
  <si>
    <t>3206245902</t>
  </si>
  <si>
    <t>CL 42 ESTE 43-24</t>
  </si>
  <si>
    <t>4.5742338</t>
  </si>
  <si>
    <t>-74.177683</t>
  </si>
  <si>
    <t>3105693310</t>
  </si>
  <si>
    <t>TV 4D 5 30 SUR CA 84,QUINTAS DE LA LAGUNA</t>
  </si>
  <si>
    <t>4.5726348</t>
  </si>
  <si>
    <t>-74.2276658</t>
  </si>
  <si>
    <t>3118731616</t>
  </si>
  <si>
    <t>CR 5 ESTE 24 61,RICAURTE</t>
  </si>
  <si>
    <t>4.5781325</t>
  </si>
  <si>
    <t>-74.2077067</t>
  </si>
  <si>
    <t>3229345503</t>
  </si>
  <si>
    <t xml:space="preserve"> CL 19 51 09 LC 2</t>
  </si>
  <si>
    <t>2.94098365</t>
  </si>
  <si>
    <t>-75.24880249</t>
  </si>
  <si>
    <t>3112327008</t>
  </si>
  <si>
    <t>MERCANEIVA LC 0493 ,ZONA INDUSTRIAL</t>
  </si>
  <si>
    <t>2.8943430</t>
  </si>
  <si>
    <t>-75.2825581</t>
  </si>
  <si>
    <t>3165196655</t>
  </si>
  <si>
    <t>CR 5 23 74,SEVILLA</t>
  </si>
  <si>
    <t>2.9388053</t>
  </si>
  <si>
    <t>-75.2931677</t>
  </si>
  <si>
    <t>3155433406</t>
  </si>
  <si>
    <t>CR 7 12 43 LOCAL 6B ED LA CONCORDIA,CENTRO</t>
  </si>
  <si>
    <t>2.9315696</t>
  </si>
  <si>
    <t>-75.2881664</t>
  </si>
  <si>
    <t>3133654035</t>
  </si>
  <si>
    <t>CR 20 16 A 22 SUR,TIMANCON III ESTAPA</t>
  </si>
  <si>
    <t>2.9119142</t>
  </si>
  <si>
    <t>-75.2764960</t>
  </si>
  <si>
    <t>3024037068</t>
  </si>
  <si>
    <t>CL 52 1 W 06,CHICALA</t>
  </si>
  <si>
    <t>2.9569138</t>
  </si>
  <si>
    <t>-75.2972824</t>
  </si>
  <si>
    <t>3213601613</t>
  </si>
  <si>
    <t>MZ B LT 3 URB LAS TERRAZAS VRD BUENA ESPERANZA ,VRD BUENA ESPERANZA</t>
  </si>
  <si>
    <t>8.1618690</t>
  </si>
  <si>
    <t>-72.4609938</t>
  </si>
  <si>
    <t>3138962577</t>
  </si>
  <si>
    <t>KDX 217 1,VDA AGUA CLARA</t>
  </si>
  <si>
    <t>8.2377626</t>
  </si>
  <si>
    <t>-72.4266507</t>
  </si>
  <si>
    <t>3112733886</t>
  </si>
  <si>
    <t>AV 3 19 97 LC 2,SAN LUIS</t>
  </si>
  <si>
    <t>7.8868475</t>
  </si>
  <si>
    <t>-72.4845113</t>
  </si>
  <si>
    <t>3116787288</t>
  </si>
  <si>
    <t>AV 1 CL 3 LC 5,TRIGAL DEL NORTE</t>
  </si>
  <si>
    <t>7.9449659</t>
  </si>
  <si>
    <t>-72.5033777</t>
  </si>
  <si>
    <t>3218167957</t>
  </si>
  <si>
    <t>MZ 12 CA 4 BRR SANTIAGO LONDOÑO ,SANTIAGO LONDOÑO</t>
  </si>
  <si>
    <t>4.8115416</t>
  </si>
  <si>
    <t>-75.6633846</t>
  </si>
  <si>
    <t>3024135494</t>
  </si>
  <si>
    <t>KR 11 13 - 70,CENTRO</t>
  </si>
  <si>
    <t>4.8670405</t>
  </si>
  <si>
    <t>-75.6185710</t>
  </si>
  <si>
    <t>3104751949</t>
  </si>
  <si>
    <t>CR 14 15 17 ,CENTRO</t>
  </si>
  <si>
    <t>4.8674479</t>
  </si>
  <si>
    <t>-75.6214866</t>
  </si>
  <si>
    <t>3016106410</t>
  </si>
  <si>
    <t xml:space="preserve"> AV 11 E 7 B  09</t>
  </si>
  <si>
    <t>7.907083</t>
  </si>
  <si>
    <t>-72.492138</t>
  </si>
  <si>
    <t>CERRITO</t>
  </si>
  <si>
    <t>BARRIO CENTRO CARCASI</t>
  </si>
  <si>
    <t>CAPITANEJO</t>
  </si>
  <si>
    <t>Suma de valor total</t>
  </si>
  <si>
    <t>Total general</t>
  </si>
  <si>
    <t>cantidad_equipos</t>
  </si>
  <si>
    <t>2025-11-10</t>
  </si>
  <si>
    <t>2025-11-12</t>
  </si>
  <si>
    <t>2025-11-13</t>
  </si>
  <si>
    <t>2025-11-14</t>
  </si>
  <si>
    <t>2025-11-19</t>
  </si>
  <si>
    <t>2025-11-05</t>
  </si>
  <si>
    <t>PUERTO BERRÍO</t>
  </si>
  <si>
    <t>2025-11-06</t>
  </si>
  <si>
    <t>2025-11-20</t>
  </si>
  <si>
    <t>2025-11-07</t>
  </si>
  <si>
    <t>3136607428</t>
  </si>
  <si>
    <t>CL 12 12 68,SECTOR EL HOSPITAL</t>
  </si>
  <si>
    <t>5.9741124</t>
  </si>
  <si>
    <t>-75.3642466</t>
  </si>
  <si>
    <t>3163088919</t>
  </si>
  <si>
    <t>VRD QUIRBAQUIRA, SECTOR CASA BLANCA,VEREDA QUIRBAQUIRA</t>
  </si>
  <si>
    <t>5.6912697</t>
  </si>
  <si>
    <t>-73.3675628</t>
  </si>
  <si>
    <t>3165362959</t>
  </si>
  <si>
    <t>Carrera 5 # 3 - 31 Centro</t>
  </si>
  <si>
    <t>5.454</t>
  </si>
  <si>
    <t>-73.362</t>
  </si>
  <si>
    <t>3144233419</t>
  </si>
  <si>
    <t>CR 4 A 3 85,CENTRO</t>
  </si>
  <si>
    <t>5.4538173</t>
  </si>
  <si>
    <t>-73.3630605</t>
  </si>
  <si>
    <t>3225201619</t>
  </si>
  <si>
    <t>CR 9 A 3 9,BOYACA BAJO</t>
  </si>
  <si>
    <t>5.61052869</t>
  </si>
  <si>
    <t>-73.82480853</t>
  </si>
  <si>
    <t>3103830426</t>
  </si>
  <si>
    <t>CL 42 A NR0. 8 -6 BRR LLERAS</t>
  </si>
  <si>
    <t>6.4860518</t>
  </si>
  <si>
    <t>-74.4055606</t>
  </si>
  <si>
    <t>8330068</t>
  </si>
  <si>
    <t>3016209379</t>
  </si>
  <si>
    <t>VRD LA MARGARITA,LA MARGARITA</t>
  </si>
  <si>
    <t>6.495189</t>
  </si>
  <si>
    <t>-74.474370</t>
  </si>
  <si>
    <t>3137979779</t>
  </si>
  <si>
    <t>CR 3 57 97</t>
  </si>
  <si>
    <t>6.4928787</t>
  </si>
  <si>
    <t>-74.399246</t>
  </si>
  <si>
    <t>3136557113</t>
  </si>
  <si>
    <t>CALLE 50 7 20 BRR CENTRO,CENTRO</t>
  </si>
  <si>
    <t>6.4896454</t>
  </si>
  <si>
    <t>-74.4034766</t>
  </si>
  <si>
    <t>3229306882</t>
  </si>
  <si>
    <t>VRA MINAS DEL VAPOR - VDA MINAS DEL VAPOR ,VRA MINAS DEL VAPOR</t>
  </si>
  <si>
    <t>6.4564882</t>
  </si>
  <si>
    <t>-74.6306562</t>
  </si>
  <si>
    <t>8821750</t>
  </si>
  <si>
    <t>3103292709</t>
  </si>
  <si>
    <t xml:space="preserve"> CL 54  7-13 LA GRANJA</t>
  </si>
  <si>
    <t>5.56117952</t>
  </si>
  <si>
    <t>-73.34892293</t>
  </si>
  <si>
    <t>3108181835</t>
  </si>
  <si>
    <t>3143145414</t>
  </si>
  <si>
    <t>CR 8 B 58 05,SANTA RITA</t>
  </si>
  <si>
    <t>5.5653133</t>
  </si>
  <si>
    <t>-73.3478377</t>
  </si>
  <si>
    <t>3228080370</t>
  </si>
  <si>
    <t>CR 9 20 09,CENTRO</t>
  </si>
  <si>
    <t>5.53291885</t>
  </si>
  <si>
    <t>-73.36089901</t>
  </si>
  <si>
    <t>3102533408</t>
  </si>
  <si>
    <t>3102533400</t>
  </si>
  <si>
    <t>CL 34 B 16 B 16,LA FUENTE</t>
  </si>
  <si>
    <t>5.54800902</t>
  </si>
  <si>
    <t>-73.36447181</t>
  </si>
  <si>
    <t>6043170362</t>
  </si>
  <si>
    <t>3174070761</t>
  </si>
  <si>
    <t>CL 46 45 20,ITAGÜÍ</t>
  </si>
  <si>
    <t>6.1676270</t>
  </si>
  <si>
    <t>-75.6112657</t>
  </si>
  <si>
    <t>3714091</t>
  </si>
  <si>
    <t>3147053945</t>
  </si>
  <si>
    <t xml:space="preserve"> CL 50 41 95</t>
  </si>
  <si>
    <t>6.16614944444</t>
  </si>
  <si>
    <t>-75.60705277</t>
  </si>
  <si>
    <t>3734111</t>
  </si>
  <si>
    <t>3116219865</t>
  </si>
  <si>
    <t xml:space="preserve"> CL 36 69 D 66</t>
  </si>
  <si>
    <t>6.1745154</t>
  </si>
  <si>
    <t>-75.6341963</t>
  </si>
  <si>
    <t>2815772</t>
  </si>
  <si>
    <t>3004564538</t>
  </si>
  <si>
    <t>3229709071</t>
  </si>
  <si>
    <t>CL 76 45 A 23</t>
  </si>
  <si>
    <t>6.1831241</t>
  </si>
  <si>
    <t>-75.5921676</t>
  </si>
  <si>
    <t>3115984971</t>
  </si>
  <si>
    <t xml:space="preserve"> CL PRINCIPAL DE SAN ANTONIO DE GETUCHA</t>
  </si>
  <si>
    <t>1.0999342</t>
  </si>
  <si>
    <t>-75.4022001</t>
  </si>
  <si>
    <t>MILÁN</t>
  </si>
  <si>
    <t>2025-11-21</t>
  </si>
  <si>
    <t>3124344457</t>
  </si>
  <si>
    <t xml:space="preserve"> CL PRINCIPAL IPM SAN ANTONIO DE GETUCHA SAN ANTONIO GETUCHA</t>
  </si>
  <si>
    <t>1.098474166</t>
  </si>
  <si>
    <t>-75.40140972</t>
  </si>
  <si>
    <t>3212068788</t>
  </si>
  <si>
    <t>CL PRINCIPAL MANZANA 9,CENTRO</t>
  </si>
  <si>
    <t>1.0999974</t>
  </si>
  <si>
    <t>-75.4022003</t>
  </si>
  <si>
    <t>3234014949</t>
  </si>
  <si>
    <t>3106240241</t>
  </si>
  <si>
    <t xml:space="preserve"> PLAZA PRINCIPAL DEL PROGRESO 17 35 ,brrEL PROGRESO</t>
  </si>
  <si>
    <t>9.019334</t>
  </si>
  <si>
    <t>-76.261506</t>
  </si>
  <si>
    <t>2025-11-28</t>
  </si>
  <si>
    <t>3186385</t>
  </si>
  <si>
    <t>3116827824</t>
  </si>
  <si>
    <t xml:space="preserve"> CL 1 1 119</t>
  </si>
  <si>
    <t>9.1838259</t>
  </si>
  <si>
    <t>-75.5481295</t>
  </si>
  <si>
    <t>TUCHÍN</t>
  </si>
  <si>
    <t>7856529</t>
  </si>
  <si>
    <t>3004483217</t>
  </si>
  <si>
    <t>CL 13 CR  13 A  85 BARRIO CENTRAL</t>
  </si>
  <si>
    <t>9.1868027</t>
  </si>
  <si>
    <t>-75.5545002</t>
  </si>
  <si>
    <t>3017479723</t>
  </si>
  <si>
    <t>3145144465</t>
  </si>
  <si>
    <t>CL 15 12-34 FRENTE AL PARQUE,EL CENTRO</t>
  </si>
  <si>
    <t>9.18719</t>
  </si>
  <si>
    <t>-75.55416</t>
  </si>
  <si>
    <t>3004573086</t>
  </si>
  <si>
    <t>CL 14 15 C 33,SAN PEDRO</t>
  </si>
  <si>
    <t>9.1872295</t>
  </si>
  <si>
    <t>-75.5560865</t>
  </si>
  <si>
    <t>3138796610</t>
  </si>
  <si>
    <t>CL 13 13 4,TUCHIN</t>
  </si>
  <si>
    <t>9.187192</t>
  </si>
  <si>
    <t>-75.553131</t>
  </si>
  <si>
    <t>3005145872</t>
  </si>
  <si>
    <t>CL 12 16 D 153,OTRO</t>
  </si>
  <si>
    <t>9.185053</t>
  </si>
  <si>
    <t>-75.558262</t>
  </si>
  <si>
    <t>3133684189</t>
  </si>
  <si>
    <t>TV 8 12 35,SANTA HELENA</t>
  </si>
  <si>
    <t>4.7366952</t>
  </si>
  <si>
    <t>-74.3446350</t>
  </si>
  <si>
    <t>3168652745</t>
  </si>
  <si>
    <t>CR 10 D 9 79 ,SANTA ELENA BOJACA</t>
  </si>
  <si>
    <t>4.7372958</t>
  </si>
  <si>
    <t>-74.3442711</t>
  </si>
  <si>
    <t>3228490249</t>
  </si>
  <si>
    <t>CL 7 5 58</t>
  </si>
  <si>
    <t>4.7328166</t>
  </si>
  <si>
    <t>-74.3412807</t>
  </si>
  <si>
    <t>3143402603</t>
  </si>
  <si>
    <t>CL 17 14 58,CENTRO</t>
  </si>
  <si>
    <t>4.740918</t>
  </si>
  <si>
    <t>-74.344396</t>
  </si>
  <si>
    <t>8840153</t>
  </si>
  <si>
    <t>3102002969</t>
  </si>
  <si>
    <t>AUT NORTE KM 23 VDA YERBABUENA ESTACIÓN DE SERVICIO ESSO</t>
  </si>
  <si>
    <t>4.869898</t>
  </si>
  <si>
    <t>-74.022365</t>
  </si>
  <si>
    <t>2025-11-11</t>
  </si>
  <si>
    <t>3114483703</t>
  </si>
  <si>
    <t>CR 13 17 103,LA PRIMAVERA</t>
  </si>
  <si>
    <t>4.8675661</t>
  </si>
  <si>
    <t>-74.0595819</t>
  </si>
  <si>
    <t>2025-11-04</t>
  </si>
  <si>
    <t>3227018594</t>
  </si>
  <si>
    <t>CR 3 31 36 CA 42,NUEVO MILENIO</t>
  </si>
  <si>
    <t>4.8782894</t>
  </si>
  <si>
    <t>-74.0452671</t>
  </si>
  <si>
    <t>3203536252</t>
  </si>
  <si>
    <t>AV CHILACOS CR 9 21 - 56,CHILACOS</t>
  </si>
  <si>
    <t>4.8683050</t>
  </si>
  <si>
    <t>-74.0539150</t>
  </si>
  <si>
    <t>3107760065</t>
  </si>
  <si>
    <t>KM 24 VIA CHIA -CAJICA.MARGARITAS EDS TEXACO</t>
  </si>
  <si>
    <t>4.8831373</t>
  </si>
  <si>
    <t>-74.0376439</t>
  </si>
  <si>
    <t>5139474</t>
  </si>
  <si>
    <t>3146302114</t>
  </si>
  <si>
    <t xml:space="preserve"> CL 7 CR 1 ESQ</t>
  </si>
  <si>
    <t>1.9226472</t>
  </si>
  <si>
    <t>-74.6913869</t>
  </si>
  <si>
    <t>2025-11-24</t>
  </si>
  <si>
    <t>3203069</t>
  </si>
  <si>
    <t>3203069606</t>
  </si>
  <si>
    <t xml:space="preserve"> VRD CRISTALINA DEL LOZADA</t>
  </si>
  <si>
    <t>2.1132197</t>
  </si>
  <si>
    <t>-74.7692183</t>
  </si>
  <si>
    <t>3133287624</t>
  </si>
  <si>
    <t xml:space="preserve"> CASERIO LA NOVIA,CASERIO LA NOVIA</t>
  </si>
  <si>
    <t>2.1037246</t>
  </si>
  <si>
    <t>-74.7691966</t>
  </si>
  <si>
    <t>2025-11-25</t>
  </si>
  <si>
    <t>3213717225</t>
  </si>
  <si>
    <t>3219968637</t>
  </si>
  <si>
    <t>MZ N LT2,EL TRIUNFO</t>
  </si>
  <si>
    <t>2.1209107</t>
  </si>
  <si>
    <t>-74.7563908</t>
  </si>
  <si>
    <t>3236853994</t>
  </si>
  <si>
    <t>3226853994</t>
  </si>
  <si>
    <t>CR 7 5 74 LOCAL 27 INTERNO ,GALERIA MUNICIPAL</t>
  </si>
  <si>
    <t>2.1128627</t>
  </si>
  <si>
    <t>-74.7719252</t>
  </si>
  <si>
    <t>3209387427</t>
  </si>
  <si>
    <t>INSPECCION LOS POZOS</t>
  </si>
  <si>
    <t>2.1231124</t>
  </si>
  <si>
    <t>-74.5564811</t>
  </si>
  <si>
    <t>3005153568</t>
  </si>
  <si>
    <t>CL 1 6 24,HERNANDEZ</t>
  </si>
  <si>
    <t>2.1107534</t>
  </si>
  <si>
    <t>-74.7690186</t>
  </si>
  <si>
    <t>3229147898</t>
  </si>
  <si>
    <t>3202020891</t>
  </si>
  <si>
    <t>CR 9 13 SUR,JARDIN</t>
  </si>
  <si>
    <t>2.107108</t>
  </si>
  <si>
    <t>-74.769386</t>
  </si>
  <si>
    <t>3015583086</t>
  </si>
  <si>
    <t>CL 6 2 BIS 03 - LA CONSOLATA</t>
  </si>
  <si>
    <t>2.1165792</t>
  </si>
  <si>
    <t>-74.7694033</t>
  </si>
  <si>
    <t>3103212591</t>
  </si>
  <si>
    <t>CL 5 N 4 ESQ,CENTRO</t>
  </si>
  <si>
    <t>2.1142235</t>
  </si>
  <si>
    <t>-74.7691074</t>
  </si>
  <si>
    <t>3202977658</t>
  </si>
  <si>
    <t>INSP CAMPO HERMOSO,CL PRINCIPAL</t>
  </si>
  <si>
    <t>1.9201377</t>
  </si>
  <si>
    <t>-74.6890496</t>
  </si>
  <si>
    <t>3114405136</t>
  </si>
  <si>
    <t>CR 7 2 31 33,PUERTO REDONDO</t>
  </si>
  <si>
    <t>2.1105243</t>
  </si>
  <si>
    <t>-74.7699071</t>
  </si>
  <si>
    <t>3202403945</t>
  </si>
  <si>
    <t xml:space="preserve"> INSP GUAYABAL,GUAYABAL</t>
  </si>
  <si>
    <t>2.699445</t>
  </si>
  <si>
    <t>-74.882292</t>
  </si>
  <si>
    <t>3106395383</t>
  </si>
  <si>
    <t>CR 6 6 A 04,SANTA ISABEL</t>
  </si>
  <si>
    <t>2.114671</t>
  </si>
  <si>
    <t>-74.772639</t>
  </si>
  <si>
    <t>3125121138</t>
  </si>
  <si>
    <t>MZ R LT24,URBANIZACIÓN PRIMAVERA</t>
  </si>
  <si>
    <t>2.1287219</t>
  </si>
  <si>
    <t>-74.7593143</t>
  </si>
  <si>
    <t>3132955039</t>
  </si>
  <si>
    <t>VRD SAN JUAN DEL LOZADA ,VRD</t>
  </si>
  <si>
    <t>2.242813</t>
  </si>
  <si>
    <t> -74.451859</t>
  </si>
  <si>
    <t>3232268146</t>
  </si>
  <si>
    <t>3214670774</t>
  </si>
  <si>
    <t>CAS VILLA LOBOS</t>
  </si>
  <si>
    <t>1.633825</t>
  </si>
  <si>
    <t>-74.561671</t>
  </si>
  <si>
    <t>3143705547</t>
  </si>
  <si>
    <t>3104158944</t>
  </si>
  <si>
    <t>INSP CAMPO HERMOSO</t>
  </si>
  <si>
    <t>1.55150</t>
  </si>
  <si>
    <t>-74.41270</t>
  </si>
  <si>
    <t>3134637535</t>
  </si>
  <si>
    <t>TV 1 67 03 MZ 19 ,LOS MUISCAS</t>
  </si>
  <si>
    <t>5.5702437</t>
  </si>
  <si>
    <t>-73.3395212</t>
  </si>
  <si>
    <t>3164071085</t>
  </si>
  <si>
    <t>3208356593</t>
  </si>
  <si>
    <t>CR 1 A 18 20 MZ 2 CASA 2,PISO 1</t>
  </si>
  <si>
    <t>-73.350</t>
  </si>
  <si>
    <t>3015123142</t>
  </si>
  <si>
    <t>CR 10 17 97</t>
  </si>
  <si>
    <t>5.5310387</t>
  </si>
  <si>
    <t>-73.3625633</t>
  </si>
  <si>
    <t>CR 4 8 05</t>
  </si>
  <si>
    <t>5.520</t>
  </si>
  <si>
    <t>7456261</t>
  </si>
  <si>
    <t>cr 14 N 26-124</t>
  </si>
  <si>
    <t>5.540</t>
  </si>
  <si>
    <t>7474112</t>
  </si>
  <si>
    <t>3005188531</t>
  </si>
  <si>
    <t xml:space="preserve"> CR 2 ESTE 22 140</t>
  </si>
  <si>
    <t>5.53512828</t>
  </si>
  <si>
    <t>-73.35123733</t>
  </si>
  <si>
    <t>3024080</t>
  </si>
  <si>
    <t>3137169135</t>
  </si>
  <si>
    <t xml:space="preserve"> CL 40 1 A 71 ESTE LC 6</t>
  </si>
  <si>
    <t>5.5448403</t>
  </si>
  <si>
    <t>-73.3497055</t>
  </si>
  <si>
    <t>3222739405</t>
  </si>
  <si>
    <t xml:space="preserve"> CR 7 5 31</t>
  </si>
  <si>
    <t>6.3264781</t>
  </si>
  <si>
    <t>-72.5761156</t>
  </si>
  <si>
    <t>BOAVITA</t>
  </si>
  <si>
    <t>3125364630</t>
  </si>
  <si>
    <t>CR 7  5 -78</t>
  </si>
  <si>
    <t>6.3307733</t>
  </si>
  <si>
    <t>-72.5861296</t>
  </si>
  <si>
    <t>3213348499</t>
  </si>
  <si>
    <t>3112111435</t>
  </si>
  <si>
    <t>CL 4 NO.7-52,CENTRO</t>
  </si>
  <si>
    <t>6.3292475</t>
  </si>
  <si>
    <t>-72.5850955</t>
  </si>
  <si>
    <t>3224813573</t>
  </si>
  <si>
    <t>CL 5 7-16 BARRIO CENTRO</t>
  </si>
  <si>
    <t>6.3301919</t>
  </si>
  <si>
    <t>-72.5854562</t>
  </si>
  <si>
    <t>3205974172</t>
  </si>
  <si>
    <t>3203029086</t>
  </si>
  <si>
    <t>CR 7 NO.3-19,CENTRO</t>
  </si>
  <si>
    <t>6.3291962</t>
  </si>
  <si>
    <t>-72.5843093</t>
  </si>
  <si>
    <t>3002031425</t>
  </si>
  <si>
    <t>CR 63 22 15,GAMBOTICO</t>
  </si>
  <si>
    <t>9.71024411</t>
  </si>
  <si>
    <t>-75.11204086</t>
  </si>
  <si>
    <t>EL CARMEN DE BOLÍVAR</t>
  </si>
  <si>
    <t>3107455213</t>
  </si>
  <si>
    <t>3003566584</t>
  </si>
  <si>
    <t>CL 14 CRA 6 5 58</t>
  </si>
  <si>
    <t>9.303362500000</t>
  </si>
  <si>
    <t>-74.568268333</t>
  </si>
  <si>
    <t>TALAIGUA NUEVO</t>
  </si>
  <si>
    <t>3215222471</t>
  </si>
  <si>
    <t>3205557908</t>
  </si>
  <si>
    <t>CL 4 9 - 20 CORREGIMIENTO TALAIGUA VIEJO ,</t>
  </si>
  <si>
    <t>9.3120083</t>
  </si>
  <si>
    <t>-74.5856652</t>
  </si>
  <si>
    <t>3002842027</t>
  </si>
  <si>
    <t>CR 8B 13A 29 BODEGA,10 DE ABRIL</t>
  </si>
  <si>
    <t>9.3029488</t>
  </si>
  <si>
    <t>-74.5680969</t>
  </si>
  <si>
    <t>3114061596</t>
  </si>
  <si>
    <t>CL 14 CR 4 72 AP 3,CENTRO</t>
  </si>
  <si>
    <t>9.3040567</t>
  </si>
  <si>
    <t>-74.5659567</t>
  </si>
  <si>
    <t>7794180</t>
  </si>
  <si>
    <t>3102182360</t>
  </si>
  <si>
    <t>CR  8 N  7 32</t>
  </si>
  <si>
    <t>5.5189662</t>
  </si>
  <si>
    <t>-72.8839042</t>
  </si>
  <si>
    <t>AQUITANIA</t>
  </si>
  <si>
    <t>3112541406</t>
  </si>
  <si>
    <t>3112671055</t>
  </si>
  <si>
    <t>CR 9 4-40,CENTRO</t>
  </si>
  <si>
    <t>-72.885</t>
  </si>
  <si>
    <t>3123296739</t>
  </si>
  <si>
    <t>3227359738</t>
  </si>
  <si>
    <t>CR 6 NO.5-19,CENTRO</t>
  </si>
  <si>
    <t>5.5165637</t>
  </si>
  <si>
    <t>-72.8833425</t>
  </si>
  <si>
    <t>3208351906</t>
  </si>
  <si>
    <t>CL 7  6  76</t>
  </si>
  <si>
    <t>5.9561861</t>
  </si>
  <si>
    <t>-72.94860</t>
  </si>
  <si>
    <t>CERINZA</t>
  </si>
  <si>
    <t>3138071572</t>
  </si>
  <si>
    <t>3103410945</t>
  </si>
  <si>
    <t>CL 6 NO.8-26,CENTRO</t>
  </si>
  <si>
    <t>5.95765</t>
  </si>
  <si>
    <t>-72.949538</t>
  </si>
  <si>
    <t>8572017</t>
  </si>
  <si>
    <t>3138696817</t>
  </si>
  <si>
    <t xml:space="preserve"> CL 5  2-15</t>
  </si>
  <si>
    <t>5.16855</t>
  </si>
  <si>
    <t>-73.3689</t>
  </si>
  <si>
    <t>CHINAVITA</t>
  </si>
  <si>
    <t>3107777743</t>
  </si>
  <si>
    <t>CR 2 7 65,</t>
  </si>
  <si>
    <t>5.170108</t>
  </si>
  <si>
    <t>-73.368461</t>
  </si>
  <si>
    <t>3124829251</t>
  </si>
  <si>
    <t>CR 2 7 26,CENTRO</t>
  </si>
  <si>
    <t>5.169</t>
  </si>
  <si>
    <t>3232325412</t>
  </si>
  <si>
    <t>CL 19 4 B 03,BUENOS AIRES</t>
  </si>
  <si>
    <t>1.6212743</t>
  </si>
  <si>
    <t>-75.6075378</t>
  </si>
  <si>
    <t>3118117076</t>
  </si>
  <si>
    <t>3175100511</t>
  </si>
  <si>
    <t>DG 15 N° 8A - 10 BARRIO LA ESTRELLA</t>
  </si>
  <si>
    <t>1.6136563</t>
  </si>
  <si>
    <t>-75.6071793</t>
  </si>
  <si>
    <t>3103096813</t>
  </si>
  <si>
    <t>D 27 N 24 L 4 SENDEROS BARU,SENDEROS DE BARUC</t>
  </si>
  <si>
    <t>1.6172231</t>
  </si>
  <si>
    <t>-75.6367607</t>
  </si>
  <si>
    <t>3102266408</t>
  </si>
  <si>
    <t>CL 33 9 A 21 ,LA PAZ</t>
  </si>
  <si>
    <t>1.6351362</t>
  </si>
  <si>
    <t>-75.6147338</t>
  </si>
  <si>
    <t>2025-11-18</t>
  </si>
  <si>
    <t>3115485300</t>
  </si>
  <si>
    <t>CR 11 9 46,COOPERATIVA</t>
  </si>
  <si>
    <t>1.6112332</t>
  </si>
  <si>
    <t>-75.6100526</t>
  </si>
  <si>
    <t>3214602485</t>
  </si>
  <si>
    <t>CR 9 16 51,CENTRO</t>
  </si>
  <si>
    <t>1.6175254</t>
  </si>
  <si>
    <t>-75.6117203</t>
  </si>
  <si>
    <t>3223730837</t>
  </si>
  <si>
    <t>CL 22 3 54 58,ALPES</t>
  </si>
  <si>
    <t>1.624631</t>
  </si>
  <si>
    <t>-75.605879</t>
  </si>
  <si>
    <t>3218952913</t>
  </si>
  <si>
    <t>CA 228 ASENTAMIENTO LA ILUSIÓN</t>
  </si>
  <si>
    <t>1.6241950</t>
  </si>
  <si>
    <t>-75.6396509</t>
  </si>
  <si>
    <t>3213306242</t>
  </si>
  <si>
    <t>CR 13 B 10 23,EL GUAMAL</t>
  </si>
  <si>
    <t>1.608255</t>
  </si>
  <si>
    <t>-75.613705</t>
  </si>
  <si>
    <t>3202808239</t>
  </si>
  <si>
    <t>LT7 B,LAS PALMERAS ALTAS</t>
  </si>
  <si>
    <t>1.6205765</t>
  </si>
  <si>
    <t>-75.5907987</t>
  </si>
  <si>
    <t>3228444701</t>
  </si>
  <si>
    <t>CL 3D # 5 D 29 SEC 4 BRR LAS MALVINAS</t>
  </si>
  <si>
    <t>1.615849</t>
  </si>
  <si>
    <t>-75.608504</t>
  </si>
  <si>
    <t>3232289742</t>
  </si>
  <si>
    <t>LOTE 70,GIRASOLES</t>
  </si>
  <si>
    <t>1.612902</t>
  </si>
  <si>
    <t>-75.595634</t>
  </si>
  <si>
    <t>3124856810</t>
  </si>
  <si>
    <t>3123198054</t>
  </si>
  <si>
    <t>CL 3E 5D-37 LA ESPERANZA</t>
  </si>
  <si>
    <t>1.22999999</t>
  </si>
  <si>
    <t>-75.60207999</t>
  </si>
  <si>
    <t>3107577365</t>
  </si>
  <si>
    <t>CL 31 # 0 57 LC 1 BOJACA</t>
  </si>
  <si>
    <t>4.8763439</t>
  </si>
  <si>
    <t>-74.040245</t>
  </si>
  <si>
    <t>3045751001</t>
  </si>
  <si>
    <t>CL 7 3 23 ESTE.SAMARIA</t>
  </si>
  <si>
    <t>4.8522669</t>
  </si>
  <si>
    <t>-74.0478528</t>
  </si>
  <si>
    <t>3002013189</t>
  </si>
  <si>
    <t>3202361411</t>
  </si>
  <si>
    <t>CR 9 # 14 85,CENTRO</t>
  </si>
  <si>
    <t>4.863076</t>
  </si>
  <si>
    <t>-74.058300</t>
  </si>
  <si>
    <t>3174978834</t>
  </si>
  <si>
    <t>3015692749</t>
  </si>
  <si>
    <t>3203798443</t>
  </si>
  <si>
    <t>VRD CANAVITA CON RESERVA DE ALEJANDRIA LC 03,VRD CANAVITA CON RESERVA DE ALEJANDRIA</t>
  </si>
  <si>
    <t>4.9374157</t>
  </si>
  <si>
    <t>-73.9394722</t>
  </si>
  <si>
    <t>3183891096</t>
  </si>
  <si>
    <t>3229426741</t>
  </si>
  <si>
    <t>3173796853</t>
  </si>
  <si>
    <t>VRD CANAVITA,VRD CANAVITA</t>
  </si>
  <si>
    <t>4.9474567</t>
  </si>
  <si>
    <t>-73.9225083</t>
  </si>
  <si>
    <t>3142469719</t>
  </si>
  <si>
    <t>CL 13 4A 26,CENTRO</t>
  </si>
  <si>
    <t>4.9662848</t>
  </si>
  <si>
    <t>-73.9113859</t>
  </si>
  <si>
    <t>3214288857</t>
  </si>
  <si>
    <t>CR 4 3 -31</t>
  </si>
  <si>
    <t>4.4833941</t>
  </si>
  <si>
    <t>-73.9345744</t>
  </si>
  <si>
    <t>3112528114</t>
  </si>
  <si>
    <t>CL 4 1 03,CENTRO</t>
  </si>
  <si>
    <t>4.4828145</t>
  </si>
  <si>
    <t>-73.9361886</t>
  </si>
  <si>
    <t>3208429573</t>
  </si>
  <si>
    <t>CARRERA 3 NUMERO 7-08</t>
  </si>
  <si>
    <t>4.8769416</t>
  </si>
  <si>
    <t>-74.5603568</t>
  </si>
  <si>
    <t>3208437193</t>
  </si>
  <si>
    <t>CR 3 5 41</t>
  </si>
  <si>
    <t>4.8757069</t>
  </si>
  <si>
    <t>-74.5611166</t>
  </si>
  <si>
    <t>3143824869</t>
  </si>
  <si>
    <t>CL 4 5 28 LC 3,PANAMERICANA VIANI</t>
  </si>
  <si>
    <t>4.8748284</t>
  </si>
  <si>
    <t>-74.5625023</t>
  </si>
  <si>
    <t>7773031</t>
  </si>
  <si>
    <t>3114067254</t>
  </si>
  <si>
    <t xml:space="preserve"> CR 19 CL 12-33 CENTRO</t>
  </si>
  <si>
    <t>8.25888229</t>
  </si>
  <si>
    <t>-76.14872212</t>
  </si>
  <si>
    <t>VALENCIA</t>
  </si>
  <si>
    <t>3145440534</t>
  </si>
  <si>
    <t>3192886343</t>
  </si>
  <si>
    <t xml:space="preserve"> CORREGIMIENTO VILLANUEVA,</t>
  </si>
  <si>
    <t>8.34507254</t>
  </si>
  <si>
    <t>-76.12289252</t>
  </si>
  <si>
    <t>8461095</t>
  </si>
  <si>
    <t>3105869440</t>
  </si>
  <si>
    <t xml:space="preserve"> CL 3  4 57 CHAGUANI CHAGUANI CUNDINAMARCA</t>
  </si>
  <si>
    <t>4.9495907</t>
  </si>
  <si>
    <t>-74.5944964</t>
  </si>
  <si>
    <t>CHAGUANÍ</t>
  </si>
  <si>
    <t>3105650580</t>
  </si>
  <si>
    <t>CL 3 3 09 ,LA AMISTAD</t>
  </si>
  <si>
    <t>4.9493354</t>
  </si>
  <si>
    <t>-74.5942554</t>
  </si>
  <si>
    <t>8561351</t>
  </si>
  <si>
    <t>3112376710</t>
  </si>
  <si>
    <t xml:space="preserve"> CR 5 4 14</t>
  </si>
  <si>
    <t>5.14454542</t>
  </si>
  <si>
    <t>-73.68647787</t>
  </si>
  <si>
    <t>CHOCONTÁ</t>
  </si>
  <si>
    <t>3192503478</t>
  </si>
  <si>
    <t>3223647955</t>
  </si>
  <si>
    <t>CR 5 10 A 03.CENTRO</t>
  </si>
  <si>
    <t>5.148501</t>
  </si>
  <si>
    <t>-73.6808035</t>
  </si>
  <si>
    <t>3118553100</t>
  </si>
  <si>
    <t>CL 11 4 68,CENTRO</t>
  </si>
  <si>
    <t>5.1487497</t>
  </si>
  <si>
    <t>-73.6795422</t>
  </si>
  <si>
    <t>3115009689</t>
  </si>
  <si>
    <t>3112563195</t>
  </si>
  <si>
    <t>CR 8 9 26,CHOCONTA</t>
  </si>
  <si>
    <t>5.1484457</t>
  </si>
  <si>
    <t>-73.6835387</t>
  </si>
  <si>
    <t>8474368</t>
  </si>
  <si>
    <t>3108136113</t>
  </si>
  <si>
    <t xml:space="preserve"> CR 3 2 28 INSP EL TRIUNFO</t>
  </si>
  <si>
    <t>4.584195</t>
  </si>
  <si>
    <t>-74.445236</t>
  </si>
  <si>
    <t>2025-11-26</t>
  </si>
  <si>
    <t>3126789004</t>
  </si>
  <si>
    <t>3154776673</t>
  </si>
  <si>
    <t>3118689304</t>
  </si>
  <si>
    <t>CR 4 4 16 BRR LA CASTELLANA,CENTRO</t>
  </si>
  <si>
    <t>4.5798445</t>
  </si>
  <si>
    <t>-74.4436852</t>
  </si>
  <si>
    <t>3165308556</t>
  </si>
  <si>
    <t>3124029771</t>
  </si>
  <si>
    <t>CLL 6 NO 7 - 07</t>
  </si>
  <si>
    <t>4.5813145</t>
  </si>
  <si>
    <t>-74.4449089</t>
  </si>
  <si>
    <t>2025-11-27</t>
  </si>
  <si>
    <t>3212864922</t>
  </si>
  <si>
    <t>CL 9 5 05,CENTRO</t>
  </si>
  <si>
    <t>4.5840762</t>
  </si>
  <si>
    <t>-74.4444054</t>
  </si>
  <si>
    <t>3042040639</t>
  </si>
  <si>
    <t>3132518654</t>
  </si>
  <si>
    <t>KM23 VIA MESITAS DEL COLEGIO.VDR SANTIBAR BAJO</t>
  </si>
  <si>
    <t>4.597725</t>
  </si>
  <si>
    <t>-74.376642</t>
  </si>
  <si>
    <t>8475537</t>
  </si>
  <si>
    <t>CR 7 8 41 B. CENTRO,EL COLEGIO</t>
  </si>
  <si>
    <t>4.5836394</t>
  </si>
  <si>
    <t>-74.4454575</t>
  </si>
  <si>
    <t>8421423</t>
  </si>
  <si>
    <t xml:space="preserve"> CL 21 ESTE1 A 28 SUR </t>
  </si>
  <si>
    <t>4.7898418</t>
  </si>
  <si>
    <t>-74.3368494</t>
  </si>
  <si>
    <t>8422041</t>
  </si>
  <si>
    <t>3134421868</t>
  </si>
  <si>
    <t xml:space="preserve"> CR 2 18 B 18</t>
  </si>
  <si>
    <t>4.8188447</t>
  </si>
  <si>
    <t>-74.3654029</t>
  </si>
  <si>
    <t>3138024134</t>
  </si>
  <si>
    <t>DG 11 13 C 33 P 1,REMANSO EL CACIQUE</t>
  </si>
  <si>
    <t>4.8216555</t>
  </si>
  <si>
    <t>-74.3502272</t>
  </si>
  <si>
    <t>3123175390</t>
  </si>
  <si>
    <t>CR 2 SUR 7 B 13,VILLA NUEVA FACATATIVÁ</t>
  </si>
  <si>
    <t>4.8094679</t>
  </si>
  <si>
    <t>-74.3577277</t>
  </si>
  <si>
    <t>3144729743</t>
  </si>
  <si>
    <t>3229595590</t>
  </si>
  <si>
    <t>CL 5 5 16 LC 03,CENTRO</t>
  </si>
  <si>
    <t>4.8115224</t>
  </si>
  <si>
    <t>-74.3521033</t>
  </si>
  <si>
    <t>3123208436</t>
  </si>
  <si>
    <t>3123208336</t>
  </si>
  <si>
    <t>CL 4 4 23 LC 1,CENTRO FACATATIVÁ</t>
  </si>
  <si>
    <t>4.8100744</t>
  </si>
  <si>
    <t>-74.3520042</t>
  </si>
  <si>
    <t>3112509991</t>
  </si>
  <si>
    <t>CL 5 8 05,ZAMBRANO</t>
  </si>
  <si>
    <t>4.8142583</t>
  </si>
  <si>
    <t>-74.3507269</t>
  </si>
  <si>
    <t>3112222352</t>
  </si>
  <si>
    <t>CARRERA 2 SUR NRO. 9-23</t>
  </si>
  <si>
    <t>4.8109557</t>
  </si>
  <si>
    <t>-74.3594697</t>
  </si>
  <si>
    <t>3112332476</t>
  </si>
  <si>
    <t>CR 3 NRO. 5 A 20 ESTE</t>
  </si>
  <si>
    <t>4.8026433</t>
  </si>
  <si>
    <t>-74.3463067</t>
  </si>
  <si>
    <t>3187890172</t>
  </si>
  <si>
    <t>3162522612</t>
  </si>
  <si>
    <t>CL 15  16-45 TULIPANES</t>
  </si>
  <si>
    <t>4.8248560</t>
  </si>
  <si>
    <t>-74.3569516</t>
  </si>
  <si>
    <t>3186179149</t>
  </si>
  <si>
    <t>3107859065</t>
  </si>
  <si>
    <t>CL 6 1 C 04 E BRR CHICO 1,CHICO 1</t>
  </si>
  <si>
    <t>4.801920</t>
  </si>
  <si>
    <t>-74.346023</t>
  </si>
  <si>
    <t>3222876504</t>
  </si>
  <si>
    <t>CR 7 4 90 94 100 104,LA ESMERALDA</t>
  </si>
  <si>
    <t>1.8283377</t>
  </si>
  <si>
    <t>-75.2183809</t>
  </si>
  <si>
    <t>3177245449</t>
  </si>
  <si>
    <t>CL 6 N 8 ELBA PUERTO RICO,LAS DAMAS</t>
  </si>
  <si>
    <t>1.9106517</t>
  </si>
  <si>
    <t>-75.1563030</t>
  </si>
  <si>
    <t>3232247505</t>
  </si>
  <si>
    <t>CR 9 N 6 69,LAS DAMAS</t>
  </si>
  <si>
    <t>1.9114537</t>
  </si>
  <si>
    <t>-75.1569372</t>
  </si>
  <si>
    <t>3118058</t>
  </si>
  <si>
    <t>3118058347</t>
  </si>
  <si>
    <t xml:space="preserve"> CR 5 5 52  CENTRO</t>
  </si>
  <si>
    <t>1.3315099</t>
  </si>
  <si>
    <t>-75.9741548</t>
  </si>
  <si>
    <t>3223169563</t>
  </si>
  <si>
    <t>BARRIO SUMAWASY SAN JOSE,SUMAWASY</t>
  </si>
  <si>
    <t>1.3241595</t>
  </si>
  <si>
    <t>-75.9742797</t>
  </si>
  <si>
    <t>3202364275</t>
  </si>
  <si>
    <t>SIN CENTRO YURAYACO,CENTRO</t>
  </si>
  <si>
    <t>1.2261902</t>
  </si>
  <si>
    <t>-76.0925412</t>
  </si>
  <si>
    <t>3143709289</t>
  </si>
  <si>
    <t>SIN CENTRO ZABALETA,CALLE PRINCIPAL</t>
  </si>
  <si>
    <t>1.1339221</t>
  </si>
  <si>
    <t>-76.1753842</t>
  </si>
  <si>
    <t>3168701295</t>
  </si>
  <si>
    <t>CR 5 # 4 BIS 19 BRR CEN</t>
  </si>
  <si>
    <t>1.3309811</t>
  </si>
  <si>
    <t>-75.9744567</t>
  </si>
  <si>
    <t>3144778635</t>
  </si>
  <si>
    <t>3132109397</t>
  </si>
  <si>
    <t>CL 6 # 5-60 PUEBLO NUEVO</t>
  </si>
  <si>
    <t>1.332193</t>
  </si>
  <si>
    <t>-75.974696</t>
  </si>
  <si>
    <t>CL 4 7 07,VIANI</t>
  </si>
  <si>
    <t>4.8743609</t>
  </si>
  <si>
    <t>-74.5636124</t>
  </si>
  <si>
    <t>8446368</t>
  </si>
  <si>
    <t>3112434093</t>
  </si>
  <si>
    <t>CR 9 N6 -69 BRR MURILLO TORO</t>
  </si>
  <si>
    <t>5.0114617</t>
  </si>
  <si>
    <t>-74.4741403</t>
  </si>
  <si>
    <t>3132629676</t>
  </si>
  <si>
    <t>CR 7 4 02 CENTRO,CENTRO</t>
  </si>
  <si>
    <t>5.0105532</t>
  </si>
  <si>
    <t>-74.4710755</t>
  </si>
  <si>
    <t>3243963378</t>
  </si>
  <si>
    <t>CASERIO EL PUENTE,CASERIO EL PUENTE</t>
  </si>
  <si>
    <t>4.9914631</t>
  </si>
  <si>
    <t>-74.4891374</t>
  </si>
  <si>
    <t>3125412273</t>
  </si>
  <si>
    <t>3132845766</t>
  </si>
  <si>
    <t>CL 5 # 11 - 25</t>
  </si>
  <si>
    <t>5.0086050</t>
  </si>
  <si>
    <t>-74.4743432</t>
  </si>
  <si>
    <t>3123580828</t>
  </si>
  <si>
    <t>CLE. 4 NRO. 6 - 48 _ CENTRO,CENTRO</t>
  </si>
  <si>
    <t>5.0106075</t>
  </si>
  <si>
    <t>-74.4708193</t>
  </si>
  <si>
    <t>7783311</t>
  </si>
  <si>
    <t>3124322196</t>
  </si>
  <si>
    <t xml:space="preserve"> CL 18  10-24</t>
  </si>
  <si>
    <t>4.4381301</t>
  </si>
  <si>
    <t>-74.5218083</t>
  </si>
  <si>
    <t>VIOTÁ</t>
  </si>
  <si>
    <t>3107592388</t>
  </si>
  <si>
    <t>CL 17 10 62,CENTRO</t>
  </si>
  <si>
    <t>4.4375914</t>
  </si>
  <si>
    <t>-74.5224341</t>
  </si>
  <si>
    <t>3112253522</t>
  </si>
  <si>
    <t>CR 9 17 A 10,SANTA LILIANA</t>
  </si>
  <si>
    <t>4.4378024</t>
  </si>
  <si>
    <t>-74.5209191</t>
  </si>
  <si>
    <t>3015406150</t>
  </si>
  <si>
    <t>CR 10 15 62 BRR CENTRO,CENTRO VIOTA</t>
  </si>
  <si>
    <t>4.4365900</t>
  </si>
  <si>
    <t>-74.5220117</t>
  </si>
  <si>
    <t>3107763297</t>
  </si>
  <si>
    <t>3138464719</t>
  </si>
  <si>
    <t>CR 10 17 12 BRR CENTRO,CENTRO</t>
  </si>
  <si>
    <t>4.4372872</t>
  </si>
  <si>
    <t>-74.5217412</t>
  </si>
  <si>
    <t>3102310636</t>
  </si>
  <si>
    <t>CL 8 37 46 LC 52 CC CATEDRAL PLAZA,LA PAZ</t>
  </si>
  <si>
    <t>5.0281769</t>
  </si>
  <si>
    <t>-73.9810553</t>
  </si>
  <si>
    <t>3163027679</t>
  </si>
  <si>
    <t>CR 5 2-07,GIGANTE HUILA</t>
  </si>
  <si>
    <t>3115014709</t>
  </si>
  <si>
    <t>CR 5 3 49,CENTRO</t>
  </si>
  <si>
    <t>2.388058</t>
  </si>
  <si>
    <t>-75.546363</t>
  </si>
  <si>
    <t>3133219721</t>
  </si>
  <si>
    <t>FRENTE A LA ESCUELA,TRES ESQUINAS</t>
  </si>
  <si>
    <t>2.3138307</t>
  </si>
  <si>
    <t>-75.5030310</t>
  </si>
  <si>
    <t>3107229020</t>
  </si>
  <si>
    <t>VRD PUEBLO NUEVO,KM 1 VÍA A NEIVA VEREDA PUEBLO NUEVO</t>
  </si>
  <si>
    <t>2.3940632</t>
  </si>
  <si>
    <t>-75.5412641</t>
  </si>
  <si>
    <t>3173327483</t>
  </si>
  <si>
    <t>CR 6 2 72,CENTRO</t>
  </si>
  <si>
    <t>2.3884358</t>
  </si>
  <si>
    <t>-75.5453899</t>
  </si>
  <si>
    <t>3114809640</t>
  </si>
  <si>
    <t>3143076033</t>
  </si>
  <si>
    <t>CL 5 CON CL 6 NO. 9 67,CENTRO PUERTO LOPEZ</t>
  </si>
  <si>
    <t>4.0846709</t>
  </si>
  <si>
    <t>-72.9583297</t>
  </si>
  <si>
    <t>3208851372</t>
  </si>
  <si>
    <t>3158339665</t>
  </si>
  <si>
    <t>VRD PUEBLO NUEVO PUERTO LOPEZ SOBRE LA VIA PRINCIPAL - ZONA RURAL PUERTO LOPEZ META,PUEBLO NUEVO ZONA RURAL</t>
  </si>
  <si>
    <t>4.3147992</t>
  </si>
  <si>
    <t>-72.3406201</t>
  </si>
  <si>
    <t>3222445614</t>
  </si>
  <si>
    <t>3185801324</t>
  </si>
  <si>
    <t>VRD KM 77 VÍA PUERTO GAITÁN VDA GETSEMANÍ - ZONA RURAL PUERTO LOPEZ META,VEREDA GETSEMANÍ</t>
  </si>
  <si>
    <t>4.3151778</t>
  </si>
  <si>
    <t>-72.3372178</t>
  </si>
  <si>
    <t>3102635407</t>
  </si>
  <si>
    <t>AV 14 10 32 BRR EL VERGEL LC 2</t>
  </si>
  <si>
    <t>4.0993124</t>
  </si>
  <si>
    <t>-72.9546234</t>
  </si>
  <si>
    <t>3144095630</t>
  </si>
  <si>
    <t>3112773840</t>
  </si>
  <si>
    <t>KM 77 PUERTO LÓPEZ - PUERTO GAITÁN - PUEBLO NUEVO,VEREDA PUEBLO NUEVO</t>
  </si>
  <si>
    <t>4.3149288</t>
  </si>
  <si>
    <t>-72.3405393</t>
  </si>
  <si>
    <t>3173273335</t>
  </si>
  <si>
    <t>3132696897</t>
  </si>
  <si>
    <t>CR 19 DIAGONAL 6 A NRO. 11 - 15 - LA UNIÓN,LA UNIÓN</t>
  </si>
  <si>
    <t>4.0845814</t>
  </si>
  <si>
    <t>-72.9667222</t>
  </si>
  <si>
    <t>3115979977</t>
  </si>
  <si>
    <t>3229451259</t>
  </si>
  <si>
    <t>CL 6 6 -16 PACHAQUIARO - ZONA RURAL PUERTO LOPEZ META,PACHAQUIARO ZONA RURAL</t>
  </si>
  <si>
    <t>4.056599</t>
  </si>
  <si>
    <t>-73.174503</t>
  </si>
  <si>
    <t>3118090661</t>
  </si>
  <si>
    <t>CL 6 6 55 AL RESPALDO PLAZA DE MERCADO,PACHAQUEARO</t>
  </si>
  <si>
    <t>4.0574224</t>
  </si>
  <si>
    <t>-73.1757279</t>
  </si>
  <si>
    <t>3115956879</t>
  </si>
  <si>
    <t xml:space="preserve"> KILÓMETRO 59 VÍA GAITÁN SECTOR EL RODEO,</t>
  </si>
  <si>
    <t>4.232995</t>
  </si>
  <si>
    <t>-72.474842</t>
  </si>
  <si>
    <t>3202059577</t>
  </si>
  <si>
    <t>VIA PUERTO LÓPEZ - PUERTO GAITÁN KM 78,ZONA RURAL</t>
  </si>
  <si>
    <t>4.3141257</t>
  </si>
  <si>
    <t>-72.3421371</t>
  </si>
  <si>
    <t>3208327840</t>
  </si>
  <si>
    <t>3223309530</t>
  </si>
  <si>
    <t>VDA PUEBLO NUEVO KM 77 VIA PTO GAITÁN</t>
  </si>
  <si>
    <t>4.3136124</t>
  </si>
  <si>
    <t>-72.3434663</t>
  </si>
  <si>
    <t xml:space="preserve"> KM 60 VIA PTO LÓPEZ - PTO GAITÁN VDA EL TORO - ZONA RURAL PUERTO LÓPEZ META,VEREDA EL TORO</t>
  </si>
  <si>
    <t>4.2332942</t>
  </si>
  <si>
    <t>-72.4736514</t>
  </si>
  <si>
    <t>3112716379</t>
  </si>
  <si>
    <t>CL PRINCIPAL LOS PORTALES DEL FRAGUITA</t>
  </si>
  <si>
    <t>1.187301</t>
  </si>
  <si>
    <t>-76.148966</t>
  </si>
  <si>
    <t>3116291078</t>
  </si>
  <si>
    <t>CR 41 2 C 26,LA MARIA OCCIDENTE</t>
  </si>
  <si>
    <t>2.4559750</t>
  </si>
  <si>
    <t>-76.6331444</t>
  </si>
  <si>
    <t>3108860359</t>
  </si>
  <si>
    <t>CL 4 39A 08 BRR MARIA OCCIDENTE,LA MARIA OCCIDENTE</t>
  </si>
  <si>
    <t>2.4543148</t>
  </si>
  <si>
    <t>-76.6327406</t>
  </si>
  <si>
    <t>3234799232</t>
  </si>
  <si>
    <t>CL 25 A 12 - 33,NUEVA FRONTERA</t>
  </si>
  <si>
    <t>2.4299875</t>
  </si>
  <si>
    <t>-76.6164323</t>
  </si>
  <si>
    <t>3223168746</t>
  </si>
  <si>
    <t>CR 25 A 24 26 BRR LAS ORQUIDEAS,LAS ORQUIDEAS</t>
  </si>
  <si>
    <t>2.4399703</t>
  </si>
  <si>
    <t>-76.6293718</t>
  </si>
  <si>
    <t>3103230893</t>
  </si>
  <si>
    <t>3102230893</t>
  </si>
  <si>
    <t>CL 4 22 93 LC 2 - PANDIGUANDO,PANDIGUANDO</t>
  </si>
  <si>
    <t>2.4477344</t>
  </si>
  <si>
    <t>-76.6196028</t>
  </si>
  <si>
    <t>3206219431</t>
  </si>
  <si>
    <t>VRD ANTOMORENO,VEREDA ANTOMORENO</t>
  </si>
  <si>
    <t>2.4165321</t>
  </si>
  <si>
    <t>-76.6235003</t>
  </si>
  <si>
    <t>3146363933</t>
  </si>
  <si>
    <t>CR 31 14 - 12 MIRADOR - EL MIRADOR,EL MIRADOR</t>
  </si>
  <si>
    <t>2.4460098</t>
  </si>
  <si>
    <t>-76.6288216</t>
  </si>
  <si>
    <t>3107209487</t>
  </si>
  <si>
    <t>CR 17 11B - 37 P 2,VERSALLES</t>
  </si>
  <si>
    <t>2.4380156</t>
  </si>
  <si>
    <t>-76.6162277</t>
  </si>
  <si>
    <t>3135389338</t>
  </si>
  <si>
    <t>CR 33 N 12 78,LA PAZ</t>
  </si>
  <si>
    <t>5.0287086</t>
  </si>
  <si>
    <t>-73.9832910</t>
  </si>
  <si>
    <t>3144589913</t>
  </si>
  <si>
    <t>KM 7 VIA ZIPAQUIRÁ PACHO VDA SAN ISIDRO,VEREDA SAN ISIDRO</t>
  </si>
  <si>
    <t>5.0328219</t>
  </si>
  <si>
    <t>-74.0380316</t>
  </si>
  <si>
    <t>3114450543</t>
  </si>
  <si>
    <t>3115511010</t>
  </si>
  <si>
    <t>CRA 36 4 80,LA PAZ</t>
  </si>
  <si>
    <t>5.0220195</t>
  </si>
  <si>
    <t>-73.9834554</t>
  </si>
  <si>
    <t>8776724</t>
  </si>
  <si>
    <t>3143344131</t>
  </si>
  <si>
    <t>3136446891</t>
  </si>
  <si>
    <t>3117418842</t>
  </si>
  <si>
    <t>CR 6E 4E 47 LA LOMITA,LA LOMITA</t>
  </si>
  <si>
    <t>2.4340523</t>
  </si>
  <si>
    <t>-76.5981063</t>
  </si>
  <si>
    <t>3017080459</t>
  </si>
  <si>
    <t>3186062348</t>
  </si>
  <si>
    <t>MANZANA 26 NRO. 26 - 01 BRR TOMAS CIPRIANO DE MOSQUERA PISO 1 LOCAL 1,TOMAS CIPRIANO DE MOSQUERA</t>
  </si>
  <si>
    <t>2.4440166</t>
  </si>
  <si>
    <t>-76.6258624</t>
  </si>
  <si>
    <t>3219787547</t>
  </si>
  <si>
    <t>CR 3 9 83 95 LC 102 GAITAN,GAITAN</t>
  </si>
  <si>
    <t>4.2688897</t>
  </si>
  <si>
    <t>-73.5402717</t>
  </si>
  <si>
    <t>6500562</t>
  </si>
  <si>
    <t>3162976256</t>
  </si>
  <si>
    <t xml:space="preserve"> CR 4  4-22 GOLGOTA</t>
  </si>
  <si>
    <t>1.3510866</t>
  </si>
  <si>
    <t>-77.5236826</t>
  </si>
  <si>
    <t>3205159892</t>
  </si>
  <si>
    <t>BRR GOLGOTA CL 3 CA 12 A</t>
  </si>
  <si>
    <t>1.351135</t>
  </si>
  <si>
    <t>-77.523262</t>
  </si>
  <si>
    <t>3102287940</t>
  </si>
  <si>
    <t>3150035671</t>
  </si>
  <si>
    <t>BRR GOLGOTA,BRR GOLGOTA</t>
  </si>
  <si>
    <t>1.3490642</t>
  </si>
  <si>
    <t>-77.5238033</t>
  </si>
  <si>
    <t>3176797045</t>
  </si>
  <si>
    <t>CL 8 N 3-15,EL TRIUNFO</t>
  </si>
  <si>
    <t>7.9312699</t>
  </si>
  <si>
    <t>-72.6024658</t>
  </si>
  <si>
    <t>3215892401</t>
  </si>
  <si>
    <t>CA 10 APT 1,FRANCISCO DE PAULA</t>
  </si>
  <si>
    <t>7.9354970</t>
  </si>
  <si>
    <t>-72.6049743</t>
  </si>
  <si>
    <t>3186538703</t>
  </si>
  <si>
    <t>3105526522</t>
  </si>
  <si>
    <t>CL 1 NO 9 36,ALFONSO LOPEZ</t>
  </si>
  <si>
    <t>7.9389360</t>
  </si>
  <si>
    <t>-72.6045398</t>
  </si>
  <si>
    <t>3168269362</t>
  </si>
  <si>
    <t>3219698695</t>
  </si>
  <si>
    <t>CL 50 22 95,SAN VALENTIN</t>
  </si>
  <si>
    <t>2.9573094</t>
  </si>
  <si>
    <t>-75.2801205</t>
  </si>
  <si>
    <t>3167206933</t>
  </si>
  <si>
    <t>CR 50 20 07,MISAEL PASTRANA</t>
  </si>
  <si>
    <t>2.9415462</t>
  </si>
  <si>
    <t>-75.2503630</t>
  </si>
  <si>
    <t>3112714958</t>
  </si>
  <si>
    <t>3142183678</t>
  </si>
  <si>
    <t>CL 6 16 A 17,CALIXTO LEIVA</t>
  </si>
  <si>
    <t>2.9286982</t>
  </si>
  <si>
    <t>-75.2777961</t>
  </si>
  <si>
    <t>3102634742</t>
  </si>
  <si>
    <t>CL 55 A 2 AW - 45,CANDIDO LEGUIZAMO</t>
  </si>
  <si>
    <t>2.957034</t>
  </si>
  <si>
    <t>-75.298373</t>
  </si>
  <si>
    <t>3175455920</t>
  </si>
  <si>
    <t>3153154693</t>
  </si>
  <si>
    <t>CR 16 41 72 CC SAN JUAN PLAZA LC 219,ALAMOS NORTE</t>
  </si>
  <si>
    <t>2.955654</t>
  </si>
  <si>
    <t>-75.280385</t>
  </si>
  <si>
    <t>3183184409</t>
  </si>
  <si>
    <t>CL 49 C SUR37 170 TORRE 25 APTO 104,PRADOS DEL SAUCE</t>
  </si>
  <si>
    <t>2.8873513</t>
  </si>
  <si>
    <t>-75.2511661</t>
  </si>
  <si>
    <t>3158861236</t>
  </si>
  <si>
    <t>CL 56 B 17 - 71 LOCAL 2,CONDOMINIO RESIDENCIAL AMARANTO CLUB</t>
  </si>
  <si>
    <t>2.9586160</t>
  </si>
  <si>
    <t>-75.2871921</t>
  </si>
  <si>
    <t>3132438564</t>
  </si>
  <si>
    <t>CR 17 35 28,GUALANDAY</t>
  </si>
  <si>
    <t>2.192466</t>
  </si>
  <si>
    <t>-75.636559</t>
  </si>
  <si>
    <t>3108119746</t>
  </si>
  <si>
    <t>3503598349</t>
  </si>
  <si>
    <t>CL 25 6 12 JOSE EUSTACIO RIVERA</t>
  </si>
  <si>
    <t>2.954268</t>
  </si>
  <si>
    <t>-75.283395</t>
  </si>
  <si>
    <t>3133907871</t>
  </si>
  <si>
    <t>CL 55 4 W 46,CARLOS PIZARRO</t>
  </si>
  <si>
    <t>2.9591988</t>
  </si>
  <si>
    <t>-75.2995807</t>
  </si>
  <si>
    <t>3188601647</t>
  </si>
  <si>
    <t>CL 70 A N 8 C 92,SAN EDUARDO</t>
  </si>
  <si>
    <t>2.4810158</t>
  </si>
  <si>
    <t>-76.5626645</t>
  </si>
  <si>
    <t>3116602641</t>
  </si>
  <si>
    <t xml:space="preserve"> CR 9 5. 42 CENTRO</t>
  </si>
  <si>
    <t>2.4417407</t>
  </si>
  <si>
    <t>-76.6087823</t>
  </si>
  <si>
    <t>8367549</t>
  </si>
  <si>
    <t>3202199442</t>
  </si>
  <si>
    <t xml:space="preserve"> KM 22 AU MEDELLIN VRD TIERRA GRATA</t>
  </si>
  <si>
    <t>4.8514819</t>
  </si>
  <si>
    <t>-74.2744612</t>
  </si>
  <si>
    <t>EL ROSAL</t>
  </si>
  <si>
    <t>3208333892</t>
  </si>
  <si>
    <t>CLL 11A Nº 6- 33 L C 3</t>
  </si>
  <si>
    <t>4.8543284</t>
  </si>
  <si>
    <t>-74.2615800</t>
  </si>
  <si>
    <t>3128156608</t>
  </si>
  <si>
    <t>3128157608</t>
  </si>
  <si>
    <t>VRD EL ROSARIO ALTO FCA SANTA ELENA</t>
  </si>
  <si>
    <t>4.6678109</t>
  </si>
  <si>
    <t>-74.3850154</t>
  </si>
  <si>
    <t>8789381</t>
  </si>
  <si>
    <t>3125454176</t>
  </si>
  <si>
    <t xml:space="preserve"> CL 3  3 28</t>
  </si>
  <si>
    <t>5.1188071</t>
  </si>
  <si>
    <t>-74.3454938</t>
  </si>
  <si>
    <t>VERGARA</t>
  </si>
  <si>
    <t>3103292137</t>
  </si>
  <si>
    <t>CR 3 # 2 - 08 BRR SAN PEDRO</t>
  </si>
  <si>
    <t>5.1180315</t>
  </si>
  <si>
    <t>-74.3458071</t>
  </si>
  <si>
    <t>3107977908</t>
  </si>
  <si>
    <t>CL 2 3 49</t>
  </si>
  <si>
    <t>5.1182565</t>
  </si>
  <si>
    <t>-74.3454319</t>
  </si>
  <si>
    <t>3105808496</t>
  </si>
  <si>
    <t>3142441242</t>
  </si>
  <si>
    <t>CRA 6 A NO 1 - 19,SANTO DOMINGO</t>
  </si>
  <si>
    <t>5.1192886</t>
  </si>
  <si>
    <t>-74.3441949</t>
  </si>
  <si>
    <t>3135629833</t>
  </si>
  <si>
    <t>CLE 2 NO 4 60,CENTRO</t>
  </si>
  <si>
    <t>5.1188781</t>
  </si>
  <si>
    <t>-74.3449129</t>
  </si>
  <si>
    <t>8389939</t>
  </si>
  <si>
    <t>3212044050</t>
  </si>
  <si>
    <t xml:space="preserve"> CR 4 CL 5 A ESQ</t>
  </si>
  <si>
    <t>3.222475</t>
  </si>
  <si>
    <t>-75.236699</t>
  </si>
  <si>
    <t>AIPE</t>
  </si>
  <si>
    <t>3118534071</t>
  </si>
  <si>
    <t>3113602786</t>
  </si>
  <si>
    <t>VRD 1 - 1 VEREDA LA UNIÓN,VEREDA LA UNIÓN</t>
  </si>
  <si>
    <t>3.2022377</t>
  </si>
  <si>
    <t>-75.5737359</t>
  </si>
  <si>
    <t>3208460382</t>
  </si>
  <si>
    <t>CL 4 3 - 79,CENTRO</t>
  </si>
  <si>
    <t>3.221263</t>
  </si>
  <si>
    <t>-75.236610</t>
  </si>
  <si>
    <t>3132239608</t>
  </si>
  <si>
    <t>CR 6 4 35,CENTRO</t>
  </si>
  <si>
    <t>2.5235913</t>
  </si>
  <si>
    <t>-75.3156105</t>
  </si>
  <si>
    <t>3103478200</t>
  </si>
  <si>
    <t>CR 6 6 23,CENTRO</t>
  </si>
  <si>
    <t>2.5242948</t>
  </si>
  <si>
    <t>-75.3147733</t>
  </si>
  <si>
    <t>3214475512</t>
  </si>
  <si>
    <t>CR 5 2 03,CENTRO</t>
  </si>
  <si>
    <t>2.5230817</t>
  </si>
  <si>
    <t>-75.3182317</t>
  </si>
  <si>
    <t>3143242562</t>
  </si>
  <si>
    <t>CL 6 8-08,JUAN XXI</t>
  </si>
  <si>
    <t>2.522318</t>
  </si>
  <si>
    <t>-75.312806</t>
  </si>
  <si>
    <t>3123278956</t>
  </si>
  <si>
    <t>CL 2 CR 6 BRR CENTRO INSPECCIÓN PALMERAS</t>
  </si>
  <si>
    <t>3.915995</t>
  </si>
  <si>
    <t>-73.235003</t>
  </si>
  <si>
    <t>3134766197</t>
  </si>
  <si>
    <t>3108808658</t>
  </si>
  <si>
    <t>CL 2 CRA 4 INSPECCION LA PALMERA - ZONA RURAL SAN CARLOS DE GUAROBA,INSPECCIÓN LA PALMERA</t>
  </si>
  <si>
    <t>3.9163290</t>
  </si>
  <si>
    <t>-73.2358341</t>
  </si>
  <si>
    <t>3182649776</t>
  </si>
  <si>
    <t>3138142479</t>
  </si>
  <si>
    <t>CR 42 -71 INSPECCIÓN PALMERAS,ZONA RURAL SAN CARLOS DE GUAROBA</t>
  </si>
  <si>
    <t>3.9164386</t>
  </si>
  <si>
    <t>-73.2365986</t>
  </si>
  <si>
    <t>3153525206</t>
  </si>
  <si>
    <t>3166607067</t>
  </si>
  <si>
    <t>3168728357</t>
  </si>
  <si>
    <t>VRD INSPECCIÓN SURIMENA - ZONA RURAL SAN CARLOS DE GUAROA,INSPECCIÓN SURIMENA</t>
  </si>
  <si>
    <t>3.859705</t>
  </si>
  <si>
    <t>-73.314787</t>
  </si>
  <si>
    <t>3103160028</t>
  </si>
  <si>
    <t>3208340254</t>
  </si>
  <si>
    <t>VRD INSPECCIÓN RINCÓN DE PAJURE - ZONA RURAL SAN CARLOS DE GUAROA,INSPECCIÓN RINCÓN DE PAJURE</t>
  </si>
  <si>
    <t>3.890488</t>
  </si>
  <si>
    <t>-73.125962</t>
  </si>
  <si>
    <t>3116918181</t>
  </si>
  <si>
    <t>3213035828</t>
  </si>
  <si>
    <t>ESQ PARQUE PRINCIPAL BARRIO PROGRESO,PROGRESO</t>
  </si>
  <si>
    <t>1.472852</t>
  </si>
  <si>
    <t>-77.5798499</t>
  </si>
  <si>
    <t>LA LLANADA</t>
  </si>
  <si>
    <t>3154346757</t>
  </si>
  <si>
    <t>3112344143</t>
  </si>
  <si>
    <t>CR 5 6 09 B/SAN FRANCISCO,SAN FRANCISCO</t>
  </si>
  <si>
    <t>1.4786191</t>
  </si>
  <si>
    <t>-77.5815685</t>
  </si>
  <si>
    <t>5552127</t>
  </si>
  <si>
    <t>3108720803</t>
  </si>
  <si>
    <t xml:space="preserve"> AV 10 16 24</t>
  </si>
  <si>
    <t>7.827482940232154</t>
  </si>
  <si>
    <t>-72.5118858868464</t>
  </si>
  <si>
    <t>3234104669</t>
  </si>
  <si>
    <t>AV 10 12 30,ONCE DE NOVIEMBRE</t>
  </si>
  <si>
    <t>7.8241678</t>
  </si>
  <si>
    <t>-72.5129989</t>
  </si>
  <si>
    <t>3167626155</t>
  </si>
  <si>
    <t>KDX 6 2,RECTA COROZAL</t>
  </si>
  <si>
    <t>7.7326718</t>
  </si>
  <si>
    <t>-72.5552988</t>
  </si>
  <si>
    <t>3156511123</t>
  </si>
  <si>
    <t>3016718357</t>
  </si>
  <si>
    <t>AV 10 MZ 0 LC 19 CC LA CAMPIÑA,URB LA CAMPIÑA</t>
  </si>
  <si>
    <t>7.8179184</t>
  </si>
  <si>
    <t>-72.5154217</t>
  </si>
  <si>
    <t>3132350020</t>
  </si>
  <si>
    <t>3143719794</t>
  </si>
  <si>
    <t xml:space="preserve"> CL 24 A 49 37</t>
  </si>
  <si>
    <t>2.9451385</t>
  </si>
  <si>
    <t>-75.2530159</t>
  </si>
  <si>
    <t>8760619</t>
  </si>
  <si>
    <t>3007357505</t>
  </si>
  <si>
    <t xml:space="preserve"> CL 67 1 78</t>
  </si>
  <si>
    <t>2.9650819</t>
  </si>
  <si>
    <t>-75.2950509</t>
  </si>
  <si>
    <t>8713779</t>
  </si>
  <si>
    <t>3237879733</t>
  </si>
  <si>
    <t>3214189981</t>
  </si>
  <si>
    <t xml:space="preserve"> CR 4 3 29</t>
  </si>
  <si>
    <t>2.923088</t>
  </si>
  <si>
    <t>-75.288411</t>
  </si>
  <si>
    <t>8719891</t>
  </si>
  <si>
    <t>3102293210</t>
  </si>
  <si>
    <t xml:space="preserve"> CL 6 4 49</t>
  </si>
  <si>
    <t>2.925161</t>
  </si>
  <si>
    <t>-75.288673</t>
  </si>
  <si>
    <t>3112941685</t>
  </si>
  <si>
    <t>CL 29 3 58,LA CORDIALIDAD</t>
  </si>
  <si>
    <t>7.8365977</t>
  </si>
  <si>
    <t>-72.5035049</t>
  </si>
  <si>
    <t>3102234864</t>
  </si>
  <si>
    <t>3043478063</t>
  </si>
  <si>
    <t>CL 27 3 57 APTO 101,LA CORDIALIDAD</t>
  </si>
  <si>
    <t>7.836615465004341</t>
  </si>
  <si>
    <t xml:space="preserve"> -72.49892444850259</t>
  </si>
  <si>
    <t>3156685838</t>
  </si>
  <si>
    <t>3144766559</t>
  </si>
  <si>
    <t>CL 22 B 3 98 LC 2,TASAJERO</t>
  </si>
  <si>
    <t>7.831796952404172</t>
  </si>
  <si>
    <t xml:space="preserve"> -72.505310104322</t>
  </si>
  <si>
    <t>3163887351</t>
  </si>
  <si>
    <t>AV 9 NRO. 5C - 06 LC 3,URB SAN NICOLÁS 2</t>
  </si>
  <si>
    <t>7.8186304</t>
  </si>
  <si>
    <t>-72.5138397</t>
  </si>
  <si>
    <t>AV 10 NRO. 18 - 20 A,ONCE DE NOVIEMBRE</t>
  </si>
  <si>
    <t>7.8292045</t>
  </si>
  <si>
    <t>-72.5113581</t>
  </si>
  <si>
    <t>AV 4 NRO. 34 - 33 LO. 1,LA SABANA</t>
  </si>
  <si>
    <t>7.8420794</t>
  </si>
  <si>
    <t>-72.5023490</t>
  </si>
  <si>
    <t>3233155763</t>
  </si>
  <si>
    <t>AV 10 NRO. 25B - 29,PATIOS CENTRO</t>
  </si>
  <si>
    <t>7.8360008</t>
  </si>
  <si>
    <t>-72.5093711</t>
  </si>
  <si>
    <t>3015625108</t>
  </si>
  <si>
    <t>AV 10 16-40,ONCE DE NOVIEMBRE</t>
  </si>
  <si>
    <t>7.8285697</t>
  </si>
  <si>
    <t>-72.5115209</t>
  </si>
  <si>
    <t>3007685812</t>
  </si>
  <si>
    <t>AV 1E 28-19,LA CORDIALIDAD</t>
  </si>
  <si>
    <t>7.834766022499206</t>
  </si>
  <si>
    <t>-72.49933933315805</t>
  </si>
  <si>
    <t>3004414216</t>
  </si>
  <si>
    <t>AV 9 26-04 LOCAL 1,PATIOS CENTRO</t>
  </si>
  <si>
    <t>7.8355805</t>
  </si>
  <si>
    <t>-72.5082055</t>
  </si>
  <si>
    <t>3223531577</t>
  </si>
  <si>
    <t>AV 4 3B 53,URB ISCALIGUA II</t>
  </si>
  <si>
    <t>7.816937845913552</t>
  </si>
  <si>
    <t>-72.51217059083059</t>
  </si>
  <si>
    <t>3116459730</t>
  </si>
  <si>
    <t>MZ 30 LOTE 4-29,VIDELSO</t>
  </si>
  <si>
    <t>7.82483697</t>
  </si>
  <si>
    <t>-72.514015000</t>
  </si>
  <si>
    <t>AV 10 31-80,BRR PATIOS CENTRO</t>
  </si>
  <si>
    <t>7.81737</t>
  </si>
  <si>
    <t>-72.515312</t>
  </si>
  <si>
    <t>5704708</t>
  </si>
  <si>
    <t>3133811343</t>
  </si>
  <si>
    <t>MZ E LT 87 LC 1,URB VILLA ANSEP</t>
  </si>
  <si>
    <t>7.8179007</t>
  </si>
  <si>
    <t>-72.5151122</t>
  </si>
  <si>
    <t>5781820</t>
  </si>
  <si>
    <t>3108629626</t>
  </si>
  <si>
    <t>LT 1B CRISTAL 1,URB LA FLORESTA</t>
  </si>
  <si>
    <t>7.8573253</t>
  </si>
  <si>
    <t>-72.4973393</t>
  </si>
  <si>
    <t>8200067</t>
  </si>
  <si>
    <t>3124663418</t>
  </si>
  <si>
    <t xml:space="preserve"> CL PRINCIPAL</t>
  </si>
  <si>
    <t>2.26814</t>
  </si>
  <si>
    <t>-74.58197</t>
  </si>
  <si>
    <t>LA MACARENA</t>
  </si>
  <si>
    <t>6069566</t>
  </si>
  <si>
    <t>3143311123</t>
  </si>
  <si>
    <t xml:space="preserve"> CR 7 CL 5 ESQ</t>
  </si>
  <si>
    <t>2.182307</t>
  </si>
  <si>
    <t>-73.78532</t>
  </si>
  <si>
    <t>6870135</t>
  </si>
  <si>
    <t>3232065468</t>
  </si>
  <si>
    <t>3203023151</t>
  </si>
  <si>
    <t xml:space="preserve"> CR 4 9 98 LOS CRISTALES</t>
  </si>
  <si>
    <t>2.180008</t>
  </si>
  <si>
    <t>-73.783302</t>
  </si>
  <si>
    <t xml:space="preserve"> CR 4 9 98  LOS CRISTALES</t>
  </si>
  <si>
    <t>2.180023</t>
  </si>
  <si>
    <t>-73.783981</t>
  </si>
  <si>
    <t>3202944654</t>
  </si>
  <si>
    <t xml:space="preserve"> CR 8 3 45</t>
  </si>
  <si>
    <t>2.184035</t>
  </si>
  <si>
    <t>-73.787246</t>
  </si>
  <si>
    <t>3204523245</t>
  </si>
  <si>
    <t>CL 6 N 7 69,CENTRO</t>
  </si>
  <si>
    <t>2.182881</t>
  </si>
  <si>
    <t>-73.786985</t>
  </si>
  <si>
    <t>3118750700</t>
  </si>
  <si>
    <t>3143896890</t>
  </si>
  <si>
    <t>CR 7 N 6 - 32,CENTRO</t>
  </si>
  <si>
    <t>2.1825495</t>
  </si>
  <si>
    <t>-73.7862410</t>
  </si>
  <si>
    <t>3146678442</t>
  </si>
  <si>
    <t>3143378442</t>
  </si>
  <si>
    <t>CR 7 7 27,CENTRO</t>
  </si>
  <si>
    <t>2.181940</t>
  </si>
  <si>
    <t>-73.786118</t>
  </si>
  <si>
    <t>3144456581</t>
  </si>
  <si>
    <t>CL 10 11 38,BRR LAS COLINAS</t>
  </si>
  <si>
    <t>2.177709</t>
  </si>
  <si>
    <t>-73.790411</t>
  </si>
  <si>
    <t>3229492636</t>
  </si>
  <si>
    <t>CL 5 7 50,CENTRO</t>
  </si>
  <si>
    <t>2.183563</t>
  </si>
  <si>
    <t>-73.786820</t>
  </si>
  <si>
    <t>3164971517</t>
  </si>
  <si>
    <t>3006737211</t>
  </si>
  <si>
    <t>CL 8 KDX 37,FUERA DEL MUNICIPIO DE SAN CAYETANO</t>
  </si>
  <si>
    <t>7.90668119</t>
  </si>
  <si>
    <t>-72.63837946</t>
  </si>
  <si>
    <t>SAN CAYETANO</t>
  </si>
  <si>
    <t>3135413054</t>
  </si>
  <si>
    <t xml:space="preserve"> CR 4 4 89</t>
  </si>
  <si>
    <t>6.31304709</t>
  </si>
  <si>
    <t>-73.9476408</t>
  </si>
  <si>
    <t>3214581649</t>
  </si>
  <si>
    <t>CL 10 NRO 0-16 PISO 1,EL TRIUNFO</t>
  </si>
  <si>
    <t>7.9292998</t>
  </si>
  <si>
    <t>-72.6009140</t>
  </si>
  <si>
    <t>3155473996</t>
  </si>
  <si>
    <t>CR 5 6A 32,CENTRO</t>
  </si>
  <si>
    <t>7.3753516</t>
  </si>
  <si>
    <t>-72.6495018</t>
  </si>
  <si>
    <t>3124571979</t>
  </si>
  <si>
    <t>CL 4 5 71,CENTRO</t>
  </si>
  <si>
    <t>7.3777129</t>
  </si>
  <si>
    <t>-72.6472482</t>
  </si>
  <si>
    <t>3204438399</t>
  </si>
  <si>
    <t>CR 3 NRO 4-48,EL GUAMO</t>
  </si>
  <si>
    <t>7.3791708693708955</t>
  </si>
  <si>
    <t>-72.64980112392372</t>
  </si>
  <si>
    <t>3207279905</t>
  </si>
  <si>
    <t>3136198645</t>
  </si>
  <si>
    <t>VRD LA MARIA CA 18 24,LA MARIA</t>
  </si>
  <si>
    <t>4.5315309</t>
  </si>
  <si>
    <t>-75.6623573</t>
  </si>
  <si>
    <t>3208278605</t>
  </si>
  <si>
    <t>MZ A CA 8 LA HUERTA,LA HUERTA</t>
  </si>
  <si>
    <t>4.5152000</t>
  </si>
  <si>
    <t>-75.6439414</t>
  </si>
  <si>
    <t>6140663</t>
  </si>
  <si>
    <t>3124494679</t>
  </si>
  <si>
    <t xml:space="preserve"> CR 3  2-23 CABECERA MUNICIPAL</t>
  </si>
  <si>
    <t>6.69758082</t>
  </si>
  <si>
    <t>-73.51243613</t>
  </si>
  <si>
    <t>EL CARMEN DE CHUCURÍ</t>
  </si>
  <si>
    <t>3178946323</t>
  </si>
  <si>
    <t xml:space="preserve"> CR 7  10-68</t>
  </si>
  <si>
    <t>6.6982412</t>
  </si>
  <si>
    <t>-73.5111734</t>
  </si>
  <si>
    <t>3105334206</t>
  </si>
  <si>
    <t xml:space="preserve"> CL 5 3 30</t>
  </si>
  <si>
    <t>6.69816134</t>
  </si>
  <si>
    <t>-73.51272828</t>
  </si>
  <si>
    <t>6706704</t>
  </si>
  <si>
    <t>3124432327</t>
  </si>
  <si>
    <t xml:space="preserve"> CL 3 6 10</t>
  </si>
  <si>
    <t>6.69935932</t>
  </si>
  <si>
    <t>-73.5136514</t>
  </si>
  <si>
    <t>3125227137</t>
  </si>
  <si>
    <t>3125686410</t>
  </si>
  <si>
    <t>CL 2 NO. 5 - 21 BRR CENTRO</t>
  </si>
  <si>
    <t>6.70350558</t>
  </si>
  <si>
    <t>-73.50888035</t>
  </si>
  <si>
    <t>3015991804</t>
  </si>
  <si>
    <t>3134895207</t>
  </si>
  <si>
    <t>CL 5 2 08 CENTRO,CENTRO</t>
  </si>
  <si>
    <t>3102645047</t>
  </si>
  <si>
    <t>3123415142</t>
  </si>
  <si>
    <t>CR 4 2 2 ESQUINA</t>
  </si>
  <si>
    <t>6.6981332</t>
  </si>
  <si>
    <t>-73.5121423</t>
  </si>
  <si>
    <t>3546598</t>
  </si>
  <si>
    <t>338168292</t>
  </si>
  <si>
    <t>3138168298</t>
  </si>
  <si>
    <t xml:space="preserve"> SEC ONCE DE MAEZO</t>
  </si>
  <si>
    <t>6.0560150</t>
  </si>
  <si>
    <t>-73.8152570</t>
  </si>
  <si>
    <t>EL PEÑÓN</t>
  </si>
  <si>
    <t>7019657</t>
  </si>
  <si>
    <t>3103210274</t>
  </si>
  <si>
    <t xml:space="preserve"> SEC ONCE DE MARZO</t>
  </si>
  <si>
    <t>6.0553350</t>
  </si>
  <si>
    <t>-73.8145709</t>
  </si>
  <si>
    <t>3142238038</t>
  </si>
  <si>
    <t>CR 21 22 124 VILLA CAMPESTRE 3,VILLA CAMPESTRE 3</t>
  </si>
  <si>
    <t>7.064343</t>
  </si>
  <si>
    <t>-73.166731</t>
  </si>
  <si>
    <t>3174364806</t>
  </si>
  <si>
    <t>CR 5 7 20 CENTRO,CENTRO</t>
  </si>
  <si>
    <t>6.3135901</t>
  </si>
  <si>
    <t>-73.9493067</t>
  </si>
  <si>
    <t>315 8855996</t>
  </si>
  <si>
    <t>3158855996</t>
  </si>
  <si>
    <t>CR 5 7 93 CENTRO,CENTRO</t>
  </si>
  <si>
    <t>6.31463999</t>
  </si>
  <si>
    <t>-73.95011276</t>
  </si>
  <si>
    <t>3123348121</t>
  </si>
  <si>
    <t>CR 3 A 4 99 LOCAL 1,CENTRO</t>
  </si>
  <si>
    <t>6.3131050</t>
  </si>
  <si>
    <t>-73.9480167</t>
  </si>
  <si>
    <t>3203540001</t>
  </si>
  <si>
    <t>CR 4 7 15,CENTRO</t>
  </si>
  <si>
    <t>6.31446</t>
  </si>
  <si>
    <t>-73.94921</t>
  </si>
  <si>
    <t>3123648871</t>
  </si>
  <si>
    <t>3178179827</t>
  </si>
  <si>
    <t>CR 7 6 58 CENTRO,CENTRO</t>
  </si>
  <si>
    <t>6.31256492</t>
  </si>
  <si>
    <t>-73.94996341</t>
  </si>
  <si>
    <t>3114686438</t>
  </si>
  <si>
    <t>CL 7 3 14 PISO 1 CENTRO,CIMITARRA</t>
  </si>
  <si>
    <t>7.7054627</t>
  </si>
  <si>
    <t>-73.9566082</t>
  </si>
  <si>
    <t>3156491682</t>
  </si>
  <si>
    <t>3183584141</t>
  </si>
  <si>
    <t>CR 3 3 B 54 CENTRO,CENTRO</t>
  </si>
  <si>
    <t>6.3125131</t>
  </si>
  <si>
    <t>-73.9467416</t>
  </si>
  <si>
    <t>6248021</t>
  </si>
  <si>
    <t>3115323493</t>
  </si>
  <si>
    <t xml:space="preserve"> CR 4  4-52 SAN LUIS DE GACENO BOYACA</t>
  </si>
  <si>
    <t>5.5123455</t>
  </si>
  <si>
    <t>-73.3733661</t>
  </si>
  <si>
    <t>SAN LUIS DE GACENO</t>
  </si>
  <si>
    <t>4032936</t>
  </si>
  <si>
    <t>3118125226</t>
  </si>
  <si>
    <t xml:space="preserve"> CR 4 6 06</t>
  </si>
  <si>
    <t>4.821098</t>
  </si>
  <si>
    <t>-73.679</t>
  </si>
  <si>
    <t>3185438769</t>
  </si>
  <si>
    <t>CR 5 4 36 BRR CENTRO</t>
  </si>
  <si>
    <t>4.8206085</t>
  </si>
  <si>
    <t>-73.1692662</t>
  </si>
  <si>
    <t>3103431933</t>
  </si>
  <si>
    <t>CL 5 3 47,CENTRO</t>
  </si>
  <si>
    <t>4.8205296</t>
  </si>
  <si>
    <t>-73.1683046</t>
  </si>
  <si>
    <t>3125852518</t>
  </si>
  <si>
    <t>3195013484</t>
  </si>
  <si>
    <t>CRA 5 3-42 CENTRO,CENTRO</t>
  </si>
  <si>
    <t>4.817554</t>
  </si>
  <si>
    <t>-73.172530</t>
  </si>
  <si>
    <t>3112811881</t>
  </si>
  <si>
    <t>CR 2 2 29,CENTRO</t>
  </si>
  <si>
    <t>4.8607277</t>
  </si>
  <si>
    <t>-73.2615670</t>
  </si>
  <si>
    <t>SANTA MARÍA</t>
  </si>
  <si>
    <t>3224121525</t>
  </si>
  <si>
    <t>CL 4 1 C 53,CENTRO</t>
  </si>
  <si>
    <t>4.8617</t>
  </si>
  <si>
    <t>-73.261</t>
  </si>
  <si>
    <t>3138298157</t>
  </si>
  <si>
    <t>CL 5 3 14,CENTRO</t>
  </si>
  <si>
    <t>5.7137378</t>
  </si>
  <si>
    <t>-73.6018784</t>
  </si>
  <si>
    <t>SANTA SOFÍA</t>
  </si>
  <si>
    <t>3007811524</t>
  </si>
  <si>
    <t>AV 6 NRO 7-09 APTO 102,SAN FRANCISCO</t>
  </si>
  <si>
    <t>8.0844143</t>
  </si>
  <si>
    <t>-72.8012965</t>
  </si>
  <si>
    <t>SARDINATA</t>
  </si>
  <si>
    <t>5707139</t>
  </si>
  <si>
    <t>3114549955</t>
  </si>
  <si>
    <t xml:space="preserve"> CL 20 8 09</t>
  </si>
  <si>
    <t>7.8203209</t>
  </si>
  <si>
    <t>-72.4732253</t>
  </si>
  <si>
    <t>3132882534</t>
  </si>
  <si>
    <t>CL 26 NRO 14-28,GRANCOLOMBIA</t>
  </si>
  <si>
    <t>7.8148696</t>
  </si>
  <si>
    <t>-72.4789557</t>
  </si>
  <si>
    <t>3142379141</t>
  </si>
  <si>
    <t>3157964855</t>
  </si>
  <si>
    <t>CL 2N #  15 - 20 SAN GREGORIO</t>
  </si>
  <si>
    <t>7.8390330</t>
  </si>
  <si>
    <t>-72.4789761</t>
  </si>
  <si>
    <t>3106173785</t>
  </si>
  <si>
    <t>CL 20 12 63,SAN JUDAS</t>
  </si>
  <si>
    <t>7.820785</t>
  </si>
  <si>
    <t>-72.477238</t>
  </si>
  <si>
    <t>3176982197</t>
  </si>
  <si>
    <t>3505977616</t>
  </si>
  <si>
    <t>CR 12 A 1A 150 MZ H CASA 3 CONJUNTO CERRADO PALMAS DE CANARIA,LA PARADA</t>
  </si>
  <si>
    <t>7.8164564</t>
  </si>
  <si>
    <t>-72.4592011</t>
  </si>
  <si>
    <t>300-5909182</t>
  </si>
  <si>
    <t>3008476415</t>
  </si>
  <si>
    <t>CR 23 46 22 EL POBLADO,EL POBLADO</t>
  </si>
  <si>
    <t>7.7054008</t>
  </si>
  <si>
    <t>-73.9558336</t>
  </si>
  <si>
    <t>3112643158</t>
  </si>
  <si>
    <t>CR 25 31 36 CENTRO,CENTRO</t>
  </si>
  <si>
    <t>7.7181884</t>
  </si>
  <si>
    <t>-73.9916717</t>
  </si>
  <si>
    <t>3186465730</t>
  </si>
  <si>
    <t>CL 45 22 67,EL POBLADO</t>
  </si>
  <si>
    <t>7.0744601</t>
  </si>
  <si>
    <t>-73.1667103</t>
  </si>
  <si>
    <t>6909302</t>
  </si>
  <si>
    <t>CR 26 31 37,CASCO ANTIGUO</t>
  </si>
  <si>
    <t>7.0685167</t>
  </si>
  <si>
    <t>-73.1699323</t>
  </si>
  <si>
    <t>6460978</t>
  </si>
  <si>
    <t>3003123564</t>
  </si>
  <si>
    <t xml:space="preserve"> CR 16 C 60 38</t>
  </si>
  <si>
    <t>7.086823333</t>
  </si>
  <si>
    <t>-73.165491944</t>
  </si>
  <si>
    <t>6461773</t>
  </si>
  <si>
    <t>3015816386</t>
  </si>
  <si>
    <t xml:space="preserve"> CR 25  29-27</t>
  </si>
  <si>
    <t>7.6682636</t>
  </si>
  <si>
    <t>-73.16916231</t>
  </si>
  <si>
    <t>7583256</t>
  </si>
  <si>
    <t>3112573807</t>
  </si>
  <si>
    <t xml:space="preserve"> CR 5  3 73</t>
  </si>
  <si>
    <t>6.0254100</t>
  </si>
  <si>
    <t>-73.5730150</t>
  </si>
  <si>
    <t>GÜEPSA</t>
  </si>
  <si>
    <t>3124354</t>
  </si>
  <si>
    <t>3124359486</t>
  </si>
  <si>
    <t xml:space="preserve"> CL 4 6 19</t>
  </si>
  <si>
    <t>6.0263280</t>
  </si>
  <si>
    <t>-73.5718950</t>
  </si>
  <si>
    <t>3209596264</t>
  </si>
  <si>
    <t>CR 6 3 15,CENTRO</t>
  </si>
  <si>
    <t>6.0243435</t>
  </si>
  <si>
    <t>-73.5733767</t>
  </si>
  <si>
    <t>3103331058</t>
  </si>
  <si>
    <t>CL 4 6 12,BRR CENTRO</t>
  </si>
  <si>
    <t>6.0251240</t>
  </si>
  <si>
    <t>-73.5740580</t>
  </si>
  <si>
    <t>7297123</t>
  </si>
  <si>
    <t>3183483731</t>
  </si>
  <si>
    <t xml:space="preserve"> VRD SANTA ROSA</t>
  </si>
  <si>
    <t>6.000278</t>
  </si>
  <si>
    <t>-73.591667</t>
  </si>
  <si>
    <t>8280793</t>
  </si>
  <si>
    <t>3213639678</t>
  </si>
  <si>
    <t xml:space="preserve"> CL 4  3-28</t>
  </si>
  <si>
    <t>6.4168065</t>
  </si>
  <si>
    <t>-73.1693663</t>
  </si>
  <si>
    <t>PÁRAMO</t>
  </si>
  <si>
    <t>3115508873</t>
  </si>
  <si>
    <t>CR 6 2 29 BRR SAGRADO CORAZON</t>
  </si>
  <si>
    <t>6.4159280</t>
  </si>
  <si>
    <t>-73.1711280</t>
  </si>
  <si>
    <t>3123348984</t>
  </si>
  <si>
    <t>CR 4 5 32,CENTRO</t>
  </si>
  <si>
    <t>5.7142236</t>
  </si>
  <si>
    <t>-73.6024685</t>
  </si>
  <si>
    <t>2753089</t>
  </si>
  <si>
    <t>3155069094</t>
  </si>
  <si>
    <t xml:space="preserve"> SALIDA JENESA  SEC TIERRA NEGRA</t>
  </si>
  <si>
    <t>5.4244643</t>
  </si>
  <si>
    <t>-73.4506610</t>
  </si>
  <si>
    <t>4363674</t>
  </si>
  <si>
    <t>3183475910</t>
  </si>
  <si>
    <t xml:space="preserve"> VRD PUENTE DE BOYACA SEC TIERRA NEGRA</t>
  </si>
  <si>
    <t>5.422190</t>
  </si>
  <si>
    <t>-73.457244</t>
  </si>
  <si>
    <t>3138296967</t>
  </si>
  <si>
    <t>VRD PUENTE DE BOYACA,VEREDA TIERRA NEGRA</t>
  </si>
  <si>
    <t>5.42325638</t>
  </si>
  <si>
    <t>-73.45146393</t>
  </si>
  <si>
    <t>3228835843</t>
  </si>
  <si>
    <t>VRD PUENTE DE BOYACÁ,KM 15 VIA TUNJA BOGOTÁ,VEREDA PUENTE DE BOYACA</t>
  </si>
  <si>
    <t>5.4438049</t>
  </si>
  <si>
    <t>-73.43659486</t>
  </si>
  <si>
    <t>3158950412</t>
  </si>
  <si>
    <t xml:space="preserve"> VRD PUENTE DE BOYACA</t>
  </si>
  <si>
    <t>5.446410</t>
  </si>
  <si>
    <t>-73.434201</t>
  </si>
  <si>
    <t>CR 4 13 28 - CENTRO</t>
  </si>
  <si>
    <t>5.233527</t>
  </si>
  <si>
    <t>-75.786207</t>
  </si>
  <si>
    <t>3104891085</t>
  </si>
  <si>
    <t>3137797129</t>
  </si>
  <si>
    <t>CR 5 # 23- 12 - LA AVENIDA,LA AVENIDA</t>
  </si>
  <si>
    <t>5.240205</t>
  </si>
  <si>
    <t>-75.784701</t>
  </si>
  <si>
    <t>3103850454</t>
  </si>
  <si>
    <t>CR 4 #17- 09 - EL CARMEN,EL CARMEN</t>
  </si>
  <si>
    <t>5.2359066</t>
  </si>
  <si>
    <t>-75.7855687</t>
  </si>
  <si>
    <t>4492577</t>
  </si>
  <si>
    <t>3204317271</t>
  </si>
  <si>
    <t xml:space="preserve"> CR 3 3 05</t>
  </si>
  <si>
    <t>5.11721793</t>
  </si>
  <si>
    <t>-74.48001699</t>
  </si>
  <si>
    <t>QUEBRADANEGRA</t>
  </si>
  <si>
    <t>3105546</t>
  </si>
  <si>
    <t>3105546437</t>
  </si>
  <si>
    <t xml:space="preserve"> CR 3 3 78</t>
  </si>
  <si>
    <t>5.1171444</t>
  </si>
  <si>
    <t>-74.4786356</t>
  </si>
  <si>
    <t>3212081405</t>
  </si>
  <si>
    <t>CL 4 6 32,INSPECCION LA MAGDALENA</t>
  </si>
  <si>
    <t>5.079950</t>
  </si>
  <si>
    <t>-74.488740</t>
  </si>
  <si>
    <t>3138107445</t>
  </si>
  <si>
    <t>3204351002</t>
  </si>
  <si>
    <t>CL 4 5 31 INSPECCION LA MAGDALENA,INSPECCIÓN LA MAGDALENA</t>
  </si>
  <si>
    <t>5.0800040</t>
  </si>
  <si>
    <t>-74.4883964</t>
  </si>
  <si>
    <t>3227041547</t>
  </si>
  <si>
    <t>CR 3 3 65 INSPECCION LA MAGDALENA ,CENTRO</t>
  </si>
  <si>
    <t>5.0799717</t>
  </si>
  <si>
    <t>-74.4871167</t>
  </si>
  <si>
    <t>8680272</t>
  </si>
  <si>
    <t>3134100183</t>
  </si>
  <si>
    <t xml:space="preserve"> CL 5 6  4-18 22 CC O Y C LC-3</t>
  </si>
  <si>
    <t>4.17849466</t>
  </si>
  <si>
    <t>-74.42356094</t>
  </si>
  <si>
    <t>3202351692</t>
  </si>
  <si>
    <t>CR 5 5 14—18,CENTRO</t>
  </si>
  <si>
    <t>4.1786722</t>
  </si>
  <si>
    <t>-74.42165</t>
  </si>
  <si>
    <t>3115703267</t>
  </si>
  <si>
    <t>CL 6 3 44,LA ASENCION</t>
  </si>
  <si>
    <t>4.1789529</t>
  </si>
  <si>
    <t>-74.4221554</t>
  </si>
  <si>
    <t>3112391359</t>
  </si>
  <si>
    <t>3018207990</t>
  </si>
  <si>
    <t>CL 7 3 - 54,SANTA TERESA</t>
  </si>
  <si>
    <t>4.1786359</t>
  </si>
  <si>
    <t>-74.4226638</t>
  </si>
  <si>
    <t>8465619</t>
  </si>
  <si>
    <t>3025838317</t>
  </si>
  <si>
    <t>CL 5A  N 5 09</t>
  </si>
  <si>
    <t>4.8472464</t>
  </si>
  <si>
    <t>-74.6216062</t>
  </si>
  <si>
    <t>3194730422</t>
  </si>
  <si>
    <t>CR 6 3 68</t>
  </si>
  <si>
    <t>4.845731</t>
  </si>
  <si>
    <t>-74.6221644</t>
  </si>
  <si>
    <t>3236410575</t>
  </si>
  <si>
    <t>3203672793</t>
  </si>
  <si>
    <t>SAN JUAN DE RIO SECO SAN AGUSTIN,CENTRO</t>
  </si>
  <si>
    <t>4.8470898</t>
  </si>
  <si>
    <t>-74.6212222</t>
  </si>
  <si>
    <t>3114927436</t>
  </si>
  <si>
    <t>3104746738</t>
  </si>
  <si>
    <t>CR 6 4 46,SAN JUAN RIOSECO</t>
  </si>
  <si>
    <t>4.846253</t>
  </si>
  <si>
    <t>-74.622123</t>
  </si>
  <si>
    <t>3115014050</t>
  </si>
  <si>
    <t>cra 4 #5 -02</t>
  </si>
  <si>
    <t>4.8468482</t>
  </si>
  <si>
    <t>-74.6213786</t>
  </si>
  <si>
    <t>3203469411</t>
  </si>
  <si>
    <t>CRR 7  3 49</t>
  </si>
  <si>
    <t>4.8447638</t>
  </si>
  <si>
    <t>-74.6228160</t>
  </si>
  <si>
    <t>3112579307</t>
  </si>
  <si>
    <t>VRD KM 63 VIA VILLETA VEREDA SANTA INES. PREDIO EL CARMELO</t>
  </si>
  <si>
    <t>4.9134464</t>
  </si>
  <si>
    <t>-74.4192198</t>
  </si>
  <si>
    <t>CR 7 #3N - 03,SANTANDER</t>
  </si>
  <si>
    <t>7.8394338</t>
  </si>
  <si>
    <t>-72.4704909</t>
  </si>
  <si>
    <t>3246256334</t>
  </si>
  <si>
    <t>CR 12 6 A - 82,ANTONIO NARIÑO</t>
  </si>
  <si>
    <t>7.8432816</t>
  </si>
  <si>
    <t>-72.4738852</t>
  </si>
  <si>
    <t>3157975879</t>
  </si>
  <si>
    <t>3006780355</t>
  </si>
  <si>
    <t>CRA 1 NRO 9 - 36,BRR VILLA ANTIGUA</t>
  </si>
  <si>
    <t>7.82888943</t>
  </si>
  <si>
    <t>-72.46330688</t>
  </si>
  <si>
    <t>3132702531</t>
  </si>
  <si>
    <t>3208458324</t>
  </si>
  <si>
    <t>CL 2 5 44,SAGRADO CORAZON</t>
  </si>
  <si>
    <t>6.4156820</t>
  </si>
  <si>
    <t>-73.1708584</t>
  </si>
  <si>
    <t>3016846485</t>
  </si>
  <si>
    <t>CR 12 # 3 - 91 BRR VILLANUEVA PIEDECUESTA,VILLANUEVA</t>
  </si>
  <si>
    <t>6.9924167</t>
  </si>
  <si>
    <t>-73.0482500</t>
  </si>
  <si>
    <t>VRD TABACAL FINCA VILLA EVA,PIEDECUESTA</t>
  </si>
  <si>
    <t>6.8928800</t>
  </si>
  <si>
    <t>-73.0391917</t>
  </si>
  <si>
    <t>3222712350</t>
  </si>
  <si>
    <t>CL 1 N # 1 W - 04 BRR EL REFUJIO PIEDECUESTA,EL REFUJIO</t>
  </si>
  <si>
    <t>6.9928160</t>
  </si>
  <si>
    <t>-73.0623574</t>
  </si>
  <si>
    <t>3205677521</t>
  </si>
  <si>
    <t>CA 15 D BRR EL EDEN PIEDECUESTA,BRR EL EDEN PIEDECUESTA</t>
  </si>
  <si>
    <t>6.9963715</t>
  </si>
  <si>
    <t>-73.0799766</t>
  </si>
  <si>
    <t>3014315435</t>
  </si>
  <si>
    <t>VRD 1 FINCA EL MIRADOR,FINCA EL MIRADOR</t>
  </si>
  <si>
    <t>7.0203540</t>
  </si>
  <si>
    <t>-73.0977720</t>
  </si>
  <si>
    <t>3102280881</t>
  </si>
  <si>
    <t>CL 6 # 15 D - 06 BRR CABECERA PIEDECUESTA,CABECERA 2 PIEDECUESTA</t>
  </si>
  <si>
    <t>6.9917941</t>
  </si>
  <si>
    <t>-73.0444343</t>
  </si>
  <si>
    <t>3118358795</t>
  </si>
  <si>
    <t>CR 15 A # 1 N - 03 BRR SAN CARLOS PIEDECUESTA,SAN CARLOS</t>
  </si>
  <si>
    <t>6.9993157</t>
  </si>
  <si>
    <t>-73.0518873</t>
  </si>
  <si>
    <t>3172782414</t>
  </si>
  <si>
    <t>3002239187</t>
  </si>
  <si>
    <t>CL 12 # 11-23 SAN ANTONIO PIEDECUESTA,SAN ANTONIO PIEDECUESTA</t>
  </si>
  <si>
    <t>6.9859840</t>
  </si>
  <si>
    <t>-73.0461320</t>
  </si>
  <si>
    <t>3116761905</t>
  </si>
  <si>
    <t>3166890088</t>
  </si>
  <si>
    <t>CR 5 B 22 40,PASEO DEL PUENTE 2</t>
  </si>
  <si>
    <t>6.98344922</t>
  </si>
  <si>
    <t>-73.4918198</t>
  </si>
  <si>
    <t>3142276466</t>
  </si>
  <si>
    <t>CR 2 3 38 PRIMER SEC - BR LIBERTAD</t>
  </si>
  <si>
    <t>1.20735843</t>
  </si>
  <si>
    <t>-77.46237664</t>
  </si>
  <si>
    <t>3167721921</t>
  </si>
  <si>
    <t>BRR LIBERTAD SEC 2,LIBERTAD</t>
  </si>
  <si>
    <t>1.2071527</t>
  </si>
  <si>
    <t>-77.4634691</t>
  </si>
  <si>
    <t>5775777</t>
  </si>
  <si>
    <t>3209448155</t>
  </si>
  <si>
    <t xml:space="preserve"> CL 17 17 02</t>
  </si>
  <si>
    <t>7.8859941</t>
  </si>
  <si>
    <t>-72.4724104</t>
  </si>
  <si>
    <t>3202970158</t>
  </si>
  <si>
    <t>CL 7 NRO 0-83,LATINO</t>
  </si>
  <si>
    <t>7.8907909</t>
  </si>
  <si>
    <t>-72.5000193</t>
  </si>
  <si>
    <t>3016505071</t>
  </si>
  <si>
    <t>AV 7 NRO 20-13 KDX 199 2,EL SALADO</t>
  </si>
  <si>
    <t>7.9363602</t>
  </si>
  <si>
    <t>-72.4955636</t>
  </si>
  <si>
    <t>3057071050</t>
  </si>
  <si>
    <t>MZ 10 CS 1 LC 102 ,TRIGAL DEL NORTE</t>
  </si>
  <si>
    <t>7.9457745</t>
  </si>
  <si>
    <t>-72.5034244</t>
  </si>
  <si>
    <t>3132823223</t>
  </si>
  <si>
    <t>CL 18 NRO 1E-35,CAOBOS</t>
  </si>
  <si>
    <t>7.8798843</t>
  </si>
  <si>
    <t>-72.4960944</t>
  </si>
  <si>
    <t>3228738763</t>
  </si>
  <si>
    <t>KDX 19 11,VDA MATECAÑA</t>
  </si>
  <si>
    <t>8.1933730</t>
  </si>
  <si>
    <t>-72.4907615</t>
  </si>
  <si>
    <t>6419838</t>
  </si>
  <si>
    <t>3114408967</t>
  </si>
  <si>
    <t xml:space="preserve"> CR 4 3 70</t>
  </si>
  <si>
    <t>6.1374420</t>
  </si>
  <si>
    <t>-73.0989010</t>
  </si>
  <si>
    <t>ENCINO</t>
  </si>
  <si>
    <t>3142055811</t>
  </si>
  <si>
    <t>CR 6 3 16,CENTRO</t>
  </si>
  <si>
    <t>6.8750860</t>
  </si>
  <si>
    <t>-72.8560610</t>
  </si>
  <si>
    <t>GUACA</t>
  </si>
  <si>
    <t>2876262</t>
  </si>
  <si>
    <t>3154704983</t>
  </si>
  <si>
    <t xml:space="preserve"> CR 30  36-12 PALMIRA</t>
  </si>
  <si>
    <t>3.5332108</t>
  </si>
  <si>
    <t>-76.2997198</t>
  </si>
  <si>
    <t>3017748763</t>
  </si>
  <si>
    <t>3014849958</t>
  </si>
  <si>
    <t>KM 6 VIA CENCAR AER BONILLA ARAGON LC EXTERNO PQ 1 LC 01,ZONA FRANCA</t>
  </si>
  <si>
    <t>3.5604811</t>
  </si>
  <si>
    <t>-76.4495133</t>
  </si>
  <si>
    <t>3147399595</t>
  </si>
  <si>
    <t>3143995950</t>
  </si>
  <si>
    <t>CR 42 47 A 3 PORTAL DE LAS PALMAS,PORTAL DE LAS PALMAS</t>
  </si>
  <si>
    <t>3.5428576</t>
  </si>
  <si>
    <t>-76.3131198</t>
  </si>
  <si>
    <t>3014128985</t>
  </si>
  <si>
    <t xml:space="preserve"> CR 12 CALLE 9 23 CENTRO</t>
  </si>
  <si>
    <t>9.24469472</t>
  </si>
  <si>
    <t>-75.1464833</t>
  </si>
  <si>
    <t>3012537796</t>
  </si>
  <si>
    <t>CR 2 18 12 AP 101,EL ARROYITO</t>
  </si>
  <si>
    <t>9.5264112</t>
  </si>
  <si>
    <t>-75.5836952</t>
  </si>
  <si>
    <t>3113742262</t>
  </si>
  <si>
    <t>3113742265</t>
  </si>
  <si>
    <t>CL 4 CR 4 – 65, CGTO VARSOVIA</t>
  </si>
  <si>
    <t>9.4059121</t>
  </si>
  <si>
    <t>-75.4937751</t>
  </si>
  <si>
    <t>3007473078</t>
  </si>
  <si>
    <t xml:space="preserve"> DG 2 TR 4 16 P1</t>
  </si>
  <si>
    <t>9.4512670</t>
  </si>
  <si>
    <t>-75.4383380</t>
  </si>
  <si>
    <t>3157208501</t>
  </si>
  <si>
    <t>3177895728</t>
  </si>
  <si>
    <t>CR 10 1 189 BRR PILOTO</t>
  </si>
  <si>
    <t>3.2577971</t>
  </si>
  <si>
    <t>-76.5447847</t>
  </si>
  <si>
    <t>3105028295</t>
  </si>
  <si>
    <t>CR 18 12 05 LC 01 BRR SACHAMATE,SACHAMATE</t>
  </si>
  <si>
    <t>3.2665904</t>
  </si>
  <si>
    <t>-76.5444925</t>
  </si>
  <si>
    <t>3148161859</t>
  </si>
  <si>
    <t>CR 7 16B 42 BRR CIUDAD SUR LC 2,BELLO HORIZONTE</t>
  </si>
  <si>
    <t>3.2654400</t>
  </si>
  <si>
    <t>-76.5346713</t>
  </si>
  <si>
    <t>628933621</t>
  </si>
  <si>
    <t>3104542238</t>
  </si>
  <si>
    <t>CORREGIMIENTO DE BITACO, MUNICIPIO DE LA CUMBRE-VALLE</t>
  </si>
  <si>
    <t>3.6105593</t>
  </si>
  <si>
    <t>-76.5993600</t>
  </si>
  <si>
    <t>LA CUMBRE</t>
  </si>
  <si>
    <t>5614971</t>
  </si>
  <si>
    <t>3236124013</t>
  </si>
  <si>
    <t xml:space="preserve"> TV 20 A 54 A 11</t>
  </si>
  <si>
    <t>6.1271000</t>
  </si>
  <si>
    <t>-75.3790996</t>
  </si>
  <si>
    <t>5610035</t>
  </si>
  <si>
    <t>3127318772</t>
  </si>
  <si>
    <t xml:space="preserve"> CR 46 49 75 RIONEGRO ANTIOQUIA</t>
  </si>
  <si>
    <t>6.1538553</t>
  </si>
  <si>
    <t>-75.3707991</t>
  </si>
  <si>
    <t>5619323</t>
  </si>
  <si>
    <t>3116143383</t>
  </si>
  <si>
    <t xml:space="preserve"> CR 54 A  24-59</t>
  </si>
  <si>
    <t>6.1307600</t>
  </si>
  <si>
    <t>-75.3791067</t>
  </si>
  <si>
    <t>5613241</t>
  </si>
  <si>
    <t>3117209350</t>
  </si>
  <si>
    <t xml:space="preserve"> CR 47 54 24</t>
  </si>
  <si>
    <t>6.1566480</t>
  </si>
  <si>
    <t>-75.3708032</t>
  </si>
  <si>
    <t>3145939910</t>
  </si>
  <si>
    <t>3019724337</t>
  </si>
  <si>
    <t>CL 9 6-54 CEN CC ATLANTIS LC 35 ,CENTRO</t>
  </si>
  <si>
    <t>7.8879378</t>
  </si>
  <si>
    <t>-72.5057209</t>
  </si>
  <si>
    <t>3163509818</t>
  </si>
  <si>
    <t>MZ 11 LT 27 LC 1 PISO 1 CLARET,CLARET</t>
  </si>
  <si>
    <t>7.9146483</t>
  </si>
  <si>
    <t>-72.5297436</t>
  </si>
  <si>
    <t>BIS NOA GALPON B LC 338 CENABASTOS,TASAJERO</t>
  </si>
  <si>
    <t>7.9283593</t>
  </si>
  <si>
    <t>-72.4938444</t>
  </si>
  <si>
    <t>3166482510</t>
  </si>
  <si>
    <t>CL 13 A 13-21 LC 2,TOLEDO PLATA</t>
  </si>
  <si>
    <t>7.9400932</t>
  </si>
  <si>
    <t>-72.5139743</t>
  </si>
  <si>
    <t>3214916206</t>
  </si>
  <si>
    <t>AV 8 7-93,EL CENTRO</t>
  </si>
  <si>
    <t>7.8884129</t>
  </si>
  <si>
    <t>-72.5073619</t>
  </si>
  <si>
    <t>CL 8 B N NRO 15E-08 MZ 22 LT 8 ,CIUDAD JARDIN</t>
  </si>
  <si>
    <t>7.9092611</t>
  </si>
  <si>
    <t>-72.4883465</t>
  </si>
  <si>
    <t>3182471805</t>
  </si>
  <si>
    <t>3177770680</t>
  </si>
  <si>
    <t>CL 35 NRO. 2 E- 66 PORTAL DE BUENOS AIRES,PORTAL DE BUENOS AIRES</t>
  </si>
  <si>
    <t>3.5313219</t>
  </si>
  <si>
    <t>-76.2754247</t>
  </si>
  <si>
    <t>3182800773</t>
  </si>
  <si>
    <t>CL 31 NRO 26-36,CENTRO</t>
  </si>
  <si>
    <t>3.5278093</t>
  </si>
  <si>
    <t>-76.2974908</t>
  </si>
  <si>
    <t>3205725493</t>
  </si>
  <si>
    <t>CR 25 A  46-08-ALTAMIRA</t>
  </si>
  <si>
    <t>3.5414</t>
  </si>
  <si>
    <t>-76.29414</t>
  </si>
  <si>
    <t>2765381</t>
  </si>
  <si>
    <t>3147980314</t>
  </si>
  <si>
    <t>3107405348</t>
  </si>
  <si>
    <t>CR 5 E 33 C 39 MARÍA CANO,BUENOS AIRES</t>
  </si>
  <si>
    <t>3.5299651</t>
  </si>
  <si>
    <t>-76.2751035</t>
  </si>
  <si>
    <t>3103283822</t>
  </si>
  <si>
    <t>3127800112</t>
  </si>
  <si>
    <t>CR 48 N 51-15,SAN FRANCISCO</t>
  </si>
  <si>
    <t>6.1545410</t>
  </si>
  <si>
    <t>-75.3724059</t>
  </si>
  <si>
    <t>3232912901</t>
  </si>
  <si>
    <t>3174010325</t>
  </si>
  <si>
    <t>KM 3 VIA LLANOGRANDE SEC LA AMALITA TRANSVERSAL</t>
  </si>
  <si>
    <t>6.1319933</t>
  </si>
  <si>
    <t>-75.4006877</t>
  </si>
  <si>
    <t>3861477</t>
  </si>
  <si>
    <t>3192609779</t>
  </si>
  <si>
    <t xml:space="preserve"> CR 46 52 54 CE RIONEGRO PLAZA</t>
  </si>
  <si>
    <t>6.1558779</t>
  </si>
  <si>
    <t>-75.3705685</t>
  </si>
  <si>
    <t>6151541</t>
  </si>
  <si>
    <t>3008184814</t>
  </si>
  <si>
    <t>3008875464</t>
  </si>
  <si>
    <t>CL 23 55 D 14,SAN ANTONIO DE PEREIRA</t>
  </si>
  <si>
    <t>6.1302312</t>
  </si>
  <si>
    <t>-75.3818086</t>
  </si>
  <si>
    <t>3017243958</t>
  </si>
  <si>
    <t>CR 47 75 SUR 12</t>
  </si>
  <si>
    <t>6.151825</t>
  </si>
  <si>
    <t>-75.620819</t>
  </si>
  <si>
    <t>SABANETA</t>
  </si>
  <si>
    <t>3160517478</t>
  </si>
  <si>
    <t>3163688785</t>
  </si>
  <si>
    <t>CL 10 14 A 141,ENTRADA ROZO</t>
  </si>
  <si>
    <t>3.6151166</t>
  </si>
  <si>
    <t>-76.3923362</t>
  </si>
  <si>
    <t>2836136</t>
  </si>
  <si>
    <t>3196507112</t>
  </si>
  <si>
    <t>3103749925</t>
  </si>
  <si>
    <t>CL 47 # 28 A - 04,URB. LOS SAMANES</t>
  </si>
  <si>
    <t>3.5423199</t>
  </si>
  <si>
    <t>-76.2970192</t>
  </si>
  <si>
    <t>2738718</t>
  </si>
  <si>
    <t>3116127948</t>
  </si>
  <si>
    <t xml:space="preserve"> CL 57 38 03</t>
  </si>
  <si>
    <t>3.5474904</t>
  </si>
  <si>
    <t>-76.3102193</t>
  </si>
  <si>
    <t>2859849</t>
  </si>
  <si>
    <t>3183938842</t>
  </si>
  <si>
    <t>3128602063</t>
  </si>
  <si>
    <t xml:space="preserve"> CR 41 35 38</t>
  </si>
  <si>
    <t>3.5326943</t>
  </si>
  <si>
    <t>-76.3112418</t>
  </si>
  <si>
    <t>8212625</t>
  </si>
  <si>
    <t>3004042527</t>
  </si>
  <si>
    <t>8.7579683</t>
  </si>
  <si>
    <t>-76.5301993</t>
  </si>
  <si>
    <t>3203039211</t>
  </si>
  <si>
    <t xml:space="preserve"> CR 3 2 35  CENTRO</t>
  </si>
  <si>
    <t>5.56600500</t>
  </si>
  <si>
    <t>-73.45120000</t>
  </si>
  <si>
    <t>SORA</t>
  </si>
  <si>
    <t>3115299611</t>
  </si>
  <si>
    <t xml:space="preserve"> CR 3 4 07  CENTRO</t>
  </si>
  <si>
    <t>5.9378098</t>
  </si>
  <si>
    <t>-73.5126417</t>
  </si>
  <si>
    <t>TOGÜÍ</t>
  </si>
  <si>
    <t>3108848215</t>
  </si>
  <si>
    <t>CR 2 4 21 PISO 2,CENTRO</t>
  </si>
  <si>
    <t>5.93757922</t>
  </si>
  <si>
    <t>-73.51173628</t>
  </si>
  <si>
    <t>3208663573</t>
  </si>
  <si>
    <t>CR 3 3 56 ,CENTRO</t>
  </si>
  <si>
    <t>5.93792558</t>
  </si>
  <si>
    <t>-73.51361323</t>
  </si>
  <si>
    <t>3144918728</t>
  </si>
  <si>
    <t>3102828935</t>
  </si>
  <si>
    <t>CR 3 NO.4-65,CENTRO</t>
  </si>
  <si>
    <t>5.4361017</t>
  </si>
  <si>
    <t>-73.2953529</t>
  </si>
  <si>
    <t>3147269349</t>
  </si>
  <si>
    <t>VRD ALEGRIAS FINCA LA TOMASITA - VDA ALEGRIAS,VDA ALEGRIAS</t>
  </si>
  <si>
    <t>5.3069218</t>
  </si>
  <si>
    <t>-75.4951145</t>
  </si>
  <si>
    <t>6666775</t>
  </si>
  <si>
    <t>3117108230</t>
  </si>
  <si>
    <t>3104064344</t>
  </si>
  <si>
    <t>CR 4 N  14 25</t>
  </si>
  <si>
    <t>4.99326067</t>
  </si>
  <si>
    <t>-75.8127576</t>
  </si>
  <si>
    <t>3218442632</t>
  </si>
  <si>
    <t>3122904092</t>
  </si>
  <si>
    <t xml:space="preserve"> CR 5 # 11 - 27</t>
  </si>
  <si>
    <t>4.9930789</t>
  </si>
  <si>
    <t>-75.8127991</t>
  </si>
  <si>
    <t>3226370152</t>
  </si>
  <si>
    <t>3206424918</t>
  </si>
  <si>
    <t>CORR HUISITO,HUISITO</t>
  </si>
  <si>
    <t>2.5088820</t>
  </si>
  <si>
    <t>-77.0632702</t>
  </si>
  <si>
    <t>3107919571</t>
  </si>
  <si>
    <t>CGT HUISITO,HUISITO</t>
  </si>
  <si>
    <t>2.5084243</t>
  </si>
  <si>
    <t>-77.0642633</t>
  </si>
  <si>
    <t>3206057277</t>
  </si>
  <si>
    <t>3017812835</t>
  </si>
  <si>
    <t>3185186982</t>
  </si>
  <si>
    <t>PIAGUA TAMBO,PIAGUA CORREGIMIENTO PIAGIA</t>
  </si>
  <si>
    <t>2.4375919</t>
  </si>
  <si>
    <t>-76.7738516</t>
  </si>
  <si>
    <t>3124039040</t>
  </si>
  <si>
    <t>AV 4 NRO 10N-231 LT 2B,EL BOSQUE</t>
  </si>
  <si>
    <t>7.9115108</t>
  </si>
  <si>
    <t>-72.4988920</t>
  </si>
  <si>
    <t>3218964932</t>
  </si>
  <si>
    <t>3218964632</t>
  </si>
  <si>
    <t>CL 8 NRO 5-60 CC COOSACUT LOCAL 70 Y 72,EL CENTRO</t>
  </si>
  <si>
    <t>7.8889570</t>
  </si>
  <si>
    <t>-72.5050141</t>
  </si>
  <si>
    <t>3107637314</t>
  </si>
  <si>
    <t>KDX 1 A 3 MZ H LT 16,VALLES DE GIRON</t>
  </si>
  <si>
    <t>7.8861876</t>
  </si>
  <si>
    <t>-72.5432371</t>
  </si>
  <si>
    <t>3112489434</t>
  </si>
  <si>
    <t>CL 9 7-97,EL CENTRO</t>
  </si>
  <si>
    <t>7.8874362</t>
  </si>
  <si>
    <t>-72.5071229</t>
  </si>
  <si>
    <t>3114891992</t>
  </si>
  <si>
    <t>AV 3 NRO 8 07,SAN LUIS</t>
  </si>
  <si>
    <t>7.907245</t>
  </si>
  <si>
    <t>-72.469535</t>
  </si>
  <si>
    <t>3209310273</t>
  </si>
  <si>
    <t>CL 2 NRO 5-03,DOÑA CECI</t>
  </si>
  <si>
    <t>7.8978950</t>
  </si>
  <si>
    <t>-72.5270566</t>
  </si>
  <si>
    <t>3702440</t>
  </si>
  <si>
    <t>3004417355</t>
  </si>
  <si>
    <t xml:space="preserve"> CR 3B  3-75</t>
  </si>
  <si>
    <t>9.2325073</t>
  </si>
  <si>
    <t>-74.7438508</t>
  </si>
  <si>
    <t>MAGANGUÉ</t>
  </si>
  <si>
    <t>6877080</t>
  </si>
  <si>
    <t>3013716949</t>
  </si>
  <si>
    <t xml:space="preserve"> CR 3  14 A-47 </t>
  </si>
  <si>
    <t>9.2347657</t>
  </si>
  <si>
    <t>-74.7444914</t>
  </si>
  <si>
    <t>3012344865</t>
  </si>
  <si>
    <t>CR 4 14 87 P 2 AP 1,CENTRO</t>
  </si>
  <si>
    <t>9.2346284</t>
  </si>
  <si>
    <t>-74.7448498</t>
  </si>
  <si>
    <t>7706321</t>
  </si>
  <si>
    <t xml:space="preserve"> CL 11 B 17 73</t>
  </si>
  <si>
    <t>5.7196316</t>
  </si>
  <si>
    <t>-72.9333903</t>
  </si>
  <si>
    <t>7714089</t>
  </si>
  <si>
    <t xml:space="preserve"> CR 11 7 64</t>
  </si>
  <si>
    <t>5.7112</t>
  </si>
  <si>
    <t>6495647</t>
  </si>
  <si>
    <t>3114960922</t>
  </si>
  <si>
    <t>CR 14 # 6 -33</t>
  </si>
  <si>
    <t>5.7120256</t>
  </si>
  <si>
    <t>-72.9343568</t>
  </si>
  <si>
    <t>3134039296</t>
  </si>
  <si>
    <t>3103144794</t>
  </si>
  <si>
    <t>CL PRINCIPAL HUISITO,CL PRINCIPAL HUISITO</t>
  </si>
  <si>
    <t>2.5084724</t>
  </si>
  <si>
    <t>-77.0635772</t>
  </si>
  <si>
    <t>3152305754</t>
  </si>
  <si>
    <t>CR 2 NRO. 12 - 62 LOCAL 1</t>
  </si>
  <si>
    <t>2.613051388</t>
  </si>
  <si>
    <t>-76.3764505</t>
  </si>
  <si>
    <t>3155219270</t>
  </si>
  <si>
    <t>VRD PITAYO,VRD PITAYO</t>
  </si>
  <si>
    <t>2.7135014</t>
  </si>
  <si>
    <t>-76.3245340</t>
  </si>
  <si>
    <t>8278093</t>
  </si>
  <si>
    <t>3209864171</t>
  </si>
  <si>
    <t>3217346704</t>
  </si>
  <si>
    <t xml:space="preserve"> CR  18   16   53</t>
  </si>
  <si>
    <t>2.3524055</t>
  </si>
  <si>
    <t>-76.6834651</t>
  </si>
  <si>
    <t>3234476644</t>
  </si>
  <si>
    <t>3234771137</t>
  </si>
  <si>
    <t>CR 20 NO 18 - 71 BRR OSPINA PEREZ,OSPINA PEREZ</t>
  </si>
  <si>
    <t>2.3544706</t>
  </si>
  <si>
    <t>-76.6844575</t>
  </si>
  <si>
    <t>5840832</t>
  </si>
  <si>
    <t>3215393403</t>
  </si>
  <si>
    <t>TRANSVERSAL 9 10A 34 APARTAMENTO 01 BARRIO SANTA CLARA</t>
  </si>
  <si>
    <t>8.88694029</t>
  </si>
  <si>
    <t>-75.79063056</t>
  </si>
  <si>
    <t>7641234</t>
  </si>
  <si>
    <t>3126695038</t>
  </si>
  <si>
    <t xml:space="preserve"> CR 14 13 20</t>
  </si>
  <si>
    <t>7744017</t>
  </si>
  <si>
    <t>3107190368</t>
  </si>
  <si>
    <t xml:space="preserve"> CL 14 15 13</t>
  </si>
  <si>
    <t>8.8881047</t>
  </si>
  <si>
    <t>-75.7920633</t>
  </si>
  <si>
    <t>3126231555</t>
  </si>
  <si>
    <t>3145243021</t>
  </si>
  <si>
    <t>CL 9A 14 - 92 BRR LA ESPERANZA</t>
  </si>
  <si>
    <t>8.8824914</t>
  </si>
  <si>
    <t>-75.7902830</t>
  </si>
  <si>
    <t>3234385083</t>
  </si>
  <si>
    <t>CR 11 A 15 24 LOC 2,SANTA CLARA</t>
  </si>
  <si>
    <t>8.889278</t>
  </si>
  <si>
    <t>-75.789337</t>
  </si>
  <si>
    <t>3008142879</t>
  </si>
  <si>
    <t>CR 15 CL 10 62 LC 3,LA ESPERANZA</t>
  </si>
  <si>
    <t>8.884695</t>
  </si>
  <si>
    <t>-75.790536</t>
  </si>
  <si>
    <t>3104166537</t>
  </si>
  <si>
    <t>3022105311</t>
  </si>
  <si>
    <t>CL 6 A SUR KR 10 43 BRR ORO BLANCO,CORREGIMIENTO EL CAÑITO</t>
  </si>
  <si>
    <t>8.8701114</t>
  </si>
  <si>
    <t>-75.8178440</t>
  </si>
  <si>
    <t>3114153873</t>
  </si>
  <si>
    <t>CR 2 A 1C 195,VEREDA EL ZAPAL</t>
  </si>
  <si>
    <t>8.9269212</t>
  </si>
  <si>
    <t>-75.7663698</t>
  </si>
  <si>
    <t>3014396700</t>
  </si>
  <si>
    <t>CR 14 9A 4,LA ESPERANZA</t>
  </si>
  <si>
    <t>8.8822459</t>
  </si>
  <si>
    <t>-75.7894973</t>
  </si>
  <si>
    <t>3108681851</t>
  </si>
  <si>
    <t>CL 17A NRO 25 98,GAITAN</t>
  </si>
  <si>
    <t>7.8799267</t>
  </si>
  <si>
    <t>-72.5251109</t>
  </si>
  <si>
    <t>3112267474</t>
  </si>
  <si>
    <t>MZ D1 CASA 26,URB TORCOROMA 3</t>
  </si>
  <si>
    <t>7.890130</t>
  </si>
  <si>
    <t>-72.472229</t>
  </si>
  <si>
    <t>3125777194</t>
  </si>
  <si>
    <t>CL 17 NRO 19 159,VALLESTER</t>
  </si>
  <si>
    <t>7.885025</t>
  </si>
  <si>
    <t>-72.469420</t>
  </si>
  <si>
    <t>3107877898</t>
  </si>
  <si>
    <t>3105679817</t>
  </si>
  <si>
    <t>CL 17 NRO 15 57,LA LIBERTAD</t>
  </si>
  <si>
    <t>7.886251</t>
  </si>
  <si>
    <t>-72.4737540</t>
  </si>
  <si>
    <t>3204264500</t>
  </si>
  <si>
    <t>CR 12 55 12,GUSTAVO JIMÉNEZ</t>
  </si>
  <si>
    <t>5.7550110</t>
  </si>
  <si>
    <t>-72.9081850</t>
  </si>
  <si>
    <t>3202334107</t>
  </si>
  <si>
    <t>3107694581</t>
  </si>
  <si>
    <t>CR 26 16 08,EL CARMEN</t>
  </si>
  <si>
    <t>-72.939</t>
  </si>
  <si>
    <t>3214227877</t>
  </si>
  <si>
    <t>CR 17 NO.2-99,LOS ARRAYANES</t>
  </si>
  <si>
    <t>5.7102</t>
  </si>
  <si>
    <t>3173793909</t>
  </si>
  <si>
    <t>3015068183</t>
  </si>
  <si>
    <t>3008668042</t>
  </si>
  <si>
    <t>CR 15 A 8-9 ,EL SOCORRO</t>
  </si>
  <si>
    <t>8.8801461</t>
  </si>
  <si>
    <t>-75.7918971</t>
  </si>
  <si>
    <t>3241258074</t>
  </si>
  <si>
    <t>CR 27 2-97 C EL QUEMADO CORREGIMIENTO EL QUEMAO</t>
  </si>
  <si>
    <t>8.8698886</t>
  </si>
  <si>
    <t>-75.8180063</t>
  </si>
  <si>
    <t>7685047</t>
  </si>
  <si>
    <t>3205722517</t>
  </si>
  <si>
    <t xml:space="preserve"> CL 11  16-05</t>
  </si>
  <si>
    <t>8.1722085</t>
  </si>
  <si>
    <t>-76.0591918</t>
  </si>
  <si>
    <t>3004559451</t>
  </si>
  <si>
    <t>CR 16 18 46,BRR ESCOLAR</t>
  </si>
  <si>
    <t>8.1710144</t>
  </si>
  <si>
    <t>-76.0571019</t>
  </si>
  <si>
    <t>3126501395</t>
  </si>
  <si>
    <t>CL 19 19 E 12,SAN CARLOS</t>
  </si>
  <si>
    <t>8.1639650</t>
  </si>
  <si>
    <t>-76.0610517</t>
  </si>
  <si>
    <t>3116827436</t>
  </si>
  <si>
    <t>CL 10 17 - 51,19 DE MARZO</t>
  </si>
  <si>
    <t>8.1719130</t>
  </si>
  <si>
    <t>-76.0611182</t>
  </si>
  <si>
    <t>3204633648</t>
  </si>
  <si>
    <t>CL 10 CR 43 - 10 SBN,LAS BALSAS</t>
  </si>
  <si>
    <t>8.1622709</t>
  </si>
  <si>
    <t>-76.0718593</t>
  </si>
  <si>
    <t>3112325433</t>
  </si>
  <si>
    <t>3134717439</t>
  </si>
  <si>
    <t>AV 3 NRO 12-36,MOTILONES</t>
  </si>
  <si>
    <t>7.9205899</t>
  </si>
  <si>
    <t>-72.5220595</t>
  </si>
  <si>
    <t>3214575984</t>
  </si>
  <si>
    <t>AV 7 NRO 2N 26,SEVILLA</t>
  </si>
  <si>
    <t>7.9008863</t>
  </si>
  <si>
    <t>-72.5074553</t>
  </si>
  <si>
    <t>3204262072</t>
  </si>
  <si>
    <t>3232371506</t>
  </si>
  <si>
    <t>AV 25 NRO 22 97,GAITAN</t>
  </si>
  <si>
    <t>7.8767715</t>
  </si>
  <si>
    <t>-72.5246500</t>
  </si>
  <si>
    <t>CL 11 NO.26-05, BR VALDES TABERA</t>
  </si>
  <si>
    <t>7752509</t>
  </si>
  <si>
    <t>3185496771</t>
  </si>
  <si>
    <t>3226425027</t>
  </si>
  <si>
    <t xml:space="preserve"> CL 22 11 2 BIS 20  EL LAGUITO</t>
  </si>
  <si>
    <t>5.7247820</t>
  </si>
  <si>
    <t>-72.9236890</t>
  </si>
  <si>
    <t>7712618</t>
  </si>
  <si>
    <t>3213858112</t>
  </si>
  <si>
    <t xml:space="preserve"> CR 23 2 110</t>
  </si>
  <si>
    <t>5.7094</t>
  </si>
  <si>
    <t>7701978</t>
  </si>
  <si>
    <t>3133868803</t>
  </si>
  <si>
    <t xml:space="preserve"> CR 14 14 01</t>
  </si>
  <si>
    <t>5.7188</t>
  </si>
  <si>
    <t>7740687</t>
  </si>
  <si>
    <t xml:space="preserve"> CR 18 9 19</t>
  </si>
  <si>
    <t>5.71</t>
  </si>
  <si>
    <t>-72.93</t>
  </si>
  <si>
    <t>7732815</t>
  </si>
  <si>
    <t>3114086668</t>
  </si>
  <si>
    <t>3145861145</t>
  </si>
  <si>
    <t>CR 23 10 55,BRR 19 DE MARZO</t>
  </si>
  <si>
    <t>8.1694109</t>
  </si>
  <si>
    <t>-76.063424</t>
  </si>
  <si>
    <t>3196338275</t>
  </si>
  <si>
    <t>CR 17 #9 F-21 BRR EL POBLADO</t>
  </si>
  <si>
    <t>4.721773</t>
  </si>
  <si>
    <t>-74.229827</t>
  </si>
  <si>
    <t>3197196557</t>
  </si>
  <si>
    <t>CR 3 13 12 C.C EL TREBOL LC 54,CC EL TREBOL</t>
  </si>
  <si>
    <t>4.7111342</t>
  </si>
  <si>
    <t>-74.2225731</t>
  </si>
  <si>
    <t>3166881824</t>
  </si>
  <si>
    <t>CL 17 10 B 41 IN 2 BRR SANTELMO.SANTELMO</t>
  </si>
  <si>
    <t>4.7174756</t>
  </si>
  <si>
    <t>-74.2241565</t>
  </si>
  <si>
    <t>3017065954</t>
  </si>
  <si>
    <t>CL 11 A 12 04 LOCAL 3</t>
  </si>
  <si>
    <t>4.6903431</t>
  </si>
  <si>
    <t>-74.1712793</t>
  </si>
  <si>
    <t>3206852307</t>
  </si>
  <si>
    <t>CR 8 A 17 A 18,VILLA MARIA ET 4</t>
  </si>
  <si>
    <t>4.7159289</t>
  </si>
  <si>
    <t>-74.2225642</t>
  </si>
  <si>
    <t>3225129622</t>
  </si>
  <si>
    <t>CL 14 NRO 17 38,SAN JOSE</t>
  </si>
  <si>
    <t>7.8807525</t>
  </si>
  <si>
    <t>-72.5159835</t>
  </si>
  <si>
    <t>3133397427</t>
  </si>
  <si>
    <t>AV 11 10 28,EL LLANO</t>
  </si>
  <si>
    <t>7.8855004</t>
  </si>
  <si>
    <t>-72.5100005</t>
  </si>
  <si>
    <t>3123780109</t>
  </si>
  <si>
    <t>CL 10B #12B - 23 URB ANIVERSARIO 1</t>
  </si>
  <si>
    <t>7.8914389</t>
  </si>
  <si>
    <t>-72.4763404</t>
  </si>
  <si>
    <t>3143706323</t>
  </si>
  <si>
    <t>3232042878</t>
  </si>
  <si>
    <t>CL 9 NRO 6-43 LC 116,CENTRO</t>
  </si>
  <si>
    <t>7.8873658</t>
  </si>
  <si>
    <t>-72.5056657</t>
  </si>
  <si>
    <t>3059380919</t>
  </si>
  <si>
    <t>3183971797</t>
  </si>
  <si>
    <t>MZ A LOTE 10 LOCAL 2 URB PLENO SOL SABANA VERDE,URB PLENO SOL</t>
  </si>
  <si>
    <t>7.8994881</t>
  </si>
  <si>
    <t>-72.5459852</t>
  </si>
  <si>
    <t>3204041988</t>
  </si>
  <si>
    <t>CL 16 NRO 5-94,BENJAMIN HERRERA</t>
  </si>
  <si>
    <t>7.914693</t>
  </si>
  <si>
    <t>-72.500999</t>
  </si>
  <si>
    <t>3115896868</t>
  </si>
  <si>
    <t>AV 3 NRO 9 -82 BR SAN LUIS LOCAL 2,SAN LUIS</t>
  </si>
  <si>
    <t>7.8955426</t>
  </si>
  <si>
    <t>-72.4824312</t>
  </si>
  <si>
    <t>3102247957</t>
  </si>
  <si>
    <t>3245720094</t>
  </si>
  <si>
    <t>CL 5 NRO 4-58,LA VICTORIA</t>
  </si>
  <si>
    <t>7.9099099</t>
  </si>
  <si>
    <t>-72.5278917</t>
  </si>
  <si>
    <t>3044229226</t>
  </si>
  <si>
    <t>3205422849</t>
  </si>
  <si>
    <t>CL 12 6 44 CENTRO,CENTRO</t>
  </si>
  <si>
    <t>4.9848380</t>
  </si>
  <si>
    <t>-75.6060826</t>
  </si>
  <si>
    <t>7566443</t>
  </si>
  <si>
    <t>3128514153</t>
  </si>
  <si>
    <t xml:space="preserve"> CL 7  10-32 CENTRO</t>
  </si>
  <si>
    <t>3.1738889</t>
  </si>
  <si>
    <t>-76.26122673</t>
  </si>
  <si>
    <t>8270154</t>
  </si>
  <si>
    <t>3137676572</t>
  </si>
  <si>
    <t xml:space="preserve"> CL 7 9 59</t>
  </si>
  <si>
    <t>3.1744269</t>
  </si>
  <si>
    <t>-76.2624542</t>
  </si>
  <si>
    <t>3218287584</t>
  </si>
  <si>
    <t>CL 6 11 39</t>
  </si>
  <si>
    <t>3.1738658</t>
  </si>
  <si>
    <t>-76.2595435</t>
  </si>
  <si>
    <t>3107886197</t>
  </si>
  <si>
    <t>CR 10 10 09,20 DE AGOSTO</t>
  </si>
  <si>
    <t>3.1723771</t>
  </si>
  <si>
    <t>-76.2634235</t>
  </si>
  <si>
    <t>3007727118</t>
  </si>
  <si>
    <t>CR 10 3 54 BRR LA PLAYA,LA PLAYA</t>
  </si>
  <si>
    <t>3.1757677</t>
  </si>
  <si>
    <t>-76.2591691</t>
  </si>
  <si>
    <t>3145639249</t>
  </si>
  <si>
    <t>CL 9 4-26,CENTRO</t>
  </si>
  <si>
    <t>8.18530928</t>
  </si>
  <si>
    <t>-75.08225204</t>
  </si>
  <si>
    <t>AYAPEL</t>
  </si>
  <si>
    <t>3106307554</t>
  </si>
  <si>
    <t>3226010228</t>
  </si>
  <si>
    <t>AV 6 10-75,OTRO</t>
  </si>
  <si>
    <t>8.3140284</t>
  </si>
  <si>
    <t>-75.1419004</t>
  </si>
  <si>
    <t>3012796370</t>
  </si>
  <si>
    <t>CR 7 25 127,OSPINA PEREZ</t>
  </si>
  <si>
    <t>8.3085445</t>
  </si>
  <si>
    <t>-75.1452700</t>
  </si>
  <si>
    <t>3128991589</t>
  </si>
  <si>
    <t>CL 11 8 56,LLERAS CAMARGO</t>
  </si>
  <si>
    <t>8.313448</t>
  </si>
  <si>
    <t>-75.143987</t>
  </si>
  <si>
    <t>3123339751</t>
  </si>
  <si>
    <t>CL 2 NO. 3 69,CENTRO</t>
  </si>
  <si>
    <t>3138084212</t>
  </si>
  <si>
    <t>3107593248</t>
  </si>
  <si>
    <t>CR 6 1 07 SUR,CENTRO</t>
  </si>
  <si>
    <t>5.0673199</t>
  </si>
  <si>
    <t>-73.8805052</t>
  </si>
  <si>
    <t>3143954177</t>
  </si>
  <si>
    <t>3133983775</t>
  </si>
  <si>
    <t>CR 6 7 11,NOCAIMA</t>
  </si>
  <si>
    <t>5.0703267</t>
  </si>
  <si>
    <t>-74.3773050</t>
  </si>
  <si>
    <t>NOCAIMA</t>
  </si>
  <si>
    <t>3124430217</t>
  </si>
  <si>
    <t>CL 6 8 04,EL RETIRO</t>
  </si>
  <si>
    <t>5.0700085</t>
  </si>
  <si>
    <t>-74.3794422</t>
  </si>
  <si>
    <t>3112599866</t>
  </si>
  <si>
    <t>cra 4 # 6-14 centro</t>
  </si>
  <si>
    <t>5.0692246</t>
  </si>
  <si>
    <t>-74.3773688</t>
  </si>
  <si>
    <t>3125133842</t>
  </si>
  <si>
    <t>CRA 7 NRO 6 - 52 CENTRO,EL RETIRO</t>
  </si>
  <si>
    <t>5.0701845</t>
  </si>
  <si>
    <t>-74.3782435</t>
  </si>
  <si>
    <t>3134053020</t>
  </si>
  <si>
    <t>3118996971</t>
  </si>
  <si>
    <t>CL 7 7 25 BRR LAGUNITAS,LAGUNITAS</t>
  </si>
  <si>
    <t>4.6824827</t>
  </si>
  <si>
    <t>-74.7155370</t>
  </si>
  <si>
    <t>3112274721</t>
  </si>
  <si>
    <t>3114601664</t>
  </si>
  <si>
    <t>AV 2 1 31 B CENTRO QUIPILE,CENTRO</t>
  </si>
  <si>
    <t>4.7413740</t>
  </si>
  <si>
    <t>-74.5339549</t>
  </si>
  <si>
    <t>QUIPILE</t>
  </si>
  <si>
    <t>3227434051</t>
  </si>
  <si>
    <t>CL PRINCIPAL 4 33 IPM LA SIERRA.IPM LA SIERRA</t>
  </si>
  <si>
    <t>4.7901014</t>
  </si>
  <si>
    <t>-74.551646</t>
  </si>
  <si>
    <t>3138222742</t>
  </si>
  <si>
    <t>3183554376</t>
  </si>
  <si>
    <t>CL 3 3 - 35 BRR CENTRO INSPECCION LA VIRGEN .INSPECCION LA VIRGEN</t>
  </si>
  <si>
    <t>4.6517999</t>
  </si>
  <si>
    <t>-74.5685414</t>
  </si>
  <si>
    <t>8282758</t>
  </si>
  <si>
    <t>3105702932</t>
  </si>
  <si>
    <t xml:space="preserve"> CR 6 3 91</t>
  </si>
  <si>
    <t>5.04320635</t>
  </si>
  <si>
    <t>-73.79771705</t>
  </si>
  <si>
    <t>SESQUILÉ</t>
  </si>
  <si>
    <t>3227335991</t>
  </si>
  <si>
    <t>3125553586</t>
  </si>
  <si>
    <t xml:space="preserve"> VRD BOITA</t>
  </si>
  <si>
    <t>5.0538673</t>
  </si>
  <si>
    <t>-73.8072795</t>
  </si>
  <si>
    <t>3118355857</t>
  </si>
  <si>
    <t>3118355859</t>
  </si>
  <si>
    <t>cra 8 no 6-39 segundo piso</t>
  </si>
  <si>
    <t>5.0464838</t>
  </si>
  <si>
    <t>-73.798324</t>
  </si>
  <si>
    <t>3123399185</t>
  </si>
  <si>
    <t>VDA BOITA,VEREDA BOITA</t>
  </si>
  <si>
    <t>5.0531544</t>
  </si>
  <si>
    <t>-73.8076218</t>
  </si>
  <si>
    <t>3143752623</t>
  </si>
  <si>
    <t>CR 8 #6 -12</t>
  </si>
  <si>
    <t>5.046327</t>
  </si>
  <si>
    <t>-73.7988150</t>
  </si>
  <si>
    <t>3112638344</t>
  </si>
  <si>
    <t>3214165581</t>
  </si>
  <si>
    <t>CR 6 4 49,SESQUILE</t>
  </si>
  <si>
    <t>5.0441217</t>
  </si>
  <si>
    <t>-73.7970283</t>
  </si>
  <si>
    <t>3105818330</t>
  </si>
  <si>
    <t>3208884812</t>
  </si>
  <si>
    <t>CL 5 6 - 78 LC 2,SESQUILE</t>
  </si>
  <si>
    <t>5.0448896</t>
  </si>
  <si>
    <t>-73.7974855</t>
  </si>
  <si>
    <t>7228945</t>
  </si>
  <si>
    <t>3138453642</t>
  </si>
  <si>
    <t>CL 18 SUR 11 B 44</t>
  </si>
  <si>
    <t>4.5688753</t>
  </si>
  <si>
    <t>-74.2372564</t>
  </si>
  <si>
    <t>7816445</t>
  </si>
  <si>
    <t>3164650650</t>
  </si>
  <si>
    <t>3103148237</t>
  </si>
  <si>
    <t xml:space="preserve"> CL 14  7-93</t>
  </si>
  <si>
    <t>4.5828302</t>
  </si>
  <si>
    <t>-74.2184271</t>
  </si>
  <si>
    <t>3014962272</t>
  </si>
  <si>
    <t>CL 13 30 - 242 LC 2 CON FEIJOA CIUDAD VERDE,CONJUNTO FEIJOA CIUDAD VERDE/ SOACHA</t>
  </si>
  <si>
    <t>4.5993453</t>
  </si>
  <si>
    <t>-74.2219498</t>
  </si>
  <si>
    <t>3157623555</t>
  </si>
  <si>
    <t>3112790362</t>
  </si>
  <si>
    <t>BIS KM 36 KDX 4 1 CORR AGUA CLARA VIA AL PUERTO,VDA LA JARRA</t>
  </si>
  <si>
    <t>8.2112296</t>
  </si>
  <si>
    <t>-72.4265658</t>
  </si>
  <si>
    <t>3245250297</t>
  </si>
  <si>
    <t>CL 21 # 13 - 04,BARRIO ALFONSO LÓPEZ</t>
  </si>
  <si>
    <t>7.876618</t>
  </si>
  <si>
    <t>-72.509980</t>
  </si>
  <si>
    <t>3163550909</t>
  </si>
  <si>
    <t>3115986804</t>
  </si>
  <si>
    <t>AV 5 A # 0 - 49 LC 1,LA MERCED</t>
  </si>
  <si>
    <t>7.8970071</t>
  </si>
  <si>
    <t>-72.5052609</t>
  </si>
  <si>
    <t>3108921487</t>
  </si>
  <si>
    <t>MZ D21 LOTE 13,URB TORCOROMA II</t>
  </si>
  <si>
    <t>7.895356</t>
  </si>
  <si>
    <t>-72.470902</t>
  </si>
  <si>
    <t>3114519214</t>
  </si>
  <si>
    <t>AV 17 5A 23,URB TORCOROMA SIGLO XXI</t>
  </si>
  <si>
    <t>7.8965827</t>
  </si>
  <si>
    <t>-72.4713106</t>
  </si>
  <si>
    <t>3115233002</t>
  </si>
  <si>
    <t>3143869024</t>
  </si>
  <si>
    <t>CL 0 NRO. 6 - 24 LC 2,LA MERCED</t>
  </si>
  <si>
    <t>-72.4915095</t>
  </si>
  <si>
    <t>3004940299</t>
  </si>
  <si>
    <t>CL 9 5 A 15,CENTRO</t>
  </si>
  <si>
    <t>8.3148891</t>
  </si>
  <si>
    <t>-75.1413865</t>
  </si>
  <si>
    <t>7799766</t>
  </si>
  <si>
    <t>3105621245</t>
  </si>
  <si>
    <t xml:space="preserve"> FRENTE AL PALACIO MUNICIPAL SAN ANDRES DE SOTAVENTO CORDOBA</t>
  </si>
  <si>
    <t>9.1452805</t>
  </si>
  <si>
    <t>-75.5091796</t>
  </si>
  <si>
    <t>3147019286</t>
  </si>
  <si>
    <t>CR 7 E CL 9-192 LC 01,LAS FLORES</t>
  </si>
  <si>
    <t>9.1458672</t>
  </si>
  <si>
    <t>-75.5096154</t>
  </si>
  <si>
    <t>7730072</t>
  </si>
  <si>
    <t>3008190156</t>
  </si>
  <si>
    <t>CR 14 12B 11  local 2</t>
  </si>
  <si>
    <t>9.37380381</t>
  </si>
  <si>
    <t>-75.75948523</t>
  </si>
  <si>
    <t>3002569806</t>
  </si>
  <si>
    <t>3013313660</t>
  </si>
  <si>
    <t>CR 14 13 A -52,OTRO</t>
  </si>
  <si>
    <t>9.3754531</t>
  </si>
  <si>
    <t>-75.7591629</t>
  </si>
  <si>
    <t>3124746391</t>
  </si>
  <si>
    <t>3144166930</t>
  </si>
  <si>
    <t>CL 7 21 122 BRR LA CRINOLINA,LA CRINOLINA</t>
  </si>
  <si>
    <t>5.1357177</t>
  </si>
  <si>
    <t>-74.1570312</t>
  </si>
  <si>
    <t>PACHO</t>
  </si>
  <si>
    <t>3223057969</t>
  </si>
  <si>
    <t>CL 8 27 181</t>
  </si>
  <si>
    <t>5.1418421</t>
  </si>
  <si>
    <t>-74.1579459</t>
  </si>
  <si>
    <t>3213679546</t>
  </si>
  <si>
    <t>CL 8 14 19 CEN,CENTRO</t>
  </si>
  <si>
    <t>5.1286978</t>
  </si>
  <si>
    <t>-74.1594132</t>
  </si>
  <si>
    <t>3123088895</t>
  </si>
  <si>
    <t>CLL 8 Nº 12-18 BRR KENNEDY</t>
  </si>
  <si>
    <t>5.1274285</t>
  </si>
  <si>
    <t>-74.1602800</t>
  </si>
  <si>
    <t>8450086</t>
  </si>
  <si>
    <t>3115380315</t>
  </si>
  <si>
    <t xml:space="preserve"> CL 3  4-01</t>
  </si>
  <si>
    <t>4.6162167</t>
  </si>
  <si>
    <t>-74.3517442</t>
  </si>
  <si>
    <t>3132233010</t>
  </si>
  <si>
    <t>KM 19 VIA BOGOTA / MESITAS VDA VANCOUVER.SECTOR BELLAVISTA</t>
  </si>
  <si>
    <t>4.5887218</t>
  </si>
  <si>
    <t>-74.3502209</t>
  </si>
  <si>
    <t>3143043253</t>
  </si>
  <si>
    <t>3204640506</t>
  </si>
  <si>
    <t>3132971817</t>
  </si>
  <si>
    <t>URB VILLA GLORIA LAS MERCEDES LT 1 ET 4 LC 2,URB. VILLA GLORIA</t>
  </si>
  <si>
    <t>4.9682428</t>
  </si>
  <si>
    <t>-74.2884633</t>
  </si>
  <si>
    <t>3118127555</t>
  </si>
  <si>
    <t>CR 2 2 01,VILLA CARMENZA</t>
  </si>
  <si>
    <t>4.9686720</t>
  </si>
  <si>
    <t>-74.2878982</t>
  </si>
  <si>
    <t>3102649666</t>
  </si>
  <si>
    <t>DG 32 10 20 BALCONES DE MERCURIO II PISO 2,"RINCÓN DE SANTA FE CONJUNTO BALCONES DE MERCURIO</t>
  </si>
  <si>
    <t>4.5904367</t>
  </si>
  <si>
    <t>-74.2062183</t>
  </si>
  <si>
    <t>3204309382</t>
  </si>
  <si>
    <t>CL 22 B 7A 56,CAMILO TORRES SOACHA</t>
  </si>
  <si>
    <t>4.5844990</t>
  </si>
  <si>
    <t>-74.2117600</t>
  </si>
  <si>
    <t>3212356827</t>
  </si>
  <si>
    <t>3186940845</t>
  </si>
  <si>
    <t>3168239966</t>
  </si>
  <si>
    <t>CL 1 4 F 32,LAGOS DE MALIBÚ</t>
  </si>
  <si>
    <t>4.5754878</t>
  </si>
  <si>
    <t>-74.2258448</t>
  </si>
  <si>
    <t>3114630996</t>
  </si>
  <si>
    <t>CL 30 A 6 G 46 ESTE,SAN MATEO</t>
  </si>
  <si>
    <t>4.5795104</t>
  </si>
  <si>
    <t>-74.2009268</t>
  </si>
  <si>
    <t>3187369105</t>
  </si>
  <si>
    <t>3212047655</t>
  </si>
  <si>
    <t>CR 7 32 35 LC 211,SAN MATEO SOACHA</t>
  </si>
  <si>
    <t>4.588177</t>
  </si>
  <si>
    <t>-74.204596</t>
  </si>
  <si>
    <t>3115647886</t>
  </si>
  <si>
    <t>3133793107</t>
  </si>
  <si>
    <t>TV 12A 38C 53,LEON X111</t>
  </si>
  <si>
    <t>4.5921033</t>
  </si>
  <si>
    <t>-74.1993750</t>
  </si>
  <si>
    <t>3022731103</t>
  </si>
  <si>
    <t>3505831388</t>
  </si>
  <si>
    <t>AV 6 NRO 8-72 CENTRO COMERCIAL FANTASTICO LOCAL 108 BR EL CENTRO</t>
  </si>
  <si>
    <t>7.887967</t>
  </si>
  <si>
    <t>-72.505241</t>
  </si>
  <si>
    <t>3108720932</t>
  </si>
  <si>
    <t>3124857645</t>
  </si>
  <si>
    <t>AV 7 NRO 5-55 LC 239 CC LAS MERCEDES,CALLEJON</t>
  </si>
  <si>
    <t>7.8913012</t>
  </si>
  <si>
    <t>-72.5065001</t>
  </si>
  <si>
    <t>3224647950</t>
  </si>
  <si>
    <t>Avenida 9e #6n-95 santa lucia</t>
  </si>
  <si>
    <t>7.8947667</t>
  </si>
  <si>
    <t>-72.4724133</t>
  </si>
  <si>
    <t>3007201258</t>
  </si>
  <si>
    <t>3136570964</t>
  </si>
  <si>
    <t>CL 8 NRO 6-65 LOC 24-034 A PS.2 CC ALEJANDRIA BR EL CENTRO</t>
  </si>
  <si>
    <t>7.888593</t>
  </si>
  <si>
    <t>-72.505879</t>
  </si>
  <si>
    <t>3102127135</t>
  </si>
  <si>
    <t>CL 12 12 12 BRR EL CONTENTO</t>
  </si>
  <si>
    <t>7.883389</t>
  </si>
  <si>
    <t>-72.510738</t>
  </si>
  <si>
    <t>3208709455</t>
  </si>
  <si>
    <t>TV 17 0-23,PUEBLO NUEVO</t>
  </si>
  <si>
    <t>7.8918919</t>
  </si>
  <si>
    <t>-72.5247265</t>
  </si>
  <si>
    <t>3136394465</t>
  </si>
  <si>
    <t>3177774006</t>
  </si>
  <si>
    <t>CALLE PRINCIPAL BARRIO CENTRO</t>
  </si>
  <si>
    <t>1.6280011</t>
  </si>
  <si>
    <t>-77.45857</t>
  </si>
  <si>
    <t>POLICARPA</t>
  </si>
  <si>
    <t>EN CORREGIMIENTO MADRIGAL,CORREGIMIENTO MADRIGAL</t>
  </si>
  <si>
    <t>1.7492855</t>
  </si>
  <si>
    <t>-77.509080</t>
  </si>
  <si>
    <t>3132291710</t>
  </si>
  <si>
    <t>3123677656</t>
  </si>
  <si>
    <t>CORREGIMIENTO DE SANTACRUZ</t>
  </si>
  <si>
    <t>1.826870</t>
  </si>
  <si>
    <t>-77.548460</t>
  </si>
  <si>
    <t>3206578579</t>
  </si>
  <si>
    <t>3104691254</t>
  </si>
  <si>
    <t>VEREDA SANTA ROSA,VEREDA SANTA ROSA</t>
  </si>
  <si>
    <t>1.855818333</t>
  </si>
  <si>
    <t>-77.5604683333</t>
  </si>
  <si>
    <t>3188958667</t>
  </si>
  <si>
    <t>3187254990</t>
  </si>
  <si>
    <t>CORREGIMIENTO EL EJIDO POLICARPA,CORREGIMIENTO EL EJIDO</t>
  </si>
  <si>
    <t>1.716995</t>
  </si>
  <si>
    <t>-77.512102</t>
  </si>
  <si>
    <t>3205642348</t>
  </si>
  <si>
    <t>CR 8 6 34 BARRIO SHUMACHER,SHUMACHER</t>
  </si>
  <si>
    <t>1.334546</t>
  </si>
  <si>
    <t>-77.593959</t>
  </si>
  <si>
    <t>3104142980</t>
  </si>
  <si>
    <t>CR 5 6 08 ESQ BRR INDUSTRIAL,INDUSTRIAL</t>
  </si>
  <si>
    <t>1.3369908</t>
  </si>
  <si>
    <t>-77.5929864</t>
  </si>
  <si>
    <t>3162950448</t>
  </si>
  <si>
    <t>3188903068</t>
  </si>
  <si>
    <t>CL 1 CR 4 43 DIV 2 BRR SUCRE,EL PROGRESO</t>
  </si>
  <si>
    <t>1.3391715</t>
  </si>
  <si>
    <t>-77.5943070</t>
  </si>
  <si>
    <t>MZ A LOTE 4 CONJUNTO CAMPESTRE SAN CRISTOBAL,SAN CRISTOBAL</t>
  </si>
  <si>
    <t>7.5971603</t>
  </si>
  <si>
    <t>-72.6017712</t>
  </si>
  <si>
    <t>3205319355</t>
  </si>
  <si>
    <t>CR 4 7-77,CENTRO</t>
  </si>
  <si>
    <t>7.6216216</t>
  </si>
  <si>
    <t>-72.5872133</t>
  </si>
  <si>
    <t>3202883562</t>
  </si>
  <si>
    <t>CR 10 A 6A 21 SUR,VALLE SANTA ANA</t>
  </si>
  <si>
    <t>4.5662293</t>
  </si>
  <si>
    <t>-74.2308454</t>
  </si>
  <si>
    <t>3046020519</t>
  </si>
  <si>
    <t>CL 32 SUR 15 C 54,CIUDAD LATINA</t>
  </si>
  <si>
    <t>4.575401</t>
  </si>
  <si>
    <t>-74.243774</t>
  </si>
  <si>
    <t>3208425592</t>
  </si>
  <si>
    <t>CALLE 53 NO 10 - 33,LEON XIII</t>
  </si>
  <si>
    <t>4.5961379</t>
  </si>
  <si>
    <t>-74.1911335</t>
  </si>
  <si>
    <t>3203119503</t>
  </si>
  <si>
    <t>3045328223</t>
  </si>
  <si>
    <t>CR 17 19 A SUR 112,INDUMIL</t>
  </si>
  <si>
    <t>4.5809551</t>
  </si>
  <si>
    <t>-74.2416241</t>
  </si>
  <si>
    <t>3232232476</t>
  </si>
  <si>
    <t>3232293153</t>
  </si>
  <si>
    <t>CR 3 12B - 04,UBATE SOACHA</t>
  </si>
  <si>
    <t>4.5772351</t>
  </si>
  <si>
    <t>-74.2180057</t>
  </si>
  <si>
    <t>3197797174</t>
  </si>
  <si>
    <t>CR 5 ESTE 29 C 50,SAN MATEO</t>
  </si>
  <si>
    <t>4.580607</t>
  </si>
  <si>
    <t>-74.2041581</t>
  </si>
  <si>
    <t>3116043590</t>
  </si>
  <si>
    <t>3125067284</t>
  </si>
  <si>
    <t>TV 19 39 C - 105 LC 1, POTRERO GRANDE SOACHA</t>
  </si>
  <si>
    <t>4.5953719</t>
  </si>
  <si>
    <t>-74.205377</t>
  </si>
  <si>
    <t>3156103183</t>
  </si>
  <si>
    <t>CL 1 5 B 06,QUINTAS DE LA LAGUNA</t>
  </si>
  <si>
    <t>4.5800664</t>
  </si>
  <si>
    <t>-74.2258461</t>
  </si>
  <si>
    <t>3123785446</t>
  </si>
  <si>
    <t>3112175689</t>
  </si>
  <si>
    <t>CL 10 NRO 14 111 LC 4Y5,BR SAN MIGUEL</t>
  </si>
  <si>
    <t>7.884906651084266</t>
  </si>
  <si>
    <t>-72.51421798833027</t>
  </si>
  <si>
    <t>3219495425</t>
  </si>
  <si>
    <t>MZ 32 - 5,BR PALMERAS PARTE ALTA</t>
  </si>
  <si>
    <t>7.905714</t>
  </si>
  <si>
    <t>-72.529599</t>
  </si>
  <si>
    <t>3015012755</t>
  </si>
  <si>
    <t>AV 6 CL 26 LC 1 BRR BUENOS AIRES</t>
  </si>
  <si>
    <t>7.9286603</t>
  </si>
  <si>
    <t>-72.5193356</t>
  </si>
  <si>
    <t>3204437646</t>
  </si>
  <si>
    <t>3208903206</t>
  </si>
  <si>
    <t>CALLE 30 #1-81 LOCAL15,SAN MATEO</t>
  </si>
  <si>
    <t>4.5833230</t>
  </si>
  <si>
    <t>-74.2050433</t>
  </si>
  <si>
    <t>3214243579</t>
  </si>
  <si>
    <t>3165669317</t>
  </si>
  <si>
    <t>3204924701</t>
  </si>
  <si>
    <t>CR 9 10 22 S,NEMESIS</t>
  </si>
  <si>
    <t>4.564492</t>
  </si>
  <si>
    <t>-74.232105</t>
  </si>
  <si>
    <t>3158130148</t>
  </si>
  <si>
    <t>3112291888</t>
  </si>
  <si>
    <t>CL 27 SUR #15G - 60 </t>
  </si>
  <si>
    <t>4.5759733</t>
  </si>
  <si>
    <t>-74.2416533</t>
  </si>
  <si>
    <t>3118606637</t>
  </si>
  <si>
    <t>3232503818</t>
  </si>
  <si>
    <t>CL 34 ESTE 14-00 BL 24 CA 21 BOSQUES DE TIBANICA,SOACHA</t>
  </si>
  <si>
    <t>4.57814</t>
  </si>
  <si>
    <t>-74.195057</t>
  </si>
  <si>
    <t>3142143013</t>
  </si>
  <si>
    <t>CALLE 30 NO 1 - 140,SAN MATEO</t>
  </si>
  <si>
    <t>4.5842339</t>
  </si>
  <si>
    <t>-74.2051463</t>
  </si>
  <si>
    <t>3112907216</t>
  </si>
  <si>
    <t>CR 4 28 - 04</t>
  </si>
  <si>
    <t>4.584904</t>
  </si>
  <si>
    <t>-74.206996</t>
  </si>
  <si>
    <t>3125583296</t>
  </si>
  <si>
    <t>3209969707</t>
  </si>
  <si>
    <t>CR 14 ESTE # 32 A - 90,SOACHA TERREROS</t>
  </si>
  <si>
    <t>4.5778786</t>
  </si>
  <si>
    <t>-74.1962066</t>
  </si>
  <si>
    <t>3539261</t>
  </si>
  <si>
    <t>3153834689</t>
  </si>
  <si>
    <t xml:space="preserve"> CR 4  4-30</t>
  </si>
  <si>
    <t>5.31445424</t>
  </si>
  <si>
    <t>-75.80114524</t>
  </si>
  <si>
    <t>CR 5 12 32 40,CENTRO</t>
  </si>
  <si>
    <t>5.3155780</t>
  </si>
  <si>
    <t>-75.7981176</t>
  </si>
  <si>
    <t>3122228320</t>
  </si>
  <si>
    <t>CR 7 11 56 LC 1,EL JARDIN</t>
  </si>
  <si>
    <t>5.3170577</t>
  </si>
  <si>
    <t>-75.7989987</t>
  </si>
  <si>
    <t>3655672</t>
  </si>
  <si>
    <t>3148128310</t>
  </si>
  <si>
    <t xml:space="preserve">CL 16  14 - 26 CENTRO </t>
  </si>
  <si>
    <t>4.8680410</t>
  </si>
  <si>
    <t>-75.6219756</t>
  </si>
  <si>
    <t>3650257</t>
  </si>
  <si>
    <t>3003550208</t>
  </si>
  <si>
    <t xml:space="preserve"> CL 12 9 89</t>
  </si>
  <si>
    <t>4.8657664</t>
  </si>
  <si>
    <t>-75.6169915</t>
  </si>
  <si>
    <t>3653096</t>
  </si>
  <si>
    <t>3104998310</t>
  </si>
  <si>
    <t xml:space="preserve"> CR 10 B 30 A 06 TORRE 1 APTO 103 A PORTAL DE LAS ARAUCARIAS</t>
  </si>
  <si>
    <t>4.8812574</t>
  </si>
  <si>
    <t>-75.6219682</t>
  </si>
  <si>
    <t>3137605833</t>
  </si>
  <si>
    <t>CRA 14# 18-14 centro</t>
  </si>
  <si>
    <t>4.8699557</t>
  </si>
  <si>
    <t>-75.6222946</t>
  </si>
  <si>
    <t>3172902553</t>
  </si>
  <si>
    <t>KR 10 BIS N 9B - 45 BRR BOLIVAR, BOLIVAR</t>
  </si>
  <si>
    <t>4.8635043</t>
  </si>
  <si>
    <t>-75.6191720</t>
  </si>
  <si>
    <t>3216871486</t>
  </si>
  <si>
    <t>CL 45 13 03 MZ 3 CA 52 BRR LOS CRISTALES,LOS CRISTALES</t>
  </si>
  <si>
    <t>4.8923411</t>
  </si>
  <si>
    <t>-75.6263721</t>
  </si>
  <si>
    <t>3058529112</t>
  </si>
  <si>
    <t>3045986489</t>
  </si>
  <si>
    <t>CR 23 23 02,LA HERMOSA</t>
  </si>
  <si>
    <t>4.8730042</t>
  </si>
  <si>
    <t>-75.6288867</t>
  </si>
  <si>
    <t>3204160791</t>
  </si>
  <si>
    <t>VRD 0 0 0 KM 10 VIA SANGIL BARICHARA VEREDA EL GUAYABAL,VEREDA EL GUAYABAL</t>
  </si>
  <si>
    <t>6.6064792</t>
  </si>
  <si>
    <t>-73.2375133</t>
  </si>
  <si>
    <t>6229758</t>
  </si>
  <si>
    <t>3206679525</t>
  </si>
  <si>
    <t xml:space="preserve"> CR 17  47-44</t>
  </si>
  <si>
    <t>7.5801354</t>
  </si>
  <si>
    <t>-73.86017434</t>
  </si>
  <si>
    <t>6200176</t>
  </si>
  <si>
    <t>3002873915</t>
  </si>
  <si>
    <t xml:space="preserve"> CR 8 50 17 CPC FASE II LC 169</t>
  </si>
  <si>
    <t>7.0610847</t>
  </si>
  <si>
    <t>-73.8689389</t>
  </si>
  <si>
    <t>3118242969</t>
  </si>
  <si>
    <t>3223283168</t>
  </si>
  <si>
    <t>CL 45 35 A 06,SIMON BOLIVAR</t>
  </si>
  <si>
    <t>7.056753</t>
  </si>
  <si>
    <t>-73.843971</t>
  </si>
  <si>
    <t>311 8242969</t>
  </si>
  <si>
    <t>3162678137</t>
  </si>
  <si>
    <t>AV 52 A 35 B 17 PRIMERO DE MAYO,SIMON BOLIVAR</t>
  </si>
  <si>
    <t>7.06261000</t>
  </si>
  <si>
    <t>-73.841529</t>
  </si>
  <si>
    <t>3226836079</t>
  </si>
  <si>
    <t>AV 1E 12-39,BRR CAOBOS</t>
  </si>
  <si>
    <t>7.8851621</t>
  </si>
  <si>
    <t>-72.4973821</t>
  </si>
  <si>
    <t>AV 0 11-165 LC 1,BRR CAOBOS</t>
  </si>
  <si>
    <t>7.88532200</t>
  </si>
  <si>
    <t>-72.4979199</t>
  </si>
  <si>
    <t>3143149820</t>
  </si>
  <si>
    <t>AV 7 NRO 0-69 LOCAL M1-39,BRR CALLEJON</t>
  </si>
  <si>
    <t>-72.5065362</t>
  </si>
  <si>
    <t>3208014971</t>
  </si>
  <si>
    <t>CL 7 2-95,LATINO</t>
  </si>
  <si>
    <t>7.890385166</t>
  </si>
  <si>
    <t>-72.502136222</t>
  </si>
  <si>
    <t>CC ALEJANDRIA LOC 34 - 043/34-044 EL CENTRO,</t>
  </si>
  <si>
    <t>7.8885719722</t>
  </si>
  <si>
    <t>-72.5056960</t>
  </si>
  <si>
    <t>3107355344</t>
  </si>
  <si>
    <t>3107355644</t>
  </si>
  <si>
    <t>CL 18A 7-78,BRR LA LIBERTAD</t>
  </si>
  <si>
    <t>7.887455</t>
  </si>
  <si>
    <t>-72.481408</t>
  </si>
  <si>
    <t>3002012150</t>
  </si>
  <si>
    <t>CL 5 N 8-81 - CALLEJON</t>
  </si>
  <si>
    <t>7.891091777</t>
  </si>
  <si>
    <t>-72.50891875</t>
  </si>
  <si>
    <t>3004725680</t>
  </si>
  <si>
    <t>CL 9 4-42 LOC 79 Y 80 CC EL PALACIO,EL CENTRO</t>
  </si>
  <si>
    <t>7.888283000</t>
  </si>
  <si>
    <t>-72.50335497</t>
  </si>
  <si>
    <t>3136617621</t>
  </si>
  <si>
    <t>AV 7 0-61 LC N1 86 MUELLE 1,CALLEJON</t>
  </si>
  <si>
    <t>7.8959599722</t>
  </si>
  <si>
    <t>-72.5079209722</t>
  </si>
  <si>
    <t>3017754759</t>
  </si>
  <si>
    <t>CL 6 NRO 13-36,COMUNEROS</t>
  </si>
  <si>
    <t>7.9128332</t>
  </si>
  <si>
    <t>-72.5255081</t>
  </si>
  <si>
    <t>7797945</t>
  </si>
  <si>
    <t>3134794656</t>
  </si>
  <si>
    <t>CL 48 12 09E JULIO RINCON SOACHA</t>
  </si>
  <si>
    <t>4.5864764</t>
  </si>
  <si>
    <t>-74.1887242</t>
  </si>
  <si>
    <t>3134421549</t>
  </si>
  <si>
    <t>TV 18 J # 10-20,DANUBIO SOACHA</t>
  </si>
  <si>
    <t>4.5892137</t>
  </si>
  <si>
    <t>-74.2239448</t>
  </si>
  <si>
    <t>9003134</t>
  </si>
  <si>
    <t>3132602711</t>
  </si>
  <si>
    <t>CL 26 SUR 12 C 7 COMPARTIR</t>
  </si>
  <si>
    <t>4.5706617</t>
  </si>
  <si>
    <t>-74.2392233</t>
  </si>
  <si>
    <t>9016475</t>
  </si>
  <si>
    <t>3142356726</t>
  </si>
  <si>
    <t>3102203883</t>
  </si>
  <si>
    <t>CR 9A 16A - 105 SUR TO 4 AP 102,</t>
  </si>
  <si>
    <t>4.579474</t>
  </si>
  <si>
    <t>-74.234707</t>
  </si>
  <si>
    <t>3223650121</t>
  </si>
  <si>
    <t>TV 12 45 - 105</t>
  </si>
  <si>
    <t>4.5977224</t>
  </si>
  <si>
    <t>-74.1913118</t>
  </si>
  <si>
    <t>7622324</t>
  </si>
  <si>
    <t>3143428069</t>
  </si>
  <si>
    <t xml:space="preserve"> TV 13  36 06</t>
  </si>
  <si>
    <t>4.5903402</t>
  </si>
  <si>
    <t>-74.2003543</t>
  </si>
  <si>
    <t>3125660490</t>
  </si>
  <si>
    <t>TV 7 4B 06</t>
  </si>
  <si>
    <t>4.5826202</t>
  </si>
  <si>
    <t>-74.2238858</t>
  </si>
  <si>
    <t>9021863</t>
  </si>
  <si>
    <t>3134919803</t>
  </si>
  <si>
    <t>3106296568</t>
  </si>
  <si>
    <t xml:space="preserve"> CR 15 F  32 67</t>
  </si>
  <si>
    <t>4.5753914</t>
  </si>
  <si>
    <t>-74.2442273</t>
  </si>
  <si>
    <t>8284868</t>
  </si>
  <si>
    <t>3017495569</t>
  </si>
  <si>
    <t>3154041340</t>
  </si>
  <si>
    <t xml:space="preserve"> CR 2C  26 05 LC 101</t>
  </si>
  <si>
    <t>4.583291</t>
  </si>
  <si>
    <t>-74.2084915</t>
  </si>
  <si>
    <t>3113797153</t>
  </si>
  <si>
    <t>CR 3  3 - 10 BRR PIEDRA DE BOLIVAR CABECERA MUNCIPAL DE BERRUECOS</t>
  </si>
  <si>
    <t>1.50327</t>
  </si>
  <si>
    <t>-77.135802</t>
  </si>
  <si>
    <t>ARBOLEDA</t>
  </si>
  <si>
    <t>BERRUECOS</t>
  </si>
  <si>
    <t>318 8895881</t>
  </si>
  <si>
    <t>3188895881</t>
  </si>
  <si>
    <t>3209780387</t>
  </si>
  <si>
    <t>CC C.P.C FASE 1 LOCAL 156 SECTOR COMERCIAL,BARRANCABERMEJA</t>
  </si>
  <si>
    <t>7.0610928</t>
  </si>
  <si>
    <t>-73.8689381</t>
  </si>
  <si>
    <t>3124542809</t>
  </si>
  <si>
    <t>3166740291</t>
  </si>
  <si>
    <t>CR 21 54 38 LOCAL 2,TORCOROMA</t>
  </si>
  <si>
    <t>7.6455449</t>
  </si>
  <si>
    <t>-73.85621191</t>
  </si>
  <si>
    <t>3102441621</t>
  </si>
  <si>
    <t>CL 9 4 34,BRR SAN ANTONIO</t>
  </si>
  <si>
    <t>5.9896741</t>
  </si>
  <si>
    <t>-73.7711300</t>
  </si>
  <si>
    <t>3115068900</t>
  </si>
  <si>
    <t>CR 4 9 45,NUEVO PORTAL</t>
  </si>
  <si>
    <t>5.9900675</t>
  </si>
  <si>
    <t>-73.7707332</t>
  </si>
  <si>
    <t>6600050</t>
  </si>
  <si>
    <t>3132630189</t>
  </si>
  <si>
    <t xml:space="preserve"> CR 4  3-91</t>
  </si>
  <si>
    <t>6.5295383</t>
  </si>
  <si>
    <t>-72.6968520</t>
  </si>
  <si>
    <t>3102178805</t>
  </si>
  <si>
    <t>CR 4 NO.1-11,LIBERTADORES</t>
  </si>
  <si>
    <t>7.1137912</t>
  </si>
  <si>
    <t>-73.1081034</t>
  </si>
  <si>
    <t>2798260</t>
  </si>
  <si>
    <t>3125722106</t>
  </si>
  <si>
    <t xml:space="preserve"> CR 14  24-30</t>
  </si>
  <si>
    <t>6.2879694</t>
  </si>
  <si>
    <t>-73.1461369</t>
  </si>
  <si>
    <t>CHARALÁ</t>
  </si>
  <si>
    <t>3142142552</t>
  </si>
  <si>
    <t>CR 14 A #22-75 BRR José Antonio Galán</t>
  </si>
  <si>
    <t>6.28626664</t>
  </si>
  <si>
    <t>-73.14632268</t>
  </si>
  <si>
    <t>3123507006</t>
  </si>
  <si>
    <t>CL 24 14 A 41</t>
  </si>
  <si>
    <t>6.2876965</t>
  </si>
  <si>
    <t>-73.1467676</t>
  </si>
  <si>
    <t>3003964105</t>
  </si>
  <si>
    <t>CR 26 NRO 32 - 55 LC 02,CENTRO</t>
  </si>
  <si>
    <t>9.3174814</t>
  </si>
  <si>
    <t>-75.2927621</t>
  </si>
  <si>
    <t>3105521945</t>
  </si>
  <si>
    <t>3145243646</t>
  </si>
  <si>
    <t xml:space="preserve"> CR 12 CALLE 11 2 APTO 01 CENTRO</t>
  </si>
  <si>
    <t>9.1609305</t>
  </si>
  <si>
    <t>-75.04783</t>
  </si>
  <si>
    <t>3218318780</t>
  </si>
  <si>
    <t>CR 12 CALLE 13 3,CENTRO</t>
  </si>
  <si>
    <t>9.1620917</t>
  </si>
  <si>
    <t>-75.0476256</t>
  </si>
  <si>
    <t>5968635</t>
  </si>
  <si>
    <t>3154540720</t>
  </si>
  <si>
    <t>CL 20 18-01,AGUAS CALIENTES</t>
  </si>
  <si>
    <t>7.8832365</t>
  </si>
  <si>
    <t>-72.4723828</t>
  </si>
  <si>
    <t>3187951960</t>
  </si>
  <si>
    <t>calle 9#2-83</t>
  </si>
  <si>
    <t>7.8962267</t>
  </si>
  <si>
    <t>-72.4824317</t>
  </si>
  <si>
    <t>3125267587</t>
  </si>
  <si>
    <t>3044694729</t>
  </si>
  <si>
    <t xml:space="preserve"> LOCAL 6 URBANIZACIÓN NATURA PARQUE CENTRAL,BRR PARQUE CENTRAL NATURA</t>
  </si>
  <si>
    <t>7.8780447</t>
  </si>
  <si>
    <t>-72.4682007</t>
  </si>
  <si>
    <t>5909178</t>
  </si>
  <si>
    <t>3202744973</t>
  </si>
  <si>
    <t>CL 5N 3 E 161 VILLAS DE LA CANDELARIA BARRIO CEIBA II</t>
  </si>
  <si>
    <t>7.9026830</t>
  </si>
  <si>
    <t>-72.4953873</t>
  </si>
  <si>
    <t>3245577838</t>
  </si>
  <si>
    <t>AV 6 NRO 8-45 LOCAL 1-602 CC ALEJANDRIA,EL CENTRO</t>
  </si>
  <si>
    <t>7.8878920</t>
  </si>
  <si>
    <t>-72.5055940</t>
  </si>
  <si>
    <t>5920543</t>
  </si>
  <si>
    <t>3108824053</t>
  </si>
  <si>
    <t>AV 11 6-67,URB TORCOROMA I</t>
  </si>
  <si>
    <t>7.8952751</t>
  </si>
  <si>
    <t>-72.4755185</t>
  </si>
  <si>
    <t>5727617</t>
  </si>
  <si>
    <t>3138787336</t>
  </si>
  <si>
    <t>AV 10 9 71 - EL LLANO</t>
  </si>
  <si>
    <t>7.8863189</t>
  </si>
  <si>
    <t>-72.5091310</t>
  </si>
  <si>
    <t>5922939</t>
  </si>
  <si>
    <t>3143759668</t>
  </si>
  <si>
    <t>CL 10 NRO 9-96,EL LLANO</t>
  </si>
  <si>
    <t>7.8861243</t>
  </si>
  <si>
    <t>-72.509101</t>
  </si>
  <si>
    <t>AV 11 E NRO 0-22,QUINTA ORIENTAL</t>
  </si>
  <si>
    <t>7.8988791</t>
  </si>
  <si>
    <t>-72.4908985</t>
  </si>
  <si>
    <t>CL 7A  0N - 64</t>
  </si>
  <si>
    <t>-72.4701556</t>
  </si>
  <si>
    <t>3158323629</t>
  </si>
  <si>
    <t>CR 3 CL 3SUR 80 BRR LA LOMA,LA LOMA</t>
  </si>
  <si>
    <t>1.3961895</t>
  </si>
  <si>
    <t>-77.1517104</t>
  </si>
  <si>
    <t>3145140206</t>
  </si>
  <si>
    <t>3184533724</t>
  </si>
  <si>
    <t>MZ A CA 3 PORTAL DE VERACRUZ,PORTAL DE VERACRUZ</t>
  </si>
  <si>
    <t>1.3711200</t>
  </si>
  <si>
    <t>-77.1597603</t>
  </si>
  <si>
    <t>3122976260</t>
  </si>
  <si>
    <t>CR 3 NO. 1 - 144 BARRIO SAN ANTONIO,SAN ANTONIO</t>
  </si>
  <si>
    <t>1.3882375</t>
  </si>
  <si>
    <t>-77.1562797</t>
  </si>
  <si>
    <t>3173601482</t>
  </si>
  <si>
    <t xml:space="preserve"> CR 4 PAR BOLIVAR DE POTOSI</t>
  </si>
  <si>
    <t>0.8076661</t>
  </si>
  <si>
    <t>-77.5723504</t>
  </si>
  <si>
    <t>POTOSÍ</t>
  </si>
  <si>
    <t>5662656</t>
  </si>
  <si>
    <t>3104260606</t>
  </si>
  <si>
    <t xml:space="preserve"> EL COMERCIO RICAURTE</t>
  </si>
  <si>
    <t>1.2108187</t>
  </si>
  <si>
    <t>-77.9944521</t>
  </si>
  <si>
    <t>RICAURTE</t>
  </si>
  <si>
    <t>3185357</t>
  </si>
  <si>
    <t>3117927234</t>
  </si>
  <si>
    <t xml:space="preserve"> CR 3  4 35  EL COMERCIO</t>
  </si>
  <si>
    <t>1.2108681</t>
  </si>
  <si>
    <t>-77.9947082</t>
  </si>
  <si>
    <t>3235166182</t>
  </si>
  <si>
    <t>3225236292</t>
  </si>
  <si>
    <t>CGT EL PALMAR DE IMBI LA BENDICION,EL PALMAR DE IMBILI LA BENDICION</t>
  </si>
  <si>
    <t>1.2168525</t>
  </si>
  <si>
    <t>-78.0407858</t>
  </si>
  <si>
    <t>3202336728</t>
  </si>
  <si>
    <t xml:space="preserve"> CR 5  7 02</t>
  </si>
  <si>
    <t>4.177134166</t>
  </si>
  <si>
    <t>-74.5327736</t>
  </si>
  <si>
    <t>ICONONZO</t>
  </si>
  <si>
    <t>3154184558</t>
  </si>
  <si>
    <t>CR 4 6 25,CENTRO</t>
  </si>
  <si>
    <t>4.1769817</t>
  </si>
  <si>
    <t>-74.5331094</t>
  </si>
  <si>
    <t>3108676080</t>
  </si>
  <si>
    <t>CR 6 5 29,CENTRO</t>
  </si>
  <si>
    <t>4.1782950</t>
  </si>
  <si>
    <t>-74.5336746</t>
  </si>
  <si>
    <t>3118684243</t>
  </si>
  <si>
    <t>CL 7 5 38,CENTRO</t>
  </si>
  <si>
    <t>4.1774610</t>
  </si>
  <si>
    <t>-74.5325517</t>
  </si>
  <si>
    <t>3103358779</t>
  </si>
  <si>
    <t>CL 7 # 1-97,DIVINO NIÑO</t>
  </si>
  <si>
    <t>5.1963317</t>
  </si>
  <si>
    <t>-74.8987833</t>
  </si>
  <si>
    <t>SAN SEBASTIÁN DE MARIQUITA</t>
  </si>
  <si>
    <t>3138724579</t>
  </si>
  <si>
    <t>CL13 NO.   5 - 34  LA CONCORDIA</t>
  </si>
  <si>
    <t>5.192433</t>
  </si>
  <si>
    <t xml:space="preserve">-74.892521 </t>
  </si>
  <si>
    <t>3102784779</t>
  </si>
  <si>
    <t>CR 9 10 74 / 78,EL CARMEN</t>
  </si>
  <si>
    <t>5.195806</t>
  </si>
  <si>
    <t>-74.889372</t>
  </si>
  <si>
    <t>3208274820</t>
  </si>
  <si>
    <t>3197845440</t>
  </si>
  <si>
    <t>CL 7 5 39,CENTRO</t>
  </si>
  <si>
    <t>5.1978318</t>
  </si>
  <si>
    <t>-74.8942631</t>
  </si>
  <si>
    <t>2160491</t>
  </si>
  <si>
    <t>3108949963</t>
  </si>
  <si>
    <t xml:space="preserve"> CL 6  13-25</t>
  </si>
  <si>
    <t>4.3301940</t>
  </si>
  <si>
    <t>-75.8271110</t>
  </si>
  <si>
    <t>2160371</t>
  </si>
  <si>
    <t>3105289189</t>
  </si>
  <si>
    <t xml:space="preserve"> CR 15  10-09 CENTRO CAICEDONIA VALLE</t>
  </si>
  <si>
    <t>4.3330885</t>
  </si>
  <si>
    <t>-75.8289807</t>
  </si>
  <si>
    <t>2160169</t>
  </si>
  <si>
    <t>3113726757</t>
  </si>
  <si>
    <t xml:space="preserve"> CR 16 13 05 CENTRO</t>
  </si>
  <si>
    <t>4.3352886</t>
  </si>
  <si>
    <t>-75.8301581</t>
  </si>
  <si>
    <t>2161105</t>
  </si>
  <si>
    <t>3026940770</t>
  </si>
  <si>
    <t>CR 15  4 - 07 ESQUINA B/ LA INMACULADA</t>
  </si>
  <si>
    <t>4.328585</t>
  </si>
  <si>
    <t>-75.828055</t>
  </si>
  <si>
    <t>3146808294</t>
  </si>
  <si>
    <t>CL 6 10 16,CENTRO</t>
  </si>
  <si>
    <t>4.330736</t>
  </si>
  <si>
    <t>-75.824761</t>
  </si>
  <si>
    <t>3218873915</t>
  </si>
  <si>
    <t>CALLE 10 NO. 15 - 52,CENTRO</t>
  </si>
  <si>
    <t>4.3331575</t>
  </si>
  <si>
    <t>-75.8293915</t>
  </si>
  <si>
    <t>3122342051</t>
  </si>
  <si>
    <t>3006570673</t>
  </si>
  <si>
    <t>CL 15 15 - 42,CENTRO</t>
  </si>
  <si>
    <t>4.3368908</t>
  </si>
  <si>
    <t>-75.8299669</t>
  </si>
  <si>
    <t>3147509308</t>
  </si>
  <si>
    <t>CL 2 13 14 LC 107 TORRES DEL SURCO,TORRES DEL SURCO</t>
  </si>
  <si>
    <t>4.3272519</t>
  </si>
  <si>
    <t>-75.8264397</t>
  </si>
  <si>
    <t>3108250051</t>
  </si>
  <si>
    <t>CL 9 27 03 ESQUINA,LA ESPERANZA</t>
  </si>
  <si>
    <t>3.3282877</t>
  </si>
  <si>
    <t>-76.2425016</t>
  </si>
  <si>
    <t>3103168624</t>
  </si>
  <si>
    <t>AV 5 8 85 CC RIVER PLAZA OF 204,EL CENTRO</t>
  </si>
  <si>
    <t>3045475673</t>
  </si>
  <si>
    <t>3105866803</t>
  </si>
  <si>
    <t>3045351757</t>
  </si>
  <si>
    <t xml:space="preserve"> CL 15 A 12 74 LC 3 LA LIBERTAD</t>
  </si>
  <si>
    <t>7.8883116</t>
  </si>
  <si>
    <t>-72.4755392</t>
  </si>
  <si>
    <t>3123139079</t>
  </si>
  <si>
    <t>AV 9 E NRO. 2-66,QUINTA ORIENTAL</t>
  </si>
  <si>
    <t>7.9163936</t>
  </si>
  <si>
    <t>-72.5061784</t>
  </si>
  <si>
    <t>3123567967</t>
  </si>
  <si>
    <t>AV 2 12-02 LC 02,AEROPUERTO</t>
  </si>
  <si>
    <t>7.895813</t>
  </si>
  <si>
    <t>-72.5205229</t>
  </si>
  <si>
    <t>5781870</t>
  </si>
  <si>
    <t xml:space="preserve"> AV 7 19  50 NUCLEO 2 BG 8 PAR INDUSTRIAL</t>
  </si>
  <si>
    <t>7.9193391</t>
  </si>
  <si>
    <t>-72.5031752</t>
  </si>
  <si>
    <t>AV 4  20 17 BRR  TASAJERO LOS PATIOS</t>
  </si>
  <si>
    <t>7.828296060894342</t>
  </si>
  <si>
    <t xml:space="preserve"> -72.50642432522538</t>
  </si>
  <si>
    <t>5891448</t>
  </si>
  <si>
    <t>3112333700</t>
  </si>
  <si>
    <t xml:space="preserve"> CL 11 4 39 CC LECS LC 137</t>
  </si>
  <si>
    <t>7.8858505</t>
  </si>
  <si>
    <t>-72.5031230</t>
  </si>
  <si>
    <t>6602348</t>
  </si>
  <si>
    <t>3106284993</t>
  </si>
  <si>
    <t>CRA  5    5 - 53</t>
  </si>
  <si>
    <t>6.84257971</t>
  </si>
  <si>
    <t>-72.69428188</t>
  </si>
  <si>
    <t>4326604</t>
  </si>
  <si>
    <t>3144518899</t>
  </si>
  <si>
    <t>CR 6  LC 2 BRR SANTANDER ED MARIA HELENA</t>
  </si>
  <si>
    <t>6.8429007</t>
  </si>
  <si>
    <t>-72.6940727</t>
  </si>
  <si>
    <t>3103340952</t>
  </si>
  <si>
    <t>3103296975</t>
  </si>
  <si>
    <t>3209127380</t>
  </si>
  <si>
    <t>SALIDA MALAGA-CERRITO,ARENALES</t>
  </si>
  <si>
    <t>6.832768</t>
  </si>
  <si>
    <t>-72.697218</t>
  </si>
  <si>
    <t>3223770219</t>
  </si>
  <si>
    <t>DG 8 NO.6-04,LA ESMERALDA</t>
  </si>
  <si>
    <t>6.8437008</t>
  </si>
  <si>
    <t>-72.6934452</t>
  </si>
  <si>
    <t>3219770350</t>
  </si>
  <si>
    <t>3106746240</t>
  </si>
  <si>
    <t>CR 5 NO.8-19,BELEN</t>
  </si>
  <si>
    <t>6.8441149</t>
  </si>
  <si>
    <t>-72.6939748</t>
  </si>
  <si>
    <t>3144077388</t>
  </si>
  <si>
    <t>3124349443</t>
  </si>
  <si>
    <t>CR 5 5 87,CENTRO</t>
  </si>
  <si>
    <t>4.1470003</t>
  </si>
  <si>
    <t>-74.7230520</t>
  </si>
  <si>
    <t>CARMEN DE APICALÁ</t>
  </si>
  <si>
    <t>3115965210</t>
  </si>
  <si>
    <t>3142855227</t>
  </si>
  <si>
    <t>3208923893</t>
  </si>
  <si>
    <t>CL 1 12 35,CENTRO</t>
  </si>
  <si>
    <t>4.1511685</t>
  </si>
  <si>
    <t>-74.7154113</t>
  </si>
  <si>
    <t>2564213</t>
  </si>
  <si>
    <t>3015505467</t>
  </si>
  <si>
    <t xml:space="preserve"> CR 11  4-75</t>
  </si>
  <si>
    <t>4.9232688</t>
  </si>
  <si>
    <t>-75.0651976</t>
  </si>
  <si>
    <t>2561491</t>
  </si>
  <si>
    <t>3132882299</t>
  </si>
  <si>
    <t xml:space="preserve"> CL 2 4 37</t>
  </si>
  <si>
    <t>4.919998</t>
  </si>
  <si>
    <t>-75.059701</t>
  </si>
  <si>
    <t>2562745</t>
  </si>
  <si>
    <t>3125853562</t>
  </si>
  <si>
    <t xml:space="preserve"> CL 4 8/12 CENTRO</t>
  </si>
  <si>
    <t>4.9222915</t>
  </si>
  <si>
    <t>-75.0623878</t>
  </si>
  <si>
    <t>3204231935</t>
  </si>
  <si>
    <t>MZ 13 CASA 16,BRR PROTECHO</t>
  </si>
  <si>
    <t>4.9224602</t>
  </si>
  <si>
    <t>-75.0642244</t>
  </si>
  <si>
    <t>3223755718</t>
  </si>
  <si>
    <t>CR 11 # 2-17,LAS BRISAS</t>
  </si>
  <si>
    <t>4.920687</t>
  </si>
  <si>
    <t>-75.065458</t>
  </si>
  <si>
    <t>2560155</t>
  </si>
  <si>
    <t>3112622833</t>
  </si>
  <si>
    <t xml:space="preserve"> CR 5  2A 65</t>
  </si>
  <si>
    <t>4.921322</t>
  </si>
  <si>
    <t>-75.060144</t>
  </si>
  <si>
    <t>3204361404</t>
  </si>
  <si>
    <t>CR 22 6 60,CENTRO</t>
  </si>
  <si>
    <t>4.2057650</t>
  </si>
  <si>
    <t>-74.6409983</t>
  </si>
  <si>
    <t>MELGAR</t>
  </si>
  <si>
    <t>3209482690</t>
  </si>
  <si>
    <t>CL 1 CARRERA 28 A 09,CENTRO</t>
  </si>
  <si>
    <t>4.204151</t>
  </si>
  <si>
    <t>-74.647925</t>
  </si>
  <si>
    <t>3203656977</t>
  </si>
  <si>
    <t>AV KM3 VÍA MELGAR - BOGOTÁ LOCAL 9,VEREDA SAN JOSE DE LA COLORADA</t>
  </si>
  <si>
    <t>4.2281996</t>
  </si>
  <si>
    <t>-74.6207214</t>
  </si>
  <si>
    <t>3164187967</t>
  </si>
  <si>
    <t>CL 7 51 105 LC 2,CENTRO</t>
  </si>
  <si>
    <t>4.1962339</t>
  </si>
  <si>
    <t>-74.6544059</t>
  </si>
  <si>
    <t>3214801091</t>
  </si>
  <si>
    <t>CL 12 12 A 116,ICACAL</t>
  </si>
  <si>
    <t>4.2050535</t>
  </si>
  <si>
    <t>-74.6305718</t>
  </si>
  <si>
    <t>3208120512</t>
  </si>
  <si>
    <t xml:space="preserve"> CR 2 2 69 DOIMA</t>
  </si>
  <si>
    <t>4.538376</t>
  </si>
  <si>
    <t xml:space="preserve">-74.880725 </t>
  </si>
  <si>
    <t>PIEDRAS</t>
  </si>
  <si>
    <t>3127247900</t>
  </si>
  <si>
    <t>3217247900</t>
  </si>
  <si>
    <t>CR 5  12 - 35 ESQUINA CGT COSTA RICA</t>
  </si>
  <si>
    <t>3.75292</t>
  </si>
  <si>
    <t>-76.23257</t>
  </si>
  <si>
    <t>3104623009</t>
  </si>
  <si>
    <t>3148277681</t>
  </si>
  <si>
    <t>CL 7 NRO. 2 - 29,CENTRO</t>
  </si>
  <si>
    <t>3.7249602934045174</t>
  </si>
  <si>
    <t>-76.26735556913701</t>
  </si>
  <si>
    <t>3003142098</t>
  </si>
  <si>
    <t>CL 20E 73 48 BELLO,PARÍS BELLO</t>
  </si>
  <si>
    <t>6.3116137</t>
  </si>
  <si>
    <t>-75.5798734</t>
  </si>
  <si>
    <t>5847888</t>
  </si>
  <si>
    <t>3102331115</t>
  </si>
  <si>
    <t>AV 7   # 5 - 05</t>
  </si>
  <si>
    <t>7.9107157</t>
  </si>
  <si>
    <t>-72.4755304</t>
  </si>
  <si>
    <t>5946671</t>
  </si>
  <si>
    <t>3123894541</t>
  </si>
  <si>
    <t>CL 21 BN 4 07,TASAJERO</t>
  </si>
  <si>
    <t>7.92008372</t>
  </si>
  <si>
    <t>-72.49255652</t>
  </si>
  <si>
    <t>5493832</t>
  </si>
  <si>
    <t>3026879065</t>
  </si>
  <si>
    <t>3232931679</t>
  </si>
  <si>
    <t xml:space="preserve"> CL 9 B NORTE 15 E 07 PROCERES</t>
  </si>
  <si>
    <t>7.910404</t>
  </si>
  <si>
    <t>-72.487098</t>
  </si>
  <si>
    <t>3144323583</t>
  </si>
  <si>
    <t>3214558645</t>
  </si>
  <si>
    <t xml:space="preserve"> AV 2 35 A 30 LT 14 LC 2</t>
  </si>
  <si>
    <t>7.947274</t>
  </si>
  <si>
    <t>-72.501731</t>
  </si>
  <si>
    <t>5782273</t>
  </si>
  <si>
    <t>3182446289</t>
  </si>
  <si>
    <t>3024589754</t>
  </si>
  <si>
    <t>AV 5      5 A N 37 local 1 Barrio colpet</t>
  </si>
  <si>
    <t>7.9043448</t>
  </si>
  <si>
    <t>-72.5028915</t>
  </si>
  <si>
    <t xml:space="preserve"> CL 1 1  04</t>
  </si>
  <si>
    <t>7.947240</t>
  </si>
  <si>
    <t>-72.505340</t>
  </si>
  <si>
    <t>5710905</t>
  </si>
  <si>
    <t>3166735198</t>
  </si>
  <si>
    <t xml:space="preserve"> AV 6 9 72 CE MAEACAY LC 37</t>
  </si>
  <si>
    <t>7.8869282</t>
  </si>
  <si>
    <t>-72.5052398</t>
  </si>
  <si>
    <t>3013739987</t>
  </si>
  <si>
    <t xml:space="preserve"> AV 5 8 89 CE RIVER PLAZA II OF 254</t>
  </si>
  <si>
    <t>7.8882188</t>
  </si>
  <si>
    <t>-72.5038491</t>
  </si>
  <si>
    <t>5834901</t>
  </si>
  <si>
    <t>3023557239</t>
  </si>
  <si>
    <t xml:space="preserve"> CL 9 A 52 CE RIVER PLAZA</t>
  </si>
  <si>
    <t>7.8882246</t>
  </si>
  <si>
    <t>-72.5038611</t>
  </si>
  <si>
    <t>5764082</t>
  </si>
  <si>
    <t>3103381153</t>
  </si>
  <si>
    <t xml:space="preserve"> CL 13 18 34</t>
  </si>
  <si>
    <t>7.8875580</t>
  </si>
  <si>
    <t>-72.4702897</t>
  </si>
  <si>
    <t>5747179</t>
  </si>
  <si>
    <t>3183895375</t>
  </si>
  <si>
    <t>AV 11 E  10N- 95 LC 1 GUAIMARAL</t>
  </si>
  <si>
    <t>7.910597</t>
  </si>
  <si>
    <t>-72.492782</t>
  </si>
  <si>
    <t>5874646</t>
  </si>
  <si>
    <t>3143436223</t>
  </si>
  <si>
    <t>3125255044</t>
  </si>
  <si>
    <t xml:space="preserve"> AV 7 A 17  24 KDX 2 2 1</t>
  </si>
  <si>
    <t>7.9168824</t>
  </si>
  <si>
    <t>-72.5030388</t>
  </si>
  <si>
    <t>3058212494</t>
  </si>
  <si>
    <t>3058122494</t>
  </si>
  <si>
    <t>CR 5 # 7 - 28,CENTRO</t>
  </si>
  <si>
    <t>4.543823</t>
  </si>
  <si>
    <t>-74.879816</t>
  </si>
  <si>
    <t>3185470186</t>
  </si>
  <si>
    <t>VRD PARADERO CHIPALO,MUNICIPIO DE PIEDRAS</t>
  </si>
  <si>
    <t>4.488728</t>
  </si>
  <si>
    <t>-74.974800</t>
  </si>
  <si>
    <t>3007832548</t>
  </si>
  <si>
    <t>CR 3 ENTRE CALLE 9 Y 10 ENTREDA,PEDREGAL</t>
  </si>
  <si>
    <t>4.5439380</t>
  </si>
  <si>
    <t>-74.8775338</t>
  </si>
  <si>
    <t>2237924</t>
  </si>
  <si>
    <t>3173188264</t>
  </si>
  <si>
    <t xml:space="preserve"> CR 12 5 01</t>
  </si>
  <si>
    <t>3.6825763</t>
  </si>
  <si>
    <t>-76.3129815</t>
  </si>
  <si>
    <t>3163190176</t>
  </si>
  <si>
    <t>CR 12 7 27,CENTRO</t>
  </si>
  <si>
    <t>3.6846653</t>
  </si>
  <si>
    <t>-76.3130816</t>
  </si>
  <si>
    <t>3229066042</t>
  </si>
  <si>
    <t>CL 4 C SUR 5 21 URB EL PORVENIR ,EL PORVENIR</t>
  </si>
  <si>
    <t>3.6768690</t>
  </si>
  <si>
    <t>-76.3073248</t>
  </si>
  <si>
    <t>3165383717</t>
  </si>
  <si>
    <t>CR 16 N 4 A -14</t>
  </si>
  <si>
    <t>4.7882909</t>
  </si>
  <si>
    <t>-71.3426823</t>
  </si>
  <si>
    <t>OROCUÉ</t>
  </si>
  <si>
    <t>3214889082</t>
  </si>
  <si>
    <t>CR 11 3 49</t>
  </si>
  <si>
    <t>4.7907529</t>
  </si>
  <si>
    <t>-71.3378834</t>
  </si>
  <si>
    <t>3142386913</t>
  </si>
  <si>
    <t>CL 4 H 10 - 04</t>
  </si>
  <si>
    <t>4.7907980</t>
  </si>
  <si>
    <t>-71.3453481</t>
  </si>
  <si>
    <t>3204487227</t>
  </si>
  <si>
    <t>VRD ALGARROBO - CALLE PRINCIPAL FRENTE AL COLEGIO,CRR ALGARROBO</t>
  </si>
  <si>
    <t>4.9989403</t>
  </si>
  <si>
    <t>-71.8860472</t>
  </si>
  <si>
    <t>3165350927</t>
  </si>
  <si>
    <t>CR 18 # 03,</t>
  </si>
  <si>
    <t>4.7851294</t>
  </si>
  <si>
    <t>-71.3436242</t>
  </si>
  <si>
    <t>3213728354</t>
  </si>
  <si>
    <t>DG 4 18 10,SAN GREGORIO</t>
  </si>
  <si>
    <t>4.7879299</t>
  </si>
  <si>
    <t>-71.3449457</t>
  </si>
  <si>
    <t>3022107763</t>
  </si>
  <si>
    <t>3148658891</t>
  </si>
  <si>
    <t>3146231211</t>
  </si>
  <si>
    <t>CL 50 50 54 LC 201,BELLO CENTRO</t>
  </si>
  <si>
    <t>6.3343399</t>
  </si>
  <si>
    <t>-75.5591372</t>
  </si>
  <si>
    <t>3113422262</t>
  </si>
  <si>
    <t>3208982165</t>
  </si>
  <si>
    <t>3242268778</t>
  </si>
  <si>
    <t>CR 50 49 38,CENTRO</t>
  </si>
  <si>
    <t>6.3341091</t>
  </si>
  <si>
    <t>-75.5584223</t>
  </si>
  <si>
    <t>3015918923</t>
  </si>
  <si>
    <t>3045749817</t>
  </si>
  <si>
    <t>AV 42 B 52 22,NIQUIA</t>
  </si>
  <si>
    <t>6.3375362</t>
  </si>
  <si>
    <t>-75.5497294</t>
  </si>
  <si>
    <t>3113118467</t>
  </si>
  <si>
    <t>3026941995</t>
  </si>
  <si>
    <t>CL 53 # 50 41,BELLO</t>
  </si>
  <si>
    <t>6.336826</t>
  </si>
  <si>
    <t>-75.559227</t>
  </si>
  <si>
    <t>3054675083</t>
  </si>
  <si>
    <t>3167692442</t>
  </si>
  <si>
    <t>CR 63 A 56 A 11,BELLO</t>
  </si>
  <si>
    <t>6.340732</t>
  </si>
  <si>
    <t>-75.568634</t>
  </si>
  <si>
    <t>6044582484</t>
  </si>
  <si>
    <t>3147308544</t>
  </si>
  <si>
    <t>3052148224</t>
  </si>
  <si>
    <t>DIAGONAL 67 31 150,BELLO</t>
  </si>
  <si>
    <t>6.3486164</t>
  </si>
  <si>
    <t>-75.5403286</t>
  </si>
  <si>
    <t>7280136</t>
  </si>
  <si>
    <t>5877877</t>
  </si>
  <si>
    <t>3204535448</t>
  </si>
  <si>
    <t>3023803376</t>
  </si>
  <si>
    <t xml:space="preserve"> URB TASAJERO LC T 118 A CUCUTA CUCUTA NORTE DE SANTANDER</t>
  </si>
  <si>
    <t>7.9256105</t>
  </si>
  <si>
    <t>-72.4932978</t>
  </si>
  <si>
    <t>5719904</t>
  </si>
  <si>
    <t>3164652724</t>
  </si>
  <si>
    <t xml:space="preserve"> AV 8 8 73</t>
  </si>
  <si>
    <t>7.8876863</t>
  </si>
  <si>
    <t>-72.5072762</t>
  </si>
  <si>
    <t>5711785</t>
  </si>
  <si>
    <t>3123155281</t>
  </si>
  <si>
    <t xml:space="preserve"> CL 11  8 25 CENTRO CUCUTA CUCUTA NORTE DE SANTANDER</t>
  </si>
  <si>
    <t>7.9163721</t>
  </si>
  <si>
    <t>-72.5062482</t>
  </si>
  <si>
    <t>5711186</t>
  </si>
  <si>
    <t>3150557465</t>
  </si>
  <si>
    <t xml:space="preserve"> CL 14 3 65 LC 103</t>
  </si>
  <si>
    <t>7.8831547</t>
  </si>
  <si>
    <t>-72.5016865</t>
  </si>
  <si>
    <t>5813531</t>
  </si>
  <si>
    <t>3134520346</t>
  </si>
  <si>
    <t xml:space="preserve"> MANZA R4 LT 14 ATALAYA CUCUTA CUCUTA NORTE DE SANTANDER</t>
  </si>
  <si>
    <t>7.9062769</t>
  </si>
  <si>
    <t>-72.5230070</t>
  </si>
  <si>
    <t>5781820 EXT 109</t>
  </si>
  <si>
    <t xml:space="preserve"> CL 1  1-89 CHAPINERO</t>
  </si>
  <si>
    <t>7.9073308</t>
  </si>
  <si>
    <t>-72.5122156</t>
  </si>
  <si>
    <t>5870164</t>
  </si>
  <si>
    <t xml:space="preserve"> CL 13 A 6 38</t>
  </si>
  <si>
    <t>7.9368497</t>
  </si>
  <si>
    <t>-72.5079312</t>
  </si>
  <si>
    <t>3321524</t>
  </si>
  <si>
    <t>3126774575</t>
  </si>
  <si>
    <t>3112319646</t>
  </si>
  <si>
    <t>BRR CENTRO LOGISTIC CR 2 NORTE 1 - 536</t>
  </si>
  <si>
    <t>4.830412</t>
  </si>
  <si>
    <t>-75.700359</t>
  </si>
  <si>
    <t>3302344</t>
  </si>
  <si>
    <t>3103957441</t>
  </si>
  <si>
    <t xml:space="preserve"> CL 21 16 54</t>
  </si>
  <si>
    <t>4.8277764</t>
  </si>
  <si>
    <t>-75.6800875</t>
  </si>
  <si>
    <t>3425090</t>
  </si>
  <si>
    <t>3136168603</t>
  </si>
  <si>
    <t>3226740157</t>
  </si>
  <si>
    <t xml:space="preserve"> CR 18 A 49 04 LC 3 LOS MOLIS</t>
  </si>
  <si>
    <t>4.8376567</t>
  </si>
  <si>
    <t>-75.6658314</t>
  </si>
  <si>
    <t>3128897153</t>
  </si>
  <si>
    <t>3225143188</t>
  </si>
  <si>
    <t>MZ 13 CA 31 BRR MIRADOR DE LA ESTANCIA</t>
  </si>
  <si>
    <t>4.8127349</t>
  </si>
  <si>
    <t>-75.6710123</t>
  </si>
  <si>
    <t>3233325768</t>
  </si>
  <si>
    <t>CR 8 A CL 15 107 LC 3 -ZONA INDUSTRIAL LA MACARENA ,ZONA INDUSTRIAL LA MACARENA</t>
  </si>
  <si>
    <t>4.8264699</t>
  </si>
  <si>
    <t>-75.6877634</t>
  </si>
  <si>
    <t>3113070691</t>
  </si>
  <si>
    <t>3125310162</t>
  </si>
  <si>
    <t>CL 4 C 18A 03,SAN GREGORIO</t>
  </si>
  <si>
    <t>4.7894094</t>
  </si>
  <si>
    <t>-71.3451631</t>
  </si>
  <si>
    <t>3212808223</t>
  </si>
  <si>
    <t>CR 16 14 83,PABLO VI</t>
  </si>
  <si>
    <t>1.2033065</t>
  </si>
  <si>
    <t>-76.9179787</t>
  </si>
  <si>
    <t>3164478041</t>
  </si>
  <si>
    <t>3214654385</t>
  </si>
  <si>
    <t>CRA 14 15 17 - LIBERTAD,LIBERTAD</t>
  </si>
  <si>
    <t>1.2018711</t>
  </si>
  <si>
    <t>-76.9165545</t>
  </si>
  <si>
    <t>3162079964</t>
  </si>
  <si>
    <t>3247065038</t>
  </si>
  <si>
    <t>CL 16 CR 9 1 BR FRAY BARTOLOME</t>
  </si>
  <si>
    <t>1.201016</t>
  </si>
  <si>
    <t>-76.912937</t>
  </si>
  <si>
    <t>5811828</t>
  </si>
  <si>
    <t>3207868023</t>
  </si>
  <si>
    <t xml:space="preserve"> CR 53 16B 03 MEDELLIN ANTIOQUIA</t>
  </si>
  <si>
    <t>6.2201006</t>
  </si>
  <si>
    <t>-75.5811931</t>
  </si>
  <si>
    <t>2573674</t>
  </si>
  <si>
    <t>3206138801</t>
  </si>
  <si>
    <t xml:space="preserve"> CL 71  65-100 CERRO EL VOLADOR</t>
  </si>
  <si>
    <t>6.2715329</t>
  </si>
  <si>
    <t>-75.5783462</t>
  </si>
  <si>
    <t>2167934</t>
  </si>
  <si>
    <t>3003755578</t>
  </si>
  <si>
    <t>CL 35 32 68</t>
  </si>
  <si>
    <t>6.232287</t>
  </si>
  <si>
    <t> -75.559123</t>
  </si>
  <si>
    <t>3146177152</t>
  </si>
  <si>
    <t>6045987814</t>
  </si>
  <si>
    <t>3135369255</t>
  </si>
  <si>
    <t>CARRERA 58 D 25 B 23,BELLO</t>
  </si>
  <si>
    <t>6.3153248</t>
  </si>
  <si>
    <t>-75.5668779</t>
  </si>
  <si>
    <t>3157533034</t>
  </si>
  <si>
    <t>3148888980</t>
  </si>
  <si>
    <t>DG 54 42 21,NIQUIA</t>
  </si>
  <si>
    <t>6.3384123</t>
  </si>
  <si>
    <t>-75.5483048</t>
  </si>
  <si>
    <t>3137494046</t>
  </si>
  <si>
    <t>CALLLE 32 CR 57 -104,LA FLORIDA</t>
  </si>
  <si>
    <t>6.319431</t>
  </si>
  <si>
    <t>-75.5636861</t>
  </si>
  <si>
    <t>3166657710</t>
  </si>
  <si>
    <t>3184094669</t>
  </si>
  <si>
    <t>CARRERA 49 47 75,PRADO</t>
  </si>
  <si>
    <t>6.3336891</t>
  </si>
  <si>
    <t>-75.5574128</t>
  </si>
  <si>
    <t>3163046724</t>
  </si>
  <si>
    <t>3163046729</t>
  </si>
  <si>
    <t>3113673258</t>
  </si>
  <si>
    <t>DIAGONAL 62 40A 18,NIQUIA</t>
  </si>
  <si>
    <t>6.3444070</t>
  </si>
  <si>
    <t>-75.5472513</t>
  </si>
  <si>
    <t>3214654851</t>
  </si>
  <si>
    <t>3157490616</t>
  </si>
  <si>
    <t>BRR LAURELES GALAXIA MAZANA 7A CA 4</t>
  </si>
  <si>
    <t>4.858864</t>
  </si>
  <si>
    <t>-75.659055</t>
  </si>
  <si>
    <t>3104712315</t>
  </si>
  <si>
    <t>3118087766</t>
  </si>
  <si>
    <t>3146654003</t>
  </si>
  <si>
    <t>CR 15 51 07 P 1 - LOS NARANJOS,LOS NARANJOS</t>
  </si>
  <si>
    <t>4.8404647</t>
  </si>
  <si>
    <t>-75.6669959</t>
  </si>
  <si>
    <t>3116295698</t>
  </si>
  <si>
    <t>3113580357</t>
  </si>
  <si>
    <t>CAMPESTRE A MZ 19 CS 2,CAMPESTRE A</t>
  </si>
  <si>
    <t>4.8324230</t>
  </si>
  <si>
    <t>-75.6827251</t>
  </si>
  <si>
    <t>3016326040</t>
  </si>
  <si>
    <t>3016326404</t>
  </si>
  <si>
    <t>3128077027</t>
  </si>
  <si>
    <t>MZ 6 CA 117 LC 1 BRR LOS LAGUITOS </t>
  </si>
  <si>
    <t>4.8252568</t>
  </si>
  <si>
    <t>-75.6661158</t>
  </si>
  <si>
    <t>3006301874</t>
  </si>
  <si>
    <t xml:space="preserve">CL 44 18 08 BARRIO SAN FERNANDO </t>
  </si>
  <si>
    <t>4.8361868</t>
  </si>
  <si>
    <t>-75.6671532</t>
  </si>
  <si>
    <t>3014744900</t>
  </si>
  <si>
    <t>DOSQUEBRADAS CAMPESTRE MZ 14 CA 28</t>
  </si>
  <si>
    <t>4.8301052</t>
  </si>
  <si>
    <t>-75.6844439</t>
  </si>
  <si>
    <t>3006909241</t>
  </si>
  <si>
    <t>3135726780</t>
  </si>
  <si>
    <t>CON RESIDENCIAL QUINTAS DE ARAGON LC 2,LA PLAYITA</t>
  </si>
  <si>
    <t>4.8458012</t>
  </si>
  <si>
    <t>-75.6721581</t>
  </si>
  <si>
    <t>3320391</t>
  </si>
  <si>
    <t>3168047030</t>
  </si>
  <si>
    <t>CR 8 BIS 15 109 BG 14A SEC SERVIENTREGA, CC PORTAL DEL SUR</t>
  </si>
  <si>
    <t>4.8263727</t>
  </si>
  <si>
    <t>-75.6860269</t>
  </si>
  <si>
    <t>Formulario</t>
  </si>
  <si>
    <t>Forma de atención</t>
  </si>
  <si>
    <t>Descripción de la Solución</t>
  </si>
  <si>
    <t>Estado</t>
  </si>
  <si>
    <t>CODIGO PUNTO DE SERVICIO</t>
  </si>
  <si>
    <t>Pinpad</t>
  </si>
  <si>
    <t>EXXON BARRIO ALTOS DE ROSALES FLORIDABLANCA</t>
  </si>
  <si>
    <t>BARRIO BUENOS AIRES V - MEDELLIN</t>
  </si>
  <si>
    <t>BARRIO LAGOS IV FLORIDABLANCA</t>
  </si>
  <si>
    <t>BARRIO HACIENDA SAN JUAN FLORIDABLANCA</t>
  </si>
  <si>
    <t>BARRIO NUEVO SOTOMAYOR II BUCARAMANGA</t>
  </si>
  <si>
    <t>BARRIO PATIO BONITO 13 BOGOTÁ</t>
  </si>
  <si>
    <t>BARRIO  CENTRO 28  BUCARAMANGA</t>
  </si>
  <si>
    <t>BARRIO TEJARES DE LA LOMA 1</t>
  </si>
  <si>
    <t>BARRIO SAN MATEO SOACHA 3</t>
  </si>
  <si>
    <t>BARRIO CENTRO BUCARAMANGA 14</t>
  </si>
  <si>
    <t>BARRIO 45078 BUCARAMANGA</t>
  </si>
  <si>
    <t>BARRIO SOACHA CIUDAD VERDE SOACHA 1</t>
  </si>
  <si>
    <t>BARRIO SOACHA LAS VEGAS SOACHA</t>
  </si>
  <si>
    <t>BARRIO EL RECREO SAN FELIX DOSQUEBRADAS</t>
  </si>
  <si>
    <t>BARRIO BOSA SAN MARTIN BOGOTA</t>
  </si>
  <si>
    <t>BARRIO HIPODROMO IBAGUE 6</t>
  </si>
  <si>
    <t>BARRIO JORDAN III ETAPA IBAGUE</t>
  </si>
  <si>
    <t>BARRIO RICAUTE BUCARAMANGA 2</t>
  </si>
  <si>
    <t>BARRIO SANTA BARBARA 1 BUCARAMANGA</t>
  </si>
  <si>
    <t>BARRIO BUCARAMANGA BUCARAMANGA 6</t>
  </si>
  <si>
    <t>BARRIO EL SALADO IBAGUE 8</t>
  </si>
  <si>
    <t>BARRIO SALOMIA CALI 5</t>
  </si>
  <si>
    <t>BARRIO AMBALA IBAGUE 11</t>
  </si>
  <si>
    <t>BARRIO CENTRO SINCELEJO 21</t>
  </si>
  <si>
    <t>BARRIO SOACHA SAN LUIS SOACHA</t>
  </si>
  <si>
    <t>BARRIO SAN VICENTE CALI  8</t>
  </si>
  <si>
    <t xml:space="preserve">SAN JUAN BOSCO 1 </t>
  </si>
  <si>
    <t>BARRIO EL PILAR PASTO 3</t>
  </si>
  <si>
    <t>SINCELEJO CUATRO VIENTOS</t>
  </si>
  <si>
    <t>BARRIO BOSA CALDAS BOGOTA</t>
  </si>
  <si>
    <t>BARRIO CAÑAVERAL FLORIDABLANCA 6</t>
  </si>
  <si>
    <t>BARRIO BELEN LA PALMA MEDELLIN  3</t>
  </si>
  <si>
    <t>BARRIO AV ARGELIA SINCELEJO</t>
  </si>
  <si>
    <t>BARRIO CANTACLARO MONTERIA 9</t>
  </si>
  <si>
    <t>BARRIO SAN MARTIN VILLA DEL ROSARIO  2</t>
  </si>
  <si>
    <t>cantidad equipos</t>
  </si>
  <si>
    <t>BARRIO CALATRAVA ITAGUI</t>
  </si>
  <si>
    <t>BARRIO PLAZA MAYORISTA ITAGUI  1</t>
  </si>
  <si>
    <t>BARRIO SAN JOSE ITAGUI  2</t>
  </si>
  <si>
    <t>BARRIO ITAGUI ITAGUI 28</t>
  </si>
  <si>
    <t>BARRIO ITAGUI SANTA MARIA ITAGUI 1</t>
  </si>
  <si>
    <t>SAMARIA ITAGUI ANTIOQUIA</t>
  </si>
  <si>
    <t>BARRIO ITAGUI ITAGUI 4</t>
  </si>
  <si>
    <t>BARRIO ITAGUI ITAGUI 8</t>
  </si>
  <si>
    <t>BARRIO SANTA MARIA MEDELLIN</t>
  </si>
  <si>
    <t>BARRIO SAMARIA ITAGUI 2</t>
  </si>
  <si>
    <t>BARRIO ASTURIAS ITAGUI</t>
  </si>
  <si>
    <t>BARRIO PARQUE ITAGUI 5</t>
  </si>
  <si>
    <t>BARRIO CENTRO ITAGUI 2</t>
  </si>
  <si>
    <t>BARRIO CALATRAVA V - ITAGÜÍ</t>
  </si>
  <si>
    <t>BARRIO PARQUE ITAGUI 2 - ITAGÜÍ</t>
  </si>
  <si>
    <t>BARRIO SIMON BOLIVAR  3 ITAGUI</t>
  </si>
  <si>
    <t>BARRIO SIMON BOLIVAR II ITAGUI</t>
  </si>
  <si>
    <t>BARRIO SAN PEDRO BARRANQUILLA</t>
  </si>
  <si>
    <t>BARRIO GALAN BARRANQUILLA  6</t>
  </si>
  <si>
    <t>BARRIO MERCEDES SUR BARRANQUILLA</t>
  </si>
  <si>
    <t>BARRIO CENTRO BARRANQUILLA  52</t>
  </si>
  <si>
    <t>BARRIO VILLANUEVA BARRANQUILLA 1</t>
  </si>
  <si>
    <t>BARRIO NUEVA GRANADA BARRANQUILLA 1</t>
  </si>
  <si>
    <t>BARRIO EVARISTO SOURDIS BARRANQUILLA</t>
  </si>
  <si>
    <t>BARRIO 7 DE ABRIL BARRANQUILLA 3</t>
  </si>
  <si>
    <t>BARRIO ALTOS DEL PRADO BARRANQUILLA</t>
  </si>
  <si>
    <t>BARRIO LAS MALVINAS BARRANQUILLA 3</t>
  </si>
  <si>
    <t>BARRIO LAS NIEVES BARRANQUILLA 5</t>
  </si>
  <si>
    <t>BARRIO CIUDADELA 20 DE JULIO  BARRANQUILLA</t>
  </si>
  <si>
    <t>BARRIO LAS NIEVES BARRANQUILLA  6</t>
  </si>
  <si>
    <t>BARRIO VILLANUEVA BARRANQUILLA</t>
  </si>
  <si>
    <t>BARRIO GALAN BARRANQUILLA 3</t>
  </si>
  <si>
    <t>BARRIO LA LUZ BARRANQUILLA  4</t>
  </si>
  <si>
    <t>BARRIO LA UNION BARRANQUILLA 2</t>
  </si>
  <si>
    <t>BARRIO CENTRO BARRANQUILLA 44</t>
  </si>
  <si>
    <t>BARRIO GALAN BARRANQUILLA 2</t>
  </si>
  <si>
    <t>BARRIO ZONA FRANCA BARRANQUILLA 1</t>
  </si>
  <si>
    <t>BARRIO VILLA SAN PEDRO BARRANQUILLA 1</t>
  </si>
  <si>
    <t>BARRIO CIUDADELA 20 DE JULIO BARRANQUILLA 10</t>
  </si>
  <si>
    <t>BARRIO LA QUINTA CARTAGENA DE INDIAS</t>
  </si>
  <si>
    <t>BARRIO MANGA CARTAGENA INDIAS</t>
  </si>
  <si>
    <t>NOBSA - BOYACA</t>
  </si>
  <si>
    <t>BARRIO JERONIMO HOLGUIN NOBSA</t>
  </si>
  <si>
    <t>BARRIO CENTRO NOBSA</t>
  </si>
  <si>
    <t>BARRIO BUENOS AIRES BARRANQUILLA 1</t>
  </si>
  <si>
    <t>BARRIO EL ROMANCE BARRANQUILLA</t>
  </si>
  <si>
    <t>BARRIO BETANIA BARRANQUILLA 1</t>
  </si>
  <si>
    <t>BARRIO LA MGADALENA BARRANQUILLA</t>
  </si>
  <si>
    <t>BARRIO CIUDADELA 20 DE JULIO BARRANQUILLA 8</t>
  </si>
  <si>
    <t>BARRIO DELICIAS BARRANQUILLA 2</t>
  </si>
  <si>
    <t>BARRIO CENTRO BARRANQUILLA 6</t>
  </si>
  <si>
    <t>BARRIO LAS GAVIOSTAS CARTAGENA DE INDIAS</t>
  </si>
  <si>
    <t>BARRIO TERMINAL DE TRANSPORTE CARTAGENA 1</t>
  </si>
  <si>
    <t>BARRIO CIUDADELA INDIA CATALINA CARTAGENA DE INDIAS 2</t>
  </si>
  <si>
    <t>BARRIO NUEVO BOSQUE CARTAGENA DE INDIAS 7</t>
  </si>
  <si>
    <t>BARRIO LAS AMERICAS BARRANQUILLA</t>
  </si>
  <si>
    <t>BARRIO BARRANQUILLITA 2 BARRANQUILLA</t>
  </si>
  <si>
    <t>BARRIO CEIBA BARRANQUILLA</t>
  </si>
  <si>
    <t>BARRIO LAS MORAS BARRANQUILLA</t>
  </si>
  <si>
    <t>BARRIO BETANIA LOS PATIOS</t>
  </si>
  <si>
    <t>BARRIO ONCE DE NOVIEMBRE LOS PATIOS 2</t>
  </si>
  <si>
    <t>BARRIO TIERRA LINDA LOS PATIOS 6</t>
  </si>
  <si>
    <t>BARRIO BOSQUE CARTAGENA DE INDIAS 3</t>
  </si>
  <si>
    <t>BARRIO TERNERA CARTAGENA DE INDIAS 1</t>
  </si>
  <si>
    <t>BARRIO TERNERA CARTGENA DE INDIAS</t>
  </si>
  <si>
    <t>BARRIO CENTRO GALAPA  5</t>
  </si>
  <si>
    <t>BARRIO VEREDA BUITREROS CUITIVA</t>
  </si>
  <si>
    <t>BARRIO LA CORDIALIDAD LOS PATIOS 9</t>
  </si>
  <si>
    <t xml:space="preserve">KILOMETRO 8 LOS PATIOS </t>
  </si>
  <si>
    <t>BARRIO ONCE DE NOVIEMBRE LOS PATIOS 7</t>
  </si>
  <si>
    <t>BARRIO CARACOLES CARTAGENA DE INDIAS</t>
  </si>
  <si>
    <t>BARRIO URB PALMA DE SALAMANCA SEC 2 CARTAGENA DE INDIAS</t>
  </si>
  <si>
    <t>BARRIO CAMPESTRE CARTAGENA DE INDIAS</t>
  </si>
  <si>
    <t>BARRIO CEBALLOS CARTAGENA DE INDIAS</t>
  </si>
  <si>
    <t>BARRIO TIERRA LINDA LOS PATIOS 2</t>
  </si>
  <si>
    <t>BARRIO PATIO CENTRO LOS PATIOS 1</t>
  </si>
  <si>
    <t xml:space="preserve">BARRIO URB PENSILVANIA LOS PATIOS </t>
  </si>
  <si>
    <t>BARRIO TASAJERO LOS PATIOS</t>
  </si>
  <si>
    <t>BARRIO DOCE DE OCTUBRE LOS PATIOS</t>
  </si>
  <si>
    <t>BARRIO CANAPOTE CARTAGENA DE INDIAS</t>
  </si>
  <si>
    <t>BARRIO BAZURTO CARTAGENA</t>
  </si>
  <si>
    <t>BARRIO BOSQUE 4 CARTAGENA DE INDIAS</t>
  </si>
  <si>
    <t>BARRIO CHILE</t>
  </si>
  <si>
    <t>BARRIO MANGA CARTAGENA DE INDIAS</t>
  </si>
  <si>
    <t>BARRIO BELLAVISTA - CARTAGENA DE INDIAS</t>
  </si>
  <si>
    <t>BARRIO VEREDA EL PIÑAL VIOTA</t>
  </si>
  <si>
    <t>BARRIO VIOTA VIOTA</t>
  </si>
  <si>
    <t>CENTRO VIOTÁ</t>
  </si>
  <si>
    <t>BARRIO PARCELA ZIPAQUIRA</t>
  </si>
  <si>
    <t xml:space="preserve">BARRIO ZIPAQUIRA ZIPAQUIRA </t>
  </si>
  <si>
    <t>BARRIO LAS PEÑITAS TUNJA</t>
  </si>
  <si>
    <t>BARRIO SAN FERNANDO DOSQUEBRADAS</t>
  </si>
  <si>
    <t>BARRIO LOS MOLINOS DOSQUEBRADAS</t>
  </si>
  <si>
    <t>BARRIO BALAIKA DOSQUEBRADAS</t>
  </si>
  <si>
    <t>BARRIO LA CAPILLA DOSQUEBRADAS</t>
  </si>
  <si>
    <t>BARRIO OTUN DOSQUEBRADAS 1</t>
  </si>
  <si>
    <t>BARRIO LA ROMELIA DOSQUEBRADAS 1</t>
  </si>
  <si>
    <t>BARRIO SAN MIGUEL CENTRO - COROZAL</t>
  </si>
  <si>
    <t>BARRIO PATIÑO AMARILES DOSQUEBRADAS</t>
  </si>
  <si>
    <t>BARRIO GUADULAES DOSQUEBRADAS 1</t>
  </si>
  <si>
    <t>BARRIO CENTRO JENESANO 4</t>
  </si>
  <si>
    <t>BARRIO CENTRO JENESANO 2</t>
  </si>
  <si>
    <t>BARRIO RETIRO DE LOS INDIOS CERETE</t>
  </si>
  <si>
    <t>BARRIO EL SOCORRO CERETE 3</t>
  </si>
  <si>
    <t>BARRIO CORREGIMIENTO RABOLARGO CERETE</t>
  </si>
  <si>
    <t>BARRIO CENTRO TAUSA</t>
  </si>
  <si>
    <t>BARRIO FRANCISCO DE PAULA EL ZULIA 1</t>
  </si>
  <si>
    <t>BARRIO BUCARAMANGA BUCARAMANGA  19</t>
  </si>
  <si>
    <t>BARRIO VIA BUCARAMANGA - GIRON BUCARAMANGA</t>
  </si>
  <si>
    <t>BARRIO LOMITAS VILLA DEL ROSARIO</t>
  </si>
  <si>
    <t>BARRIO BUCARAMANGA BUCARAMANGA 14</t>
  </si>
  <si>
    <t>BARRIO SAN FRANCISCO BUCARAMANGA 15</t>
  </si>
  <si>
    <t>BARRIO BUCARAMANGA BUCARAMANGA 17</t>
  </si>
  <si>
    <t>BARRIO MUTIS BUCARAMANGA 5</t>
  </si>
  <si>
    <t>BUCARAMANGA CHPRRERA DE DON JUAN</t>
  </si>
  <si>
    <t>BUCARAMANGA CAMPOHERMOSO</t>
  </si>
  <si>
    <t>BARRIO VILLA DEL ROSARIO LOMITAS</t>
  </si>
  <si>
    <t>BARRIO LOMITAS DEL TRAPICHE VILLA DEL ROSARIO</t>
  </si>
  <si>
    <t>BARRIO SANTANDER VILLA DEL ROSARIO  3</t>
  </si>
  <si>
    <t>BARRIO BELLAVISTA VILLA DEL ROSARIO  1</t>
  </si>
  <si>
    <t>BARRIO CENTRO VILLA DEL ROSARIO 4</t>
  </si>
  <si>
    <t>BARRIO EL PARAMO VILLA DEL ROSARIO</t>
  </si>
  <si>
    <t>BARRIO EL DINDAL CAPARRAPI</t>
  </si>
  <si>
    <t>BARRIO CENTRO CAPARRAPI 1</t>
  </si>
  <si>
    <t>BARRIO CENTRO CAPARRAPI 2</t>
  </si>
  <si>
    <t>BARRIO CENTRO PUERTO SALGAR 2</t>
  </si>
  <si>
    <t>BARRIO LA CONSOLATA  PUERTO SALGAR</t>
  </si>
  <si>
    <t>BARRIO VILLAS DEL NOGAL BUCARAMANGA</t>
  </si>
  <si>
    <t>BARRIO BOLIVAR BUCARAMANGA 3</t>
  </si>
  <si>
    <t>BARRIO PALMAS DEL NIZA BUCARAMANGA</t>
  </si>
  <si>
    <t>BARRIO SAN LUIS BUCARAMANGA</t>
  </si>
  <si>
    <t>BARRIO SANTANDER VILLA DEL ROSARIO 1</t>
  </si>
  <si>
    <t>BARRIO GRAMALOTE VILLA DEL ROSARIO 1</t>
  </si>
  <si>
    <t>BARRIO LA PARADA VILLA DEL ROSARIO 5</t>
  </si>
  <si>
    <t>BARRO EL PARAMO VILLA DEL ROSARIO</t>
  </si>
  <si>
    <t>BARRIO PROVENZA BUCARAMANGA 3</t>
  </si>
  <si>
    <t>BARRIO CABECERA BUCARAMANGA 5</t>
  </si>
  <si>
    <t>BARRIO SAN FRANCISCO BUCARAMANGA 1</t>
  </si>
  <si>
    <t>BARRIO RICAURTE BUCARAMANGA 2</t>
  </si>
  <si>
    <t>BARRIO CENTRO 3 BUCARAMANGA</t>
  </si>
  <si>
    <t xml:space="preserve">BARRIO EL ROCIO BUCARAMANGA   </t>
  </si>
  <si>
    <t>BARRIO ALARCON 2  BUCARAMANGA</t>
  </si>
  <si>
    <t xml:space="preserve">BARRIO CENTRO  25 - BUCARAMANGA </t>
  </si>
  <si>
    <t>BARRIO CENTRO EL CERRITO 3</t>
  </si>
  <si>
    <t>BARRIO CENTRO VILLAVICENCIO 27</t>
  </si>
  <si>
    <t>BARRIO CENTRO VILLAVICENCIO  29</t>
  </si>
  <si>
    <t>BARRIO SAN FRANCISCO - BUCARAMANGA</t>
  </si>
  <si>
    <t>COOPENESSA - GUARIN</t>
  </si>
  <si>
    <t xml:space="preserve">MATERIALES EMO - AG BUCARAMANGA </t>
  </si>
  <si>
    <t>BARRIO RINCON DE LA MARIA VILLAVICENCIO</t>
  </si>
  <si>
    <t>COELLO - TOLIMA</t>
  </si>
  <si>
    <t xml:space="preserve">CENTRO CORREGIMIENTO GUALANDAY </t>
  </si>
  <si>
    <t>BARRIO CENTRO CHOCONTA CHOCONTA</t>
  </si>
  <si>
    <t>BARRIO VERACRUZ CHOCONTA CHOCONTA</t>
  </si>
  <si>
    <t>BARRIO CENTRO CHOCONTA CHOCONTA 1</t>
  </si>
  <si>
    <t>BARRIO CENTRO - CHOCONTA CHOCONTA</t>
  </si>
  <si>
    <t>BARRIO ESPERANZA 4 ETAPA VILLAVICENCIO</t>
  </si>
  <si>
    <t>VILLA GORGONA III</t>
  </si>
  <si>
    <t>BARRIO MANZANARES SECTOR 13  CANDELARIA</t>
  </si>
  <si>
    <t>BARRIO ARMANDO VASQUEZ CANDELARIA</t>
  </si>
  <si>
    <t>BARRIO CENTRO CHOCONTÁ</t>
  </si>
  <si>
    <t>BARRIO CENTRO CHOCONTÁ 1</t>
  </si>
  <si>
    <t>BARRIO CIUDADELA SAN ANTONIO VILLAVICENCIO 3</t>
  </si>
  <si>
    <t>BARRIO ANILLO VIAL LLANO ABASTO VILLAVICENCIO</t>
  </si>
  <si>
    <t>BARRIO ESTERO VILLAVICENCIO 10</t>
  </si>
  <si>
    <t>BARRIO BARZAL VILLAVICENCIO 13</t>
  </si>
  <si>
    <t>BARRIO EL REMANSO MOSQUERA</t>
  </si>
  <si>
    <t>BARRIO ANTONIO VILLAVICENCIO VILLAVICENCIO</t>
  </si>
  <si>
    <t>BARRIO CAUDAL VILLAVICENCIO</t>
  </si>
  <si>
    <t>BARRIO VILLA YENNY MOSQUERA</t>
  </si>
  <si>
    <t>BARRIO LOS MARCOAS VILLAVICENCIO</t>
  </si>
  <si>
    <t>BARRIO BALATA VILLAVICENCIO 2</t>
  </si>
  <si>
    <t>BARRIO ESPERANZA VILLAVICENCIO 4</t>
  </si>
  <si>
    <t>BARRIO VEINTE DE JULIO VILLAVICENCIO</t>
  </si>
  <si>
    <t>BARRIO KIRPAS VILLAVICENCIO 1</t>
  </si>
  <si>
    <t>VENECIA CUNDINAMARCA</t>
  </si>
  <si>
    <t>BARRIO CENTRO VENECIA</t>
  </si>
  <si>
    <t>BARRIO CORREGIMIENTTO DE APOSENTOS</t>
  </si>
  <si>
    <t>BARRIO LA UNION SOACHA</t>
  </si>
  <si>
    <t>BARRIO NOGAL VILLAVICENCIO</t>
  </si>
  <si>
    <t>BARRIO CENTRO VILLAVICENCIO 7</t>
  </si>
  <si>
    <t>BARRIO PORVENIR VILLAVICENCIO 3</t>
  </si>
  <si>
    <t>BARRIO VRD SAN BERNADRO BAJO LAS MERCEDES SASAIMA</t>
  </si>
  <si>
    <t>BARRIO CENTRO SASAIMA  3</t>
  </si>
  <si>
    <t>BARRIO MARANATA 1 SOACHA</t>
  </si>
  <si>
    <t>BARRIO HOGARES SOACHA 8</t>
  </si>
  <si>
    <t>SOACHA LEON XIII 2</t>
  </si>
  <si>
    <t>SOACHA LEON XIII SECTOR 2</t>
  </si>
  <si>
    <t>SAN MATEO SOACHA CUNDINAMARCA 1</t>
  </si>
  <si>
    <t>BARRIO ANILLO VIAL VILLAVICENCIO</t>
  </si>
  <si>
    <t>BARRIO BALATA VILLAVICENCIO 1</t>
  </si>
  <si>
    <t>BARRIO ANTONIO VILLAVICENCIO</t>
  </si>
  <si>
    <t>BARRIO OLÍMPICO VILLAVICENCIO</t>
  </si>
  <si>
    <t>BARRIO ESPERANZA 7</t>
  </si>
  <si>
    <t>BARRIO CENTRO VILLAVICENCIO META 3</t>
  </si>
  <si>
    <t>BARRIO REMANSO VILLAVICENCIO 1</t>
  </si>
  <si>
    <t>BARRIO HACARITAMA 2 VILLAVICENCIO</t>
  </si>
  <si>
    <t>BARRIO SAN MATEO SOACHA 21</t>
  </si>
  <si>
    <t>BARRIO EL TREBOL SOACHA SOACHA</t>
  </si>
  <si>
    <t>BARRIO CIUDAD VERDE SOACHA 7</t>
  </si>
  <si>
    <t>BARRIO CIUDAD VERDE SOACHA SOACHA</t>
  </si>
  <si>
    <t>BARRIO QUINTAS DE LAS ACACIAS VILLAVICENCIO</t>
  </si>
  <si>
    <t>BARRIO VILLA MELIDA 2 - VILLAVICENCIO</t>
  </si>
  <si>
    <t>BARRIO BARZAL 10</t>
  </si>
  <si>
    <t>BARRIO COOPERATIVO VILLAVICENCIO</t>
  </si>
  <si>
    <t>BARRIO GUATIQUIA VILLAVICENCIO</t>
  </si>
  <si>
    <t>BARRIO VILLA ORTIZ VILLAVICENCIO</t>
  </si>
  <si>
    <t>BARRIO SOACHA SOACHA 12</t>
  </si>
  <si>
    <t>BARRIO LEON XIII SOACHA 6</t>
  </si>
  <si>
    <t>BARRIO CENTRO VII- VILLAVICENCIO</t>
  </si>
  <si>
    <t>BARRIO SANANTONIO - VILLAVICENCIO</t>
  </si>
  <si>
    <t>BARRIO CAMILO TORRES GRANADA 9</t>
  </si>
  <si>
    <t>BARRIO OLIVOS III SECTOR SOACHA</t>
  </si>
  <si>
    <t>SECTOR PEDREGAL CHACHAGÜÍ</t>
  </si>
  <si>
    <t>CENTRO CHACHAGUI NARIÑO</t>
  </si>
  <si>
    <t>BARRIO CEIBA</t>
  </si>
  <si>
    <t>BARRIO PARQUE BOLIVAR CONTADADERO</t>
  </si>
  <si>
    <t>BARRIO GUAIMARAL CUCUTA 10</t>
  </si>
  <si>
    <t>BARRIO BOCONO CUCUTA 2</t>
  </si>
  <si>
    <t>BARRIO BELEN CUCUTA 7</t>
  </si>
  <si>
    <t>BARRIO PRADOS DEL NORTE CUCUTA 4</t>
  </si>
  <si>
    <t>BARRIO SAN RAFAEL CUCUTA  5</t>
  </si>
  <si>
    <t>BARRIO PARAMO CUCUTA 3</t>
  </si>
  <si>
    <t>BARRIO CENTRO 2 SÁCHICA</t>
  </si>
  <si>
    <t>BARRIO CENTRO SACHICA 1</t>
  </si>
  <si>
    <t xml:space="preserve"> BARRIO VDA TIBAQUIRA   </t>
  </si>
  <si>
    <t>BARRIO VERDA SALAMANCA SAMACA</t>
  </si>
  <si>
    <t>BARRIO CENTRO SAMACA 6</t>
  </si>
  <si>
    <t>BARRIO CENTRO TUTA 3</t>
  </si>
  <si>
    <t>BARRIO VEREDA RIO DE PIEDRAS TUTA</t>
  </si>
  <si>
    <t>BARRIO SAN LUIS CUCUTA 27</t>
  </si>
  <si>
    <t>SECTOR NOGALES</t>
  </si>
  <si>
    <t>BARRIO LA LIBERTAD CUCUTA 22</t>
  </si>
  <si>
    <t>BARRIO CALLEJON CUCUTA 15</t>
  </si>
  <si>
    <t>BARRIO SIMÓN BOLÍVAR - SOGAMOSO</t>
  </si>
  <si>
    <t>BARRIO UNIVERSITARIO SOGAMOSO 7</t>
  </si>
  <si>
    <t>BARRIO EL LAGUITO SOGAMOSO 3</t>
  </si>
  <si>
    <t>BARRIO ALFONSO LOPEZ CUCUTA 7</t>
  </si>
  <si>
    <t>BARRIO SAN LUIS CUCUTA 28</t>
  </si>
  <si>
    <t>SEVILLA CUCUTA 3</t>
  </si>
  <si>
    <t>BARRIO NUEVO HORIZONTE CUCUTA 3</t>
  </si>
  <si>
    <t>BARRIO SAN RAFAEL SOGAMOSO</t>
  </si>
  <si>
    <t>BARRIO EL LAGUITO SOGAMOSO 4</t>
  </si>
  <si>
    <t>BARRIO GUSTAVO JIMENEZ SOGAMOSO 1</t>
  </si>
  <si>
    <t>BARRIO UNIVERSITARIO SOGAMOSO 2</t>
  </si>
  <si>
    <t>BARRIO RAFAEL NUÑEZ CUCUTA 1</t>
  </si>
  <si>
    <t>BARRIO EL LLANO CUCUTA 13</t>
  </si>
  <si>
    <t xml:space="preserve">BARRIO LA NUEVA SEXTA CUCUTA </t>
  </si>
  <si>
    <t>BARRIO URB PRADOS DEL NORTE CUCUTA 10</t>
  </si>
  <si>
    <t>BARRIO URB SAN MARTIN CUCUTA</t>
  </si>
  <si>
    <t>BARRIO SAN MARTIN CUCUTA 3</t>
  </si>
  <si>
    <t>BARRIO SANTANDER CUCUTA 2</t>
  </si>
  <si>
    <t>BARRIO EL SOCORRO BUESACO 1</t>
  </si>
  <si>
    <t>BARRIO CALLE LA CRUZ FILANDIA</t>
  </si>
  <si>
    <t>BARRIO SIMON BOLIVAR SOGAMOSO</t>
  </si>
  <si>
    <t>BARRIO CENTRO XIII - SOGAMOSO</t>
  </si>
  <si>
    <t>BARRIO CENTRO TINJACA 3</t>
  </si>
  <si>
    <t>BARRIO CENTRO TINJACA 4</t>
  </si>
  <si>
    <t>BARRIO PLAYA BLANCA TOTA</t>
  </si>
  <si>
    <t>BARRIO CENTRO CHINCHINA 2</t>
  </si>
  <si>
    <t>BARRIO CENTRO CHINCHINA</t>
  </si>
  <si>
    <t>BARRIO CHINCHINA CHINCHINA</t>
  </si>
  <si>
    <t>BARRIO URB PRADOS DEL NORTE CUCUTA 9</t>
  </si>
  <si>
    <t>BARRIO CENTRO IV - SEVILLA</t>
  </si>
  <si>
    <t>BARRIO CONSOLATA FLORENCIA  6</t>
  </si>
  <si>
    <t>BARRIO VALLESTER CUCUTA</t>
  </si>
  <si>
    <t>BARRIO TRIGAL DEL NORTE CUCUTA 5</t>
  </si>
  <si>
    <t>BARRIO DOÑA NIDIA CUCUTA 2</t>
  </si>
  <si>
    <t>BARRIO NUEVO HORIZONTE CUCUTA 1</t>
  </si>
  <si>
    <t>BARRIO QUINTA ORIENTAL CUCUTA 9</t>
  </si>
  <si>
    <t>BARRIO LA PLAYA CUCUTA 9</t>
  </si>
  <si>
    <t>BARRIO GUAYABAL</t>
  </si>
  <si>
    <t>BARRIO GUAYABAL MEDELLIN  13</t>
  </si>
  <si>
    <t>BARRIO NIÑA CECI CUCUTA 4</t>
  </si>
  <si>
    <t>BARRIO ALONSITO CUCUTA</t>
  </si>
  <si>
    <t>BARRIO AEROPUERTO CUCUTA 9</t>
  </si>
  <si>
    <t>BARRIO RAFAEL NUÑEZ CUCUTA</t>
  </si>
  <si>
    <t>BARRIO MOTILONES CUCUTA 10</t>
  </si>
  <si>
    <t>BARRIO AEROPUERTO CUCUTA 8</t>
  </si>
  <si>
    <t>BARRIO MINUTO DE  DIOS CUCUTA</t>
  </si>
  <si>
    <t>BARRIO LAS AMERICAS IV POPAYAN</t>
  </si>
  <si>
    <t>BARRIO ANDA LUCIA LA FRANCIA MEDELLIN</t>
  </si>
  <si>
    <t>BARRIO VILLA HERMOSA MEDELLIN  4</t>
  </si>
  <si>
    <t>BARRIO PARAMO CUCUTA 2</t>
  </si>
  <si>
    <t>BARRIO MARIA GRACIA CUCUTA 1</t>
  </si>
  <si>
    <t>BARRIO URB CEIBA II CUCUTA 2</t>
  </si>
  <si>
    <t>BARRIO CENTRO CUCUTA 10</t>
  </si>
  <si>
    <t>BARRIO LA LIBERTAD CUCUTA 9</t>
  </si>
  <si>
    <t>BARRIO LA RIVIERA CUCUTA 2</t>
  </si>
  <si>
    <t>BARRIO ENCISO MEDELLIN 20</t>
  </si>
  <si>
    <t>BARRIO EL LLANO CUCUTA 9</t>
  </si>
  <si>
    <t>BARRIO EL CENTRO CUCUTA 43</t>
  </si>
  <si>
    <t>BARRIO EL ESCOBAL CUCUTA 2</t>
  </si>
  <si>
    <t>BARRIO URB GARCIA HERREROS I CUCUTA 1</t>
  </si>
  <si>
    <t>BARRIO URB TORCOROMA III CUCUTA</t>
  </si>
  <si>
    <t>BARRIO PASAJE COMERC LA BOLSA  MEDELLIN</t>
  </si>
  <si>
    <t>BARRIO ENCISO MEDELLIN 19</t>
  </si>
  <si>
    <t>MEDELLON LA MILAGROSA</t>
  </si>
  <si>
    <t>BARRIO BELEN RINCON 1</t>
  </si>
  <si>
    <t>ARANJUEZ MEDELLIN ANTIOQUIA</t>
  </si>
  <si>
    <t>BARRIO NIÑA CECI CUCUTA 2</t>
  </si>
  <si>
    <t>BARRIO EL CENTRO CUCUTA 24</t>
  </si>
  <si>
    <t>BARRIO EL CENTRO CUCUTA 20</t>
  </si>
  <si>
    <t>BARRIO EL CENTRO CUCUTA 22</t>
  </si>
  <si>
    <t>BARRIO EL CENTRO CUCUTA 23</t>
  </si>
  <si>
    <t>BARRIO CONDOMINIO PARQUE REAL CUCUTA</t>
  </si>
  <si>
    <t>BARRIO AGUAS CALIENTES CUCUTA 1</t>
  </si>
  <si>
    <t>BARRIO LA LIBERTAD CUCUTA 5</t>
  </si>
  <si>
    <t>BARRIO SAN RAFAEL CUCUTA</t>
  </si>
  <si>
    <t>BARRIO LA PLAYA CUCUTA 2</t>
  </si>
  <si>
    <t>BARRIO CAOBOS CUCUTA 2</t>
  </si>
  <si>
    <t>BARRIO URB PLAYA CUCUTA</t>
  </si>
  <si>
    <t>BARRIO SAN MARTIN I CUCUTA</t>
  </si>
  <si>
    <t>BARRIO SN MARTIN I CUCUTA</t>
  </si>
  <si>
    <t>BARRIO CENTRO MEDELLIN 91</t>
  </si>
  <si>
    <t>BARRIO LATINO 7 CÚCUTA</t>
  </si>
  <si>
    <t>BARRIO LA PLAYA 13 CÚCUTA</t>
  </si>
  <si>
    <t>BARRIO URB GARCIA HERREROS I CUCUTA</t>
  </si>
  <si>
    <t>BARRIO PRADOS DEL ESTE CÚCUTA</t>
  </si>
  <si>
    <t>BARRIO LA CONCORDIA III - CÚCUTA</t>
  </si>
  <si>
    <t>ANSERMA IV CALDAS</t>
  </si>
  <si>
    <t>GALICIA ANSERMA - CALDAS</t>
  </si>
  <si>
    <t>BARRIO CENTRO ANSERMA 4</t>
  </si>
  <si>
    <t>BARRIO ENCISO MEDELLIN 16</t>
  </si>
  <si>
    <t>BARRIO CHUCHURUBI MONTERIA 6</t>
  </si>
  <si>
    <t>BARRIO SAN EDUARDO POPAYAN 3</t>
  </si>
  <si>
    <t>BARRIO LA PAMBA POPAYAN 1</t>
  </si>
  <si>
    <t>BARRIO VILLA DEL BOSQUE POPAYAN 1</t>
  </si>
  <si>
    <t>BARRIO CENTRO POPAYAN 16</t>
  </si>
  <si>
    <t>BARRIO VALENCIA POPAYAN 1</t>
  </si>
  <si>
    <t>BARRIO CENTRO POPAYAN 8</t>
  </si>
  <si>
    <t>BARRIO CENTRO MEDELLIN SECTOR HUECO MEDELLIN</t>
  </si>
  <si>
    <t>BARRIO MOGAMBO MONTERIA 11</t>
  </si>
  <si>
    <t>BARRIO VALLEJO MONTERIA  3</t>
  </si>
  <si>
    <t>BARRIO 	CGT EL SABANAL MONTERIA</t>
  </si>
  <si>
    <t>BARRIO LOS LAURELES MONTERIA 4</t>
  </si>
  <si>
    <t>BARRIO CAMILO TORRES MONTERIA 1</t>
  </si>
  <si>
    <t>BARRIO LA GRANJA MONTERIA 24</t>
  </si>
  <si>
    <t>BARRIO SANTANDER MONTERIA 1</t>
  </si>
  <si>
    <t>BARRIO LA FLORESTA MONTERIA 6</t>
  </si>
  <si>
    <t>BARRIO PABLO ESCOBAR MEDELLIN</t>
  </si>
  <si>
    <t>BARRIO CENTRO PUERTO TEJADA 6</t>
  </si>
  <si>
    <t>BARRIO URBANIZACION ELMORA MONTERIA</t>
  </si>
  <si>
    <t>BARRIO CENTRO MONTERIA 51</t>
  </si>
  <si>
    <t>CORDOBA MONTERIA</t>
  </si>
  <si>
    <t>MONTERIA VEREDA AGUAS NEGRAS</t>
  </si>
  <si>
    <t>BARRIO URBANIZACION PORTAL DE ALMERIA MONTERIA</t>
  </si>
  <si>
    <t>BARRIO LA JULIA MONTERIA 1</t>
  </si>
  <si>
    <t>LOS LAURELES MONTERIA 4</t>
  </si>
  <si>
    <t>BARRIO JUAN XXIII MONTERIA 6</t>
  </si>
  <si>
    <t>BARRIO CANTA CLARO MONTERIA 3</t>
  </si>
  <si>
    <t>BARRIO VILLA ROCIO MONTERIA</t>
  </si>
  <si>
    <t>BARRIO NUEVA ESPERANZA MONTERIA 1</t>
  </si>
  <si>
    <t>BARRIO ARANJUEZ MEDELLIN 9</t>
  </si>
  <si>
    <t>BARRIO GUAYABAL MEDELLIN 5</t>
  </si>
  <si>
    <t>GENOVA - QUINDIO</t>
  </si>
  <si>
    <t>BARRIO QUIMBAYA QUIMBAYA</t>
  </si>
  <si>
    <t>BARRIO LA CASTELLANA MONTERIA 8</t>
  </si>
  <si>
    <t>BARRIO PANZENU MONTERIA 1</t>
  </si>
  <si>
    <t>BARRIO RANCHO GRANDE MONTERIA 4</t>
  </si>
  <si>
    <t>BARRIO CANTACLARO MONTERIA 3</t>
  </si>
  <si>
    <t>BARRIO NUEVO HORIZONTE MONTERIA</t>
  </si>
  <si>
    <t>BARRIO EL PORTAL MONTERIA</t>
  </si>
  <si>
    <t>BARRIO CENTRO MEDELLIN 35</t>
  </si>
  <si>
    <t>BARRIO ENCISO MEDELLIN 8</t>
  </si>
  <si>
    <t>BARRIO BELEN PARQUE MEDELLIN</t>
  </si>
  <si>
    <t>BARRIO CAMPO ALEGRE MONTERIA 1</t>
  </si>
  <si>
    <t>BARRIO VILLA MELISA MONTERIA</t>
  </si>
  <si>
    <t>BARRIO TIMANCO NEIVA</t>
  </si>
  <si>
    <t>BARRIO AGUACATALA 3</t>
  </si>
  <si>
    <t>BARRIO CENTRO 3 MEDELLIN</t>
  </si>
  <si>
    <t xml:space="preserve">BARRIO MANRIQUE 18 - MEDELLÍN </t>
  </si>
  <si>
    <t>BARRIO CENTRO YUMBO 1</t>
  </si>
  <si>
    <t>BARRIO CENTRO NEIVA 32</t>
  </si>
  <si>
    <t>BARRIO QUIRINAL NEIVA 4</t>
  </si>
  <si>
    <t>BARRIO TEJARES DEL SUR NEIVA</t>
  </si>
  <si>
    <t>BARRIO NORTE NEIVA</t>
  </si>
  <si>
    <t>BARRIO CENTRO NEIVA 30</t>
  </si>
  <si>
    <t>BARRIO CENTRO NEIVA 29</t>
  </si>
  <si>
    <t>BARRIO ENCISO MEDELLIN</t>
  </si>
  <si>
    <t>LAS CABAÑAS III BELLO</t>
  </si>
  <si>
    <t xml:space="preserve">BARRIO LUIS IGNACIO ANDRADE NEIVA </t>
  </si>
  <si>
    <t>BARRIO EL CENTRO NEIVA 7</t>
  </si>
  <si>
    <t>BARRIO EDUARDO SANTOS NEIVA</t>
  </si>
  <si>
    <t>BARRIO LUIS CARLOS GALAN NEIVA 1</t>
  </si>
  <si>
    <t>BARRIO LUIS CARLOS GALAN 1 ETAPA NEIVA</t>
  </si>
  <si>
    <t>BARRIO NEIVA HUILA 2</t>
  </si>
  <si>
    <t>BARRIO MINUTO DE DIOS 4 ETAPA NEIVA</t>
  </si>
  <si>
    <t>MATERIALES EMO - MEDELLIN</t>
  </si>
  <si>
    <t>BARRIO JARDIN  1 NEIVA</t>
  </si>
  <si>
    <t>BARRIO CENTRO 2  NEIVA</t>
  </si>
  <si>
    <t>BARRIO GRANJAS IX - NEIVA</t>
  </si>
  <si>
    <t>BARRIO TIMANCO 1 NEIVA</t>
  </si>
  <si>
    <t>BARRIO GUAYABAL III MEDELLIN</t>
  </si>
  <si>
    <t>BARRIO CENTRO MADRID 4</t>
  </si>
  <si>
    <t>BARRIO LAS DELICIAS VALLEDUPAR 2</t>
  </si>
  <si>
    <t>BARRIO EL LIMONAR VALLEDUPAR</t>
  </si>
  <si>
    <t>BARRIO ENRIQUE PUPO VALLEDUPAR 1</t>
  </si>
  <si>
    <t>BARRIO SANTANA VALLEDUPAR</t>
  </si>
  <si>
    <t>BARRIO NIQUIA BELLO 16</t>
  </si>
  <si>
    <t>BARRIO LA SELVA BELLO 2</t>
  </si>
  <si>
    <t>BARRIO PARQUE PRINCIPAL BELLO 1</t>
  </si>
  <si>
    <t>BARRIO ARAUCARIAS 1 BELLO</t>
  </si>
  <si>
    <t>BARRIO CABAÑAS BELLO 8</t>
  </si>
  <si>
    <t>BARRIO NIQUIA BELLO 12</t>
  </si>
  <si>
    <t>BARRIO BELLA VISTA VALLEDUPAR 2</t>
  </si>
  <si>
    <t>BARRIO KENNEDY VALLEDUPAR 1</t>
  </si>
  <si>
    <t>BARRIO URBANIZACION MARIA VALERIA VALLEDUPAR</t>
  </si>
  <si>
    <t>BRR VILLA MIRIAN VALLEDUPAR</t>
  </si>
  <si>
    <t>BARRIO FRANCISCO DE PAULA SANTANDER VALLEDUPAR</t>
  </si>
  <si>
    <t>BARRIO DON CARMELO VALLEDUPAR 5</t>
  </si>
  <si>
    <t>BARRIO DONGOND VALLEDUPAR</t>
  </si>
  <si>
    <t>BARRIO LAS DELICIAS VALLEDUPAR 1</t>
  </si>
  <si>
    <t>BARRIO LA ESPERANZA VALLEDUPAR 7</t>
  </si>
  <si>
    <t>NUEVA ESPERANZA 2</t>
  </si>
  <si>
    <t>BARRIO LAS GRANJAS BELLO</t>
  </si>
  <si>
    <t>BARRIO CABAÑAS BELLO 4</t>
  </si>
  <si>
    <t>BARRIO CALLE PRINCIPAL BELLO 3</t>
  </si>
  <si>
    <t>BARRIO LOS FUNDADORES VALLEDUPAR 4</t>
  </si>
  <si>
    <t>BARRIO CENTRO VALLEDUPAR 24</t>
  </si>
  <si>
    <t xml:space="preserve"> BARRIO CENTRO VALLEDUPAR   20</t>
  </si>
  <si>
    <t>BARRIO DON ALBERTO VALLEDUPAR</t>
  </si>
  <si>
    <t>BARRIO LA GRANJA VALLEDUPAR 4</t>
  </si>
  <si>
    <t>BARRIO OBRERO III - VALLEDUPAR</t>
  </si>
  <si>
    <t>BARRIO LAS PALMAS NADRID MADRID</t>
  </si>
  <si>
    <t>BARRIO INSP SAN JUAN DEL LOZADA LA MACARENA</t>
  </si>
  <si>
    <t xml:space="preserve">BARRIO BELLO LA 2000 </t>
  </si>
  <si>
    <t>BARRIO VILLA DEL SOL BELLO</t>
  </si>
  <si>
    <t>BARRIO VALLE MESA - VALLEDUPAR</t>
  </si>
  <si>
    <t>BARRIO FUNDADORES IV VALLEDUPAR</t>
  </si>
  <si>
    <t>RISARALDA III - CALDAS</t>
  </si>
  <si>
    <t>BARRIO CALLE PRINCIPAL RISARALDA</t>
  </si>
  <si>
    <t>BARRIO CENTRO IV VILLAMARIA</t>
  </si>
  <si>
    <t>BARRIO LA PRADERA VILLAMARIA CALDAS</t>
  </si>
  <si>
    <t>BARRIO VILLA DIANA FUNZA</t>
  </si>
  <si>
    <t>BARRIO FUNZA FUNZA 2</t>
  </si>
  <si>
    <t>BARRIO PROVIVIENDA FUNZA</t>
  </si>
  <si>
    <t>BARRIO FUNZA FUNZA 1</t>
  </si>
  <si>
    <t>BARRIO CENTRO VILLA RICA 5</t>
  </si>
  <si>
    <t>BARRIO CENTRO LA MESA 2</t>
  </si>
  <si>
    <t>BARRIO VILLAS DEL NUEVO SIGLO LA MESA</t>
  </si>
  <si>
    <t>VEREDA SANTA ROSA 2 GUEPSA</t>
  </si>
  <si>
    <t>BARRIO CENTRO PIEDECUESTA 5</t>
  </si>
  <si>
    <t>BARRIO SAN RAFAEL PIEDECUESTA 3</t>
  </si>
  <si>
    <t>BARRIO HOYO GRANDE PIEDECUESTA</t>
  </si>
  <si>
    <t>BARRIO PINARES DE GRANADA PIEDECUESTA</t>
  </si>
  <si>
    <t>BARRIO OBRERO LA UNIO</t>
  </si>
  <si>
    <t>BARRIO VEREDA PLANADAS FINCA CAMPO VERDE PIEDECUESTA</t>
  </si>
  <si>
    <t xml:space="preserve">BARRIO SANTA ISABEL - PALMIRA </t>
  </si>
  <si>
    <t>BARRIO ALTAMIRA PALMIRA 3</t>
  </si>
  <si>
    <t>PALMIRA EL RECREO</t>
  </si>
  <si>
    <t>BARRIO LA ESPERANZA PALMIRA 1</t>
  </si>
  <si>
    <t>BARRIO NUEVO PALMIRA 1</t>
  </si>
  <si>
    <t>BARRIO BARRIO EL RECREO PALMIRA</t>
  </si>
  <si>
    <t>BARRIO LAS AMERICAS PALMIRA</t>
  </si>
  <si>
    <t>BARRIO CENTRO SANTANDER DE QUILICHAO 6</t>
  </si>
  <si>
    <t>BARRIO CENTRO SANTNADER DE QUILICHAO</t>
  </si>
  <si>
    <t>BARRIO LA MAGDALENA CORREGIMIENTO CASTILLA COYAIMA</t>
  </si>
  <si>
    <t>BARRIO VILLA LUCIA YOPAL 3</t>
  </si>
  <si>
    <t>BARRIO CORREGIMIENTO 1 LA CHAPARRERA YOPAL</t>
  </si>
  <si>
    <t>BARRIO NUEVO HABITAT II YOPAL</t>
  </si>
  <si>
    <t>BARRIO EL CENTRO YOPAL 1</t>
  </si>
  <si>
    <t>BARRIO PROVIVIENDA YOPAL</t>
  </si>
  <si>
    <t>BARRIO CASIMENA I YOPAL</t>
  </si>
  <si>
    <t>BARRIO CENTRO - BITUIMA</t>
  </si>
  <si>
    <t>BARRIO ESQUINA PARROQUIA BITUIMA</t>
  </si>
  <si>
    <t>BARRIO CENTRO COGUA 1</t>
  </si>
  <si>
    <t>BARRIO SUTATAUSA VRD PENAS DE BOQUERON</t>
  </si>
  <si>
    <t>SANTA ROSA DE VITERBO - BOYACA</t>
  </si>
  <si>
    <t>BARRIO CENTRO SANTA ROSA DE VITERBO 4</t>
  </si>
  <si>
    <t>BARRIO LA UNION SANTA ROSA DE VITERBO</t>
  </si>
  <si>
    <t>BARRIO CENTRO SANTA ROSA DE VITERBO 6</t>
  </si>
  <si>
    <t>BARRIO CENTRO SANTA ROSA DE VITERBO 9</t>
  </si>
  <si>
    <t>SOTAQUIRA EL RECUERDO</t>
  </si>
  <si>
    <t>BARRIO VEREDA BOSIGAS SOTAQUIRÁ</t>
  </si>
  <si>
    <t>BARRIO COMPRORIENTE TIBASOSA</t>
  </si>
  <si>
    <t>BARRIO COOMPRORIENTE TIBASOSA</t>
  </si>
  <si>
    <t>TIBASOSA VEREDA SANTA TERESA</t>
  </si>
  <si>
    <t>BARRIO EL PARAISO ALFEREZ REAL MANIZALES</t>
  </si>
  <si>
    <t>BARRIO ENEA MANIZALES 5</t>
  </si>
  <si>
    <t>BARRIO FATIMA MANIZALES 6</t>
  </si>
  <si>
    <t>BARRIO CHAPINERO MANIZALES</t>
  </si>
  <si>
    <t>BARRIO BOSQUE MANIZALES</t>
  </si>
  <si>
    <t>BARRIO ALTA SUIZA</t>
  </si>
  <si>
    <t>BARRIO AGUSTINOS MANIZALES</t>
  </si>
  <si>
    <t>BARRIO CENTRO MANIZALES 3</t>
  </si>
  <si>
    <t>BARRIO FATIMA MANIZALES</t>
  </si>
  <si>
    <t>BARRIO BLOQUES DE NORTE MANIZALES</t>
  </si>
  <si>
    <t>BARRIO EL CAMPIN II MANIZALES</t>
  </si>
  <si>
    <t>BARRIO SAN JUAN DEL LOSADA SAN VICENTE DEL CAGUAN</t>
  </si>
  <si>
    <t>BARRIO SAN JUAN DE LOZADA SAN VICENTE DEL CAGUAN</t>
  </si>
  <si>
    <t>BARRIO SAN JUAN DEL LOZADA SAN VICENTE DEL CAGUAN</t>
  </si>
  <si>
    <t>BARRIO SAN MARCOS</t>
  </si>
  <si>
    <t>BARRIO TINAJAS PEREIRA</t>
  </si>
  <si>
    <t>BARRIO CENTRO PEREIRA 54</t>
  </si>
  <si>
    <t>BARRIO CUBA PEREIRA 12</t>
  </si>
  <si>
    <t>BARRIO CUBA PEREIRA 11</t>
  </si>
  <si>
    <t>BARRIO CENTRO PEREIRA  49</t>
  </si>
  <si>
    <t>BARRIO CENTRO PEREIRA 46</t>
  </si>
  <si>
    <t>BARRIO CENTRO PEREIRA 36</t>
  </si>
  <si>
    <t>BARRIO CENTRO PEREIRA 4</t>
  </si>
  <si>
    <t>BARRIO SAN JORGE PEREIRA</t>
  </si>
  <si>
    <t>BARRIO LOS COMUNEROS PUENTE NACIONAL</t>
  </si>
  <si>
    <t>BARRIO CENTRO PUENTE NACIONAL 4</t>
  </si>
  <si>
    <t>BARRIO CENTRO PUENTE NACIONAL 1</t>
  </si>
  <si>
    <t>BARRIO CENTRO XX SINCELEJO</t>
  </si>
  <si>
    <t>BARRIO SAN CARLOS SINCELEJOS</t>
  </si>
  <si>
    <t>BARRIO AVENIDA OKALA SINCELEJO 1</t>
  </si>
  <si>
    <t>BARRIO CENTRO SINCELEJO 10</t>
  </si>
  <si>
    <t>BARRIO BOSTON SINCELEJO</t>
  </si>
  <si>
    <t>BARRIO EL CORTIJO SINCELEJO</t>
  </si>
  <si>
    <t>BARRIO BOSTON SINCELEJO 1</t>
  </si>
  <si>
    <t>BARRIO LA PALMA SINCELEJO</t>
  </si>
  <si>
    <t>BARRIO AVENIDA OCALA - SINCELEJO</t>
  </si>
  <si>
    <t>BARRIO LA GRANJA IBAGUE</t>
  </si>
  <si>
    <t>BARRIO VARSOVIA II IBAGUE</t>
  </si>
  <si>
    <t>BARRIO NUEVA CASTILLA SUPER IBAGUE</t>
  </si>
  <si>
    <t>BARRIO JARDIN SANTANDER IBAGUE  1</t>
  </si>
  <si>
    <t>BARRIO LA SAMARIA IBAGUE</t>
  </si>
  <si>
    <t>BARRIO FRANCIA IBAGUE</t>
  </si>
  <si>
    <t>BARRIO GRANDA IBAGUE</t>
  </si>
  <si>
    <t>BARRIO RICAURTE PARTE ALTA IBAGUE 2</t>
  </si>
  <si>
    <t>BARRIO CENTRO IBAGUE 47</t>
  </si>
  <si>
    <t>BARRIO CENTRO IBAGUE 46</t>
  </si>
  <si>
    <t>BARRIO SAN ANTONIO IBAGUE 1</t>
  </si>
  <si>
    <t>BARRIO LOS MARTIRES IBAGUE 4</t>
  </si>
  <si>
    <t>BARRIO URB VASCONIA IBAGUE</t>
  </si>
  <si>
    <t>BARRIO PRADERAS DE SANTA RITA IBAGUE 1</t>
  </si>
  <si>
    <t>BARRIO GALAN IBAGUE 1</t>
  </si>
  <si>
    <t>BARRIO KENNEDY IBAGUE</t>
  </si>
  <si>
    <t>BARRIO EL CARMEN IBAGUE 11</t>
  </si>
  <si>
    <t>BARRIO CENTRO IBAGUE 34</t>
  </si>
  <si>
    <t>BARRIO MODELIA I IBAGUE 1</t>
  </si>
  <si>
    <t>BARRIO LOS CEDROS</t>
  </si>
  <si>
    <t>BARRIO LAS FERIAS IBAGUE 1</t>
  </si>
  <si>
    <t>BARRIO ANCON IBAGUE 3</t>
  </si>
  <si>
    <t>BARRIO AMBALA IBAGUE 7</t>
  </si>
  <si>
    <t>BARIO PICALEÑA IBAGUE</t>
  </si>
  <si>
    <t>BARRIO RICAURTE PARTE BAJA IBAGUE 1</t>
  </si>
  <si>
    <t>BARRIO URBANIZACION SANTA ANA IBAGUE</t>
  </si>
  <si>
    <t>BARRIO AVENIDA PEDRO TAFUR IBAGUE</t>
  </si>
  <si>
    <t>BARRIO LA POLA IBAGUE 4</t>
  </si>
  <si>
    <t>BARRIO EL BUNDE IV IBAGUE</t>
  </si>
  <si>
    <t>BARRIO INTERLAKEN IBAGUE 2</t>
  </si>
  <si>
    <t>BARRIO VILLA MARLEN 2 IBAGUE</t>
  </si>
  <si>
    <t>BARRIO EL PAYASO IBAGUÉ</t>
  </si>
  <si>
    <t>BARRIO AMBALA II IBAGUE</t>
  </si>
  <si>
    <t>BARRIO URB PIEDRA PINTADA IBAGUE</t>
  </si>
  <si>
    <t>MATERIALES EMO - IBAGUE</t>
  </si>
  <si>
    <t>BARRIO JAZMIN TOLIMA</t>
  </si>
  <si>
    <t>BARRIO OTRO LOS CORDOBAS</t>
  </si>
  <si>
    <t>BARRIO VEREDA GALILEA COMUNIDAD 10</t>
  </si>
  <si>
    <t>BARRIO PLAYA SALGUERO SANTA MARTA</t>
  </si>
  <si>
    <t>BARRIO LOS LAURELES SANTA MARTA 1</t>
  </si>
  <si>
    <t>BARRIO MARIA EUGENIA SANTA MARTA  3</t>
  </si>
  <si>
    <t>BARRIO CIUDAD EQUIDAD SANTA MARTA 1</t>
  </si>
  <si>
    <t>BARRIO ALTOS DE SANTA MARTA SANTA MARTA 1</t>
  </si>
  <si>
    <t>BARRIO CENTRO SANTA MARTA 17</t>
  </si>
  <si>
    <t>BARRIO LIBANO 2000 SANTA MARTA</t>
  </si>
  <si>
    <t>BARRIO URBANIZACION ANDREA CAROLINA</t>
  </si>
  <si>
    <t>BARRIO EL DORADO PASTO</t>
  </si>
  <si>
    <t>BARRIO VILLA DEL SOL</t>
  </si>
  <si>
    <t>BARRIO PATIO BONITO II</t>
  </si>
  <si>
    <t>BARRIO FONTIBON VII BOGOTA</t>
  </si>
  <si>
    <t>BARRIO NORMANDIA XI BOGOTA</t>
  </si>
  <si>
    <t>BARRIO MOLINOS IV BOGOTA</t>
  </si>
  <si>
    <t>MATERIALES EMO II CALI</t>
  </si>
  <si>
    <t>BARRIO LA GLORIA VICTORIA BOGOTA</t>
  </si>
  <si>
    <t>BARRIO MUNICIPAL - CALI</t>
  </si>
  <si>
    <t>BARRIO LAGOS DE SUBA III BOGOTA</t>
  </si>
  <si>
    <t>BARRIO AURES - BOGOTÁ</t>
  </si>
  <si>
    <t>BARRIO SUBA XVII - BOGOTÁ</t>
  </si>
  <si>
    <t>BARRIO QUINTA PAREDES IV - BOGOTÁ</t>
  </si>
  <si>
    <t>BARRIO LA FELICIDAD - BOGOTÁ</t>
  </si>
  <si>
    <t>BARRIO SUBA XX - BOGOTÁ</t>
  </si>
  <si>
    <t>CANDELARIA LA NUEVA BOGOTÁ - CUNDINAMARCA</t>
  </si>
  <si>
    <t>SAN JOSÉ BOGOTÁ - CUNDINAMARCA</t>
  </si>
  <si>
    <t>BARRIO SUBA LISBOA BOGOTA</t>
  </si>
  <si>
    <t>BARRIO SAN NICOLAS VII - CALI</t>
  </si>
  <si>
    <t>BARRIO CALIMA VIII- CALI</t>
  </si>
  <si>
    <t>BARRIO CENTENARIO BOGOTA</t>
  </si>
  <si>
    <t>BARRIO SANTA HELENITA 3 BOGOTA</t>
  </si>
  <si>
    <t>BARRIO SUBA GAITANA BOGOTA 1</t>
  </si>
  <si>
    <t>BARRIO SUBA LOMBARDIA BOGOTA 1</t>
  </si>
  <si>
    <t>BARRIO LA ESTANCIA 2 BOGOTÁ</t>
  </si>
  <si>
    <t>BARRIO 7 DE AGOSTO 10 BOGOTÁ</t>
  </si>
  <si>
    <t>BARRIO SUBA ALCAPARROS  BOGOTÁ</t>
  </si>
  <si>
    <t>BARRIO CENTRO SAN NICOLAS CALI</t>
  </si>
  <si>
    <t>BARRIO CENTRO CALI 7</t>
  </si>
  <si>
    <t>BARRIO PERDOMO BOGOTA 6</t>
  </si>
  <si>
    <t>BARRIO PATIO BONITO BOGOTA 2</t>
  </si>
  <si>
    <t>BARRIO MARROQUIN 2 CALI</t>
  </si>
  <si>
    <t>BARRIO LAS PALMITAS BOGOTA</t>
  </si>
  <si>
    <t>BARRIO PATIO BONITO BOGOTA 3</t>
  </si>
  <si>
    <t>BARRIO SAN PABLO BOGOTA</t>
  </si>
  <si>
    <t>BARRIO SANTO DOMINGO CALI</t>
  </si>
  <si>
    <t>BARRIO PRADOS DEL NORTE CALI 1</t>
  </si>
  <si>
    <t>BARRIO EL SALITRE BOGOTA</t>
  </si>
  <si>
    <t>BARRIO BETANIA BOGOTA 1</t>
  </si>
  <si>
    <t>BARRIO CENTRO CALI 19</t>
  </si>
  <si>
    <t>BARRIO SALOMIA CALI 3</t>
  </si>
  <si>
    <t>BARRIO LA PRIMAVERA CALI  1</t>
  </si>
  <si>
    <t>BARRIO CONDADO DE CASTILLA BOGOTA</t>
  </si>
  <si>
    <t>BARRIO BOSA PIAMONTE BOGOTA 4</t>
  </si>
  <si>
    <t>BARRIO MONTE BLANCO BOGOTA  2</t>
  </si>
  <si>
    <t>BARRIO CHARCO AZUL CALI</t>
  </si>
  <si>
    <t>BARRIO VEREDA CASICASGO SUESCA</t>
  </si>
  <si>
    <t>BARRIO BAVARIA PRIMER SECTOR BOGOTA</t>
  </si>
  <si>
    <t>BARRIO MARIA PAZ BOGOTA 7</t>
  </si>
  <si>
    <t>BARRIO BOSA PIAMONTE BOGOTA 5</t>
  </si>
  <si>
    <t>BARRIO RIO NEGRO BOGOTA 4</t>
  </si>
  <si>
    <t>BARRIO BOSA BOGOTA 6</t>
  </si>
  <si>
    <t>BARRIO BOSA BOGOTA 7</t>
  </si>
  <si>
    <t>BARRIO CENTRO CALI 23</t>
  </si>
  <si>
    <t>BARRIO BOSA PORVENIR BOGOTA 2</t>
  </si>
  <si>
    <t>BARRIO BOSA CARLOS ALBAN BOGOTA 1</t>
  </si>
  <si>
    <t>BARRIO LAS GRANJAS BOGOTA</t>
  </si>
  <si>
    <t>BARRIO PRADOS DE SANTA BARBARA BOGOTA</t>
  </si>
  <si>
    <t>BARRIO AURES II BOGOTA 1</t>
  </si>
  <si>
    <t>BARRIO AMERICAS BOGOTA 4</t>
  </si>
  <si>
    <t>BARRIO MONTERREY BOGOTA</t>
  </si>
  <si>
    <t>BARRIO SANTA LIBRADA BOGOTA 6</t>
  </si>
  <si>
    <t>BARRIO FONTIBON ARABIA BOGOTA</t>
  </si>
  <si>
    <t>BARRIO PATIO BONITO BOGOTA 9</t>
  </si>
  <si>
    <t>BARRIO NUEVA ZELANDIA BOGOTA 3</t>
  </si>
  <si>
    <t>BARRIO DINDALITO BOGOTA 9</t>
  </si>
  <si>
    <t>BARRIO CORUÑA BOGOTA 1</t>
  </si>
  <si>
    <t>BARRIO SUBA BOGOTA 11</t>
  </si>
  <si>
    <t>BARRIO ENGATIVA BOGOTA 5</t>
  </si>
  <si>
    <t>BARRIO SAMPER MENDOZA BOGOTA</t>
  </si>
  <si>
    <t>BARRIO CENTRO CALI 28</t>
  </si>
  <si>
    <t>BARRIO SAN PEDRO LOS ROBLES FONTIBON BOGOTA</t>
  </si>
  <si>
    <t>BARRIO BOSA SANTA FE BOGOTA 3</t>
  </si>
  <si>
    <t>BARRIO SAN CIPRIANO BOGOTA 1</t>
  </si>
  <si>
    <t>BARRIO SAN ISIDRO BOGOTA 1</t>
  </si>
  <si>
    <t>BARRIO BOSA RECREO BOGOTA 4</t>
  </si>
  <si>
    <t>BARRIO BOSA CHICO BOGOTA</t>
  </si>
  <si>
    <t>BARRIO ISMAEL PERDOMO BOGOTA</t>
  </si>
  <si>
    <t>BARRIO SAN PASCUAL CALI 1</t>
  </si>
  <si>
    <t>BARRIO CIUDAD JARDIN BOGOTA 2</t>
  </si>
  <si>
    <t>BARRIO VILLA DE CASALOMA SOACHA SUESCA</t>
  </si>
  <si>
    <t>BARRIO BILBAO BOGOTA 1</t>
  </si>
  <si>
    <t>BARRIO JORDAN 1 BOGOTA</t>
  </si>
  <si>
    <t>BARRIO CHICO NORTE BOGOTA 3</t>
  </si>
  <si>
    <t>BARRIO LAGOS DE CASTILLA BOGOTA</t>
  </si>
  <si>
    <t>BARRIO CASTILLA BOGOTA 15</t>
  </si>
  <si>
    <t>BARRIO PUERTO RICO BOGOTA</t>
  </si>
  <si>
    <t>BARRIO BOSA BOGOTA 14</t>
  </si>
  <si>
    <t>BARRIO BOSA EL CORZO BOGOTA</t>
  </si>
  <si>
    <t>BARRIO GARCES NAVAS BOGOTA 1</t>
  </si>
  <si>
    <t>BARRIO LUIS CARLOS GALAN PASTO</t>
  </si>
  <si>
    <t>BARRIO TERRAZAS DE CHAPAL PASTO</t>
  </si>
  <si>
    <t>BARRIO AQUINE 1 PASTO</t>
  </si>
  <si>
    <t>BARRIO CENTRO PASTO 30</t>
  </si>
  <si>
    <t>BARRIO MORASURCO PASTO 1</t>
  </si>
  <si>
    <t>BARRIO SANTA MONICA PASTO 2</t>
  </si>
  <si>
    <t>BARRIO LA AURORA PASTO 2</t>
  </si>
  <si>
    <t>BARRIO AGUALONGO PASTO</t>
  </si>
  <si>
    <t>BARRIO PARQUE INFANTIL PASTO 1</t>
  </si>
  <si>
    <t>BARRIO CENTRO 59 PASTO</t>
  </si>
  <si>
    <t xml:space="preserve">BARRIO LAS VIOLETAS PASTO   </t>
  </si>
  <si>
    <t>BARRIO CENTENARIO 3 PASTO</t>
  </si>
  <si>
    <t>BARRIO GRANADA</t>
  </si>
  <si>
    <t>BARRIO AVENIDA BOYACA PASTO</t>
  </si>
  <si>
    <t>BARRIO PANAN IPIALES</t>
  </si>
  <si>
    <t>BARRIO CENTRO IPIALES 7</t>
  </si>
  <si>
    <t>BARRIO CENTRO IPIALES 6</t>
  </si>
  <si>
    <t>BARRIO CONJUNTO ALATAMIRA  3 FLORIDABLANCA</t>
  </si>
  <si>
    <t>BARRIO URBANIZACION VILLA CAMPESTRE FLORIDABLANCA</t>
  </si>
  <si>
    <t>BARRIO LA CUMBRE FLORIDABLANCA 7</t>
  </si>
  <si>
    <t>BARRIO OASIS FLORIDABLANCA 1</t>
  </si>
  <si>
    <t>BARRIO ALARES FLORIDABLANCA 1</t>
  </si>
  <si>
    <t>BARRIO CERROS DEL CAMPESTRE FLORIDABLANCA 1</t>
  </si>
  <si>
    <t>BARRIO BOSA NOVA BOGOTA 2</t>
  </si>
  <si>
    <t>BARRIO AURES BOGOTA 2</t>
  </si>
  <si>
    <t>BARRIO PANAMERICANO CALI</t>
  </si>
  <si>
    <t>BARRIO PERDOMO BOGOTA 11</t>
  </si>
  <si>
    <t>BARRIO BRITALIA NORTE BOGOTA 2</t>
  </si>
  <si>
    <t>BARRIO VILLA MAYOR BOGOTA 2</t>
  </si>
  <si>
    <t>BARRIO CENTRO CALI 34</t>
  </si>
  <si>
    <t>BARRIO SAN LUIS I CALI 2</t>
  </si>
  <si>
    <t>BARRIO DANUBIO AZUL BOGOTA 4</t>
  </si>
  <si>
    <t>BARRIO AURES BOGOTA 3</t>
  </si>
  <si>
    <t>BARRIO BOSA PORVENIR BOGOTA 7</t>
  </si>
  <si>
    <t>BARRIO SIMON BOLIVAR BOGOTA 5</t>
  </si>
  <si>
    <t>BARRIO RINCON BOGOTA 5</t>
  </si>
  <si>
    <t>BARRIO BOSA ATALAYAS BOGOTA 3</t>
  </si>
  <si>
    <t>BARRIO ALIRIO MORA BELTRAN CALI 1</t>
  </si>
  <si>
    <t>BARRIO CRISTOBAL COLON CALI 3</t>
  </si>
  <si>
    <t>BARRIO SAN CAYETANO CALI 2</t>
  </si>
  <si>
    <t>BARRIO BOSA CENTRO BOGOTA 4</t>
  </si>
  <si>
    <t>BARRIO ORQUIDEAS CALI</t>
  </si>
  <si>
    <t>BARRIO BILBAO BOGOTA 5</t>
  </si>
  <si>
    <t>BARRIO SUBA RINCON BOGOTA 14</t>
  </si>
  <si>
    <t>BARRIO LLERAS RESTREPO CALI</t>
  </si>
  <si>
    <t>BARRIO BILBAO BOGOTA 6</t>
  </si>
  <si>
    <t>BARRIO EL LISTON BOGOTA</t>
  </si>
  <si>
    <t>BARRIO POLICARPA BOGOTA 4</t>
  </si>
  <si>
    <t>BARRIO PORVENIR CALI</t>
  </si>
  <si>
    <t>BOSA CARBONEL BOGOTA 1</t>
  </si>
  <si>
    <t>BARRIO PATIO BONITO TIERRA BUENA BOGOTA</t>
  </si>
  <si>
    <t>ALIRIO MORA CALI</t>
  </si>
  <si>
    <t>BARRIO EL PARAISO CALI</t>
  </si>
  <si>
    <t>BARRIO OMAR TORRIJOS CALI 1</t>
  </si>
  <si>
    <t>BARRIO USAQUEN BOGOTA 4</t>
  </si>
  <si>
    <t xml:space="preserve">BARRRIO BONANZA BOGOTA </t>
  </si>
  <si>
    <t>BARRIO LA ESMERALDA BOGOTA 6</t>
  </si>
  <si>
    <t>BARRIO VERSALLES CALI 6</t>
  </si>
  <si>
    <t>BARRIO PATIO BONITO BOGOTA  24</t>
  </si>
  <si>
    <t>BARRIO PUENTE GRANDE FONTIBON</t>
  </si>
  <si>
    <t>CALI OBRERO</t>
  </si>
  <si>
    <t>CENTRO BOGOTA CUNDINAMARCA</t>
  </si>
  <si>
    <t>VALLE DEL CAUCA CALI</t>
  </si>
  <si>
    <t>BARRIO CRISTOBAL COLON CALI  4</t>
  </si>
  <si>
    <t>BARRIO GARCES NAVAS BOGOTA 5</t>
  </si>
  <si>
    <t>BARRIO PATIO BONITO 25</t>
  </si>
  <si>
    <t>BARRIO COMUNERO II CALI</t>
  </si>
  <si>
    <t>BARRIO AURES 2 BOGOTA 3</t>
  </si>
  <si>
    <t>CALI ALFONSO LOPEZ II</t>
  </si>
  <si>
    <t>BARRIO SAN ANTONIO CC PANAMA BOGOTA</t>
  </si>
  <si>
    <t>BARRIO PATIO BONITO 3 BOGOTA</t>
  </si>
  <si>
    <t>BARRIO VILLA ALSACIA BOGOTA 10</t>
  </si>
  <si>
    <t>BARRIO POLICARPA BOGOTA 5</t>
  </si>
  <si>
    <t>BARRIO MARCO FIDEL SUAREZ BOGOTA 2</t>
  </si>
  <si>
    <t>BARRIO ALAMOS BOGOTA 10</t>
  </si>
  <si>
    <t>BARRIO SAN JOSE SUR BOGOTA 2</t>
  </si>
  <si>
    <t>BARRIO LA BASE AEREA MARCO FIDEL SUAREZ CALI</t>
  </si>
  <si>
    <t>BARRIO PORVENIR BOGOTA 1</t>
  </si>
  <si>
    <t>BARRIO RICAURTE BOGOTA 11</t>
  </si>
  <si>
    <t>BARRIO VILLA COLOMBIA BOSA BOGOTA</t>
  </si>
  <si>
    <t>BARRIO GUABAL CALI 2</t>
  </si>
  <si>
    <t>BARRIO DEPARTAMENTAL CALI 1</t>
  </si>
  <si>
    <t>BARRIO PASO DEL COMERCIO CALI 2</t>
  </si>
  <si>
    <t>BARRIO CIUDAD CORDOBA CALI 8</t>
  </si>
  <si>
    <t>BARRIO ANDRES SANIN CALI  2</t>
  </si>
  <si>
    <t>BARRIO FONTIBON CENTRO BOGOTA 3</t>
  </si>
  <si>
    <t>BARRIO EL POPULAR CALI 2</t>
  </si>
  <si>
    <t>BARRIO LA INDEPENDENCIA CALI</t>
  </si>
  <si>
    <t>BARRIO PIO 12 KENNEDY BOGOTA</t>
  </si>
  <si>
    <t>BARRIO ALIRIO MORA BELTRAN CALI 2</t>
  </si>
  <si>
    <t>BARRIO MARCO FIDEL SUAREZ BOGOTA 5</t>
  </si>
  <si>
    <t>BARRIO VALVANERA  BOGOTA</t>
  </si>
  <si>
    <t>BARRIO PATIO BONITO BOGOTA 26</t>
  </si>
  <si>
    <t>BARRIO RICARDO BALCAZAR CALI 3</t>
  </si>
  <si>
    <t>BARRIO EL PONDAJE CALI  2</t>
  </si>
  <si>
    <t>BARRIO ALFONSO BONILLA ARAGON CALI 2</t>
  </si>
  <si>
    <t>BARRIO CIUDAD CORDOBA CALI 9</t>
  </si>
  <si>
    <t>3762974</t>
  </si>
  <si>
    <t>3147834317</t>
  </si>
  <si>
    <t>3209825116</t>
  </si>
  <si>
    <t xml:space="preserve"> CR 59A  57-04 CALATRAVA</t>
  </si>
  <si>
    <t>6.1796942</t>
  </si>
  <si>
    <t>-75.6092411</t>
  </si>
  <si>
    <t>2025-12-04</t>
  </si>
  <si>
    <t>3116351859</t>
  </si>
  <si>
    <t>3117912430</t>
  </si>
  <si>
    <t>3192876016</t>
  </si>
  <si>
    <t>CL 85 48 1 BL 8 LC 16,CENTRAL MAYORISTA DE ANTIOQUIA</t>
  </si>
  <si>
    <t>6.1891746</t>
  </si>
  <si>
    <t>-75.5914119</t>
  </si>
  <si>
    <t>2025-12-01</t>
  </si>
  <si>
    <t>3136046087</t>
  </si>
  <si>
    <t>3104251385</t>
  </si>
  <si>
    <t>CL 36 A 38 30,SAN JOSE</t>
  </si>
  <si>
    <t>6.1660099</t>
  </si>
  <si>
    <t>-75.6135985</t>
  </si>
  <si>
    <t>3117713940</t>
  </si>
  <si>
    <t>3208484493</t>
  </si>
  <si>
    <t>CR 50 85 153 LC 1,ITAGUI</t>
  </si>
  <si>
    <t>6.191957</t>
  </si>
  <si>
    <t xml:space="preserve"> -75.590091</t>
  </si>
  <si>
    <t>3192107219</t>
  </si>
  <si>
    <t>CALLE 31 50 C 37,ITAGÜÍ SANTAMARÍA</t>
  </si>
  <si>
    <t>6.1636230</t>
  </si>
  <si>
    <t>-75.6242027</t>
  </si>
  <si>
    <t>2776243</t>
  </si>
  <si>
    <t>3136143749</t>
  </si>
  <si>
    <t>CALLE 34 A 54 A 64,SAMARIA</t>
  </si>
  <si>
    <t>6.1679867</t>
  </si>
  <si>
    <t>-75.6245184</t>
  </si>
  <si>
    <t>2025-12-03</t>
  </si>
  <si>
    <t>4445499</t>
  </si>
  <si>
    <t>3108442514</t>
  </si>
  <si>
    <t>3103741199</t>
  </si>
  <si>
    <t>CL 72  42 - 33 LC 101 CE Capri Centro BRR La Esmeralda</t>
  </si>
  <si>
    <t>6.1790439</t>
  </si>
  <si>
    <t>-75.5930340</t>
  </si>
  <si>
    <t>3720051</t>
  </si>
  <si>
    <t>3002919589</t>
  </si>
  <si>
    <t>CL 49 48 52,ITAGUI</t>
  </si>
  <si>
    <t>6.1704157</t>
  </si>
  <si>
    <t>-75.6100435</t>
  </si>
  <si>
    <t>3195730489</t>
  </si>
  <si>
    <t>CR 52 D 68 16,SANTA MARÍA</t>
  </si>
  <si>
    <t>6.1828006</t>
  </si>
  <si>
    <t>-75.6000425</t>
  </si>
  <si>
    <t>3227815</t>
  </si>
  <si>
    <t>3218122144</t>
  </si>
  <si>
    <t>3217806471</t>
  </si>
  <si>
    <t xml:space="preserve"> CL 75 A A SUR 52 G 36</t>
  </si>
  <si>
    <t>6.1633840</t>
  </si>
  <si>
    <t>-75.6351319</t>
  </si>
  <si>
    <t>6125923</t>
  </si>
  <si>
    <t>3116266883</t>
  </si>
  <si>
    <t xml:space="preserve"> CL 47 48 13 ASTURIAS</t>
  </si>
  <si>
    <t>6.16951777</t>
  </si>
  <si>
    <t>-75.6110402</t>
  </si>
  <si>
    <t>2819792</t>
  </si>
  <si>
    <t>3015133808</t>
  </si>
  <si>
    <t xml:space="preserve"> CR 50 50 66 LC 124</t>
  </si>
  <si>
    <t>6.1719033</t>
  </si>
  <si>
    <t>-75.6090500</t>
  </si>
  <si>
    <t>4483995</t>
  </si>
  <si>
    <t>3117973595</t>
  </si>
  <si>
    <t xml:space="preserve"> CL 50 48 07</t>
  </si>
  <si>
    <t>6.17042333</t>
  </si>
  <si>
    <t>-75.60902</t>
  </si>
  <si>
    <t>3726203</t>
  </si>
  <si>
    <t>3223682116</t>
  </si>
  <si>
    <t>3106783282</t>
  </si>
  <si>
    <t xml:space="preserve"> CL 63  58DD-65</t>
  </si>
  <si>
    <t>6.1813630</t>
  </si>
  <si>
    <t>-75.6081392</t>
  </si>
  <si>
    <t>2772553</t>
  </si>
  <si>
    <t>3136866742</t>
  </si>
  <si>
    <t xml:space="preserve"> CL 50 50 35 OF 205</t>
  </si>
  <si>
    <t>6.17209933</t>
  </si>
  <si>
    <t>-75.60987801</t>
  </si>
  <si>
    <t>5962262</t>
  </si>
  <si>
    <t>3002069065</t>
  </si>
  <si>
    <t xml:space="preserve"> CR 45 A  63 32 ITAGUI ITAGUI ANTIOQUIA</t>
  </si>
  <si>
    <t>6.1773678</t>
  </si>
  <si>
    <t>-75.5982140</t>
  </si>
  <si>
    <t>5992099</t>
  </si>
  <si>
    <t>3116075486</t>
  </si>
  <si>
    <t xml:space="preserve"> CR 45 A 65 27 SIMON BOLIVAR</t>
  </si>
  <si>
    <t>6.1784909</t>
  </si>
  <si>
    <t>-75.5972578</t>
  </si>
  <si>
    <t>3168688837</t>
  </si>
  <si>
    <t>CR 6 LC1 # 102 -04</t>
  </si>
  <si>
    <t>10.9489988</t>
  </si>
  <si>
    <t>-74.8329493</t>
  </si>
  <si>
    <t>2025-12-05</t>
  </si>
  <si>
    <t>3022835339</t>
  </si>
  <si>
    <t>3015567707</t>
  </si>
  <si>
    <t>CR 2 39 - 50 P1,GALAN</t>
  </si>
  <si>
    <t>10.93495</t>
  </si>
  <si>
    <t>-74.79484</t>
  </si>
  <si>
    <t>3027089849</t>
  </si>
  <si>
    <t>3205770977</t>
  </si>
  <si>
    <t>CR 35 C 76 - 101,MERCEDES SUR</t>
  </si>
  <si>
    <t>10.98476</t>
  </si>
  <si>
    <t>-74.81783</t>
  </si>
  <si>
    <t>3002141697</t>
  </si>
  <si>
    <t>3023702967</t>
  </si>
  <si>
    <t>CL 40 41 - 83,CENTRO</t>
  </si>
  <si>
    <t>10.98167</t>
  </si>
  <si>
    <t>-74.78207</t>
  </si>
  <si>
    <t>3157119627</t>
  </si>
  <si>
    <t>3506423188</t>
  </si>
  <si>
    <t>3126652819</t>
  </si>
  <si>
    <t>CR 43 08 - 48,VILLANUEVA</t>
  </si>
  <si>
    <t>10.98165</t>
  </si>
  <si>
    <t>-74.77303</t>
  </si>
  <si>
    <t>3237879555</t>
  </si>
  <si>
    <t>CL 68 32 - 7,NUEVA GRANADA</t>
  </si>
  <si>
    <t>10.98102</t>
  </si>
  <si>
    <t>-74.80477</t>
  </si>
  <si>
    <t>3018014395</t>
  </si>
  <si>
    <t>3003610821</t>
  </si>
  <si>
    <t>CR 9 G 70 C - 55,EVARISTO SOURDIS</t>
  </si>
  <si>
    <t>10.95937</t>
  </si>
  <si>
    <t>-74.82014</t>
  </si>
  <si>
    <t>3245993871</t>
  </si>
  <si>
    <t>3002690327</t>
  </si>
  <si>
    <t>CL 51 B 7 SUR - 44,7 DE ABRIL</t>
  </si>
  <si>
    <t>10.92771</t>
  </si>
  <si>
    <t>-74.81407</t>
  </si>
  <si>
    <t>3017292085</t>
  </si>
  <si>
    <t>3245482276</t>
  </si>
  <si>
    <t>CR 53 75-87,ALTOS DEL PRADO</t>
  </si>
  <si>
    <t>11.0017917</t>
  </si>
  <si>
    <t>-74.8053730</t>
  </si>
  <si>
    <t>3104266711</t>
  </si>
  <si>
    <t>3004153169</t>
  </si>
  <si>
    <t>CL 99 C 9 E - 43,LAS MALVINAS</t>
  </si>
  <si>
    <t>10.95687</t>
  </si>
  <si>
    <t>-74.83266</t>
  </si>
  <si>
    <t>3008865988</t>
  </si>
  <si>
    <t>3004205276</t>
  </si>
  <si>
    <t>CL 26 21-27,LAS NIEVES</t>
  </si>
  <si>
    <t>10.95885</t>
  </si>
  <si>
    <t>-74.78160</t>
  </si>
  <si>
    <t>2025-12-02</t>
  </si>
  <si>
    <t>3013911818</t>
  </si>
  <si>
    <t>3008093515</t>
  </si>
  <si>
    <t>CL 45 D 01 F - 21,CIUDADELA 20 DE JULIO</t>
  </si>
  <si>
    <t>10.93235</t>
  </si>
  <si>
    <t>-74.80072</t>
  </si>
  <si>
    <t>3106669192</t>
  </si>
  <si>
    <t>3106700410</t>
  </si>
  <si>
    <t>CR 11 23-107,LAS NIEVES</t>
  </si>
  <si>
    <t>10.95023</t>
  </si>
  <si>
    <t>-74.77793</t>
  </si>
  <si>
    <t>3217799635</t>
  </si>
  <si>
    <t>3103795178</t>
  </si>
  <si>
    <t>CL 6 43 27,VILLANUEVA</t>
  </si>
  <si>
    <t>10.9822823</t>
  </si>
  <si>
    <t>-74.7701382</t>
  </si>
  <si>
    <t>3167482678</t>
  </si>
  <si>
    <t>CR 4 35 B 67,GALAN</t>
  </si>
  <si>
    <t>10.93878</t>
  </si>
  <si>
    <t>-74.79106</t>
  </si>
  <si>
    <t>3182432796</t>
  </si>
  <si>
    <t>3157222360</t>
  </si>
  <si>
    <t>CL 17 18 96,LA LUZ</t>
  </si>
  <si>
    <t>10.95725</t>
  </si>
  <si>
    <t>-74.77412</t>
  </si>
  <si>
    <t>1 AL 3O DE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</si>
</sst>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Gelion Thin"/>
    </font>
    <font>
      <b/>
      <sz val="10"/>
      <color theme="1"/>
      <name val="Gelion Thin"/>
    </font>
    <font>
      <sz val="10"/>
      <color theme="1"/>
      <name val="Gelion Thin"/>
    </font>
    <font>
      <b/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3" tint="0.749992370372631"/>
        <bgColor theme="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2" borderId="1" xfId="1" applyNumberFormat="1" applyFont="1" applyFill="1" applyBorder="1" applyAlignment="1">
      <alignment vertical="center"/>
    </xf>
    <xf numFmtId="164" fontId="4" fillId="3" borderId="1" xfId="1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5" fillId="5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164" fontId="7" fillId="0" borderId="9" xfId="1" applyNumberFormat="1" applyFont="1" applyBorder="1" applyAlignment="1">
      <alignment vertical="center"/>
    </xf>
    <xf numFmtId="164" fontId="6" fillId="0" borderId="9" xfId="1" applyNumberFormat="1" applyFont="1" applyBorder="1" applyAlignment="1">
      <alignment horizontal="right" vertical="center"/>
    </xf>
    <xf numFmtId="164" fontId="7" fillId="0" borderId="10" xfId="1" applyNumberFormat="1" applyFont="1" applyBorder="1" applyAlignment="1">
      <alignment horizontal="right" vertical="center"/>
    </xf>
    <xf numFmtId="164" fontId="6" fillId="0" borderId="5" xfId="1" applyNumberFormat="1" applyFont="1" applyBorder="1" applyAlignment="1">
      <alignment horizontal="right" vertical="center"/>
    </xf>
    <xf numFmtId="0" fontId="5" fillId="5" borderId="9" xfId="0" applyFont="1" applyFill="1" applyBorder="1" applyAlignment="1">
      <alignment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/>
    </xf>
    <xf numFmtId="0" fontId="0" fillId="0" borderId="0" xfId="0" pivotButton="1"/>
    <xf numFmtId="165" fontId="0" fillId="0" borderId="0" xfId="0" applyNumberFormat="1"/>
    <xf numFmtId="164" fontId="3" fillId="6" borderId="11" xfId="1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14" fontId="3" fillId="6" borderId="1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11" xfId="0" applyFont="1" applyBorder="1" applyAlignment="1">
      <alignment horizontal="center"/>
    </xf>
    <xf numFmtId="164" fontId="4" fillId="0" borderId="11" xfId="1" applyNumberFormat="1" applyFont="1" applyFill="1" applyBorder="1" applyAlignment="1">
      <alignment horizontal="center" wrapText="1"/>
    </xf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166" fontId="3" fillId="6" borderId="1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7" borderId="1" xfId="0" applyFont="1" applyFill="1" applyBorder="1"/>
    <xf numFmtId="0" fontId="1" fillId="8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8" borderId="0" xfId="0" applyFont="1" applyFill="1" applyAlignment="1">
      <alignment horizontal="center"/>
    </xf>
    <xf numFmtId="0" fontId="4" fillId="0" borderId="0" xfId="0" applyFont="1"/>
    <xf numFmtId="166" fontId="4" fillId="0" borderId="0" xfId="0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5" fillId="5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</cellXfs>
  <cellStyles count="2">
    <cellStyle name="Moneda" xfId="1" builtinId="4"/>
    <cellStyle name="Normal" xfId="0" builtinId="0"/>
  </cellStyles>
  <dxfs count="18">
    <dxf>
      <numFmt numFmtId="165" formatCode="&quot;$&quot;\ 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&quot;$&quot;\ #,##0"/>
    </dxf>
  </dxfs>
  <tableStyles count="0" defaultTableStyle="TableStyleMedium9" defaultPivotStyle="PivotStyleLight16"/>
  <colors>
    <mruColors>
      <color rgb="FF00CC99"/>
      <color rgb="FFDD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ni%20Hern&#225;ndez\Downloads\TIPOLOGIAS%20LINEACOM_WOMPI%20(1).xlsx" TargetMode="External"/><Relationship Id="rId1" Type="http://schemas.openxmlformats.org/officeDocument/2006/relationships/externalLinkPath" Target="file:///C:\Users\Lini%20Hern&#225;ndez\Downloads\TIPOLOGIAS%20LINEACOM_WOMPI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leon.BANCOLOMBIA\Documents\Migracion%20FInal%20V1.xlsx" TargetMode="External"/><Relationship Id="rId1" Type="http://schemas.openxmlformats.org/officeDocument/2006/relationships/externalLinkPath" Target="file:///C:\Users\wileon.BANCOLOMBIA\Documents\Migracion%20FInal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POLOGIAS"/>
      <sheetName val="TIPOLOGIAS_CB"/>
      <sheetName val="TIPOLOGIAS_ROLLOS"/>
      <sheetName val="TIPOLOGIAS_ENVIOS_VP"/>
    </sheetNames>
    <sheetDataSet>
      <sheetData sheetId="0">
        <row r="1">
          <cell r="A1" t="str">
            <v>CODIGO DANE</v>
          </cell>
          <cell r="B1" t="str">
            <v>CIUDAD</v>
          </cell>
          <cell r="C1" t="str">
            <v>DEPARTAMENTO</v>
          </cell>
          <cell r="D1" t="str">
            <v>DESDE DONDE SE ATIENDE</v>
          </cell>
          <cell r="E1" t="str">
            <v>TIPOLOGIA WOMPI</v>
          </cell>
          <cell r="F1" t="str">
            <v>TIPO DE TRAYECTO</v>
          </cell>
        </row>
        <row r="2">
          <cell r="A2">
            <v>91430</v>
          </cell>
          <cell r="B2" t="str">
            <v>LA VICTORIA</v>
          </cell>
          <cell r="C2" t="str">
            <v>AMAZONAS</v>
          </cell>
          <cell r="D2" t="str">
            <v>BOGOTA</v>
          </cell>
          <cell r="E2" t="str">
            <v>LEJANA</v>
          </cell>
          <cell r="F2" t="str">
            <v>AEREO</v>
          </cell>
        </row>
        <row r="3">
          <cell r="A3">
            <v>91669</v>
          </cell>
          <cell r="B3" t="str">
            <v>PUERTO SANTANDER</v>
          </cell>
          <cell r="C3" t="str">
            <v>AMAZONAS</v>
          </cell>
          <cell r="D3" t="str">
            <v>BOGOTA</v>
          </cell>
          <cell r="E3" t="str">
            <v>LEJANA</v>
          </cell>
          <cell r="F3" t="str">
            <v>AEREO</v>
          </cell>
        </row>
        <row r="4">
          <cell r="A4">
            <v>91263</v>
          </cell>
          <cell r="B4" t="str">
            <v>EL ENCANTO</v>
          </cell>
          <cell r="C4" t="str">
            <v>AMAZONAS</v>
          </cell>
          <cell r="D4" t="str">
            <v>BOGOTA</v>
          </cell>
          <cell r="E4" t="str">
            <v>LEJANA</v>
          </cell>
          <cell r="F4" t="str">
            <v>AEREO</v>
          </cell>
        </row>
        <row r="5">
          <cell r="A5">
            <v>91405</v>
          </cell>
          <cell r="B5" t="str">
            <v>LA CHORRERA</v>
          </cell>
          <cell r="C5" t="str">
            <v>AMAZONAS</v>
          </cell>
          <cell r="D5" t="str">
            <v>BOGOTA</v>
          </cell>
          <cell r="E5" t="str">
            <v>LEJANA</v>
          </cell>
          <cell r="F5" t="str">
            <v>AEREO</v>
          </cell>
        </row>
        <row r="6">
          <cell r="A6">
            <v>91407</v>
          </cell>
          <cell r="B6" t="str">
            <v>LA PEDRERA</v>
          </cell>
          <cell r="C6" t="str">
            <v>AMAZONAS</v>
          </cell>
          <cell r="D6" t="str">
            <v>BOGOTA</v>
          </cell>
          <cell r="E6" t="str">
            <v>LEJANA</v>
          </cell>
          <cell r="F6" t="str">
            <v>AEREO</v>
          </cell>
        </row>
        <row r="7">
          <cell r="A7">
            <v>91001</v>
          </cell>
          <cell r="B7" t="str">
            <v>LETICIA</v>
          </cell>
          <cell r="C7" t="str">
            <v>AMAZONAS</v>
          </cell>
          <cell r="D7" t="str">
            <v>BOGOTA</v>
          </cell>
          <cell r="E7" t="str">
            <v>LEJANA</v>
          </cell>
          <cell r="F7" t="str">
            <v>AEREO</v>
          </cell>
        </row>
        <row r="8">
          <cell r="A8">
            <v>91460</v>
          </cell>
          <cell r="B8" t="str">
            <v>MIRITI - PARANA</v>
          </cell>
          <cell r="C8" t="str">
            <v>AMAZONAS</v>
          </cell>
          <cell r="D8" t="str">
            <v>BOGOTA</v>
          </cell>
          <cell r="E8" t="str">
            <v>LEJANA</v>
          </cell>
          <cell r="F8" t="str">
            <v>AEREO</v>
          </cell>
        </row>
        <row r="9">
          <cell r="A9">
            <v>91530</v>
          </cell>
          <cell r="B9" t="str">
            <v>PUERTO ALEGRIA</v>
          </cell>
          <cell r="C9" t="str">
            <v>AMAZONAS</v>
          </cell>
          <cell r="D9" t="str">
            <v>BOGOTA</v>
          </cell>
          <cell r="E9" t="str">
            <v>LEJANA</v>
          </cell>
          <cell r="F9" t="str">
            <v>AEREO</v>
          </cell>
        </row>
        <row r="10">
          <cell r="A10">
            <v>91536</v>
          </cell>
          <cell r="B10" t="str">
            <v>PUERTO ARICA</v>
          </cell>
          <cell r="C10" t="str">
            <v>AMAZONAS</v>
          </cell>
          <cell r="D10" t="str">
            <v>BOGOTA</v>
          </cell>
          <cell r="E10" t="str">
            <v>LEJANA</v>
          </cell>
          <cell r="F10" t="str">
            <v>AEREO</v>
          </cell>
        </row>
        <row r="11">
          <cell r="A11">
            <v>91540</v>
          </cell>
          <cell r="B11" t="str">
            <v>PUERTO NARIÑO</v>
          </cell>
          <cell r="C11" t="str">
            <v>AMAZONAS</v>
          </cell>
          <cell r="D11" t="str">
            <v>BOGOTA</v>
          </cell>
          <cell r="E11" t="str">
            <v>LEJANA</v>
          </cell>
          <cell r="F11" t="str">
            <v>AEREO</v>
          </cell>
        </row>
        <row r="12">
          <cell r="A12">
            <v>91798</v>
          </cell>
          <cell r="B12" t="str">
            <v>TARAPACA</v>
          </cell>
          <cell r="C12" t="str">
            <v>AMAZONAS</v>
          </cell>
          <cell r="D12" t="str">
            <v>BOGOTA</v>
          </cell>
          <cell r="E12" t="str">
            <v>LEJANA</v>
          </cell>
          <cell r="F12" t="str">
            <v>AEREO</v>
          </cell>
        </row>
        <row r="13">
          <cell r="A13">
            <v>5055</v>
          </cell>
          <cell r="B13" t="str">
            <v>ARGELIA</v>
          </cell>
          <cell r="C13" t="str">
            <v>ANTIOQUIA</v>
          </cell>
          <cell r="D13" t="str">
            <v>MEDELLIN</v>
          </cell>
          <cell r="E13" t="str">
            <v>LEJANA</v>
          </cell>
          <cell r="F13" t="str">
            <v>TERRESTRE</v>
          </cell>
        </row>
        <row r="14">
          <cell r="A14">
            <v>5059</v>
          </cell>
          <cell r="B14" t="str">
            <v>ARMENIA</v>
          </cell>
          <cell r="C14" t="str">
            <v>ANTIOQUIA</v>
          </cell>
          <cell r="D14" t="str">
            <v>MEDELLIN</v>
          </cell>
          <cell r="E14" t="str">
            <v>INTERMEDIA</v>
          </cell>
          <cell r="F14" t="str">
            <v>TERRESTRE</v>
          </cell>
        </row>
        <row r="15">
          <cell r="A15">
            <v>5079</v>
          </cell>
          <cell r="B15" t="str">
            <v>BARBOSA</v>
          </cell>
          <cell r="C15" t="str">
            <v>ANTIOQUIA</v>
          </cell>
          <cell r="D15" t="str">
            <v>MEDELLIN</v>
          </cell>
          <cell r="E15" t="str">
            <v>INTERMEDIA</v>
          </cell>
          <cell r="F15" t="str">
            <v>TERRESTRE</v>
          </cell>
        </row>
        <row r="16">
          <cell r="A16">
            <v>5093</v>
          </cell>
          <cell r="B16" t="str">
            <v>BETULIA</v>
          </cell>
          <cell r="C16" t="str">
            <v>ANTIOQUIA</v>
          </cell>
          <cell r="D16" t="str">
            <v>MEDELLIN</v>
          </cell>
          <cell r="E16" t="str">
            <v>LEJANA</v>
          </cell>
          <cell r="F16" t="str">
            <v>TERRESTRE</v>
          </cell>
        </row>
        <row r="17">
          <cell r="A17">
            <v>5107</v>
          </cell>
          <cell r="B17" t="str">
            <v>BRICEÑO</v>
          </cell>
          <cell r="C17" t="str">
            <v>ANTIOQUIA</v>
          </cell>
          <cell r="D17" t="str">
            <v>MEDELLIN</v>
          </cell>
          <cell r="E17" t="str">
            <v>LEJANA</v>
          </cell>
          <cell r="F17" t="str">
            <v>TERRESTRE</v>
          </cell>
        </row>
        <row r="18">
          <cell r="A18">
            <v>5129</v>
          </cell>
          <cell r="B18" t="str">
            <v>CALDAS</v>
          </cell>
          <cell r="C18" t="str">
            <v>ANTIOQUIA</v>
          </cell>
          <cell r="D18" t="str">
            <v>MEDELLIN</v>
          </cell>
          <cell r="E18" t="str">
            <v>PRINCIPAL</v>
          </cell>
          <cell r="F18" t="str">
            <v>TERRESTRE</v>
          </cell>
        </row>
        <row r="19">
          <cell r="A19">
            <v>5206</v>
          </cell>
          <cell r="B19" t="str">
            <v>CONCEPCION</v>
          </cell>
          <cell r="C19" t="str">
            <v>ANTIOQUIA</v>
          </cell>
          <cell r="D19" t="str">
            <v>MEDELLIN</v>
          </cell>
          <cell r="E19" t="str">
            <v>INTERMEDIA</v>
          </cell>
          <cell r="F19" t="str">
            <v>TERRESTRE</v>
          </cell>
        </row>
        <row r="20">
          <cell r="A20">
            <v>5209</v>
          </cell>
          <cell r="B20" t="str">
            <v>CONCORDIA</v>
          </cell>
          <cell r="C20" t="str">
            <v>ANTIOQUIA</v>
          </cell>
          <cell r="D20" t="str">
            <v>MEDELLIN</v>
          </cell>
          <cell r="E20" t="str">
            <v>LEJANA</v>
          </cell>
          <cell r="F20" t="str">
            <v>TERRESTRE</v>
          </cell>
        </row>
        <row r="21">
          <cell r="A21">
            <v>5313</v>
          </cell>
          <cell r="B21" t="str">
            <v>GRANADA</v>
          </cell>
          <cell r="C21" t="str">
            <v>ANTIOQUIA</v>
          </cell>
          <cell r="D21" t="str">
            <v>MEDELLIN</v>
          </cell>
          <cell r="E21" t="str">
            <v>INTERMEDIA</v>
          </cell>
          <cell r="F21" t="str">
            <v>TERRESTRE</v>
          </cell>
        </row>
        <row r="22">
          <cell r="A22">
            <v>5315</v>
          </cell>
          <cell r="B22" t="str">
            <v>GUADALUPE</v>
          </cell>
          <cell r="C22" t="str">
            <v>ANTIOQUIA</v>
          </cell>
          <cell r="D22" t="str">
            <v>MEDELLIN</v>
          </cell>
          <cell r="E22" t="str">
            <v>LEJANA</v>
          </cell>
          <cell r="F22" t="str">
            <v>TERRESTRE</v>
          </cell>
        </row>
        <row r="23">
          <cell r="A23">
            <v>5368</v>
          </cell>
          <cell r="B23" t="str">
            <v>JERICO</v>
          </cell>
          <cell r="C23" t="str">
            <v>ANTIOQUIA</v>
          </cell>
          <cell r="D23" t="str">
            <v>MEDELLIN</v>
          </cell>
          <cell r="E23" t="str">
            <v>LEJANA</v>
          </cell>
          <cell r="F23" t="str">
            <v>TERRESTRE</v>
          </cell>
        </row>
        <row r="24">
          <cell r="A24">
            <v>5400</v>
          </cell>
          <cell r="B24" t="str">
            <v>LA UNION</v>
          </cell>
          <cell r="C24" t="str">
            <v>ANTIOQUIA</v>
          </cell>
          <cell r="D24" t="str">
            <v>MEDELLIN</v>
          </cell>
          <cell r="E24" t="str">
            <v>INTERMEDIA</v>
          </cell>
          <cell r="F24" t="str">
            <v>TERRESTRE</v>
          </cell>
        </row>
        <row r="25">
          <cell r="A25">
            <v>5483</v>
          </cell>
          <cell r="B25" t="str">
            <v>NARIÑO</v>
          </cell>
          <cell r="C25" t="str">
            <v>ANTIOQUIA</v>
          </cell>
          <cell r="D25" t="str">
            <v>MEDELLIN</v>
          </cell>
          <cell r="E25" t="str">
            <v>LEJANA</v>
          </cell>
          <cell r="F25" t="str">
            <v>TERRESTRE</v>
          </cell>
        </row>
        <row r="26">
          <cell r="A26">
            <v>5615</v>
          </cell>
          <cell r="B26" t="str">
            <v>RIONEGRO</v>
          </cell>
          <cell r="C26" t="str">
            <v>ANTIOQUIA</v>
          </cell>
          <cell r="D26" t="str">
            <v>MEDELLIN</v>
          </cell>
          <cell r="E26" t="str">
            <v>INTERMEDIA</v>
          </cell>
          <cell r="F26" t="str">
            <v>TERRESTRE</v>
          </cell>
        </row>
        <row r="27">
          <cell r="A27">
            <v>5628</v>
          </cell>
          <cell r="B27" t="str">
            <v>SABANALARGA</v>
          </cell>
          <cell r="C27" t="str">
            <v>ANTIOQUIA</v>
          </cell>
          <cell r="D27" t="str">
            <v>MEDELLIN</v>
          </cell>
          <cell r="E27" t="str">
            <v>LEJANA</v>
          </cell>
          <cell r="F27" t="str">
            <v>TERRESTRE</v>
          </cell>
        </row>
        <row r="28">
          <cell r="A28">
            <v>5649</v>
          </cell>
          <cell r="B28" t="str">
            <v>SAN CARLOS</v>
          </cell>
          <cell r="C28" t="str">
            <v>ANTIOQUIA</v>
          </cell>
          <cell r="D28" t="str">
            <v>MEDELLIN</v>
          </cell>
          <cell r="E28" t="str">
            <v>LEJANA</v>
          </cell>
          <cell r="F28" t="str">
            <v>TERRESTRE</v>
          </cell>
        </row>
        <row r="29">
          <cell r="A29">
            <v>5652</v>
          </cell>
          <cell r="B29" t="str">
            <v>SAN FRANCISCO</v>
          </cell>
          <cell r="C29" t="str">
            <v>ANTIOQUIA</v>
          </cell>
          <cell r="D29" t="str">
            <v>MEDELLIN</v>
          </cell>
          <cell r="E29" t="str">
            <v>LEJANA</v>
          </cell>
          <cell r="F29" t="str">
            <v>TERRESTRE</v>
          </cell>
        </row>
        <row r="30">
          <cell r="A30">
            <v>5660</v>
          </cell>
          <cell r="B30" t="str">
            <v>SAN LUIS</v>
          </cell>
          <cell r="C30" t="str">
            <v>ANTIOQUIA</v>
          </cell>
          <cell r="D30" t="str">
            <v>MEDELLIN</v>
          </cell>
          <cell r="E30" t="str">
            <v>LEJANA</v>
          </cell>
          <cell r="F30" t="str">
            <v>TERRESTRE</v>
          </cell>
        </row>
        <row r="31">
          <cell r="A31">
            <v>5664</v>
          </cell>
          <cell r="B31" t="str">
            <v>SAN PEDRO DE LOS MILAGROS</v>
          </cell>
          <cell r="C31" t="str">
            <v>ANTIOQUIA</v>
          </cell>
          <cell r="D31" t="str">
            <v>MEDELLIN</v>
          </cell>
          <cell r="E31" t="str">
            <v>INTERMEDIA</v>
          </cell>
          <cell r="F31" t="str">
            <v>TERRESTRE</v>
          </cell>
        </row>
        <row r="32">
          <cell r="A32">
            <v>5679</v>
          </cell>
          <cell r="B32" t="str">
            <v>SANTA BARBARA</v>
          </cell>
          <cell r="C32" t="str">
            <v>ANTIOQUIA</v>
          </cell>
          <cell r="D32" t="str">
            <v>MEDELLIN</v>
          </cell>
          <cell r="E32" t="str">
            <v>INTERMEDIA</v>
          </cell>
          <cell r="F32" t="str">
            <v>TERRESTRE</v>
          </cell>
        </row>
        <row r="33">
          <cell r="A33">
            <v>5819</v>
          </cell>
          <cell r="B33" t="str">
            <v>TOLEDO</v>
          </cell>
          <cell r="C33" t="str">
            <v>ANTIOQUIA</v>
          </cell>
          <cell r="D33" t="str">
            <v>MEDELLIN</v>
          </cell>
          <cell r="E33" t="str">
            <v>LEJANA</v>
          </cell>
          <cell r="F33" t="str">
            <v>TERRESTRE</v>
          </cell>
        </row>
        <row r="34">
          <cell r="A34">
            <v>5856</v>
          </cell>
          <cell r="B34" t="str">
            <v>VALPARAISO</v>
          </cell>
          <cell r="C34" t="str">
            <v>ANTIOQUIA</v>
          </cell>
          <cell r="D34" t="str">
            <v>MEDELLIN</v>
          </cell>
          <cell r="E34" t="str">
            <v>LEJANA</v>
          </cell>
          <cell r="F34" t="str">
            <v>TERRESTRE</v>
          </cell>
        </row>
        <row r="35">
          <cell r="A35">
            <v>5861</v>
          </cell>
          <cell r="B35" t="str">
            <v>VENECIA</v>
          </cell>
          <cell r="C35" t="str">
            <v>ANTIOQUIA</v>
          </cell>
          <cell r="D35" t="str">
            <v>MEDELLIN</v>
          </cell>
          <cell r="E35" t="str">
            <v>INTERMEDIA</v>
          </cell>
          <cell r="F35" t="str">
            <v>TERRESTRE</v>
          </cell>
        </row>
        <row r="36">
          <cell r="A36">
            <v>5002</v>
          </cell>
          <cell r="B36" t="str">
            <v>ABEJORRAL</v>
          </cell>
          <cell r="C36" t="str">
            <v>ANTIOQUIA</v>
          </cell>
          <cell r="D36" t="str">
            <v>MEDELLIN</v>
          </cell>
          <cell r="E36" t="str">
            <v>LEJANA</v>
          </cell>
          <cell r="F36" t="str">
            <v>TERRESTRE</v>
          </cell>
        </row>
        <row r="37">
          <cell r="A37">
            <v>5004</v>
          </cell>
          <cell r="B37" t="str">
            <v>ABRIAQUI</v>
          </cell>
          <cell r="C37" t="str">
            <v>ANTIOQUIA</v>
          </cell>
          <cell r="D37" t="str">
            <v>MEDELLIN</v>
          </cell>
          <cell r="E37" t="str">
            <v>LEJANA</v>
          </cell>
          <cell r="F37" t="str">
            <v>TERRESTRE</v>
          </cell>
        </row>
        <row r="38">
          <cell r="A38">
            <v>5021</v>
          </cell>
          <cell r="B38" t="str">
            <v>ALEJANDRIA</v>
          </cell>
          <cell r="C38" t="str">
            <v>ANTIOQUIA</v>
          </cell>
          <cell r="D38" t="str">
            <v>MEDELLIN</v>
          </cell>
          <cell r="E38" t="str">
            <v>LEJANA</v>
          </cell>
          <cell r="F38" t="str">
            <v>TERRESTRE</v>
          </cell>
        </row>
        <row r="39">
          <cell r="A39">
            <v>5030</v>
          </cell>
          <cell r="B39" t="str">
            <v>AMAGA</v>
          </cell>
          <cell r="C39" t="str">
            <v>ANTIOQUIA</v>
          </cell>
          <cell r="D39" t="str">
            <v>MEDELLIN</v>
          </cell>
          <cell r="E39" t="str">
            <v>INTERMEDIA</v>
          </cell>
          <cell r="F39" t="str">
            <v>TERRESTRE</v>
          </cell>
        </row>
        <row r="40">
          <cell r="A40">
            <v>5031</v>
          </cell>
          <cell r="B40" t="str">
            <v>AMALFI</v>
          </cell>
          <cell r="C40" t="str">
            <v>ANTIOQUIA</v>
          </cell>
          <cell r="D40" t="str">
            <v>MEDELLIN</v>
          </cell>
          <cell r="E40" t="str">
            <v>LEJANA</v>
          </cell>
          <cell r="F40" t="str">
            <v>TERRESTRE</v>
          </cell>
        </row>
        <row r="41">
          <cell r="A41">
            <v>5034</v>
          </cell>
          <cell r="B41" t="str">
            <v>ANDES</v>
          </cell>
          <cell r="C41" t="str">
            <v>ANTIOQUIA</v>
          </cell>
          <cell r="D41" t="str">
            <v>MEDELLIN</v>
          </cell>
          <cell r="E41" t="str">
            <v>LEJANA</v>
          </cell>
          <cell r="F41" t="str">
            <v>TERRESTRE</v>
          </cell>
        </row>
        <row r="42">
          <cell r="A42">
            <v>5036</v>
          </cell>
          <cell r="B42" t="str">
            <v>ANGELOPOLIS</v>
          </cell>
          <cell r="C42" t="str">
            <v>ANTIOQUIA</v>
          </cell>
          <cell r="D42" t="str">
            <v>MEDELLIN</v>
          </cell>
          <cell r="E42" t="str">
            <v>INTERMEDIA</v>
          </cell>
          <cell r="F42" t="str">
            <v>TERRESTRE</v>
          </cell>
        </row>
        <row r="43">
          <cell r="A43">
            <v>5038</v>
          </cell>
          <cell r="B43" t="str">
            <v>ANGOSTURA</v>
          </cell>
          <cell r="C43" t="str">
            <v>ANTIOQUIA</v>
          </cell>
          <cell r="D43" t="str">
            <v>MEDELLIN</v>
          </cell>
          <cell r="E43" t="str">
            <v>LEJANA</v>
          </cell>
          <cell r="F43" t="str">
            <v>TERRESTRE</v>
          </cell>
        </row>
        <row r="44">
          <cell r="A44">
            <v>5040</v>
          </cell>
          <cell r="B44" t="str">
            <v>ANORI</v>
          </cell>
          <cell r="C44" t="str">
            <v>ANTIOQUIA</v>
          </cell>
          <cell r="D44" t="str">
            <v>MEDELLIN</v>
          </cell>
          <cell r="E44" t="str">
            <v>LEJANA</v>
          </cell>
          <cell r="F44" t="str">
            <v>TERRESTRE</v>
          </cell>
        </row>
        <row r="45">
          <cell r="A45">
            <v>5044</v>
          </cell>
          <cell r="B45" t="str">
            <v>ANZA</v>
          </cell>
          <cell r="C45" t="str">
            <v>ANTIOQUIA</v>
          </cell>
          <cell r="D45" t="str">
            <v>MEDELLIN</v>
          </cell>
          <cell r="E45" t="str">
            <v>LEJANA</v>
          </cell>
          <cell r="F45" t="str">
            <v>TERRESTRE</v>
          </cell>
        </row>
        <row r="46">
          <cell r="A46">
            <v>5045</v>
          </cell>
          <cell r="B46" t="str">
            <v>APARTADO</v>
          </cell>
          <cell r="C46" t="str">
            <v>ANTIOQUIA</v>
          </cell>
          <cell r="D46" t="str">
            <v>APARTADO</v>
          </cell>
          <cell r="E46" t="str">
            <v>PRINCIPAL</v>
          </cell>
          <cell r="F46" t="str">
            <v>TERRESTRE</v>
          </cell>
        </row>
        <row r="47">
          <cell r="A47">
            <v>5051</v>
          </cell>
          <cell r="B47" t="str">
            <v>ARBOLETES</v>
          </cell>
          <cell r="C47" t="str">
            <v>ANTIOQUIA</v>
          </cell>
          <cell r="D47" t="str">
            <v>MONTERIA</v>
          </cell>
          <cell r="E47" t="str">
            <v>INTERMEDIA</v>
          </cell>
          <cell r="F47" t="str">
            <v>TERRESTRE</v>
          </cell>
        </row>
        <row r="48">
          <cell r="A48">
            <v>5088</v>
          </cell>
          <cell r="B48" t="str">
            <v>BELLO</v>
          </cell>
          <cell r="C48" t="str">
            <v>ANTIOQUIA</v>
          </cell>
          <cell r="D48" t="str">
            <v>MEDELLIN</v>
          </cell>
          <cell r="E48" t="str">
            <v>PRINCIPAL</v>
          </cell>
          <cell r="F48" t="str">
            <v>TERRESTRE</v>
          </cell>
        </row>
        <row r="49">
          <cell r="A49">
            <v>5086</v>
          </cell>
          <cell r="B49" t="str">
            <v>BELMIRA</v>
          </cell>
          <cell r="C49" t="str">
            <v>ANTIOQUIA</v>
          </cell>
          <cell r="D49" t="str">
            <v>MEDELLIN</v>
          </cell>
          <cell r="E49" t="str">
            <v>INTERMEDIA</v>
          </cell>
          <cell r="F49" t="str">
            <v>TERRESTRE</v>
          </cell>
        </row>
        <row r="50">
          <cell r="A50">
            <v>5091</v>
          </cell>
          <cell r="B50" t="str">
            <v>BETANIA</v>
          </cell>
          <cell r="C50" t="str">
            <v>ANTIOQUIA</v>
          </cell>
          <cell r="D50" t="str">
            <v>MEDELLIN</v>
          </cell>
          <cell r="E50" t="str">
            <v>LEJANA</v>
          </cell>
          <cell r="F50" t="str">
            <v>TERRESTRE</v>
          </cell>
        </row>
        <row r="51">
          <cell r="A51">
            <v>5113</v>
          </cell>
          <cell r="B51" t="str">
            <v>BURITICA</v>
          </cell>
          <cell r="C51" t="str">
            <v>ANTIOQUIA</v>
          </cell>
          <cell r="D51" t="str">
            <v>MEDELLIN</v>
          </cell>
          <cell r="E51" t="str">
            <v>LEJANA</v>
          </cell>
          <cell r="F51" t="str">
            <v>TERRESTRE</v>
          </cell>
        </row>
        <row r="52">
          <cell r="A52">
            <v>5120</v>
          </cell>
          <cell r="B52" t="str">
            <v>CACERES</v>
          </cell>
          <cell r="C52" t="str">
            <v>ANTIOQUIA</v>
          </cell>
          <cell r="D52" t="str">
            <v>MEDELLIN</v>
          </cell>
          <cell r="E52" t="str">
            <v>LEJANA</v>
          </cell>
          <cell r="F52" t="str">
            <v>TERRESTRE</v>
          </cell>
        </row>
        <row r="53">
          <cell r="A53">
            <v>5125</v>
          </cell>
          <cell r="B53" t="str">
            <v>CAICEDO</v>
          </cell>
          <cell r="C53" t="str">
            <v>ANTIOQUIA</v>
          </cell>
          <cell r="D53" t="str">
            <v>MEDELLIN</v>
          </cell>
          <cell r="E53" t="str">
            <v>LEJANA</v>
          </cell>
          <cell r="F53" t="str">
            <v>TERRESTRE</v>
          </cell>
        </row>
        <row r="54">
          <cell r="A54">
            <v>5134</v>
          </cell>
          <cell r="B54" t="str">
            <v>CAMPAMENTO</v>
          </cell>
          <cell r="C54" t="str">
            <v>ANTIOQUIA</v>
          </cell>
          <cell r="D54" t="str">
            <v>MEDELLIN</v>
          </cell>
          <cell r="E54" t="str">
            <v>LEJANA</v>
          </cell>
          <cell r="F54" t="str">
            <v>TERRESTRE</v>
          </cell>
        </row>
        <row r="55">
          <cell r="A55">
            <v>5138</v>
          </cell>
          <cell r="B55" t="str">
            <v>CAÑASGORDAS</v>
          </cell>
          <cell r="C55" t="str">
            <v>ANTIOQUIA</v>
          </cell>
          <cell r="D55" t="str">
            <v>MEDELLIN</v>
          </cell>
          <cell r="E55" t="str">
            <v>LEJANA</v>
          </cell>
          <cell r="F55" t="str">
            <v>TERRESTRE</v>
          </cell>
        </row>
        <row r="56">
          <cell r="A56">
            <v>5142</v>
          </cell>
          <cell r="B56" t="str">
            <v>CARACOLI</v>
          </cell>
          <cell r="C56" t="str">
            <v>ANTIOQUIA</v>
          </cell>
          <cell r="D56" t="str">
            <v>MEDELLIN</v>
          </cell>
          <cell r="E56" t="str">
            <v>LEJANA</v>
          </cell>
          <cell r="F56" t="str">
            <v>TERRESTRE</v>
          </cell>
        </row>
        <row r="57">
          <cell r="A57">
            <v>5145</v>
          </cell>
          <cell r="B57" t="str">
            <v>CARAMANTA</v>
          </cell>
          <cell r="C57" t="str">
            <v>ANTIOQUIA</v>
          </cell>
          <cell r="D57" t="str">
            <v>MEDELLIN</v>
          </cell>
          <cell r="E57" t="str">
            <v>LEJANA</v>
          </cell>
          <cell r="F57" t="str">
            <v>TERRESTRE</v>
          </cell>
        </row>
        <row r="58">
          <cell r="A58">
            <v>5147</v>
          </cell>
          <cell r="B58" t="str">
            <v>CAREPA</v>
          </cell>
          <cell r="C58" t="str">
            <v>ANTIOQUIA</v>
          </cell>
          <cell r="D58" t="str">
            <v>APARTADO</v>
          </cell>
          <cell r="E58" t="str">
            <v>PRINCIPAL</v>
          </cell>
          <cell r="F58" t="str">
            <v>TERRESTRE</v>
          </cell>
        </row>
        <row r="59">
          <cell r="A59">
            <v>5150</v>
          </cell>
          <cell r="B59" t="str">
            <v>CAROLINA</v>
          </cell>
          <cell r="C59" t="str">
            <v>ANTIOQUIA</v>
          </cell>
          <cell r="D59" t="str">
            <v>MEDELLIN</v>
          </cell>
          <cell r="E59" t="str">
            <v>LEJANA</v>
          </cell>
          <cell r="F59" t="str">
            <v>TERRESTRE</v>
          </cell>
        </row>
        <row r="60">
          <cell r="A60">
            <v>5154</v>
          </cell>
          <cell r="B60" t="str">
            <v>CAUCASIA</v>
          </cell>
          <cell r="C60" t="str">
            <v>ANTIOQUIA</v>
          </cell>
          <cell r="D60" t="str">
            <v>MONTERIA</v>
          </cell>
          <cell r="E60" t="str">
            <v>INTERMEDIA</v>
          </cell>
          <cell r="F60" t="str">
            <v>TERRESTRE</v>
          </cell>
        </row>
        <row r="61">
          <cell r="A61">
            <v>5172</v>
          </cell>
          <cell r="B61" t="str">
            <v>CHIGORODO</v>
          </cell>
          <cell r="C61" t="str">
            <v>ANTIOQUIA</v>
          </cell>
          <cell r="D61" t="str">
            <v>APARTADO</v>
          </cell>
          <cell r="E61" t="str">
            <v>INTERMEDIA</v>
          </cell>
          <cell r="F61" t="str">
            <v>TERRESTRE</v>
          </cell>
        </row>
        <row r="62">
          <cell r="A62">
            <v>5190</v>
          </cell>
          <cell r="B62" t="str">
            <v>CISNEROS</v>
          </cell>
          <cell r="C62" t="str">
            <v>ANTIOQUIA</v>
          </cell>
          <cell r="D62" t="str">
            <v>MEDELLIN</v>
          </cell>
          <cell r="E62" t="str">
            <v>INTERMEDIA</v>
          </cell>
          <cell r="F62" t="str">
            <v>TERRESTRE</v>
          </cell>
        </row>
        <row r="63">
          <cell r="A63">
            <v>5101</v>
          </cell>
          <cell r="B63" t="str">
            <v>CIUDAD BOLIVAR</v>
          </cell>
          <cell r="C63" t="str">
            <v>ANTIOQUIA</v>
          </cell>
          <cell r="D63" t="str">
            <v>MEDELLIN</v>
          </cell>
          <cell r="E63" t="str">
            <v>INTERMEDIA</v>
          </cell>
          <cell r="F63" t="str">
            <v>TERRESTRE</v>
          </cell>
        </row>
        <row r="64">
          <cell r="A64">
            <v>5197</v>
          </cell>
          <cell r="B64" t="str">
            <v>COCORNA</v>
          </cell>
          <cell r="C64" t="str">
            <v>ANTIOQUIA</v>
          </cell>
          <cell r="D64" t="str">
            <v>MEDELLIN</v>
          </cell>
          <cell r="E64" t="str">
            <v>INTERMEDIA</v>
          </cell>
          <cell r="F64" t="str">
            <v>TERRESTRE</v>
          </cell>
        </row>
        <row r="65">
          <cell r="A65">
            <v>5212</v>
          </cell>
          <cell r="B65" t="str">
            <v>COPACABANA</v>
          </cell>
          <cell r="C65" t="str">
            <v>ANTIOQUIA</v>
          </cell>
          <cell r="D65" t="str">
            <v>MEDELLIN</v>
          </cell>
          <cell r="E65" t="str">
            <v>PRINCIPAL</v>
          </cell>
          <cell r="F65" t="str">
            <v>TERRESTRE</v>
          </cell>
        </row>
        <row r="66">
          <cell r="A66">
            <v>5234</v>
          </cell>
          <cell r="B66" t="str">
            <v>DABEIBA</v>
          </cell>
          <cell r="C66" t="str">
            <v>ANTIOQUIA</v>
          </cell>
          <cell r="D66" t="str">
            <v>MEDELLIN</v>
          </cell>
          <cell r="E66" t="str">
            <v>LEJANA</v>
          </cell>
          <cell r="F66" t="str">
            <v>TERRESTRE</v>
          </cell>
        </row>
        <row r="67">
          <cell r="A67">
            <v>5237</v>
          </cell>
          <cell r="B67" t="str">
            <v>DON MATIAS</v>
          </cell>
          <cell r="C67" t="str">
            <v>ANTIOQUIA</v>
          </cell>
          <cell r="D67" t="str">
            <v>MEDELLIN</v>
          </cell>
          <cell r="E67" t="str">
            <v>INTERMEDIA</v>
          </cell>
          <cell r="F67" t="str">
            <v>TERRESTRE</v>
          </cell>
        </row>
        <row r="68">
          <cell r="A68">
            <v>5240</v>
          </cell>
          <cell r="B68" t="str">
            <v>EBEJICO</v>
          </cell>
          <cell r="C68" t="str">
            <v>ANTIOQUIA</v>
          </cell>
          <cell r="D68" t="str">
            <v>MEDELLIN</v>
          </cell>
          <cell r="E68" t="str">
            <v>INTERMEDIA</v>
          </cell>
          <cell r="F68" t="str">
            <v>TERRESTRE</v>
          </cell>
        </row>
        <row r="69">
          <cell r="A69">
            <v>5250</v>
          </cell>
          <cell r="B69" t="str">
            <v>EL BAGRE</v>
          </cell>
          <cell r="C69" t="str">
            <v>ANTIOQUIA</v>
          </cell>
          <cell r="D69" t="str">
            <v>MONTERIA</v>
          </cell>
          <cell r="E69" t="str">
            <v>LEJANA</v>
          </cell>
          <cell r="F69" t="str">
            <v>TERRESTRE</v>
          </cell>
        </row>
        <row r="70">
          <cell r="A70">
            <v>5148</v>
          </cell>
          <cell r="B70" t="str">
            <v>EL CARMEN DE VIBORAL</v>
          </cell>
          <cell r="C70" t="str">
            <v>ANTIOQUIA</v>
          </cell>
          <cell r="D70" t="str">
            <v>MEDELLIN</v>
          </cell>
          <cell r="E70" t="str">
            <v>INTERMEDIA</v>
          </cell>
          <cell r="F70" t="str">
            <v>TERRESTRE</v>
          </cell>
        </row>
        <row r="71">
          <cell r="A71">
            <v>5697</v>
          </cell>
          <cell r="B71" t="str">
            <v>EL SANTUARIO</v>
          </cell>
          <cell r="C71" t="str">
            <v>ANTIOQUIA</v>
          </cell>
          <cell r="D71" t="str">
            <v>MEDELLIN</v>
          </cell>
          <cell r="E71" t="str">
            <v>INTERMEDIA</v>
          </cell>
          <cell r="F71" t="str">
            <v>TERRESTRE</v>
          </cell>
        </row>
        <row r="72">
          <cell r="A72">
            <v>5264</v>
          </cell>
          <cell r="B72" t="str">
            <v>ENTRERRIOS</v>
          </cell>
          <cell r="C72" t="str">
            <v>ANTIOQUIA</v>
          </cell>
          <cell r="D72" t="str">
            <v>MEDELLIN</v>
          </cell>
          <cell r="E72" t="str">
            <v>INTERMEDIA</v>
          </cell>
          <cell r="F72" t="str">
            <v>TERRESTRE</v>
          </cell>
        </row>
        <row r="73">
          <cell r="A73">
            <v>5266</v>
          </cell>
          <cell r="B73" t="str">
            <v>ENVIGADO</v>
          </cell>
          <cell r="C73" t="str">
            <v>ANTIOQUIA</v>
          </cell>
          <cell r="D73" t="str">
            <v>MEDELLIN</v>
          </cell>
          <cell r="E73" t="str">
            <v>PRINCIPAL</v>
          </cell>
          <cell r="F73" t="str">
            <v>TERRESTRE</v>
          </cell>
        </row>
        <row r="74">
          <cell r="A74">
            <v>5282</v>
          </cell>
          <cell r="B74" t="str">
            <v>FREDONIA</v>
          </cell>
          <cell r="C74" t="str">
            <v>ANTIOQUIA</v>
          </cell>
          <cell r="D74" t="str">
            <v>MEDELLIN</v>
          </cell>
          <cell r="E74" t="str">
            <v>INTERMEDIA</v>
          </cell>
          <cell r="F74" t="str">
            <v>TERRESTRE</v>
          </cell>
        </row>
        <row r="75">
          <cell r="A75">
            <v>5284</v>
          </cell>
          <cell r="B75" t="str">
            <v>FRONTINO</v>
          </cell>
          <cell r="C75" t="str">
            <v>ANTIOQUIA</v>
          </cell>
          <cell r="D75" t="str">
            <v>MEDELLIN</v>
          </cell>
          <cell r="E75" t="str">
            <v>LEJANA</v>
          </cell>
          <cell r="F75" t="str">
            <v>TERRESTRE</v>
          </cell>
        </row>
        <row r="76">
          <cell r="A76">
            <v>5306</v>
          </cell>
          <cell r="B76" t="str">
            <v>GIRALDO</v>
          </cell>
          <cell r="C76" t="str">
            <v>ANTIOQUIA</v>
          </cell>
          <cell r="D76" t="str">
            <v>MEDELLIN</v>
          </cell>
          <cell r="E76" t="str">
            <v>LEJANA</v>
          </cell>
          <cell r="F76" t="str">
            <v>TERRESTRE</v>
          </cell>
        </row>
        <row r="77">
          <cell r="A77">
            <v>5308</v>
          </cell>
          <cell r="B77" t="str">
            <v>GIRARDOTA</v>
          </cell>
          <cell r="C77" t="str">
            <v>ANTIOQUIA</v>
          </cell>
          <cell r="D77" t="str">
            <v>MEDELLIN</v>
          </cell>
          <cell r="E77" t="str">
            <v>PRINCIPAL</v>
          </cell>
          <cell r="F77" t="str">
            <v>TERRESTRE</v>
          </cell>
        </row>
        <row r="78">
          <cell r="A78">
            <v>5310</v>
          </cell>
          <cell r="B78" t="str">
            <v>GOMEZ PLATA</v>
          </cell>
          <cell r="C78" t="str">
            <v>ANTIOQUIA</v>
          </cell>
          <cell r="D78" t="str">
            <v>MEDELLIN</v>
          </cell>
          <cell r="E78" t="str">
            <v>INTERMEDIA</v>
          </cell>
          <cell r="F78" t="str">
            <v>TERRESTRE</v>
          </cell>
        </row>
        <row r="79">
          <cell r="A79">
            <v>5318</v>
          </cell>
          <cell r="B79" t="str">
            <v>GUARNE</v>
          </cell>
          <cell r="C79" t="str">
            <v>ANTIOQUIA</v>
          </cell>
          <cell r="D79" t="str">
            <v>MEDELLIN</v>
          </cell>
          <cell r="E79" t="str">
            <v>INTERMEDIA</v>
          </cell>
          <cell r="F79" t="str">
            <v>TERRESTRE</v>
          </cell>
        </row>
        <row r="80">
          <cell r="A80">
            <v>5321</v>
          </cell>
          <cell r="B80" t="str">
            <v>GUATAPE</v>
          </cell>
          <cell r="C80" t="str">
            <v>ANTIOQUIA</v>
          </cell>
          <cell r="D80" t="str">
            <v>MEDELLIN</v>
          </cell>
          <cell r="E80" t="str">
            <v>INTERMEDIA</v>
          </cell>
          <cell r="F80" t="str">
            <v>TERRESTRE</v>
          </cell>
        </row>
        <row r="81">
          <cell r="A81">
            <v>5347</v>
          </cell>
          <cell r="B81" t="str">
            <v>HELICONIA</v>
          </cell>
          <cell r="C81" t="str">
            <v>ANTIOQUIA</v>
          </cell>
          <cell r="D81" t="str">
            <v>MEDELLIN</v>
          </cell>
          <cell r="E81" t="str">
            <v>INTERMEDIA</v>
          </cell>
          <cell r="F81" t="str">
            <v>TERRESTRE</v>
          </cell>
        </row>
        <row r="82">
          <cell r="A82">
            <v>5353</v>
          </cell>
          <cell r="B82" t="str">
            <v>HISPANIA</v>
          </cell>
          <cell r="C82" t="str">
            <v>ANTIOQUIA</v>
          </cell>
          <cell r="D82" t="str">
            <v>MEDELLIN</v>
          </cell>
          <cell r="E82" t="str">
            <v>LEJANA</v>
          </cell>
          <cell r="F82" t="str">
            <v>TERRESTRE</v>
          </cell>
        </row>
        <row r="83">
          <cell r="A83">
            <v>5360</v>
          </cell>
          <cell r="B83" t="str">
            <v>ITAGUI</v>
          </cell>
          <cell r="C83" t="str">
            <v>ANTIOQUIA</v>
          </cell>
          <cell r="D83" t="str">
            <v>MEDELLIN</v>
          </cell>
          <cell r="E83" t="str">
            <v>PRINCIPAL</v>
          </cell>
          <cell r="F83" t="str">
            <v>TERRESTRE</v>
          </cell>
        </row>
        <row r="84">
          <cell r="A84">
            <v>5361</v>
          </cell>
          <cell r="B84" t="str">
            <v>ITUANGO</v>
          </cell>
          <cell r="C84" t="str">
            <v>ANTIOQUIA</v>
          </cell>
          <cell r="D84" t="str">
            <v>MEDELLIN</v>
          </cell>
          <cell r="E84" t="str">
            <v>LEJANA</v>
          </cell>
          <cell r="F84" t="str">
            <v>TERRESTRE</v>
          </cell>
        </row>
        <row r="85">
          <cell r="A85">
            <v>5364</v>
          </cell>
          <cell r="B85" t="str">
            <v>JARDIN</v>
          </cell>
          <cell r="C85" t="str">
            <v>ANTIOQUIA</v>
          </cell>
          <cell r="D85" t="str">
            <v>MEDELLIN</v>
          </cell>
          <cell r="E85" t="str">
            <v>LEJANA</v>
          </cell>
          <cell r="F85" t="str">
            <v>TERRESTRE</v>
          </cell>
        </row>
        <row r="86">
          <cell r="A86">
            <v>5376</v>
          </cell>
          <cell r="B86" t="str">
            <v>LA CEJA</v>
          </cell>
          <cell r="C86" t="str">
            <v>ANTIOQUIA</v>
          </cell>
          <cell r="D86" t="str">
            <v>MEDELLIN</v>
          </cell>
          <cell r="E86" t="str">
            <v>INTERMEDIA</v>
          </cell>
          <cell r="F86" t="str">
            <v>TERRESTRE</v>
          </cell>
        </row>
        <row r="87">
          <cell r="A87">
            <v>5380</v>
          </cell>
          <cell r="B87" t="str">
            <v>LA ESTRELLA</v>
          </cell>
          <cell r="C87" t="str">
            <v>ANTIOQUIA</v>
          </cell>
          <cell r="D87" t="str">
            <v>MEDELLIN</v>
          </cell>
          <cell r="E87" t="str">
            <v>PRINCIPAL</v>
          </cell>
          <cell r="F87" t="str">
            <v>TERRESTRE</v>
          </cell>
        </row>
        <row r="88">
          <cell r="A88">
            <v>5390</v>
          </cell>
          <cell r="B88" t="str">
            <v>LA PINTADA</v>
          </cell>
          <cell r="C88" t="str">
            <v>ANTIOQUIA</v>
          </cell>
          <cell r="D88" t="str">
            <v>MEDELLIN</v>
          </cell>
          <cell r="E88" t="str">
            <v>INTERMEDIA</v>
          </cell>
          <cell r="F88" t="str">
            <v>TERRESTRE</v>
          </cell>
        </row>
        <row r="89">
          <cell r="A89">
            <v>5411</v>
          </cell>
          <cell r="B89" t="str">
            <v>LIBORINA</v>
          </cell>
          <cell r="C89" t="str">
            <v>ANTIOQUIA</v>
          </cell>
          <cell r="D89" t="str">
            <v>MEDELLIN</v>
          </cell>
          <cell r="E89" t="str">
            <v>LEJANA</v>
          </cell>
          <cell r="F89" t="str">
            <v>TERRESTRE</v>
          </cell>
        </row>
        <row r="90">
          <cell r="A90">
            <v>5425</v>
          </cell>
          <cell r="B90" t="str">
            <v>MACEO</v>
          </cell>
          <cell r="C90" t="str">
            <v>ANTIOQUIA</v>
          </cell>
          <cell r="D90" t="str">
            <v>MEDELLIN</v>
          </cell>
          <cell r="E90" t="str">
            <v>LEJANA</v>
          </cell>
          <cell r="F90" t="str">
            <v>TERRESTRE</v>
          </cell>
        </row>
        <row r="91">
          <cell r="A91">
            <v>5440</v>
          </cell>
          <cell r="B91" t="str">
            <v>MARINILLA</v>
          </cell>
          <cell r="C91" t="str">
            <v>ANTIOQUIA</v>
          </cell>
          <cell r="D91" t="str">
            <v>MEDELLIN</v>
          </cell>
          <cell r="E91" t="str">
            <v>INTERMEDIA</v>
          </cell>
          <cell r="F91" t="str">
            <v>TERRESTRE</v>
          </cell>
        </row>
        <row r="92">
          <cell r="A92">
            <v>5001</v>
          </cell>
          <cell r="B92" t="str">
            <v>MEDELLIN</v>
          </cell>
          <cell r="C92" t="str">
            <v>ANTIOQUIA</v>
          </cell>
          <cell r="D92" t="str">
            <v>MEDELLIN</v>
          </cell>
          <cell r="E92" t="str">
            <v>PRINCIPAL</v>
          </cell>
          <cell r="F92" t="str">
            <v>TERRESTRE</v>
          </cell>
        </row>
        <row r="93">
          <cell r="A93">
            <v>5467</v>
          </cell>
          <cell r="B93" t="str">
            <v>MONTEBELLO</v>
          </cell>
          <cell r="C93" t="str">
            <v>ANTIOQUIA</v>
          </cell>
          <cell r="D93" t="str">
            <v>MEDELLIN</v>
          </cell>
          <cell r="E93" t="str">
            <v>INTERMEDIA</v>
          </cell>
          <cell r="F93" t="str">
            <v>TERRESTRE</v>
          </cell>
        </row>
        <row r="94">
          <cell r="A94">
            <v>5475</v>
          </cell>
          <cell r="B94" t="str">
            <v>MURINDO</v>
          </cell>
          <cell r="C94" t="str">
            <v>ANTIOQUIA</v>
          </cell>
          <cell r="D94" t="str">
            <v>APARTADO</v>
          </cell>
          <cell r="E94" t="str">
            <v>LEJANA</v>
          </cell>
          <cell r="F94" t="str">
            <v>FLUVIAL</v>
          </cell>
        </row>
        <row r="95">
          <cell r="A95">
            <v>5480</v>
          </cell>
          <cell r="B95" t="str">
            <v>MUTATA</v>
          </cell>
          <cell r="C95" t="str">
            <v>ANTIOQUIA</v>
          </cell>
          <cell r="D95" t="str">
            <v>APARTADO</v>
          </cell>
          <cell r="E95" t="str">
            <v>INTERMEDIA</v>
          </cell>
          <cell r="F95" t="str">
            <v>TERRESTRE</v>
          </cell>
        </row>
        <row r="96">
          <cell r="A96">
            <v>5495</v>
          </cell>
          <cell r="B96" t="str">
            <v>NECHI</v>
          </cell>
          <cell r="C96" t="str">
            <v>ANTIOQUIA</v>
          </cell>
          <cell r="D96" t="str">
            <v>MONTERIA</v>
          </cell>
          <cell r="E96" t="str">
            <v>LEJANA</v>
          </cell>
          <cell r="F96" t="str">
            <v>TERRESTRE</v>
          </cell>
        </row>
        <row r="97">
          <cell r="A97">
            <v>5490</v>
          </cell>
          <cell r="B97" t="str">
            <v>NECOCLI</v>
          </cell>
          <cell r="C97" t="str">
            <v>ANTIOQUIA</v>
          </cell>
          <cell r="D97" t="str">
            <v>APARTADO</v>
          </cell>
          <cell r="E97" t="str">
            <v>INTERMEDIA</v>
          </cell>
          <cell r="F97" t="str">
            <v>TERRESTRE</v>
          </cell>
        </row>
        <row r="98">
          <cell r="A98">
            <v>5501</v>
          </cell>
          <cell r="B98" t="str">
            <v>OLAYA</v>
          </cell>
          <cell r="C98" t="str">
            <v>ANTIOQUIA</v>
          </cell>
          <cell r="D98" t="str">
            <v>MEDELLIN</v>
          </cell>
          <cell r="E98" t="str">
            <v>INTERMEDIA</v>
          </cell>
          <cell r="F98" t="str">
            <v>TERRESTRE</v>
          </cell>
        </row>
        <row r="99">
          <cell r="A99">
            <v>5541</v>
          </cell>
          <cell r="B99" t="str">
            <v>PEÑOL</v>
          </cell>
          <cell r="C99" t="str">
            <v>ANTIOQUIA</v>
          </cell>
          <cell r="D99" t="str">
            <v>MEDELLIN</v>
          </cell>
          <cell r="E99" t="str">
            <v>INTERMEDIA</v>
          </cell>
          <cell r="F99" t="str">
            <v>TERRESTRE</v>
          </cell>
        </row>
        <row r="100">
          <cell r="A100">
            <v>5543</v>
          </cell>
          <cell r="B100" t="str">
            <v>PEQUE</v>
          </cell>
          <cell r="C100" t="str">
            <v>ANTIOQUIA</v>
          </cell>
          <cell r="D100" t="str">
            <v>MEDELLIN</v>
          </cell>
          <cell r="E100" t="str">
            <v>LEJANA</v>
          </cell>
          <cell r="F100" t="str">
            <v>TERRESTRE</v>
          </cell>
        </row>
        <row r="101">
          <cell r="A101">
            <v>5576</v>
          </cell>
          <cell r="B101" t="str">
            <v>PUEBLORRICO</v>
          </cell>
          <cell r="C101" t="str">
            <v>ANTIOQUIA</v>
          </cell>
          <cell r="D101" t="str">
            <v>MEDELLIN</v>
          </cell>
          <cell r="E101" t="str">
            <v>LEJANA</v>
          </cell>
          <cell r="F101" t="str">
            <v>TERRESTRE</v>
          </cell>
        </row>
        <row r="102">
          <cell r="A102">
            <v>5579</v>
          </cell>
          <cell r="B102" t="str">
            <v>PUERTO BERRIO</v>
          </cell>
          <cell r="C102" t="str">
            <v>ANTIOQUIA</v>
          </cell>
          <cell r="D102" t="str">
            <v>MEDELLIN</v>
          </cell>
          <cell r="E102" t="str">
            <v>LEJANA</v>
          </cell>
          <cell r="F102" t="str">
            <v>TERRESTRE</v>
          </cell>
        </row>
        <row r="103">
          <cell r="A103">
            <v>5585</v>
          </cell>
          <cell r="B103" t="str">
            <v>PUERTO NARE</v>
          </cell>
          <cell r="C103" t="str">
            <v>ANTIOQUIA</v>
          </cell>
          <cell r="D103" t="str">
            <v>MEDELLIN</v>
          </cell>
          <cell r="E103" t="str">
            <v>LEJANA</v>
          </cell>
          <cell r="F103" t="str">
            <v>TERRESTRE</v>
          </cell>
        </row>
        <row r="104">
          <cell r="A104">
            <v>5591</v>
          </cell>
          <cell r="B104" t="str">
            <v>PUERTO TRIUNFO</v>
          </cell>
          <cell r="C104" t="str">
            <v>ANTIOQUIA</v>
          </cell>
          <cell r="D104" t="str">
            <v>MEDELLIN</v>
          </cell>
          <cell r="E104" t="str">
            <v>LEJANA</v>
          </cell>
          <cell r="F104" t="str">
            <v>TERRESTRE</v>
          </cell>
        </row>
        <row r="105">
          <cell r="A105">
            <v>5604</v>
          </cell>
          <cell r="B105" t="str">
            <v>REMEDIOS</v>
          </cell>
          <cell r="C105" t="str">
            <v>ANTIOQUIA</v>
          </cell>
          <cell r="D105" t="str">
            <v>MEDELLIN</v>
          </cell>
          <cell r="E105" t="str">
            <v>LEJANA</v>
          </cell>
          <cell r="F105" t="str">
            <v>TERRESTRE</v>
          </cell>
        </row>
        <row r="106">
          <cell r="A106">
            <v>5607</v>
          </cell>
          <cell r="B106" t="str">
            <v>RETIRO</v>
          </cell>
          <cell r="C106" t="str">
            <v>ANTIOQUIA</v>
          </cell>
          <cell r="D106" t="str">
            <v>MEDELLIN</v>
          </cell>
          <cell r="E106" t="str">
            <v>INTERMEDIA</v>
          </cell>
          <cell r="F106" t="str">
            <v>TERRESTRE</v>
          </cell>
        </row>
        <row r="107">
          <cell r="A107">
            <v>5631</v>
          </cell>
          <cell r="B107" t="str">
            <v>SABANETA</v>
          </cell>
          <cell r="C107" t="str">
            <v>ANTIOQUIA</v>
          </cell>
          <cell r="D107" t="str">
            <v>MEDELLIN</v>
          </cell>
          <cell r="E107" t="str">
            <v>PRINCIPAL</v>
          </cell>
          <cell r="F107" t="str">
            <v>TERRESTRE</v>
          </cell>
        </row>
        <row r="108">
          <cell r="A108">
            <v>5642</v>
          </cell>
          <cell r="B108" t="str">
            <v>SALGAR</v>
          </cell>
          <cell r="C108" t="str">
            <v>ANTIOQUIA</v>
          </cell>
          <cell r="D108" t="str">
            <v>MEDELLIN</v>
          </cell>
          <cell r="E108" t="str">
            <v>INTERMEDIA</v>
          </cell>
          <cell r="F108" t="str">
            <v>TERRESTRE</v>
          </cell>
        </row>
        <row r="109">
          <cell r="A109">
            <v>5647</v>
          </cell>
          <cell r="B109" t="str">
            <v>SAN ANDRES DE CUERQUIA</v>
          </cell>
          <cell r="C109" t="str">
            <v>ANTIOQUIA</v>
          </cell>
          <cell r="D109" t="str">
            <v>MEDELLIN</v>
          </cell>
          <cell r="E109" t="str">
            <v>LEJANA</v>
          </cell>
          <cell r="F109" t="str">
            <v>TERRESTRE</v>
          </cell>
        </row>
        <row r="110">
          <cell r="A110">
            <v>5656</v>
          </cell>
          <cell r="B110" t="str">
            <v>SAN JERONIMO</v>
          </cell>
          <cell r="C110" t="str">
            <v>ANTIOQUIA</v>
          </cell>
          <cell r="D110" t="str">
            <v>MEDELLIN</v>
          </cell>
          <cell r="E110" t="str">
            <v>INTERMEDIA</v>
          </cell>
          <cell r="F110" t="str">
            <v>TERRESTRE</v>
          </cell>
        </row>
        <row r="111">
          <cell r="A111">
            <v>5658</v>
          </cell>
          <cell r="B111" t="str">
            <v>SAN JOSE DE LA MONTAÑA</v>
          </cell>
          <cell r="C111" t="str">
            <v>ANTIOQUIA</v>
          </cell>
          <cell r="D111" t="str">
            <v>MEDELLIN</v>
          </cell>
          <cell r="E111" t="str">
            <v>LEJANA</v>
          </cell>
          <cell r="F111" t="str">
            <v>TERRESTRE</v>
          </cell>
        </row>
        <row r="112">
          <cell r="A112">
            <v>5659</v>
          </cell>
          <cell r="B112" t="str">
            <v>SAN JUAN DE URABA</v>
          </cell>
          <cell r="C112" t="str">
            <v>ANTIOQUIA</v>
          </cell>
          <cell r="D112" t="str">
            <v>MONTERIA</v>
          </cell>
          <cell r="E112" t="str">
            <v>INTERMEDIA</v>
          </cell>
          <cell r="F112" t="str">
            <v>TERRESTRE</v>
          </cell>
        </row>
        <row r="113">
          <cell r="A113">
            <v>5665</v>
          </cell>
          <cell r="B113" t="str">
            <v>SAN PEDRO DE URABA</v>
          </cell>
          <cell r="C113" t="str">
            <v>ANTIOQUIA</v>
          </cell>
          <cell r="D113" t="str">
            <v>APARTADO</v>
          </cell>
          <cell r="E113" t="str">
            <v>LEJANA</v>
          </cell>
          <cell r="F113" t="str">
            <v>TERRESTRE</v>
          </cell>
        </row>
        <row r="114">
          <cell r="A114">
            <v>5667</v>
          </cell>
          <cell r="B114" t="str">
            <v>SAN RAFAEL</v>
          </cell>
          <cell r="C114" t="str">
            <v>ANTIOQUIA</v>
          </cell>
          <cell r="D114" t="str">
            <v>MEDELLIN</v>
          </cell>
          <cell r="E114" t="str">
            <v>LEJANA</v>
          </cell>
          <cell r="F114" t="str">
            <v>TERRESTRE</v>
          </cell>
        </row>
        <row r="115">
          <cell r="A115">
            <v>5670</v>
          </cell>
          <cell r="B115" t="str">
            <v>SAN ROQUE</v>
          </cell>
          <cell r="C115" t="str">
            <v>ANTIOQUIA</v>
          </cell>
          <cell r="D115" t="str">
            <v>MEDELLIN</v>
          </cell>
          <cell r="E115" t="str">
            <v>LEJANA</v>
          </cell>
          <cell r="F115" t="str">
            <v>TERRESTRE</v>
          </cell>
        </row>
        <row r="116">
          <cell r="A116">
            <v>5674</v>
          </cell>
          <cell r="B116" t="str">
            <v>SAN VICENTE</v>
          </cell>
          <cell r="C116" t="str">
            <v>ANTIOQUIA</v>
          </cell>
          <cell r="D116" t="str">
            <v>MEDELLIN</v>
          </cell>
          <cell r="E116" t="str">
            <v>INTERMEDIA</v>
          </cell>
          <cell r="F116" t="str">
            <v>TERRESTRE</v>
          </cell>
        </row>
        <row r="117">
          <cell r="A117">
            <v>5042</v>
          </cell>
          <cell r="B117" t="str">
            <v>SANTA FE DE ANTIOQUIA</v>
          </cell>
          <cell r="C117" t="str">
            <v>ANTIOQUIA</v>
          </cell>
          <cell r="D117" t="str">
            <v>MEDELLIN</v>
          </cell>
          <cell r="E117" t="str">
            <v>INTERMEDIA</v>
          </cell>
          <cell r="F117" t="str">
            <v>TERRESTRE</v>
          </cell>
        </row>
        <row r="118">
          <cell r="A118">
            <v>5686</v>
          </cell>
          <cell r="B118" t="str">
            <v>SANTA ROSA DE OSOS</v>
          </cell>
          <cell r="C118" t="str">
            <v>ANTIOQUIA</v>
          </cell>
          <cell r="D118" t="str">
            <v>MEDELLIN</v>
          </cell>
          <cell r="E118" t="str">
            <v>INTERMEDIA</v>
          </cell>
          <cell r="F118" t="str">
            <v>TERRESTRE</v>
          </cell>
        </row>
        <row r="119">
          <cell r="A119">
            <v>5690</v>
          </cell>
          <cell r="B119" t="str">
            <v>SANTO DOMINGO</v>
          </cell>
          <cell r="C119" t="str">
            <v>ANTIOQUIA</v>
          </cell>
          <cell r="D119" t="str">
            <v>MEDELLIN</v>
          </cell>
          <cell r="E119" t="str">
            <v>INTERMEDIA</v>
          </cell>
          <cell r="F119" t="str">
            <v>TERRESTRE</v>
          </cell>
        </row>
        <row r="120">
          <cell r="A120">
            <v>5736</v>
          </cell>
          <cell r="B120" t="str">
            <v>SEGOVIA</v>
          </cell>
          <cell r="C120" t="str">
            <v>ANTIOQUIA</v>
          </cell>
          <cell r="D120" t="str">
            <v>MEDELLIN</v>
          </cell>
          <cell r="E120" t="str">
            <v>LEJANA</v>
          </cell>
          <cell r="F120" t="str">
            <v>TERRESTRE</v>
          </cell>
        </row>
        <row r="121">
          <cell r="A121">
            <v>5756</v>
          </cell>
          <cell r="B121" t="str">
            <v>SONSON</v>
          </cell>
          <cell r="C121" t="str">
            <v>ANTIOQUIA</v>
          </cell>
          <cell r="D121" t="str">
            <v>MEDELLIN</v>
          </cell>
          <cell r="E121" t="str">
            <v>LEJANA</v>
          </cell>
          <cell r="F121" t="str">
            <v>TERRESTRE</v>
          </cell>
        </row>
        <row r="122">
          <cell r="A122">
            <v>5761</v>
          </cell>
          <cell r="B122" t="str">
            <v>SOPETRAN</v>
          </cell>
          <cell r="C122" t="str">
            <v>ANTIOQUIA</v>
          </cell>
          <cell r="D122" t="str">
            <v>MEDELLIN</v>
          </cell>
          <cell r="E122" t="str">
            <v>INTERMEDIA</v>
          </cell>
          <cell r="F122" t="str">
            <v>TERRESTRE</v>
          </cell>
        </row>
        <row r="123">
          <cell r="A123">
            <v>5789</v>
          </cell>
          <cell r="B123" t="str">
            <v>TAMESIS</v>
          </cell>
          <cell r="C123" t="str">
            <v>ANTIOQUIA</v>
          </cell>
          <cell r="D123" t="str">
            <v>MEDELLIN</v>
          </cell>
          <cell r="E123" t="str">
            <v>LEJANA</v>
          </cell>
          <cell r="F123" t="str">
            <v>TERRESTRE</v>
          </cell>
        </row>
        <row r="124">
          <cell r="A124">
            <v>5790</v>
          </cell>
          <cell r="B124" t="str">
            <v>TARAZA</v>
          </cell>
          <cell r="C124" t="str">
            <v>ANTIOQUIA</v>
          </cell>
          <cell r="D124" t="str">
            <v>MEDELLIN</v>
          </cell>
          <cell r="E124" t="str">
            <v>LEJANA</v>
          </cell>
          <cell r="F124" t="str">
            <v>TERRESTRE</v>
          </cell>
        </row>
        <row r="125">
          <cell r="A125">
            <v>5792</v>
          </cell>
          <cell r="B125" t="str">
            <v>TARSO</v>
          </cell>
          <cell r="C125" t="str">
            <v>ANTIOQUIA</v>
          </cell>
          <cell r="D125" t="str">
            <v>MEDELLIN</v>
          </cell>
          <cell r="E125" t="str">
            <v>LEJANA</v>
          </cell>
          <cell r="F125" t="str">
            <v>TERRESTRE</v>
          </cell>
        </row>
        <row r="126">
          <cell r="A126">
            <v>5809</v>
          </cell>
          <cell r="B126" t="str">
            <v>TITIRIBI</v>
          </cell>
          <cell r="C126" t="str">
            <v>ANTIOQUIA</v>
          </cell>
          <cell r="D126" t="str">
            <v>MEDELLIN</v>
          </cell>
          <cell r="E126" t="str">
            <v>INTERMEDIA</v>
          </cell>
          <cell r="F126" t="str">
            <v>TERRESTRE</v>
          </cell>
        </row>
        <row r="127">
          <cell r="A127">
            <v>5837</v>
          </cell>
          <cell r="B127" t="str">
            <v>TURBO</v>
          </cell>
          <cell r="C127" t="str">
            <v>ANTIOQUIA</v>
          </cell>
          <cell r="D127" t="str">
            <v>APARTADO</v>
          </cell>
          <cell r="E127" t="str">
            <v>INTERMEDIA</v>
          </cell>
          <cell r="F127" t="str">
            <v>TERRESTRE</v>
          </cell>
        </row>
        <row r="128">
          <cell r="A128">
            <v>5842</v>
          </cell>
          <cell r="B128" t="str">
            <v>URAMITA</v>
          </cell>
          <cell r="C128" t="str">
            <v>ANTIOQUIA</v>
          </cell>
          <cell r="D128" t="str">
            <v>MEDELLIN</v>
          </cell>
          <cell r="E128" t="str">
            <v>LEJANA</v>
          </cell>
          <cell r="F128" t="str">
            <v>TERRESTRE</v>
          </cell>
        </row>
        <row r="129">
          <cell r="A129">
            <v>5847</v>
          </cell>
          <cell r="B129" t="str">
            <v>URRAO</v>
          </cell>
          <cell r="C129" t="str">
            <v>ANTIOQUIA</v>
          </cell>
          <cell r="D129" t="str">
            <v>MEDELLIN</v>
          </cell>
          <cell r="E129" t="str">
            <v>LEJANA</v>
          </cell>
          <cell r="F129" t="str">
            <v>TERRESTRE</v>
          </cell>
        </row>
        <row r="130">
          <cell r="A130">
            <v>5854</v>
          </cell>
          <cell r="B130" t="str">
            <v>VALDIVIA</v>
          </cell>
          <cell r="C130" t="str">
            <v>ANTIOQUIA</v>
          </cell>
          <cell r="D130" t="str">
            <v>MEDELLIN</v>
          </cell>
          <cell r="E130" t="str">
            <v>LEJANA</v>
          </cell>
          <cell r="F130" t="str">
            <v>TERRESTRE</v>
          </cell>
        </row>
        <row r="131">
          <cell r="A131">
            <v>5858</v>
          </cell>
          <cell r="B131" t="str">
            <v>VEGACHI</v>
          </cell>
          <cell r="C131" t="str">
            <v>ANTIOQUIA</v>
          </cell>
          <cell r="D131" t="str">
            <v>MEDELLIN</v>
          </cell>
          <cell r="E131" t="str">
            <v>LEJANA</v>
          </cell>
          <cell r="F131" t="str">
            <v>TERRESTRE</v>
          </cell>
        </row>
        <row r="132">
          <cell r="A132">
            <v>5873</v>
          </cell>
          <cell r="B132" t="str">
            <v>VIGIA DEL FUERTE</v>
          </cell>
          <cell r="C132" t="str">
            <v>ANTIOQUIA</v>
          </cell>
          <cell r="D132" t="str">
            <v>APARTADO</v>
          </cell>
          <cell r="E132" t="str">
            <v>LEJANA</v>
          </cell>
          <cell r="F132" t="str">
            <v>AEREO</v>
          </cell>
        </row>
        <row r="133">
          <cell r="A133">
            <v>5885</v>
          </cell>
          <cell r="B133" t="str">
            <v>YALI</v>
          </cell>
          <cell r="C133" t="str">
            <v>ANTIOQUIA</v>
          </cell>
          <cell r="D133" t="str">
            <v>MEDELLIN</v>
          </cell>
          <cell r="E133" t="str">
            <v>INTERMEDIA</v>
          </cell>
          <cell r="F133" t="str">
            <v>TERRESTRE</v>
          </cell>
        </row>
        <row r="134">
          <cell r="A134">
            <v>5887</v>
          </cell>
          <cell r="B134" t="str">
            <v>YARUMAL</v>
          </cell>
          <cell r="C134" t="str">
            <v>ANTIOQUIA</v>
          </cell>
          <cell r="D134" t="str">
            <v>MEDELLIN</v>
          </cell>
          <cell r="E134" t="str">
            <v>LEJANA</v>
          </cell>
          <cell r="F134" t="str">
            <v>TERRESTRE</v>
          </cell>
        </row>
        <row r="135">
          <cell r="A135">
            <v>5890</v>
          </cell>
          <cell r="B135" t="str">
            <v>YOLOMBO</v>
          </cell>
          <cell r="C135" t="str">
            <v>ANTIOQUIA</v>
          </cell>
          <cell r="D135" t="str">
            <v>MEDELLIN</v>
          </cell>
          <cell r="E135" t="str">
            <v>INTERMEDIA</v>
          </cell>
          <cell r="F135" t="str">
            <v>TERRESTRE</v>
          </cell>
        </row>
        <row r="136">
          <cell r="A136">
            <v>5893</v>
          </cell>
          <cell r="B136" t="str">
            <v>YONDO</v>
          </cell>
          <cell r="C136" t="str">
            <v>ANTIOQUIA</v>
          </cell>
          <cell r="D136" t="str">
            <v>BUCARAMANGA</v>
          </cell>
          <cell r="E136" t="str">
            <v>LEJANA</v>
          </cell>
          <cell r="F136" t="str">
            <v>TERRESTRE</v>
          </cell>
        </row>
        <row r="137">
          <cell r="A137">
            <v>5895</v>
          </cell>
          <cell r="B137" t="str">
            <v>ZARAGOZA</v>
          </cell>
          <cell r="C137" t="str">
            <v>ANTIOQUIA</v>
          </cell>
          <cell r="D137" t="str">
            <v>MONTERIA</v>
          </cell>
          <cell r="E137" t="str">
            <v>LEJANA</v>
          </cell>
          <cell r="F137" t="str">
            <v>TERRESTRE</v>
          </cell>
        </row>
        <row r="138">
          <cell r="A138">
            <v>81001</v>
          </cell>
          <cell r="B138" t="str">
            <v>ARAUCA</v>
          </cell>
          <cell r="C138" t="str">
            <v>ARAUCA</v>
          </cell>
          <cell r="D138" t="str">
            <v>BUCARAMANGA</v>
          </cell>
          <cell r="E138" t="str">
            <v>LEJANA</v>
          </cell>
          <cell r="F138" t="str">
            <v>AEREO</v>
          </cell>
        </row>
        <row r="139">
          <cell r="A139">
            <v>81065</v>
          </cell>
          <cell r="B139" t="str">
            <v>ARAUQUITA</v>
          </cell>
          <cell r="C139" t="str">
            <v>ARAUCA</v>
          </cell>
          <cell r="D139" t="str">
            <v>BUCARAMANGA</v>
          </cell>
          <cell r="E139" t="str">
            <v>LEJANA</v>
          </cell>
          <cell r="F139" t="str">
            <v>AEREO</v>
          </cell>
        </row>
        <row r="140">
          <cell r="A140">
            <v>81220</v>
          </cell>
          <cell r="B140" t="str">
            <v>CRAVO NORTE</v>
          </cell>
          <cell r="C140" t="str">
            <v>ARAUCA</v>
          </cell>
          <cell r="D140" t="str">
            <v>BUCARAMANGA</v>
          </cell>
          <cell r="E140" t="str">
            <v>LEJANA</v>
          </cell>
          <cell r="F140" t="str">
            <v>AEREO</v>
          </cell>
        </row>
        <row r="141">
          <cell r="A141">
            <v>81300</v>
          </cell>
          <cell r="B141" t="str">
            <v>FORTUL</v>
          </cell>
          <cell r="C141" t="str">
            <v>ARAUCA</v>
          </cell>
          <cell r="D141" t="str">
            <v>BUCARAMANGA</v>
          </cell>
          <cell r="E141" t="str">
            <v>LEJANA</v>
          </cell>
          <cell r="F141" t="str">
            <v>AEREO</v>
          </cell>
        </row>
        <row r="142">
          <cell r="A142">
            <v>81591</v>
          </cell>
          <cell r="B142" t="str">
            <v>PUERTO RONDON</v>
          </cell>
          <cell r="C142" t="str">
            <v>ARAUCA</v>
          </cell>
          <cell r="D142" t="str">
            <v>BUCARAMANGA</v>
          </cell>
          <cell r="E142" t="str">
            <v>LEJANA</v>
          </cell>
          <cell r="F142" t="str">
            <v>AEREO</v>
          </cell>
        </row>
        <row r="143">
          <cell r="A143">
            <v>81736</v>
          </cell>
          <cell r="B143" t="str">
            <v>SARAVENA</v>
          </cell>
          <cell r="C143" t="str">
            <v>ARAUCA</v>
          </cell>
          <cell r="D143" t="str">
            <v>BUCARAMANGA</v>
          </cell>
          <cell r="E143" t="str">
            <v>LEJANA</v>
          </cell>
          <cell r="F143" t="str">
            <v>AEREO</v>
          </cell>
        </row>
        <row r="144">
          <cell r="A144">
            <v>81794</v>
          </cell>
          <cell r="B144" t="str">
            <v>TAME</v>
          </cell>
          <cell r="C144" t="str">
            <v>ARAUCA</v>
          </cell>
          <cell r="D144" t="str">
            <v>BUCARAMANGA</v>
          </cell>
          <cell r="E144" t="str">
            <v>LEJANA</v>
          </cell>
          <cell r="F144" t="str">
            <v>AEREO</v>
          </cell>
        </row>
        <row r="145">
          <cell r="A145">
            <v>8141</v>
          </cell>
          <cell r="B145" t="str">
            <v>CANDELARIA</v>
          </cell>
          <cell r="C145" t="str">
            <v>ATLANTICO</v>
          </cell>
          <cell r="D145" t="str">
            <v>BARRANQUILLA</v>
          </cell>
          <cell r="E145" t="str">
            <v>INTERMEDIA</v>
          </cell>
          <cell r="F145" t="str">
            <v>TERRESTRE</v>
          </cell>
        </row>
        <row r="146">
          <cell r="A146">
            <v>8573</v>
          </cell>
          <cell r="B146" t="str">
            <v>PUERTO COLOMBIA</v>
          </cell>
          <cell r="C146" t="str">
            <v>ATLANTICO</v>
          </cell>
          <cell r="D146" t="str">
            <v>BARRANQUILLA</v>
          </cell>
          <cell r="E146" t="str">
            <v>INTERMEDIA</v>
          </cell>
          <cell r="F146" t="str">
            <v>TERRESTRE</v>
          </cell>
        </row>
        <row r="147">
          <cell r="A147">
            <v>8638</v>
          </cell>
          <cell r="B147" t="str">
            <v>SABANALARGA</v>
          </cell>
          <cell r="C147" t="str">
            <v>ATLANTICO</v>
          </cell>
          <cell r="D147" t="str">
            <v>BARRANQUILLA</v>
          </cell>
          <cell r="E147" t="str">
            <v>INTERMEDIA</v>
          </cell>
          <cell r="F147" t="str">
            <v>TERRESTRE</v>
          </cell>
        </row>
        <row r="148">
          <cell r="A148">
            <v>8078</v>
          </cell>
          <cell r="B148" t="str">
            <v>BARANOA</v>
          </cell>
          <cell r="C148" t="str">
            <v>ATLANTICO</v>
          </cell>
          <cell r="D148" t="str">
            <v>BARRANQUILLA</v>
          </cell>
          <cell r="E148" t="str">
            <v>INTERMEDIA</v>
          </cell>
          <cell r="F148" t="str">
            <v>TERRESTRE</v>
          </cell>
        </row>
        <row r="149">
          <cell r="A149">
            <v>8001</v>
          </cell>
          <cell r="B149" t="str">
            <v>BARRANQUILLA</v>
          </cell>
          <cell r="C149" t="str">
            <v>ATLANTICO</v>
          </cell>
          <cell r="D149" t="str">
            <v>BARRANQUILLA</v>
          </cell>
          <cell r="E149" t="str">
            <v>PRINCIPAL</v>
          </cell>
          <cell r="F149" t="str">
            <v>TERRESTRE</v>
          </cell>
        </row>
        <row r="150">
          <cell r="A150">
            <v>8137</v>
          </cell>
          <cell r="B150" t="str">
            <v>CAMPO DE LA CRUZ</v>
          </cell>
          <cell r="C150" t="str">
            <v>ATLANTICO</v>
          </cell>
          <cell r="D150" t="str">
            <v>BARRANQUILLA</v>
          </cell>
          <cell r="E150" t="str">
            <v>INTERMEDIA</v>
          </cell>
          <cell r="F150" t="str">
            <v>TERRESTRE</v>
          </cell>
        </row>
        <row r="151">
          <cell r="A151">
            <v>8296</v>
          </cell>
          <cell r="B151" t="str">
            <v>GALAPA</v>
          </cell>
          <cell r="C151" t="str">
            <v>ATLANTICO</v>
          </cell>
          <cell r="D151" t="str">
            <v>BARRANQUILLA</v>
          </cell>
          <cell r="E151" t="str">
            <v>PRINCIPAL</v>
          </cell>
          <cell r="F151" t="str">
            <v>TERRESTRE</v>
          </cell>
        </row>
        <row r="152">
          <cell r="A152">
            <v>8372</v>
          </cell>
          <cell r="B152" t="str">
            <v>JUAN DE ACOSTA</v>
          </cell>
          <cell r="C152" t="str">
            <v>ATLANTICO</v>
          </cell>
          <cell r="D152" t="str">
            <v>BARRANQUILLA</v>
          </cell>
          <cell r="E152" t="str">
            <v>INTERMEDIA</v>
          </cell>
          <cell r="F152" t="str">
            <v>TERRESTRE</v>
          </cell>
        </row>
        <row r="153">
          <cell r="A153">
            <v>8421</v>
          </cell>
          <cell r="B153" t="str">
            <v>LURUACO</v>
          </cell>
          <cell r="C153" t="str">
            <v>ATLANTICO</v>
          </cell>
          <cell r="D153" t="str">
            <v>BARRANQUILLA</v>
          </cell>
          <cell r="E153" t="str">
            <v>INTERMEDIA</v>
          </cell>
          <cell r="F153" t="str">
            <v>TERRESTRE</v>
          </cell>
        </row>
        <row r="154">
          <cell r="A154">
            <v>8433</v>
          </cell>
          <cell r="B154" t="str">
            <v>MALAMBO</v>
          </cell>
          <cell r="C154" t="str">
            <v>ATLANTICO</v>
          </cell>
          <cell r="D154" t="str">
            <v>BARRANQUILLA</v>
          </cell>
          <cell r="E154" t="str">
            <v>INTERMEDIA</v>
          </cell>
          <cell r="F154" t="str">
            <v>TERRESTRE</v>
          </cell>
        </row>
        <row r="155">
          <cell r="A155">
            <v>8436</v>
          </cell>
          <cell r="B155" t="str">
            <v>MANATI</v>
          </cell>
          <cell r="C155" t="str">
            <v>ATLANTICO</v>
          </cell>
          <cell r="D155" t="str">
            <v>BARRANQUILLA</v>
          </cell>
          <cell r="E155" t="str">
            <v>INTERMEDIA</v>
          </cell>
          <cell r="F155" t="str">
            <v>TERRESTRE</v>
          </cell>
        </row>
        <row r="156">
          <cell r="A156">
            <v>8520</v>
          </cell>
          <cell r="B156" t="str">
            <v>PALMAR DE VARELA</v>
          </cell>
          <cell r="C156" t="str">
            <v>ATLANTICO</v>
          </cell>
          <cell r="D156" t="str">
            <v>BARRANQUILLA</v>
          </cell>
          <cell r="E156" t="str">
            <v>INTERMEDIA</v>
          </cell>
          <cell r="F156" t="str">
            <v>TERRESTRE</v>
          </cell>
        </row>
        <row r="157">
          <cell r="A157">
            <v>8549</v>
          </cell>
          <cell r="B157" t="str">
            <v>PIOJO</v>
          </cell>
          <cell r="C157" t="str">
            <v>ATLANTICO</v>
          </cell>
          <cell r="D157" t="str">
            <v>BARRANQUILLA</v>
          </cell>
          <cell r="E157" t="str">
            <v>INTERMEDIA</v>
          </cell>
          <cell r="F157" t="str">
            <v>TERRESTRE</v>
          </cell>
        </row>
        <row r="158">
          <cell r="A158">
            <v>8558</v>
          </cell>
          <cell r="B158" t="str">
            <v>POLONUEVO</v>
          </cell>
          <cell r="C158" t="str">
            <v>ATLANTICO</v>
          </cell>
          <cell r="D158" t="str">
            <v>BARRANQUILLA</v>
          </cell>
          <cell r="E158" t="str">
            <v>INTERMEDIA</v>
          </cell>
          <cell r="F158" t="str">
            <v>TERRESTRE</v>
          </cell>
        </row>
        <row r="159">
          <cell r="A159">
            <v>8560</v>
          </cell>
          <cell r="B159" t="str">
            <v>PONEDERA</v>
          </cell>
          <cell r="C159" t="str">
            <v>ATLANTICO</v>
          </cell>
          <cell r="D159" t="str">
            <v>BARRANQUILLA</v>
          </cell>
          <cell r="E159" t="str">
            <v>INTERMEDIA</v>
          </cell>
          <cell r="F159" t="str">
            <v>TERRESTRE</v>
          </cell>
        </row>
        <row r="160">
          <cell r="A160">
            <v>8606</v>
          </cell>
          <cell r="B160" t="str">
            <v>REPELON</v>
          </cell>
          <cell r="C160" t="str">
            <v>ATLANTICO</v>
          </cell>
          <cell r="D160" t="str">
            <v>BARRANQUILLA</v>
          </cell>
          <cell r="E160" t="str">
            <v>INTERMEDIA</v>
          </cell>
          <cell r="F160" t="str">
            <v>TERRESTRE</v>
          </cell>
        </row>
        <row r="161">
          <cell r="A161">
            <v>8634</v>
          </cell>
          <cell r="B161" t="str">
            <v>SABANAGRANDE</v>
          </cell>
          <cell r="C161" t="str">
            <v>ATLANTICO</v>
          </cell>
          <cell r="D161" t="str">
            <v>BARRANQUILLA</v>
          </cell>
          <cell r="E161" t="str">
            <v>INTERMEDIA</v>
          </cell>
          <cell r="F161" t="str">
            <v>TERRESTRE</v>
          </cell>
        </row>
        <row r="162">
          <cell r="A162">
            <v>8675</v>
          </cell>
          <cell r="B162" t="str">
            <v>SANTA LUCIA</v>
          </cell>
          <cell r="C162" t="str">
            <v>ATLANTICO</v>
          </cell>
          <cell r="D162" t="str">
            <v>BARRANQUILLA</v>
          </cell>
          <cell r="E162" t="str">
            <v>INTERMEDIA</v>
          </cell>
          <cell r="F162" t="str">
            <v>TERRESTRE</v>
          </cell>
        </row>
        <row r="163">
          <cell r="A163">
            <v>8685</v>
          </cell>
          <cell r="B163" t="str">
            <v>SANTO TOMAS</v>
          </cell>
          <cell r="C163" t="str">
            <v>ATLANTICO</v>
          </cell>
          <cell r="D163" t="str">
            <v>BARRANQUILLA</v>
          </cell>
          <cell r="E163" t="str">
            <v>INTERMEDIA</v>
          </cell>
          <cell r="F163" t="str">
            <v>TERRESTRE</v>
          </cell>
        </row>
        <row r="164">
          <cell r="A164">
            <v>8758</v>
          </cell>
          <cell r="B164" t="str">
            <v>SOLEDAD</v>
          </cell>
          <cell r="C164" t="str">
            <v>ATLANTICO</v>
          </cell>
          <cell r="D164" t="str">
            <v>BARRANQUILLA</v>
          </cell>
          <cell r="E164" t="str">
            <v>PRINCIPAL</v>
          </cell>
          <cell r="F164" t="str">
            <v>TERRESTRE</v>
          </cell>
        </row>
        <row r="165">
          <cell r="A165">
            <v>8770</v>
          </cell>
          <cell r="B165" t="str">
            <v>SUAN</v>
          </cell>
          <cell r="C165" t="str">
            <v>ATLANTICO</v>
          </cell>
          <cell r="D165" t="str">
            <v>BARRANQUILLA</v>
          </cell>
          <cell r="E165" t="str">
            <v>INTERMEDIA</v>
          </cell>
          <cell r="F165" t="str">
            <v>TERRESTRE</v>
          </cell>
        </row>
        <row r="166">
          <cell r="A166">
            <v>8832</v>
          </cell>
          <cell r="B166" t="str">
            <v>TUBARA</v>
          </cell>
          <cell r="C166" t="str">
            <v>ATLANTICO</v>
          </cell>
          <cell r="D166" t="str">
            <v>BARRANQUILLA</v>
          </cell>
          <cell r="E166" t="str">
            <v>INTERMEDIA</v>
          </cell>
          <cell r="F166" t="str">
            <v>TERRESTRE</v>
          </cell>
        </row>
        <row r="167">
          <cell r="A167">
            <v>8849</v>
          </cell>
          <cell r="B167" t="str">
            <v>USIACURI</v>
          </cell>
          <cell r="C167" t="str">
            <v>ATLANTICO</v>
          </cell>
          <cell r="D167" t="str">
            <v>BARRANQUILLA</v>
          </cell>
          <cell r="E167" t="str">
            <v>INTERMEDIA</v>
          </cell>
          <cell r="F167" t="str">
            <v>TERRESTRE</v>
          </cell>
        </row>
        <row r="168">
          <cell r="A168">
            <v>13140</v>
          </cell>
          <cell r="B168" t="str">
            <v>CALAMAR</v>
          </cell>
          <cell r="C168" t="str">
            <v>BOLIVAR</v>
          </cell>
          <cell r="D168" t="str">
            <v>CARTAGENA</v>
          </cell>
          <cell r="E168" t="str">
            <v>INTERMEDIA</v>
          </cell>
          <cell r="F168" t="str">
            <v>TERRESTRE</v>
          </cell>
        </row>
        <row r="169">
          <cell r="A169">
            <v>13212</v>
          </cell>
          <cell r="B169" t="str">
            <v>CORDOBA</v>
          </cell>
          <cell r="C169" t="str">
            <v>BOLIVAR</v>
          </cell>
          <cell r="D169" t="str">
            <v>CARTAGENA</v>
          </cell>
          <cell r="E169" t="str">
            <v>LEJANA</v>
          </cell>
          <cell r="F169" t="str">
            <v>TERRESTRE</v>
          </cell>
        </row>
        <row r="170">
          <cell r="A170">
            <v>13268</v>
          </cell>
          <cell r="B170" t="str">
            <v>EL PEÑON</v>
          </cell>
          <cell r="C170" t="str">
            <v>BOLIVAR</v>
          </cell>
          <cell r="D170" t="str">
            <v>VALLEDUPAR</v>
          </cell>
          <cell r="E170" t="str">
            <v>LEJANA</v>
          </cell>
          <cell r="F170" t="str">
            <v>TERRESTRE</v>
          </cell>
        </row>
        <row r="171">
          <cell r="A171">
            <v>13473</v>
          </cell>
          <cell r="B171" t="str">
            <v>MORALES</v>
          </cell>
          <cell r="C171" t="str">
            <v>BOLIVAR</v>
          </cell>
          <cell r="D171" t="str">
            <v>VALLEDUPAR</v>
          </cell>
          <cell r="E171" t="str">
            <v>LEJANA</v>
          </cell>
          <cell r="F171" t="str">
            <v>TERRESTRE</v>
          </cell>
        </row>
        <row r="172">
          <cell r="A172">
            <v>13670</v>
          </cell>
          <cell r="B172" t="str">
            <v>SAN PABLO</v>
          </cell>
          <cell r="C172" t="str">
            <v>BOLIVAR</v>
          </cell>
          <cell r="D172" t="str">
            <v>BUCARAMANGA</v>
          </cell>
          <cell r="E172" t="str">
            <v>LEJANA</v>
          </cell>
          <cell r="F172" t="str">
            <v>TERRESTRE/FLUVIAL</v>
          </cell>
        </row>
        <row r="173">
          <cell r="A173">
            <v>13683</v>
          </cell>
          <cell r="B173" t="str">
            <v>SANTA ROSA</v>
          </cell>
          <cell r="C173" t="str">
            <v>BOLIVAR</v>
          </cell>
          <cell r="D173" t="str">
            <v>CARTAGENA</v>
          </cell>
          <cell r="E173" t="str">
            <v>INTERMEDIA</v>
          </cell>
          <cell r="F173" t="str">
            <v>TERRESTRE</v>
          </cell>
        </row>
        <row r="174">
          <cell r="A174">
            <v>13873</v>
          </cell>
          <cell r="B174" t="str">
            <v>VILLANUEVA</v>
          </cell>
          <cell r="C174" t="str">
            <v>BOLIVAR</v>
          </cell>
          <cell r="D174" t="str">
            <v>CARTAGENA</v>
          </cell>
          <cell r="E174" t="str">
            <v>INTERMEDIA</v>
          </cell>
          <cell r="F174" t="str">
            <v>TERRESTRE</v>
          </cell>
        </row>
        <row r="175">
          <cell r="A175">
            <v>13006</v>
          </cell>
          <cell r="B175" t="str">
            <v>ACHI</v>
          </cell>
          <cell r="C175" t="str">
            <v>BOLIVAR</v>
          </cell>
          <cell r="D175" t="str">
            <v>CARTAGENA</v>
          </cell>
          <cell r="E175" t="str">
            <v>LEJANA</v>
          </cell>
          <cell r="F175" t="str">
            <v>TERRESTRE</v>
          </cell>
        </row>
        <row r="176">
          <cell r="A176">
            <v>13030</v>
          </cell>
          <cell r="B176" t="str">
            <v>ALTOS DEL ROSARIO</v>
          </cell>
          <cell r="C176" t="str">
            <v>BOLIVAR</v>
          </cell>
          <cell r="D176" t="str">
            <v>CARTAGENA</v>
          </cell>
          <cell r="E176" t="str">
            <v>LEJANA</v>
          </cell>
          <cell r="F176" t="str">
            <v>TERRESTRE</v>
          </cell>
        </row>
        <row r="177">
          <cell r="A177">
            <v>13042</v>
          </cell>
          <cell r="B177" t="str">
            <v>ARENAL</v>
          </cell>
          <cell r="C177" t="str">
            <v>BOLIVAR</v>
          </cell>
          <cell r="D177" t="str">
            <v>VALLEDUPAR</v>
          </cell>
          <cell r="E177" t="str">
            <v>LEJANA</v>
          </cell>
          <cell r="F177" t="str">
            <v>TERRESTRE</v>
          </cell>
        </row>
        <row r="178">
          <cell r="A178">
            <v>13052</v>
          </cell>
          <cell r="B178" t="str">
            <v>ARJONA</v>
          </cell>
          <cell r="C178" t="str">
            <v>BOLIVAR</v>
          </cell>
          <cell r="D178" t="str">
            <v>CARTAGENA</v>
          </cell>
          <cell r="E178" t="str">
            <v>INTERMEDIA</v>
          </cell>
          <cell r="F178" t="str">
            <v>TERRESTRE</v>
          </cell>
        </row>
        <row r="179">
          <cell r="A179">
            <v>13062</v>
          </cell>
          <cell r="B179" t="str">
            <v>ARROYOHONDO</v>
          </cell>
          <cell r="C179" t="str">
            <v>BOLIVAR</v>
          </cell>
          <cell r="D179" t="str">
            <v>CARTAGENA</v>
          </cell>
          <cell r="E179" t="str">
            <v>INTERMEDIA</v>
          </cell>
          <cell r="F179" t="str">
            <v>TERRESTRE</v>
          </cell>
        </row>
        <row r="180">
          <cell r="A180">
            <v>13074</v>
          </cell>
          <cell r="B180" t="str">
            <v>BARRANCO DE LOBA</v>
          </cell>
          <cell r="C180" t="str">
            <v>BOLIVAR</v>
          </cell>
          <cell r="D180" t="str">
            <v>VALLEDUPAR</v>
          </cell>
          <cell r="E180" t="str">
            <v>LEJANA</v>
          </cell>
          <cell r="F180" t="str">
            <v>TERRESTRE</v>
          </cell>
        </row>
        <row r="181">
          <cell r="A181">
            <v>13160</v>
          </cell>
          <cell r="B181" t="str">
            <v>CANTAGALLO</v>
          </cell>
          <cell r="C181" t="str">
            <v>BOLIVAR</v>
          </cell>
          <cell r="D181" t="str">
            <v>BUCARAMANGA</v>
          </cell>
          <cell r="E181" t="str">
            <v>LEJANA</v>
          </cell>
          <cell r="F181" t="str">
            <v>TERRESTRE/FLUVIAL</v>
          </cell>
        </row>
        <row r="182">
          <cell r="A182">
            <v>13001</v>
          </cell>
          <cell r="B182" t="str">
            <v>CARTAGENA</v>
          </cell>
          <cell r="C182" t="str">
            <v>BOLIVAR</v>
          </cell>
          <cell r="D182" t="str">
            <v>CARTAGENA</v>
          </cell>
          <cell r="E182" t="str">
            <v>PRINCIPAL</v>
          </cell>
          <cell r="F182" t="str">
            <v>TERRESTRE</v>
          </cell>
        </row>
        <row r="183">
          <cell r="A183">
            <v>13188</v>
          </cell>
          <cell r="B183" t="str">
            <v>CICUCO</v>
          </cell>
          <cell r="C183" t="str">
            <v>BOLIVAR</v>
          </cell>
          <cell r="D183" t="str">
            <v>CARTAGENA</v>
          </cell>
          <cell r="E183" t="str">
            <v>LEJANA</v>
          </cell>
          <cell r="F183" t="str">
            <v>TERRESTRE</v>
          </cell>
        </row>
        <row r="184">
          <cell r="A184">
            <v>13222</v>
          </cell>
          <cell r="B184" t="str">
            <v>CLEMENCIA</v>
          </cell>
          <cell r="C184" t="str">
            <v>BOLIVAR</v>
          </cell>
          <cell r="D184" t="str">
            <v>CARTAGENA</v>
          </cell>
          <cell r="E184" t="str">
            <v>INTERMEDIA</v>
          </cell>
          <cell r="F184" t="str">
            <v>TERRESTRE</v>
          </cell>
        </row>
        <row r="185">
          <cell r="A185">
            <v>13244</v>
          </cell>
          <cell r="B185" t="str">
            <v>EL CARMEN DE BOLIVAR</v>
          </cell>
          <cell r="C185" t="str">
            <v>BOLIVAR</v>
          </cell>
          <cell r="D185" t="str">
            <v>CARTAGENA</v>
          </cell>
          <cell r="E185" t="str">
            <v>LEJANA</v>
          </cell>
          <cell r="F185" t="str">
            <v>TERRESTRE</v>
          </cell>
        </row>
        <row r="186">
          <cell r="A186">
            <v>13248</v>
          </cell>
          <cell r="B186" t="str">
            <v>EL GUAMO</v>
          </cell>
          <cell r="C186" t="str">
            <v>BOLIVAR</v>
          </cell>
          <cell r="D186" t="str">
            <v>CARTAGENA</v>
          </cell>
          <cell r="E186" t="str">
            <v>LEJANA</v>
          </cell>
          <cell r="F186" t="str">
            <v>TERRESTRE</v>
          </cell>
        </row>
        <row r="187">
          <cell r="A187">
            <v>13300</v>
          </cell>
          <cell r="B187" t="str">
            <v>HATILLO DE LOBA</v>
          </cell>
          <cell r="C187" t="str">
            <v>BOLIVAR</v>
          </cell>
          <cell r="D187" t="str">
            <v>VALLEDUPAR</v>
          </cell>
          <cell r="E187" t="str">
            <v>LEJANA</v>
          </cell>
          <cell r="F187" t="str">
            <v>TERRESTRE</v>
          </cell>
        </row>
        <row r="188">
          <cell r="A188">
            <v>13430</v>
          </cell>
          <cell r="B188" t="str">
            <v>MAGANGUE</v>
          </cell>
          <cell r="C188" t="str">
            <v>BOLIVAR</v>
          </cell>
          <cell r="D188" t="str">
            <v>CARTAGENA</v>
          </cell>
          <cell r="E188" t="str">
            <v>LEJANA</v>
          </cell>
          <cell r="F188" t="str">
            <v>TERRESTRE</v>
          </cell>
        </row>
        <row r="189">
          <cell r="A189">
            <v>13433</v>
          </cell>
          <cell r="B189" t="str">
            <v>MAHATES</v>
          </cell>
          <cell r="C189" t="str">
            <v>BOLIVAR</v>
          </cell>
          <cell r="D189" t="str">
            <v>CARTAGENA</v>
          </cell>
          <cell r="E189" t="str">
            <v>INTERMEDIA</v>
          </cell>
          <cell r="F189" t="str">
            <v>TERRESTRE</v>
          </cell>
        </row>
        <row r="190">
          <cell r="A190">
            <v>13440</v>
          </cell>
          <cell r="B190" t="str">
            <v>MARGARITA</v>
          </cell>
          <cell r="C190" t="str">
            <v>BOLIVAR</v>
          </cell>
          <cell r="D190" t="str">
            <v>CARTAGENA</v>
          </cell>
          <cell r="E190" t="str">
            <v>LEJANA</v>
          </cell>
          <cell r="F190" t="str">
            <v>TERRESTRE</v>
          </cell>
        </row>
        <row r="191">
          <cell r="A191">
            <v>13442</v>
          </cell>
          <cell r="B191" t="str">
            <v>MARIA LA BAJA</v>
          </cell>
          <cell r="C191" t="str">
            <v>BOLIVAR</v>
          </cell>
          <cell r="D191" t="str">
            <v>CARTAGENA</v>
          </cell>
          <cell r="E191" t="str">
            <v>INTERMEDIA</v>
          </cell>
          <cell r="F191" t="str">
            <v>TERRESTRE</v>
          </cell>
        </row>
        <row r="192">
          <cell r="A192">
            <v>13468</v>
          </cell>
          <cell r="B192" t="str">
            <v>MOMPOS</v>
          </cell>
          <cell r="C192" t="str">
            <v>BOLIVAR</v>
          </cell>
          <cell r="D192" t="str">
            <v>CARTAGENA</v>
          </cell>
          <cell r="E192" t="str">
            <v>LEJANA</v>
          </cell>
          <cell r="F192" t="str">
            <v>TERRESTRE</v>
          </cell>
        </row>
        <row r="193">
          <cell r="A193">
            <v>13458</v>
          </cell>
          <cell r="B193" t="str">
            <v>MONTECRISTO</v>
          </cell>
          <cell r="C193" t="str">
            <v>BOLIVAR</v>
          </cell>
          <cell r="D193" t="str">
            <v>CARTAGENA</v>
          </cell>
          <cell r="E193" t="str">
            <v>LEJANA</v>
          </cell>
          <cell r="F193" t="str">
            <v>TERRESTRE/FLUVIAL</v>
          </cell>
        </row>
        <row r="194">
          <cell r="A194">
            <v>13490</v>
          </cell>
          <cell r="B194" t="str">
            <v>NOROSI</v>
          </cell>
          <cell r="C194" t="str">
            <v>BOLIVAR</v>
          </cell>
          <cell r="D194" t="str">
            <v>CARTAGENA</v>
          </cell>
          <cell r="E194" t="str">
            <v>LEJANA</v>
          </cell>
          <cell r="F194" t="str">
            <v>TERRESTRE</v>
          </cell>
        </row>
        <row r="195">
          <cell r="A195">
            <v>13549</v>
          </cell>
          <cell r="B195" t="str">
            <v>PINILLOS</v>
          </cell>
          <cell r="C195" t="str">
            <v>BOLIVAR</v>
          </cell>
          <cell r="D195" t="str">
            <v>CARTAGENA</v>
          </cell>
          <cell r="E195" t="str">
            <v>LEJANA</v>
          </cell>
          <cell r="F195" t="str">
            <v>TERRESTRE</v>
          </cell>
        </row>
        <row r="196">
          <cell r="A196">
            <v>13580</v>
          </cell>
          <cell r="B196" t="str">
            <v>REGIDOR</v>
          </cell>
          <cell r="C196" t="str">
            <v>BOLIVAR</v>
          </cell>
          <cell r="D196" t="str">
            <v>CARTAGENA</v>
          </cell>
          <cell r="E196" t="str">
            <v>LEJANA</v>
          </cell>
          <cell r="F196" t="str">
            <v>TERRESTRE</v>
          </cell>
        </row>
        <row r="197">
          <cell r="A197">
            <v>13600</v>
          </cell>
          <cell r="B197" t="str">
            <v>RIO VIEJO</v>
          </cell>
          <cell r="C197" t="str">
            <v>BOLIVAR</v>
          </cell>
          <cell r="D197" t="str">
            <v>VALLEDUPAR</v>
          </cell>
          <cell r="E197" t="str">
            <v>LEJANA</v>
          </cell>
          <cell r="F197" t="str">
            <v>TERRESTRE</v>
          </cell>
        </row>
        <row r="198">
          <cell r="A198">
            <v>13620</v>
          </cell>
          <cell r="B198" t="str">
            <v>SAN CRISTOBAL</v>
          </cell>
          <cell r="C198" t="str">
            <v>BOLIVAR</v>
          </cell>
          <cell r="D198" t="str">
            <v>CARTAGENA</v>
          </cell>
          <cell r="E198" t="str">
            <v>LEJANA</v>
          </cell>
          <cell r="F198" t="str">
            <v>TERRESTRE</v>
          </cell>
        </row>
        <row r="199">
          <cell r="A199">
            <v>13647</v>
          </cell>
          <cell r="B199" t="str">
            <v>SAN ESTANISLAO</v>
          </cell>
          <cell r="C199" t="str">
            <v>BOLIVAR</v>
          </cell>
          <cell r="D199" t="str">
            <v>CARTAGENA</v>
          </cell>
          <cell r="E199" t="str">
            <v>INTERMEDIA</v>
          </cell>
          <cell r="F199" t="str">
            <v>TERRESTRE</v>
          </cell>
        </row>
        <row r="200">
          <cell r="A200">
            <v>13650</v>
          </cell>
          <cell r="B200" t="str">
            <v>SAN FERNANDO</v>
          </cell>
          <cell r="C200" t="str">
            <v>BOLIVAR</v>
          </cell>
          <cell r="D200" t="str">
            <v>CARTAGENA</v>
          </cell>
          <cell r="E200" t="str">
            <v>LEJANA</v>
          </cell>
          <cell r="F200" t="str">
            <v>TERRESTRE</v>
          </cell>
        </row>
        <row r="201">
          <cell r="A201">
            <v>13654</v>
          </cell>
          <cell r="B201" t="str">
            <v>SAN JACINTO</v>
          </cell>
          <cell r="C201" t="str">
            <v>BOLIVAR</v>
          </cell>
          <cell r="D201" t="str">
            <v>CARTAGENA</v>
          </cell>
          <cell r="E201" t="str">
            <v>LEJANA</v>
          </cell>
          <cell r="F201" t="str">
            <v>TERRESTRE</v>
          </cell>
        </row>
        <row r="202">
          <cell r="A202">
            <v>13655</v>
          </cell>
          <cell r="B202" t="str">
            <v>SAN JACINTO DEL CAUCA</v>
          </cell>
          <cell r="C202" t="str">
            <v>BOLIVAR</v>
          </cell>
          <cell r="D202" t="str">
            <v>CARTAGENA</v>
          </cell>
          <cell r="E202" t="str">
            <v>LEJANA</v>
          </cell>
          <cell r="F202" t="str">
            <v>TERRESTRE</v>
          </cell>
        </row>
        <row r="203">
          <cell r="A203">
            <v>13657</v>
          </cell>
          <cell r="B203" t="str">
            <v>SAN JUAN NEPOMUCENO</v>
          </cell>
          <cell r="C203" t="str">
            <v>BOLIVAR</v>
          </cell>
          <cell r="D203" t="str">
            <v>CARTAGENA</v>
          </cell>
          <cell r="E203" t="str">
            <v>INTERMEDIA</v>
          </cell>
          <cell r="F203" t="str">
            <v>TERRESTRE</v>
          </cell>
        </row>
        <row r="204">
          <cell r="A204">
            <v>13667</v>
          </cell>
          <cell r="B204" t="str">
            <v>SAN MARTIN DE LOBA</v>
          </cell>
          <cell r="C204" t="str">
            <v>BOLIVAR</v>
          </cell>
          <cell r="D204" t="str">
            <v>CARTAGENA</v>
          </cell>
          <cell r="E204" t="str">
            <v>LEJANA</v>
          </cell>
          <cell r="F204" t="str">
            <v>TERRESTRE</v>
          </cell>
        </row>
        <row r="205">
          <cell r="A205">
            <v>13673</v>
          </cell>
          <cell r="B205" t="str">
            <v>SANTA CATALINA</v>
          </cell>
          <cell r="C205" t="str">
            <v>BOLIVAR</v>
          </cell>
          <cell r="D205" t="str">
            <v>CARTAGENA</v>
          </cell>
          <cell r="E205" t="str">
            <v>INTERMEDIA</v>
          </cell>
          <cell r="F205" t="str">
            <v>TERRESTRE</v>
          </cell>
        </row>
        <row r="206">
          <cell r="A206">
            <v>13688</v>
          </cell>
          <cell r="B206" t="str">
            <v>SANTA ROSA DEL SUR</v>
          </cell>
          <cell r="C206" t="str">
            <v>BOLIVAR</v>
          </cell>
          <cell r="D206" t="str">
            <v>BUCARAMANGA</v>
          </cell>
          <cell r="E206" t="str">
            <v>LEJANA</v>
          </cell>
          <cell r="F206" t="str">
            <v>TERRESTRE/FLUVIAL</v>
          </cell>
        </row>
        <row r="207">
          <cell r="A207">
            <v>13744</v>
          </cell>
          <cell r="B207" t="str">
            <v>SIMITI</v>
          </cell>
          <cell r="C207" t="str">
            <v>BOLIVAR</v>
          </cell>
          <cell r="D207" t="str">
            <v>BUCARAMANGA</v>
          </cell>
          <cell r="E207" t="str">
            <v>LEJANA</v>
          </cell>
          <cell r="F207" t="str">
            <v>TERRESTRE/FLUVIAL</v>
          </cell>
        </row>
        <row r="208">
          <cell r="A208">
            <v>13760</v>
          </cell>
          <cell r="B208" t="str">
            <v>SOPLAVIENTO</v>
          </cell>
          <cell r="C208" t="str">
            <v>BOLIVAR</v>
          </cell>
          <cell r="D208" t="str">
            <v>CARTAGENA</v>
          </cell>
          <cell r="E208" t="str">
            <v>LEJANA</v>
          </cell>
          <cell r="F208" t="str">
            <v>TERRESTRE</v>
          </cell>
        </row>
        <row r="209">
          <cell r="A209">
            <v>13780</v>
          </cell>
          <cell r="B209" t="str">
            <v>TALAIGUA NUEVO</v>
          </cell>
          <cell r="C209" t="str">
            <v>BOLIVAR</v>
          </cell>
          <cell r="D209" t="str">
            <v>CARTAGENA</v>
          </cell>
          <cell r="E209" t="str">
            <v>LEJANA</v>
          </cell>
          <cell r="F209" t="str">
            <v>TERRESTRE</v>
          </cell>
        </row>
        <row r="210">
          <cell r="A210">
            <v>13810</v>
          </cell>
          <cell r="B210" t="str">
            <v>TIQUISIO</v>
          </cell>
          <cell r="C210" t="str">
            <v>BOLIVAR</v>
          </cell>
          <cell r="D210" t="str">
            <v>CARTAGENA</v>
          </cell>
          <cell r="E210" t="str">
            <v>LEJANA</v>
          </cell>
          <cell r="F210" t="str">
            <v>TERRESTRE</v>
          </cell>
        </row>
        <row r="211">
          <cell r="A211">
            <v>13836</v>
          </cell>
          <cell r="B211" t="str">
            <v>TURBACO</v>
          </cell>
          <cell r="C211" t="str">
            <v>BOLIVAR</v>
          </cell>
          <cell r="D211" t="str">
            <v>CARTAGENA</v>
          </cell>
          <cell r="E211" t="str">
            <v>INTERMEDIA</v>
          </cell>
          <cell r="F211" t="str">
            <v>TERRESTRE</v>
          </cell>
        </row>
        <row r="212">
          <cell r="A212">
            <v>13838</v>
          </cell>
          <cell r="B212" t="str">
            <v>TURBANA</v>
          </cell>
          <cell r="C212" t="str">
            <v>BOLIVAR</v>
          </cell>
          <cell r="D212" t="str">
            <v>CARTAGENA</v>
          </cell>
          <cell r="E212" t="str">
            <v>INTERMEDIA</v>
          </cell>
          <cell r="F212" t="str">
            <v>TERRESTRE</v>
          </cell>
        </row>
        <row r="213">
          <cell r="A213">
            <v>13894</v>
          </cell>
          <cell r="B213" t="str">
            <v>ZAMBRANO</v>
          </cell>
          <cell r="C213" t="str">
            <v>BOLIVAR</v>
          </cell>
          <cell r="D213" t="str">
            <v>CARTAGENA</v>
          </cell>
          <cell r="E213" t="str">
            <v>LEJANA</v>
          </cell>
          <cell r="F213" t="str">
            <v>TERRESTRE</v>
          </cell>
        </row>
        <row r="214">
          <cell r="A214">
            <v>15087</v>
          </cell>
          <cell r="B214" t="str">
            <v>BELEN</v>
          </cell>
          <cell r="C214" t="str">
            <v>BOYACA</v>
          </cell>
          <cell r="D214" t="str">
            <v>TUNJA</v>
          </cell>
          <cell r="E214" t="str">
            <v>INTERMEDIA</v>
          </cell>
          <cell r="F214" t="str">
            <v>TERRESTRE</v>
          </cell>
        </row>
        <row r="215">
          <cell r="A215">
            <v>15106</v>
          </cell>
          <cell r="B215" t="str">
            <v>BRICEÑO</v>
          </cell>
          <cell r="C215" t="str">
            <v>BOYACA</v>
          </cell>
          <cell r="D215" t="str">
            <v>TUNJA</v>
          </cell>
          <cell r="E215" t="str">
            <v>LEJANA</v>
          </cell>
          <cell r="F215" t="str">
            <v>TERRESTRE</v>
          </cell>
        </row>
        <row r="216">
          <cell r="A216">
            <v>15109</v>
          </cell>
          <cell r="B216" t="str">
            <v>BUENAVISTA</v>
          </cell>
          <cell r="C216" t="str">
            <v>BOYACA</v>
          </cell>
          <cell r="D216" t="str">
            <v>TUNJA</v>
          </cell>
          <cell r="E216" t="str">
            <v>LEJANA</v>
          </cell>
          <cell r="F216" t="str">
            <v>TERRESTRE</v>
          </cell>
        </row>
        <row r="217">
          <cell r="A217">
            <v>15131</v>
          </cell>
          <cell r="B217" t="str">
            <v>CALDAS</v>
          </cell>
          <cell r="C217" t="str">
            <v>BOYACA</v>
          </cell>
          <cell r="D217" t="str">
            <v>TUNJA</v>
          </cell>
          <cell r="E217" t="str">
            <v>INTERMEDIA</v>
          </cell>
          <cell r="F217" t="str">
            <v>TERRESTRE</v>
          </cell>
        </row>
        <row r="218">
          <cell r="A218">
            <v>15189</v>
          </cell>
          <cell r="B218" t="str">
            <v>CIENAGA</v>
          </cell>
          <cell r="C218" t="str">
            <v>BOYACA</v>
          </cell>
          <cell r="D218" t="str">
            <v>TUNJA</v>
          </cell>
          <cell r="E218" t="str">
            <v>INTERMEDIA</v>
          </cell>
          <cell r="F218" t="str">
            <v>TERRESTRE</v>
          </cell>
        </row>
        <row r="219">
          <cell r="A219">
            <v>15368</v>
          </cell>
          <cell r="B219" t="str">
            <v>JERICO</v>
          </cell>
          <cell r="C219" t="str">
            <v>BOYACA</v>
          </cell>
          <cell r="D219" t="str">
            <v>TUNJA</v>
          </cell>
          <cell r="E219" t="str">
            <v>LEJANA</v>
          </cell>
          <cell r="F219" t="str">
            <v>TERRESTRE</v>
          </cell>
        </row>
        <row r="220">
          <cell r="A220">
            <v>15401</v>
          </cell>
          <cell r="B220" t="str">
            <v>LA VICTORIA</v>
          </cell>
          <cell r="C220" t="str">
            <v>BOYACA</v>
          </cell>
          <cell r="D220" t="str">
            <v>TUNJA</v>
          </cell>
          <cell r="E220" t="str">
            <v>LEJANA</v>
          </cell>
          <cell r="F220" t="str">
            <v>TERRESTRE</v>
          </cell>
        </row>
        <row r="221">
          <cell r="A221">
            <v>15455</v>
          </cell>
          <cell r="B221" t="str">
            <v>MIRAFLORES</v>
          </cell>
          <cell r="C221" t="str">
            <v>BOYACA</v>
          </cell>
          <cell r="D221" t="str">
            <v>TUNJA</v>
          </cell>
          <cell r="E221" t="str">
            <v>LEJANA</v>
          </cell>
          <cell r="F221" t="str">
            <v>TERRESTRE</v>
          </cell>
        </row>
        <row r="222">
          <cell r="A222">
            <v>15514</v>
          </cell>
          <cell r="B222" t="str">
            <v>PAEZ</v>
          </cell>
          <cell r="C222" t="str">
            <v>BOYACA</v>
          </cell>
          <cell r="D222" t="str">
            <v>TUNJA</v>
          </cell>
          <cell r="E222" t="str">
            <v>LEJANA</v>
          </cell>
          <cell r="F222" t="str">
            <v>TERRESTRE</v>
          </cell>
        </row>
        <row r="223">
          <cell r="A223">
            <v>15690</v>
          </cell>
          <cell r="B223" t="str">
            <v>SANTA MARIA</v>
          </cell>
          <cell r="C223" t="str">
            <v>BOYACA</v>
          </cell>
          <cell r="D223" t="str">
            <v>TUNJA</v>
          </cell>
          <cell r="E223" t="str">
            <v>LEJANA</v>
          </cell>
          <cell r="F223" t="str">
            <v>TERRESTRE</v>
          </cell>
        </row>
        <row r="224">
          <cell r="A224">
            <v>15022</v>
          </cell>
          <cell r="B224" t="str">
            <v>ALMEIDA</v>
          </cell>
          <cell r="C224" t="str">
            <v>BOYACA</v>
          </cell>
          <cell r="D224" t="str">
            <v>TUNJA</v>
          </cell>
          <cell r="E224" t="str">
            <v>LEJANA</v>
          </cell>
          <cell r="F224" t="str">
            <v>TERRESTRE</v>
          </cell>
        </row>
        <row r="225">
          <cell r="A225">
            <v>15047</v>
          </cell>
          <cell r="B225" t="str">
            <v>AQUITANIA</v>
          </cell>
          <cell r="C225" t="str">
            <v>BOYACA</v>
          </cell>
          <cell r="D225" t="str">
            <v>TUNJA</v>
          </cell>
          <cell r="E225" t="str">
            <v>LEJANA</v>
          </cell>
          <cell r="F225" t="str">
            <v>TERRESTRE</v>
          </cell>
        </row>
        <row r="226">
          <cell r="A226">
            <v>15051</v>
          </cell>
          <cell r="B226" t="str">
            <v>ARCABUCO</v>
          </cell>
          <cell r="C226" t="str">
            <v>BOYACA</v>
          </cell>
          <cell r="D226" t="str">
            <v>TUNJA</v>
          </cell>
          <cell r="E226" t="str">
            <v>INTERMEDIA</v>
          </cell>
          <cell r="F226" t="str">
            <v>TERRESTRE</v>
          </cell>
        </row>
        <row r="227">
          <cell r="A227">
            <v>15090</v>
          </cell>
          <cell r="B227" t="str">
            <v>BERBEO</v>
          </cell>
          <cell r="C227" t="str">
            <v>BOYACA</v>
          </cell>
          <cell r="D227" t="str">
            <v>TUNJA</v>
          </cell>
          <cell r="E227" t="str">
            <v>LEJANA</v>
          </cell>
          <cell r="F227" t="str">
            <v>TERRESTRE</v>
          </cell>
        </row>
        <row r="228">
          <cell r="A228">
            <v>15092</v>
          </cell>
          <cell r="B228" t="str">
            <v>BETEITIVA</v>
          </cell>
          <cell r="C228" t="str">
            <v>BOYACA</v>
          </cell>
          <cell r="D228" t="str">
            <v>TUNJA</v>
          </cell>
          <cell r="E228" t="str">
            <v>LEJANA</v>
          </cell>
          <cell r="F228" t="str">
            <v>TERRESTRE</v>
          </cell>
        </row>
        <row r="229">
          <cell r="A229">
            <v>15097</v>
          </cell>
          <cell r="B229" t="str">
            <v>BOAVITA</v>
          </cell>
          <cell r="C229" t="str">
            <v>BOYACA</v>
          </cell>
          <cell r="D229" t="str">
            <v>TUNJA</v>
          </cell>
          <cell r="E229" t="str">
            <v>LEJANA</v>
          </cell>
          <cell r="F229" t="str">
            <v>TERRESTRE</v>
          </cell>
        </row>
        <row r="230">
          <cell r="A230">
            <v>15104</v>
          </cell>
          <cell r="B230" t="str">
            <v>BOYACA</v>
          </cell>
          <cell r="C230" t="str">
            <v>BOYACA</v>
          </cell>
          <cell r="D230" t="str">
            <v>TUNJA</v>
          </cell>
          <cell r="E230" t="str">
            <v>INTERMEDIA</v>
          </cell>
          <cell r="F230" t="str">
            <v>TERRESTRE</v>
          </cell>
        </row>
        <row r="231">
          <cell r="A231">
            <v>15114</v>
          </cell>
          <cell r="B231" t="str">
            <v>BUSBANZA</v>
          </cell>
          <cell r="C231" t="str">
            <v>BOYACA</v>
          </cell>
          <cell r="D231" t="str">
            <v>TUNJA</v>
          </cell>
          <cell r="E231" t="str">
            <v>INTERMEDIA</v>
          </cell>
          <cell r="F231" t="str">
            <v>TERRESTRE</v>
          </cell>
        </row>
        <row r="232">
          <cell r="A232">
            <v>15135</v>
          </cell>
          <cell r="B232" t="str">
            <v>CAMPOHERMOSO</v>
          </cell>
          <cell r="C232" t="str">
            <v>BOYACA</v>
          </cell>
          <cell r="D232" t="str">
            <v>TUNJA</v>
          </cell>
          <cell r="E232" t="str">
            <v>LEJANA</v>
          </cell>
          <cell r="F232" t="str">
            <v>TERRESTRE</v>
          </cell>
        </row>
        <row r="233">
          <cell r="A233">
            <v>15162</v>
          </cell>
          <cell r="B233" t="str">
            <v>CERINZA</v>
          </cell>
          <cell r="C233" t="str">
            <v>BOYACA</v>
          </cell>
          <cell r="D233" t="str">
            <v>TUNJA</v>
          </cell>
          <cell r="E233" t="str">
            <v>INTERMEDIA</v>
          </cell>
          <cell r="F233" t="str">
            <v>TERRESTRE</v>
          </cell>
        </row>
        <row r="234">
          <cell r="A234">
            <v>15172</v>
          </cell>
          <cell r="B234" t="str">
            <v>CHINAVITA</v>
          </cell>
          <cell r="C234" t="str">
            <v>BOYACA</v>
          </cell>
          <cell r="D234" t="str">
            <v>TUNJA</v>
          </cell>
          <cell r="E234" t="str">
            <v>LEJANA</v>
          </cell>
          <cell r="F234" t="str">
            <v>TERRESTRE</v>
          </cell>
        </row>
        <row r="235">
          <cell r="A235">
            <v>15176</v>
          </cell>
          <cell r="B235" t="str">
            <v>CHIQUINQUIRA</v>
          </cell>
          <cell r="C235" t="str">
            <v>BOYACA</v>
          </cell>
          <cell r="D235" t="str">
            <v>TUNJA</v>
          </cell>
          <cell r="E235" t="str">
            <v>LEJANA</v>
          </cell>
          <cell r="F235" t="str">
            <v>TERRESTRE</v>
          </cell>
        </row>
        <row r="236">
          <cell r="A236">
            <v>15232</v>
          </cell>
          <cell r="B236" t="str">
            <v>CHIQUIZA</v>
          </cell>
          <cell r="C236" t="str">
            <v>BOYACA</v>
          </cell>
          <cell r="D236" t="str">
            <v>TUNJA</v>
          </cell>
          <cell r="E236" t="str">
            <v>INTERMEDIA</v>
          </cell>
          <cell r="F236" t="str">
            <v>TERRESTRE</v>
          </cell>
        </row>
        <row r="237">
          <cell r="A237">
            <v>15180</v>
          </cell>
          <cell r="B237" t="str">
            <v>CHISCAS</v>
          </cell>
          <cell r="C237" t="str">
            <v>BOYACA</v>
          </cell>
          <cell r="D237" t="str">
            <v>TUNJA</v>
          </cell>
          <cell r="E237" t="str">
            <v>LEJANA</v>
          </cell>
          <cell r="F237" t="str">
            <v>TERRESTRE</v>
          </cell>
        </row>
        <row r="238">
          <cell r="A238">
            <v>15183</v>
          </cell>
          <cell r="B238" t="str">
            <v>CHITA</v>
          </cell>
          <cell r="C238" t="str">
            <v>BOYACA</v>
          </cell>
          <cell r="D238" t="str">
            <v>TUNJA</v>
          </cell>
          <cell r="E238" t="str">
            <v>LEJANA</v>
          </cell>
          <cell r="F238" t="str">
            <v>TERRESTRE</v>
          </cell>
        </row>
        <row r="239">
          <cell r="A239">
            <v>15185</v>
          </cell>
          <cell r="B239" t="str">
            <v>CHITARAQUE</v>
          </cell>
          <cell r="C239" t="str">
            <v>BOYACA</v>
          </cell>
          <cell r="D239" t="str">
            <v>TUNJA</v>
          </cell>
          <cell r="E239" t="str">
            <v>INTERMEDIA</v>
          </cell>
          <cell r="F239" t="str">
            <v>TERRESTRE</v>
          </cell>
        </row>
        <row r="240">
          <cell r="A240">
            <v>15187</v>
          </cell>
          <cell r="B240" t="str">
            <v>CHIVATA</v>
          </cell>
          <cell r="C240" t="str">
            <v>BOYACA</v>
          </cell>
          <cell r="D240" t="str">
            <v>TUNJA</v>
          </cell>
          <cell r="E240" t="str">
            <v>INTERMEDIA</v>
          </cell>
          <cell r="F240" t="str">
            <v>TERRESTRE</v>
          </cell>
        </row>
        <row r="241">
          <cell r="A241">
            <v>15236</v>
          </cell>
          <cell r="B241" t="str">
            <v>CHIVOR</v>
          </cell>
          <cell r="C241" t="str">
            <v>BOYACA</v>
          </cell>
          <cell r="D241" t="str">
            <v>TUNJA</v>
          </cell>
          <cell r="E241" t="str">
            <v>LEJANA</v>
          </cell>
          <cell r="F241" t="str">
            <v>TERRESTRE</v>
          </cell>
        </row>
        <row r="242">
          <cell r="A242">
            <v>15204</v>
          </cell>
          <cell r="B242" t="str">
            <v>COMBITA</v>
          </cell>
          <cell r="C242" t="str">
            <v>BOYACA</v>
          </cell>
          <cell r="D242" t="str">
            <v>TUNJA</v>
          </cell>
          <cell r="E242" t="str">
            <v>INTERMEDIA</v>
          </cell>
          <cell r="F242" t="str">
            <v>TERRESTRE</v>
          </cell>
        </row>
        <row r="243">
          <cell r="A243">
            <v>15212</v>
          </cell>
          <cell r="B243" t="str">
            <v>COPER</v>
          </cell>
          <cell r="C243" t="str">
            <v>BOYACA</v>
          </cell>
          <cell r="D243" t="str">
            <v>TUNJA</v>
          </cell>
          <cell r="E243" t="str">
            <v>LEJANA</v>
          </cell>
          <cell r="F243" t="str">
            <v>TERRESTRE</v>
          </cell>
        </row>
        <row r="244">
          <cell r="A244">
            <v>15215</v>
          </cell>
          <cell r="B244" t="str">
            <v>CORRALES</v>
          </cell>
          <cell r="C244" t="str">
            <v>BOYACA</v>
          </cell>
          <cell r="D244" t="str">
            <v>TUNJA</v>
          </cell>
          <cell r="E244" t="str">
            <v>INTERMEDIA</v>
          </cell>
          <cell r="F244" t="str">
            <v>TERRESTRE</v>
          </cell>
        </row>
        <row r="245">
          <cell r="A245">
            <v>15218</v>
          </cell>
          <cell r="B245" t="str">
            <v>COVARACHIA</v>
          </cell>
          <cell r="C245" t="str">
            <v>BOYACA</v>
          </cell>
          <cell r="D245" t="str">
            <v>TUNJA</v>
          </cell>
          <cell r="E245" t="str">
            <v>LEJANA</v>
          </cell>
          <cell r="F245" t="str">
            <v>TERRESTRE</v>
          </cell>
        </row>
        <row r="246">
          <cell r="A246">
            <v>15223</v>
          </cell>
          <cell r="B246" t="str">
            <v>CUBARA</v>
          </cell>
          <cell r="C246" t="str">
            <v>BOYACA</v>
          </cell>
          <cell r="D246" t="str">
            <v>BUCARAMANGA</v>
          </cell>
          <cell r="E246" t="str">
            <v>LEJANA</v>
          </cell>
          <cell r="F246" t="str">
            <v>AEREO</v>
          </cell>
        </row>
        <row r="247">
          <cell r="A247">
            <v>15224</v>
          </cell>
          <cell r="B247" t="str">
            <v>CUCAITA</v>
          </cell>
          <cell r="C247" t="str">
            <v>BOYACA</v>
          </cell>
          <cell r="D247" t="str">
            <v>TUNJA</v>
          </cell>
          <cell r="E247" t="str">
            <v>INTERMEDIA</v>
          </cell>
          <cell r="F247" t="str">
            <v>TERRESTRE</v>
          </cell>
        </row>
        <row r="248">
          <cell r="A248">
            <v>15226</v>
          </cell>
          <cell r="B248" t="str">
            <v>CUITIVA</v>
          </cell>
          <cell r="C248" t="str">
            <v>BOYACA</v>
          </cell>
          <cell r="D248" t="str">
            <v>TUNJA</v>
          </cell>
          <cell r="E248" t="str">
            <v>INTERMEDIA</v>
          </cell>
          <cell r="F248" t="str">
            <v>TERRESTRE</v>
          </cell>
        </row>
        <row r="249">
          <cell r="A249">
            <v>15238</v>
          </cell>
          <cell r="B249" t="str">
            <v>DUITAMA</v>
          </cell>
          <cell r="C249" t="str">
            <v>BOYACA</v>
          </cell>
          <cell r="D249" t="str">
            <v>TUNJA</v>
          </cell>
          <cell r="E249" t="str">
            <v>INTERMEDIA</v>
          </cell>
          <cell r="F249" t="str">
            <v>TERRESTRE</v>
          </cell>
        </row>
        <row r="250">
          <cell r="A250">
            <v>15244</v>
          </cell>
          <cell r="B250" t="str">
            <v>EL COCUY</v>
          </cell>
          <cell r="C250" t="str">
            <v>BOYACA</v>
          </cell>
          <cell r="D250" t="str">
            <v>TUNJA</v>
          </cell>
          <cell r="E250" t="str">
            <v>LEJANA</v>
          </cell>
          <cell r="F250" t="str">
            <v>TERRESTRE</v>
          </cell>
        </row>
        <row r="251">
          <cell r="A251">
            <v>15248</v>
          </cell>
          <cell r="B251" t="str">
            <v>EL ESPINO</v>
          </cell>
          <cell r="C251" t="str">
            <v>BOYACA</v>
          </cell>
          <cell r="D251" t="str">
            <v>TUNJA</v>
          </cell>
          <cell r="E251" t="str">
            <v>LEJANA</v>
          </cell>
          <cell r="F251" t="str">
            <v>TERRESTRE</v>
          </cell>
        </row>
        <row r="252">
          <cell r="A252">
            <v>15272</v>
          </cell>
          <cell r="B252" t="str">
            <v>FIRAVITOBA</v>
          </cell>
          <cell r="C252" t="str">
            <v>BOYACA</v>
          </cell>
          <cell r="D252" t="str">
            <v>TUNJA</v>
          </cell>
          <cell r="E252" t="str">
            <v>INTERMEDIA</v>
          </cell>
          <cell r="F252" t="str">
            <v>TERRESTRE</v>
          </cell>
        </row>
        <row r="253">
          <cell r="A253">
            <v>15276</v>
          </cell>
          <cell r="B253" t="str">
            <v>FLORESTA</v>
          </cell>
          <cell r="C253" t="str">
            <v>BOYACA</v>
          </cell>
          <cell r="D253" t="str">
            <v>TUNJA</v>
          </cell>
          <cell r="E253" t="str">
            <v>INTERMEDIA</v>
          </cell>
          <cell r="F253" t="str">
            <v>TERRESTRE</v>
          </cell>
        </row>
        <row r="254">
          <cell r="A254">
            <v>15293</v>
          </cell>
          <cell r="B254" t="str">
            <v>GACHANTIVA</v>
          </cell>
          <cell r="C254" t="str">
            <v>BOYACA</v>
          </cell>
          <cell r="D254" t="str">
            <v>TUNJA</v>
          </cell>
          <cell r="E254" t="str">
            <v>INTERMEDIA</v>
          </cell>
          <cell r="F254" t="str">
            <v>TERRESTRE</v>
          </cell>
        </row>
        <row r="255">
          <cell r="A255">
            <v>15296</v>
          </cell>
          <cell r="B255" t="str">
            <v>GAMEZA</v>
          </cell>
          <cell r="C255" t="str">
            <v>BOYACA</v>
          </cell>
          <cell r="D255" t="str">
            <v>TUNJA</v>
          </cell>
          <cell r="E255" t="str">
            <v>LEJANA</v>
          </cell>
          <cell r="F255" t="str">
            <v>TERRESTRE</v>
          </cell>
        </row>
        <row r="256">
          <cell r="A256">
            <v>15299</v>
          </cell>
          <cell r="B256" t="str">
            <v>GARAGOA</v>
          </cell>
          <cell r="C256" t="str">
            <v>BOYACA</v>
          </cell>
          <cell r="D256" t="str">
            <v>TUNJA</v>
          </cell>
          <cell r="E256" t="str">
            <v>LEJANA</v>
          </cell>
          <cell r="F256" t="str">
            <v>TERRESTRE</v>
          </cell>
        </row>
        <row r="257">
          <cell r="A257">
            <v>15317</v>
          </cell>
          <cell r="B257" t="str">
            <v>GUACAMAYAS</v>
          </cell>
          <cell r="C257" t="str">
            <v>BOYACA</v>
          </cell>
          <cell r="D257" t="str">
            <v>TUNJA</v>
          </cell>
          <cell r="E257" t="str">
            <v>LEJANA</v>
          </cell>
          <cell r="F257" t="str">
            <v>TERRESTRE</v>
          </cell>
        </row>
        <row r="258">
          <cell r="A258">
            <v>15322</v>
          </cell>
          <cell r="B258" t="str">
            <v>GUATEQUE</v>
          </cell>
          <cell r="C258" t="str">
            <v>BOYACA</v>
          </cell>
          <cell r="D258" t="str">
            <v>TUNJA</v>
          </cell>
          <cell r="E258" t="str">
            <v>INTERMEDIA</v>
          </cell>
          <cell r="F258" t="str">
            <v>TERRESTRE</v>
          </cell>
        </row>
        <row r="259">
          <cell r="A259">
            <v>15325</v>
          </cell>
          <cell r="B259" t="str">
            <v>GUAYATA</v>
          </cell>
          <cell r="C259" t="str">
            <v>BOYACA</v>
          </cell>
          <cell r="D259" t="str">
            <v>TUNJA</v>
          </cell>
          <cell r="E259" t="str">
            <v>LEJANA</v>
          </cell>
          <cell r="F259" t="str">
            <v>TERRESTRE</v>
          </cell>
        </row>
        <row r="260">
          <cell r="A260">
            <v>15332</v>
          </cell>
          <cell r="B260" t="str">
            <v>GUICAN</v>
          </cell>
          <cell r="C260" t="str">
            <v>BOYACA</v>
          </cell>
          <cell r="D260" t="str">
            <v>TUNJA</v>
          </cell>
          <cell r="E260" t="str">
            <v>LEJANA</v>
          </cell>
          <cell r="F260" t="str">
            <v>TERRESTRE</v>
          </cell>
        </row>
        <row r="261">
          <cell r="A261">
            <v>15362</v>
          </cell>
          <cell r="B261" t="str">
            <v>IZA</v>
          </cell>
          <cell r="C261" t="str">
            <v>BOYACA</v>
          </cell>
          <cell r="D261" t="str">
            <v>TUNJA</v>
          </cell>
          <cell r="E261" t="str">
            <v>INTERMEDIA</v>
          </cell>
          <cell r="F261" t="str">
            <v>TERRESTRE</v>
          </cell>
        </row>
        <row r="262">
          <cell r="A262">
            <v>15367</v>
          </cell>
          <cell r="B262" t="str">
            <v>JENESANO</v>
          </cell>
          <cell r="C262" t="str">
            <v>BOYACA</v>
          </cell>
          <cell r="D262" t="str">
            <v>TUNJA</v>
          </cell>
          <cell r="E262" t="str">
            <v>INTERMEDIA</v>
          </cell>
          <cell r="F262" t="str">
            <v>TERRESTRE</v>
          </cell>
        </row>
        <row r="263">
          <cell r="A263">
            <v>15380</v>
          </cell>
          <cell r="B263" t="str">
            <v>LA CAPILLA</v>
          </cell>
          <cell r="C263" t="str">
            <v>BOYACA</v>
          </cell>
          <cell r="D263" t="str">
            <v>TUNJA</v>
          </cell>
          <cell r="E263" t="str">
            <v>LEJANA</v>
          </cell>
          <cell r="F263" t="str">
            <v>TERRESTRE</v>
          </cell>
        </row>
        <row r="264">
          <cell r="A264">
            <v>15403</v>
          </cell>
          <cell r="B264" t="str">
            <v>LA UVITA</v>
          </cell>
          <cell r="C264" t="str">
            <v>BOYACA</v>
          </cell>
          <cell r="D264" t="str">
            <v>TUNJA</v>
          </cell>
          <cell r="E264" t="str">
            <v>LEJANA</v>
          </cell>
          <cell r="F264" t="str">
            <v>TERRESTRE</v>
          </cell>
        </row>
        <row r="265">
          <cell r="A265">
            <v>15377</v>
          </cell>
          <cell r="B265" t="str">
            <v>LABRANZAGRANDE</v>
          </cell>
          <cell r="C265" t="str">
            <v>BOYACA</v>
          </cell>
          <cell r="D265" t="str">
            <v>TUNJA</v>
          </cell>
          <cell r="E265" t="str">
            <v>LEJANA</v>
          </cell>
          <cell r="F265" t="str">
            <v>TERRESTRE</v>
          </cell>
        </row>
        <row r="266">
          <cell r="A266">
            <v>15425</v>
          </cell>
          <cell r="B266" t="str">
            <v>MACANAL</v>
          </cell>
          <cell r="C266" t="str">
            <v>BOYACA</v>
          </cell>
          <cell r="D266" t="str">
            <v>TUNJA</v>
          </cell>
          <cell r="E266" t="str">
            <v>LEJANA</v>
          </cell>
          <cell r="F266" t="str">
            <v>TERRESTRE</v>
          </cell>
        </row>
        <row r="267">
          <cell r="A267">
            <v>15442</v>
          </cell>
          <cell r="B267" t="str">
            <v>MARIPI</v>
          </cell>
          <cell r="C267" t="str">
            <v>BOYACA</v>
          </cell>
          <cell r="D267" t="str">
            <v>TUNJA</v>
          </cell>
          <cell r="E267" t="str">
            <v>LEJANA</v>
          </cell>
          <cell r="F267" t="str">
            <v>TERRESTRE</v>
          </cell>
        </row>
        <row r="268">
          <cell r="A268">
            <v>15464</v>
          </cell>
          <cell r="B268" t="str">
            <v>MONGUA</v>
          </cell>
          <cell r="C268" t="str">
            <v>BOYACA</v>
          </cell>
          <cell r="D268" t="str">
            <v>TUNJA</v>
          </cell>
          <cell r="E268" t="str">
            <v>INTERMEDIA</v>
          </cell>
          <cell r="F268" t="str">
            <v>TERRESTRE</v>
          </cell>
        </row>
        <row r="269">
          <cell r="A269">
            <v>15466</v>
          </cell>
          <cell r="B269" t="str">
            <v>MONGUI</v>
          </cell>
          <cell r="C269" t="str">
            <v>BOYACA</v>
          </cell>
          <cell r="D269" t="str">
            <v>TUNJA</v>
          </cell>
          <cell r="E269" t="str">
            <v>LEJANA</v>
          </cell>
          <cell r="F269" t="str">
            <v>TERRESTRE</v>
          </cell>
        </row>
        <row r="270">
          <cell r="A270">
            <v>15469</v>
          </cell>
          <cell r="B270" t="str">
            <v>MONIQUIRA</v>
          </cell>
          <cell r="C270" t="str">
            <v>BOYACA</v>
          </cell>
          <cell r="D270" t="str">
            <v>TUNJA</v>
          </cell>
          <cell r="E270" t="str">
            <v>INTERMEDIA</v>
          </cell>
          <cell r="F270" t="str">
            <v>TERRESTRE</v>
          </cell>
        </row>
        <row r="271">
          <cell r="A271">
            <v>15476</v>
          </cell>
          <cell r="B271" t="str">
            <v>MOTAVITA</v>
          </cell>
          <cell r="C271" t="str">
            <v>BOYACA</v>
          </cell>
          <cell r="D271" t="str">
            <v>TUNJA</v>
          </cell>
          <cell r="E271" t="str">
            <v>PRINCIPAL</v>
          </cell>
          <cell r="F271" t="str">
            <v>TERRESTRE</v>
          </cell>
        </row>
        <row r="272">
          <cell r="A272">
            <v>15480</v>
          </cell>
          <cell r="B272" t="str">
            <v>MUZO</v>
          </cell>
          <cell r="C272" t="str">
            <v>BOYACA</v>
          </cell>
          <cell r="D272" t="str">
            <v>TUNJA</v>
          </cell>
          <cell r="E272" t="str">
            <v>LEJANA</v>
          </cell>
          <cell r="F272" t="str">
            <v>TERRESTRE</v>
          </cell>
        </row>
        <row r="273">
          <cell r="A273">
            <v>15491</v>
          </cell>
          <cell r="B273" t="str">
            <v>NOBSA</v>
          </cell>
          <cell r="C273" t="str">
            <v>BOYACA</v>
          </cell>
          <cell r="D273" t="str">
            <v>TUNJA</v>
          </cell>
          <cell r="E273" t="str">
            <v>INTERMEDIA</v>
          </cell>
          <cell r="F273" t="str">
            <v>TERRESTRE</v>
          </cell>
        </row>
        <row r="274">
          <cell r="A274">
            <v>15494</v>
          </cell>
          <cell r="B274" t="str">
            <v>NUEVO COLON</v>
          </cell>
          <cell r="C274" t="str">
            <v>BOYACA</v>
          </cell>
          <cell r="D274" t="str">
            <v>TUNJA</v>
          </cell>
          <cell r="E274" t="str">
            <v>INTERMEDIA</v>
          </cell>
          <cell r="F274" t="str">
            <v>TERRESTRE</v>
          </cell>
        </row>
        <row r="275">
          <cell r="A275">
            <v>15500</v>
          </cell>
          <cell r="B275" t="str">
            <v>OICATA</v>
          </cell>
          <cell r="C275" t="str">
            <v>BOYACA</v>
          </cell>
          <cell r="D275" t="str">
            <v>TUNJA</v>
          </cell>
          <cell r="E275" t="str">
            <v>INTERMEDIA</v>
          </cell>
          <cell r="F275" t="str">
            <v>TERRESTRE</v>
          </cell>
        </row>
        <row r="276">
          <cell r="A276">
            <v>15507</v>
          </cell>
          <cell r="B276" t="str">
            <v>OTANCHE</v>
          </cell>
          <cell r="C276" t="str">
            <v>BOYACA</v>
          </cell>
          <cell r="D276" t="str">
            <v>TUNJA</v>
          </cell>
          <cell r="E276" t="str">
            <v>LEJANA</v>
          </cell>
          <cell r="F276" t="str">
            <v>TERRESTRE</v>
          </cell>
        </row>
        <row r="277">
          <cell r="A277">
            <v>15511</v>
          </cell>
          <cell r="B277" t="str">
            <v>PACHAVITA</v>
          </cell>
          <cell r="C277" t="str">
            <v>BOYACA</v>
          </cell>
          <cell r="D277" t="str">
            <v>TUNJA</v>
          </cell>
          <cell r="E277" t="str">
            <v>LEJANA</v>
          </cell>
          <cell r="F277" t="str">
            <v>TERRESTRE</v>
          </cell>
        </row>
        <row r="278">
          <cell r="A278">
            <v>15516</v>
          </cell>
          <cell r="B278" t="str">
            <v>PAIPA</v>
          </cell>
          <cell r="C278" t="str">
            <v>BOYACA</v>
          </cell>
          <cell r="D278" t="str">
            <v>TUNJA</v>
          </cell>
          <cell r="E278" t="str">
            <v>INTERMEDIA</v>
          </cell>
          <cell r="F278" t="str">
            <v>TERRESTRE</v>
          </cell>
        </row>
        <row r="279">
          <cell r="A279">
            <v>15518</v>
          </cell>
          <cell r="B279" t="str">
            <v>PAJARITO</v>
          </cell>
          <cell r="C279" t="str">
            <v>BOYACA</v>
          </cell>
          <cell r="D279" t="str">
            <v>YOPAL</v>
          </cell>
          <cell r="E279" t="str">
            <v>LEJANA</v>
          </cell>
          <cell r="F279" t="str">
            <v>TERRESTRE</v>
          </cell>
        </row>
        <row r="280">
          <cell r="A280">
            <v>15522</v>
          </cell>
          <cell r="B280" t="str">
            <v>PANQUEBA</v>
          </cell>
          <cell r="C280" t="str">
            <v>BOYACA</v>
          </cell>
          <cell r="D280" t="str">
            <v>TUNJA</v>
          </cell>
          <cell r="E280" t="str">
            <v>LEJANA</v>
          </cell>
          <cell r="F280" t="str">
            <v>TERRESTRE</v>
          </cell>
        </row>
        <row r="281">
          <cell r="A281">
            <v>15531</v>
          </cell>
          <cell r="B281" t="str">
            <v>PAUNA</v>
          </cell>
          <cell r="C281" t="str">
            <v>BOYACA</v>
          </cell>
          <cell r="D281" t="str">
            <v>TUNJA</v>
          </cell>
          <cell r="E281" t="str">
            <v>LEJANA</v>
          </cell>
          <cell r="F281" t="str">
            <v>TERRESTRE</v>
          </cell>
        </row>
        <row r="282">
          <cell r="A282">
            <v>15533</v>
          </cell>
          <cell r="B282" t="str">
            <v>PAYA</v>
          </cell>
          <cell r="C282" t="str">
            <v>BOYACA</v>
          </cell>
          <cell r="D282" t="str">
            <v>TUNJA</v>
          </cell>
          <cell r="E282" t="str">
            <v>LEJANA</v>
          </cell>
          <cell r="F282" t="str">
            <v>TERRESTRE</v>
          </cell>
        </row>
        <row r="283">
          <cell r="A283">
            <v>15537</v>
          </cell>
          <cell r="B283" t="str">
            <v>PAZ DE RIO</v>
          </cell>
          <cell r="C283" t="str">
            <v>BOYACA</v>
          </cell>
          <cell r="D283" t="str">
            <v>TUNJA</v>
          </cell>
          <cell r="E283" t="str">
            <v>INTERMEDIA</v>
          </cell>
          <cell r="F283" t="str">
            <v>TERRESTRE</v>
          </cell>
        </row>
        <row r="284">
          <cell r="A284">
            <v>15542</v>
          </cell>
          <cell r="B284" t="str">
            <v>PESCA</v>
          </cell>
          <cell r="C284" t="str">
            <v>BOYACA</v>
          </cell>
          <cell r="D284" t="str">
            <v>TUNJA</v>
          </cell>
          <cell r="E284" t="str">
            <v>LEJANA</v>
          </cell>
          <cell r="F284" t="str">
            <v>TERRESTRE</v>
          </cell>
        </row>
        <row r="285">
          <cell r="A285">
            <v>15550</v>
          </cell>
          <cell r="B285" t="str">
            <v>PISBA</v>
          </cell>
          <cell r="C285" t="str">
            <v>BOYACA</v>
          </cell>
          <cell r="D285" t="str">
            <v>TUNJA</v>
          </cell>
          <cell r="E285" t="str">
            <v>LEJANA</v>
          </cell>
          <cell r="F285" t="str">
            <v>TERRESTRE</v>
          </cell>
        </row>
        <row r="286">
          <cell r="A286">
            <v>15572</v>
          </cell>
          <cell r="B286" t="str">
            <v>PUERTO BOYACA</v>
          </cell>
          <cell r="C286" t="str">
            <v>BOYACA</v>
          </cell>
          <cell r="D286" t="str">
            <v>MEDELLIN</v>
          </cell>
          <cell r="E286" t="str">
            <v>LEJANA</v>
          </cell>
          <cell r="F286" t="str">
            <v>TERRESTRE</v>
          </cell>
        </row>
        <row r="287">
          <cell r="A287">
            <v>15580</v>
          </cell>
          <cell r="B287" t="str">
            <v>QUIPAMA</v>
          </cell>
          <cell r="C287" t="str">
            <v>BOYACA</v>
          </cell>
          <cell r="D287" t="str">
            <v>TUNJA</v>
          </cell>
          <cell r="E287" t="str">
            <v>LEJANA</v>
          </cell>
          <cell r="F287" t="str">
            <v>TERRESTRE</v>
          </cell>
        </row>
        <row r="288">
          <cell r="A288">
            <v>15599</v>
          </cell>
          <cell r="B288" t="str">
            <v>RAMIRIQUI</v>
          </cell>
          <cell r="C288" t="str">
            <v>BOYACA</v>
          </cell>
          <cell r="D288" t="str">
            <v>TUNJA</v>
          </cell>
          <cell r="E288" t="str">
            <v>INTERMEDIA</v>
          </cell>
          <cell r="F288" t="str">
            <v>TERRESTRE</v>
          </cell>
        </row>
        <row r="289">
          <cell r="A289">
            <v>15600</v>
          </cell>
          <cell r="B289" t="str">
            <v>RAQUIRA</v>
          </cell>
          <cell r="C289" t="str">
            <v>BOYACA</v>
          </cell>
          <cell r="D289" t="str">
            <v>TUNJA</v>
          </cell>
          <cell r="E289" t="str">
            <v>INTERMEDIA</v>
          </cell>
          <cell r="F289" t="str">
            <v>TERRESTRE</v>
          </cell>
        </row>
        <row r="290">
          <cell r="A290">
            <v>15621</v>
          </cell>
          <cell r="B290" t="str">
            <v>RONDON</v>
          </cell>
          <cell r="C290" t="str">
            <v>BOYACA</v>
          </cell>
          <cell r="D290" t="str">
            <v>TUNJA</v>
          </cell>
          <cell r="E290" t="str">
            <v>LEJANA</v>
          </cell>
          <cell r="F290" t="str">
            <v>TERRESTRE</v>
          </cell>
        </row>
        <row r="291">
          <cell r="A291">
            <v>15632</v>
          </cell>
          <cell r="B291" t="str">
            <v>SABOYA</v>
          </cell>
          <cell r="C291" t="str">
            <v>BOYACA</v>
          </cell>
          <cell r="D291" t="str">
            <v>TUNJA</v>
          </cell>
          <cell r="E291" t="str">
            <v>INTERMEDIA</v>
          </cell>
          <cell r="F291" t="str">
            <v>TERRESTRE</v>
          </cell>
        </row>
        <row r="292">
          <cell r="A292">
            <v>15638</v>
          </cell>
          <cell r="B292" t="str">
            <v>SACHICA</v>
          </cell>
          <cell r="C292" t="str">
            <v>BOYACA</v>
          </cell>
          <cell r="D292" t="str">
            <v>TUNJA</v>
          </cell>
          <cell r="E292" t="str">
            <v>INTERMEDIA</v>
          </cell>
          <cell r="F292" t="str">
            <v>TERRESTRE</v>
          </cell>
        </row>
        <row r="293">
          <cell r="A293">
            <v>15646</v>
          </cell>
          <cell r="B293" t="str">
            <v>SAMACA</v>
          </cell>
          <cell r="C293" t="str">
            <v>BOYACA</v>
          </cell>
          <cell r="D293" t="str">
            <v>TUNJA</v>
          </cell>
          <cell r="E293" t="str">
            <v>INTERMEDIA</v>
          </cell>
          <cell r="F293" t="str">
            <v>TERRESTRE</v>
          </cell>
        </row>
        <row r="294">
          <cell r="A294">
            <v>15660</v>
          </cell>
          <cell r="B294" t="str">
            <v>SAN EDUARDO</v>
          </cell>
          <cell r="C294" t="str">
            <v>BOYACA</v>
          </cell>
          <cell r="D294" t="str">
            <v>TUNJA</v>
          </cell>
          <cell r="E294" t="str">
            <v>LEJANA</v>
          </cell>
          <cell r="F294" t="str">
            <v>TERRESTRE</v>
          </cell>
        </row>
        <row r="295">
          <cell r="A295">
            <v>15664</v>
          </cell>
          <cell r="B295" t="str">
            <v>SAN JOSE DE PARE</v>
          </cell>
          <cell r="C295" t="str">
            <v>BOYACA</v>
          </cell>
          <cell r="D295" t="str">
            <v>TUNJA</v>
          </cell>
          <cell r="E295" t="str">
            <v>INTERMEDIA</v>
          </cell>
          <cell r="F295" t="str">
            <v>TERRESTRE</v>
          </cell>
        </row>
        <row r="296">
          <cell r="A296">
            <v>15667</v>
          </cell>
          <cell r="B296" t="str">
            <v>SAN LUIS DE GACENO</v>
          </cell>
          <cell r="C296" t="str">
            <v>BOYACA</v>
          </cell>
          <cell r="D296" t="str">
            <v>TUNJA</v>
          </cell>
          <cell r="E296" t="str">
            <v>LEJANA</v>
          </cell>
          <cell r="F296" t="str">
            <v>TERRESTRE</v>
          </cell>
        </row>
        <row r="297">
          <cell r="A297">
            <v>15673</v>
          </cell>
          <cell r="B297" t="str">
            <v>SAN MATEO</v>
          </cell>
          <cell r="C297" t="str">
            <v>BOYACA</v>
          </cell>
          <cell r="D297" t="str">
            <v>TUNJA</v>
          </cell>
          <cell r="E297" t="str">
            <v>LEJANA</v>
          </cell>
          <cell r="F297" t="str">
            <v>TERRESTRE</v>
          </cell>
        </row>
        <row r="298">
          <cell r="A298">
            <v>15676</v>
          </cell>
          <cell r="B298" t="str">
            <v>SAN MIGUEL DE SEMA</v>
          </cell>
          <cell r="C298" t="str">
            <v>BOYACA</v>
          </cell>
          <cell r="D298" t="str">
            <v>TUNJA</v>
          </cell>
          <cell r="E298" t="str">
            <v>LEJANA</v>
          </cell>
          <cell r="F298" t="str">
            <v>TERRESTRE</v>
          </cell>
        </row>
        <row r="299">
          <cell r="A299">
            <v>15681</v>
          </cell>
          <cell r="B299" t="str">
            <v>SAN PABLO DE BORBUR</v>
          </cell>
          <cell r="C299" t="str">
            <v>BOYACA</v>
          </cell>
          <cell r="D299" t="str">
            <v>TUNJA</v>
          </cell>
          <cell r="E299" t="str">
            <v>LEJANA</v>
          </cell>
          <cell r="F299" t="str">
            <v>TERRESTRE</v>
          </cell>
        </row>
        <row r="300">
          <cell r="A300">
            <v>15693</v>
          </cell>
          <cell r="B300" t="str">
            <v>SANTA ROSA DE VITERBO</v>
          </cell>
          <cell r="C300" t="str">
            <v>BOYACA</v>
          </cell>
          <cell r="D300" t="str">
            <v>TUNJA</v>
          </cell>
          <cell r="E300" t="str">
            <v>INTERMEDIA</v>
          </cell>
          <cell r="F300" t="str">
            <v>TERRESTRE</v>
          </cell>
        </row>
        <row r="301">
          <cell r="A301">
            <v>15696</v>
          </cell>
          <cell r="B301" t="str">
            <v>SANTA SOFIA</v>
          </cell>
          <cell r="C301" t="str">
            <v>BOYACA</v>
          </cell>
          <cell r="D301" t="str">
            <v>TUNJA</v>
          </cell>
          <cell r="E301" t="str">
            <v>INTERMEDIA</v>
          </cell>
          <cell r="F301" t="str">
            <v>TERRESTRE</v>
          </cell>
        </row>
        <row r="302">
          <cell r="A302">
            <v>15686</v>
          </cell>
          <cell r="B302" t="str">
            <v>SANTANA</v>
          </cell>
          <cell r="C302" t="str">
            <v>BOYACA</v>
          </cell>
          <cell r="D302" t="str">
            <v>TUNJA</v>
          </cell>
          <cell r="E302" t="str">
            <v>LEJANA</v>
          </cell>
          <cell r="F302" t="str">
            <v>TERRESTRE</v>
          </cell>
        </row>
        <row r="303">
          <cell r="A303">
            <v>15720</v>
          </cell>
          <cell r="B303" t="str">
            <v>SATIVANORTE</v>
          </cell>
          <cell r="C303" t="str">
            <v>BOYACA</v>
          </cell>
          <cell r="D303" t="str">
            <v>TUNJA</v>
          </cell>
          <cell r="E303" t="str">
            <v>LEJANA</v>
          </cell>
          <cell r="F303" t="str">
            <v>TERRESTRE</v>
          </cell>
        </row>
        <row r="304">
          <cell r="A304">
            <v>15723</v>
          </cell>
          <cell r="B304" t="str">
            <v>SATIVASUR</v>
          </cell>
          <cell r="C304" t="str">
            <v>BOYACA</v>
          </cell>
          <cell r="D304" t="str">
            <v>TUNJA</v>
          </cell>
          <cell r="E304" t="str">
            <v>LEJANA</v>
          </cell>
          <cell r="F304" t="str">
            <v>TERRESTRE</v>
          </cell>
        </row>
        <row r="305">
          <cell r="A305">
            <v>15740</v>
          </cell>
          <cell r="B305" t="str">
            <v>SIACHOQUE</v>
          </cell>
          <cell r="C305" t="str">
            <v>BOYACA</v>
          </cell>
          <cell r="D305" t="str">
            <v>TUNJA</v>
          </cell>
          <cell r="E305" t="str">
            <v>INTERMEDIA</v>
          </cell>
          <cell r="F305" t="str">
            <v>TERRESTRE</v>
          </cell>
        </row>
        <row r="306">
          <cell r="A306">
            <v>15753</v>
          </cell>
          <cell r="B306" t="str">
            <v>SOATA</v>
          </cell>
          <cell r="C306" t="str">
            <v>BOYACA</v>
          </cell>
          <cell r="D306" t="str">
            <v>TUNJA</v>
          </cell>
          <cell r="E306" t="str">
            <v>LEJANA</v>
          </cell>
          <cell r="F306" t="str">
            <v>TERRESTRE</v>
          </cell>
        </row>
        <row r="307">
          <cell r="A307">
            <v>15757</v>
          </cell>
          <cell r="B307" t="str">
            <v>SOCHA</v>
          </cell>
          <cell r="C307" t="str">
            <v>BOYACA</v>
          </cell>
          <cell r="D307" t="str">
            <v>TUNJA</v>
          </cell>
          <cell r="E307" t="str">
            <v>LEJANA</v>
          </cell>
          <cell r="F307" t="str">
            <v>TERRESTRE</v>
          </cell>
        </row>
        <row r="308">
          <cell r="A308">
            <v>15755</v>
          </cell>
          <cell r="B308" t="str">
            <v>SOCOTA</v>
          </cell>
          <cell r="C308" t="str">
            <v>BOYACA</v>
          </cell>
          <cell r="D308" t="str">
            <v>TUNJA</v>
          </cell>
          <cell r="E308" t="str">
            <v>LEJANA</v>
          </cell>
          <cell r="F308" t="str">
            <v>TERRESTRE</v>
          </cell>
        </row>
        <row r="309">
          <cell r="A309">
            <v>15759</v>
          </cell>
          <cell r="B309" t="str">
            <v>SOGAMOSO</v>
          </cell>
          <cell r="C309" t="str">
            <v>BOYACA</v>
          </cell>
          <cell r="D309" t="str">
            <v>TUNJA</v>
          </cell>
          <cell r="E309" t="str">
            <v>INTERMEDIA</v>
          </cell>
          <cell r="F309" t="str">
            <v>TERRESTRE</v>
          </cell>
        </row>
        <row r="310">
          <cell r="A310">
            <v>15761</v>
          </cell>
          <cell r="B310" t="str">
            <v>SOMONDOCO</v>
          </cell>
          <cell r="C310" t="str">
            <v>BOYACA</v>
          </cell>
          <cell r="D310" t="str">
            <v>TUNJA</v>
          </cell>
          <cell r="E310" t="str">
            <v>LEJANA</v>
          </cell>
          <cell r="F310" t="str">
            <v>TERRESTRE</v>
          </cell>
        </row>
        <row r="311">
          <cell r="A311">
            <v>15762</v>
          </cell>
          <cell r="B311" t="str">
            <v>SORA</v>
          </cell>
          <cell r="C311" t="str">
            <v>BOYACA</v>
          </cell>
          <cell r="D311" t="str">
            <v>TUNJA</v>
          </cell>
          <cell r="E311" t="str">
            <v>INTERMEDIA</v>
          </cell>
          <cell r="F311" t="str">
            <v>TERRESTRE</v>
          </cell>
        </row>
        <row r="312">
          <cell r="A312">
            <v>15764</v>
          </cell>
          <cell r="B312" t="str">
            <v>SORACA</v>
          </cell>
          <cell r="C312" t="str">
            <v>BOYACA</v>
          </cell>
          <cell r="D312" t="str">
            <v>TUNJA</v>
          </cell>
          <cell r="E312" t="str">
            <v>PRINCIPAL</v>
          </cell>
          <cell r="F312" t="str">
            <v>TERRESTRE</v>
          </cell>
        </row>
        <row r="313">
          <cell r="A313">
            <v>15763</v>
          </cell>
          <cell r="B313" t="str">
            <v>SOTAQUIRA</v>
          </cell>
          <cell r="C313" t="str">
            <v>BOYACA</v>
          </cell>
          <cell r="D313" t="str">
            <v>TUNJA</v>
          </cell>
          <cell r="E313" t="str">
            <v>INTERMEDIA</v>
          </cell>
          <cell r="F313" t="str">
            <v>TERRESTRE</v>
          </cell>
        </row>
        <row r="314">
          <cell r="A314">
            <v>15774</v>
          </cell>
          <cell r="B314" t="str">
            <v>SUSACON</v>
          </cell>
          <cell r="C314" t="str">
            <v>BOYACA</v>
          </cell>
          <cell r="D314" t="str">
            <v>TUNJA</v>
          </cell>
          <cell r="E314" t="str">
            <v>LEJANA</v>
          </cell>
          <cell r="F314" t="str">
            <v>TERRESTRE</v>
          </cell>
        </row>
        <row r="315">
          <cell r="A315">
            <v>15776</v>
          </cell>
          <cell r="B315" t="str">
            <v>SUTAMARCHAN</v>
          </cell>
          <cell r="C315" t="str">
            <v>BOYACA</v>
          </cell>
          <cell r="D315" t="str">
            <v>TUNJA</v>
          </cell>
          <cell r="E315" t="str">
            <v>INTERMEDIA</v>
          </cell>
          <cell r="F315" t="str">
            <v>TERRESTRE</v>
          </cell>
        </row>
        <row r="316">
          <cell r="A316">
            <v>15778</v>
          </cell>
          <cell r="B316" t="str">
            <v>SUTATENZA</v>
          </cell>
          <cell r="C316" t="str">
            <v>BOYACA</v>
          </cell>
          <cell r="D316" t="str">
            <v>TUNJA</v>
          </cell>
          <cell r="E316" t="str">
            <v>LEJANA</v>
          </cell>
          <cell r="F316" t="str">
            <v>TERRESTRE</v>
          </cell>
        </row>
        <row r="317">
          <cell r="A317">
            <v>15790</v>
          </cell>
          <cell r="B317" t="str">
            <v>TASCO</v>
          </cell>
          <cell r="C317" t="str">
            <v>BOYACA</v>
          </cell>
          <cell r="D317" t="str">
            <v>TUNJA</v>
          </cell>
          <cell r="E317" t="str">
            <v>LEJANA</v>
          </cell>
          <cell r="F317" t="str">
            <v>TERRESTRE</v>
          </cell>
        </row>
        <row r="318">
          <cell r="A318">
            <v>15798</v>
          </cell>
          <cell r="B318" t="str">
            <v>TENZA</v>
          </cell>
          <cell r="C318" t="str">
            <v>BOYACA</v>
          </cell>
          <cell r="D318" t="str">
            <v>TUNJA</v>
          </cell>
          <cell r="E318" t="str">
            <v>LEJANA</v>
          </cell>
          <cell r="F318" t="str">
            <v>TERRESTRE</v>
          </cell>
        </row>
        <row r="319">
          <cell r="A319">
            <v>15804</v>
          </cell>
          <cell r="B319" t="str">
            <v>TIBANA</v>
          </cell>
          <cell r="C319" t="str">
            <v>BOYACA</v>
          </cell>
          <cell r="D319" t="str">
            <v>TUNJA</v>
          </cell>
          <cell r="E319" t="str">
            <v>INTERMEDIA</v>
          </cell>
          <cell r="F319" t="str">
            <v>TERRESTRE</v>
          </cell>
        </row>
        <row r="320">
          <cell r="A320">
            <v>15806</v>
          </cell>
          <cell r="B320" t="str">
            <v>TIBASOSA</v>
          </cell>
          <cell r="C320" t="str">
            <v>BOYACA</v>
          </cell>
          <cell r="D320" t="str">
            <v>TUNJA</v>
          </cell>
          <cell r="E320" t="str">
            <v>INTERMEDIA</v>
          </cell>
          <cell r="F320" t="str">
            <v>TERRESTRE</v>
          </cell>
        </row>
        <row r="321">
          <cell r="A321">
            <v>15808</v>
          </cell>
          <cell r="B321" t="str">
            <v>TINJACA</v>
          </cell>
          <cell r="C321" t="str">
            <v>BOYACA</v>
          </cell>
          <cell r="D321" t="str">
            <v>TUNJA</v>
          </cell>
          <cell r="E321" t="str">
            <v>INTERMEDIA</v>
          </cell>
          <cell r="F321" t="str">
            <v>TERRESTRE</v>
          </cell>
        </row>
        <row r="322">
          <cell r="A322">
            <v>15810</v>
          </cell>
          <cell r="B322" t="str">
            <v>TIPACOQUE</v>
          </cell>
          <cell r="C322" t="str">
            <v>BOYACA</v>
          </cell>
          <cell r="D322" t="str">
            <v>TUNJA</v>
          </cell>
          <cell r="E322" t="str">
            <v>LEJANA</v>
          </cell>
          <cell r="F322" t="str">
            <v>TERRESTRE</v>
          </cell>
        </row>
        <row r="323">
          <cell r="A323">
            <v>15814</v>
          </cell>
          <cell r="B323" t="str">
            <v>TOCA</v>
          </cell>
          <cell r="C323" t="str">
            <v>BOYACA</v>
          </cell>
          <cell r="D323" t="str">
            <v>TUNJA</v>
          </cell>
          <cell r="E323" t="str">
            <v>INTERMEDIA</v>
          </cell>
          <cell r="F323" t="str">
            <v>TERRESTRE</v>
          </cell>
        </row>
        <row r="324">
          <cell r="A324">
            <v>15816</v>
          </cell>
          <cell r="B324" t="str">
            <v>TOGÜI</v>
          </cell>
          <cell r="C324" t="str">
            <v>BOYACA</v>
          </cell>
          <cell r="D324" t="str">
            <v>TUNJA</v>
          </cell>
          <cell r="E324" t="str">
            <v>INTERMEDIA</v>
          </cell>
          <cell r="F324" t="str">
            <v>TERRESTRE</v>
          </cell>
        </row>
        <row r="325">
          <cell r="A325">
            <v>15820</v>
          </cell>
          <cell r="B325" t="str">
            <v>TOPAGA</v>
          </cell>
          <cell r="C325" t="str">
            <v>BOYACA</v>
          </cell>
          <cell r="D325" t="str">
            <v>TUNJA</v>
          </cell>
          <cell r="E325" t="str">
            <v>LEJANA</v>
          </cell>
          <cell r="F325" t="str">
            <v>TERRESTRE</v>
          </cell>
        </row>
        <row r="326">
          <cell r="A326">
            <v>15822</v>
          </cell>
          <cell r="B326" t="str">
            <v>TOTA</v>
          </cell>
          <cell r="C326" t="str">
            <v>BOYACA</v>
          </cell>
          <cell r="D326" t="str">
            <v>TUNJA</v>
          </cell>
          <cell r="E326" t="str">
            <v>INTERMEDIA</v>
          </cell>
          <cell r="F326" t="str">
            <v>TERRESTRE</v>
          </cell>
        </row>
        <row r="327">
          <cell r="A327">
            <v>15001</v>
          </cell>
          <cell r="B327" t="str">
            <v>TUNJA</v>
          </cell>
          <cell r="C327" t="str">
            <v>BOYACA</v>
          </cell>
          <cell r="D327" t="str">
            <v>TUNJA</v>
          </cell>
          <cell r="E327" t="str">
            <v>PRINCIPAL</v>
          </cell>
          <cell r="F327" t="str">
            <v>TERRESTRE</v>
          </cell>
        </row>
        <row r="328">
          <cell r="A328">
            <v>15832</v>
          </cell>
          <cell r="B328" t="str">
            <v>TUNUNGUA</v>
          </cell>
          <cell r="C328" t="str">
            <v>BOYACA</v>
          </cell>
          <cell r="D328" t="str">
            <v>TUNJA</v>
          </cell>
          <cell r="E328" t="str">
            <v>LEJANA</v>
          </cell>
          <cell r="F328" t="str">
            <v>TERRESTRE</v>
          </cell>
        </row>
        <row r="329">
          <cell r="A329">
            <v>15835</v>
          </cell>
          <cell r="B329" t="str">
            <v>TURMEQUE</v>
          </cell>
          <cell r="C329" t="str">
            <v>BOYACA</v>
          </cell>
          <cell r="D329" t="str">
            <v>TUNJA</v>
          </cell>
          <cell r="E329" t="str">
            <v>INTERMEDIA</v>
          </cell>
          <cell r="F329" t="str">
            <v>TERRESTRE</v>
          </cell>
        </row>
        <row r="330">
          <cell r="A330">
            <v>15837</v>
          </cell>
          <cell r="B330" t="str">
            <v>TUTA</v>
          </cell>
          <cell r="C330" t="str">
            <v>BOYACA</v>
          </cell>
          <cell r="D330" t="str">
            <v>TUNJA</v>
          </cell>
          <cell r="E330" t="str">
            <v>INTERMEDIA</v>
          </cell>
          <cell r="F330" t="str">
            <v>TERRESTRE</v>
          </cell>
        </row>
        <row r="331">
          <cell r="A331">
            <v>15839</v>
          </cell>
          <cell r="B331" t="str">
            <v>TUTAZA</v>
          </cell>
          <cell r="C331" t="str">
            <v>BOYACA</v>
          </cell>
          <cell r="D331" t="str">
            <v>TUNJA</v>
          </cell>
          <cell r="E331" t="str">
            <v>INTERMEDIA</v>
          </cell>
          <cell r="F331" t="str">
            <v>TERRESTRE</v>
          </cell>
        </row>
        <row r="332">
          <cell r="A332">
            <v>15842</v>
          </cell>
          <cell r="B332" t="str">
            <v>UMBITA</v>
          </cell>
          <cell r="C332" t="str">
            <v>BOYACA</v>
          </cell>
          <cell r="D332" t="str">
            <v>TUNJA</v>
          </cell>
          <cell r="E332" t="str">
            <v>INTERMEDIA</v>
          </cell>
          <cell r="F332" t="str">
            <v>TERRESTRE</v>
          </cell>
        </row>
        <row r="333">
          <cell r="A333">
            <v>15861</v>
          </cell>
          <cell r="B333" t="str">
            <v>VENTAQUEMADA</v>
          </cell>
          <cell r="C333" t="str">
            <v>BOYACA</v>
          </cell>
          <cell r="D333" t="str">
            <v>TUNJA</v>
          </cell>
          <cell r="E333" t="str">
            <v>INTERMEDIA</v>
          </cell>
          <cell r="F333" t="str">
            <v>TERRESTRE</v>
          </cell>
        </row>
        <row r="334">
          <cell r="A334">
            <v>15407</v>
          </cell>
          <cell r="B334" t="str">
            <v>VILLA DE LEYVA</v>
          </cell>
          <cell r="C334" t="str">
            <v>BOYACA</v>
          </cell>
          <cell r="D334" t="str">
            <v>TUNJA</v>
          </cell>
          <cell r="E334" t="str">
            <v>INTERMEDIA</v>
          </cell>
          <cell r="F334" t="str">
            <v>TERRESTRE</v>
          </cell>
        </row>
        <row r="335">
          <cell r="A335">
            <v>15879</v>
          </cell>
          <cell r="B335" t="str">
            <v>VIRACACHA</v>
          </cell>
          <cell r="C335" t="str">
            <v>BOYACA</v>
          </cell>
          <cell r="D335" t="str">
            <v>TUNJA</v>
          </cell>
          <cell r="E335" t="str">
            <v>INTERMEDIA</v>
          </cell>
          <cell r="F335" t="str">
            <v>TERRESTRE</v>
          </cell>
        </row>
        <row r="336">
          <cell r="A336">
            <v>15897</v>
          </cell>
          <cell r="B336" t="str">
            <v>ZETAQUIRA</v>
          </cell>
          <cell r="C336" t="str">
            <v>BOYACA</v>
          </cell>
          <cell r="D336" t="str">
            <v>TUNJA</v>
          </cell>
          <cell r="E336" t="str">
            <v>LEJANA</v>
          </cell>
          <cell r="F336" t="str">
            <v>TERRESTRE</v>
          </cell>
        </row>
        <row r="337">
          <cell r="A337">
            <v>17524</v>
          </cell>
          <cell r="B337" t="str">
            <v>PALESTINA</v>
          </cell>
          <cell r="C337" t="str">
            <v>CALDAS</v>
          </cell>
          <cell r="D337" t="str">
            <v>MANIZALES</v>
          </cell>
          <cell r="E337" t="str">
            <v>INTERMEDIA</v>
          </cell>
          <cell r="F337" t="str">
            <v>TERRESTRE</v>
          </cell>
        </row>
        <row r="338">
          <cell r="A338">
            <v>17614</v>
          </cell>
          <cell r="B338" t="str">
            <v>RIOSUCIO</v>
          </cell>
          <cell r="C338" t="str">
            <v>CALDAS</v>
          </cell>
          <cell r="D338" t="str">
            <v>MANIZALES</v>
          </cell>
          <cell r="E338" t="str">
            <v>INTERMEDIA</v>
          </cell>
          <cell r="F338" t="str">
            <v>TERRESTRE</v>
          </cell>
        </row>
        <row r="339">
          <cell r="A339">
            <v>17653</v>
          </cell>
          <cell r="B339" t="str">
            <v>SALAMINA</v>
          </cell>
          <cell r="C339" t="str">
            <v>CALDAS</v>
          </cell>
          <cell r="D339" t="str">
            <v>MANIZALES</v>
          </cell>
          <cell r="E339" t="str">
            <v>INTERMEDIA</v>
          </cell>
          <cell r="F339" t="str">
            <v>TERRESTRE</v>
          </cell>
        </row>
        <row r="340">
          <cell r="A340">
            <v>17013</v>
          </cell>
          <cell r="B340" t="str">
            <v>AGUADAS</v>
          </cell>
          <cell r="C340" t="str">
            <v>CALDAS</v>
          </cell>
          <cell r="D340" t="str">
            <v>MANIZALES</v>
          </cell>
          <cell r="E340" t="str">
            <v>LEJANA</v>
          </cell>
          <cell r="F340" t="str">
            <v>TERRESTRE</v>
          </cell>
        </row>
        <row r="341">
          <cell r="A341">
            <v>17042</v>
          </cell>
          <cell r="B341" t="str">
            <v>ANSERMA</v>
          </cell>
          <cell r="C341" t="str">
            <v>CALDAS</v>
          </cell>
          <cell r="D341" t="str">
            <v>MANIZALES</v>
          </cell>
          <cell r="E341" t="str">
            <v>INTERMEDIA</v>
          </cell>
          <cell r="F341" t="str">
            <v>TERRESTRE</v>
          </cell>
        </row>
        <row r="342">
          <cell r="A342">
            <v>17050</v>
          </cell>
          <cell r="B342" t="str">
            <v>ARANZAZU</v>
          </cell>
          <cell r="C342" t="str">
            <v>CALDAS</v>
          </cell>
          <cell r="D342" t="str">
            <v>MANIZALES</v>
          </cell>
          <cell r="E342" t="str">
            <v>INTERMEDIA</v>
          </cell>
          <cell r="F342" t="str">
            <v>TERRESTRE</v>
          </cell>
        </row>
        <row r="343">
          <cell r="A343">
            <v>17088</v>
          </cell>
          <cell r="B343" t="str">
            <v>BELALCAZAR</v>
          </cell>
          <cell r="C343" t="str">
            <v>CALDAS</v>
          </cell>
          <cell r="D343" t="str">
            <v>MANIZALES</v>
          </cell>
          <cell r="E343" t="str">
            <v>INTERMEDIA</v>
          </cell>
          <cell r="F343" t="str">
            <v>TERRESTRE</v>
          </cell>
        </row>
        <row r="344">
          <cell r="A344">
            <v>17174</v>
          </cell>
          <cell r="B344" t="str">
            <v>CHINCHINA</v>
          </cell>
          <cell r="C344" t="str">
            <v>CALDAS</v>
          </cell>
          <cell r="D344" t="str">
            <v>MANIZALES</v>
          </cell>
          <cell r="E344" t="str">
            <v>INTERMEDIA</v>
          </cell>
          <cell r="F344" t="str">
            <v>TERRESTRE</v>
          </cell>
        </row>
        <row r="345">
          <cell r="A345">
            <v>17272</v>
          </cell>
          <cell r="B345" t="str">
            <v>FILADELFIA</v>
          </cell>
          <cell r="C345" t="str">
            <v>CALDAS</v>
          </cell>
          <cell r="D345" t="str">
            <v>MANIZALES</v>
          </cell>
          <cell r="E345" t="str">
            <v>INTERMEDIA</v>
          </cell>
          <cell r="F345" t="str">
            <v>TERRESTRE</v>
          </cell>
        </row>
        <row r="346">
          <cell r="A346">
            <v>17380</v>
          </cell>
          <cell r="B346" t="str">
            <v>LA DORADA</v>
          </cell>
          <cell r="C346" t="str">
            <v>CALDAS</v>
          </cell>
          <cell r="D346" t="str">
            <v>IBAGUE</v>
          </cell>
          <cell r="E346" t="str">
            <v>LEJANA</v>
          </cell>
          <cell r="F346" t="str">
            <v>TERRESTRE</v>
          </cell>
        </row>
        <row r="347">
          <cell r="A347">
            <v>17388</v>
          </cell>
          <cell r="B347" t="str">
            <v>LA MERCED</v>
          </cell>
          <cell r="C347" t="str">
            <v>CALDAS</v>
          </cell>
          <cell r="D347" t="str">
            <v>MANIZALES</v>
          </cell>
          <cell r="E347" t="str">
            <v>INTERMEDIA</v>
          </cell>
          <cell r="F347" t="str">
            <v>TERRESTRE</v>
          </cell>
        </row>
        <row r="348">
          <cell r="A348">
            <v>17001</v>
          </cell>
          <cell r="B348" t="str">
            <v>MANIZALES</v>
          </cell>
          <cell r="C348" t="str">
            <v>CALDAS</v>
          </cell>
          <cell r="D348" t="str">
            <v>MANIZALES</v>
          </cell>
          <cell r="E348" t="str">
            <v>PRINCIPAL</v>
          </cell>
          <cell r="F348" t="str">
            <v>TERRESTRE</v>
          </cell>
        </row>
        <row r="349">
          <cell r="A349">
            <v>17433</v>
          </cell>
          <cell r="B349" t="str">
            <v>MANZANARES</v>
          </cell>
          <cell r="C349" t="str">
            <v>CALDAS</v>
          </cell>
          <cell r="D349" t="str">
            <v>MANIZALES</v>
          </cell>
          <cell r="E349" t="str">
            <v>LEJANA</v>
          </cell>
          <cell r="F349" t="str">
            <v>TERRESTRE</v>
          </cell>
        </row>
        <row r="350">
          <cell r="A350">
            <v>17442</v>
          </cell>
          <cell r="B350" t="str">
            <v>MARMATO</v>
          </cell>
          <cell r="C350" t="str">
            <v>CALDAS</v>
          </cell>
          <cell r="D350" t="str">
            <v>MANIZALES</v>
          </cell>
          <cell r="E350" t="str">
            <v>INTERMEDIA</v>
          </cell>
          <cell r="F350" t="str">
            <v>TERRESTRE</v>
          </cell>
        </row>
        <row r="351">
          <cell r="A351">
            <v>17444</v>
          </cell>
          <cell r="B351" t="str">
            <v>MARQUETALIA</v>
          </cell>
          <cell r="C351" t="str">
            <v>CALDAS</v>
          </cell>
          <cell r="D351" t="str">
            <v>MANIZALES</v>
          </cell>
          <cell r="E351" t="str">
            <v>LEJANA</v>
          </cell>
          <cell r="F351" t="str">
            <v>TERRESTRE</v>
          </cell>
        </row>
        <row r="352">
          <cell r="A352">
            <v>17446</v>
          </cell>
          <cell r="B352" t="str">
            <v>MARULANDA</v>
          </cell>
          <cell r="C352" t="str">
            <v>CALDAS</v>
          </cell>
          <cell r="D352" t="str">
            <v>MANIZALES</v>
          </cell>
          <cell r="E352" t="str">
            <v>LEJANA</v>
          </cell>
          <cell r="F352" t="str">
            <v>TERRESTRE</v>
          </cell>
        </row>
        <row r="353">
          <cell r="A353">
            <v>17486</v>
          </cell>
          <cell r="B353" t="str">
            <v>NEIRA</v>
          </cell>
          <cell r="C353" t="str">
            <v>CALDAS</v>
          </cell>
          <cell r="D353" t="str">
            <v>MANIZALES</v>
          </cell>
          <cell r="E353" t="str">
            <v>INTERMEDIA</v>
          </cell>
          <cell r="F353" t="str">
            <v>TERRESTRE</v>
          </cell>
        </row>
        <row r="354">
          <cell r="A354">
            <v>17495</v>
          </cell>
          <cell r="B354" t="str">
            <v>NORCASIA</v>
          </cell>
          <cell r="C354" t="str">
            <v>CALDAS</v>
          </cell>
          <cell r="D354" t="str">
            <v>IBAGUE</v>
          </cell>
          <cell r="E354" t="str">
            <v>LEJANA</v>
          </cell>
          <cell r="F354" t="str">
            <v>TERRESTRE</v>
          </cell>
        </row>
        <row r="355">
          <cell r="A355">
            <v>17513</v>
          </cell>
          <cell r="B355" t="str">
            <v>PACORA</v>
          </cell>
          <cell r="C355" t="str">
            <v>CALDAS</v>
          </cell>
          <cell r="D355" t="str">
            <v>MANIZALES</v>
          </cell>
          <cell r="E355" t="str">
            <v>LEJANA</v>
          </cell>
          <cell r="F355" t="str">
            <v>TERRESTRE</v>
          </cell>
        </row>
        <row r="356">
          <cell r="A356">
            <v>17541</v>
          </cell>
          <cell r="B356" t="str">
            <v>PENSILVANIA</v>
          </cell>
          <cell r="C356" t="str">
            <v>CALDAS</v>
          </cell>
          <cell r="D356" t="str">
            <v>MANIZALES</v>
          </cell>
          <cell r="E356" t="str">
            <v>LEJANA</v>
          </cell>
          <cell r="F356" t="str">
            <v>TERRESTRE</v>
          </cell>
        </row>
        <row r="357">
          <cell r="A357">
            <v>17616</v>
          </cell>
          <cell r="B357" t="str">
            <v>RISARALDA</v>
          </cell>
          <cell r="C357" t="str">
            <v>CALDAS</v>
          </cell>
          <cell r="D357" t="str">
            <v>MANIZALES</v>
          </cell>
          <cell r="E357" t="str">
            <v>INTERMEDIA</v>
          </cell>
          <cell r="F357" t="str">
            <v>TERRESTRE</v>
          </cell>
        </row>
        <row r="358">
          <cell r="A358">
            <v>17662</v>
          </cell>
          <cell r="B358" t="str">
            <v>SAMANA</v>
          </cell>
          <cell r="C358" t="str">
            <v>CALDAS</v>
          </cell>
          <cell r="D358" t="str">
            <v>MANIZALES</v>
          </cell>
          <cell r="E358" t="str">
            <v>LEJANA</v>
          </cell>
          <cell r="F358" t="str">
            <v>TERRESTRE</v>
          </cell>
        </row>
        <row r="359">
          <cell r="A359">
            <v>17665</v>
          </cell>
          <cell r="B359" t="str">
            <v>SAN JOSE</v>
          </cell>
          <cell r="C359" t="str">
            <v>CALDAS</v>
          </cell>
          <cell r="D359" t="str">
            <v>MANIZALES</v>
          </cell>
          <cell r="E359" t="str">
            <v>INTERMEDIA</v>
          </cell>
          <cell r="F359" t="str">
            <v>TERRESTRE</v>
          </cell>
        </row>
        <row r="360">
          <cell r="A360">
            <v>17777</v>
          </cell>
          <cell r="B360" t="str">
            <v>SUPIA</v>
          </cell>
          <cell r="C360" t="str">
            <v>CALDAS</v>
          </cell>
          <cell r="D360" t="str">
            <v>MANIZALES</v>
          </cell>
          <cell r="E360" t="str">
            <v>INTERMEDIA</v>
          </cell>
          <cell r="F360" t="str">
            <v>TERRESTRE</v>
          </cell>
        </row>
        <row r="361">
          <cell r="A361">
            <v>17867</v>
          </cell>
          <cell r="B361" t="str">
            <v>VICTORIA</v>
          </cell>
          <cell r="C361" t="str">
            <v>CALDAS</v>
          </cell>
          <cell r="D361" t="str">
            <v>MANIZALES</v>
          </cell>
          <cell r="E361" t="str">
            <v>LEJANA</v>
          </cell>
          <cell r="F361" t="str">
            <v>TERRESTRE</v>
          </cell>
        </row>
        <row r="362">
          <cell r="A362">
            <v>17873</v>
          </cell>
          <cell r="B362" t="str">
            <v>VILLAMARIA</v>
          </cell>
          <cell r="C362" t="str">
            <v>CALDAS</v>
          </cell>
          <cell r="D362" t="str">
            <v>MANIZALES</v>
          </cell>
          <cell r="E362" t="str">
            <v>PRINCIPAL</v>
          </cell>
          <cell r="F362" t="str">
            <v>TERRESTRE</v>
          </cell>
        </row>
        <row r="363">
          <cell r="A363">
            <v>17877</v>
          </cell>
          <cell r="B363" t="str">
            <v>VITERBO</v>
          </cell>
          <cell r="C363" t="str">
            <v>CALDAS</v>
          </cell>
          <cell r="D363" t="str">
            <v>PEREIRA</v>
          </cell>
          <cell r="E363" t="str">
            <v>INTERMEDIA</v>
          </cell>
          <cell r="F363" t="str">
            <v>TERRESTRE</v>
          </cell>
        </row>
        <row r="364">
          <cell r="A364">
            <v>18029</v>
          </cell>
          <cell r="B364" t="str">
            <v>ALBANIA</v>
          </cell>
          <cell r="C364" t="str">
            <v>CAQUETA</v>
          </cell>
          <cell r="D364" t="str">
            <v>NEIVA</v>
          </cell>
          <cell r="E364" t="str">
            <v>LEJANA</v>
          </cell>
          <cell r="F364" t="str">
            <v>TERRESTRE</v>
          </cell>
        </row>
        <row r="365">
          <cell r="A365">
            <v>18001</v>
          </cell>
          <cell r="B365" t="str">
            <v>FLORENCIA</v>
          </cell>
          <cell r="C365" t="str">
            <v>CAQUETA</v>
          </cell>
          <cell r="D365" t="str">
            <v>NEIVA</v>
          </cell>
          <cell r="E365" t="str">
            <v>LEJANA</v>
          </cell>
          <cell r="F365" t="str">
            <v>TERRESTRE</v>
          </cell>
        </row>
        <row r="366">
          <cell r="A366">
            <v>18592</v>
          </cell>
          <cell r="B366" t="str">
            <v>PUERTO RICO</v>
          </cell>
          <cell r="C366" t="str">
            <v>CAQUETA</v>
          </cell>
          <cell r="D366" t="str">
            <v>NEIVA</v>
          </cell>
          <cell r="E366" t="str">
            <v>LEJANA</v>
          </cell>
          <cell r="F366" t="str">
            <v>TERRESTRE</v>
          </cell>
        </row>
        <row r="367">
          <cell r="A367">
            <v>18860</v>
          </cell>
          <cell r="B367" t="str">
            <v>VALPARAISO</v>
          </cell>
          <cell r="C367" t="str">
            <v>CAQUETA</v>
          </cell>
          <cell r="D367" t="str">
            <v>NEIVA</v>
          </cell>
          <cell r="E367" t="str">
            <v>LEJANA</v>
          </cell>
          <cell r="F367" t="str">
            <v>TERRESTRE</v>
          </cell>
        </row>
        <row r="368">
          <cell r="A368">
            <v>18094</v>
          </cell>
          <cell r="B368" t="str">
            <v>BELEN DE LOS ANDAQUIES</v>
          </cell>
          <cell r="C368" t="str">
            <v>CAQUETA</v>
          </cell>
          <cell r="D368" t="str">
            <v>NEIVA</v>
          </cell>
          <cell r="E368" t="str">
            <v>LEJANA</v>
          </cell>
          <cell r="F368" t="str">
            <v>TERRESTRE</v>
          </cell>
        </row>
        <row r="369">
          <cell r="A369">
            <v>18150</v>
          </cell>
          <cell r="B369" t="str">
            <v>CARTAGENA DEL CHAIRA</v>
          </cell>
          <cell r="C369" t="str">
            <v>CAQUETA</v>
          </cell>
          <cell r="D369" t="str">
            <v>NEIVA</v>
          </cell>
          <cell r="E369" t="str">
            <v>LEJANA</v>
          </cell>
          <cell r="F369" t="str">
            <v>TERRESTRE</v>
          </cell>
        </row>
        <row r="370">
          <cell r="A370">
            <v>18205</v>
          </cell>
          <cell r="B370" t="str">
            <v>CURILLO</v>
          </cell>
          <cell r="C370" t="str">
            <v>CAQUETA</v>
          </cell>
          <cell r="D370" t="str">
            <v>NEIVA</v>
          </cell>
          <cell r="E370" t="str">
            <v>LEJANA</v>
          </cell>
          <cell r="F370" t="str">
            <v>TERRESTRE</v>
          </cell>
        </row>
        <row r="371">
          <cell r="A371">
            <v>18247</v>
          </cell>
          <cell r="B371" t="str">
            <v>EL DONCELLO</v>
          </cell>
          <cell r="C371" t="str">
            <v>CAQUETA</v>
          </cell>
          <cell r="D371" t="str">
            <v>NEIVA</v>
          </cell>
          <cell r="E371" t="str">
            <v>LEJANA</v>
          </cell>
          <cell r="F371" t="str">
            <v>TERRESTRE</v>
          </cell>
        </row>
        <row r="372">
          <cell r="A372">
            <v>18256</v>
          </cell>
          <cell r="B372" t="str">
            <v>EL PAUJIL</v>
          </cell>
          <cell r="C372" t="str">
            <v>CAQUETA</v>
          </cell>
          <cell r="D372" t="str">
            <v>NEIVA</v>
          </cell>
          <cell r="E372" t="str">
            <v>LEJANA</v>
          </cell>
          <cell r="F372" t="str">
            <v>TERRESTRE</v>
          </cell>
        </row>
        <row r="373">
          <cell r="A373">
            <v>18410</v>
          </cell>
          <cell r="B373" t="str">
            <v>LA MONTAÑITA</v>
          </cell>
          <cell r="C373" t="str">
            <v>CAQUETA</v>
          </cell>
          <cell r="D373" t="str">
            <v>NEIVA</v>
          </cell>
          <cell r="E373" t="str">
            <v>LEJANA</v>
          </cell>
          <cell r="F373" t="str">
            <v>TERRESTRE</v>
          </cell>
        </row>
        <row r="374">
          <cell r="A374">
            <v>18460</v>
          </cell>
          <cell r="B374" t="str">
            <v>MILAN</v>
          </cell>
          <cell r="C374" t="str">
            <v>CAQUETA</v>
          </cell>
          <cell r="D374" t="str">
            <v>NEIVA</v>
          </cell>
          <cell r="E374" t="str">
            <v>LEJANA</v>
          </cell>
          <cell r="F374" t="str">
            <v>TERRESTRE</v>
          </cell>
        </row>
        <row r="375">
          <cell r="A375">
            <v>18479</v>
          </cell>
          <cell r="B375" t="str">
            <v>MORELIA</v>
          </cell>
          <cell r="C375" t="str">
            <v>CAQUETA</v>
          </cell>
          <cell r="D375" t="str">
            <v>NEIVA</v>
          </cell>
          <cell r="E375" t="str">
            <v>LEJANA</v>
          </cell>
          <cell r="F375" t="str">
            <v>TERRESTRE</v>
          </cell>
        </row>
        <row r="376">
          <cell r="A376">
            <v>18610</v>
          </cell>
          <cell r="B376" t="str">
            <v>SAN JOSE DEL FRAGUA</v>
          </cell>
          <cell r="C376" t="str">
            <v>CAQUETA</v>
          </cell>
          <cell r="D376" t="str">
            <v>NEIVA</v>
          </cell>
          <cell r="E376" t="str">
            <v>LEJANA</v>
          </cell>
          <cell r="F376" t="str">
            <v>TERRESTRE</v>
          </cell>
        </row>
        <row r="377">
          <cell r="A377">
            <v>18753</v>
          </cell>
          <cell r="B377" t="str">
            <v>SAN VICENTE DEL CAGUAN</v>
          </cell>
          <cell r="C377" t="str">
            <v>CAQUETA</v>
          </cell>
          <cell r="D377" t="str">
            <v>NEIVA</v>
          </cell>
          <cell r="E377" t="str">
            <v>LEJANA</v>
          </cell>
          <cell r="F377" t="str">
            <v>TERRESTRE / AEREO</v>
          </cell>
        </row>
        <row r="378">
          <cell r="A378">
            <v>18756</v>
          </cell>
          <cell r="B378" t="str">
            <v>SOLANO</v>
          </cell>
          <cell r="C378" t="str">
            <v>CAQUETA</v>
          </cell>
          <cell r="D378" t="str">
            <v>NEIVA</v>
          </cell>
          <cell r="E378" t="str">
            <v>LEJANA</v>
          </cell>
          <cell r="F378" t="str">
            <v>TERRESTRE/FLUVIAL</v>
          </cell>
        </row>
        <row r="379">
          <cell r="A379">
            <v>18785</v>
          </cell>
          <cell r="B379" t="str">
            <v>SOLITA</v>
          </cell>
          <cell r="C379" t="str">
            <v>CAQUETA</v>
          </cell>
          <cell r="D379" t="str">
            <v>NEIVA</v>
          </cell>
          <cell r="E379" t="str">
            <v>LEJANA</v>
          </cell>
          <cell r="F379" t="str">
            <v>TERRESTRE</v>
          </cell>
        </row>
        <row r="380">
          <cell r="A380">
            <v>85300</v>
          </cell>
          <cell r="B380" t="str">
            <v>SABANALARGA</v>
          </cell>
          <cell r="C380" t="str">
            <v>CASANARE</v>
          </cell>
          <cell r="D380" t="str">
            <v>YOPAL</v>
          </cell>
          <cell r="E380" t="str">
            <v>LEJANA</v>
          </cell>
          <cell r="F380" t="str">
            <v>TERRESTRE</v>
          </cell>
        </row>
        <row r="381">
          <cell r="A381">
            <v>85440</v>
          </cell>
          <cell r="B381" t="str">
            <v>VILLANUEVA</v>
          </cell>
          <cell r="C381" t="str">
            <v>CASANARE</v>
          </cell>
          <cell r="D381" t="str">
            <v>VILLAVICENCIO</v>
          </cell>
          <cell r="E381" t="str">
            <v>LEJANA</v>
          </cell>
          <cell r="F381" t="str">
            <v>TERRESTRE</v>
          </cell>
        </row>
        <row r="382">
          <cell r="A382">
            <v>85010</v>
          </cell>
          <cell r="B382" t="str">
            <v>AGUAZUL</v>
          </cell>
          <cell r="C382" t="str">
            <v>CASANARE</v>
          </cell>
          <cell r="D382" t="str">
            <v>YOPAL</v>
          </cell>
          <cell r="E382" t="str">
            <v>INTERMEDIA</v>
          </cell>
          <cell r="F382" t="str">
            <v>TERRESTRE</v>
          </cell>
        </row>
        <row r="383">
          <cell r="A383">
            <v>85015</v>
          </cell>
          <cell r="B383" t="str">
            <v>CHAMEZA</v>
          </cell>
          <cell r="C383" t="str">
            <v>CASANARE</v>
          </cell>
          <cell r="D383" t="str">
            <v>YOPAL</v>
          </cell>
          <cell r="E383" t="str">
            <v>LEJANA</v>
          </cell>
          <cell r="F383" t="str">
            <v>TERRESTRE</v>
          </cell>
        </row>
        <row r="384">
          <cell r="A384">
            <v>85125</v>
          </cell>
          <cell r="B384" t="str">
            <v>HATO COROZAL</v>
          </cell>
          <cell r="C384" t="str">
            <v>CASANARE</v>
          </cell>
          <cell r="D384" t="str">
            <v>YOPAL</v>
          </cell>
          <cell r="E384" t="str">
            <v>LEJANA</v>
          </cell>
          <cell r="F384" t="str">
            <v>TERRESTRE</v>
          </cell>
        </row>
        <row r="385">
          <cell r="A385">
            <v>85136</v>
          </cell>
          <cell r="B385" t="str">
            <v>LA SALINA</v>
          </cell>
          <cell r="C385" t="str">
            <v>CASANARE</v>
          </cell>
          <cell r="D385" t="str">
            <v>YOPAL</v>
          </cell>
          <cell r="E385" t="str">
            <v>LEJANA</v>
          </cell>
          <cell r="F385" t="str">
            <v>TERRESTRE</v>
          </cell>
        </row>
        <row r="386">
          <cell r="A386">
            <v>85139</v>
          </cell>
          <cell r="B386" t="str">
            <v>MANI</v>
          </cell>
          <cell r="C386" t="str">
            <v>CASANARE</v>
          </cell>
          <cell r="D386" t="str">
            <v>YOPAL</v>
          </cell>
          <cell r="E386" t="str">
            <v>INTERMEDIA</v>
          </cell>
          <cell r="F386" t="str">
            <v>TERRESTRE</v>
          </cell>
        </row>
        <row r="387">
          <cell r="A387">
            <v>85162</v>
          </cell>
          <cell r="B387" t="str">
            <v>MONTERREY</v>
          </cell>
          <cell r="C387" t="str">
            <v>CASANARE</v>
          </cell>
          <cell r="D387" t="str">
            <v>YOPAL</v>
          </cell>
          <cell r="E387" t="str">
            <v>INTERMEDIA</v>
          </cell>
          <cell r="F387" t="str">
            <v>TERRESTRE</v>
          </cell>
        </row>
        <row r="388">
          <cell r="A388">
            <v>85225</v>
          </cell>
          <cell r="B388" t="str">
            <v>NUNCHIA</v>
          </cell>
          <cell r="C388" t="str">
            <v>CASANARE</v>
          </cell>
          <cell r="D388" t="str">
            <v>YOPAL</v>
          </cell>
          <cell r="E388" t="str">
            <v>INTERMEDIA</v>
          </cell>
          <cell r="F388" t="str">
            <v>TERRESTRE</v>
          </cell>
        </row>
        <row r="389">
          <cell r="A389">
            <v>85230</v>
          </cell>
          <cell r="B389" t="str">
            <v>OROCUE</v>
          </cell>
          <cell r="C389" t="str">
            <v>CASANARE</v>
          </cell>
          <cell r="D389" t="str">
            <v>YOPAL</v>
          </cell>
          <cell r="E389" t="str">
            <v>LEJANA</v>
          </cell>
          <cell r="F389" t="str">
            <v>TERRESTRE/FLUVIAL</v>
          </cell>
        </row>
        <row r="390">
          <cell r="A390">
            <v>85250</v>
          </cell>
          <cell r="B390" t="str">
            <v>PAZ DE ARIPORO</v>
          </cell>
          <cell r="C390" t="str">
            <v>CASANARE</v>
          </cell>
          <cell r="D390" t="str">
            <v>YOPAL</v>
          </cell>
          <cell r="E390" t="str">
            <v>INTERMEDIA</v>
          </cell>
          <cell r="F390" t="str">
            <v>TERRESTRE</v>
          </cell>
        </row>
        <row r="391">
          <cell r="A391">
            <v>85263</v>
          </cell>
          <cell r="B391" t="str">
            <v>PORE</v>
          </cell>
          <cell r="C391" t="str">
            <v>CASANARE</v>
          </cell>
          <cell r="D391" t="str">
            <v>YOPAL</v>
          </cell>
          <cell r="E391" t="str">
            <v>INTERMEDIA</v>
          </cell>
          <cell r="F391" t="str">
            <v>TERRESTRE</v>
          </cell>
        </row>
        <row r="392">
          <cell r="A392">
            <v>85279</v>
          </cell>
          <cell r="B392" t="str">
            <v>RECETOR</v>
          </cell>
          <cell r="C392" t="str">
            <v>CASANARE</v>
          </cell>
          <cell r="D392" t="str">
            <v>YOPAL</v>
          </cell>
          <cell r="E392" t="str">
            <v>LEJANA</v>
          </cell>
          <cell r="F392" t="str">
            <v>TERRESTRE</v>
          </cell>
        </row>
        <row r="393">
          <cell r="A393">
            <v>85315</v>
          </cell>
          <cell r="B393" t="str">
            <v>SACAMA</v>
          </cell>
          <cell r="C393" t="str">
            <v>CASANARE</v>
          </cell>
          <cell r="D393" t="str">
            <v>YOPAL</v>
          </cell>
          <cell r="E393" t="str">
            <v>LEJANA</v>
          </cell>
          <cell r="F393" t="str">
            <v>TERRESTRE</v>
          </cell>
        </row>
        <row r="394">
          <cell r="A394">
            <v>85325</v>
          </cell>
          <cell r="B394" t="str">
            <v>SAN LUIS DE PALENQUE</v>
          </cell>
          <cell r="C394" t="str">
            <v>CASANARE</v>
          </cell>
          <cell r="D394" t="str">
            <v>YOPAL</v>
          </cell>
          <cell r="E394" t="str">
            <v>INTERMEDIA</v>
          </cell>
          <cell r="F394" t="str">
            <v>TERRESTRE</v>
          </cell>
        </row>
        <row r="395">
          <cell r="A395">
            <v>85400</v>
          </cell>
          <cell r="B395" t="str">
            <v>TAMARA</v>
          </cell>
          <cell r="C395" t="str">
            <v>CASANARE</v>
          </cell>
          <cell r="D395" t="str">
            <v>YOPAL</v>
          </cell>
          <cell r="E395" t="str">
            <v>LEJANA</v>
          </cell>
          <cell r="F395" t="str">
            <v>TERRESTRE</v>
          </cell>
        </row>
        <row r="396">
          <cell r="A396">
            <v>85410</v>
          </cell>
          <cell r="B396" t="str">
            <v>TAURAMENA</v>
          </cell>
          <cell r="C396" t="str">
            <v>CASANARE</v>
          </cell>
          <cell r="D396" t="str">
            <v>YOPAL</v>
          </cell>
          <cell r="E396" t="str">
            <v>INTERMEDIA</v>
          </cell>
          <cell r="F396" t="str">
            <v>TERRESTRE</v>
          </cell>
        </row>
        <row r="397">
          <cell r="A397">
            <v>85430</v>
          </cell>
          <cell r="B397" t="str">
            <v>TRINIDAD</v>
          </cell>
          <cell r="C397" t="str">
            <v>CASANARE</v>
          </cell>
          <cell r="D397" t="str">
            <v>YOPAL</v>
          </cell>
          <cell r="E397" t="str">
            <v>INTERMEDIA</v>
          </cell>
          <cell r="F397" t="str">
            <v>TERRESTRE</v>
          </cell>
        </row>
        <row r="398">
          <cell r="A398">
            <v>85001</v>
          </cell>
          <cell r="B398" t="str">
            <v>YOPAL</v>
          </cell>
          <cell r="C398" t="str">
            <v>CASANARE</v>
          </cell>
          <cell r="D398" t="str">
            <v>YOPAL</v>
          </cell>
          <cell r="E398" t="str">
            <v>PRINCIPAL</v>
          </cell>
          <cell r="F398" t="str">
            <v>TERRESTRE</v>
          </cell>
        </row>
        <row r="399">
          <cell r="A399">
            <v>19050</v>
          </cell>
          <cell r="B399" t="str">
            <v>ARGELIA</v>
          </cell>
          <cell r="C399" t="str">
            <v>CAUCA</v>
          </cell>
          <cell r="D399" t="str">
            <v>CALI</v>
          </cell>
          <cell r="E399" t="str">
            <v>LEJANA</v>
          </cell>
          <cell r="F399" t="str">
            <v>TERRESTRE</v>
          </cell>
        </row>
        <row r="400">
          <cell r="A400">
            <v>19075</v>
          </cell>
          <cell r="B400" t="str">
            <v>BALBOA</v>
          </cell>
          <cell r="C400" t="str">
            <v>CAUCA</v>
          </cell>
          <cell r="D400" t="str">
            <v>CALI</v>
          </cell>
          <cell r="E400" t="str">
            <v>LEJANA</v>
          </cell>
          <cell r="F400" t="str">
            <v>TERRESTRE</v>
          </cell>
        </row>
        <row r="401">
          <cell r="A401">
            <v>19100</v>
          </cell>
          <cell r="B401" t="str">
            <v>BOLIVAR</v>
          </cell>
          <cell r="C401" t="str">
            <v>CAUCA</v>
          </cell>
          <cell r="D401" t="str">
            <v>CALI</v>
          </cell>
          <cell r="E401" t="str">
            <v>LEJANA</v>
          </cell>
          <cell r="F401" t="str">
            <v>TERRESTRE</v>
          </cell>
        </row>
        <row r="402">
          <cell r="A402">
            <v>19256</v>
          </cell>
          <cell r="B402" t="str">
            <v>EL TAMBO</v>
          </cell>
          <cell r="C402" t="str">
            <v>CAUCA</v>
          </cell>
          <cell r="D402" t="str">
            <v>CALI</v>
          </cell>
          <cell r="E402" t="str">
            <v>LEJANA</v>
          </cell>
          <cell r="F402" t="str">
            <v>TERRESTRE</v>
          </cell>
        </row>
        <row r="403">
          <cell r="A403">
            <v>19290</v>
          </cell>
          <cell r="B403" t="str">
            <v>FLORENCIA</v>
          </cell>
          <cell r="C403" t="str">
            <v>CAUCA</v>
          </cell>
          <cell r="D403" t="str">
            <v>CALI</v>
          </cell>
          <cell r="E403" t="str">
            <v>LEJANA</v>
          </cell>
          <cell r="F403" t="str">
            <v>TERRESTRE</v>
          </cell>
        </row>
        <row r="404">
          <cell r="A404">
            <v>19397</v>
          </cell>
          <cell r="B404" t="str">
            <v>LA VEGA</v>
          </cell>
          <cell r="C404" t="str">
            <v>CAUCA</v>
          </cell>
          <cell r="D404" t="str">
            <v>CALI</v>
          </cell>
          <cell r="E404" t="str">
            <v>LEJANA</v>
          </cell>
          <cell r="F404" t="str">
            <v>TERRESTRE</v>
          </cell>
        </row>
        <row r="405">
          <cell r="A405">
            <v>19473</v>
          </cell>
          <cell r="B405" t="str">
            <v>MORALES</v>
          </cell>
          <cell r="C405" t="str">
            <v>CAUCA</v>
          </cell>
          <cell r="D405" t="str">
            <v>CALI</v>
          </cell>
          <cell r="E405" t="str">
            <v>LEJANA</v>
          </cell>
          <cell r="F405" t="str">
            <v>TERRESTRE</v>
          </cell>
        </row>
        <row r="406">
          <cell r="A406">
            <v>19517</v>
          </cell>
          <cell r="B406" t="str">
            <v>PAEZ</v>
          </cell>
          <cell r="C406" t="str">
            <v>CAUCA</v>
          </cell>
          <cell r="D406" t="str">
            <v>CALI</v>
          </cell>
          <cell r="E406" t="str">
            <v>LEJANA</v>
          </cell>
          <cell r="F406" t="str">
            <v>TERRESTRE</v>
          </cell>
        </row>
        <row r="407">
          <cell r="A407">
            <v>19701</v>
          </cell>
          <cell r="B407" t="str">
            <v>SANTA ROSA</v>
          </cell>
          <cell r="C407" t="str">
            <v>CAUCA</v>
          </cell>
          <cell r="D407" t="str">
            <v>CALI</v>
          </cell>
          <cell r="E407" t="str">
            <v>LEJANA</v>
          </cell>
          <cell r="F407" t="str">
            <v>TERRESTRE</v>
          </cell>
        </row>
        <row r="408">
          <cell r="A408">
            <v>19780</v>
          </cell>
          <cell r="B408" t="str">
            <v>SUAREZ</v>
          </cell>
          <cell r="C408" t="str">
            <v>CAUCA</v>
          </cell>
          <cell r="D408" t="str">
            <v>CALI</v>
          </cell>
          <cell r="E408" t="str">
            <v>LEJANA</v>
          </cell>
          <cell r="F408" t="str">
            <v>TERRESTRE</v>
          </cell>
        </row>
        <row r="409">
          <cell r="A409">
            <v>19785</v>
          </cell>
          <cell r="B409" t="str">
            <v>SUCRE</v>
          </cell>
          <cell r="C409" t="str">
            <v>CAUCA</v>
          </cell>
          <cell r="D409" t="str">
            <v>CALI</v>
          </cell>
          <cell r="E409" t="str">
            <v>LEJANA</v>
          </cell>
          <cell r="F409" t="str">
            <v>TERRESTRE</v>
          </cell>
        </row>
        <row r="410">
          <cell r="A410">
            <v>19022</v>
          </cell>
          <cell r="B410" t="str">
            <v>ALMAGUER</v>
          </cell>
          <cell r="C410" t="str">
            <v>CAUCA</v>
          </cell>
          <cell r="D410" t="str">
            <v>CALI</v>
          </cell>
          <cell r="E410" t="str">
            <v>LEJANA</v>
          </cell>
          <cell r="F410" t="str">
            <v>TERRESTRE</v>
          </cell>
        </row>
        <row r="411">
          <cell r="A411">
            <v>19110</v>
          </cell>
          <cell r="B411" t="str">
            <v>BUENOS AIRES</v>
          </cell>
          <cell r="C411" t="str">
            <v>CAUCA</v>
          </cell>
          <cell r="D411" t="str">
            <v>CALI</v>
          </cell>
          <cell r="E411" t="str">
            <v>INTERMEDIA</v>
          </cell>
          <cell r="F411" t="str">
            <v>TERRESTRE</v>
          </cell>
        </row>
        <row r="412">
          <cell r="A412">
            <v>19130</v>
          </cell>
          <cell r="B412" t="str">
            <v>CAJIBIO</v>
          </cell>
          <cell r="C412" t="str">
            <v>CAUCA</v>
          </cell>
          <cell r="D412" t="str">
            <v>CALI</v>
          </cell>
          <cell r="E412" t="str">
            <v>LEJANA</v>
          </cell>
          <cell r="F412" t="str">
            <v>TERRESTRE</v>
          </cell>
        </row>
        <row r="413">
          <cell r="A413">
            <v>19137</v>
          </cell>
          <cell r="B413" t="str">
            <v>CALDONO</v>
          </cell>
          <cell r="C413" t="str">
            <v>CAUCA</v>
          </cell>
          <cell r="D413" t="str">
            <v>CALI</v>
          </cell>
          <cell r="E413" t="str">
            <v>LEJANA</v>
          </cell>
          <cell r="F413" t="str">
            <v>TERRESTRE</v>
          </cell>
        </row>
        <row r="414">
          <cell r="A414">
            <v>19142</v>
          </cell>
          <cell r="B414" t="str">
            <v>CALOTO</v>
          </cell>
          <cell r="C414" t="str">
            <v>CAUCA</v>
          </cell>
          <cell r="D414" t="str">
            <v>CALI</v>
          </cell>
          <cell r="E414" t="str">
            <v>INTERMEDIA</v>
          </cell>
          <cell r="F414" t="str">
            <v>TERRESTRE</v>
          </cell>
        </row>
        <row r="415">
          <cell r="A415">
            <v>19212</v>
          </cell>
          <cell r="B415" t="str">
            <v>CORINTO</v>
          </cell>
          <cell r="C415" t="str">
            <v>CAUCA</v>
          </cell>
          <cell r="D415" t="str">
            <v>CALI</v>
          </cell>
          <cell r="E415" t="str">
            <v>LEJANA</v>
          </cell>
          <cell r="F415" t="str">
            <v>TERRESTRE</v>
          </cell>
        </row>
        <row r="416">
          <cell r="A416">
            <v>19300</v>
          </cell>
          <cell r="B416" t="str">
            <v>GUACHENE</v>
          </cell>
          <cell r="C416" t="str">
            <v>CAUCA</v>
          </cell>
          <cell r="D416" t="str">
            <v>CALI</v>
          </cell>
          <cell r="E416" t="str">
            <v>INTERMEDIA</v>
          </cell>
          <cell r="F416" t="str">
            <v>TERRESTRE</v>
          </cell>
        </row>
        <row r="417">
          <cell r="A417">
            <v>19318</v>
          </cell>
          <cell r="B417" t="str">
            <v>GUAPI</v>
          </cell>
          <cell r="C417" t="str">
            <v>CAUCA</v>
          </cell>
          <cell r="D417" t="str">
            <v>CALI</v>
          </cell>
          <cell r="E417" t="str">
            <v>LEJANA</v>
          </cell>
          <cell r="F417" t="str">
            <v>AEREO</v>
          </cell>
        </row>
        <row r="418">
          <cell r="A418">
            <v>19355</v>
          </cell>
          <cell r="B418" t="str">
            <v>INZA</v>
          </cell>
          <cell r="C418" t="str">
            <v>CAUCA</v>
          </cell>
          <cell r="D418" t="str">
            <v>CALI</v>
          </cell>
          <cell r="E418" t="str">
            <v>LEJANA</v>
          </cell>
          <cell r="F418" t="str">
            <v>TERRESTRE</v>
          </cell>
        </row>
        <row r="419">
          <cell r="A419">
            <v>19364</v>
          </cell>
          <cell r="B419" t="str">
            <v>JAMBALO</v>
          </cell>
          <cell r="C419" t="str">
            <v>CAUCA</v>
          </cell>
          <cell r="D419" t="str">
            <v>CALI</v>
          </cell>
          <cell r="E419" t="str">
            <v>LEJANA</v>
          </cell>
          <cell r="F419" t="str">
            <v>TERRESTRE</v>
          </cell>
        </row>
        <row r="420">
          <cell r="A420">
            <v>19392</v>
          </cell>
          <cell r="B420" t="str">
            <v>LA SIERRA</v>
          </cell>
          <cell r="C420" t="str">
            <v>CAUCA</v>
          </cell>
          <cell r="D420" t="str">
            <v>CALI</v>
          </cell>
          <cell r="E420" t="str">
            <v>LEJANA</v>
          </cell>
          <cell r="F420" t="str">
            <v>TERRESTRE</v>
          </cell>
        </row>
        <row r="421">
          <cell r="A421">
            <v>19418</v>
          </cell>
          <cell r="B421" t="str">
            <v>LOPEZ</v>
          </cell>
          <cell r="C421" t="str">
            <v>CAUCA</v>
          </cell>
          <cell r="D421" t="str">
            <v>CALI</v>
          </cell>
          <cell r="E421" t="str">
            <v>LEJANA</v>
          </cell>
          <cell r="F421" t="str">
            <v>TERRESTRE</v>
          </cell>
        </row>
        <row r="422">
          <cell r="A422">
            <v>19450</v>
          </cell>
          <cell r="B422" t="str">
            <v>MERCADERES</v>
          </cell>
          <cell r="C422" t="str">
            <v>CAUCA</v>
          </cell>
          <cell r="D422" t="str">
            <v>CALI</v>
          </cell>
          <cell r="E422" t="str">
            <v>LEJANA</v>
          </cell>
          <cell r="F422" t="str">
            <v>TERRESTRE</v>
          </cell>
        </row>
        <row r="423">
          <cell r="A423">
            <v>19455</v>
          </cell>
          <cell r="B423" t="str">
            <v>MIRANDA</v>
          </cell>
          <cell r="C423" t="str">
            <v>CAUCA</v>
          </cell>
          <cell r="D423" t="str">
            <v>CALI</v>
          </cell>
          <cell r="E423" t="str">
            <v>LEJANA</v>
          </cell>
          <cell r="F423" t="str">
            <v>TERRESTRE</v>
          </cell>
        </row>
        <row r="424">
          <cell r="A424">
            <v>19513</v>
          </cell>
          <cell r="B424" t="str">
            <v>PADILLA</v>
          </cell>
          <cell r="C424" t="str">
            <v>CAUCA</v>
          </cell>
          <cell r="D424" t="str">
            <v>CALI</v>
          </cell>
          <cell r="E424" t="str">
            <v>INTERMEDIA</v>
          </cell>
          <cell r="F424" t="str">
            <v>TERRESTRE</v>
          </cell>
        </row>
        <row r="425">
          <cell r="A425">
            <v>19532</v>
          </cell>
          <cell r="B425" t="str">
            <v>PATIA</v>
          </cell>
          <cell r="C425" t="str">
            <v>CAUCA</v>
          </cell>
          <cell r="D425" t="str">
            <v>CALI</v>
          </cell>
          <cell r="E425" t="str">
            <v>LEJANA</v>
          </cell>
          <cell r="F425" t="str">
            <v>TERRESTRE</v>
          </cell>
        </row>
        <row r="426">
          <cell r="A426">
            <v>19533</v>
          </cell>
          <cell r="B426" t="str">
            <v>PIAMONTE</v>
          </cell>
          <cell r="C426" t="str">
            <v>CAUCA</v>
          </cell>
          <cell r="D426" t="str">
            <v>PASTO</v>
          </cell>
          <cell r="E426" t="str">
            <v>LEJANA</v>
          </cell>
          <cell r="F426" t="str">
            <v>TERRESTRE/FLUVIAL</v>
          </cell>
        </row>
        <row r="427">
          <cell r="A427">
            <v>19548</v>
          </cell>
          <cell r="B427" t="str">
            <v>PIENDAMO</v>
          </cell>
          <cell r="C427" t="str">
            <v>CAUCA</v>
          </cell>
          <cell r="D427" t="str">
            <v>CALI</v>
          </cell>
          <cell r="E427" t="str">
            <v>LEJANA</v>
          </cell>
          <cell r="F427" t="str">
            <v>TERRESTRE</v>
          </cell>
        </row>
        <row r="428">
          <cell r="A428">
            <v>19001</v>
          </cell>
          <cell r="B428" t="str">
            <v>POPAYAN</v>
          </cell>
          <cell r="C428" t="str">
            <v>CAUCA</v>
          </cell>
          <cell r="D428" t="str">
            <v>CALI</v>
          </cell>
          <cell r="E428" t="str">
            <v>LEJANA</v>
          </cell>
          <cell r="F428" t="str">
            <v>TERRESTRE</v>
          </cell>
        </row>
        <row r="429">
          <cell r="A429">
            <v>19573</v>
          </cell>
          <cell r="B429" t="str">
            <v>PUERTO TEJADA</v>
          </cell>
          <cell r="C429" t="str">
            <v>CAUCA</v>
          </cell>
          <cell r="D429" t="str">
            <v>CALI</v>
          </cell>
          <cell r="E429" t="str">
            <v>INTERMEDIA</v>
          </cell>
          <cell r="F429" t="str">
            <v>TERRESTRE</v>
          </cell>
        </row>
        <row r="430">
          <cell r="A430">
            <v>19585</v>
          </cell>
          <cell r="B430" t="str">
            <v>PURACE</v>
          </cell>
          <cell r="C430" t="str">
            <v>CAUCA</v>
          </cell>
          <cell r="D430" t="str">
            <v>CALI</v>
          </cell>
          <cell r="E430" t="str">
            <v>LEJANA</v>
          </cell>
          <cell r="F430" t="str">
            <v>TERRESTRE</v>
          </cell>
        </row>
        <row r="431">
          <cell r="A431">
            <v>19622</v>
          </cell>
          <cell r="B431" t="str">
            <v>ROSAS</v>
          </cell>
          <cell r="C431" t="str">
            <v>CAUCA</v>
          </cell>
          <cell r="D431" t="str">
            <v>CALI</v>
          </cell>
          <cell r="E431" t="str">
            <v>LEJANA</v>
          </cell>
          <cell r="F431" t="str">
            <v>TERRESTRE</v>
          </cell>
        </row>
        <row r="432">
          <cell r="A432">
            <v>19693</v>
          </cell>
          <cell r="B432" t="str">
            <v>SAN SEBASTIAN</v>
          </cell>
          <cell r="C432" t="str">
            <v>CAUCA</v>
          </cell>
          <cell r="D432" t="str">
            <v>CALI</v>
          </cell>
          <cell r="E432" t="str">
            <v>LEJANA</v>
          </cell>
          <cell r="F432" t="str">
            <v>TERRESTRE</v>
          </cell>
        </row>
        <row r="433">
          <cell r="A433">
            <v>19698</v>
          </cell>
          <cell r="B433" t="str">
            <v>SANTANDER DE QUILICHAO</v>
          </cell>
          <cell r="C433" t="str">
            <v>CAUCA</v>
          </cell>
          <cell r="D433" t="str">
            <v>CALI</v>
          </cell>
          <cell r="E433" t="str">
            <v>INTERMEDIA</v>
          </cell>
          <cell r="F433" t="str">
            <v>TERRESTRE</v>
          </cell>
        </row>
        <row r="434">
          <cell r="A434">
            <v>19743</v>
          </cell>
          <cell r="B434" t="str">
            <v>SILVIA</v>
          </cell>
          <cell r="C434" t="str">
            <v>CAUCA</v>
          </cell>
          <cell r="D434" t="str">
            <v>CALI</v>
          </cell>
          <cell r="E434" t="str">
            <v>LEJANA</v>
          </cell>
          <cell r="F434" t="str">
            <v>TERRESTRE</v>
          </cell>
        </row>
        <row r="435">
          <cell r="A435">
            <v>19760</v>
          </cell>
          <cell r="B435" t="str">
            <v>SOTARA</v>
          </cell>
          <cell r="C435" t="str">
            <v>CAUCA</v>
          </cell>
          <cell r="D435" t="str">
            <v>CALI</v>
          </cell>
          <cell r="E435" t="str">
            <v>LEJANA</v>
          </cell>
          <cell r="F435" t="str">
            <v>TERRESTRE</v>
          </cell>
        </row>
        <row r="436">
          <cell r="A436">
            <v>19807</v>
          </cell>
          <cell r="B436" t="str">
            <v>TIMBIO</v>
          </cell>
          <cell r="C436" t="str">
            <v>CAUCA</v>
          </cell>
          <cell r="D436" t="str">
            <v>CALI</v>
          </cell>
          <cell r="E436" t="str">
            <v>LEJANA</v>
          </cell>
          <cell r="F436" t="str">
            <v>TERRESTRE</v>
          </cell>
        </row>
        <row r="437">
          <cell r="A437">
            <v>19809</v>
          </cell>
          <cell r="B437" t="str">
            <v>TIMBIQUI</v>
          </cell>
          <cell r="C437" t="str">
            <v>CAUCA</v>
          </cell>
          <cell r="D437" t="str">
            <v>CALI</v>
          </cell>
          <cell r="E437" t="str">
            <v>LEJANA</v>
          </cell>
          <cell r="F437" t="str">
            <v>AEREO</v>
          </cell>
        </row>
        <row r="438">
          <cell r="A438">
            <v>19821</v>
          </cell>
          <cell r="B438" t="str">
            <v>TORIBIO</v>
          </cell>
          <cell r="C438" t="str">
            <v>CAUCA</v>
          </cell>
          <cell r="D438" t="str">
            <v>CALI</v>
          </cell>
          <cell r="E438" t="str">
            <v>LEJANA</v>
          </cell>
          <cell r="F438" t="str">
            <v>TERRESTRE</v>
          </cell>
        </row>
        <row r="439">
          <cell r="A439">
            <v>19824</v>
          </cell>
          <cell r="B439" t="str">
            <v>TOTORO</v>
          </cell>
          <cell r="C439" t="str">
            <v>CAUCA</v>
          </cell>
          <cell r="D439" t="str">
            <v>CALI</v>
          </cell>
          <cell r="E439" t="str">
            <v>LEJANA</v>
          </cell>
          <cell r="F439" t="str">
            <v>TERRESTRE</v>
          </cell>
        </row>
        <row r="440">
          <cell r="A440">
            <v>19845</v>
          </cell>
          <cell r="B440" t="str">
            <v>VILLA RICA</v>
          </cell>
          <cell r="C440" t="str">
            <v>CAUCA</v>
          </cell>
          <cell r="D440" t="str">
            <v>CALI</v>
          </cell>
          <cell r="E440" t="str">
            <v>LEJANA</v>
          </cell>
          <cell r="F440" t="str">
            <v>TERRESTRE</v>
          </cell>
        </row>
        <row r="441">
          <cell r="A441">
            <v>20621</v>
          </cell>
          <cell r="B441" t="str">
            <v>LA PAZ</v>
          </cell>
          <cell r="C441" t="str">
            <v>CESAR</v>
          </cell>
          <cell r="D441" t="str">
            <v>VALLEDUPAR</v>
          </cell>
          <cell r="E441" t="str">
            <v>INTERMEDIA</v>
          </cell>
          <cell r="F441" t="str">
            <v>TERRESTRE</v>
          </cell>
        </row>
        <row r="442">
          <cell r="A442">
            <v>20443</v>
          </cell>
          <cell r="B442" t="str">
            <v>MANAURE</v>
          </cell>
          <cell r="C442" t="str">
            <v>CESAR</v>
          </cell>
          <cell r="D442" t="str">
            <v>VALLEDUPAR</v>
          </cell>
          <cell r="E442" t="str">
            <v>INTERMEDIA</v>
          </cell>
          <cell r="F442" t="str">
            <v>TERRESTRE</v>
          </cell>
        </row>
        <row r="443">
          <cell r="A443">
            <v>20770</v>
          </cell>
          <cell r="B443" t="str">
            <v>SAN MARTIN</v>
          </cell>
          <cell r="C443" t="str">
            <v>CESAR</v>
          </cell>
          <cell r="D443" t="str">
            <v>BUCARAMANGA</v>
          </cell>
          <cell r="E443" t="str">
            <v>LEJANA</v>
          </cell>
          <cell r="F443" t="str">
            <v>TERRESTRE</v>
          </cell>
        </row>
        <row r="444">
          <cell r="A444">
            <v>20011</v>
          </cell>
          <cell r="B444" t="str">
            <v>AGUACHICA</v>
          </cell>
          <cell r="C444" t="str">
            <v>CESAR</v>
          </cell>
          <cell r="D444" t="str">
            <v>VALLEDUPAR</v>
          </cell>
          <cell r="E444" t="str">
            <v>LEJANA</v>
          </cell>
          <cell r="F444" t="str">
            <v>TERRESTRE</v>
          </cell>
        </row>
        <row r="445">
          <cell r="A445">
            <v>20013</v>
          </cell>
          <cell r="B445" t="str">
            <v>AGUSTIN CODAZZI</v>
          </cell>
          <cell r="C445" t="str">
            <v>CESAR</v>
          </cell>
          <cell r="D445" t="str">
            <v>VALLEDUPAR</v>
          </cell>
          <cell r="E445" t="str">
            <v>INTERMEDIA</v>
          </cell>
          <cell r="F445" t="str">
            <v>TERRESTRE</v>
          </cell>
        </row>
        <row r="446">
          <cell r="A446">
            <v>20032</v>
          </cell>
          <cell r="B446" t="str">
            <v>ASTREA</v>
          </cell>
          <cell r="C446" t="str">
            <v>CESAR</v>
          </cell>
          <cell r="D446" t="str">
            <v>VALLEDUPAR</v>
          </cell>
          <cell r="E446" t="str">
            <v>LEJANA</v>
          </cell>
          <cell r="F446" t="str">
            <v>TERRESTRE</v>
          </cell>
        </row>
        <row r="447">
          <cell r="A447">
            <v>20045</v>
          </cell>
          <cell r="B447" t="str">
            <v>BECERRIL</v>
          </cell>
          <cell r="C447" t="str">
            <v>CESAR</v>
          </cell>
          <cell r="D447" t="str">
            <v>VALLEDUPAR</v>
          </cell>
          <cell r="E447" t="str">
            <v>INTERMEDIA</v>
          </cell>
          <cell r="F447" t="str">
            <v>TERRESTRE</v>
          </cell>
        </row>
        <row r="448">
          <cell r="A448">
            <v>20060</v>
          </cell>
          <cell r="B448" t="str">
            <v>BOSCONIA</v>
          </cell>
          <cell r="C448" t="str">
            <v>CESAR</v>
          </cell>
          <cell r="D448" t="str">
            <v>VALLEDUPAR</v>
          </cell>
          <cell r="E448" t="str">
            <v>INTERMEDIA</v>
          </cell>
          <cell r="F448" t="str">
            <v>TERRESTRE</v>
          </cell>
        </row>
        <row r="449">
          <cell r="A449">
            <v>20175</v>
          </cell>
          <cell r="B449" t="str">
            <v>CHIMICHAGUA</v>
          </cell>
          <cell r="C449" t="str">
            <v>CESAR</v>
          </cell>
          <cell r="D449" t="str">
            <v>VALLEDUPAR</v>
          </cell>
          <cell r="E449" t="str">
            <v>LEJANA</v>
          </cell>
          <cell r="F449" t="str">
            <v>TERRESTRE</v>
          </cell>
        </row>
        <row r="450">
          <cell r="A450">
            <v>20178</v>
          </cell>
          <cell r="B450" t="str">
            <v>CHIRIGUANA</v>
          </cell>
          <cell r="C450" t="str">
            <v>CESAR</v>
          </cell>
          <cell r="D450" t="str">
            <v>VALLEDUPAR</v>
          </cell>
          <cell r="E450" t="str">
            <v>LEJANA</v>
          </cell>
          <cell r="F450" t="str">
            <v>TERRESTRE</v>
          </cell>
        </row>
        <row r="451">
          <cell r="A451">
            <v>20228</v>
          </cell>
          <cell r="B451" t="str">
            <v>CURUMANI</v>
          </cell>
          <cell r="C451" t="str">
            <v>CESAR</v>
          </cell>
          <cell r="D451" t="str">
            <v>VALLEDUPAR</v>
          </cell>
          <cell r="E451" t="str">
            <v>LEJANA</v>
          </cell>
          <cell r="F451" t="str">
            <v>TERRESTRE</v>
          </cell>
        </row>
        <row r="452">
          <cell r="A452">
            <v>20238</v>
          </cell>
          <cell r="B452" t="str">
            <v>EL COPEY</v>
          </cell>
          <cell r="C452" t="str">
            <v>CESAR</v>
          </cell>
          <cell r="D452" t="str">
            <v>VALLEDUPAR</v>
          </cell>
          <cell r="E452" t="str">
            <v>INTERMEDIA</v>
          </cell>
          <cell r="F452" t="str">
            <v>TERRESTRE</v>
          </cell>
        </row>
        <row r="453">
          <cell r="A453">
            <v>20250</v>
          </cell>
          <cell r="B453" t="str">
            <v>EL PASO</v>
          </cell>
          <cell r="C453" t="str">
            <v>CESAR</v>
          </cell>
          <cell r="D453" t="str">
            <v>VALLEDUPAR</v>
          </cell>
          <cell r="E453" t="str">
            <v>LEJANA</v>
          </cell>
          <cell r="F453" t="str">
            <v>TERRESTRE</v>
          </cell>
        </row>
        <row r="454">
          <cell r="A454">
            <v>20295</v>
          </cell>
          <cell r="B454" t="str">
            <v>GAMARRA</v>
          </cell>
          <cell r="C454" t="str">
            <v>CESAR</v>
          </cell>
          <cell r="D454" t="str">
            <v>VALLEDUPAR</v>
          </cell>
          <cell r="E454" t="str">
            <v>LEJANA</v>
          </cell>
          <cell r="F454" t="str">
            <v>TERRESTRE</v>
          </cell>
        </row>
        <row r="455">
          <cell r="A455">
            <v>20310</v>
          </cell>
          <cell r="B455" t="str">
            <v>GONZALEZ</v>
          </cell>
          <cell r="C455" t="str">
            <v>CESAR</v>
          </cell>
          <cell r="D455" t="str">
            <v>VALLEDUPAR</v>
          </cell>
          <cell r="E455" t="str">
            <v>LEJANA</v>
          </cell>
          <cell r="F455" t="str">
            <v>TERRESTRE</v>
          </cell>
        </row>
        <row r="456">
          <cell r="A456">
            <v>20383</v>
          </cell>
          <cell r="B456" t="str">
            <v>LA GLORIA</v>
          </cell>
          <cell r="C456" t="str">
            <v>CESAR</v>
          </cell>
          <cell r="D456" t="str">
            <v>VALLEDUPAR</v>
          </cell>
          <cell r="E456" t="str">
            <v>LEJANA</v>
          </cell>
          <cell r="F456" t="str">
            <v>TERRESTRE</v>
          </cell>
        </row>
        <row r="457">
          <cell r="A457">
            <v>20400</v>
          </cell>
          <cell r="B457" t="str">
            <v>LA JAGUA DE IBIRICO</v>
          </cell>
          <cell r="C457" t="str">
            <v>CESAR</v>
          </cell>
          <cell r="D457" t="str">
            <v>VALLEDUPAR</v>
          </cell>
          <cell r="E457" t="str">
            <v>LEJANA</v>
          </cell>
          <cell r="F457" t="str">
            <v>TERRESTRE</v>
          </cell>
        </row>
        <row r="458">
          <cell r="A458">
            <v>20517</v>
          </cell>
          <cell r="B458" t="str">
            <v>PAILITAS</v>
          </cell>
          <cell r="C458" t="str">
            <v>CESAR</v>
          </cell>
          <cell r="D458" t="str">
            <v>VALLEDUPAR</v>
          </cell>
          <cell r="E458" t="str">
            <v>LEJANA</v>
          </cell>
          <cell r="F458" t="str">
            <v>TERRESTRE</v>
          </cell>
        </row>
        <row r="459">
          <cell r="A459">
            <v>20550</v>
          </cell>
          <cell r="B459" t="str">
            <v>PELAYA</v>
          </cell>
          <cell r="C459" t="str">
            <v>CESAR</v>
          </cell>
          <cell r="D459" t="str">
            <v>VALLEDUPAR</v>
          </cell>
          <cell r="E459" t="str">
            <v>LEJANA</v>
          </cell>
          <cell r="F459" t="str">
            <v>TERRESTRE</v>
          </cell>
        </row>
        <row r="460">
          <cell r="A460">
            <v>20570</v>
          </cell>
          <cell r="B460" t="str">
            <v>PUEBLO BELLO</v>
          </cell>
          <cell r="C460" t="str">
            <v>CESAR</v>
          </cell>
          <cell r="D460" t="str">
            <v>VALLEDUPAR</v>
          </cell>
          <cell r="E460" t="str">
            <v>LEJANA</v>
          </cell>
          <cell r="F460" t="str">
            <v>TERRESTRE</v>
          </cell>
        </row>
        <row r="461">
          <cell r="A461">
            <v>20614</v>
          </cell>
          <cell r="B461" t="str">
            <v>RIO DE ORO</v>
          </cell>
          <cell r="C461" t="str">
            <v>CESAR</v>
          </cell>
          <cell r="D461" t="str">
            <v>VALLEDUPAR</v>
          </cell>
          <cell r="E461" t="str">
            <v>LEJANA</v>
          </cell>
          <cell r="F461" t="str">
            <v>TERRESTRE</v>
          </cell>
        </row>
        <row r="462">
          <cell r="A462">
            <v>20710</v>
          </cell>
          <cell r="B462" t="str">
            <v>SAN ALBERTO</v>
          </cell>
          <cell r="C462" t="str">
            <v>CESAR</v>
          </cell>
          <cell r="D462" t="str">
            <v>BUCARAMANGA</v>
          </cell>
          <cell r="E462" t="str">
            <v>LEJANA</v>
          </cell>
          <cell r="F462" t="str">
            <v>TERRESTRE</v>
          </cell>
        </row>
        <row r="463">
          <cell r="A463">
            <v>20750</v>
          </cell>
          <cell r="B463" t="str">
            <v>SAN DIEGO</v>
          </cell>
          <cell r="C463" t="str">
            <v>CESAR</v>
          </cell>
          <cell r="D463" t="str">
            <v>VALLEDUPAR</v>
          </cell>
          <cell r="E463" t="str">
            <v>INTERMEDIA</v>
          </cell>
          <cell r="F463" t="str">
            <v>TERRESTRE</v>
          </cell>
        </row>
        <row r="464">
          <cell r="A464">
            <v>20787</v>
          </cell>
          <cell r="B464" t="str">
            <v>TAMALAMEQUE</v>
          </cell>
          <cell r="C464" t="str">
            <v>CESAR</v>
          </cell>
          <cell r="D464" t="str">
            <v>VALLEDUPAR</v>
          </cell>
          <cell r="E464" t="str">
            <v>LEJANA</v>
          </cell>
          <cell r="F464" t="str">
            <v>TERRESTRE</v>
          </cell>
        </row>
        <row r="465">
          <cell r="A465">
            <v>20001</v>
          </cell>
          <cell r="B465" t="str">
            <v>VALLEDUPAR</v>
          </cell>
          <cell r="C465" t="str">
            <v>CESAR</v>
          </cell>
          <cell r="D465" t="str">
            <v>VALLEDUPAR</v>
          </cell>
          <cell r="E465" t="str">
            <v>PRINCIPAL</v>
          </cell>
          <cell r="F465" t="str">
            <v>TERRESTRE</v>
          </cell>
        </row>
        <row r="466">
          <cell r="A466">
            <v>27615</v>
          </cell>
          <cell r="B466" t="str">
            <v>RIOSUCIO</v>
          </cell>
          <cell r="C466" t="str">
            <v>CHOCO</v>
          </cell>
          <cell r="D466" t="str">
            <v>APARTADO</v>
          </cell>
          <cell r="E466" t="str">
            <v>LEJANA</v>
          </cell>
          <cell r="F466" t="str">
            <v>TERRESTRE/FLUVIAL</v>
          </cell>
        </row>
        <row r="467">
          <cell r="A467">
            <v>27006</v>
          </cell>
          <cell r="B467" t="str">
            <v>ACANDI</v>
          </cell>
          <cell r="C467" t="str">
            <v>CHOCO</v>
          </cell>
          <cell r="D467" t="str">
            <v>APARTADO</v>
          </cell>
          <cell r="E467" t="str">
            <v>LEJANA</v>
          </cell>
          <cell r="F467" t="str">
            <v>AEREO</v>
          </cell>
        </row>
        <row r="468">
          <cell r="A468">
            <v>27025</v>
          </cell>
          <cell r="B468" t="str">
            <v>ALTO BAUDO</v>
          </cell>
          <cell r="C468" t="str">
            <v>CHOCO</v>
          </cell>
          <cell r="D468" t="str">
            <v>MEDELLIN</v>
          </cell>
          <cell r="E468" t="str">
            <v>LEJANA</v>
          </cell>
          <cell r="F468" t="str">
            <v>AEREO</v>
          </cell>
        </row>
        <row r="469">
          <cell r="A469">
            <v>27050</v>
          </cell>
          <cell r="B469" t="str">
            <v>ATRATO</v>
          </cell>
          <cell r="C469" t="str">
            <v>CHOCO</v>
          </cell>
          <cell r="D469" t="str">
            <v>APARTADO</v>
          </cell>
          <cell r="E469" t="str">
            <v>LEJANA</v>
          </cell>
          <cell r="F469" t="str">
            <v>TERRESTRE / AEREO</v>
          </cell>
        </row>
        <row r="470">
          <cell r="A470">
            <v>27073</v>
          </cell>
          <cell r="B470" t="str">
            <v>BAGADO</v>
          </cell>
          <cell r="C470" t="str">
            <v>CHOCO</v>
          </cell>
          <cell r="D470" t="str">
            <v>MEDELLIN</v>
          </cell>
          <cell r="E470" t="str">
            <v>LEJANA</v>
          </cell>
          <cell r="F470" t="str">
            <v>AEREO</v>
          </cell>
        </row>
        <row r="471">
          <cell r="A471">
            <v>27075</v>
          </cell>
          <cell r="B471" t="str">
            <v>BAHIA SOLANO</v>
          </cell>
          <cell r="C471" t="str">
            <v>CHOCO</v>
          </cell>
          <cell r="D471" t="str">
            <v>MEDELLIN</v>
          </cell>
          <cell r="E471" t="str">
            <v>LEJANA</v>
          </cell>
          <cell r="F471" t="str">
            <v>AEREO</v>
          </cell>
        </row>
        <row r="472">
          <cell r="A472">
            <v>27077</v>
          </cell>
          <cell r="B472" t="str">
            <v>BAJO BAUDO</v>
          </cell>
          <cell r="C472" t="str">
            <v>CHOCO</v>
          </cell>
          <cell r="D472" t="str">
            <v>APARTADO</v>
          </cell>
          <cell r="E472" t="str">
            <v>LEJANA</v>
          </cell>
          <cell r="F472" t="str">
            <v>AEREO</v>
          </cell>
        </row>
        <row r="473">
          <cell r="A473">
            <v>27086</v>
          </cell>
          <cell r="B473" t="str">
            <v>BELEN DE BAJIRA</v>
          </cell>
          <cell r="C473" t="str">
            <v>CHOCO</v>
          </cell>
          <cell r="D473" t="str">
            <v>APARTADO</v>
          </cell>
          <cell r="E473" t="str">
            <v>LEJANA</v>
          </cell>
          <cell r="F473" t="str">
            <v>TERRESTRE</v>
          </cell>
        </row>
        <row r="474">
          <cell r="A474">
            <v>27099</v>
          </cell>
          <cell r="B474" t="str">
            <v>BOJAYA</v>
          </cell>
          <cell r="C474" t="str">
            <v>CHOCO</v>
          </cell>
          <cell r="D474" t="str">
            <v>MEDELLIN</v>
          </cell>
          <cell r="E474" t="str">
            <v>LEJANA</v>
          </cell>
          <cell r="F474" t="str">
            <v>AEREO</v>
          </cell>
        </row>
        <row r="475">
          <cell r="A475">
            <v>27150</v>
          </cell>
          <cell r="B475" t="str">
            <v>CARMEN DEL DARIEN</v>
          </cell>
          <cell r="C475" t="str">
            <v>CHOCO</v>
          </cell>
          <cell r="D475" t="str">
            <v>APARTADO</v>
          </cell>
          <cell r="E475" t="str">
            <v>LEJANA</v>
          </cell>
          <cell r="F475" t="str">
            <v>TERRESTRE</v>
          </cell>
        </row>
        <row r="476">
          <cell r="A476">
            <v>27160</v>
          </cell>
          <cell r="B476" t="str">
            <v>CERTEGUI</v>
          </cell>
          <cell r="C476" t="str">
            <v>CHOCO</v>
          </cell>
          <cell r="D476" t="str">
            <v>APARTADO</v>
          </cell>
          <cell r="E476" t="str">
            <v>LEJANA</v>
          </cell>
          <cell r="F476" t="str">
            <v>TERRESTRE</v>
          </cell>
        </row>
        <row r="477">
          <cell r="A477">
            <v>27205</v>
          </cell>
          <cell r="B477" t="str">
            <v>CONDOTO</v>
          </cell>
          <cell r="C477" t="str">
            <v>CHOCO</v>
          </cell>
          <cell r="D477" t="str">
            <v>MEDELLIN</v>
          </cell>
          <cell r="E477" t="str">
            <v>LEJANA</v>
          </cell>
          <cell r="F477" t="str">
            <v>AEREO</v>
          </cell>
        </row>
        <row r="478">
          <cell r="A478">
            <v>27135</v>
          </cell>
          <cell r="B478" t="str">
            <v>EL CANTON DEL SAN PABLO</v>
          </cell>
          <cell r="C478" t="str">
            <v>CHOCO</v>
          </cell>
          <cell r="D478" t="str">
            <v>APARTADO</v>
          </cell>
          <cell r="E478" t="str">
            <v>LEJANA</v>
          </cell>
          <cell r="F478" t="str">
            <v>TERRESTRE</v>
          </cell>
        </row>
        <row r="479">
          <cell r="A479">
            <v>27245</v>
          </cell>
          <cell r="B479" t="str">
            <v>EL CARMEN DE ATRATO</v>
          </cell>
          <cell r="C479" t="str">
            <v>CHOCO</v>
          </cell>
          <cell r="D479" t="str">
            <v>MEDELLIN</v>
          </cell>
          <cell r="E479" t="str">
            <v>LEJANA</v>
          </cell>
          <cell r="F479" t="str">
            <v>TERRESTRE</v>
          </cell>
        </row>
        <row r="480">
          <cell r="A480">
            <v>27250</v>
          </cell>
          <cell r="B480" t="str">
            <v>EL LITORAL DEL SAN JUAN</v>
          </cell>
          <cell r="C480" t="str">
            <v>CHOCO</v>
          </cell>
          <cell r="D480" t="str">
            <v>CALI</v>
          </cell>
          <cell r="E480" t="str">
            <v>LEJANA</v>
          </cell>
          <cell r="F480" t="str">
            <v>TERRESTRE / FLUVIAL</v>
          </cell>
        </row>
        <row r="481">
          <cell r="A481">
            <v>27361</v>
          </cell>
          <cell r="B481" t="str">
            <v>ISTMINA</v>
          </cell>
          <cell r="C481" t="str">
            <v>CHOCO</v>
          </cell>
          <cell r="D481" t="str">
            <v>MEDELLIN</v>
          </cell>
          <cell r="E481" t="str">
            <v>LEJANA</v>
          </cell>
          <cell r="F481" t="str">
            <v>AEREO</v>
          </cell>
        </row>
        <row r="482">
          <cell r="A482">
            <v>27372</v>
          </cell>
          <cell r="B482" t="str">
            <v>JURADO</v>
          </cell>
          <cell r="C482" t="str">
            <v>CHOCO</v>
          </cell>
          <cell r="D482" t="str">
            <v>APARTADO</v>
          </cell>
          <cell r="E482" t="str">
            <v>LEJANA</v>
          </cell>
          <cell r="F482" t="str">
            <v>FLUVIAL</v>
          </cell>
        </row>
        <row r="483">
          <cell r="A483">
            <v>27413</v>
          </cell>
          <cell r="B483" t="str">
            <v>LLORO</v>
          </cell>
          <cell r="C483" t="str">
            <v>CHOCO</v>
          </cell>
          <cell r="D483" t="str">
            <v>APARTADO</v>
          </cell>
          <cell r="E483" t="str">
            <v>LEJANA</v>
          </cell>
          <cell r="F483" t="str">
            <v>TERRESTRE</v>
          </cell>
        </row>
        <row r="484">
          <cell r="A484">
            <v>27425</v>
          </cell>
          <cell r="B484" t="str">
            <v>MEDIO ATRATO</v>
          </cell>
          <cell r="C484" t="str">
            <v>CHOCO</v>
          </cell>
          <cell r="D484" t="str">
            <v>APARTADO</v>
          </cell>
          <cell r="E484" t="str">
            <v>LEJANA</v>
          </cell>
          <cell r="F484" t="str">
            <v>TERRESTRE</v>
          </cell>
        </row>
        <row r="485">
          <cell r="A485">
            <v>27430</v>
          </cell>
          <cell r="B485" t="str">
            <v>MEDIO BAUDO</v>
          </cell>
          <cell r="C485" t="str">
            <v>CHOCO</v>
          </cell>
          <cell r="D485" t="str">
            <v>APARTADO</v>
          </cell>
          <cell r="E485" t="str">
            <v>LEJANA</v>
          </cell>
          <cell r="F485" t="str">
            <v>TERRESTRE</v>
          </cell>
        </row>
        <row r="486">
          <cell r="A486">
            <v>27450</v>
          </cell>
          <cell r="B486" t="str">
            <v>MEDIO SAN JUAN</v>
          </cell>
          <cell r="C486" t="str">
            <v>CHOCO</v>
          </cell>
          <cell r="D486" t="str">
            <v>APARTADO</v>
          </cell>
          <cell r="E486" t="str">
            <v>LEJANA</v>
          </cell>
          <cell r="F486" t="str">
            <v>TERRESTRE</v>
          </cell>
        </row>
        <row r="487">
          <cell r="A487">
            <v>27491</v>
          </cell>
          <cell r="B487" t="str">
            <v>NOVITA</v>
          </cell>
          <cell r="C487" t="str">
            <v>CHOCO</v>
          </cell>
          <cell r="D487" t="str">
            <v>MEDELLIN</v>
          </cell>
          <cell r="E487" t="str">
            <v>LEJANA</v>
          </cell>
          <cell r="F487" t="str">
            <v>AEREO</v>
          </cell>
        </row>
        <row r="488">
          <cell r="A488">
            <v>27495</v>
          </cell>
          <cell r="B488" t="str">
            <v>NUQUI</v>
          </cell>
          <cell r="C488" t="str">
            <v>CHOCO</v>
          </cell>
          <cell r="D488" t="str">
            <v>MEDELLIN</v>
          </cell>
          <cell r="E488" t="str">
            <v>LEJANA</v>
          </cell>
          <cell r="F488" t="str">
            <v>AEREO</v>
          </cell>
        </row>
        <row r="489">
          <cell r="A489">
            <v>27001</v>
          </cell>
          <cell r="B489" t="str">
            <v>QUIBDO</v>
          </cell>
          <cell r="C489" t="str">
            <v>CHOCO</v>
          </cell>
          <cell r="D489" t="str">
            <v>MEDELLIN</v>
          </cell>
          <cell r="E489" t="str">
            <v>LEJANA</v>
          </cell>
          <cell r="F489" t="str">
            <v>AEREO</v>
          </cell>
        </row>
        <row r="490">
          <cell r="A490">
            <v>27580</v>
          </cell>
          <cell r="B490" t="str">
            <v>RIO IRO</v>
          </cell>
          <cell r="C490" t="str">
            <v>CHOCO</v>
          </cell>
          <cell r="D490" t="str">
            <v>APARTADO</v>
          </cell>
          <cell r="E490" t="str">
            <v>LEJANA</v>
          </cell>
          <cell r="F490" t="str">
            <v>TERRESTRE</v>
          </cell>
        </row>
        <row r="491">
          <cell r="A491">
            <v>27600</v>
          </cell>
          <cell r="B491" t="str">
            <v>RIO QUITO</v>
          </cell>
          <cell r="C491" t="str">
            <v>CHOCO</v>
          </cell>
          <cell r="D491" t="str">
            <v>MEDELLIN</v>
          </cell>
          <cell r="E491" t="str">
            <v>LEJANA</v>
          </cell>
          <cell r="F491" t="str">
            <v>AEREO</v>
          </cell>
        </row>
        <row r="492">
          <cell r="A492">
            <v>27660</v>
          </cell>
          <cell r="B492" t="str">
            <v>SAN JOSE DEL PALMAR</v>
          </cell>
          <cell r="C492" t="str">
            <v>CHOCO</v>
          </cell>
          <cell r="D492" t="str">
            <v>PEREIRA</v>
          </cell>
          <cell r="E492" t="str">
            <v>LEJANA</v>
          </cell>
          <cell r="F492" t="str">
            <v>TERRESTRE</v>
          </cell>
        </row>
        <row r="493">
          <cell r="A493">
            <v>27745</v>
          </cell>
          <cell r="B493" t="str">
            <v>SIPI</v>
          </cell>
          <cell r="C493" t="str">
            <v>CHOCO</v>
          </cell>
          <cell r="D493" t="str">
            <v>MEDELLIN</v>
          </cell>
          <cell r="E493" t="str">
            <v>LEJANA</v>
          </cell>
          <cell r="F493" t="str">
            <v>AEREO</v>
          </cell>
        </row>
        <row r="494">
          <cell r="A494">
            <v>27787</v>
          </cell>
          <cell r="B494" t="str">
            <v>TADO</v>
          </cell>
          <cell r="C494" t="str">
            <v>CHOCO</v>
          </cell>
          <cell r="D494" t="str">
            <v>MEDELLIN</v>
          </cell>
          <cell r="E494" t="str">
            <v>LEJANA</v>
          </cell>
          <cell r="F494" t="str">
            <v>AEREO</v>
          </cell>
        </row>
        <row r="495">
          <cell r="A495">
            <v>27800</v>
          </cell>
          <cell r="B495" t="str">
            <v>UNGUIA</v>
          </cell>
          <cell r="C495" t="str">
            <v>CHOCO</v>
          </cell>
          <cell r="D495" t="str">
            <v>APARTADO</v>
          </cell>
          <cell r="E495" t="str">
            <v>LEJANA</v>
          </cell>
          <cell r="F495" t="str">
            <v>FLUVIAL</v>
          </cell>
        </row>
        <row r="496">
          <cell r="A496">
            <v>27810</v>
          </cell>
          <cell r="B496" t="str">
            <v>UNION PANAMERICANA</v>
          </cell>
          <cell r="C496" t="str">
            <v>CHOCO</v>
          </cell>
          <cell r="D496" t="str">
            <v>APARTADO</v>
          </cell>
          <cell r="E496" t="str">
            <v>LEJANA</v>
          </cell>
          <cell r="F496" t="str">
            <v>TERRESTRE</v>
          </cell>
        </row>
        <row r="497">
          <cell r="A497">
            <v>23079</v>
          </cell>
          <cell r="B497" t="str">
            <v>BUENAVISTA</v>
          </cell>
          <cell r="C497" t="str">
            <v>CORDOBA</v>
          </cell>
          <cell r="D497" t="str">
            <v>MONTERIA</v>
          </cell>
          <cell r="E497" t="str">
            <v>INTERMEDIA</v>
          </cell>
          <cell r="F497" t="str">
            <v>TERRESTRE</v>
          </cell>
        </row>
        <row r="498">
          <cell r="A498">
            <v>23168</v>
          </cell>
          <cell r="B498" t="str">
            <v>CHIMA</v>
          </cell>
          <cell r="C498" t="str">
            <v>CORDOBA</v>
          </cell>
          <cell r="D498" t="str">
            <v>MONTERIA</v>
          </cell>
          <cell r="E498" t="str">
            <v>LEJANA</v>
          </cell>
          <cell r="F498" t="str">
            <v>TERRESTRE</v>
          </cell>
        </row>
        <row r="499">
          <cell r="A499">
            <v>23678</v>
          </cell>
          <cell r="B499" t="str">
            <v>SAN CARLOS</v>
          </cell>
          <cell r="C499" t="str">
            <v>CORDOBA</v>
          </cell>
          <cell r="D499" t="str">
            <v>MONTERIA</v>
          </cell>
          <cell r="E499" t="str">
            <v>INTERMEDIA</v>
          </cell>
          <cell r="F499" t="str">
            <v>TERRESTRE</v>
          </cell>
        </row>
        <row r="500">
          <cell r="A500">
            <v>23068</v>
          </cell>
          <cell r="B500" t="str">
            <v>AYAPEL</v>
          </cell>
          <cell r="C500" t="str">
            <v>CORDOBA</v>
          </cell>
          <cell r="D500" t="str">
            <v>MONTERIA</v>
          </cell>
          <cell r="E500" t="str">
            <v>LEJANA</v>
          </cell>
          <cell r="F500" t="str">
            <v>TERRESTRE</v>
          </cell>
        </row>
        <row r="501">
          <cell r="A501">
            <v>23090</v>
          </cell>
          <cell r="B501" t="str">
            <v>CANALETE</v>
          </cell>
          <cell r="C501" t="str">
            <v>CORDOBA</v>
          </cell>
          <cell r="D501" t="str">
            <v>MONTERIA</v>
          </cell>
          <cell r="E501" t="str">
            <v>INTERMEDIA</v>
          </cell>
          <cell r="F501" t="str">
            <v>TERRESTRE</v>
          </cell>
        </row>
        <row r="502">
          <cell r="A502">
            <v>23162</v>
          </cell>
          <cell r="B502" t="str">
            <v>CERETE</v>
          </cell>
          <cell r="C502" t="str">
            <v>CORDOBA</v>
          </cell>
          <cell r="D502" t="str">
            <v>MONTERIA</v>
          </cell>
          <cell r="E502" t="str">
            <v>PRINCIPAL</v>
          </cell>
          <cell r="F502" t="str">
            <v>TERRESTRE</v>
          </cell>
        </row>
        <row r="503">
          <cell r="A503">
            <v>23182</v>
          </cell>
          <cell r="B503" t="str">
            <v>CHINU</v>
          </cell>
          <cell r="C503" t="str">
            <v>CORDOBA</v>
          </cell>
          <cell r="D503" t="str">
            <v>MONTERIA</v>
          </cell>
          <cell r="E503" t="str">
            <v>INTERMEDIA</v>
          </cell>
          <cell r="F503" t="str">
            <v>TERRESTRE</v>
          </cell>
        </row>
        <row r="504">
          <cell r="A504">
            <v>23189</v>
          </cell>
          <cell r="B504" t="str">
            <v>CIENAGA DE ORO</v>
          </cell>
          <cell r="C504" t="str">
            <v>CORDOBA</v>
          </cell>
          <cell r="D504" t="str">
            <v>MONTERIA</v>
          </cell>
          <cell r="E504" t="str">
            <v>INTERMEDIA</v>
          </cell>
          <cell r="F504" t="str">
            <v>TERRESTRE</v>
          </cell>
        </row>
        <row r="505">
          <cell r="A505">
            <v>23300</v>
          </cell>
          <cell r="B505" t="str">
            <v>COTORRA</v>
          </cell>
          <cell r="C505" t="str">
            <v>CORDOBA</v>
          </cell>
          <cell r="D505" t="str">
            <v>MONTERIA</v>
          </cell>
          <cell r="E505" t="str">
            <v>INTERMEDIA</v>
          </cell>
          <cell r="F505" t="str">
            <v>TERRESTRE</v>
          </cell>
        </row>
        <row r="506">
          <cell r="A506">
            <v>23350</v>
          </cell>
          <cell r="B506" t="str">
            <v>LA APARTADA</v>
          </cell>
          <cell r="C506" t="str">
            <v>CORDOBA</v>
          </cell>
          <cell r="D506" t="str">
            <v>MONTERIA</v>
          </cell>
          <cell r="E506" t="str">
            <v>INTERMEDIA</v>
          </cell>
          <cell r="F506" t="str">
            <v>TERRESTRE</v>
          </cell>
        </row>
        <row r="507">
          <cell r="A507">
            <v>23417</v>
          </cell>
          <cell r="B507" t="str">
            <v>LORICA</v>
          </cell>
          <cell r="C507" t="str">
            <v>CORDOBA</v>
          </cell>
          <cell r="D507" t="str">
            <v>MONTERIA</v>
          </cell>
          <cell r="E507" t="str">
            <v>INTERMEDIA</v>
          </cell>
          <cell r="F507" t="str">
            <v>TERRESTRE</v>
          </cell>
        </row>
        <row r="508">
          <cell r="A508">
            <v>23419</v>
          </cell>
          <cell r="B508" t="str">
            <v>LOS CORDOBAS</v>
          </cell>
          <cell r="C508" t="str">
            <v>CORDOBA</v>
          </cell>
          <cell r="D508" t="str">
            <v>MONTERIA</v>
          </cell>
          <cell r="E508" t="str">
            <v>INTERMEDIA</v>
          </cell>
          <cell r="F508" t="str">
            <v>TERRESTRE</v>
          </cell>
        </row>
        <row r="509">
          <cell r="A509">
            <v>23464</v>
          </cell>
          <cell r="B509" t="str">
            <v>MOMIL</v>
          </cell>
          <cell r="C509" t="str">
            <v>CORDOBA</v>
          </cell>
          <cell r="D509" t="str">
            <v>MONTERIA</v>
          </cell>
          <cell r="E509" t="str">
            <v>INTERMEDIA</v>
          </cell>
          <cell r="F509" t="str">
            <v>TERRESTRE</v>
          </cell>
        </row>
        <row r="510">
          <cell r="A510">
            <v>23466</v>
          </cell>
          <cell r="B510" t="str">
            <v>MONTELIBANO</v>
          </cell>
          <cell r="C510" t="str">
            <v>CORDOBA</v>
          </cell>
          <cell r="D510" t="str">
            <v>MONTERIA</v>
          </cell>
          <cell r="E510" t="str">
            <v>LEJANA</v>
          </cell>
          <cell r="F510" t="str">
            <v>TERRESTRE</v>
          </cell>
        </row>
        <row r="511">
          <cell r="A511">
            <v>23001</v>
          </cell>
          <cell r="B511" t="str">
            <v>MONTERIA</v>
          </cell>
          <cell r="C511" t="str">
            <v>CORDOBA</v>
          </cell>
          <cell r="D511" t="str">
            <v>MONTERIA</v>
          </cell>
          <cell r="E511" t="str">
            <v>PRINCIPAL</v>
          </cell>
          <cell r="F511" t="str">
            <v>TERRESTRE</v>
          </cell>
        </row>
        <row r="512">
          <cell r="A512">
            <v>23500</v>
          </cell>
          <cell r="B512" t="str">
            <v>MOÑITOS</v>
          </cell>
          <cell r="C512" t="str">
            <v>CORDOBA</v>
          </cell>
          <cell r="D512" t="str">
            <v>MONTERIA</v>
          </cell>
          <cell r="E512" t="str">
            <v>LEJANA</v>
          </cell>
          <cell r="F512" t="str">
            <v>TERRESTRE</v>
          </cell>
        </row>
        <row r="513">
          <cell r="A513">
            <v>23555</v>
          </cell>
          <cell r="B513" t="str">
            <v>PLANETA RICA</v>
          </cell>
          <cell r="C513" t="str">
            <v>CORDOBA</v>
          </cell>
          <cell r="D513" t="str">
            <v>MONTERIA</v>
          </cell>
          <cell r="E513" t="str">
            <v>INTERMEDIA</v>
          </cell>
          <cell r="F513" t="str">
            <v>TERRESTRE</v>
          </cell>
        </row>
        <row r="514">
          <cell r="A514">
            <v>23570</v>
          </cell>
          <cell r="B514" t="str">
            <v>PUEBLO NUEVO</v>
          </cell>
          <cell r="C514" t="str">
            <v>CORDOBA</v>
          </cell>
          <cell r="D514" t="str">
            <v>MONTERIA</v>
          </cell>
          <cell r="E514" t="str">
            <v>INTERMEDIA</v>
          </cell>
          <cell r="F514" t="str">
            <v>TERRESTRE</v>
          </cell>
        </row>
        <row r="515">
          <cell r="A515">
            <v>23574</v>
          </cell>
          <cell r="B515" t="str">
            <v>PUERTO ESCONDIDO</v>
          </cell>
          <cell r="C515" t="str">
            <v>CORDOBA</v>
          </cell>
          <cell r="D515" t="str">
            <v>MONTERIA</v>
          </cell>
          <cell r="E515" t="str">
            <v>LEJANA</v>
          </cell>
          <cell r="F515" t="str">
            <v>TERRESTRE</v>
          </cell>
        </row>
        <row r="516">
          <cell r="A516">
            <v>23580</v>
          </cell>
          <cell r="B516" t="str">
            <v>PUERTO LIBERTADOR</v>
          </cell>
          <cell r="C516" t="str">
            <v>CORDOBA</v>
          </cell>
          <cell r="D516" t="str">
            <v>MONTERIA</v>
          </cell>
          <cell r="E516" t="str">
            <v>LEJANA</v>
          </cell>
          <cell r="F516" t="str">
            <v>TERRESTRE</v>
          </cell>
        </row>
        <row r="517">
          <cell r="A517">
            <v>23586</v>
          </cell>
          <cell r="B517" t="str">
            <v>PURISIMA</v>
          </cell>
          <cell r="C517" t="str">
            <v>CORDOBA</v>
          </cell>
          <cell r="D517" t="str">
            <v>MONTERIA</v>
          </cell>
          <cell r="E517" t="str">
            <v>INTERMEDIA</v>
          </cell>
          <cell r="F517" t="str">
            <v>TERRESTRE</v>
          </cell>
        </row>
        <row r="518">
          <cell r="A518">
            <v>23660</v>
          </cell>
          <cell r="B518" t="str">
            <v>SAHAGUN</v>
          </cell>
          <cell r="C518" t="str">
            <v>CORDOBA</v>
          </cell>
          <cell r="D518" t="str">
            <v>MONTERIA</v>
          </cell>
          <cell r="E518" t="str">
            <v>INTERMEDIA</v>
          </cell>
          <cell r="F518" t="str">
            <v>TERRESTRE</v>
          </cell>
        </row>
        <row r="519">
          <cell r="A519">
            <v>23670</v>
          </cell>
          <cell r="B519" t="str">
            <v>SAN ANDRES SOTAVENTO</v>
          </cell>
          <cell r="C519" t="str">
            <v>CORDOBA</v>
          </cell>
          <cell r="D519" t="str">
            <v>MONTERIA</v>
          </cell>
          <cell r="E519" t="str">
            <v>INTERMEDIA</v>
          </cell>
          <cell r="F519" t="str">
            <v>TERRESTRE</v>
          </cell>
        </row>
        <row r="520">
          <cell r="A520">
            <v>23672</v>
          </cell>
          <cell r="B520" t="str">
            <v>SAN ANTERO</v>
          </cell>
          <cell r="C520" t="str">
            <v>CORDOBA</v>
          </cell>
          <cell r="D520" t="str">
            <v>MONTERIA</v>
          </cell>
          <cell r="E520" t="str">
            <v>INTERMEDIA</v>
          </cell>
          <cell r="F520" t="str">
            <v>TERRESTRE</v>
          </cell>
        </row>
        <row r="521">
          <cell r="A521">
            <v>23675</v>
          </cell>
          <cell r="B521" t="str">
            <v>SAN BERNARDO DEL VIENTO</v>
          </cell>
          <cell r="C521" t="str">
            <v>CORDOBA</v>
          </cell>
          <cell r="D521" t="str">
            <v>MONTERIA</v>
          </cell>
          <cell r="E521" t="str">
            <v>INTERMEDIA</v>
          </cell>
          <cell r="F521" t="str">
            <v>TERRESTRE</v>
          </cell>
        </row>
        <row r="522">
          <cell r="A522">
            <v>23686</v>
          </cell>
          <cell r="B522" t="str">
            <v>SAN PELAYO</v>
          </cell>
          <cell r="C522" t="str">
            <v>CORDOBA</v>
          </cell>
          <cell r="D522" t="str">
            <v>MONTERIA</v>
          </cell>
          <cell r="E522" t="str">
            <v>INTERMEDIA</v>
          </cell>
          <cell r="F522" t="str">
            <v>TERRESTRE</v>
          </cell>
        </row>
        <row r="523">
          <cell r="A523">
            <v>23807</v>
          </cell>
          <cell r="B523" t="str">
            <v>TIERRALTA</v>
          </cell>
          <cell r="C523" t="str">
            <v>CORDOBA</v>
          </cell>
          <cell r="D523" t="str">
            <v>MONTERIA</v>
          </cell>
          <cell r="E523" t="str">
            <v>LEJANA</v>
          </cell>
          <cell r="F523" t="str">
            <v>TERRESTRE</v>
          </cell>
        </row>
        <row r="524">
          <cell r="A524">
            <v>23855</v>
          </cell>
          <cell r="B524" t="str">
            <v>VALENCIA</v>
          </cell>
          <cell r="C524" t="str">
            <v>CORDOBA</v>
          </cell>
          <cell r="D524" t="str">
            <v>MONTERIA</v>
          </cell>
          <cell r="E524" t="str">
            <v>LEJANA</v>
          </cell>
          <cell r="F524" t="str">
            <v>TERRESTRE</v>
          </cell>
        </row>
        <row r="525">
          <cell r="A525">
            <v>25019</v>
          </cell>
          <cell r="B525" t="str">
            <v>ALBAN</v>
          </cell>
          <cell r="C525" t="str">
            <v>CUNDINAMARCA</v>
          </cell>
          <cell r="D525" t="str">
            <v>BOGOTA</v>
          </cell>
          <cell r="E525" t="str">
            <v>INTERMEDIA</v>
          </cell>
          <cell r="F525" t="str">
            <v>TERRESTRE</v>
          </cell>
        </row>
        <row r="526">
          <cell r="A526">
            <v>25120</v>
          </cell>
          <cell r="B526" t="str">
            <v>CABRERA</v>
          </cell>
          <cell r="C526" t="str">
            <v>CUNDINAMARCA</v>
          </cell>
          <cell r="D526" t="str">
            <v>BOGOTA</v>
          </cell>
          <cell r="E526" t="str">
            <v>LEJANA</v>
          </cell>
          <cell r="F526" t="str">
            <v>TERRESTRE</v>
          </cell>
        </row>
        <row r="527">
          <cell r="A527">
            <v>25258</v>
          </cell>
          <cell r="B527" t="str">
            <v>EL PEÑON</v>
          </cell>
          <cell r="C527" t="str">
            <v>CUNDINAMARCA</v>
          </cell>
          <cell r="D527" t="str">
            <v>BOGOTA</v>
          </cell>
          <cell r="E527" t="str">
            <v>LEJANA</v>
          </cell>
          <cell r="F527" t="str">
            <v>TERRESTRE</v>
          </cell>
        </row>
        <row r="528">
          <cell r="A528">
            <v>25312</v>
          </cell>
          <cell r="B528" t="str">
            <v>GRANADA</v>
          </cell>
          <cell r="C528" t="str">
            <v>CUNDINAMARCA</v>
          </cell>
          <cell r="D528" t="str">
            <v>BOGOTA</v>
          </cell>
          <cell r="E528" t="str">
            <v>INTERMEDIA</v>
          </cell>
          <cell r="F528" t="str">
            <v>TERRESTRE</v>
          </cell>
        </row>
        <row r="529">
          <cell r="A529">
            <v>25402</v>
          </cell>
          <cell r="B529" t="str">
            <v>LA VEGA</v>
          </cell>
          <cell r="C529" t="str">
            <v>CUNDINAMARCA</v>
          </cell>
          <cell r="D529" t="str">
            <v>BOGOTA</v>
          </cell>
          <cell r="E529" t="str">
            <v>INTERMEDIA</v>
          </cell>
          <cell r="F529" t="str">
            <v>TERRESTRE</v>
          </cell>
        </row>
        <row r="530">
          <cell r="A530">
            <v>25473</v>
          </cell>
          <cell r="B530" t="str">
            <v>MOSQUERA</v>
          </cell>
          <cell r="C530" t="str">
            <v>CUNDINAMARCA</v>
          </cell>
          <cell r="D530" t="str">
            <v>BOGOTA</v>
          </cell>
          <cell r="E530" t="str">
            <v>PRINCIPAL</v>
          </cell>
          <cell r="F530" t="str">
            <v>TERRESTRE</v>
          </cell>
        </row>
        <row r="531">
          <cell r="A531">
            <v>25483</v>
          </cell>
          <cell r="B531" t="str">
            <v>NARIÑO</v>
          </cell>
          <cell r="C531" t="str">
            <v>CUNDINAMARCA</v>
          </cell>
          <cell r="D531" t="str">
            <v>BOGOTA</v>
          </cell>
          <cell r="E531" t="str">
            <v>LEJANA</v>
          </cell>
          <cell r="F531" t="str">
            <v>TERRESTRE</v>
          </cell>
        </row>
        <row r="532">
          <cell r="A532">
            <v>25612</v>
          </cell>
          <cell r="B532" t="str">
            <v>RICAURTE</v>
          </cell>
          <cell r="C532" t="str">
            <v>CUNDINAMARCA</v>
          </cell>
          <cell r="D532" t="str">
            <v>BOGOTA</v>
          </cell>
          <cell r="E532" t="str">
            <v>LEJANA</v>
          </cell>
          <cell r="F532" t="str">
            <v>TERRESTRE</v>
          </cell>
        </row>
        <row r="533">
          <cell r="A533">
            <v>25649</v>
          </cell>
          <cell r="B533" t="str">
            <v>SAN BERNARDO</v>
          </cell>
          <cell r="C533" t="str">
            <v>CUNDINAMARCA</v>
          </cell>
          <cell r="D533" t="str">
            <v>BOGOTA</v>
          </cell>
          <cell r="E533" t="str">
            <v>LEJANA</v>
          </cell>
          <cell r="F533" t="str">
            <v>TERRESTRE</v>
          </cell>
        </row>
        <row r="534">
          <cell r="A534">
            <v>25653</v>
          </cell>
          <cell r="B534" t="str">
            <v>SAN CAYETANO</v>
          </cell>
          <cell r="C534" t="str">
            <v>CUNDINAMARCA</v>
          </cell>
          <cell r="D534" t="str">
            <v>BOGOTA</v>
          </cell>
          <cell r="E534" t="str">
            <v>LEJANA</v>
          </cell>
          <cell r="F534" t="str">
            <v>TERRESTRE</v>
          </cell>
        </row>
        <row r="535">
          <cell r="A535">
            <v>25658</v>
          </cell>
          <cell r="B535" t="str">
            <v>SAN FRANCISCO</v>
          </cell>
          <cell r="C535" t="str">
            <v>CUNDINAMARCA</v>
          </cell>
          <cell r="D535" t="str">
            <v>BOGOTA</v>
          </cell>
          <cell r="E535" t="str">
            <v>INTERMEDIA</v>
          </cell>
          <cell r="F535" t="str">
            <v>TERRESTRE</v>
          </cell>
        </row>
        <row r="536">
          <cell r="A536">
            <v>25506</v>
          </cell>
          <cell r="B536" t="str">
            <v>VENECIA</v>
          </cell>
          <cell r="C536" t="str">
            <v>CUNDINAMARCA</v>
          </cell>
          <cell r="D536" t="str">
            <v>BOGOTA</v>
          </cell>
          <cell r="E536" t="str">
            <v>LEJANA</v>
          </cell>
          <cell r="F536" t="str">
            <v>TERRESTRE</v>
          </cell>
        </row>
        <row r="537">
          <cell r="A537">
            <v>25001</v>
          </cell>
          <cell r="B537" t="str">
            <v>AGUA DE DIOS</v>
          </cell>
          <cell r="C537" t="str">
            <v>CUNDINAMARCA</v>
          </cell>
          <cell r="D537" t="str">
            <v>BOGOTA</v>
          </cell>
          <cell r="E537" t="str">
            <v>LEJANA</v>
          </cell>
          <cell r="F537" t="str">
            <v>TERRESTRE</v>
          </cell>
        </row>
        <row r="538">
          <cell r="A538">
            <v>25035</v>
          </cell>
          <cell r="B538" t="str">
            <v>ANAPOIMA</v>
          </cell>
          <cell r="C538" t="str">
            <v>CUNDINAMARCA</v>
          </cell>
          <cell r="D538" t="str">
            <v>BOGOTA</v>
          </cell>
          <cell r="E538" t="str">
            <v>INTERMEDIA</v>
          </cell>
          <cell r="F538" t="str">
            <v>TERRESTRE</v>
          </cell>
        </row>
        <row r="539">
          <cell r="A539">
            <v>25040</v>
          </cell>
          <cell r="B539" t="str">
            <v>ANOLAIMA</v>
          </cell>
          <cell r="C539" t="str">
            <v>CUNDINAMARCA</v>
          </cell>
          <cell r="D539" t="str">
            <v>BOGOTA</v>
          </cell>
          <cell r="E539" t="str">
            <v>INTERMEDIA</v>
          </cell>
          <cell r="F539" t="str">
            <v>TERRESTRE</v>
          </cell>
        </row>
        <row r="540">
          <cell r="A540">
            <v>25599</v>
          </cell>
          <cell r="B540" t="str">
            <v>APULO</v>
          </cell>
          <cell r="C540" t="str">
            <v>CUNDINAMARCA</v>
          </cell>
          <cell r="D540" t="str">
            <v>BOGOTA</v>
          </cell>
          <cell r="E540" t="str">
            <v>LEJANA</v>
          </cell>
          <cell r="F540" t="str">
            <v>TERRESTRE</v>
          </cell>
        </row>
        <row r="541">
          <cell r="A541">
            <v>25053</v>
          </cell>
          <cell r="B541" t="str">
            <v>ARBELAEZ</v>
          </cell>
          <cell r="C541" t="str">
            <v>CUNDINAMARCA</v>
          </cell>
          <cell r="D541" t="str">
            <v>BOGOTA</v>
          </cell>
          <cell r="E541" t="str">
            <v>INTERMEDIA</v>
          </cell>
          <cell r="F541" t="str">
            <v>TERRESTRE</v>
          </cell>
        </row>
        <row r="542">
          <cell r="A542">
            <v>25086</v>
          </cell>
          <cell r="B542" t="str">
            <v>BELTRAN</v>
          </cell>
          <cell r="C542" t="str">
            <v>CUNDINAMARCA</v>
          </cell>
          <cell r="D542" t="str">
            <v>BOGOTA</v>
          </cell>
          <cell r="E542" t="str">
            <v>LEJANA</v>
          </cell>
          <cell r="F542" t="str">
            <v>TERRESTRE</v>
          </cell>
        </row>
        <row r="543">
          <cell r="A543">
            <v>25095</v>
          </cell>
          <cell r="B543" t="str">
            <v>BITUIMA</v>
          </cell>
          <cell r="C543" t="str">
            <v>CUNDINAMARCA</v>
          </cell>
          <cell r="D543" t="str">
            <v>BOGOTA</v>
          </cell>
          <cell r="E543" t="str">
            <v>LEJANA</v>
          </cell>
          <cell r="F543" t="str">
            <v>TERRESTRE</v>
          </cell>
        </row>
        <row r="544">
          <cell r="A544">
            <v>11001</v>
          </cell>
          <cell r="B544" t="str">
            <v>BOGOTA</v>
          </cell>
          <cell r="C544" t="str">
            <v>CUNDINAMARCA</v>
          </cell>
          <cell r="D544" t="str">
            <v>BOGOTA</v>
          </cell>
          <cell r="E544" t="str">
            <v>PRINCIPAL</v>
          </cell>
          <cell r="F544" t="str">
            <v>TERRESTRE</v>
          </cell>
        </row>
        <row r="545">
          <cell r="A545">
            <v>25099</v>
          </cell>
          <cell r="B545" t="str">
            <v>BOJACA</v>
          </cell>
          <cell r="C545" t="str">
            <v>CUNDINAMARCA</v>
          </cell>
          <cell r="D545" t="str">
            <v>BOGOTA</v>
          </cell>
          <cell r="E545" t="str">
            <v>INTERMEDIA</v>
          </cell>
          <cell r="F545" t="str">
            <v>TERRESTRE</v>
          </cell>
        </row>
        <row r="546">
          <cell r="A546">
            <v>25123</v>
          </cell>
          <cell r="B546" t="str">
            <v>CACHIPAY</v>
          </cell>
          <cell r="C546" t="str">
            <v>CUNDINAMARCA</v>
          </cell>
          <cell r="D546" t="str">
            <v>BOGOTA</v>
          </cell>
          <cell r="E546" t="str">
            <v>INTERMEDIA</v>
          </cell>
          <cell r="F546" t="str">
            <v>TERRESTRE</v>
          </cell>
        </row>
        <row r="547">
          <cell r="A547">
            <v>25126</v>
          </cell>
          <cell r="B547" t="str">
            <v>CAJICA</v>
          </cell>
          <cell r="C547" t="str">
            <v>CUNDINAMARCA</v>
          </cell>
          <cell r="D547" t="str">
            <v>BOGOTA</v>
          </cell>
          <cell r="E547" t="str">
            <v>INTERMEDIA</v>
          </cell>
          <cell r="F547" t="str">
            <v>TERRESTRE</v>
          </cell>
        </row>
        <row r="548">
          <cell r="A548">
            <v>25148</v>
          </cell>
          <cell r="B548" t="str">
            <v>CAPARRAPI</v>
          </cell>
          <cell r="C548" t="str">
            <v>CUNDINAMARCA</v>
          </cell>
          <cell r="D548" t="str">
            <v>BOGOTA</v>
          </cell>
          <cell r="E548" t="str">
            <v>LEJANA</v>
          </cell>
          <cell r="F548" t="str">
            <v>TERRESTRE</v>
          </cell>
        </row>
        <row r="549">
          <cell r="A549">
            <v>25151</v>
          </cell>
          <cell r="B549" t="str">
            <v>CAQUEZA</v>
          </cell>
          <cell r="C549" t="str">
            <v>CUNDINAMARCA</v>
          </cell>
          <cell r="D549" t="str">
            <v>BOGOTA</v>
          </cell>
          <cell r="E549" t="str">
            <v>INTERMEDIA</v>
          </cell>
          <cell r="F549" t="str">
            <v>TERRESTRE</v>
          </cell>
        </row>
        <row r="550">
          <cell r="A550">
            <v>25154</v>
          </cell>
          <cell r="B550" t="str">
            <v>CARMEN DE CARUPA</v>
          </cell>
          <cell r="C550" t="str">
            <v>CUNDINAMARCA</v>
          </cell>
          <cell r="D550" t="str">
            <v>BOGOTA</v>
          </cell>
          <cell r="E550" t="str">
            <v>LEJANA</v>
          </cell>
          <cell r="F550" t="str">
            <v>TERRESTRE</v>
          </cell>
        </row>
        <row r="551">
          <cell r="A551">
            <v>25168</v>
          </cell>
          <cell r="B551" t="str">
            <v>CHAGUANI</v>
          </cell>
          <cell r="C551" t="str">
            <v>CUNDINAMARCA</v>
          </cell>
          <cell r="D551" t="str">
            <v>BOGOTA</v>
          </cell>
          <cell r="E551" t="str">
            <v>LEJANA</v>
          </cell>
          <cell r="F551" t="str">
            <v>TERRESTRE</v>
          </cell>
        </row>
        <row r="552">
          <cell r="A552">
            <v>25175</v>
          </cell>
          <cell r="B552" t="str">
            <v>CHIA</v>
          </cell>
          <cell r="C552" t="str">
            <v>CUNDINAMARCA</v>
          </cell>
          <cell r="D552" t="str">
            <v>BOGOTA</v>
          </cell>
          <cell r="E552" t="str">
            <v>INTERMEDIA</v>
          </cell>
          <cell r="F552" t="str">
            <v>TERRESTRE</v>
          </cell>
        </row>
        <row r="553">
          <cell r="A553">
            <v>25178</v>
          </cell>
          <cell r="B553" t="str">
            <v>CHIPAQUE</v>
          </cell>
          <cell r="C553" t="str">
            <v>CUNDINAMARCA</v>
          </cell>
          <cell r="D553" t="str">
            <v>BOGOTA</v>
          </cell>
          <cell r="E553" t="str">
            <v>INTERMEDIA</v>
          </cell>
          <cell r="F553" t="str">
            <v>TERRESTRE</v>
          </cell>
        </row>
        <row r="554">
          <cell r="A554">
            <v>25181</v>
          </cell>
          <cell r="B554" t="str">
            <v>CHOACHI</v>
          </cell>
          <cell r="C554" t="str">
            <v>CUNDINAMARCA</v>
          </cell>
          <cell r="D554" t="str">
            <v>BOGOTA</v>
          </cell>
          <cell r="E554" t="str">
            <v>INTERMEDIA</v>
          </cell>
          <cell r="F554" t="str">
            <v>TERRESTRE</v>
          </cell>
        </row>
        <row r="555">
          <cell r="A555">
            <v>25183</v>
          </cell>
          <cell r="B555" t="str">
            <v>CHOCONTA</v>
          </cell>
          <cell r="C555" t="str">
            <v>CUNDINAMARCA</v>
          </cell>
          <cell r="D555" t="str">
            <v>TUNJA</v>
          </cell>
          <cell r="E555" t="str">
            <v>INTERMEDIA</v>
          </cell>
          <cell r="F555" t="str">
            <v>TERRESTRE</v>
          </cell>
        </row>
        <row r="556">
          <cell r="A556">
            <v>25200</v>
          </cell>
          <cell r="B556" t="str">
            <v>COGUA</v>
          </cell>
          <cell r="C556" t="str">
            <v>CUNDINAMARCA</v>
          </cell>
          <cell r="D556" t="str">
            <v>BOGOTA</v>
          </cell>
          <cell r="E556" t="str">
            <v>INTERMEDIA</v>
          </cell>
          <cell r="F556" t="str">
            <v>TERRESTRE</v>
          </cell>
        </row>
        <row r="557">
          <cell r="A557">
            <v>25214</v>
          </cell>
          <cell r="B557" t="str">
            <v>COTA</v>
          </cell>
          <cell r="C557" t="str">
            <v>CUNDINAMARCA</v>
          </cell>
          <cell r="D557" t="str">
            <v>BOGOTA</v>
          </cell>
          <cell r="E557" t="str">
            <v>INTERMEDIA</v>
          </cell>
          <cell r="F557" t="str">
            <v>TERRESTRE</v>
          </cell>
        </row>
        <row r="558">
          <cell r="A558">
            <v>25224</v>
          </cell>
          <cell r="B558" t="str">
            <v>CUCUNUBA</v>
          </cell>
          <cell r="C558" t="str">
            <v>CUNDINAMARCA</v>
          </cell>
          <cell r="D558" t="str">
            <v>BOGOTA</v>
          </cell>
          <cell r="E558" t="str">
            <v>LEJANA</v>
          </cell>
          <cell r="F558" t="str">
            <v>TERRESTRE</v>
          </cell>
        </row>
        <row r="559">
          <cell r="A559">
            <v>25245</v>
          </cell>
          <cell r="B559" t="str">
            <v>EL COLEGIO</v>
          </cell>
          <cell r="C559" t="str">
            <v>CUNDINAMARCA</v>
          </cell>
          <cell r="D559" t="str">
            <v>BOGOTA</v>
          </cell>
          <cell r="E559" t="str">
            <v>INTERMEDIA</v>
          </cell>
          <cell r="F559" t="str">
            <v>TERRESTRE</v>
          </cell>
        </row>
        <row r="560">
          <cell r="A560">
            <v>25260</v>
          </cell>
          <cell r="B560" t="str">
            <v>EL ROSAL</v>
          </cell>
          <cell r="C560" t="str">
            <v>CUNDINAMARCA</v>
          </cell>
          <cell r="D560" t="str">
            <v>BOGOTA</v>
          </cell>
          <cell r="E560" t="str">
            <v>INTERMEDIA</v>
          </cell>
          <cell r="F560" t="str">
            <v>TERRESTRE</v>
          </cell>
        </row>
        <row r="561">
          <cell r="A561">
            <v>25269</v>
          </cell>
          <cell r="B561" t="str">
            <v>FACATATIVA</v>
          </cell>
          <cell r="C561" t="str">
            <v>CUNDINAMARCA</v>
          </cell>
          <cell r="D561" t="str">
            <v>BOGOTA</v>
          </cell>
          <cell r="E561" t="str">
            <v>INTERMEDIA</v>
          </cell>
          <cell r="F561" t="str">
            <v>TERRESTRE</v>
          </cell>
        </row>
        <row r="562">
          <cell r="A562">
            <v>25279</v>
          </cell>
          <cell r="B562" t="str">
            <v>FOMEQUE</v>
          </cell>
          <cell r="C562" t="str">
            <v>CUNDINAMARCA</v>
          </cell>
          <cell r="D562" t="str">
            <v>BOGOTA</v>
          </cell>
          <cell r="E562" t="str">
            <v>INTERMEDIA</v>
          </cell>
          <cell r="F562" t="str">
            <v>TERRESTRE</v>
          </cell>
        </row>
        <row r="563">
          <cell r="A563">
            <v>25281</v>
          </cell>
          <cell r="B563" t="str">
            <v>FOSCA</v>
          </cell>
          <cell r="C563" t="str">
            <v>CUNDINAMARCA</v>
          </cell>
          <cell r="D563" t="str">
            <v>BOGOTA</v>
          </cell>
          <cell r="E563" t="str">
            <v>INTERMEDIA</v>
          </cell>
          <cell r="F563" t="str">
            <v>TERRESTRE</v>
          </cell>
        </row>
        <row r="564">
          <cell r="A564">
            <v>25286</v>
          </cell>
          <cell r="B564" t="str">
            <v>FUNZA</v>
          </cell>
          <cell r="C564" t="str">
            <v>CUNDINAMARCA</v>
          </cell>
          <cell r="D564" t="str">
            <v>BOGOTA</v>
          </cell>
          <cell r="E564" t="str">
            <v>INTERMEDIA</v>
          </cell>
          <cell r="F564" t="str">
            <v>TERRESTRE</v>
          </cell>
        </row>
        <row r="565">
          <cell r="A565">
            <v>25288</v>
          </cell>
          <cell r="B565" t="str">
            <v>FUQUENE</v>
          </cell>
          <cell r="C565" t="str">
            <v>CUNDINAMARCA</v>
          </cell>
          <cell r="D565" t="str">
            <v>BOGOTA</v>
          </cell>
          <cell r="E565" t="str">
            <v>LEJANA</v>
          </cell>
          <cell r="F565" t="str">
            <v>TERRESTRE</v>
          </cell>
        </row>
        <row r="566">
          <cell r="A566">
            <v>25290</v>
          </cell>
          <cell r="B566" t="str">
            <v>FUSAGASUGA</v>
          </cell>
          <cell r="C566" t="str">
            <v>CUNDINAMARCA</v>
          </cell>
          <cell r="D566" t="str">
            <v>BOGOTA</v>
          </cell>
          <cell r="E566" t="str">
            <v>INTERMEDIA</v>
          </cell>
          <cell r="F566" t="str">
            <v>TERRESTRE</v>
          </cell>
        </row>
        <row r="567">
          <cell r="A567">
            <v>25293</v>
          </cell>
          <cell r="B567" t="str">
            <v>GACHALA</v>
          </cell>
          <cell r="C567" t="str">
            <v>CUNDINAMARCA</v>
          </cell>
          <cell r="D567" t="str">
            <v>BOGOTA</v>
          </cell>
          <cell r="E567" t="str">
            <v>LEJANA</v>
          </cell>
          <cell r="F567" t="str">
            <v>TERRESTRE</v>
          </cell>
        </row>
        <row r="568">
          <cell r="A568">
            <v>25295</v>
          </cell>
          <cell r="B568" t="str">
            <v>GACHANCIPA</v>
          </cell>
          <cell r="C568" t="str">
            <v>CUNDINAMARCA</v>
          </cell>
          <cell r="D568" t="str">
            <v>BOGOTA</v>
          </cell>
          <cell r="E568" t="str">
            <v>INTERMEDIA</v>
          </cell>
          <cell r="F568" t="str">
            <v>TERRESTRE</v>
          </cell>
        </row>
        <row r="569">
          <cell r="A569">
            <v>25297</v>
          </cell>
          <cell r="B569" t="str">
            <v>GACHETA</v>
          </cell>
          <cell r="C569" t="str">
            <v>CUNDINAMARCA</v>
          </cell>
          <cell r="D569" t="str">
            <v>BOGOTA</v>
          </cell>
          <cell r="E569" t="str">
            <v>LEJANA</v>
          </cell>
          <cell r="F569" t="str">
            <v>TERRESTRE</v>
          </cell>
        </row>
        <row r="570">
          <cell r="A570">
            <v>25299</v>
          </cell>
          <cell r="B570" t="str">
            <v>GAMA</v>
          </cell>
          <cell r="C570" t="str">
            <v>CUNDINAMARCA</v>
          </cell>
          <cell r="D570" t="str">
            <v>BOGOTA</v>
          </cell>
          <cell r="E570" t="str">
            <v>LEJANA</v>
          </cell>
          <cell r="F570" t="str">
            <v>TERRESTRE</v>
          </cell>
        </row>
        <row r="571">
          <cell r="A571">
            <v>25307</v>
          </cell>
          <cell r="B571" t="str">
            <v>GIRARDOT</v>
          </cell>
          <cell r="C571" t="str">
            <v>CUNDINAMARCA</v>
          </cell>
          <cell r="D571" t="str">
            <v>BOGOTA</v>
          </cell>
          <cell r="E571" t="str">
            <v>LEJANA</v>
          </cell>
          <cell r="F571" t="str">
            <v>TERRESTRE</v>
          </cell>
        </row>
        <row r="572">
          <cell r="A572">
            <v>25317</v>
          </cell>
          <cell r="B572" t="str">
            <v>GUACHETA</v>
          </cell>
          <cell r="C572" t="str">
            <v>CUNDINAMARCA</v>
          </cell>
          <cell r="D572" t="str">
            <v>BOGOTA</v>
          </cell>
          <cell r="E572" t="str">
            <v>LEJANA</v>
          </cell>
          <cell r="F572" t="str">
            <v>TERRESTRE</v>
          </cell>
        </row>
        <row r="573">
          <cell r="A573">
            <v>25320</v>
          </cell>
          <cell r="B573" t="str">
            <v>GUADUAS</v>
          </cell>
          <cell r="C573" t="str">
            <v>CUNDINAMARCA</v>
          </cell>
          <cell r="D573" t="str">
            <v>BOGOTA</v>
          </cell>
          <cell r="E573" t="str">
            <v>LEJANA</v>
          </cell>
          <cell r="F573" t="str">
            <v>TERRESTRE</v>
          </cell>
        </row>
        <row r="574">
          <cell r="A574">
            <v>25322</v>
          </cell>
          <cell r="B574" t="str">
            <v>GUASCA</v>
          </cell>
          <cell r="C574" t="str">
            <v>CUNDINAMARCA</v>
          </cell>
          <cell r="D574" t="str">
            <v>BOGOTA</v>
          </cell>
          <cell r="E574" t="str">
            <v>INTERMEDIA</v>
          </cell>
          <cell r="F574" t="str">
            <v>TERRESTRE</v>
          </cell>
        </row>
        <row r="575">
          <cell r="A575">
            <v>25324</v>
          </cell>
          <cell r="B575" t="str">
            <v>GUATAQUI</v>
          </cell>
          <cell r="C575" t="str">
            <v>CUNDINAMARCA</v>
          </cell>
          <cell r="D575" t="str">
            <v>IBAGUE</v>
          </cell>
          <cell r="E575" t="str">
            <v>LEJANA</v>
          </cell>
          <cell r="F575" t="str">
            <v>TERRESTRE</v>
          </cell>
        </row>
        <row r="576">
          <cell r="A576">
            <v>25326</v>
          </cell>
          <cell r="B576" t="str">
            <v>GUATAVITA</v>
          </cell>
          <cell r="C576" t="str">
            <v>CUNDINAMARCA</v>
          </cell>
          <cell r="D576" t="str">
            <v>BOGOTA</v>
          </cell>
          <cell r="E576" t="str">
            <v>INTERMEDIA</v>
          </cell>
          <cell r="F576" t="str">
            <v>TERRESTRE</v>
          </cell>
        </row>
        <row r="577">
          <cell r="A577">
            <v>25328</v>
          </cell>
          <cell r="B577" t="str">
            <v>GUAYABAL DE SIQUIMA</v>
          </cell>
          <cell r="C577" t="str">
            <v>CUNDINAMARCA</v>
          </cell>
          <cell r="D577" t="str">
            <v>BOGOTA</v>
          </cell>
          <cell r="E577" t="str">
            <v>LEJANA</v>
          </cell>
          <cell r="F577" t="str">
            <v>TERRESTRE</v>
          </cell>
        </row>
        <row r="578">
          <cell r="A578">
            <v>25335</v>
          </cell>
          <cell r="B578" t="str">
            <v>GUAYABETAL</v>
          </cell>
          <cell r="C578" t="str">
            <v>CUNDINAMARCA</v>
          </cell>
          <cell r="D578" t="str">
            <v>VILLAVICENCIO</v>
          </cell>
          <cell r="E578" t="str">
            <v>INTERMEDIA</v>
          </cell>
          <cell r="F578" t="str">
            <v>TERRESTRE</v>
          </cell>
        </row>
        <row r="579">
          <cell r="A579">
            <v>25339</v>
          </cell>
          <cell r="B579" t="str">
            <v>GUTIERREZ</v>
          </cell>
          <cell r="C579" t="str">
            <v>CUNDINAMARCA</v>
          </cell>
          <cell r="D579" t="str">
            <v>BOGOTA</v>
          </cell>
          <cell r="E579" t="str">
            <v>LEJANA</v>
          </cell>
          <cell r="F579" t="str">
            <v>TERRESTRE</v>
          </cell>
        </row>
        <row r="580">
          <cell r="A580">
            <v>25368</v>
          </cell>
          <cell r="B580" t="str">
            <v>JERUSALEN</v>
          </cell>
          <cell r="C580" t="str">
            <v>CUNDINAMARCA</v>
          </cell>
          <cell r="D580" t="str">
            <v>BOGOTA</v>
          </cell>
          <cell r="E580" t="str">
            <v>LEJANA</v>
          </cell>
          <cell r="F580" t="str">
            <v>TERRESTRE</v>
          </cell>
        </row>
        <row r="581">
          <cell r="A581">
            <v>25372</v>
          </cell>
          <cell r="B581" t="str">
            <v>JUNIN</v>
          </cell>
          <cell r="C581" t="str">
            <v>CUNDINAMARCA</v>
          </cell>
          <cell r="D581" t="str">
            <v>BOGOTA</v>
          </cell>
          <cell r="E581" t="str">
            <v>LEJANA</v>
          </cell>
          <cell r="F581" t="str">
            <v>TERRESTRE</v>
          </cell>
        </row>
        <row r="582">
          <cell r="A582">
            <v>25377</v>
          </cell>
          <cell r="B582" t="str">
            <v>LA CALERA</v>
          </cell>
          <cell r="C582" t="str">
            <v>CUNDINAMARCA</v>
          </cell>
          <cell r="D582" t="str">
            <v>BOGOTA</v>
          </cell>
          <cell r="E582" t="str">
            <v>INTERMEDIA</v>
          </cell>
          <cell r="F582" t="str">
            <v>TERRESTRE</v>
          </cell>
        </row>
        <row r="583">
          <cell r="A583">
            <v>25386</v>
          </cell>
          <cell r="B583" t="str">
            <v>LA MESA</v>
          </cell>
          <cell r="C583" t="str">
            <v>CUNDINAMARCA</v>
          </cell>
          <cell r="D583" t="str">
            <v>BOGOTA</v>
          </cell>
          <cell r="E583" t="str">
            <v>INTERMEDIA</v>
          </cell>
          <cell r="F583" t="str">
            <v>TERRESTRE</v>
          </cell>
        </row>
        <row r="584">
          <cell r="A584">
            <v>25394</v>
          </cell>
          <cell r="B584" t="str">
            <v>LA PALMA</v>
          </cell>
          <cell r="C584" t="str">
            <v>CUNDINAMARCA</v>
          </cell>
          <cell r="D584" t="str">
            <v>BOGOTA</v>
          </cell>
          <cell r="E584" t="str">
            <v>LEJANA</v>
          </cell>
          <cell r="F584" t="str">
            <v>TERRESTRE</v>
          </cell>
        </row>
        <row r="585">
          <cell r="A585">
            <v>25398</v>
          </cell>
          <cell r="B585" t="str">
            <v>LA PEÑA</v>
          </cell>
          <cell r="C585" t="str">
            <v>CUNDINAMARCA</v>
          </cell>
          <cell r="D585" t="str">
            <v>BOGOTA</v>
          </cell>
          <cell r="E585" t="str">
            <v>LEJANA</v>
          </cell>
          <cell r="F585" t="str">
            <v>TERRESTRE</v>
          </cell>
        </row>
        <row r="586">
          <cell r="A586">
            <v>25407</v>
          </cell>
          <cell r="B586" t="str">
            <v>LENGUAZAQUE</v>
          </cell>
          <cell r="C586" t="str">
            <v>CUNDINAMARCA</v>
          </cell>
          <cell r="D586" t="str">
            <v>BOGOTA</v>
          </cell>
          <cell r="E586" t="str">
            <v>LEJANA</v>
          </cell>
          <cell r="F586" t="str">
            <v>TERRESTRE</v>
          </cell>
        </row>
        <row r="587">
          <cell r="A587">
            <v>25426</v>
          </cell>
          <cell r="B587" t="str">
            <v>MACHETA</v>
          </cell>
          <cell r="C587" t="str">
            <v>CUNDINAMARCA</v>
          </cell>
          <cell r="D587" t="str">
            <v>BOGOTA</v>
          </cell>
          <cell r="E587" t="str">
            <v>LEJANA</v>
          </cell>
          <cell r="F587" t="str">
            <v>TERRESTRE</v>
          </cell>
        </row>
        <row r="588">
          <cell r="A588">
            <v>25430</v>
          </cell>
          <cell r="B588" t="str">
            <v>MADRID</v>
          </cell>
          <cell r="C588" t="str">
            <v>CUNDINAMARCA</v>
          </cell>
          <cell r="D588" t="str">
            <v>BOGOTA</v>
          </cell>
          <cell r="E588" t="str">
            <v>INTERMEDIA</v>
          </cell>
          <cell r="F588" t="str">
            <v>TERRESTRE</v>
          </cell>
        </row>
        <row r="589">
          <cell r="A589">
            <v>25436</v>
          </cell>
          <cell r="B589" t="str">
            <v>MANTA</v>
          </cell>
          <cell r="C589" t="str">
            <v>CUNDINAMARCA</v>
          </cell>
          <cell r="D589" t="str">
            <v>BOGOTA</v>
          </cell>
          <cell r="E589" t="str">
            <v>LEJANA</v>
          </cell>
          <cell r="F589" t="str">
            <v>TERRESTRE</v>
          </cell>
        </row>
        <row r="590">
          <cell r="A590">
            <v>25438</v>
          </cell>
          <cell r="B590" t="str">
            <v>MEDINA</v>
          </cell>
          <cell r="C590" t="str">
            <v>CUNDINAMARCA</v>
          </cell>
          <cell r="D590" t="str">
            <v>VILLAVICENCIO</v>
          </cell>
          <cell r="E590" t="str">
            <v>LEJANA</v>
          </cell>
          <cell r="F590" t="str">
            <v>TERRESTRE</v>
          </cell>
        </row>
        <row r="591">
          <cell r="A591">
            <v>25486</v>
          </cell>
          <cell r="B591" t="str">
            <v>NEMOCON</v>
          </cell>
          <cell r="C591" t="str">
            <v>CUNDINAMARCA</v>
          </cell>
          <cell r="D591" t="str">
            <v>BOGOTA</v>
          </cell>
          <cell r="E591" t="str">
            <v>INTERMEDIA</v>
          </cell>
          <cell r="F591" t="str">
            <v>TERRESTRE</v>
          </cell>
        </row>
        <row r="592">
          <cell r="A592">
            <v>25488</v>
          </cell>
          <cell r="B592" t="str">
            <v>NILO</v>
          </cell>
          <cell r="C592" t="str">
            <v>CUNDINAMARCA</v>
          </cell>
          <cell r="D592" t="str">
            <v>BOGOTA</v>
          </cell>
          <cell r="E592" t="str">
            <v>LEJANA</v>
          </cell>
          <cell r="F592" t="str">
            <v>TERRESTRE</v>
          </cell>
        </row>
        <row r="593">
          <cell r="A593">
            <v>25489</v>
          </cell>
          <cell r="B593" t="str">
            <v>NIMAIMA</v>
          </cell>
          <cell r="C593" t="str">
            <v>CUNDINAMARCA</v>
          </cell>
          <cell r="D593" t="str">
            <v>BOGOTA</v>
          </cell>
          <cell r="E593" t="str">
            <v>LEJANA</v>
          </cell>
          <cell r="F593" t="str">
            <v>TERRESTRE</v>
          </cell>
        </row>
        <row r="594">
          <cell r="A594">
            <v>25491</v>
          </cell>
          <cell r="B594" t="str">
            <v>NOCAIMA</v>
          </cell>
          <cell r="C594" t="str">
            <v>CUNDINAMARCA</v>
          </cell>
          <cell r="D594" t="str">
            <v>BOGOTA</v>
          </cell>
          <cell r="E594" t="str">
            <v>LEJANA</v>
          </cell>
          <cell r="F594" t="str">
            <v>TERRESTRE</v>
          </cell>
        </row>
        <row r="595">
          <cell r="A595">
            <v>25513</v>
          </cell>
          <cell r="B595" t="str">
            <v>PACHO</v>
          </cell>
          <cell r="C595" t="str">
            <v>CUNDINAMARCA</v>
          </cell>
          <cell r="D595" t="str">
            <v>BOGOTA</v>
          </cell>
          <cell r="E595" t="str">
            <v>LEJANA</v>
          </cell>
          <cell r="F595" t="str">
            <v>TERRESTRE</v>
          </cell>
        </row>
        <row r="596">
          <cell r="A596">
            <v>25518</v>
          </cell>
          <cell r="B596" t="str">
            <v>PAIME</v>
          </cell>
          <cell r="C596" t="str">
            <v>CUNDINAMARCA</v>
          </cell>
          <cell r="D596" t="str">
            <v>BOGOTA</v>
          </cell>
          <cell r="E596" t="str">
            <v>LEJANA</v>
          </cell>
          <cell r="F596" t="str">
            <v>TERRESTRE</v>
          </cell>
        </row>
        <row r="597">
          <cell r="A597">
            <v>25524</v>
          </cell>
          <cell r="B597" t="str">
            <v>PANDI</v>
          </cell>
          <cell r="C597" t="str">
            <v>CUNDINAMARCA</v>
          </cell>
          <cell r="D597" t="str">
            <v>BOGOTA</v>
          </cell>
          <cell r="E597" t="str">
            <v>LEJANA</v>
          </cell>
          <cell r="F597" t="str">
            <v>TERRESTRE</v>
          </cell>
        </row>
        <row r="598">
          <cell r="A598">
            <v>25530</v>
          </cell>
          <cell r="B598" t="str">
            <v>PARATEBUENO</v>
          </cell>
          <cell r="C598" t="str">
            <v>CUNDINAMARCA</v>
          </cell>
          <cell r="D598" t="str">
            <v>VILLAVICENCIO</v>
          </cell>
          <cell r="E598" t="str">
            <v>LEJANA</v>
          </cell>
          <cell r="F598" t="str">
            <v>TERRESTRE</v>
          </cell>
        </row>
        <row r="599">
          <cell r="A599">
            <v>25535</v>
          </cell>
          <cell r="B599" t="str">
            <v>PASCA</v>
          </cell>
          <cell r="C599" t="str">
            <v>CUNDINAMARCA</v>
          </cell>
          <cell r="D599" t="str">
            <v>BOGOTA</v>
          </cell>
          <cell r="E599" t="str">
            <v>INTERMEDIA</v>
          </cell>
          <cell r="F599" t="str">
            <v>TERRESTRE</v>
          </cell>
        </row>
        <row r="600">
          <cell r="A600">
            <v>25572</v>
          </cell>
          <cell r="B600" t="str">
            <v>PUERTO SALGAR</v>
          </cell>
          <cell r="C600" t="str">
            <v>CUNDINAMARCA</v>
          </cell>
          <cell r="D600" t="str">
            <v>BOGOTA</v>
          </cell>
          <cell r="E600" t="str">
            <v>LEJANA</v>
          </cell>
          <cell r="F600" t="str">
            <v>TERRESTRE</v>
          </cell>
        </row>
        <row r="601">
          <cell r="A601">
            <v>25580</v>
          </cell>
          <cell r="B601" t="str">
            <v>PULI</v>
          </cell>
          <cell r="C601" t="str">
            <v>CUNDINAMARCA</v>
          </cell>
          <cell r="D601" t="str">
            <v>BOGOTA</v>
          </cell>
          <cell r="E601" t="str">
            <v>LEJANA</v>
          </cell>
          <cell r="F601" t="str">
            <v>TERRESTRE</v>
          </cell>
        </row>
        <row r="602">
          <cell r="A602">
            <v>25592</v>
          </cell>
          <cell r="B602" t="str">
            <v>QUEBRADANEGRA</v>
          </cell>
          <cell r="C602" t="str">
            <v>CUNDINAMARCA</v>
          </cell>
          <cell r="D602" t="str">
            <v>BOGOTA</v>
          </cell>
          <cell r="E602" t="str">
            <v>LEJANA</v>
          </cell>
          <cell r="F602" t="str">
            <v>TERRESTRE</v>
          </cell>
        </row>
        <row r="603">
          <cell r="A603">
            <v>25594</v>
          </cell>
          <cell r="B603" t="str">
            <v>QUETAME</v>
          </cell>
          <cell r="C603" t="str">
            <v>CUNDINAMARCA</v>
          </cell>
          <cell r="D603" t="str">
            <v>BOGOTA</v>
          </cell>
          <cell r="E603" t="str">
            <v>LEJANA</v>
          </cell>
          <cell r="F603" t="str">
            <v>TERRESTRE</v>
          </cell>
        </row>
        <row r="604">
          <cell r="A604">
            <v>25596</v>
          </cell>
          <cell r="B604" t="str">
            <v>QUIPILE</v>
          </cell>
          <cell r="C604" t="str">
            <v>CUNDINAMARCA</v>
          </cell>
          <cell r="D604" t="str">
            <v>BOGOTA</v>
          </cell>
          <cell r="E604" t="str">
            <v>LEJANA</v>
          </cell>
          <cell r="F604" t="str">
            <v>TERRESTRE</v>
          </cell>
        </row>
        <row r="605">
          <cell r="A605">
            <v>25645</v>
          </cell>
          <cell r="B605" t="str">
            <v>SAN ANTONIO DEL TEQUENDAMA</v>
          </cell>
          <cell r="C605" t="str">
            <v>CUNDINAMARCA</v>
          </cell>
          <cell r="D605" t="str">
            <v>BOGOTA</v>
          </cell>
          <cell r="E605" t="str">
            <v>INTERMEDIA</v>
          </cell>
          <cell r="F605" t="str">
            <v>TERRESTRE</v>
          </cell>
        </row>
        <row r="606">
          <cell r="A606">
            <v>25662</v>
          </cell>
          <cell r="B606" t="str">
            <v>SAN JUAN DE RIO SECO</v>
          </cell>
          <cell r="C606" t="str">
            <v>CUNDINAMARCA</v>
          </cell>
          <cell r="D606" t="str">
            <v>BOGOTA</v>
          </cell>
          <cell r="E606" t="str">
            <v>LEJANA</v>
          </cell>
          <cell r="F606" t="str">
            <v>TERRESTRE</v>
          </cell>
        </row>
        <row r="607">
          <cell r="A607">
            <v>25718</v>
          </cell>
          <cell r="B607" t="str">
            <v>SASAIMA</v>
          </cell>
          <cell r="C607" t="str">
            <v>CUNDINAMARCA</v>
          </cell>
          <cell r="D607" t="str">
            <v>BOGOTA</v>
          </cell>
          <cell r="E607" t="str">
            <v>INTERMEDIA</v>
          </cell>
          <cell r="F607" t="str">
            <v>TERRESTRE</v>
          </cell>
        </row>
        <row r="608">
          <cell r="A608">
            <v>25736</v>
          </cell>
          <cell r="B608" t="str">
            <v>SESQUILE</v>
          </cell>
          <cell r="C608" t="str">
            <v>CUNDINAMARCA</v>
          </cell>
          <cell r="D608" t="str">
            <v>BOGOTA</v>
          </cell>
          <cell r="E608" t="str">
            <v>INTERMEDIA</v>
          </cell>
          <cell r="F608" t="str">
            <v>TERRESTRE</v>
          </cell>
        </row>
        <row r="609">
          <cell r="A609">
            <v>25740</v>
          </cell>
          <cell r="B609" t="str">
            <v>SIBATE</v>
          </cell>
          <cell r="C609" t="str">
            <v>CUNDINAMARCA</v>
          </cell>
          <cell r="D609" t="str">
            <v>BOGOTA</v>
          </cell>
          <cell r="E609" t="str">
            <v>INTERMEDIA</v>
          </cell>
          <cell r="F609" t="str">
            <v>TERRESTRE</v>
          </cell>
        </row>
        <row r="610">
          <cell r="A610">
            <v>25743</v>
          </cell>
          <cell r="B610" t="str">
            <v>SILVANIA</v>
          </cell>
          <cell r="C610" t="str">
            <v>CUNDINAMARCA</v>
          </cell>
          <cell r="D610" t="str">
            <v>BOGOTA</v>
          </cell>
          <cell r="E610" t="str">
            <v>INTERMEDIA</v>
          </cell>
          <cell r="F610" t="str">
            <v>TERRESTRE</v>
          </cell>
        </row>
        <row r="611">
          <cell r="A611">
            <v>25745</v>
          </cell>
          <cell r="B611" t="str">
            <v>SIMIJACA</v>
          </cell>
          <cell r="C611" t="str">
            <v>CUNDINAMARCA</v>
          </cell>
          <cell r="D611" t="str">
            <v>TUNJA</v>
          </cell>
          <cell r="E611" t="str">
            <v>LEJANA</v>
          </cell>
          <cell r="F611" t="str">
            <v>TERRESTRE</v>
          </cell>
        </row>
        <row r="612">
          <cell r="A612">
            <v>25754</v>
          </cell>
          <cell r="B612" t="str">
            <v>SOACHA</v>
          </cell>
          <cell r="C612" t="str">
            <v>CUNDINAMARCA</v>
          </cell>
          <cell r="D612" t="str">
            <v>BOGOTA</v>
          </cell>
          <cell r="E612" t="str">
            <v>PRINCIPAL</v>
          </cell>
          <cell r="F612" t="str">
            <v>TERRESTRE</v>
          </cell>
        </row>
        <row r="613">
          <cell r="A613">
            <v>25758</v>
          </cell>
          <cell r="B613" t="str">
            <v>SOPO</v>
          </cell>
          <cell r="C613" t="str">
            <v>CUNDINAMARCA</v>
          </cell>
          <cell r="D613" t="str">
            <v>BOGOTA</v>
          </cell>
          <cell r="E613" t="str">
            <v>INTERMEDIA</v>
          </cell>
          <cell r="F613" t="str">
            <v>TERRESTRE</v>
          </cell>
        </row>
        <row r="614">
          <cell r="A614">
            <v>25769</v>
          </cell>
          <cell r="B614" t="str">
            <v>SUBACHOQUE</v>
          </cell>
          <cell r="C614" t="str">
            <v>CUNDINAMARCA</v>
          </cell>
          <cell r="D614" t="str">
            <v>BOGOTA</v>
          </cell>
          <cell r="E614" t="str">
            <v>INTERMEDIA</v>
          </cell>
          <cell r="F614" t="str">
            <v>TERRESTRE</v>
          </cell>
        </row>
        <row r="615">
          <cell r="A615">
            <v>25772</v>
          </cell>
          <cell r="B615" t="str">
            <v>SUESCA</v>
          </cell>
          <cell r="C615" t="str">
            <v>CUNDINAMARCA</v>
          </cell>
          <cell r="D615" t="str">
            <v>BOGOTA</v>
          </cell>
          <cell r="E615" t="str">
            <v>INTERMEDIA</v>
          </cell>
          <cell r="F615" t="str">
            <v>TERRESTRE</v>
          </cell>
        </row>
        <row r="616">
          <cell r="A616">
            <v>25777</v>
          </cell>
          <cell r="B616" t="str">
            <v>SUPATA</v>
          </cell>
          <cell r="C616" t="str">
            <v>CUNDINAMARCA</v>
          </cell>
          <cell r="D616" t="str">
            <v>BOGOTA</v>
          </cell>
          <cell r="E616" t="str">
            <v>INTERMEDIA</v>
          </cell>
          <cell r="F616" t="str">
            <v>TERRESTRE</v>
          </cell>
        </row>
        <row r="617">
          <cell r="A617">
            <v>25779</v>
          </cell>
          <cell r="B617" t="str">
            <v>SUSA</v>
          </cell>
          <cell r="C617" t="str">
            <v>CUNDINAMARCA</v>
          </cell>
          <cell r="D617" t="str">
            <v>BOGOTA</v>
          </cell>
          <cell r="E617" t="str">
            <v>LEJANA</v>
          </cell>
          <cell r="F617" t="str">
            <v>TERRESTRE</v>
          </cell>
        </row>
        <row r="618">
          <cell r="A618">
            <v>25781</v>
          </cell>
          <cell r="B618" t="str">
            <v>SUTATAUSA</v>
          </cell>
          <cell r="C618" t="str">
            <v>CUNDINAMARCA</v>
          </cell>
          <cell r="D618" t="str">
            <v>BOGOTA</v>
          </cell>
          <cell r="E618" t="str">
            <v>INTERMEDIA</v>
          </cell>
          <cell r="F618" t="str">
            <v>TERRESTRE</v>
          </cell>
        </row>
        <row r="619">
          <cell r="A619">
            <v>25785</v>
          </cell>
          <cell r="B619" t="str">
            <v>TABIO</v>
          </cell>
          <cell r="C619" t="str">
            <v>CUNDINAMARCA</v>
          </cell>
          <cell r="D619" t="str">
            <v>BOGOTA</v>
          </cell>
          <cell r="E619" t="str">
            <v>INTERMEDIA</v>
          </cell>
          <cell r="F619" t="str">
            <v>TERRESTRE</v>
          </cell>
        </row>
        <row r="620">
          <cell r="A620">
            <v>25793</v>
          </cell>
          <cell r="B620" t="str">
            <v>TAUSA</v>
          </cell>
          <cell r="C620" t="str">
            <v>CUNDINAMARCA</v>
          </cell>
          <cell r="D620" t="str">
            <v>BOGOTA</v>
          </cell>
          <cell r="E620" t="str">
            <v>INTERMEDIA</v>
          </cell>
          <cell r="F620" t="str">
            <v>TERRESTRE</v>
          </cell>
        </row>
        <row r="621">
          <cell r="A621">
            <v>25797</v>
          </cell>
          <cell r="B621" t="str">
            <v>TENA</v>
          </cell>
          <cell r="C621" t="str">
            <v>CUNDINAMARCA</v>
          </cell>
          <cell r="D621" t="str">
            <v>BOGOTA</v>
          </cell>
          <cell r="E621" t="str">
            <v>INTERMEDIA</v>
          </cell>
          <cell r="F621" t="str">
            <v>TERRESTRE</v>
          </cell>
        </row>
        <row r="622">
          <cell r="A622">
            <v>25799</v>
          </cell>
          <cell r="B622" t="str">
            <v>TENJO</v>
          </cell>
          <cell r="C622" t="str">
            <v>CUNDINAMARCA</v>
          </cell>
          <cell r="D622" t="str">
            <v>BOGOTA</v>
          </cell>
          <cell r="E622" t="str">
            <v>INTERMEDIA</v>
          </cell>
          <cell r="F622" t="str">
            <v>TERRESTRE</v>
          </cell>
        </row>
        <row r="623">
          <cell r="A623">
            <v>25805</v>
          </cell>
          <cell r="B623" t="str">
            <v>TIBACUY</v>
          </cell>
          <cell r="C623" t="str">
            <v>CUNDINAMARCA</v>
          </cell>
          <cell r="D623" t="str">
            <v>BOGOTA</v>
          </cell>
          <cell r="E623" t="str">
            <v>INTERMEDIA</v>
          </cell>
          <cell r="F623" t="str">
            <v>TERRESTRE</v>
          </cell>
        </row>
        <row r="624">
          <cell r="A624">
            <v>25807</v>
          </cell>
          <cell r="B624" t="str">
            <v>TIBIRITA</v>
          </cell>
          <cell r="C624" t="str">
            <v>CUNDINAMARCA</v>
          </cell>
          <cell r="D624" t="str">
            <v>BOGOTA</v>
          </cell>
          <cell r="E624" t="str">
            <v>LEJANA</v>
          </cell>
          <cell r="F624" t="str">
            <v>TERRESTRE</v>
          </cell>
        </row>
        <row r="625">
          <cell r="A625">
            <v>25815</v>
          </cell>
          <cell r="B625" t="str">
            <v>TOCAIMA</v>
          </cell>
          <cell r="C625" t="str">
            <v>CUNDINAMARCA</v>
          </cell>
          <cell r="D625" t="str">
            <v>BOGOTA</v>
          </cell>
          <cell r="E625" t="str">
            <v>LEJANA</v>
          </cell>
          <cell r="F625" t="str">
            <v>TERRESTRE</v>
          </cell>
        </row>
        <row r="626">
          <cell r="A626">
            <v>25817</v>
          </cell>
          <cell r="B626" t="str">
            <v>TOCANCIPA</v>
          </cell>
          <cell r="C626" t="str">
            <v>CUNDINAMARCA</v>
          </cell>
          <cell r="D626" t="str">
            <v>BOGOTA</v>
          </cell>
          <cell r="E626" t="str">
            <v>INTERMEDIA</v>
          </cell>
          <cell r="F626" t="str">
            <v>TERRESTRE</v>
          </cell>
        </row>
        <row r="627">
          <cell r="A627">
            <v>25823</v>
          </cell>
          <cell r="B627" t="str">
            <v>TOPAIPI</v>
          </cell>
          <cell r="C627" t="str">
            <v>CUNDINAMARCA</v>
          </cell>
          <cell r="D627" t="str">
            <v>BOGOTA</v>
          </cell>
          <cell r="E627" t="str">
            <v>LEJANA</v>
          </cell>
          <cell r="F627" t="str">
            <v>TERRESTRE</v>
          </cell>
        </row>
        <row r="628">
          <cell r="A628">
            <v>25839</v>
          </cell>
          <cell r="B628" t="str">
            <v>UBALA</v>
          </cell>
          <cell r="C628" t="str">
            <v>CUNDINAMARCA</v>
          </cell>
          <cell r="D628" t="str">
            <v>BOGOTA</v>
          </cell>
          <cell r="E628" t="str">
            <v>LEJANA</v>
          </cell>
          <cell r="F628" t="str">
            <v>TERRESTRE</v>
          </cell>
        </row>
        <row r="629">
          <cell r="A629">
            <v>25841</v>
          </cell>
          <cell r="B629" t="str">
            <v>UBAQUE</v>
          </cell>
          <cell r="C629" t="str">
            <v>CUNDINAMARCA</v>
          </cell>
          <cell r="D629" t="str">
            <v>BOGOTA</v>
          </cell>
          <cell r="E629" t="str">
            <v>INTERMEDIA</v>
          </cell>
          <cell r="F629" t="str">
            <v>TERRESTRE</v>
          </cell>
        </row>
        <row r="630">
          <cell r="A630">
            <v>25845</v>
          </cell>
          <cell r="B630" t="str">
            <v>UNE</v>
          </cell>
          <cell r="C630" t="str">
            <v>CUNDINAMARCA</v>
          </cell>
          <cell r="D630" t="str">
            <v>BOGOTA</v>
          </cell>
          <cell r="E630" t="str">
            <v>INTERMEDIA</v>
          </cell>
          <cell r="F630" t="str">
            <v>TERRESTRE</v>
          </cell>
        </row>
        <row r="631">
          <cell r="A631">
            <v>25851</v>
          </cell>
          <cell r="B631" t="str">
            <v>UTICA</v>
          </cell>
          <cell r="C631" t="str">
            <v>CUNDINAMARCA</v>
          </cell>
          <cell r="D631" t="str">
            <v>BOGOTA</v>
          </cell>
          <cell r="E631" t="str">
            <v>LEJANA</v>
          </cell>
          <cell r="F631" t="str">
            <v>TERRESTRE</v>
          </cell>
        </row>
        <row r="632">
          <cell r="A632">
            <v>25862</v>
          </cell>
          <cell r="B632" t="str">
            <v>VERGARA</v>
          </cell>
          <cell r="C632" t="str">
            <v>CUNDINAMARCA</v>
          </cell>
          <cell r="D632" t="str">
            <v>BOGOTA</v>
          </cell>
          <cell r="E632" t="str">
            <v>LEJANA</v>
          </cell>
          <cell r="F632" t="str">
            <v>TERRESTRE</v>
          </cell>
        </row>
        <row r="633">
          <cell r="A633">
            <v>25867</v>
          </cell>
          <cell r="B633" t="str">
            <v>VIANI</v>
          </cell>
          <cell r="C633" t="str">
            <v>CUNDINAMARCA</v>
          </cell>
          <cell r="D633" t="str">
            <v>BOGOTA</v>
          </cell>
          <cell r="E633" t="str">
            <v>LEJANA</v>
          </cell>
          <cell r="F633" t="str">
            <v>TERRESTRE</v>
          </cell>
        </row>
        <row r="634">
          <cell r="A634">
            <v>25843</v>
          </cell>
          <cell r="B634" t="str">
            <v>VILLA DE SAN DIEGO DE UBATE</v>
          </cell>
          <cell r="C634" t="str">
            <v>CUNDINAMARCA</v>
          </cell>
          <cell r="D634" t="str">
            <v>BOGOTA</v>
          </cell>
          <cell r="E634" t="str">
            <v>INTERMEDIA</v>
          </cell>
          <cell r="F634" t="str">
            <v>TERRESTRE</v>
          </cell>
        </row>
        <row r="635">
          <cell r="A635">
            <v>25871</v>
          </cell>
          <cell r="B635" t="str">
            <v>VILLAGOMEZ</v>
          </cell>
          <cell r="C635" t="str">
            <v>CUNDINAMARCA</v>
          </cell>
          <cell r="D635" t="str">
            <v>BOGOTA</v>
          </cell>
          <cell r="E635" t="str">
            <v>LEJANA</v>
          </cell>
          <cell r="F635" t="str">
            <v>TERRESTRE</v>
          </cell>
        </row>
        <row r="636">
          <cell r="A636">
            <v>25873</v>
          </cell>
          <cell r="B636" t="str">
            <v>VILLAPINZON</v>
          </cell>
          <cell r="C636" t="str">
            <v>CUNDINAMARCA</v>
          </cell>
          <cell r="D636" t="str">
            <v>TUNJA</v>
          </cell>
          <cell r="E636" t="str">
            <v>INTERMEDIA</v>
          </cell>
          <cell r="F636" t="str">
            <v>TERRESTRE</v>
          </cell>
        </row>
        <row r="637">
          <cell r="A637">
            <v>25875</v>
          </cell>
          <cell r="B637" t="str">
            <v>VILLETA</v>
          </cell>
          <cell r="C637" t="str">
            <v>CUNDINAMARCA</v>
          </cell>
          <cell r="D637" t="str">
            <v>BOGOTA</v>
          </cell>
          <cell r="E637" t="str">
            <v>INTERMEDIA</v>
          </cell>
          <cell r="F637" t="str">
            <v>TERRESTRE</v>
          </cell>
        </row>
        <row r="638">
          <cell r="A638">
            <v>25878</v>
          </cell>
          <cell r="B638" t="str">
            <v>VIOTA</v>
          </cell>
          <cell r="C638" t="str">
            <v>CUNDINAMARCA</v>
          </cell>
          <cell r="D638" t="str">
            <v>BOGOTA</v>
          </cell>
          <cell r="E638" t="str">
            <v>LEJANA</v>
          </cell>
          <cell r="F638" t="str">
            <v>TERRESTRE</v>
          </cell>
        </row>
        <row r="639">
          <cell r="A639">
            <v>25885</v>
          </cell>
          <cell r="B639" t="str">
            <v>YACOPI</v>
          </cell>
          <cell r="C639" t="str">
            <v>CUNDINAMARCA</v>
          </cell>
          <cell r="D639" t="str">
            <v>BOGOTA</v>
          </cell>
          <cell r="E639" t="str">
            <v>LEJANA</v>
          </cell>
          <cell r="F639" t="str">
            <v>TERRESTRE</v>
          </cell>
        </row>
        <row r="640">
          <cell r="A640">
            <v>25898</v>
          </cell>
          <cell r="B640" t="str">
            <v>ZIPACON</v>
          </cell>
          <cell r="C640" t="str">
            <v>CUNDINAMARCA</v>
          </cell>
          <cell r="D640" t="str">
            <v>BOGOTA</v>
          </cell>
          <cell r="E640" t="str">
            <v>INTERMEDIA</v>
          </cell>
          <cell r="F640" t="str">
            <v>TERRESTRE</v>
          </cell>
        </row>
        <row r="641">
          <cell r="A641">
            <v>25899</v>
          </cell>
          <cell r="B641" t="str">
            <v>ZIPAQUIRA</v>
          </cell>
          <cell r="C641" t="str">
            <v>CUNDINAMARCA</v>
          </cell>
          <cell r="D641" t="str">
            <v>BOGOTA</v>
          </cell>
          <cell r="E641" t="str">
            <v>INTERMEDIA</v>
          </cell>
          <cell r="F641" t="str">
            <v>TERRESTRE</v>
          </cell>
        </row>
        <row r="642">
          <cell r="A642">
            <v>94884</v>
          </cell>
          <cell r="B642" t="str">
            <v>PUERTO COLOMBIA</v>
          </cell>
          <cell r="C642" t="str">
            <v>GUAINIA</v>
          </cell>
          <cell r="D642" t="str">
            <v>VILLAVICENCIO</v>
          </cell>
          <cell r="E642" t="str">
            <v>LEJANA</v>
          </cell>
          <cell r="F642" t="str">
            <v>AEREO</v>
          </cell>
        </row>
        <row r="643">
          <cell r="A643">
            <v>94343</v>
          </cell>
          <cell r="B643" t="str">
            <v>BARRANCO MINAS</v>
          </cell>
          <cell r="C643" t="str">
            <v>GUAINIA</v>
          </cell>
          <cell r="D643" t="str">
            <v>VILLAVICENCIO</v>
          </cell>
          <cell r="E643" t="str">
            <v>LEJANA</v>
          </cell>
          <cell r="F643" t="str">
            <v>AEREO</v>
          </cell>
        </row>
        <row r="644">
          <cell r="A644">
            <v>94886</v>
          </cell>
          <cell r="B644" t="str">
            <v>CACAHUAL</v>
          </cell>
          <cell r="C644" t="str">
            <v>GUAINIA</v>
          </cell>
          <cell r="D644" t="str">
            <v>VILLAVICENCIO</v>
          </cell>
          <cell r="E644" t="str">
            <v>LEJANA</v>
          </cell>
          <cell r="F644" t="str">
            <v>AEREO</v>
          </cell>
        </row>
        <row r="645">
          <cell r="A645">
            <v>94001</v>
          </cell>
          <cell r="B645" t="str">
            <v>INIRIDA</v>
          </cell>
          <cell r="C645" t="str">
            <v>GUAINIA</v>
          </cell>
          <cell r="D645" t="str">
            <v>BOGOTA</v>
          </cell>
          <cell r="E645" t="str">
            <v>LEJANA</v>
          </cell>
          <cell r="F645" t="str">
            <v>AEREO</v>
          </cell>
        </row>
        <row r="646">
          <cell r="A646">
            <v>94885</v>
          </cell>
          <cell r="B646" t="str">
            <v>LA GUADALUPE</v>
          </cell>
          <cell r="C646" t="str">
            <v>GUAINIA</v>
          </cell>
          <cell r="D646" t="str">
            <v>VILLAVICENCIO</v>
          </cell>
          <cell r="E646" t="str">
            <v>LEJANA</v>
          </cell>
          <cell r="F646" t="str">
            <v>AEREO</v>
          </cell>
        </row>
        <row r="647">
          <cell r="A647">
            <v>94663</v>
          </cell>
          <cell r="B647" t="str">
            <v>MAPIRIPANA</v>
          </cell>
          <cell r="C647" t="str">
            <v>GUAINIA</v>
          </cell>
          <cell r="D647" t="str">
            <v>VILLAVICENCIO</v>
          </cell>
          <cell r="E647" t="str">
            <v>LEJANA</v>
          </cell>
          <cell r="F647" t="str">
            <v>AEREO</v>
          </cell>
        </row>
        <row r="648">
          <cell r="A648">
            <v>94888</v>
          </cell>
          <cell r="B648" t="str">
            <v>MORICHAL</v>
          </cell>
          <cell r="C648" t="str">
            <v>GUAINIA</v>
          </cell>
          <cell r="D648" t="str">
            <v>VILLAVICENCIO</v>
          </cell>
          <cell r="E648" t="str">
            <v>LEJANA</v>
          </cell>
          <cell r="F648" t="str">
            <v>AEREO</v>
          </cell>
        </row>
        <row r="649">
          <cell r="A649">
            <v>94887</v>
          </cell>
          <cell r="B649" t="str">
            <v>PANA PANA</v>
          </cell>
          <cell r="C649" t="str">
            <v>GUAINIA</v>
          </cell>
          <cell r="D649" t="str">
            <v>VILLAVICENCIO</v>
          </cell>
          <cell r="E649" t="str">
            <v>LEJANA</v>
          </cell>
          <cell r="F649" t="str">
            <v>AEREO</v>
          </cell>
        </row>
        <row r="650">
          <cell r="A650">
            <v>94883</v>
          </cell>
          <cell r="B650" t="str">
            <v>SAN FELIPE</v>
          </cell>
          <cell r="C650" t="str">
            <v>GUAINIA</v>
          </cell>
          <cell r="D650" t="str">
            <v>VILLAVICENCIO</v>
          </cell>
          <cell r="E650" t="str">
            <v>LEJANA</v>
          </cell>
          <cell r="F650" t="str">
            <v>AEREO</v>
          </cell>
        </row>
        <row r="651">
          <cell r="A651">
            <v>95015</v>
          </cell>
          <cell r="B651" t="str">
            <v>CALAMAR</v>
          </cell>
          <cell r="C651" t="str">
            <v>GUAVIARE</v>
          </cell>
          <cell r="D651" t="str">
            <v>VILLAVICENCIO</v>
          </cell>
          <cell r="E651" t="str">
            <v>LEJANA</v>
          </cell>
          <cell r="F651" t="str">
            <v>AEREO</v>
          </cell>
        </row>
        <row r="652">
          <cell r="A652">
            <v>95200</v>
          </cell>
          <cell r="B652" t="str">
            <v>MIRAFLORES</v>
          </cell>
          <cell r="C652" t="str">
            <v>GUAVIARE</v>
          </cell>
          <cell r="D652" t="str">
            <v>VILLAVICENCIO</v>
          </cell>
          <cell r="E652" t="str">
            <v>LEJANA</v>
          </cell>
          <cell r="F652" t="str">
            <v>AEREO</v>
          </cell>
        </row>
        <row r="653">
          <cell r="A653">
            <v>95025</v>
          </cell>
          <cell r="B653" t="str">
            <v>EL RETORNO</v>
          </cell>
          <cell r="C653" t="str">
            <v>GUAVIARE</v>
          </cell>
          <cell r="D653" t="str">
            <v>VILLAVICENCIO</v>
          </cell>
          <cell r="E653" t="str">
            <v>LEJANA</v>
          </cell>
          <cell r="F653" t="str">
            <v>TERRESTRE</v>
          </cell>
        </row>
        <row r="654">
          <cell r="A654">
            <v>95001</v>
          </cell>
          <cell r="B654" t="str">
            <v>SAN JOSE DEL GUAVIARE</v>
          </cell>
          <cell r="C654" t="str">
            <v>GUAVIARE</v>
          </cell>
          <cell r="D654" t="str">
            <v>VILLAVICENCIO</v>
          </cell>
          <cell r="E654" t="str">
            <v>LEJANA</v>
          </cell>
          <cell r="F654" t="str">
            <v>TERRESTRE</v>
          </cell>
        </row>
        <row r="655">
          <cell r="A655">
            <v>41319</v>
          </cell>
          <cell r="B655" t="str">
            <v>GUADALUPE</v>
          </cell>
          <cell r="C655" t="str">
            <v>HUILA</v>
          </cell>
          <cell r="D655" t="str">
            <v>NEIVA</v>
          </cell>
          <cell r="E655" t="str">
            <v>LEJANA</v>
          </cell>
          <cell r="F655" t="str">
            <v>TERRESTRE</v>
          </cell>
        </row>
        <row r="656">
          <cell r="A656">
            <v>41530</v>
          </cell>
          <cell r="B656" t="str">
            <v>PALESTINA</v>
          </cell>
          <cell r="C656" t="str">
            <v>HUILA</v>
          </cell>
          <cell r="D656" t="str">
            <v>NEIVA</v>
          </cell>
          <cell r="E656" t="str">
            <v>LEJANA</v>
          </cell>
          <cell r="F656" t="str">
            <v>TERRESTRE</v>
          </cell>
        </row>
        <row r="657">
          <cell r="A657">
            <v>41676</v>
          </cell>
          <cell r="B657" t="str">
            <v>SANTA MARIA</v>
          </cell>
          <cell r="C657" t="str">
            <v>HUILA</v>
          </cell>
          <cell r="D657" t="str">
            <v>NEIVA</v>
          </cell>
          <cell r="E657" t="str">
            <v>LEJANA</v>
          </cell>
          <cell r="F657" t="str">
            <v>TERRESTRE</v>
          </cell>
        </row>
        <row r="658">
          <cell r="A658">
            <v>41006</v>
          </cell>
          <cell r="B658" t="str">
            <v>ACEVEDO</v>
          </cell>
          <cell r="C658" t="str">
            <v>HUILA</v>
          </cell>
          <cell r="D658" t="str">
            <v>NEIVA</v>
          </cell>
          <cell r="E658" t="str">
            <v>LEJANA</v>
          </cell>
          <cell r="F658" t="str">
            <v>TERRESTRE</v>
          </cell>
        </row>
        <row r="659">
          <cell r="A659">
            <v>41013</v>
          </cell>
          <cell r="B659" t="str">
            <v>AGRADO</v>
          </cell>
          <cell r="C659" t="str">
            <v>HUILA</v>
          </cell>
          <cell r="D659" t="str">
            <v>NEIVA</v>
          </cell>
          <cell r="E659" t="str">
            <v>LEJANA</v>
          </cell>
          <cell r="F659" t="str">
            <v>TERRESTRE</v>
          </cell>
        </row>
        <row r="660">
          <cell r="A660">
            <v>41016</v>
          </cell>
          <cell r="B660" t="str">
            <v>AIPE</v>
          </cell>
          <cell r="C660" t="str">
            <v>HUILA</v>
          </cell>
          <cell r="D660" t="str">
            <v>NEIVA</v>
          </cell>
          <cell r="E660" t="str">
            <v>INTERMEDIA</v>
          </cell>
          <cell r="F660" t="str">
            <v>TERRESTRE</v>
          </cell>
        </row>
        <row r="661">
          <cell r="A661">
            <v>41020</v>
          </cell>
          <cell r="B661" t="str">
            <v>ALGECIRAS</v>
          </cell>
          <cell r="C661" t="str">
            <v>HUILA</v>
          </cell>
          <cell r="D661" t="str">
            <v>NEIVA</v>
          </cell>
          <cell r="E661" t="str">
            <v>INTERMEDIA</v>
          </cell>
          <cell r="F661" t="str">
            <v>TERRESTRE</v>
          </cell>
        </row>
        <row r="662">
          <cell r="A662">
            <v>41026</v>
          </cell>
          <cell r="B662" t="str">
            <v>ALTAMIRA</v>
          </cell>
          <cell r="C662" t="str">
            <v>HUILA</v>
          </cell>
          <cell r="D662" t="str">
            <v>NEIVA</v>
          </cell>
          <cell r="E662" t="str">
            <v>LEJANA</v>
          </cell>
          <cell r="F662" t="str">
            <v>TERRESTRE</v>
          </cell>
        </row>
        <row r="663">
          <cell r="A663">
            <v>41078</v>
          </cell>
          <cell r="B663" t="str">
            <v>BARAYA</v>
          </cell>
          <cell r="C663" t="str">
            <v>HUILA</v>
          </cell>
          <cell r="D663" t="str">
            <v>NEIVA</v>
          </cell>
          <cell r="E663" t="str">
            <v>INTERMEDIA</v>
          </cell>
          <cell r="F663" t="str">
            <v>TERRESTRE</v>
          </cell>
        </row>
        <row r="664">
          <cell r="A664">
            <v>41132</v>
          </cell>
          <cell r="B664" t="str">
            <v>CAMPOALEGRE</v>
          </cell>
          <cell r="C664" t="str">
            <v>HUILA</v>
          </cell>
          <cell r="D664" t="str">
            <v>NEIVA</v>
          </cell>
          <cell r="E664" t="str">
            <v>INTERMEDIA</v>
          </cell>
          <cell r="F664" t="str">
            <v>TERRESTRE</v>
          </cell>
        </row>
        <row r="665">
          <cell r="A665">
            <v>41206</v>
          </cell>
          <cell r="B665" t="str">
            <v>COLOMBIA</v>
          </cell>
          <cell r="C665" t="str">
            <v>HUILA</v>
          </cell>
          <cell r="D665" t="str">
            <v>NEIVA</v>
          </cell>
          <cell r="E665" t="str">
            <v>LEJANA</v>
          </cell>
          <cell r="F665" t="str">
            <v>TERRESTRE</v>
          </cell>
        </row>
        <row r="666">
          <cell r="A666">
            <v>41244</v>
          </cell>
          <cell r="B666" t="str">
            <v>ELIAS</v>
          </cell>
          <cell r="C666" t="str">
            <v>HUILA</v>
          </cell>
          <cell r="D666" t="str">
            <v>NEIVA</v>
          </cell>
          <cell r="E666" t="str">
            <v>LEJANA</v>
          </cell>
          <cell r="F666" t="str">
            <v>TERRESTRE</v>
          </cell>
        </row>
        <row r="667">
          <cell r="A667">
            <v>41298</v>
          </cell>
          <cell r="B667" t="str">
            <v>GARZON</v>
          </cell>
          <cell r="C667" t="str">
            <v>HUILA</v>
          </cell>
          <cell r="D667" t="str">
            <v>NEIVA</v>
          </cell>
          <cell r="E667" t="str">
            <v>LEJANA</v>
          </cell>
          <cell r="F667" t="str">
            <v>TERRESTRE</v>
          </cell>
        </row>
        <row r="668">
          <cell r="A668">
            <v>41306</v>
          </cell>
          <cell r="B668" t="str">
            <v>GIGANTE</v>
          </cell>
          <cell r="C668" t="str">
            <v>HUILA</v>
          </cell>
          <cell r="D668" t="str">
            <v>NEIVA</v>
          </cell>
          <cell r="E668" t="str">
            <v>INTERMEDIA</v>
          </cell>
          <cell r="F668" t="str">
            <v>TERRESTRE</v>
          </cell>
        </row>
        <row r="669">
          <cell r="A669">
            <v>41349</v>
          </cell>
          <cell r="B669" t="str">
            <v>HOBO</v>
          </cell>
          <cell r="C669" t="str">
            <v>HUILA</v>
          </cell>
          <cell r="D669" t="str">
            <v>NEIVA</v>
          </cell>
          <cell r="E669" t="str">
            <v>INTERMEDIA</v>
          </cell>
          <cell r="F669" t="str">
            <v>TERRESTRE</v>
          </cell>
        </row>
        <row r="670">
          <cell r="A670">
            <v>41357</v>
          </cell>
          <cell r="B670" t="str">
            <v>IQUIRA</v>
          </cell>
          <cell r="C670" t="str">
            <v>HUILA</v>
          </cell>
          <cell r="D670" t="str">
            <v>NEIVA</v>
          </cell>
          <cell r="E670" t="str">
            <v>INTERMEDIA</v>
          </cell>
          <cell r="F670" t="str">
            <v>TERRESTRE</v>
          </cell>
        </row>
        <row r="671">
          <cell r="A671">
            <v>41359</v>
          </cell>
          <cell r="B671" t="str">
            <v>ISNOS</v>
          </cell>
          <cell r="C671" t="str">
            <v>HUILA</v>
          </cell>
          <cell r="D671" t="str">
            <v>NEIVA</v>
          </cell>
          <cell r="E671" t="str">
            <v>LEJANA</v>
          </cell>
          <cell r="F671" t="str">
            <v>TERRESTRE</v>
          </cell>
        </row>
        <row r="672">
          <cell r="A672">
            <v>41378</v>
          </cell>
          <cell r="B672" t="str">
            <v>LA ARGENTINA</v>
          </cell>
          <cell r="C672" t="str">
            <v>HUILA</v>
          </cell>
          <cell r="D672" t="str">
            <v>NEIVA</v>
          </cell>
          <cell r="E672" t="str">
            <v>LEJANA</v>
          </cell>
          <cell r="F672" t="str">
            <v>TERRESTRE</v>
          </cell>
        </row>
        <row r="673">
          <cell r="A673">
            <v>41396</v>
          </cell>
          <cell r="B673" t="str">
            <v>LA PLATA</v>
          </cell>
          <cell r="C673" t="str">
            <v>HUILA</v>
          </cell>
          <cell r="D673" t="str">
            <v>NEIVA</v>
          </cell>
          <cell r="E673" t="str">
            <v>LEJANA</v>
          </cell>
          <cell r="F673" t="str">
            <v>TERRESTRE</v>
          </cell>
        </row>
        <row r="674">
          <cell r="A674">
            <v>41483</v>
          </cell>
          <cell r="B674" t="str">
            <v>NATAGA</v>
          </cell>
          <cell r="C674" t="str">
            <v>HUILA</v>
          </cell>
          <cell r="D674" t="str">
            <v>NEIVA</v>
          </cell>
          <cell r="E674" t="str">
            <v>LEJANA</v>
          </cell>
          <cell r="F674" t="str">
            <v>TERRESTRE</v>
          </cell>
        </row>
        <row r="675">
          <cell r="A675">
            <v>41001</v>
          </cell>
          <cell r="B675" t="str">
            <v>NEIVA</v>
          </cell>
          <cell r="C675" t="str">
            <v>HUILA</v>
          </cell>
          <cell r="D675" t="str">
            <v>NEIVA</v>
          </cell>
          <cell r="E675" t="str">
            <v>PRINCIPAL</v>
          </cell>
          <cell r="F675" t="str">
            <v>TERRESTRE</v>
          </cell>
        </row>
        <row r="676">
          <cell r="A676">
            <v>41503</v>
          </cell>
          <cell r="B676" t="str">
            <v>OPORAPA</v>
          </cell>
          <cell r="C676" t="str">
            <v>HUILA</v>
          </cell>
          <cell r="D676" t="str">
            <v>NEIVA</v>
          </cell>
          <cell r="E676" t="str">
            <v>LEJANA</v>
          </cell>
          <cell r="F676" t="str">
            <v>TERRESTRE</v>
          </cell>
        </row>
        <row r="677">
          <cell r="A677">
            <v>41518</v>
          </cell>
          <cell r="B677" t="str">
            <v>PAICOL</v>
          </cell>
          <cell r="C677" t="str">
            <v>HUILA</v>
          </cell>
          <cell r="D677" t="str">
            <v>NEIVA</v>
          </cell>
          <cell r="E677" t="str">
            <v>INTERMEDIA</v>
          </cell>
          <cell r="F677" t="str">
            <v>TERRESTRE</v>
          </cell>
        </row>
        <row r="678">
          <cell r="A678">
            <v>41524</v>
          </cell>
          <cell r="B678" t="str">
            <v>PALERMO</v>
          </cell>
          <cell r="C678" t="str">
            <v>HUILA</v>
          </cell>
          <cell r="D678" t="str">
            <v>NEIVA</v>
          </cell>
          <cell r="E678" t="str">
            <v>PRINCIPAL</v>
          </cell>
          <cell r="F678" t="str">
            <v>TERRESTRE</v>
          </cell>
        </row>
        <row r="679">
          <cell r="A679">
            <v>41548</v>
          </cell>
          <cell r="B679" t="str">
            <v>PITAL</v>
          </cell>
          <cell r="C679" t="str">
            <v>HUILA</v>
          </cell>
          <cell r="D679" t="str">
            <v>NEIVA</v>
          </cell>
          <cell r="E679" t="str">
            <v>LEJANA</v>
          </cell>
          <cell r="F679" t="str">
            <v>TERRESTRE</v>
          </cell>
        </row>
        <row r="680">
          <cell r="A680">
            <v>41551</v>
          </cell>
          <cell r="B680" t="str">
            <v>PITALITO</v>
          </cell>
          <cell r="C680" t="str">
            <v>HUILA</v>
          </cell>
          <cell r="D680" t="str">
            <v>NEIVA</v>
          </cell>
          <cell r="E680" t="str">
            <v>LEJANA</v>
          </cell>
          <cell r="F680" t="str">
            <v>TERRESTRE</v>
          </cell>
        </row>
        <row r="681">
          <cell r="A681">
            <v>41615</v>
          </cell>
          <cell r="B681" t="str">
            <v>RIVERA</v>
          </cell>
          <cell r="C681" t="str">
            <v>HUILA</v>
          </cell>
          <cell r="D681" t="str">
            <v>NEIVA</v>
          </cell>
          <cell r="E681" t="str">
            <v>PRINCIPAL</v>
          </cell>
          <cell r="F681" t="str">
            <v>TERRESTRE</v>
          </cell>
        </row>
        <row r="682">
          <cell r="A682">
            <v>41660</v>
          </cell>
          <cell r="B682" t="str">
            <v>SALADOBLANCO</v>
          </cell>
          <cell r="C682" t="str">
            <v>HUILA</v>
          </cell>
          <cell r="D682" t="str">
            <v>NEIVA</v>
          </cell>
          <cell r="E682" t="str">
            <v>LEJANA</v>
          </cell>
          <cell r="F682" t="str">
            <v>TERRESTRE</v>
          </cell>
        </row>
        <row r="683">
          <cell r="A683">
            <v>41668</v>
          </cell>
          <cell r="B683" t="str">
            <v>SAN AGUSTIN</v>
          </cell>
          <cell r="C683" t="str">
            <v>HUILA</v>
          </cell>
          <cell r="D683" t="str">
            <v>NEIVA</v>
          </cell>
          <cell r="E683" t="str">
            <v>LEJANA</v>
          </cell>
          <cell r="F683" t="str">
            <v>TERRESTRE</v>
          </cell>
        </row>
        <row r="684">
          <cell r="A684">
            <v>41770</v>
          </cell>
          <cell r="B684" t="str">
            <v>SUAZA</v>
          </cell>
          <cell r="C684" t="str">
            <v>HUILA</v>
          </cell>
          <cell r="D684" t="str">
            <v>NEIVA</v>
          </cell>
          <cell r="E684" t="str">
            <v>LEJANA</v>
          </cell>
          <cell r="F684" t="str">
            <v>TERRESTRE</v>
          </cell>
        </row>
        <row r="685">
          <cell r="A685">
            <v>41791</v>
          </cell>
          <cell r="B685" t="str">
            <v>TARQUI</v>
          </cell>
          <cell r="C685" t="str">
            <v>HUILA</v>
          </cell>
          <cell r="D685" t="str">
            <v>NEIVA</v>
          </cell>
          <cell r="E685" t="str">
            <v>LEJANA</v>
          </cell>
          <cell r="F685" t="str">
            <v>TERRESTRE</v>
          </cell>
        </row>
        <row r="686">
          <cell r="A686">
            <v>41799</v>
          </cell>
          <cell r="B686" t="str">
            <v>TELLO</v>
          </cell>
          <cell r="C686" t="str">
            <v>HUILA</v>
          </cell>
          <cell r="D686" t="str">
            <v>NEIVA</v>
          </cell>
          <cell r="E686" t="str">
            <v>INTERMEDIA</v>
          </cell>
          <cell r="F686" t="str">
            <v>TERRESTRE</v>
          </cell>
        </row>
        <row r="687">
          <cell r="A687">
            <v>41801</v>
          </cell>
          <cell r="B687" t="str">
            <v>TERUEL</v>
          </cell>
          <cell r="C687" t="str">
            <v>HUILA</v>
          </cell>
          <cell r="D687" t="str">
            <v>NEIVA</v>
          </cell>
          <cell r="E687" t="str">
            <v>INTERMEDIA</v>
          </cell>
          <cell r="F687" t="str">
            <v>TERRESTRE</v>
          </cell>
        </row>
        <row r="688">
          <cell r="A688">
            <v>41797</v>
          </cell>
          <cell r="B688" t="str">
            <v>TESALIA</v>
          </cell>
          <cell r="C688" t="str">
            <v>HUILA</v>
          </cell>
          <cell r="D688" t="str">
            <v>NEIVA</v>
          </cell>
          <cell r="E688" t="str">
            <v>INTERMEDIA</v>
          </cell>
          <cell r="F688" t="str">
            <v>TERRESTRE</v>
          </cell>
        </row>
        <row r="689">
          <cell r="A689">
            <v>41807</v>
          </cell>
          <cell r="B689" t="str">
            <v>TIMANA</v>
          </cell>
          <cell r="C689" t="str">
            <v>HUILA</v>
          </cell>
          <cell r="D689" t="str">
            <v>NEIVA</v>
          </cell>
          <cell r="E689" t="str">
            <v>LEJANA</v>
          </cell>
          <cell r="F689" t="str">
            <v>TERRESTRE</v>
          </cell>
        </row>
        <row r="690">
          <cell r="A690">
            <v>41872</v>
          </cell>
          <cell r="B690" t="str">
            <v>VILLAVIEJA</v>
          </cell>
          <cell r="C690" t="str">
            <v>HUILA</v>
          </cell>
          <cell r="D690" t="str">
            <v>NEIVA</v>
          </cell>
          <cell r="E690" t="str">
            <v>INTERMEDIA</v>
          </cell>
          <cell r="F690" t="str">
            <v>TERRESTRE</v>
          </cell>
        </row>
        <row r="691">
          <cell r="A691">
            <v>41885</v>
          </cell>
          <cell r="B691" t="str">
            <v>YAGUARA</v>
          </cell>
          <cell r="C691" t="str">
            <v>HUILA</v>
          </cell>
          <cell r="D691" t="str">
            <v>NEIVA</v>
          </cell>
          <cell r="E691" t="str">
            <v>INTERMEDIA</v>
          </cell>
          <cell r="F691" t="str">
            <v>TERRESTRE</v>
          </cell>
        </row>
        <row r="692">
          <cell r="A692">
            <v>44035</v>
          </cell>
          <cell r="B692" t="str">
            <v>ALBANIA</v>
          </cell>
          <cell r="C692" t="str">
            <v>LA GUAJIRA</v>
          </cell>
          <cell r="D692" t="str">
            <v>VALLEDUPAR</v>
          </cell>
          <cell r="E692" t="str">
            <v>LEJANA</v>
          </cell>
          <cell r="F692" t="str">
            <v>TERRESTRE</v>
          </cell>
        </row>
        <row r="693">
          <cell r="A693">
            <v>44560</v>
          </cell>
          <cell r="B693" t="str">
            <v>MANAURE</v>
          </cell>
          <cell r="C693" t="str">
            <v>LA GUAJIRA</v>
          </cell>
          <cell r="D693" t="str">
            <v>SANTA MARTA</v>
          </cell>
          <cell r="E693" t="str">
            <v>LEJANA</v>
          </cell>
          <cell r="F693" t="str">
            <v>TERRESTRE</v>
          </cell>
        </row>
        <row r="694">
          <cell r="A694">
            <v>44874</v>
          </cell>
          <cell r="B694" t="str">
            <v>VILLANUEVA</v>
          </cell>
          <cell r="C694" t="str">
            <v>LA GUAJIRA</v>
          </cell>
          <cell r="D694" t="str">
            <v>VALLEDUPAR</v>
          </cell>
          <cell r="E694" t="str">
            <v>INTERMEDIA</v>
          </cell>
          <cell r="F694" t="str">
            <v>TERRESTRE</v>
          </cell>
        </row>
        <row r="695">
          <cell r="A695">
            <v>44078</v>
          </cell>
          <cell r="B695" t="str">
            <v>BARRANCAS</v>
          </cell>
          <cell r="C695" t="str">
            <v>LA GUAJIRA</v>
          </cell>
          <cell r="D695" t="str">
            <v>VALLEDUPAR</v>
          </cell>
          <cell r="E695" t="str">
            <v>INTERMEDIA</v>
          </cell>
          <cell r="F695" t="str">
            <v>TERRESTRE</v>
          </cell>
        </row>
        <row r="696">
          <cell r="A696">
            <v>44090</v>
          </cell>
          <cell r="B696" t="str">
            <v>DIBULLA</v>
          </cell>
          <cell r="C696" t="str">
            <v>LA GUAJIRA</v>
          </cell>
          <cell r="D696" t="str">
            <v>SANTA MARTA</v>
          </cell>
          <cell r="E696" t="str">
            <v>LEJANA</v>
          </cell>
          <cell r="F696" t="str">
            <v>TERRESTRE</v>
          </cell>
        </row>
        <row r="697">
          <cell r="A697">
            <v>44098</v>
          </cell>
          <cell r="B697" t="str">
            <v>DISTRACCION</v>
          </cell>
          <cell r="C697" t="str">
            <v>LA GUAJIRA</v>
          </cell>
          <cell r="D697" t="str">
            <v>VALLEDUPAR</v>
          </cell>
          <cell r="E697" t="str">
            <v>INTERMEDIA</v>
          </cell>
          <cell r="F697" t="str">
            <v>TERRESTRE</v>
          </cell>
        </row>
        <row r="698">
          <cell r="A698">
            <v>44110</v>
          </cell>
          <cell r="B698" t="str">
            <v>EL MOLINO</v>
          </cell>
          <cell r="C698" t="str">
            <v>LA GUAJIRA</v>
          </cell>
          <cell r="D698" t="str">
            <v>VALLEDUPAR</v>
          </cell>
          <cell r="E698" t="str">
            <v>INTERMEDIA</v>
          </cell>
          <cell r="F698" t="str">
            <v>TERRESTRE</v>
          </cell>
        </row>
        <row r="699">
          <cell r="A699">
            <v>44279</v>
          </cell>
          <cell r="B699" t="str">
            <v>FONSECA</v>
          </cell>
          <cell r="C699" t="str">
            <v>LA GUAJIRA</v>
          </cell>
          <cell r="D699" t="str">
            <v>VALLEDUPAR</v>
          </cell>
          <cell r="E699" t="str">
            <v>INTERMEDIA</v>
          </cell>
          <cell r="F699" t="str">
            <v>TERRESTRE</v>
          </cell>
        </row>
        <row r="700">
          <cell r="A700">
            <v>44378</v>
          </cell>
          <cell r="B700" t="str">
            <v>HATONUEVO</v>
          </cell>
          <cell r="C700" t="str">
            <v>LA GUAJIRA</v>
          </cell>
          <cell r="D700" t="str">
            <v>VALLEDUPAR</v>
          </cell>
          <cell r="E700" t="str">
            <v>LEJANA</v>
          </cell>
          <cell r="F700" t="str">
            <v>TERRESTRE</v>
          </cell>
        </row>
        <row r="701">
          <cell r="A701">
            <v>44420</v>
          </cell>
          <cell r="B701" t="str">
            <v>LA JAGUA DEL PILAR</v>
          </cell>
          <cell r="C701" t="str">
            <v>LA GUAJIRA</v>
          </cell>
          <cell r="D701" t="str">
            <v>VALLEDUPAR</v>
          </cell>
          <cell r="E701" t="str">
            <v>INTERMEDIA</v>
          </cell>
          <cell r="F701" t="str">
            <v>TERRESTRE</v>
          </cell>
        </row>
        <row r="702">
          <cell r="A702">
            <v>44430</v>
          </cell>
          <cell r="B702" t="str">
            <v>MAICAO</v>
          </cell>
          <cell r="C702" t="str">
            <v>LA GUAJIRA</v>
          </cell>
          <cell r="D702" t="str">
            <v>SANTA MARTA</v>
          </cell>
          <cell r="E702" t="str">
            <v>LEJANA</v>
          </cell>
          <cell r="F702" t="str">
            <v>TERRESTRE</v>
          </cell>
        </row>
        <row r="703">
          <cell r="A703">
            <v>44001</v>
          </cell>
          <cell r="B703" t="str">
            <v>RIOHACHA</v>
          </cell>
          <cell r="C703" t="str">
            <v>LA GUAJIRA</v>
          </cell>
          <cell r="D703" t="str">
            <v>SANTA MARTA</v>
          </cell>
          <cell r="E703" t="str">
            <v>LEJANA</v>
          </cell>
          <cell r="F703" t="str">
            <v>TERRESTRE</v>
          </cell>
        </row>
        <row r="704">
          <cell r="A704">
            <v>44650</v>
          </cell>
          <cell r="B704" t="str">
            <v>SAN JUAN DEL CESAR</v>
          </cell>
          <cell r="C704" t="str">
            <v>LA GUAJIRA</v>
          </cell>
          <cell r="D704" t="str">
            <v>VALLEDUPAR</v>
          </cell>
          <cell r="E704" t="str">
            <v>INTERMEDIA</v>
          </cell>
          <cell r="F704" t="str">
            <v>TERRESTRE</v>
          </cell>
        </row>
        <row r="705">
          <cell r="A705">
            <v>44847</v>
          </cell>
          <cell r="B705" t="str">
            <v>URIBIA</v>
          </cell>
          <cell r="C705" t="str">
            <v>LA GUAJIRA</v>
          </cell>
          <cell r="D705" t="str">
            <v>SANTA MARTA</v>
          </cell>
          <cell r="E705" t="str">
            <v>LEJANA</v>
          </cell>
          <cell r="F705" t="str">
            <v>TERRESTRE</v>
          </cell>
        </row>
        <row r="706">
          <cell r="A706">
            <v>44855</v>
          </cell>
          <cell r="B706" t="str">
            <v>URUMITA</v>
          </cell>
          <cell r="C706" t="str">
            <v>LA GUAJIRA</v>
          </cell>
          <cell r="D706" t="str">
            <v>VALLEDUPAR</v>
          </cell>
          <cell r="E706" t="str">
            <v>INTERMEDIA</v>
          </cell>
          <cell r="F706" t="str">
            <v>TERRESTRE</v>
          </cell>
        </row>
        <row r="707">
          <cell r="A707">
            <v>47189</v>
          </cell>
          <cell r="B707" t="str">
            <v>CIENAGA</v>
          </cell>
          <cell r="C707" t="str">
            <v>MAGDALENA</v>
          </cell>
          <cell r="D707" t="str">
            <v>SANTA MARTA</v>
          </cell>
          <cell r="E707" t="str">
            <v>INTERMEDIA</v>
          </cell>
          <cell r="F707" t="str">
            <v>TERRESTRE</v>
          </cell>
        </row>
        <row r="708">
          <cell r="A708">
            <v>47205</v>
          </cell>
          <cell r="B708" t="str">
            <v>CONCORDIA</v>
          </cell>
          <cell r="C708" t="str">
            <v>MAGDALENA</v>
          </cell>
          <cell r="D708" t="str">
            <v>BARRANQUILLA</v>
          </cell>
          <cell r="E708" t="str">
            <v>LEJANA</v>
          </cell>
          <cell r="F708" t="str">
            <v>TERRESTRE</v>
          </cell>
        </row>
        <row r="709">
          <cell r="A709">
            <v>47318</v>
          </cell>
          <cell r="B709" t="str">
            <v>GUAMAL</v>
          </cell>
          <cell r="C709" t="str">
            <v>MAGDALENA</v>
          </cell>
          <cell r="D709" t="str">
            <v>SANTA MARTA</v>
          </cell>
          <cell r="E709" t="str">
            <v>LEJANA</v>
          </cell>
          <cell r="F709" t="str">
            <v>TERRESTRE</v>
          </cell>
        </row>
        <row r="710">
          <cell r="A710">
            <v>47675</v>
          </cell>
          <cell r="B710" t="str">
            <v>SALAMINA</v>
          </cell>
          <cell r="C710" t="str">
            <v>MAGDALENA</v>
          </cell>
          <cell r="D710" t="str">
            <v>BARRANQUILLA</v>
          </cell>
          <cell r="E710" t="str">
            <v>INTERMEDIA</v>
          </cell>
          <cell r="F710" t="str">
            <v>TERRESTRE</v>
          </cell>
        </row>
        <row r="711">
          <cell r="A711">
            <v>47030</v>
          </cell>
          <cell r="B711" t="str">
            <v>ALGARROBO</v>
          </cell>
          <cell r="C711" t="str">
            <v>MAGDALENA</v>
          </cell>
          <cell r="D711" t="str">
            <v>SANTA MARTA</v>
          </cell>
          <cell r="E711" t="str">
            <v>LEJANA</v>
          </cell>
          <cell r="F711" t="str">
            <v>TERRESTRE</v>
          </cell>
        </row>
        <row r="712">
          <cell r="A712">
            <v>47053</v>
          </cell>
          <cell r="B712" t="str">
            <v>ARACATACA</v>
          </cell>
          <cell r="C712" t="str">
            <v>MAGDALENA</v>
          </cell>
          <cell r="D712" t="str">
            <v>SANTA MARTA</v>
          </cell>
          <cell r="E712" t="str">
            <v>LEJANA</v>
          </cell>
          <cell r="F712" t="str">
            <v>TERRESTRE</v>
          </cell>
        </row>
        <row r="713">
          <cell r="A713">
            <v>47058</v>
          </cell>
          <cell r="B713" t="str">
            <v>ARIGUANI</v>
          </cell>
          <cell r="C713" t="str">
            <v>MAGDALENA</v>
          </cell>
          <cell r="D713" t="str">
            <v>VALLEDUPAR</v>
          </cell>
          <cell r="E713" t="str">
            <v>LEJANA</v>
          </cell>
          <cell r="F713" t="str">
            <v>TERRESTRE</v>
          </cell>
        </row>
        <row r="714">
          <cell r="A714">
            <v>47161</v>
          </cell>
          <cell r="B714" t="str">
            <v>CERRO SAN ANTONIO</v>
          </cell>
          <cell r="C714" t="str">
            <v>MAGDALENA</v>
          </cell>
          <cell r="D714" t="str">
            <v>BARRANQUILLA</v>
          </cell>
          <cell r="E714" t="str">
            <v>LEJANA</v>
          </cell>
          <cell r="F714" t="str">
            <v>TERRESTRE</v>
          </cell>
        </row>
        <row r="715">
          <cell r="A715">
            <v>47170</v>
          </cell>
          <cell r="B715" t="str">
            <v>CHIBOLO</v>
          </cell>
          <cell r="C715" t="str">
            <v>MAGDALENA</v>
          </cell>
          <cell r="D715" t="str">
            <v>SANTA MARTA</v>
          </cell>
          <cell r="E715" t="str">
            <v>LEJANA</v>
          </cell>
          <cell r="F715" t="str">
            <v>TERRESTRE</v>
          </cell>
        </row>
        <row r="716">
          <cell r="A716">
            <v>47245</v>
          </cell>
          <cell r="B716" t="str">
            <v>EL BANCO</v>
          </cell>
          <cell r="C716" t="str">
            <v>MAGDALENA</v>
          </cell>
          <cell r="D716" t="str">
            <v>SANTA MARTA</v>
          </cell>
          <cell r="E716" t="str">
            <v>LEJANA</v>
          </cell>
          <cell r="F716" t="str">
            <v>TERRESTRE</v>
          </cell>
        </row>
        <row r="717">
          <cell r="A717">
            <v>47258</v>
          </cell>
          <cell r="B717" t="str">
            <v>EL PIÑON</v>
          </cell>
          <cell r="C717" t="str">
            <v>MAGDALENA</v>
          </cell>
          <cell r="D717" t="str">
            <v>BARRANQUILLA</v>
          </cell>
          <cell r="E717" t="str">
            <v>LEJANA</v>
          </cell>
          <cell r="F717" t="str">
            <v>TERRESTRE</v>
          </cell>
        </row>
        <row r="718">
          <cell r="A718">
            <v>47268</v>
          </cell>
          <cell r="B718" t="str">
            <v>EL RETEN</v>
          </cell>
          <cell r="C718" t="str">
            <v>MAGDALENA</v>
          </cell>
          <cell r="D718" t="str">
            <v>SANTA MARTA</v>
          </cell>
          <cell r="E718" t="str">
            <v>LEJANA</v>
          </cell>
          <cell r="F718" t="str">
            <v>TERRESTRE</v>
          </cell>
        </row>
        <row r="719">
          <cell r="A719">
            <v>47288</v>
          </cell>
          <cell r="B719" t="str">
            <v>FUNDACION</v>
          </cell>
          <cell r="C719" t="str">
            <v>MAGDALENA</v>
          </cell>
          <cell r="D719" t="str">
            <v>SANTA MARTA</v>
          </cell>
          <cell r="E719" t="str">
            <v>LEJANA</v>
          </cell>
          <cell r="F719" t="str">
            <v>TERRESTRE</v>
          </cell>
        </row>
        <row r="720">
          <cell r="A720">
            <v>47460</v>
          </cell>
          <cell r="B720" t="str">
            <v>NUEVA GRANADA</v>
          </cell>
          <cell r="C720" t="str">
            <v>MAGDALENA</v>
          </cell>
          <cell r="D720" t="str">
            <v>VALLEDUPAR</v>
          </cell>
          <cell r="E720" t="str">
            <v>LEJANA</v>
          </cell>
          <cell r="F720" t="str">
            <v>TERRESTRE</v>
          </cell>
        </row>
        <row r="721">
          <cell r="A721">
            <v>47541</v>
          </cell>
          <cell r="B721" t="str">
            <v>PEDRAZA</v>
          </cell>
          <cell r="C721" t="str">
            <v>MAGDALENA</v>
          </cell>
          <cell r="D721" t="str">
            <v>BARRANQUILLA</v>
          </cell>
          <cell r="E721" t="str">
            <v>LEJANA</v>
          </cell>
          <cell r="F721" t="str">
            <v>TERRESTRE</v>
          </cell>
        </row>
        <row r="722">
          <cell r="A722">
            <v>47545</v>
          </cell>
          <cell r="B722" t="str">
            <v>PIJIÑO DEL CARMEN</v>
          </cell>
          <cell r="C722" t="str">
            <v>MAGDALENA</v>
          </cell>
          <cell r="D722" t="str">
            <v>SANTA MARTA</v>
          </cell>
          <cell r="E722" t="str">
            <v>LEJANA</v>
          </cell>
          <cell r="F722" t="str">
            <v>TERRESTRE</v>
          </cell>
        </row>
        <row r="723">
          <cell r="A723">
            <v>47551</v>
          </cell>
          <cell r="B723" t="str">
            <v>PIVIJAY</v>
          </cell>
          <cell r="C723" t="str">
            <v>MAGDALENA</v>
          </cell>
          <cell r="D723" t="str">
            <v>SANTA MARTA</v>
          </cell>
          <cell r="E723" t="str">
            <v>LEJANA</v>
          </cell>
          <cell r="F723" t="str">
            <v>TERRESTRE</v>
          </cell>
        </row>
        <row r="724">
          <cell r="A724">
            <v>47555</v>
          </cell>
          <cell r="B724" t="str">
            <v>PLATO</v>
          </cell>
          <cell r="C724" t="str">
            <v>MAGDALENA</v>
          </cell>
          <cell r="D724" t="str">
            <v>SANTA MARTA</v>
          </cell>
          <cell r="E724" t="str">
            <v>LEJANA</v>
          </cell>
          <cell r="F724" t="str">
            <v>TERRESTRE</v>
          </cell>
        </row>
        <row r="725">
          <cell r="A725">
            <v>47570</v>
          </cell>
          <cell r="B725" t="str">
            <v>PUEBLOVIEJO</v>
          </cell>
          <cell r="C725" t="str">
            <v>MAGDALENA</v>
          </cell>
          <cell r="D725" t="str">
            <v>SANTA MARTA</v>
          </cell>
          <cell r="E725" t="str">
            <v>INTERMEDIA</v>
          </cell>
          <cell r="F725" t="str">
            <v>TERRESTRE</v>
          </cell>
        </row>
        <row r="726">
          <cell r="A726">
            <v>47605</v>
          </cell>
          <cell r="B726" t="str">
            <v>REMOLINO</v>
          </cell>
          <cell r="C726" t="str">
            <v>MAGDALENA</v>
          </cell>
          <cell r="D726" t="str">
            <v>BARRANQUILLA</v>
          </cell>
          <cell r="E726" t="str">
            <v>LEJANA</v>
          </cell>
          <cell r="F726" t="str">
            <v>TERRESTRE</v>
          </cell>
        </row>
        <row r="727">
          <cell r="A727">
            <v>47660</v>
          </cell>
          <cell r="B727" t="str">
            <v>SABANAS DE SAN ANGEL</v>
          </cell>
          <cell r="C727" t="str">
            <v>MAGDALENA</v>
          </cell>
          <cell r="D727" t="str">
            <v>SANTA MARTA</v>
          </cell>
          <cell r="E727" t="str">
            <v>LEJANA</v>
          </cell>
          <cell r="F727" t="str">
            <v>TERRESTRE</v>
          </cell>
        </row>
        <row r="728">
          <cell r="A728">
            <v>47692</v>
          </cell>
          <cell r="B728" t="str">
            <v>SAN SEBASTIAN DE BUENAVISTA</v>
          </cell>
          <cell r="C728" t="str">
            <v>MAGDALENA</v>
          </cell>
          <cell r="D728" t="str">
            <v>SANTA MARTA</v>
          </cell>
          <cell r="E728" t="str">
            <v>LEJANA</v>
          </cell>
          <cell r="F728" t="str">
            <v>TERRESTRE</v>
          </cell>
        </row>
        <row r="729">
          <cell r="A729">
            <v>47703</v>
          </cell>
          <cell r="B729" t="str">
            <v>SAN ZENON</v>
          </cell>
          <cell r="C729" t="str">
            <v>MAGDALENA</v>
          </cell>
          <cell r="D729" t="str">
            <v>SANTA MARTA</v>
          </cell>
          <cell r="E729" t="str">
            <v>LEJANA</v>
          </cell>
          <cell r="F729" t="str">
            <v>TERRESTRE</v>
          </cell>
        </row>
        <row r="730">
          <cell r="A730">
            <v>47707</v>
          </cell>
          <cell r="B730" t="str">
            <v>SANTA ANA</v>
          </cell>
          <cell r="C730" t="str">
            <v>MAGDALENA</v>
          </cell>
          <cell r="D730" t="str">
            <v>SANTA MARTA</v>
          </cell>
          <cell r="E730" t="str">
            <v>LEJANA</v>
          </cell>
          <cell r="F730" t="str">
            <v>TERRESTRE</v>
          </cell>
        </row>
        <row r="731">
          <cell r="A731">
            <v>47720</v>
          </cell>
          <cell r="B731" t="str">
            <v>SANTA BARBARA DE PINTO</v>
          </cell>
          <cell r="C731" t="str">
            <v>MAGDALENA</v>
          </cell>
          <cell r="D731" t="str">
            <v>SANTA MARTA</v>
          </cell>
          <cell r="E731" t="str">
            <v>LEJANA</v>
          </cell>
          <cell r="F731" t="str">
            <v>TERRESTRE</v>
          </cell>
        </row>
        <row r="732">
          <cell r="A732">
            <v>47001</v>
          </cell>
          <cell r="B732" t="str">
            <v>SANTA MARTA</v>
          </cell>
          <cell r="C732" t="str">
            <v>MAGDALENA</v>
          </cell>
          <cell r="D732" t="str">
            <v>SANTA MARTA</v>
          </cell>
          <cell r="E732" t="str">
            <v>PRINCIPAL</v>
          </cell>
          <cell r="F732" t="str">
            <v>TERRESTRE</v>
          </cell>
        </row>
        <row r="733">
          <cell r="A733">
            <v>47745</v>
          </cell>
          <cell r="B733" t="str">
            <v>SITIONUEVO</v>
          </cell>
          <cell r="C733" t="str">
            <v>MAGDALENA</v>
          </cell>
          <cell r="D733" t="str">
            <v>BARRANQUILLA</v>
          </cell>
          <cell r="E733" t="str">
            <v>INTERMEDIA</v>
          </cell>
          <cell r="F733" t="str">
            <v>TERRESTRE</v>
          </cell>
        </row>
        <row r="734">
          <cell r="A734">
            <v>47798</v>
          </cell>
          <cell r="B734" t="str">
            <v>TENERIFE</v>
          </cell>
          <cell r="C734" t="str">
            <v>MAGDALENA</v>
          </cell>
          <cell r="D734" t="str">
            <v>SANTA MARTA</v>
          </cell>
          <cell r="E734" t="str">
            <v>LEJANA</v>
          </cell>
          <cell r="F734" t="str">
            <v>TERRESTRE</v>
          </cell>
        </row>
        <row r="735">
          <cell r="A735">
            <v>47960</v>
          </cell>
          <cell r="B735" t="str">
            <v>ZAPAYAN</v>
          </cell>
          <cell r="C735" t="str">
            <v>MAGDALENA</v>
          </cell>
          <cell r="D735" t="str">
            <v>BARRANQUILLA</v>
          </cell>
          <cell r="E735" t="str">
            <v>LEJANA</v>
          </cell>
          <cell r="F735" t="str">
            <v>FLUVIAL</v>
          </cell>
        </row>
        <row r="736">
          <cell r="A736">
            <v>47980</v>
          </cell>
          <cell r="B736" t="str">
            <v>ZONA BANANERA</v>
          </cell>
          <cell r="C736" t="str">
            <v>MAGDALENA</v>
          </cell>
          <cell r="D736" t="str">
            <v>SANTA MARTA</v>
          </cell>
          <cell r="E736" t="str">
            <v>INTERMEDIA</v>
          </cell>
          <cell r="F736" t="str">
            <v>TERRESTRE</v>
          </cell>
        </row>
        <row r="737">
          <cell r="A737">
            <v>50313</v>
          </cell>
          <cell r="B737" t="str">
            <v>GRANADA</v>
          </cell>
          <cell r="C737" t="str">
            <v>META</v>
          </cell>
          <cell r="D737" t="str">
            <v>VILLAVICENCIO</v>
          </cell>
          <cell r="E737" t="str">
            <v>INTERMEDIA</v>
          </cell>
          <cell r="F737" t="str">
            <v>TERRESTRE</v>
          </cell>
        </row>
        <row r="738">
          <cell r="A738">
            <v>50318</v>
          </cell>
          <cell r="B738" t="str">
            <v>GUAMAL</v>
          </cell>
          <cell r="C738" t="str">
            <v>META</v>
          </cell>
          <cell r="D738" t="str">
            <v>VILLAVICENCIO</v>
          </cell>
          <cell r="E738" t="str">
            <v>INTERMEDIA</v>
          </cell>
          <cell r="F738" t="str">
            <v>TERRESTRE</v>
          </cell>
        </row>
        <row r="739">
          <cell r="A739">
            <v>50590</v>
          </cell>
          <cell r="B739" t="str">
            <v>PUERTO RICO</v>
          </cell>
          <cell r="C739" t="str">
            <v>META</v>
          </cell>
          <cell r="D739" t="str">
            <v>VILLAVICENCIO</v>
          </cell>
          <cell r="E739" t="str">
            <v>LEJANA</v>
          </cell>
          <cell r="F739" t="str">
            <v>TERRESTRE</v>
          </cell>
        </row>
        <row r="740">
          <cell r="A740">
            <v>50606</v>
          </cell>
          <cell r="B740" t="str">
            <v>RESTREPO</v>
          </cell>
          <cell r="C740" t="str">
            <v>META</v>
          </cell>
          <cell r="D740" t="str">
            <v>VILLAVICENCIO</v>
          </cell>
          <cell r="E740" t="str">
            <v>INTERMEDIA</v>
          </cell>
          <cell r="F740" t="str">
            <v>TERRESTRE</v>
          </cell>
        </row>
        <row r="741">
          <cell r="A741">
            <v>50689</v>
          </cell>
          <cell r="B741" t="str">
            <v>SAN MARTIN</v>
          </cell>
          <cell r="C741" t="str">
            <v>META</v>
          </cell>
          <cell r="D741" t="str">
            <v>VILLAVICENCIO</v>
          </cell>
          <cell r="E741" t="str">
            <v>INTERMEDIA</v>
          </cell>
          <cell r="F741" t="str">
            <v>TERRESTRE</v>
          </cell>
        </row>
        <row r="742">
          <cell r="A742">
            <v>50006</v>
          </cell>
          <cell r="B742" t="str">
            <v>ACACIAS</v>
          </cell>
          <cell r="C742" t="str">
            <v>META</v>
          </cell>
          <cell r="D742" t="str">
            <v>VILLAVICENCIO</v>
          </cell>
          <cell r="E742" t="str">
            <v>INTERMEDIA</v>
          </cell>
          <cell r="F742" t="str">
            <v>TERRESTRE</v>
          </cell>
        </row>
        <row r="743">
          <cell r="A743">
            <v>50110</v>
          </cell>
          <cell r="B743" t="str">
            <v>BARRANCA DE UPIA</v>
          </cell>
          <cell r="C743" t="str">
            <v>META</v>
          </cell>
          <cell r="D743" t="str">
            <v>VILLAVICENCIO</v>
          </cell>
          <cell r="E743" t="str">
            <v>INTERMEDIA</v>
          </cell>
          <cell r="F743" t="str">
            <v>TERRESTRE</v>
          </cell>
        </row>
        <row r="744">
          <cell r="A744">
            <v>50124</v>
          </cell>
          <cell r="B744" t="str">
            <v>CABUYARO</v>
          </cell>
          <cell r="C744" t="str">
            <v>META</v>
          </cell>
          <cell r="D744" t="str">
            <v>VILLAVICENCIO</v>
          </cell>
          <cell r="E744" t="str">
            <v>LEJANA</v>
          </cell>
          <cell r="F744" t="str">
            <v>TERRESTRE</v>
          </cell>
        </row>
        <row r="745">
          <cell r="A745">
            <v>50150</v>
          </cell>
          <cell r="B745" t="str">
            <v>CASTILLA LA NUEVA</v>
          </cell>
          <cell r="C745" t="str">
            <v>META</v>
          </cell>
          <cell r="D745" t="str">
            <v>VILLAVICENCIO</v>
          </cell>
          <cell r="E745" t="str">
            <v>INTERMEDIA</v>
          </cell>
          <cell r="F745" t="str">
            <v>TERRESTRE</v>
          </cell>
        </row>
        <row r="746">
          <cell r="A746">
            <v>50223</v>
          </cell>
          <cell r="B746" t="str">
            <v>CUBARRAL</v>
          </cell>
          <cell r="C746" t="str">
            <v>META</v>
          </cell>
          <cell r="D746" t="str">
            <v>VILLAVICENCIO</v>
          </cell>
          <cell r="E746" t="str">
            <v>INTERMEDIA</v>
          </cell>
          <cell r="F746" t="str">
            <v>TERRESTRE</v>
          </cell>
        </row>
        <row r="747">
          <cell r="A747">
            <v>50226</v>
          </cell>
          <cell r="B747" t="str">
            <v>CUMARAL</v>
          </cell>
          <cell r="C747" t="str">
            <v>META</v>
          </cell>
          <cell r="D747" t="str">
            <v>VILLAVICENCIO</v>
          </cell>
          <cell r="E747" t="str">
            <v>INTERMEDIA</v>
          </cell>
          <cell r="F747" t="str">
            <v>TERRESTRE</v>
          </cell>
        </row>
        <row r="748">
          <cell r="A748">
            <v>50245</v>
          </cell>
          <cell r="B748" t="str">
            <v>EL CALVARIO</v>
          </cell>
          <cell r="C748" t="str">
            <v>META</v>
          </cell>
          <cell r="D748" t="str">
            <v>VILLAVICENCIO</v>
          </cell>
          <cell r="E748" t="str">
            <v>LEJANA</v>
          </cell>
          <cell r="F748" t="str">
            <v>TERRESTRE</v>
          </cell>
        </row>
        <row r="749">
          <cell r="A749">
            <v>50251</v>
          </cell>
          <cell r="B749" t="str">
            <v>EL CASTILLO</v>
          </cell>
          <cell r="C749" t="str">
            <v>META</v>
          </cell>
          <cell r="D749" t="str">
            <v>VILLAVICENCIO</v>
          </cell>
          <cell r="E749" t="str">
            <v>INTERMEDIA</v>
          </cell>
          <cell r="F749" t="str">
            <v>TERRESTRE</v>
          </cell>
        </row>
        <row r="750">
          <cell r="A750">
            <v>50270</v>
          </cell>
          <cell r="B750" t="str">
            <v>EL DORADO</v>
          </cell>
          <cell r="C750" t="str">
            <v>META</v>
          </cell>
          <cell r="D750" t="str">
            <v>VILLAVICENCIO</v>
          </cell>
          <cell r="E750" t="str">
            <v>INTERMEDIA</v>
          </cell>
          <cell r="F750" t="str">
            <v>TERRESTRE</v>
          </cell>
        </row>
        <row r="751">
          <cell r="A751">
            <v>50287</v>
          </cell>
          <cell r="B751" t="str">
            <v>FUENTE DE ORO</v>
          </cell>
          <cell r="C751" t="str">
            <v>META</v>
          </cell>
          <cell r="D751" t="str">
            <v>VILLAVICENCIO</v>
          </cell>
          <cell r="E751" t="str">
            <v>LEJANA</v>
          </cell>
          <cell r="F751" t="str">
            <v>TERRESTRE</v>
          </cell>
        </row>
        <row r="752">
          <cell r="A752">
            <v>50350</v>
          </cell>
          <cell r="B752" t="str">
            <v>LA MACARENA</v>
          </cell>
          <cell r="C752" t="str">
            <v>META</v>
          </cell>
          <cell r="D752" t="str">
            <v>VILLAVICENCIO</v>
          </cell>
          <cell r="E752" t="str">
            <v>LEJANA</v>
          </cell>
          <cell r="F752" t="str">
            <v>AEREO</v>
          </cell>
        </row>
        <row r="753">
          <cell r="A753">
            <v>50400</v>
          </cell>
          <cell r="B753" t="str">
            <v>LEJANIAS</v>
          </cell>
          <cell r="C753" t="str">
            <v>META</v>
          </cell>
          <cell r="D753" t="str">
            <v>VILLAVICENCIO</v>
          </cell>
          <cell r="E753" t="str">
            <v>LEJANA</v>
          </cell>
          <cell r="F753" t="str">
            <v>TERRESTRE</v>
          </cell>
        </row>
        <row r="754">
          <cell r="A754">
            <v>50325</v>
          </cell>
          <cell r="B754" t="str">
            <v>MAPIRIPAN</v>
          </cell>
          <cell r="C754" t="str">
            <v>META</v>
          </cell>
          <cell r="D754" t="str">
            <v>VILLAVICENCIO</v>
          </cell>
          <cell r="E754" t="str">
            <v>LEJANA</v>
          </cell>
          <cell r="F754" t="str">
            <v>AEREO</v>
          </cell>
        </row>
        <row r="755">
          <cell r="A755">
            <v>50330</v>
          </cell>
          <cell r="B755" t="str">
            <v>MESETAS</v>
          </cell>
          <cell r="C755" t="str">
            <v>META</v>
          </cell>
          <cell r="D755" t="str">
            <v>VILLAVICENCIO</v>
          </cell>
          <cell r="E755" t="str">
            <v>LEJANA</v>
          </cell>
          <cell r="F755" t="str">
            <v>TERRESTRE</v>
          </cell>
        </row>
        <row r="756">
          <cell r="A756">
            <v>50450</v>
          </cell>
          <cell r="B756" t="str">
            <v>PUERTO CONCORDIA</v>
          </cell>
          <cell r="C756" t="str">
            <v>META</v>
          </cell>
          <cell r="D756" t="str">
            <v>VILLAVICENCIO</v>
          </cell>
          <cell r="E756" t="str">
            <v>LEJANA</v>
          </cell>
          <cell r="F756" t="str">
            <v>TERRESTRE</v>
          </cell>
        </row>
        <row r="757">
          <cell r="A757">
            <v>50568</v>
          </cell>
          <cell r="B757" t="str">
            <v>PUERTO GAITAN</v>
          </cell>
          <cell r="C757" t="str">
            <v>META</v>
          </cell>
          <cell r="D757" t="str">
            <v>VILLAVICENCIO</v>
          </cell>
          <cell r="E757" t="str">
            <v>LEJANA</v>
          </cell>
          <cell r="F757" t="str">
            <v>TERRESTRE</v>
          </cell>
        </row>
        <row r="758">
          <cell r="A758">
            <v>50577</v>
          </cell>
          <cell r="B758" t="str">
            <v>PUERTO LLERAS</v>
          </cell>
          <cell r="C758" t="str">
            <v>META</v>
          </cell>
          <cell r="D758" t="str">
            <v>VILLAVICENCIO</v>
          </cell>
          <cell r="E758" t="str">
            <v>LEJANA</v>
          </cell>
          <cell r="F758" t="str">
            <v>TERRESTRE</v>
          </cell>
        </row>
        <row r="759">
          <cell r="A759">
            <v>50573</v>
          </cell>
          <cell r="B759" t="str">
            <v>PUERTO LOPEZ</v>
          </cell>
          <cell r="C759" t="str">
            <v>META</v>
          </cell>
          <cell r="D759" t="str">
            <v>VILLAVICENCIO</v>
          </cell>
          <cell r="E759" t="str">
            <v>INTERMEDIA</v>
          </cell>
          <cell r="F759" t="str">
            <v>TERRESTRE</v>
          </cell>
        </row>
        <row r="760">
          <cell r="A760">
            <v>50680</v>
          </cell>
          <cell r="B760" t="str">
            <v>SAN CARLOS DE GUAROA</v>
          </cell>
          <cell r="C760" t="str">
            <v>META</v>
          </cell>
          <cell r="D760" t="str">
            <v>VILLAVICENCIO</v>
          </cell>
          <cell r="E760" t="str">
            <v>INTERMEDIA</v>
          </cell>
          <cell r="F760" t="str">
            <v>TERRESTRE</v>
          </cell>
        </row>
        <row r="761">
          <cell r="A761">
            <v>50683</v>
          </cell>
          <cell r="B761" t="str">
            <v>SAN JUAN DE ARAMA</v>
          </cell>
          <cell r="C761" t="str">
            <v>META</v>
          </cell>
          <cell r="D761" t="str">
            <v>VILLAVICENCIO</v>
          </cell>
          <cell r="E761" t="str">
            <v>LEJANA</v>
          </cell>
          <cell r="F761" t="str">
            <v>TERRESTRE</v>
          </cell>
        </row>
        <row r="762">
          <cell r="A762">
            <v>50686</v>
          </cell>
          <cell r="B762" t="str">
            <v>SAN JUANITO</v>
          </cell>
          <cell r="C762" t="str">
            <v>META</v>
          </cell>
          <cell r="D762" t="str">
            <v>VILLAVICENCIO</v>
          </cell>
          <cell r="E762" t="str">
            <v>LEJANA</v>
          </cell>
          <cell r="F762" t="str">
            <v>TERRESTRE</v>
          </cell>
        </row>
        <row r="763">
          <cell r="A763">
            <v>50370</v>
          </cell>
          <cell r="B763" t="str">
            <v>URIBE</v>
          </cell>
          <cell r="C763" t="str">
            <v>META</v>
          </cell>
          <cell r="D763" t="str">
            <v>VILLAVICENCIO</v>
          </cell>
          <cell r="E763" t="str">
            <v>LEJANA</v>
          </cell>
          <cell r="F763" t="str">
            <v>AEREO</v>
          </cell>
        </row>
        <row r="764">
          <cell r="A764">
            <v>50001</v>
          </cell>
          <cell r="B764" t="str">
            <v>VILLAVICENCIO</v>
          </cell>
          <cell r="C764" t="str">
            <v>META</v>
          </cell>
          <cell r="D764" t="str">
            <v>VILLAVICENCIO</v>
          </cell>
          <cell r="E764" t="str">
            <v>PRINCIPAL</v>
          </cell>
          <cell r="F764" t="str">
            <v>TERRESTRE</v>
          </cell>
        </row>
        <row r="765">
          <cell r="A765">
            <v>50711</v>
          </cell>
          <cell r="B765" t="str">
            <v>VISTAHERMOSA</v>
          </cell>
          <cell r="C765" t="str">
            <v>META</v>
          </cell>
          <cell r="D765" t="str">
            <v>VILLAVICENCIO</v>
          </cell>
          <cell r="E765" t="str">
            <v>LEJANA</v>
          </cell>
          <cell r="F765" t="str">
            <v>TERRESTRE</v>
          </cell>
        </row>
        <row r="766">
          <cell r="A766">
            <v>52019</v>
          </cell>
          <cell r="B766" t="str">
            <v>ALBAN</v>
          </cell>
          <cell r="C766" t="str">
            <v>NARIÑO</v>
          </cell>
          <cell r="D766" t="str">
            <v>PASTO</v>
          </cell>
          <cell r="E766" t="str">
            <v>INTERMEDIA</v>
          </cell>
          <cell r="F766" t="str">
            <v>TERRESTRE</v>
          </cell>
        </row>
        <row r="767">
          <cell r="A767">
            <v>52083</v>
          </cell>
          <cell r="B767" t="str">
            <v>BELEN</v>
          </cell>
          <cell r="C767" t="str">
            <v>NARIÑO</v>
          </cell>
          <cell r="D767" t="str">
            <v>PASTO</v>
          </cell>
          <cell r="E767" t="str">
            <v>LEJANA</v>
          </cell>
          <cell r="F767" t="str">
            <v>TERRESTRE</v>
          </cell>
        </row>
        <row r="768">
          <cell r="A768">
            <v>52203</v>
          </cell>
          <cell r="B768" t="str">
            <v>COLON</v>
          </cell>
          <cell r="C768" t="str">
            <v>NARIÑO</v>
          </cell>
          <cell r="D768" t="str">
            <v>PASTO</v>
          </cell>
          <cell r="E768" t="str">
            <v>LEJANA</v>
          </cell>
          <cell r="F768" t="str">
            <v>TERRESTRE</v>
          </cell>
        </row>
        <row r="769">
          <cell r="A769">
            <v>52215</v>
          </cell>
          <cell r="B769" t="str">
            <v>CORDOBA</v>
          </cell>
          <cell r="C769" t="str">
            <v>NARIÑO</v>
          </cell>
          <cell r="D769" t="str">
            <v>PASTO</v>
          </cell>
          <cell r="E769" t="str">
            <v>INTERMEDIA</v>
          </cell>
          <cell r="F769" t="str">
            <v>TERRESTRE</v>
          </cell>
        </row>
        <row r="770">
          <cell r="A770">
            <v>52260</v>
          </cell>
          <cell r="B770" t="str">
            <v>EL TAMBO</v>
          </cell>
          <cell r="C770" t="str">
            <v>NARIÑO</v>
          </cell>
          <cell r="D770" t="str">
            <v>PASTO</v>
          </cell>
          <cell r="E770" t="str">
            <v>INTERMEDIA</v>
          </cell>
          <cell r="F770" t="str">
            <v>TERRESTRE</v>
          </cell>
        </row>
        <row r="771">
          <cell r="A771">
            <v>52399</v>
          </cell>
          <cell r="B771" t="str">
            <v>LA UNION</v>
          </cell>
          <cell r="C771" t="str">
            <v>NARIÑO</v>
          </cell>
          <cell r="D771" t="str">
            <v>PASTO</v>
          </cell>
          <cell r="E771" t="str">
            <v>LEJANA</v>
          </cell>
          <cell r="F771" t="str">
            <v>TERRESTRE</v>
          </cell>
        </row>
        <row r="772">
          <cell r="A772">
            <v>52473</v>
          </cell>
          <cell r="B772" t="str">
            <v>MOSQUERA</v>
          </cell>
          <cell r="C772" t="str">
            <v>NARIÑO</v>
          </cell>
          <cell r="D772" t="str">
            <v>PASTO</v>
          </cell>
          <cell r="E772" t="str">
            <v>LEJANA</v>
          </cell>
          <cell r="F772" t="str">
            <v>TERRESTRE</v>
          </cell>
        </row>
        <row r="773">
          <cell r="A773">
            <v>52480</v>
          </cell>
          <cell r="B773" t="str">
            <v>NARIÑO</v>
          </cell>
          <cell r="C773" t="str">
            <v>NARIÑO</v>
          </cell>
          <cell r="D773" t="str">
            <v>PASTO</v>
          </cell>
          <cell r="E773" t="str">
            <v>INTERMEDIA</v>
          </cell>
          <cell r="F773" t="str">
            <v>TERRESTRE</v>
          </cell>
        </row>
        <row r="774">
          <cell r="A774">
            <v>52565</v>
          </cell>
          <cell r="B774" t="str">
            <v>PROVIDENCIA</v>
          </cell>
          <cell r="C774" t="str">
            <v>NARIÑO</v>
          </cell>
          <cell r="D774" t="str">
            <v>PASTO</v>
          </cell>
          <cell r="E774" t="str">
            <v>LEJANA</v>
          </cell>
          <cell r="F774" t="str">
            <v>TERRESTRE</v>
          </cell>
        </row>
        <row r="775">
          <cell r="A775">
            <v>52612</v>
          </cell>
          <cell r="B775" t="str">
            <v>RICAURTE</v>
          </cell>
          <cell r="C775" t="str">
            <v>NARIÑO</v>
          </cell>
          <cell r="D775" t="str">
            <v>PASTO</v>
          </cell>
          <cell r="E775" t="str">
            <v>LEJANA</v>
          </cell>
          <cell r="F775" t="str">
            <v>TERRESTRE</v>
          </cell>
        </row>
        <row r="776">
          <cell r="A776">
            <v>52685</v>
          </cell>
          <cell r="B776" t="str">
            <v>SAN BERNARDO</v>
          </cell>
          <cell r="C776" t="str">
            <v>NARIÑO</v>
          </cell>
          <cell r="D776" t="str">
            <v>PASTO</v>
          </cell>
          <cell r="E776" t="str">
            <v>INTERMEDIA</v>
          </cell>
          <cell r="F776" t="str">
            <v>TERRESTRE</v>
          </cell>
        </row>
        <row r="777">
          <cell r="A777">
            <v>52693</v>
          </cell>
          <cell r="B777" t="str">
            <v>SAN PABLO</v>
          </cell>
          <cell r="C777" t="str">
            <v>NARIÑO</v>
          </cell>
          <cell r="D777" t="str">
            <v>PASTO</v>
          </cell>
          <cell r="E777" t="str">
            <v>LEJANA</v>
          </cell>
          <cell r="F777" t="str">
            <v>TERRESTRE</v>
          </cell>
        </row>
        <row r="778">
          <cell r="A778">
            <v>52696</v>
          </cell>
          <cell r="B778" t="str">
            <v>SANTA BARBARA</v>
          </cell>
          <cell r="C778" t="str">
            <v>NARIÑO</v>
          </cell>
          <cell r="D778" t="str">
            <v>PASTO</v>
          </cell>
          <cell r="E778" t="str">
            <v>LEJANA</v>
          </cell>
          <cell r="F778" t="str">
            <v>TERRESTRE/FLUVIAL</v>
          </cell>
        </row>
        <row r="779">
          <cell r="A779">
            <v>52022</v>
          </cell>
          <cell r="B779" t="str">
            <v>ALDANA</v>
          </cell>
          <cell r="C779" t="str">
            <v>NARIÑO</v>
          </cell>
          <cell r="D779" t="str">
            <v>PASTO</v>
          </cell>
          <cell r="E779" t="str">
            <v>INTERMEDIA</v>
          </cell>
          <cell r="F779" t="str">
            <v>TERRESTRE</v>
          </cell>
        </row>
        <row r="780">
          <cell r="A780">
            <v>52036</v>
          </cell>
          <cell r="B780" t="str">
            <v>ANCUYA</v>
          </cell>
          <cell r="C780" t="str">
            <v>NARIÑO</v>
          </cell>
          <cell r="D780" t="str">
            <v>PASTO</v>
          </cell>
          <cell r="E780" t="str">
            <v>INTERMEDIA</v>
          </cell>
          <cell r="F780" t="str">
            <v>TERRESTRE</v>
          </cell>
        </row>
        <row r="781">
          <cell r="A781">
            <v>52051</v>
          </cell>
          <cell r="B781" t="str">
            <v>ARBOLEDA</v>
          </cell>
          <cell r="C781" t="str">
            <v>NARIÑO</v>
          </cell>
          <cell r="D781" t="str">
            <v>PASTO</v>
          </cell>
          <cell r="E781" t="str">
            <v>INTERMEDIA</v>
          </cell>
          <cell r="F781" t="str">
            <v>TERRESTRE</v>
          </cell>
        </row>
        <row r="782">
          <cell r="A782">
            <v>52079</v>
          </cell>
          <cell r="B782" t="str">
            <v>BARBACOAS</v>
          </cell>
          <cell r="C782" t="str">
            <v>NARIÑO</v>
          </cell>
          <cell r="D782" t="str">
            <v>PASTO</v>
          </cell>
          <cell r="E782" t="str">
            <v>LEJANA</v>
          </cell>
          <cell r="F782" t="str">
            <v>TERRESTRE</v>
          </cell>
        </row>
        <row r="783">
          <cell r="A783">
            <v>52110</v>
          </cell>
          <cell r="B783" t="str">
            <v>BUESACO</v>
          </cell>
          <cell r="C783" t="str">
            <v>NARIÑO</v>
          </cell>
          <cell r="D783" t="str">
            <v>PASTO</v>
          </cell>
          <cell r="E783" t="str">
            <v>INTERMEDIA</v>
          </cell>
          <cell r="F783" t="str">
            <v>TERRESTRE</v>
          </cell>
        </row>
        <row r="784">
          <cell r="A784">
            <v>52240</v>
          </cell>
          <cell r="B784" t="str">
            <v>CHACHAGUI</v>
          </cell>
          <cell r="C784" t="str">
            <v>NARIÑO</v>
          </cell>
          <cell r="D784" t="str">
            <v>PASTO</v>
          </cell>
          <cell r="E784" t="str">
            <v>INTERMEDIA</v>
          </cell>
          <cell r="F784" t="str">
            <v>TERRESTRE</v>
          </cell>
        </row>
        <row r="785">
          <cell r="A785">
            <v>52207</v>
          </cell>
          <cell r="B785" t="str">
            <v>CONSACA</v>
          </cell>
          <cell r="C785" t="str">
            <v>NARIÑO</v>
          </cell>
          <cell r="D785" t="str">
            <v>PASTO</v>
          </cell>
          <cell r="E785" t="str">
            <v>INTERMEDIA</v>
          </cell>
          <cell r="F785" t="str">
            <v>TERRESTRE</v>
          </cell>
        </row>
        <row r="786">
          <cell r="A786">
            <v>52210</v>
          </cell>
          <cell r="B786" t="str">
            <v>CONTADERO</v>
          </cell>
          <cell r="C786" t="str">
            <v>NARIÑO</v>
          </cell>
          <cell r="D786" t="str">
            <v>PASTO</v>
          </cell>
          <cell r="E786" t="str">
            <v>INTERMEDIA</v>
          </cell>
          <cell r="F786" t="str">
            <v>TERRESTRE</v>
          </cell>
        </row>
        <row r="787">
          <cell r="A787">
            <v>52224</v>
          </cell>
          <cell r="B787" t="str">
            <v>CUASPUD</v>
          </cell>
          <cell r="C787" t="str">
            <v>NARIÑO</v>
          </cell>
          <cell r="D787" t="str">
            <v>PASTO</v>
          </cell>
          <cell r="E787" t="str">
            <v>INTERMEDIA</v>
          </cell>
          <cell r="F787" t="str">
            <v>TERRESTRE</v>
          </cell>
        </row>
        <row r="788">
          <cell r="A788">
            <v>52227</v>
          </cell>
          <cell r="B788" t="str">
            <v>CUMBAL</v>
          </cell>
          <cell r="C788" t="str">
            <v>NARIÑO</v>
          </cell>
          <cell r="D788" t="str">
            <v>PASTO</v>
          </cell>
          <cell r="E788" t="str">
            <v>LEJANA</v>
          </cell>
          <cell r="F788" t="str">
            <v>TERRESTRE</v>
          </cell>
        </row>
        <row r="789">
          <cell r="A789">
            <v>52233</v>
          </cell>
          <cell r="B789" t="str">
            <v>CUMBITARA</v>
          </cell>
          <cell r="C789" t="str">
            <v>NARIÑO</v>
          </cell>
          <cell r="D789" t="str">
            <v>PASTO</v>
          </cell>
          <cell r="E789" t="str">
            <v>INTERMEDIA</v>
          </cell>
          <cell r="F789" t="str">
            <v>TERRESTRE</v>
          </cell>
        </row>
        <row r="790">
          <cell r="A790">
            <v>52250</v>
          </cell>
          <cell r="B790" t="str">
            <v>EL CHARCO</v>
          </cell>
          <cell r="C790" t="str">
            <v>NARIÑO</v>
          </cell>
          <cell r="D790" t="str">
            <v>PASTO</v>
          </cell>
          <cell r="E790" t="str">
            <v>LEJANA</v>
          </cell>
          <cell r="F790" t="str">
            <v>FLUVIAL</v>
          </cell>
        </row>
        <row r="791">
          <cell r="A791">
            <v>52254</v>
          </cell>
          <cell r="B791" t="str">
            <v>EL PEÑOL</v>
          </cell>
          <cell r="C791" t="str">
            <v>NARIÑO</v>
          </cell>
          <cell r="D791" t="str">
            <v>PASTO</v>
          </cell>
          <cell r="E791" t="str">
            <v>INTERMEDIA</v>
          </cell>
          <cell r="F791" t="str">
            <v>TERRESTRE</v>
          </cell>
        </row>
        <row r="792">
          <cell r="A792">
            <v>52256</v>
          </cell>
          <cell r="B792" t="str">
            <v>EL ROSARIO</v>
          </cell>
          <cell r="C792" t="str">
            <v>NARIÑO</v>
          </cell>
          <cell r="D792" t="str">
            <v>PASTO</v>
          </cell>
          <cell r="E792" t="str">
            <v>INTERMEDIA</v>
          </cell>
          <cell r="F792" t="str">
            <v>TERRESTRE</v>
          </cell>
        </row>
        <row r="793">
          <cell r="A793">
            <v>52258</v>
          </cell>
          <cell r="B793" t="str">
            <v>EL TABLON DE GOMEZ</v>
          </cell>
          <cell r="C793" t="str">
            <v>NARIÑO</v>
          </cell>
          <cell r="D793" t="str">
            <v>PASTO</v>
          </cell>
          <cell r="E793" t="str">
            <v>INTERMEDIA</v>
          </cell>
          <cell r="F793" t="str">
            <v>TERRESTRE</v>
          </cell>
        </row>
        <row r="794">
          <cell r="A794">
            <v>52520</v>
          </cell>
          <cell r="B794" t="str">
            <v>FRANCISCO PIZARRO</v>
          </cell>
          <cell r="C794" t="str">
            <v>NARIÑO</v>
          </cell>
          <cell r="D794" t="str">
            <v>PASTO</v>
          </cell>
          <cell r="E794" t="str">
            <v>LEJANA</v>
          </cell>
          <cell r="F794" t="str">
            <v>FLUVIAL</v>
          </cell>
        </row>
        <row r="795">
          <cell r="A795">
            <v>52287</v>
          </cell>
          <cell r="B795" t="str">
            <v>FUNES</v>
          </cell>
          <cell r="C795" t="str">
            <v>NARIÑO</v>
          </cell>
          <cell r="D795" t="str">
            <v>PASTO</v>
          </cell>
          <cell r="E795" t="str">
            <v>INTERMEDIA</v>
          </cell>
          <cell r="F795" t="str">
            <v>TERRESTRE</v>
          </cell>
        </row>
        <row r="796">
          <cell r="A796">
            <v>52317</v>
          </cell>
          <cell r="B796" t="str">
            <v>GUACHUCAL</v>
          </cell>
          <cell r="C796" t="str">
            <v>NARIÑO</v>
          </cell>
          <cell r="D796" t="str">
            <v>PASTO</v>
          </cell>
          <cell r="E796" t="str">
            <v>INTERMEDIA</v>
          </cell>
          <cell r="F796" t="str">
            <v>TERRESTRE</v>
          </cell>
        </row>
        <row r="797">
          <cell r="A797">
            <v>52320</v>
          </cell>
          <cell r="B797" t="str">
            <v>GUAITARILLA</v>
          </cell>
          <cell r="C797" t="str">
            <v>NARIÑO</v>
          </cell>
          <cell r="D797" t="str">
            <v>PASTO</v>
          </cell>
          <cell r="E797" t="str">
            <v>INTERMEDIA</v>
          </cell>
          <cell r="F797" t="str">
            <v>TERRESTRE</v>
          </cell>
        </row>
        <row r="798">
          <cell r="A798">
            <v>52323</v>
          </cell>
          <cell r="B798" t="str">
            <v>GUALMATAN</v>
          </cell>
          <cell r="C798" t="str">
            <v>NARIÑO</v>
          </cell>
          <cell r="D798" t="str">
            <v>PASTO</v>
          </cell>
          <cell r="E798" t="str">
            <v>INTERMEDIA</v>
          </cell>
          <cell r="F798" t="str">
            <v>TERRESTRE</v>
          </cell>
        </row>
        <row r="799">
          <cell r="A799">
            <v>52352</v>
          </cell>
          <cell r="B799" t="str">
            <v>ILES</v>
          </cell>
          <cell r="C799" t="str">
            <v>NARIÑO</v>
          </cell>
          <cell r="D799" t="str">
            <v>PASTO</v>
          </cell>
          <cell r="E799" t="str">
            <v>INTERMEDIA</v>
          </cell>
          <cell r="F799" t="str">
            <v>TERRESTRE</v>
          </cell>
        </row>
        <row r="800">
          <cell r="A800">
            <v>52354</v>
          </cell>
          <cell r="B800" t="str">
            <v>IMUES</v>
          </cell>
          <cell r="C800" t="str">
            <v>NARIÑO</v>
          </cell>
          <cell r="D800" t="str">
            <v>PASTO</v>
          </cell>
          <cell r="E800" t="str">
            <v>INTERMEDIA</v>
          </cell>
          <cell r="F800" t="str">
            <v>TERRESTRE</v>
          </cell>
        </row>
        <row r="801">
          <cell r="A801">
            <v>52356</v>
          </cell>
          <cell r="B801" t="str">
            <v>IPIALES</v>
          </cell>
          <cell r="C801" t="str">
            <v>NARIÑO</v>
          </cell>
          <cell r="D801" t="str">
            <v>PASTO</v>
          </cell>
          <cell r="E801" t="str">
            <v>INTERMEDIA</v>
          </cell>
          <cell r="F801" t="str">
            <v>TERRESTRE</v>
          </cell>
        </row>
        <row r="802">
          <cell r="A802">
            <v>52378</v>
          </cell>
          <cell r="B802" t="str">
            <v>LA CRUZ</v>
          </cell>
          <cell r="C802" t="str">
            <v>NARIÑO</v>
          </cell>
          <cell r="D802" t="str">
            <v>PASTO</v>
          </cell>
          <cell r="E802" t="str">
            <v>LEJANA</v>
          </cell>
          <cell r="F802" t="str">
            <v>TERRESTRE</v>
          </cell>
        </row>
        <row r="803">
          <cell r="A803">
            <v>52381</v>
          </cell>
          <cell r="B803" t="str">
            <v>LA FLORIDA</v>
          </cell>
          <cell r="C803" t="str">
            <v>NARIÑO</v>
          </cell>
          <cell r="D803" t="str">
            <v>PASTO</v>
          </cell>
          <cell r="E803" t="str">
            <v>INTERMEDIA</v>
          </cell>
          <cell r="F803" t="str">
            <v>TERRESTRE</v>
          </cell>
        </row>
        <row r="804">
          <cell r="A804">
            <v>52385</v>
          </cell>
          <cell r="B804" t="str">
            <v>LA LLANADA</v>
          </cell>
          <cell r="C804" t="str">
            <v>NARIÑO</v>
          </cell>
          <cell r="D804" t="str">
            <v>PASTO</v>
          </cell>
          <cell r="E804" t="str">
            <v>LEJANA</v>
          </cell>
          <cell r="F804" t="str">
            <v>TERRESTRE</v>
          </cell>
        </row>
        <row r="805">
          <cell r="A805">
            <v>52390</v>
          </cell>
          <cell r="B805" t="str">
            <v>LA TOLA</v>
          </cell>
          <cell r="C805" t="str">
            <v>NARIÑO</v>
          </cell>
          <cell r="D805" t="str">
            <v>PASTO</v>
          </cell>
          <cell r="E805" t="str">
            <v>LEJANA</v>
          </cell>
          <cell r="F805" t="str">
            <v>FLUVIAL</v>
          </cell>
        </row>
        <row r="806">
          <cell r="A806">
            <v>52405</v>
          </cell>
          <cell r="B806" t="str">
            <v>LEIVA</v>
          </cell>
          <cell r="C806" t="str">
            <v>NARIÑO</v>
          </cell>
          <cell r="D806" t="str">
            <v>PASTO</v>
          </cell>
          <cell r="E806" t="str">
            <v>LEJANA</v>
          </cell>
          <cell r="F806" t="str">
            <v>TERRESTRE</v>
          </cell>
        </row>
        <row r="807">
          <cell r="A807">
            <v>52411</v>
          </cell>
          <cell r="B807" t="str">
            <v>LINARES</v>
          </cell>
          <cell r="C807" t="str">
            <v>NARIÑO</v>
          </cell>
          <cell r="D807" t="str">
            <v>PASTO</v>
          </cell>
          <cell r="E807" t="str">
            <v>LEJANA</v>
          </cell>
          <cell r="F807" t="str">
            <v>TERRESTRE</v>
          </cell>
        </row>
        <row r="808">
          <cell r="A808">
            <v>52418</v>
          </cell>
          <cell r="B808" t="str">
            <v>LOS ANDES</v>
          </cell>
          <cell r="C808" t="str">
            <v>NARIÑO</v>
          </cell>
          <cell r="D808" t="str">
            <v>PASTO</v>
          </cell>
          <cell r="E808" t="str">
            <v>LEJANA</v>
          </cell>
          <cell r="F808" t="str">
            <v>TERRESTRE</v>
          </cell>
        </row>
        <row r="809">
          <cell r="A809">
            <v>52427</v>
          </cell>
          <cell r="B809" t="str">
            <v>MAGUI</v>
          </cell>
          <cell r="C809" t="str">
            <v>NARIÑO</v>
          </cell>
          <cell r="D809" t="str">
            <v>PASTO</v>
          </cell>
          <cell r="E809" t="str">
            <v>LEJANA</v>
          </cell>
          <cell r="F809" t="str">
            <v>FLUVIAL</v>
          </cell>
        </row>
        <row r="810">
          <cell r="A810">
            <v>52435</v>
          </cell>
          <cell r="B810" t="str">
            <v>MALLAMA</v>
          </cell>
          <cell r="C810" t="str">
            <v>NARIÑO</v>
          </cell>
          <cell r="D810" t="str">
            <v>PASTO</v>
          </cell>
          <cell r="E810" t="str">
            <v>LEJANA</v>
          </cell>
          <cell r="F810" t="str">
            <v>TERRESTRE</v>
          </cell>
        </row>
        <row r="811">
          <cell r="A811">
            <v>52490</v>
          </cell>
          <cell r="B811" t="str">
            <v>OLAYA HERRERA</v>
          </cell>
          <cell r="C811" t="str">
            <v>NARIÑO</v>
          </cell>
          <cell r="D811" t="str">
            <v>PASTO</v>
          </cell>
          <cell r="E811" t="str">
            <v>LEJANA</v>
          </cell>
          <cell r="F811" t="str">
            <v>FLUVIAL</v>
          </cell>
        </row>
        <row r="812">
          <cell r="A812">
            <v>52506</v>
          </cell>
          <cell r="B812" t="str">
            <v>OSPINA</v>
          </cell>
          <cell r="C812" t="str">
            <v>NARIÑO</v>
          </cell>
          <cell r="D812" t="str">
            <v>PASTO</v>
          </cell>
          <cell r="E812" t="str">
            <v>INTERMEDIA</v>
          </cell>
          <cell r="F812" t="str">
            <v>TERRESTRE</v>
          </cell>
        </row>
        <row r="813">
          <cell r="A813">
            <v>52001</v>
          </cell>
          <cell r="B813" t="str">
            <v>PASTO</v>
          </cell>
          <cell r="C813" t="str">
            <v>NARIÑO</v>
          </cell>
          <cell r="D813" t="str">
            <v>PASTO</v>
          </cell>
          <cell r="E813" t="str">
            <v>PRINCIPAL</v>
          </cell>
          <cell r="F813" t="str">
            <v>TERRESTRE</v>
          </cell>
        </row>
        <row r="814">
          <cell r="A814">
            <v>52540</v>
          </cell>
          <cell r="B814" t="str">
            <v>POLICARPA</v>
          </cell>
          <cell r="C814" t="str">
            <v>NARIÑO</v>
          </cell>
          <cell r="D814" t="str">
            <v>PASTO</v>
          </cell>
          <cell r="E814" t="str">
            <v>LEJANA</v>
          </cell>
          <cell r="F814" t="str">
            <v>TERRESTRE</v>
          </cell>
        </row>
        <row r="815">
          <cell r="A815">
            <v>52560</v>
          </cell>
          <cell r="B815" t="str">
            <v>POTOSI</v>
          </cell>
          <cell r="C815" t="str">
            <v>NARIÑO</v>
          </cell>
          <cell r="D815" t="str">
            <v>PASTO</v>
          </cell>
          <cell r="E815" t="str">
            <v>INTERMEDIA</v>
          </cell>
          <cell r="F815" t="str">
            <v>TERRESTRE</v>
          </cell>
        </row>
        <row r="816">
          <cell r="A816">
            <v>52573</v>
          </cell>
          <cell r="B816" t="str">
            <v>PUERRES</v>
          </cell>
          <cell r="C816" t="str">
            <v>NARIÑO</v>
          </cell>
          <cell r="D816" t="str">
            <v>PASTO</v>
          </cell>
          <cell r="E816" t="str">
            <v>INTERMEDIA</v>
          </cell>
          <cell r="F816" t="str">
            <v>TERRESTRE</v>
          </cell>
        </row>
        <row r="817">
          <cell r="A817">
            <v>52585</v>
          </cell>
          <cell r="B817" t="str">
            <v>PUPIALES</v>
          </cell>
          <cell r="C817" t="str">
            <v>NARIÑO</v>
          </cell>
          <cell r="D817" t="str">
            <v>PASTO</v>
          </cell>
          <cell r="E817" t="str">
            <v>INTERMEDIA</v>
          </cell>
          <cell r="F817" t="str">
            <v>TERRESTRE</v>
          </cell>
        </row>
        <row r="818">
          <cell r="A818">
            <v>52621</v>
          </cell>
          <cell r="B818" t="str">
            <v>ROBERTO PAYAN</v>
          </cell>
          <cell r="C818" t="str">
            <v>NARIÑO</v>
          </cell>
          <cell r="D818" t="str">
            <v>PASTO</v>
          </cell>
          <cell r="E818" t="str">
            <v>LEJANA</v>
          </cell>
          <cell r="F818" t="str">
            <v>FLUVIAL</v>
          </cell>
        </row>
        <row r="819">
          <cell r="A819">
            <v>52678</v>
          </cell>
          <cell r="B819" t="str">
            <v>SAMANIEGO</v>
          </cell>
          <cell r="C819" t="str">
            <v>NARIÑO</v>
          </cell>
          <cell r="D819" t="str">
            <v>PASTO</v>
          </cell>
          <cell r="E819" t="str">
            <v>LEJANA</v>
          </cell>
          <cell r="F819" t="str">
            <v>TERRESTRE</v>
          </cell>
        </row>
        <row r="820">
          <cell r="A820">
            <v>52835</v>
          </cell>
          <cell r="B820" t="str">
            <v>SAN ANDRES DE TUMACO</v>
          </cell>
          <cell r="C820" t="str">
            <v>NARIÑO</v>
          </cell>
          <cell r="D820" t="str">
            <v>PASTO</v>
          </cell>
          <cell r="E820" t="str">
            <v>LEJANA</v>
          </cell>
          <cell r="F820" t="str">
            <v>TERRESTRE</v>
          </cell>
        </row>
        <row r="821">
          <cell r="A821">
            <v>52687</v>
          </cell>
          <cell r="B821" t="str">
            <v>SAN LORENZO</v>
          </cell>
          <cell r="C821" t="str">
            <v>NARIÑO</v>
          </cell>
          <cell r="D821" t="str">
            <v>PASTO</v>
          </cell>
          <cell r="E821" t="str">
            <v>INTERMEDIA</v>
          </cell>
          <cell r="F821" t="str">
            <v>TERRESTRE</v>
          </cell>
        </row>
        <row r="822">
          <cell r="A822">
            <v>52694</v>
          </cell>
          <cell r="B822" t="str">
            <v>SAN PEDRO DE CARTAGO</v>
          </cell>
          <cell r="C822" t="str">
            <v>NARIÑO</v>
          </cell>
          <cell r="D822" t="str">
            <v>PASTO</v>
          </cell>
          <cell r="E822" t="str">
            <v>INTERMEDIA</v>
          </cell>
          <cell r="F822" t="str">
            <v>TERRESTRE</v>
          </cell>
        </row>
        <row r="823">
          <cell r="A823">
            <v>52683</v>
          </cell>
          <cell r="B823" t="str">
            <v>SANDONA</v>
          </cell>
          <cell r="C823" t="str">
            <v>NARIÑO</v>
          </cell>
          <cell r="D823" t="str">
            <v>PASTO</v>
          </cell>
          <cell r="E823" t="str">
            <v>INTERMEDIA</v>
          </cell>
          <cell r="F823" t="str">
            <v>TERRESTRE</v>
          </cell>
        </row>
        <row r="824">
          <cell r="A824">
            <v>52699</v>
          </cell>
          <cell r="B824" t="str">
            <v>SANTACRUZ</v>
          </cell>
          <cell r="C824" t="str">
            <v>NARIÑO</v>
          </cell>
          <cell r="D824" t="str">
            <v>PASTO</v>
          </cell>
          <cell r="E824" t="str">
            <v>LEJANA</v>
          </cell>
          <cell r="F824" t="str">
            <v>TERRESTRE</v>
          </cell>
        </row>
        <row r="825">
          <cell r="A825">
            <v>52720</v>
          </cell>
          <cell r="B825" t="str">
            <v>SAPUYES</v>
          </cell>
          <cell r="C825" t="str">
            <v>NARIÑO</v>
          </cell>
          <cell r="D825" t="str">
            <v>PASTO</v>
          </cell>
          <cell r="E825" t="str">
            <v>INTERMEDIA</v>
          </cell>
          <cell r="F825" t="str">
            <v>TERRESTRE</v>
          </cell>
        </row>
        <row r="826">
          <cell r="A826">
            <v>52786</v>
          </cell>
          <cell r="B826" t="str">
            <v>TAMINANGO</v>
          </cell>
          <cell r="C826" t="str">
            <v>NARIÑO</v>
          </cell>
          <cell r="D826" t="str">
            <v>PASTO</v>
          </cell>
          <cell r="E826" t="str">
            <v>INTERMEDIA</v>
          </cell>
          <cell r="F826" t="str">
            <v>TERRESTRE</v>
          </cell>
        </row>
        <row r="827">
          <cell r="A827">
            <v>52788</v>
          </cell>
          <cell r="B827" t="str">
            <v>TANGUA</v>
          </cell>
          <cell r="C827" t="str">
            <v>NARIÑO</v>
          </cell>
          <cell r="D827" t="str">
            <v>PASTO</v>
          </cell>
          <cell r="E827" t="str">
            <v>INTERMEDIA</v>
          </cell>
          <cell r="F827" t="str">
            <v>TERRESTRE</v>
          </cell>
        </row>
        <row r="828">
          <cell r="A828">
            <v>52838</v>
          </cell>
          <cell r="B828" t="str">
            <v>TUQUERRES</v>
          </cell>
          <cell r="C828" t="str">
            <v>NARIÑO</v>
          </cell>
          <cell r="D828" t="str">
            <v>PASTO</v>
          </cell>
          <cell r="E828" t="str">
            <v>INTERMEDIA</v>
          </cell>
          <cell r="F828" t="str">
            <v>TERRESTRE</v>
          </cell>
        </row>
        <row r="829">
          <cell r="A829">
            <v>52885</v>
          </cell>
          <cell r="B829" t="str">
            <v>YACUANQUER</v>
          </cell>
          <cell r="C829" t="str">
            <v>NARIÑO</v>
          </cell>
          <cell r="D829" t="str">
            <v>PASTO</v>
          </cell>
          <cell r="E829" t="str">
            <v>INTERMEDIA</v>
          </cell>
          <cell r="F829" t="str">
            <v>TERRESTRE</v>
          </cell>
        </row>
        <row r="830">
          <cell r="A830">
            <v>54553</v>
          </cell>
          <cell r="B830" t="str">
            <v>PUERTO SANTANDER</v>
          </cell>
          <cell r="C830" t="str">
            <v>NORTE DE SANTANDER</v>
          </cell>
          <cell r="D830" t="str">
            <v>CUCUTA</v>
          </cell>
          <cell r="E830" t="str">
            <v>INTERMEDIA</v>
          </cell>
          <cell r="F830" t="str">
            <v>TERRESTRE</v>
          </cell>
        </row>
        <row r="831">
          <cell r="A831">
            <v>54673</v>
          </cell>
          <cell r="B831" t="str">
            <v>SAN CAYETANO</v>
          </cell>
          <cell r="C831" t="str">
            <v>NORTE DE SANTANDER</v>
          </cell>
          <cell r="D831" t="str">
            <v>CUCUTA</v>
          </cell>
          <cell r="E831" t="str">
            <v>INTERMEDIA</v>
          </cell>
          <cell r="F831" t="str">
            <v>TERRESTRE</v>
          </cell>
        </row>
        <row r="832">
          <cell r="A832">
            <v>54680</v>
          </cell>
          <cell r="B832" t="str">
            <v>SANTIAGO</v>
          </cell>
          <cell r="C832" t="str">
            <v>NORTE DE SANTANDER</v>
          </cell>
          <cell r="D832" t="str">
            <v>CUCUTA</v>
          </cell>
          <cell r="E832" t="str">
            <v>INTERMEDIA</v>
          </cell>
          <cell r="F832" t="str">
            <v>TERRESTRE</v>
          </cell>
        </row>
        <row r="833">
          <cell r="A833">
            <v>54820</v>
          </cell>
          <cell r="B833" t="str">
            <v>TOLEDO</v>
          </cell>
          <cell r="C833" t="str">
            <v>NORTE DE SANTANDER</v>
          </cell>
          <cell r="D833" t="str">
            <v>CUCUTA</v>
          </cell>
          <cell r="E833" t="str">
            <v>LEJANA</v>
          </cell>
          <cell r="F833" t="str">
            <v>TERRESTRE</v>
          </cell>
        </row>
        <row r="834">
          <cell r="A834">
            <v>54003</v>
          </cell>
          <cell r="B834" t="str">
            <v>ABREGO</v>
          </cell>
          <cell r="C834" t="str">
            <v>NORTE DE SANTANDER</v>
          </cell>
          <cell r="D834" t="str">
            <v>CUCUTA</v>
          </cell>
          <cell r="E834" t="str">
            <v>LEJANA</v>
          </cell>
          <cell r="F834" t="str">
            <v>TERRESTRE</v>
          </cell>
        </row>
        <row r="835">
          <cell r="A835">
            <v>54051</v>
          </cell>
          <cell r="B835" t="str">
            <v>ARBOLEDAS</v>
          </cell>
          <cell r="C835" t="str">
            <v>NORTE DE SANTANDER</v>
          </cell>
          <cell r="D835" t="str">
            <v>CUCUTA</v>
          </cell>
          <cell r="E835" t="str">
            <v>LEJANA</v>
          </cell>
          <cell r="F835" t="str">
            <v>TERRESTRE</v>
          </cell>
        </row>
        <row r="836">
          <cell r="A836">
            <v>54099</v>
          </cell>
          <cell r="B836" t="str">
            <v>BOCHALEMA</v>
          </cell>
          <cell r="C836" t="str">
            <v>NORTE DE SANTANDER</v>
          </cell>
          <cell r="D836" t="str">
            <v>CUCUTA</v>
          </cell>
          <cell r="E836" t="str">
            <v>INTERMEDIA</v>
          </cell>
          <cell r="F836" t="str">
            <v>TERRESTRE</v>
          </cell>
        </row>
        <row r="837">
          <cell r="A837">
            <v>54109</v>
          </cell>
          <cell r="B837" t="str">
            <v>BUCARASICA</v>
          </cell>
          <cell r="C837" t="str">
            <v>NORTE DE SANTANDER</v>
          </cell>
          <cell r="D837" t="str">
            <v>CUCUTA</v>
          </cell>
          <cell r="E837" t="str">
            <v>LEJANA</v>
          </cell>
          <cell r="F837" t="str">
            <v>TERRESTRE</v>
          </cell>
        </row>
        <row r="838">
          <cell r="A838">
            <v>54128</v>
          </cell>
          <cell r="B838" t="str">
            <v>CACHIRA</v>
          </cell>
          <cell r="C838" t="str">
            <v>NORTE DE SANTANDER</v>
          </cell>
          <cell r="D838" t="str">
            <v>CUCUTA</v>
          </cell>
          <cell r="E838" t="str">
            <v>LEJANA</v>
          </cell>
          <cell r="F838" t="str">
            <v>TERRESTRE</v>
          </cell>
        </row>
        <row r="839">
          <cell r="A839">
            <v>54125</v>
          </cell>
          <cell r="B839" t="str">
            <v>CACOTA</v>
          </cell>
          <cell r="C839" t="str">
            <v>NORTE DE SANTANDER</v>
          </cell>
          <cell r="D839" t="str">
            <v>CUCUTA</v>
          </cell>
          <cell r="E839" t="str">
            <v>LEJANA</v>
          </cell>
          <cell r="F839" t="str">
            <v>TERRESTRE</v>
          </cell>
        </row>
        <row r="840">
          <cell r="A840">
            <v>54172</v>
          </cell>
          <cell r="B840" t="str">
            <v>CHINACOTA</v>
          </cell>
          <cell r="C840" t="str">
            <v>NORTE DE SANTANDER</v>
          </cell>
          <cell r="D840" t="str">
            <v>CUCUTA</v>
          </cell>
          <cell r="E840" t="str">
            <v>INTERMEDIA</v>
          </cell>
          <cell r="F840" t="str">
            <v>TERRESTRE</v>
          </cell>
        </row>
        <row r="841">
          <cell r="A841">
            <v>54174</v>
          </cell>
          <cell r="B841" t="str">
            <v>CHITAGA</v>
          </cell>
          <cell r="C841" t="str">
            <v>NORTE DE SANTANDER</v>
          </cell>
          <cell r="D841" t="str">
            <v>CUCUTA</v>
          </cell>
          <cell r="E841" t="str">
            <v>LEJANA</v>
          </cell>
          <cell r="F841" t="str">
            <v>TERRESTRE</v>
          </cell>
        </row>
        <row r="842">
          <cell r="A842">
            <v>54206</v>
          </cell>
          <cell r="B842" t="str">
            <v>CONVENCION</v>
          </cell>
          <cell r="C842" t="str">
            <v>NORTE DE SANTANDER</v>
          </cell>
          <cell r="D842" t="str">
            <v>CUCUTA</v>
          </cell>
          <cell r="E842" t="str">
            <v>LEJANA</v>
          </cell>
          <cell r="F842" t="str">
            <v>TERRESTRE</v>
          </cell>
        </row>
        <row r="843">
          <cell r="A843">
            <v>54001</v>
          </cell>
          <cell r="B843" t="str">
            <v>CUCUTA</v>
          </cell>
          <cell r="C843" t="str">
            <v>NORTE DE SANTANDER</v>
          </cell>
          <cell r="D843" t="str">
            <v>CUCUTA</v>
          </cell>
          <cell r="E843" t="str">
            <v>PRINCIPAL</v>
          </cell>
          <cell r="F843" t="str">
            <v>TERRESTRE</v>
          </cell>
        </row>
        <row r="844">
          <cell r="A844">
            <v>54223</v>
          </cell>
          <cell r="B844" t="str">
            <v>CUCUTILLA</v>
          </cell>
          <cell r="C844" t="str">
            <v>NORTE DE SANTANDER</v>
          </cell>
          <cell r="D844" t="str">
            <v>CUCUTA</v>
          </cell>
          <cell r="E844" t="str">
            <v>LEJANA</v>
          </cell>
          <cell r="F844" t="str">
            <v>TERRESTRE</v>
          </cell>
        </row>
        <row r="845">
          <cell r="A845">
            <v>54239</v>
          </cell>
          <cell r="B845" t="str">
            <v>DURANIA</v>
          </cell>
          <cell r="C845" t="str">
            <v>NORTE DE SANTANDER</v>
          </cell>
          <cell r="D845" t="str">
            <v>CUCUTA</v>
          </cell>
          <cell r="E845" t="str">
            <v>INTERMEDIA</v>
          </cell>
          <cell r="F845" t="str">
            <v>TERRESTRE</v>
          </cell>
        </row>
        <row r="846">
          <cell r="A846">
            <v>54245</v>
          </cell>
          <cell r="B846" t="str">
            <v>EL CARMEN</v>
          </cell>
          <cell r="C846" t="str">
            <v>NORTE DE SANTANDER</v>
          </cell>
          <cell r="D846" t="str">
            <v>CUCUTA</v>
          </cell>
          <cell r="E846" t="str">
            <v>LEJANA</v>
          </cell>
          <cell r="F846" t="str">
            <v>TERRESTRE</v>
          </cell>
        </row>
        <row r="847">
          <cell r="A847">
            <v>54250</v>
          </cell>
          <cell r="B847" t="str">
            <v>EL TARRA</v>
          </cell>
          <cell r="C847" t="str">
            <v>NORTE DE SANTANDER</v>
          </cell>
          <cell r="D847" t="str">
            <v>CUCUTA</v>
          </cell>
          <cell r="E847" t="str">
            <v>LEJANA</v>
          </cell>
          <cell r="F847" t="str">
            <v>TERRESTRE</v>
          </cell>
        </row>
        <row r="848">
          <cell r="A848">
            <v>54261</v>
          </cell>
          <cell r="B848" t="str">
            <v>EL ZULIA</v>
          </cell>
          <cell r="C848" t="str">
            <v>NORTE DE SANTANDER</v>
          </cell>
          <cell r="D848" t="str">
            <v>CUCUTA</v>
          </cell>
          <cell r="E848" t="str">
            <v>INTERMEDIA</v>
          </cell>
          <cell r="F848" t="str">
            <v>TERRESTRE</v>
          </cell>
        </row>
        <row r="849">
          <cell r="A849">
            <v>54313</v>
          </cell>
          <cell r="B849" t="str">
            <v>GRAMALOTE</v>
          </cell>
          <cell r="C849" t="str">
            <v>NORTE DE SANTANDER</v>
          </cell>
          <cell r="D849" t="str">
            <v>CUCUTA</v>
          </cell>
          <cell r="E849" t="str">
            <v>INTERMEDIA</v>
          </cell>
          <cell r="F849" t="str">
            <v>TERRESTRE</v>
          </cell>
        </row>
        <row r="850">
          <cell r="A850">
            <v>54344</v>
          </cell>
          <cell r="B850" t="str">
            <v>HACARI</v>
          </cell>
          <cell r="C850" t="str">
            <v>NORTE DE SANTANDER</v>
          </cell>
          <cell r="D850" t="str">
            <v>CUCUTA</v>
          </cell>
          <cell r="E850" t="str">
            <v>LEJANA</v>
          </cell>
          <cell r="F850" t="str">
            <v>TERRESTRE</v>
          </cell>
        </row>
        <row r="851">
          <cell r="A851">
            <v>54347</v>
          </cell>
          <cell r="B851" t="str">
            <v>HERRAN</v>
          </cell>
          <cell r="C851" t="str">
            <v>NORTE DE SANTANDER</v>
          </cell>
          <cell r="D851" t="str">
            <v>CUCUTA</v>
          </cell>
          <cell r="E851" t="str">
            <v>LEJANA</v>
          </cell>
          <cell r="F851" t="str">
            <v>TERRESTRE</v>
          </cell>
        </row>
        <row r="852">
          <cell r="A852">
            <v>54385</v>
          </cell>
          <cell r="B852" t="str">
            <v>LA ESPERANZA</v>
          </cell>
          <cell r="C852" t="str">
            <v>NORTE DE SANTANDER</v>
          </cell>
          <cell r="D852" t="str">
            <v>BUCARAMANGA</v>
          </cell>
          <cell r="E852" t="str">
            <v>LEJANA</v>
          </cell>
          <cell r="F852" t="str">
            <v>TERRESTRE</v>
          </cell>
        </row>
        <row r="853">
          <cell r="A853">
            <v>54398</v>
          </cell>
          <cell r="B853" t="str">
            <v>LA PLAYA</v>
          </cell>
          <cell r="C853" t="str">
            <v>NORTE DE SANTANDER</v>
          </cell>
          <cell r="D853" t="str">
            <v>CUCUTA</v>
          </cell>
          <cell r="E853" t="str">
            <v>LEJANA</v>
          </cell>
          <cell r="F853" t="str">
            <v>TERRESTRE</v>
          </cell>
        </row>
        <row r="854">
          <cell r="A854">
            <v>54377</v>
          </cell>
          <cell r="B854" t="str">
            <v>LABATECA</v>
          </cell>
          <cell r="C854" t="str">
            <v>NORTE DE SANTANDER</v>
          </cell>
          <cell r="D854" t="str">
            <v>CUCUTA</v>
          </cell>
          <cell r="E854" t="str">
            <v>LEJANA</v>
          </cell>
          <cell r="F854" t="str">
            <v>TERRESTRE</v>
          </cell>
        </row>
        <row r="855">
          <cell r="A855">
            <v>54405</v>
          </cell>
          <cell r="B855" t="str">
            <v>LOS PATIOS</v>
          </cell>
          <cell r="C855" t="str">
            <v>NORTE DE SANTANDER</v>
          </cell>
          <cell r="D855" t="str">
            <v>CUCUTA</v>
          </cell>
          <cell r="E855" t="str">
            <v>PRINCIPAL</v>
          </cell>
          <cell r="F855" t="str">
            <v>TERRESTRE</v>
          </cell>
        </row>
        <row r="856">
          <cell r="A856">
            <v>54418</v>
          </cell>
          <cell r="B856" t="str">
            <v>LOURDES</v>
          </cell>
          <cell r="C856" t="str">
            <v>NORTE DE SANTANDER</v>
          </cell>
          <cell r="D856" t="str">
            <v>CUCUTA</v>
          </cell>
          <cell r="E856" t="str">
            <v>LEJANA</v>
          </cell>
          <cell r="F856" t="str">
            <v>TERRESTRE</v>
          </cell>
        </row>
        <row r="857">
          <cell r="A857">
            <v>54480</v>
          </cell>
          <cell r="B857" t="str">
            <v>MUTISCUA</v>
          </cell>
          <cell r="C857" t="str">
            <v>NORTE DE SANTANDER</v>
          </cell>
          <cell r="D857" t="str">
            <v>CUCUTA</v>
          </cell>
          <cell r="E857" t="str">
            <v>LEJANA</v>
          </cell>
          <cell r="F857" t="str">
            <v>TERRESTRE</v>
          </cell>
        </row>
        <row r="858">
          <cell r="A858">
            <v>54498</v>
          </cell>
          <cell r="B858" t="str">
            <v>OCAÑA</v>
          </cell>
          <cell r="C858" t="str">
            <v>NORTE DE SANTANDER</v>
          </cell>
          <cell r="D858" t="str">
            <v>CUCUTA</v>
          </cell>
          <cell r="E858" t="str">
            <v>LEJANA</v>
          </cell>
          <cell r="F858" t="str">
            <v>TERRESTRE</v>
          </cell>
        </row>
        <row r="859">
          <cell r="A859">
            <v>54518</v>
          </cell>
          <cell r="B859" t="str">
            <v>PAMPLONA</v>
          </cell>
          <cell r="C859" t="str">
            <v>NORTE DE SANTANDER</v>
          </cell>
          <cell r="D859" t="str">
            <v>CUCUTA</v>
          </cell>
          <cell r="E859" t="str">
            <v>LEJANA</v>
          </cell>
          <cell r="F859" t="str">
            <v>TERRESTRE</v>
          </cell>
        </row>
        <row r="860">
          <cell r="A860">
            <v>54520</v>
          </cell>
          <cell r="B860" t="str">
            <v>PAMPLONITA</v>
          </cell>
          <cell r="C860" t="str">
            <v>NORTE DE SANTANDER</v>
          </cell>
          <cell r="D860" t="str">
            <v>CUCUTA</v>
          </cell>
          <cell r="E860" t="str">
            <v>LEJANA</v>
          </cell>
          <cell r="F860" t="str">
            <v>TERRESTRE</v>
          </cell>
        </row>
        <row r="861">
          <cell r="A861">
            <v>54599</v>
          </cell>
          <cell r="B861" t="str">
            <v>RAGONVALIA</v>
          </cell>
          <cell r="C861" t="str">
            <v>NORTE DE SANTANDER</v>
          </cell>
          <cell r="D861" t="str">
            <v>CUCUTA</v>
          </cell>
          <cell r="E861" t="str">
            <v>LEJANA</v>
          </cell>
          <cell r="F861" t="str">
            <v>TERRESTRE</v>
          </cell>
        </row>
        <row r="862">
          <cell r="A862">
            <v>54660</v>
          </cell>
          <cell r="B862" t="str">
            <v>SALAZAR</v>
          </cell>
          <cell r="C862" t="str">
            <v>NORTE DE SANTANDER</v>
          </cell>
          <cell r="D862" t="str">
            <v>CUCUTA</v>
          </cell>
          <cell r="E862" t="str">
            <v>INTERMEDIA</v>
          </cell>
          <cell r="F862" t="str">
            <v>TERRESTRE</v>
          </cell>
        </row>
        <row r="863">
          <cell r="A863">
            <v>54670</v>
          </cell>
          <cell r="B863" t="str">
            <v>SAN CALIXTO</v>
          </cell>
          <cell r="C863" t="str">
            <v>NORTE DE SANTANDER</v>
          </cell>
          <cell r="D863" t="str">
            <v>CUCUTA</v>
          </cell>
          <cell r="E863" t="str">
            <v>LEJANA</v>
          </cell>
          <cell r="F863" t="str">
            <v>TERRESTRE</v>
          </cell>
        </row>
        <row r="864">
          <cell r="A864">
            <v>54720</v>
          </cell>
          <cell r="B864" t="str">
            <v>SARDINATA</v>
          </cell>
          <cell r="C864" t="str">
            <v>NORTE DE SANTANDER</v>
          </cell>
          <cell r="D864" t="str">
            <v>CUCUTA</v>
          </cell>
          <cell r="E864" t="str">
            <v>INTERMEDIA</v>
          </cell>
          <cell r="F864" t="str">
            <v>TERRESTRE</v>
          </cell>
        </row>
        <row r="865">
          <cell r="A865">
            <v>54743</v>
          </cell>
          <cell r="B865" t="str">
            <v>SILOS</v>
          </cell>
          <cell r="C865" t="str">
            <v>NORTE DE SANTANDER</v>
          </cell>
          <cell r="D865" t="str">
            <v>CUCUTA</v>
          </cell>
          <cell r="E865" t="str">
            <v>LEJANA</v>
          </cell>
          <cell r="F865" t="str">
            <v>TERRESTRE</v>
          </cell>
        </row>
        <row r="866">
          <cell r="A866">
            <v>54800</v>
          </cell>
          <cell r="B866" t="str">
            <v>TEORAMA</v>
          </cell>
          <cell r="C866" t="str">
            <v>NORTE DE SANTANDER</v>
          </cell>
          <cell r="D866" t="str">
            <v>CUCUTA</v>
          </cell>
          <cell r="E866" t="str">
            <v>LEJANA</v>
          </cell>
          <cell r="F866" t="str">
            <v>TERRESTRE</v>
          </cell>
        </row>
        <row r="867">
          <cell r="A867">
            <v>54810</v>
          </cell>
          <cell r="B867" t="str">
            <v>TIBU</v>
          </cell>
          <cell r="C867" t="str">
            <v>NORTE DE SANTANDER</v>
          </cell>
          <cell r="D867" t="str">
            <v>CUCUTA</v>
          </cell>
          <cell r="E867" t="str">
            <v>LEJANA</v>
          </cell>
          <cell r="F867" t="str">
            <v>TERRESTRE</v>
          </cell>
        </row>
        <row r="868">
          <cell r="A868">
            <v>54871</v>
          </cell>
          <cell r="B868" t="str">
            <v>VILLA CARO</v>
          </cell>
          <cell r="C868" t="str">
            <v>NORTE DE SANTANDER</v>
          </cell>
          <cell r="D868" t="str">
            <v>CUCUTA</v>
          </cell>
          <cell r="E868" t="str">
            <v>LEJANA</v>
          </cell>
          <cell r="F868" t="str">
            <v>TERRESTRE</v>
          </cell>
        </row>
        <row r="869">
          <cell r="A869">
            <v>54874</v>
          </cell>
          <cell r="B869" t="str">
            <v>VILLA DEL ROSARIO</v>
          </cell>
          <cell r="C869" t="str">
            <v>NORTE DE SANTANDER</v>
          </cell>
          <cell r="D869" t="str">
            <v>CUCUTA</v>
          </cell>
          <cell r="E869" t="str">
            <v>PRINCIPAL</v>
          </cell>
          <cell r="F869" t="str">
            <v>TERRESTRE</v>
          </cell>
        </row>
        <row r="870">
          <cell r="A870">
            <v>86219</v>
          </cell>
          <cell r="B870" t="str">
            <v>COLON</v>
          </cell>
          <cell r="C870" t="str">
            <v>PUTUMAYO</v>
          </cell>
          <cell r="D870" t="str">
            <v>PASTO</v>
          </cell>
          <cell r="E870" t="str">
            <v>INTERMEDIA</v>
          </cell>
          <cell r="F870" t="str">
            <v>TERRESTRE</v>
          </cell>
        </row>
        <row r="871">
          <cell r="A871">
            <v>86755</v>
          </cell>
          <cell r="B871" t="str">
            <v>SAN FRANCISCO</v>
          </cell>
          <cell r="C871" t="str">
            <v>PUTUMAYO</v>
          </cell>
          <cell r="D871" t="str">
            <v>PASTO</v>
          </cell>
          <cell r="E871" t="str">
            <v>LEJANA</v>
          </cell>
          <cell r="F871" t="str">
            <v>TERRESTRE</v>
          </cell>
        </row>
        <row r="872">
          <cell r="A872">
            <v>86757</v>
          </cell>
          <cell r="B872" t="str">
            <v>SAN MIGUEL</v>
          </cell>
          <cell r="C872" t="str">
            <v>PUTUMAYO</v>
          </cell>
          <cell r="D872" t="str">
            <v>PASTO</v>
          </cell>
          <cell r="E872" t="str">
            <v>LEJANA</v>
          </cell>
          <cell r="F872" t="str">
            <v>TERRESTRE</v>
          </cell>
        </row>
        <row r="873">
          <cell r="A873">
            <v>86760</v>
          </cell>
          <cell r="B873" t="str">
            <v>SANTIAGO</v>
          </cell>
          <cell r="C873" t="str">
            <v>PUTUMAYO</v>
          </cell>
          <cell r="D873" t="str">
            <v>PASTO</v>
          </cell>
          <cell r="E873" t="str">
            <v>INTERMEDIA</v>
          </cell>
          <cell r="F873" t="str">
            <v>TERRESTRE</v>
          </cell>
        </row>
        <row r="874">
          <cell r="A874">
            <v>86573</v>
          </cell>
          <cell r="B874" t="str">
            <v>LEGUIZAMO</v>
          </cell>
          <cell r="C874" t="str">
            <v>PUTUMAYO</v>
          </cell>
          <cell r="D874" t="str">
            <v>PASTO</v>
          </cell>
          <cell r="E874" t="str">
            <v>LEJANA</v>
          </cell>
          <cell r="F874" t="str">
            <v>AEREO</v>
          </cell>
        </row>
        <row r="875">
          <cell r="A875">
            <v>86001</v>
          </cell>
          <cell r="B875" t="str">
            <v>MOCOA</v>
          </cell>
          <cell r="C875" t="str">
            <v>PUTUMAYO</v>
          </cell>
          <cell r="D875" t="str">
            <v>PASTO</v>
          </cell>
          <cell r="E875" t="str">
            <v>LEJANA</v>
          </cell>
          <cell r="F875" t="str">
            <v>TERRESTRE</v>
          </cell>
        </row>
        <row r="876">
          <cell r="A876">
            <v>86320</v>
          </cell>
          <cell r="B876" t="str">
            <v>ORITO</v>
          </cell>
          <cell r="C876" t="str">
            <v>PUTUMAYO</v>
          </cell>
          <cell r="D876" t="str">
            <v>PASTO</v>
          </cell>
          <cell r="E876" t="str">
            <v>LEJANA</v>
          </cell>
          <cell r="F876" t="str">
            <v>TERRESTRE</v>
          </cell>
        </row>
        <row r="877">
          <cell r="A877">
            <v>86568</v>
          </cell>
          <cell r="B877" t="str">
            <v>PUERTO ASIS</v>
          </cell>
          <cell r="C877" t="str">
            <v>PUTUMAYO</v>
          </cell>
          <cell r="D877" t="str">
            <v>PASTO</v>
          </cell>
          <cell r="E877" t="str">
            <v>LEJANA</v>
          </cell>
          <cell r="F877" t="str">
            <v>TERRESTRE</v>
          </cell>
        </row>
        <row r="878">
          <cell r="A878">
            <v>86569</v>
          </cell>
          <cell r="B878" t="str">
            <v>PUERTO CAICEDO</v>
          </cell>
          <cell r="C878" t="str">
            <v>PUTUMAYO</v>
          </cell>
          <cell r="D878" t="str">
            <v>PASTO</v>
          </cell>
          <cell r="E878" t="str">
            <v>LEJANA</v>
          </cell>
          <cell r="F878" t="str">
            <v>TERRESTRE</v>
          </cell>
        </row>
        <row r="879">
          <cell r="A879">
            <v>86571</v>
          </cell>
          <cell r="B879" t="str">
            <v>PUERTO GUZMAN</v>
          </cell>
          <cell r="C879" t="str">
            <v>PUTUMAYO</v>
          </cell>
          <cell r="D879" t="str">
            <v>PASTO</v>
          </cell>
          <cell r="E879" t="str">
            <v>LEJANA</v>
          </cell>
          <cell r="F879" t="str">
            <v>TERRESTRE</v>
          </cell>
        </row>
        <row r="880">
          <cell r="A880">
            <v>86749</v>
          </cell>
          <cell r="B880" t="str">
            <v>SIBUNDOY</v>
          </cell>
          <cell r="C880" t="str">
            <v>PUTUMAYO</v>
          </cell>
          <cell r="D880" t="str">
            <v>PASTO</v>
          </cell>
          <cell r="E880" t="str">
            <v>LEJANA</v>
          </cell>
          <cell r="F880" t="str">
            <v>TERRESTRE</v>
          </cell>
        </row>
        <row r="881">
          <cell r="A881">
            <v>86865</v>
          </cell>
          <cell r="B881" t="str">
            <v>VALLE DEL GUAMUEZ</v>
          </cell>
          <cell r="C881" t="str">
            <v>PUTUMAYO</v>
          </cell>
          <cell r="D881" t="str">
            <v>PASTO</v>
          </cell>
          <cell r="E881" t="str">
            <v>LEJANA</v>
          </cell>
          <cell r="F881" t="str">
            <v>TERRESTRE</v>
          </cell>
        </row>
        <row r="882">
          <cell r="A882">
            <v>86885</v>
          </cell>
          <cell r="B882" t="str">
            <v>VILLAGARZON</v>
          </cell>
          <cell r="C882" t="str">
            <v>PUTUMAYO</v>
          </cell>
          <cell r="D882" t="str">
            <v>PASTO</v>
          </cell>
          <cell r="E882" t="str">
            <v>LEJANA</v>
          </cell>
          <cell r="F882" t="str">
            <v>TERRESTRE</v>
          </cell>
        </row>
        <row r="883">
          <cell r="A883">
            <v>63001</v>
          </cell>
          <cell r="B883" t="str">
            <v>ARMENIA</v>
          </cell>
          <cell r="C883" t="str">
            <v>QUINDIO</v>
          </cell>
          <cell r="D883" t="str">
            <v>PEREIRA</v>
          </cell>
          <cell r="E883" t="str">
            <v>INTERMEDIA</v>
          </cell>
          <cell r="F883" t="str">
            <v>TERRESTRE</v>
          </cell>
        </row>
        <row r="884">
          <cell r="A884">
            <v>63111</v>
          </cell>
          <cell r="B884" t="str">
            <v>BUENAVISTA</v>
          </cell>
          <cell r="C884" t="str">
            <v>QUINDIO</v>
          </cell>
          <cell r="D884" t="str">
            <v>PEREIRA</v>
          </cell>
          <cell r="E884" t="str">
            <v>INTERMEDIA</v>
          </cell>
          <cell r="F884" t="str">
            <v>TERRESTRE</v>
          </cell>
        </row>
        <row r="885">
          <cell r="A885">
            <v>63212</v>
          </cell>
          <cell r="B885" t="str">
            <v>CORDOBA</v>
          </cell>
          <cell r="C885" t="str">
            <v>QUINDIO</v>
          </cell>
          <cell r="D885" t="str">
            <v>PEREIRA</v>
          </cell>
          <cell r="E885" t="str">
            <v>INTERMEDIA</v>
          </cell>
          <cell r="F885" t="str">
            <v>TERRESTRE</v>
          </cell>
        </row>
        <row r="886">
          <cell r="A886">
            <v>63130</v>
          </cell>
          <cell r="B886" t="str">
            <v>CALARCA</v>
          </cell>
          <cell r="C886" t="str">
            <v>QUINDIO</v>
          </cell>
          <cell r="D886" t="str">
            <v>PEREIRA</v>
          </cell>
          <cell r="E886" t="str">
            <v>INTERMEDIA</v>
          </cell>
          <cell r="F886" t="str">
            <v>TERRESTRE</v>
          </cell>
        </row>
        <row r="887">
          <cell r="A887">
            <v>63190</v>
          </cell>
          <cell r="B887" t="str">
            <v>CIRCASIA</v>
          </cell>
          <cell r="C887" t="str">
            <v>QUINDIO</v>
          </cell>
          <cell r="D887" t="str">
            <v>PEREIRA</v>
          </cell>
          <cell r="E887" t="str">
            <v>INTERMEDIA</v>
          </cell>
          <cell r="F887" t="str">
            <v>TERRESTRE</v>
          </cell>
        </row>
        <row r="888">
          <cell r="A888">
            <v>63272</v>
          </cell>
          <cell r="B888" t="str">
            <v>FILANDIA</v>
          </cell>
          <cell r="C888" t="str">
            <v>QUINDIO</v>
          </cell>
          <cell r="D888" t="str">
            <v>PEREIRA</v>
          </cell>
          <cell r="E888" t="str">
            <v>INTERMEDIA</v>
          </cell>
          <cell r="F888" t="str">
            <v>TERRESTRE</v>
          </cell>
        </row>
        <row r="889">
          <cell r="A889">
            <v>63302</v>
          </cell>
          <cell r="B889" t="str">
            <v>GENOVA</v>
          </cell>
          <cell r="C889" t="str">
            <v>QUINDIO</v>
          </cell>
          <cell r="D889" t="str">
            <v>PEREIRA</v>
          </cell>
          <cell r="E889" t="str">
            <v>LEJANA</v>
          </cell>
          <cell r="F889" t="str">
            <v>TERRESTRE</v>
          </cell>
        </row>
        <row r="890">
          <cell r="A890">
            <v>63401</v>
          </cell>
          <cell r="B890" t="str">
            <v>LA TEBAIDA</v>
          </cell>
          <cell r="C890" t="str">
            <v>QUINDIO</v>
          </cell>
          <cell r="D890" t="str">
            <v>PEREIRA</v>
          </cell>
          <cell r="E890" t="str">
            <v>INTERMEDIA</v>
          </cell>
          <cell r="F890" t="str">
            <v>TERRESTRE</v>
          </cell>
        </row>
        <row r="891">
          <cell r="A891">
            <v>63470</v>
          </cell>
          <cell r="B891" t="str">
            <v>MONTENEGRO</v>
          </cell>
          <cell r="C891" t="str">
            <v>QUINDIO</v>
          </cell>
          <cell r="D891" t="str">
            <v>PEREIRA</v>
          </cell>
          <cell r="E891" t="str">
            <v>INTERMEDIA</v>
          </cell>
          <cell r="F891" t="str">
            <v>TERRESTRE</v>
          </cell>
        </row>
        <row r="892">
          <cell r="A892">
            <v>63548</v>
          </cell>
          <cell r="B892" t="str">
            <v>PIJAO</v>
          </cell>
          <cell r="C892" t="str">
            <v>QUINDIO</v>
          </cell>
          <cell r="D892" t="str">
            <v>PEREIRA</v>
          </cell>
          <cell r="E892" t="str">
            <v>LEJANA</v>
          </cell>
          <cell r="F892" t="str">
            <v>TERRESTRE</v>
          </cell>
        </row>
        <row r="893">
          <cell r="A893">
            <v>63594</v>
          </cell>
          <cell r="B893" t="str">
            <v>QUIMBAYA</v>
          </cell>
          <cell r="C893" t="str">
            <v>QUINDIO</v>
          </cell>
          <cell r="D893" t="str">
            <v>PEREIRA</v>
          </cell>
          <cell r="E893" t="str">
            <v>INTERMEDIA</v>
          </cell>
          <cell r="F893" t="str">
            <v>TERRESTRE</v>
          </cell>
        </row>
        <row r="894">
          <cell r="A894">
            <v>63690</v>
          </cell>
          <cell r="B894" t="str">
            <v>SALENTO</v>
          </cell>
          <cell r="C894" t="str">
            <v>QUINDIO</v>
          </cell>
          <cell r="D894" t="str">
            <v>PEREIRA</v>
          </cell>
          <cell r="E894" t="str">
            <v>INTERMEDIA</v>
          </cell>
          <cell r="F894" t="str">
            <v>TERRESTRE</v>
          </cell>
        </row>
        <row r="895">
          <cell r="A895">
            <v>66075</v>
          </cell>
          <cell r="B895" t="str">
            <v>BALBOA</v>
          </cell>
          <cell r="C895" t="str">
            <v>RISARALDA</v>
          </cell>
          <cell r="D895" t="str">
            <v>PEREIRA</v>
          </cell>
          <cell r="E895" t="str">
            <v>INTERMEDIA</v>
          </cell>
          <cell r="F895" t="str">
            <v>TERRESTRE</v>
          </cell>
        </row>
        <row r="896">
          <cell r="A896">
            <v>66045</v>
          </cell>
          <cell r="B896" t="str">
            <v>APIA</v>
          </cell>
          <cell r="C896" t="str">
            <v>RISARALDA</v>
          </cell>
          <cell r="D896" t="str">
            <v>PEREIRA</v>
          </cell>
          <cell r="E896" t="str">
            <v>INTERMEDIA</v>
          </cell>
          <cell r="F896" t="str">
            <v>TERRESTRE</v>
          </cell>
        </row>
        <row r="897">
          <cell r="A897">
            <v>66088</v>
          </cell>
          <cell r="B897" t="str">
            <v>BELEN DE UMBRIA</v>
          </cell>
          <cell r="C897" t="str">
            <v>RISARALDA</v>
          </cell>
          <cell r="D897" t="str">
            <v>PEREIRA</v>
          </cell>
          <cell r="E897" t="str">
            <v>INTERMEDIA</v>
          </cell>
          <cell r="F897" t="str">
            <v>TERRESTRE</v>
          </cell>
        </row>
        <row r="898">
          <cell r="A898">
            <v>66170</v>
          </cell>
          <cell r="B898" t="str">
            <v>DOSQUEBRADAS</v>
          </cell>
          <cell r="C898" t="str">
            <v>RISARALDA</v>
          </cell>
          <cell r="D898" t="str">
            <v>PEREIRA</v>
          </cell>
          <cell r="E898" t="str">
            <v>PRINCIPAL</v>
          </cell>
          <cell r="F898" t="str">
            <v>TERRESTRE</v>
          </cell>
        </row>
        <row r="899">
          <cell r="A899">
            <v>66318</v>
          </cell>
          <cell r="B899" t="str">
            <v>GUATICA</v>
          </cell>
          <cell r="C899" t="str">
            <v>RISARALDA</v>
          </cell>
          <cell r="D899" t="str">
            <v>PEREIRA</v>
          </cell>
          <cell r="E899" t="str">
            <v>INTERMEDIA</v>
          </cell>
          <cell r="F899" t="str">
            <v>TERRESTRE</v>
          </cell>
        </row>
        <row r="900">
          <cell r="A900">
            <v>66383</v>
          </cell>
          <cell r="B900" t="str">
            <v>LA CELIA</v>
          </cell>
          <cell r="C900" t="str">
            <v>RISARALDA</v>
          </cell>
          <cell r="D900" t="str">
            <v>PEREIRA</v>
          </cell>
          <cell r="E900" t="str">
            <v>INTERMEDIA</v>
          </cell>
          <cell r="F900" t="str">
            <v>TERRESTRE</v>
          </cell>
        </row>
        <row r="901">
          <cell r="A901">
            <v>66400</v>
          </cell>
          <cell r="B901" t="str">
            <v>LA VIRGINIA</v>
          </cell>
          <cell r="C901" t="str">
            <v>RISARALDA</v>
          </cell>
          <cell r="D901" t="str">
            <v>PEREIRA</v>
          </cell>
          <cell r="E901" t="str">
            <v>PRINCIPAL</v>
          </cell>
          <cell r="F901" t="str">
            <v>TERRESTRE</v>
          </cell>
        </row>
        <row r="902">
          <cell r="A902">
            <v>66440</v>
          </cell>
          <cell r="B902" t="str">
            <v>MARSELLA</v>
          </cell>
          <cell r="C902" t="str">
            <v>RISARALDA</v>
          </cell>
          <cell r="D902" t="str">
            <v>PEREIRA</v>
          </cell>
          <cell r="E902" t="str">
            <v>INTERMEDIA</v>
          </cell>
          <cell r="F902" t="str">
            <v>TERRESTRE</v>
          </cell>
        </row>
        <row r="903">
          <cell r="A903">
            <v>66456</v>
          </cell>
          <cell r="B903" t="str">
            <v>MISTRATO</v>
          </cell>
          <cell r="C903" t="str">
            <v>RISARALDA</v>
          </cell>
          <cell r="D903" t="str">
            <v>PEREIRA</v>
          </cell>
          <cell r="E903" t="str">
            <v>INTERMEDIA</v>
          </cell>
          <cell r="F903" t="str">
            <v>TERRESTRE</v>
          </cell>
        </row>
        <row r="904">
          <cell r="A904">
            <v>66001</v>
          </cell>
          <cell r="B904" t="str">
            <v>PEREIRA</v>
          </cell>
          <cell r="C904" t="str">
            <v>RISARALDA</v>
          </cell>
          <cell r="D904" t="str">
            <v>PEREIRA</v>
          </cell>
          <cell r="E904" t="str">
            <v>PRINCIPAL</v>
          </cell>
          <cell r="F904" t="str">
            <v>TERRESTRE</v>
          </cell>
        </row>
        <row r="905">
          <cell r="A905">
            <v>66572</v>
          </cell>
          <cell r="B905" t="str">
            <v>PUEBLO RICO</v>
          </cell>
          <cell r="C905" t="str">
            <v>RISARALDA</v>
          </cell>
          <cell r="D905" t="str">
            <v>PEREIRA</v>
          </cell>
          <cell r="E905" t="str">
            <v>INTERMEDIA</v>
          </cell>
          <cell r="F905" t="str">
            <v>TERRESTRE</v>
          </cell>
        </row>
        <row r="906">
          <cell r="A906">
            <v>66594</v>
          </cell>
          <cell r="B906" t="str">
            <v>QUINCHIA</v>
          </cell>
          <cell r="C906" t="str">
            <v>RISARALDA</v>
          </cell>
          <cell r="D906" t="str">
            <v>PEREIRA</v>
          </cell>
          <cell r="E906" t="str">
            <v>INTERMEDIA</v>
          </cell>
          <cell r="F906" t="str">
            <v>TERRESTRE</v>
          </cell>
        </row>
        <row r="907">
          <cell r="A907">
            <v>66682</v>
          </cell>
          <cell r="B907" t="str">
            <v>SANTA ROSA DE CABAL</v>
          </cell>
          <cell r="C907" t="str">
            <v>RISARALDA</v>
          </cell>
          <cell r="D907" t="str">
            <v>PEREIRA</v>
          </cell>
          <cell r="E907" t="str">
            <v>PRINCIPAL</v>
          </cell>
          <cell r="F907" t="str">
            <v>TERRESTRE</v>
          </cell>
        </row>
        <row r="908">
          <cell r="A908">
            <v>66687</v>
          </cell>
          <cell r="B908" t="str">
            <v>SANTUARIO</v>
          </cell>
          <cell r="C908" t="str">
            <v>RISARALDA</v>
          </cell>
          <cell r="D908" t="str">
            <v>PEREIRA</v>
          </cell>
          <cell r="E908" t="str">
            <v>INTERMEDIA</v>
          </cell>
          <cell r="F908" t="str">
            <v>TERRESTRE</v>
          </cell>
        </row>
        <row r="909">
          <cell r="A909">
            <v>88564</v>
          </cell>
          <cell r="B909" t="str">
            <v>PROVIDENCIA</v>
          </cell>
          <cell r="C909" t="str">
            <v>ARCHIPIELAGO DE SAN ANDRES Y PROVIDENCIA</v>
          </cell>
          <cell r="D909" t="str">
            <v>BARRANQUILLA</v>
          </cell>
          <cell r="E909" t="str">
            <v>LEJANA</v>
          </cell>
          <cell r="F909" t="str">
            <v>AEREO</v>
          </cell>
        </row>
        <row r="910">
          <cell r="A910">
            <v>88001</v>
          </cell>
          <cell r="B910" t="str">
            <v>SAN ANDRES</v>
          </cell>
          <cell r="C910" t="str">
            <v>ARCHIPIELAGO DE SAN ANDRES Y PROVIDENCIA</v>
          </cell>
          <cell r="D910" t="str">
            <v>BARRANQUILLA</v>
          </cell>
          <cell r="E910" t="str">
            <v>LEJANA</v>
          </cell>
          <cell r="F910" t="str">
            <v>AEREO</v>
          </cell>
        </row>
        <row r="911">
          <cell r="A911">
            <v>68020</v>
          </cell>
          <cell r="B911" t="str">
            <v>ALBANIA</v>
          </cell>
          <cell r="C911" t="str">
            <v>SANTANDER</v>
          </cell>
          <cell r="D911" t="str">
            <v>TUNJA</v>
          </cell>
          <cell r="E911" t="str">
            <v>LEJANA</v>
          </cell>
          <cell r="F911" t="str">
            <v>TERRESTRE</v>
          </cell>
        </row>
        <row r="912">
          <cell r="A912">
            <v>68077</v>
          </cell>
          <cell r="B912" t="str">
            <v>BARBOSA</v>
          </cell>
          <cell r="C912" t="str">
            <v>SANTANDER</v>
          </cell>
          <cell r="D912" t="str">
            <v>TUNJA</v>
          </cell>
          <cell r="E912" t="str">
            <v>INTERMEDIA</v>
          </cell>
          <cell r="F912" t="str">
            <v>TERRESTRE</v>
          </cell>
        </row>
        <row r="913">
          <cell r="A913">
            <v>68092</v>
          </cell>
          <cell r="B913" t="str">
            <v>BETULIA</v>
          </cell>
          <cell r="C913" t="str">
            <v>SANTANDER</v>
          </cell>
          <cell r="D913" t="str">
            <v>BUCARAMANGA</v>
          </cell>
          <cell r="E913" t="str">
            <v>LEJANA</v>
          </cell>
          <cell r="F913" t="str">
            <v>TERRESTRE</v>
          </cell>
        </row>
        <row r="914">
          <cell r="A914">
            <v>68101</v>
          </cell>
          <cell r="B914" t="str">
            <v>BOLIVAR</v>
          </cell>
          <cell r="C914" t="str">
            <v>SANTANDER</v>
          </cell>
          <cell r="D914" t="str">
            <v>TUNJA</v>
          </cell>
          <cell r="E914" t="str">
            <v>LEJANA</v>
          </cell>
          <cell r="F914" t="str">
            <v>TERRESTRE</v>
          </cell>
        </row>
        <row r="915">
          <cell r="A915">
            <v>68121</v>
          </cell>
          <cell r="B915" t="str">
            <v>CABRERA</v>
          </cell>
          <cell r="C915" t="str">
            <v>SANTANDER</v>
          </cell>
          <cell r="D915" t="str">
            <v>BUCARAMANGA</v>
          </cell>
          <cell r="E915" t="str">
            <v>LEJANA</v>
          </cell>
          <cell r="F915" t="str">
            <v>TERRESTRE</v>
          </cell>
        </row>
        <row r="916">
          <cell r="A916">
            <v>68176</v>
          </cell>
          <cell r="B916" t="str">
            <v>CHIMA</v>
          </cell>
          <cell r="C916" t="str">
            <v>SANTANDER</v>
          </cell>
          <cell r="D916" t="str">
            <v>BUCARAMANGA</v>
          </cell>
          <cell r="E916" t="str">
            <v>LEJANA</v>
          </cell>
          <cell r="F916" t="str">
            <v>TERRESTRE</v>
          </cell>
        </row>
        <row r="917">
          <cell r="A917">
            <v>68207</v>
          </cell>
          <cell r="B917" t="str">
            <v>CONCEPCION</v>
          </cell>
          <cell r="C917" t="str">
            <v>SANTANDER</v>
          </cell>
          <cell r="D917" t="str">
            <v>BUCARAMANGA</v>
          </cell>
          <cell r="E917" t="str">
            <v>LEJANA</v>
          </cell>
          <cell r="F917" t="str">
            <v>TERRESTRE</v>
          </cell>
        </row>
        <row r="918">
          <cell r="A918">
            <v>68250</v>
          </cell>
          <cell r="B918" t="str">
            <v>EL PEÑON</v>
          </cell>
          <cell r="C918" t="str">
            <v>SANTANDER</v>
          </cell>
          <cell r="D918" t="str">
            <v>BUCARAMANGA</v>
          </cell>
          <cell r="E918" t="str">
            <v>LEJANA</v>
          </cell>
          <cell r="F918" t="str">
            <v>TERRESTRE</v>
          </cell>
        </row>
        <row r="919">
          <cell r="A919">
            <v>68320</v>
          </cell>
          <cell r="B919" t="str">
            <v>GUADALUPE</v>
          </cell>
          <cell r="C919" t="str">
            <v>SANTANDER</v>
          </cell>
          <cell r="D919" t="str">
            <v>BUCARAMANGA</v>
          </cell>
          <cell r="E919" t="str">
            <v>LEJANA</v>
          </cell>
          <cell r="F919" t="str">
            <v>TERRESTRE</v>
          </cell>
        </row>
        <row r="920">
          <cell r="A920">
            <v>68397</v>
          </cell>
          <cell r="B920" t="str">
            <v>LA PAZ</v>
          </cell>
          <cell r="C920" t="str">
            <v>SANTANDER</v>
          </cell>
          <cell r="D920" t="str">
            <v>BUCARAMANGA</v>
          </cell>
          <cell r="E920" t="str">
            <v>LEJANA</v>
          </cell>
          <cell r="F920" t="str">
            <v>TERRESTRE</v>
          </cell>
        </row>
        <row r="921">
          <cell r="A921">
            <v>68615</v>
          </cell>
          <cell r="B921" t="str">
            <v>RIONEGRO</v>
          </cell>
          <cell r="C921" t="str">
            <v>SANTANDER</v>
          </cell>
          <cell r="D921" t="str">
            <v>BUCARAMANGA</v>
          </cell>
          <cell r="E921" t="str">
            <v>INTERMEDIA</v>
          </cell>
          <cell r="F921" t="str">
            <v>TERRESTRE</v>
          </cell>
        </row>
        <row r="922">
          <cell r="A922">
            <v>68669</v>
          </cell>
          <cell r="B922" t="str">
            <v>SAN ANDRES</v>
          </cell>
          <cell r="C922" t="str">
            <v>SANTANDER</v>
          </cell>
          <cell r="D922" t="str">
            <v>BUCARAMANGA</v>
          </cell>
          <cell r="E922" t="str">
            <v>LEJANA</v>
          </cell>
          <cell r="F922" t="str">
            <v>TERRESTRE</v>
          </cell>
        </row>
        <row r="923">
          <cell r="A923">
            <v>68686</v>
          </cell>
          <cell r="B923" t="str">
            <v>SAN MIGUEL</v>
          </cell>
          <cell r="C923" t="str">
            <v>SANTANDER</v>
          </cell>
          <cell r="D923" t="str">
            <v>TUNJA</v>
          </cell>
          <cell r="E923" t="str">
            <v>LEJANA</v>
          </cell>
          <cell r="F923" t="str">
            <v>TERRESTRE</v>
          </cell>
        </row>
        <row r="924">
          <cell r="A924">
            <v>68705</v>
          </cell>
          <cell r="B924" t="str">
            <v>SANTA BARBARA</v>
          </cell>
          <cell r="C924" t="str">
            <v>SANTANDER</v>
          </cell>
          <cell r="D924" t="str">
            <v>BUCARAMANGA</v>
          </cell>
          <cell r="E924" t="str">
            <v>INTERMEDIA</v>
          </cell>
          <cell r="F924" t="str">
            <v>TERRESTRE</v>
          </cell>
        </row>
        <row r="925">
          <cell r="A925">
            <v>68773</v>
          </cell>
          <cell r="B925" t="str">
            <v>SUCRE</v>
          </cell>
          <cell r="C925" t="str">
            <v>SANTANDER</v>
          </cell>
          <cell r="D925" t="str">
            <v>TUNJA</v>
          </cell>
          <cell r="E925" t="str">
            <v>LEJANA</v>
          </cell>
          <cell r="F925" t="str">
            <v>TERRESTRE</v>
          </cell>
        </row>
        <row r="926">
          <cell r="A926">
            <v>68872</v>
          </cell>
          <cell r="B926" t="str">
            <v>VILLANUEVA</v>
          </cell>
          <cell r="C926" t="str">
            <v>SANTANDER</v>
          </cell>
          <cell r="D926" t="str">
            <v>BUCARAMANGA</v>
          </cell>
          <cell r="E926" t="str">
            <v>LEJANA</v>
          </cell>
          <cell r="F926" t="str">
            <v>TERRESTRE</v>
          </cell>
        </row>
        <row r="927">
          <cell r="A927">
            <v>68013</v>
          </cell>
          <cell r="B927" t="str">
            <v>AGUADA</v>
          </cell>
          <cell r="C927" t="str">
            <v>SANTANDER</v>
          </cell>
          <cell r="D927" t="str">
            <v>BUCARAMANGA</v>
          </cell>
          <cell r="E927" t="str">
            <v>LEJANA</v>
          </cell>
          <cell r="F927" t="str">
            <v>TERRESTRE</v>
          </cell>
        </row>
        <row r="928">
          <cell r="A928">
            <v>68051</v>
          </cell>
          <cell r="B928" t="str">
            <v>ARATOCA</v>
          </cell>
          <cell r="C928" t="str">
            <v>SANTANDER</v>
          </cell>
          <cell r="D928" t="str">
            <v>BUCARAMANGA</v>
          </cell>
          <cell r="E928" t="str">
            <v>INTERMEDIA</v>
          </cell>
          <cell r="F928" t="str">
            <v>TERRESTRE</v>
          </cell>
        </row>
        <row r="929">
          <cell r="A929">
            <v>68079</v>
          </cell>
          <cell r="B929" t="str">
            <v>BARICHARA</v>
          </cell>
          <cell r="C929" t="str">
            <v>SANTANDER</v>
          </cell>
          <cell r="D929" t="str">
            <v>BUCARAMANGA</v>
          </cell>
          <cell r="E929" t="str">
            <v>LEJANA</v>
          </cell>
          <cell r="F929" t="str">
            <v>TERRESTRE</v>
          </cell>
        </row>
        <row r="930">
          <cell r="A930">
            <v>68081</v>
          </cell>
          <cell r="B930" t="str">
            <v>BARRANCABERMEJA</v>
          </cell>
          <cell r="C930" t="str">
            <v>SANTANDER</v>
          </cell>
          <cell r="D930" t="str">
            <v>BUCARAMANGA</v>
          </cell>
          <cell r="E930" t="str">
            <v>LEJANA</v>
          </cell>
          <cell r="F930" t="str">
            <v>TERRESTRE</v>
          </cell>
        </row>
        <row r="931">
          <cell r="A931">
            <v>68001</v>
          </cell>
          <cell r="B931" t="str">
            <v>BUCARAMANGA</v>
          </cell>
          <cell r="C931" t="str">
            <v>SANTANDER</v>
          </cell>
          <cell r="D931" t="str">
            <v>BUCARAMANGA</v>
          </cell>
          <cell r="E931" t="str">
            <v>PRINCIPAL</v>
          </cell>
          <cell r="F931" t="str">
            <v>TERRESTRE</v>
          </cell>
        </row>
        <row r="932">
          <cell r="A932">
            <v>68132</v>
          </cell>
          <cell r="B932" t="str">
            <v>CALIFORNIA</v>
          </cell>
          <cell r="C932" t="str">
            <v>SANTANDER</v>
          </cell>
          <cell r="D932" t="str">
            <v>BUCARAMANGA</v>
          </cell>
          <cell r="E932" t="str">
            <v>LEJANA</v>
          </cell>
          <cell r="F932" t="str">
            <v>TERRESTRE</v>
          </cell>
        </row>
        <row r="933">
          <cell r="A933">
            <v>68147</v>
          </cell>
          <cell r="B933" t="str">
            <v>CAPITANEJO</v>
          </cell>
          <cell r="C933" t="str">
            <v>SANTANDER</v>
          </cell>
          <cell r="D933" t="str">
            <v>BUCARAMANGA</v>
          </cell>
          <cell r="E933" t="str">
            <v>LEJANA</v>
          </cell>
          <cell r="F933" t="str">
            <v>TERRESTRE</v>
          </cell>
        </row>
        <row r="934">
          <cell r="A934">
            <v>68152</v>
          </cell>
          <cell r="B934" t="str">
            <v>CARCASI</v>
          </cell>
          <cell r="C934" t="str">
            <v>SANTANDER</v>
          </cell>
          <cell r="D934" t="str">
            <v>BUCARAMANGA</v>
          </cell>
          <cell r="E934" t="str">
            <v>LEJANA</v>
          </cell>
          <cell r="F934" t="str">
            <v>TERRESTRE</v>
          </cell>
        </row>
        <row r="935">
          <cell r="A935">
            <v>68160</v>
          </cell>
          <cell r="B935" t="str">
            <v>CEPITA</v>
          </cell>
          <cell r="C935" t="str">
            <v>SANTANDER</v>
          </cell>
          <cell r="D935" t="str">
            <v>BUCARAMANGA</v>
          </cell>
          <cell r="E935" t="str">
            <v>LEJANA</v>
          </cell>
          <cell r="F935" t="str">
            <v>TERRESTRE</v>
          </cell>
        </row>
        <row r="936">
          <cell r="A936">
            <v>68162</v>
          </cell>
          <cell r="B936" t="str">
            <v>CERRITO</v>
          </cell>
          <cell r="C936" t="str">
            <v>SANTANDER</v>
          </cell>
          <cell r="D936" t="str">
            <v>BUCARAMANGA</v>
          </cell>
          <cell r="E936" t="str">
            <v>LEJANA</v>
          </cell>
          <cell r="F936" t="str">
            <v>TERRESTRE</v>
          </cell>
        </row>
        <row r="937">
          <cell r="A937">
            <v>68167</v>
          </cell>
          <cell r="B937" t="str">
            <v>CHARALA</v>
          </cell>
          <cell r="C937" t="str">
            <v>SANTANDER</v>
          </cell>
          <cell r="D937" t="str">
            <v>BUCARAMANGA</v>
          </cell>
          <cell r="E937" t="str">
            <v>LEJANA</v>
          </cell>
          <cell r="F937" t="str">
            <v>TERRESTRE</v>
          </cell>
        </row>
        <row r="938">
          <cell r="A938">
            <v>68169</v>
          </cell>
          <cell r="B938" t="str">
            <v>CHARTA</v>
          </cell>
          <cell r="C938" t="str">
            <v>SANTANDER</v>
          </cell>
          <cell r="D938" t="str">
            <v>BUCARAMANGA</v>
          </cell>
          <cell r="E938" t="str">
            <v>INTERMEDIA</v>
          </cell>
          <cell r="F938" t="str">
            <v>TERRESTRE</v>
          </cell>
        </row>
        <row r="939">
          <cell r="A939">
            <v>68179</v>
          </cell>
          <cell r="B939" t="str">
            <v>CHIPATA</v>
          </cell>
          <cell r="C939" t="str">
            <v>SANTANDER</v>
          </cell>
          <cell r="D939" t="str">
            <v>TUNJA</v>
          </cell>
          <cell r="E939" t="str">
            <v>LEJANA</v>
          </cell>
          <cell r="F939" t="str">
            <v>TERRESTRE</v>
          </cell>
        </row>
        <row r="940">
          <cell r="A940">
            <v>68190</v>
          </cell>
          <cell r="B940" t="str">
            <v>CIMITARRA</v>
          </cell>
          <cell r="C940" t="str">
            <v>SANTANDER</v>
          </cell>
          <cell r="D940" t="str">
            <v>BUCARAMANGA</v>
          </cell>
          <cell r="E940" t="str">
            <v>LEJANA</v>
          </cell>
          <cell r="F940" t="str">
            <v>TERRESTRE</v>
          </cell>
        </row>
        <row r="941">
          <cell r="A941">
            <v>68209</v>
          </cell>
          <cell r="B941" t="str">
            <v>CONFINES</v>
          </cell>
          <cell r="C941" t="str">
            <v>SANTANDER</v>
          </cell>
          <cell r="D941" t="str">
            <v>BUCARAMANGA</v>
          </cell>
          <cell r="E941" t="str">
            <v>LEJANA</v>
          </cell>
          <cell r="F941" t="str">
            <v>TERRESTRE</v>
          </cell>
        </row>
        <row r="942">
          <cell r="A942">
            <v>68211</v>
          </cell>
          <cell r="B942" t="str">
            <v>CONTRATACION</v>
          </cell>
          <cell r="C942" t="str">
            <v>SANTANDER</v>
          </cell>
          <cell r="D942" t="str">
            <v>BUCARAMANGA</v>
          </cell>
          <cell r="E942" t="str">
            <v>LEJANA</v>
          </cell>
          <cell r="F942" t="str">
            <v>TERRESTRE</v>
          </cell>
        </row>
        <row r="943">
          <cell r="A943">
            <v>68217</v>
          </cell>
          <cell r="B943" t="str">
            <v>COROMORO</v>
          </cell>
          <cell r="C943" t="str">
            <v>SANTANDER</v>
          </cell>
          <cell r="D943" t="str">
            <v>BUCARAMANGA</v>
          </cell>
          <cell r="E943" t="str">
            <v>LEJANA</v>
          </cell>
          <cell r="F943" t="str">
            <v>TERRESTRE</v>
          </cell>
        </row>
        <row r="944">
          <cell r="A944">
            <v>68229</v>
          </cell>
          <cell r="B944" t="str">
            <v>CURITI</v>
          </cell>
          <cell r="C944" t="str">
            <v>SANTANDER</v>
          </cell>
          <cell r="D944" t="str">
            <v>BUCARAMANGA</v>
          </cell>
          <cell r="E944" t="str">
            <v>INTERMEDIA</v>
          </cell>
          <cell r="F944" t="str">
            <v>TERRESTRE</v>
          </cell>
        </row>
        <row r="945">
          <cell r="A945">
            <v>68235</v>
          </cell>
          <cell r="B945" t="str">
            <v>EL CARMEN DE CHUCURI</v>
          </cell>
          <cell r="C945" t="str">
            <v>SANTANDER</v>
          </cell>
          <cell r="D945" t="str">
            <v>BUCARAMANGA</v>
          </cell>
          <cell r="E945" t="str">
            <v>LEJANA</v>
          </cell>
          <cell r="F945" t="str">
            <v>TERRESTRE</v>
          </cell>
        </row>
        <row r="946">
          <cell r="A946">
            <v>68245</v>
          </cell>
          <cell r="B946" t="str">
            <v>EL GUACAMAYO</v>
          </cell>
          <cell r="C946" t="str">
            <v>SANTANDER</v>
          </cell>
          <cell r="D946" t="str">
            <v>BUCARAMANGA</v>
          </cell>
          <cell r="E946" t="str">
            <v>LEJANA</v>
          </cell>
          <cell r="F946" t="str">
            <v>TERRESTRE</v>
          </cell>
        </row>
        <row r="947">
          <cell r="A947">
            <v>68255</v>
          </cell>
          <cell r="B947" t="str">
            <v>EL PLAYON</v>
          </cell>
          <cell r="C947" t="str">
            <v>SANTANDER</v>
          </cell>
          <cell r="D947" t="str">
            <v>BUCARAMANGA</v>
          </cell>
          <cell r="E947" t="str">
            <v>INTERMEDIA</v>
          </cell>
          <cell r="F947" t="str">
            <v>TERRESTRE</v>
          </cell>
        </row>
        <row r="948">
          <cell r="A948">
            <v>68264</v>
          </cell>
          <cell r="B948" t="str">
            <v>ENCINO</v>
          </cell>
          <cell r="C948" t="str">
            <v>SANTANDER</v>
          </cell>
          <cell r="D948" t="str">
            <v>BUCARAMANGA</v>
          </cell>
          <cell r="E948" t="str">
            <v>LEJANA</v>
          </cell>
          <cell r="F948" t="str">
            <v>TERRESTRE</v>
          </cell>
        </row>
        <row r="949">
          <cell r="A949">
            <v>68266</v>
          </cell>
          <cell r="B949" t="str">
            <v>ENCISO</v>
          </cell>
          <cell r="C949" t="str">
            <v>SANTANDER</v>
          </cell>
          <cell r="D949" t="str">
            <v>BUCARAMANGA</v>
          </cell>
          <cell r="E949" t="str">
            <v>LEJANA</v>
          </cell>
          <cell r="F949" t="str">
            <v>TERRESTRE</v>
          </cell>
        </row>
        <row r="950">
          <cell r="A950">
            <v>68271</v>
          </cell>
          <cell r="B950" t="str">
            <v>FLORIAN</v>
          </cell>
          <cell r="C950" t="str">
            <v>SANTANDER</v>
          </cell>
          <cell r="D950" t="str">
            <v>TUNJA</v>
          </cell>
          <cell r="E950" t="str">
            <v>LEJANA</v>
          </cell>
          <cell r="F950" t="str">
            <v>TERRESTRE</v>
          </cell>
        </row>
        <row r="951">
          <cell r="A951">
            <v>68276</v>
          </cell>
          <cell r="B951" t="str">
            <v>FLORIDABLANCA</v>
          </cell>
          <cell r="C951" t="str">
            <v>SANTANDER</v>
          </cell>
          <cell r="D951" t="str">
            <v>BUCARAMANGA</v>
          </cell>
          <cell r="E951" t="str">
            <v>PRINCIPAL</v>
          </cell>
          <cell r="F951" t="str">
            <v>TERRESTRE</v>
          </cell>
        </row>
        <row r="952">
          <cell r="A952">
            <v>68296</v>
          </cell>
          <cell r="B952" t="str">
            <v>GALAN</v>
          </cell>
          <cell r="C952" t="str">
            <v>SANTANDER</v>
          </cell>
          <cell r="D952" t="str">
            <v>BUCARAMANGA</v>
          </cell>
          <cell r="E952" t="str">
            <v>LEJANA</v>
          </cell>
          <cell r="F952" t="str">
            <v>TERRESTRE</v>
          </cell>
        </row>
        <row r="953">
          <cell r="A953">
            <v>68298</v>
          </cell>
          <cell r="B953" t="str">
            <v>GAMBITA</v>
          </cell>
          <cell r="C953" t="str">
            <v>SANTANDER</v>
          </cell>
          <cell r="D953" t="str">
            <v>BUCARAMANGA</v>
          </cell>
          <cell r="E953" t="str">
            <v>LEJANA</v>
          </cell>
          <cell r="F953" t="str">
            <v>TERRESTRE</v>
          </cell>
        </row>
        <row r="954">
          <cell r="A954">
            <v>68307</v>
          </cell>
          <cell r="B954" t="str">
            <v>GIRON</v>
          </cell>
          <cell r="C954" t="str">
            <v>SANTANDER</v>
          </cell>
          <cell r="D954" t="str">
            <v>BUCARAMANGA</v>
          </cell>
          <cell r="E954" t="str">
            <v>PRINCIPAL</v>
          </cell>
          <cell r="F954" t="str">
            <v>TERRESTRE</v>
          </cell>
        </row>
        <row r="955">
          <cell r="A955">
            <v>68318</v>
          </cell>
          <cell r="B955" t="str">
            <v>GUACA</v>
          </cell>
          <cell r="C955" t="str">
            <v>SANTANDER</v>
          </cell>
          <cell r="D955" t="str">
            <v>BUCARAMANGA</v>
          </cell>
          <cell r="E955" t="str">
            <v>LEJANA</v>
          </cell>
          <cell r="F955" t="str">
            <v>TERRESTRE</v>
          </cell>
        </row>
        <row r="956">
          <cell r="A956">
            <v>68322</v>
          </cell>
          <cell r="B956" t="str">
            <v>GUAPOTA</v>
          </cell>
          <cell r="C956" t="str">
            <v>SANTANDER</v>
          </cell>
          <cell r="D956" t="str">
            <v>BUCARAMANGA</v>
          </cell>
          <cell r="E956" t="str">
            <v>LEJANA</v>
          </cell>
          <cell r="F956" t="str">
            <v>TERRESTRE</v>
          </cell>
        </row>
        <row r="957">
          <cell r="A957">
            <v>68324</v>
          </cell>
          <cell r="B957" t="str">
            <v>GUAVATA</v>
          </cell>
          <cell r="C957" t="str">
            <v>SANTANDER</v>
          </cell>
          <cell r="D957" t="str">
            <v>BUCARAMANGA</v>
          </cell>
          <cell r="E957" t="str">
            <v>LEJANA</v>
          </cell>
          <cell r="F957" t="str">
            <v>TERRESTRE</v>
          </cell>
        </row>
        <row r="958">
          <cell r="A958">
            <v>68327</v>
          </cell>
          <cell r="B958" t="str">
            <v>GUEPSA</v>
          </cell>
          <cell r="C958" t="str">
            <v>SANTANDER</v>
          </cell>
          <cell r="D958" t="str">
            <v>BUCARAMANGA</v>
          </cell>
          <cell r="E958" t="str">
            <v>LEJANA</v>
          </cell>
          <cell r="F958" t="str">
            <v>TERRESTRE</v>
          </cell>
        </row>
        <row r="959">
          <cell r="A959">
            <v>68344</v>
          </cell>
          <cell r="B959" t="str">
            <v>HATO</v>
          </cell>
          <cell r="C959" t="str">
            <v>SANTANDER</v>
          </cell>
          <cell r="D959" t="str">
            <v>BUCARAMANGA</v>
          </cell>
          <cell r="E959" t="str">
            <v>LEJANA</v>
          </cell>
          <cell r="F959" t="str">
            <v>TERRESTRE</v>
          </cell>
        </row>
        <row r="960">
          <cell r="A960">
            <v>68368</v>
          </cell>
          <cell r="B960" t="str">
            <v>JESUS MARIA</v>
          </cell>
          <cell r="C960" t="str">
            <v>SANTANDER</v>
          </cell>
          <cell r="D960" t="str">
            <v>TUNJA</v>
          </cell>
          <cell r="E960" t="str">
            <v>LEJANA</v>
          </cell>
          <cell r="F960" t="str">
            <v>TERRESTRE</v>
          </cell>
        </row>
        <row r="961">
          <cell r="A961">
            <v>68370</v>
          </cell>
          <cell r="B961" t="str">
            <v>JORDAN</v>
          </cell>
          <cell r="C961" t="str">
            <v>SANTANDER</v>
          </cell>
          <cell r="D961" t="str">
            <v>BUCARAMANGA</v>
          </cell>
          <cell r="E961" t="str">
            <v>LEJANA</v>
          </cell>
          <cell r="F961" t="str">
            <v>TERRESTRE</v>
          </cell>
        </row>
        <row r="962">
          <cell r="A962">
            <v>68377</v>
          </cell>
          <cell r="B962" t="str">
            <v>LA BELLEZA</v>
          </cell>
          <cell r="C962" t="str">
            <v>SANTANDER</v>
          </cell>
          <cell r="D962" t="str">
            <v>TUNJA</v>
          </cell>
          <cell r="E962" t="str">
            <v>LEJANA</v>
          </cell>
          <cell r="F962" t="str">
            <v>TERRESTRE</v>
          </cell>
        </row>
        <row r="963">
          <cell r="A963">
            <v>68385</v>
          </cell>
          <cell r="B963" t="str">
            <v>LANDAZURI</v>
          </cell>
          <cell r="C963" t="str">
            <v>SANTANDER</v>
          </cell>
          <cell r="D963" t="str">
            <v>TUNJA</v>
          </cell>
          <cell r="E963" t="str">
            <v>LEJANA</v>
          </cell>
          <cell r="F963" t="str">
            <v>TERRESTRE</v>
          </cell>
        </row>
        <row r="964">
          <cell r="A964">
            <v>68406</v>
          </cell>
          <cell r="B964" t="str">
            <v>LEBRIJA</v>
          </cell>
          <cell r="C964" t="str">
            <v>SANTANDER</v>
          </cell>
          <cell r="D964" t="str">
            <v>BUCARAMANGA</v>
          </cell>
          <cell r="E964" t="str">
            <v>INTERMEDIA</v>
          </cell>
          <cell r="F964" t="str">
            <v>TERRESTRE</v>
          </cell>
        </row>
        <row r="965">
          <cell r="A965">
            <v>68418</v>
          </cell>
          <cell r="B965" t="str">
            <v>LOS SANTOS</v>
          </cell>
          <cell r="C965" t="str">
            <v>SANTANDER</v>
          </cell>
          <cell r="D965" t="str">
            <v>BUCARAMANGA</v>
          </cell>
          <cell r="E965" t="str">
            <v>INTERMEDIA</v>
          </cell>
          <cell r="F965" t="str">
            <v>TERRESTRE</v>
          </cell>
        </row>
        <row r="966">
          <cell r="A966">
            <v>68425</v>
          </cell>
          <cell r="B966" t="str">
            <v>MACARAVITA</v>
          </cell>
          <cell r="C966" t="str">
            <v>SANTANDER</v>
          </cell>
          <cell r="D966" t="str">
            <v>BUCARAMANGA</v>
          </cell>
          <cell r="E966" t="str">
            <v>LEJANA</v>
          </cell>
          <cell r="F966" t="str">
            <v>TERRESTRE</v>
          </cell>
        </row>
        <row r="967">
          <cell r="A967">
            <v>68432</v>
          </cell>
          <cell r="B967" t="str">
            <v>MALAGA</v>
          </cell>
          <cell r="C967" t="str">
            <v>SANTANDER</v>
          </cell>
          <cell r="D967" t="str">
            <v>BUCARAMANGA</v>
          </cell>
          <cell r="E967" t="str">
            <v>LEJANA</v>
          </cell>
          <cell r="F967" t="str">
            <v>TERRESTRE</v>
          </cell>
        </row>
        <row r="968">
          <cell r="A968">
            <v>68444</v>
          </cell>
          <cell r="B968" t="str">
            <v>MATANZA</v>
          </cell>
          <cell r="C968" t="str">
            <v>SANTANDER</v>
          </cell>
          <cell r="D968" t="str">
            <v>BUCARAMANGA</v>
          </cell>
          <cell r="E968" t="str">
            <v>LEJANA</v>
          </cell>
          <cell r="F968" t="str">
            <v>TERRESTRE</v>
          </cell>
        </row>
        <row r="969">
          <cell r="A969">
            <v>68464</v>
          </cell>
          <cell r="B969" t="str">
            <v>MOGOTES</v>
          </cell>
          <cell r="C969" t="str">
            <v>SANTANDER</v>
          </cell>
          <cell r="D969" t="str">
            <v>BUCARAMANGA</v>
          </cell>
          <cell r="E969" t="str">
            <v>LEJANA</v>
          </cell>
          <cell r="F969" t="str">
            <v>TERRESTRE</v>
          </cell>
        </row>
        <row r="970">
          <cell r="A970">
            <v>68468</v>
          </cell>
          <cell r="B970" t="str">
            <v>MOLAGAVITA</v>
          </cell>
          <cell r="C970" t="str">
            <v>SANTANDER</v>
          </cell>
          <cell r="D970" t="str">
            <v>BUCARAMANGA</v>
          </cell>
          <cell r="E970" t="str">
            <v>LEJANA</v>
          </cell>
          <cell r="F970" t="str">
            <v>TERRESTRE</v>
          </cell>
        </row>
        <row r="971">
          <cell r="A971">
            <v>68498</v>
          </cell>
          <cell r="B971" t="str">
            <v>OCAMONTE</v>
          </cell>
          <cell r="C971" t="str">
            <v>SANTANDER</v>
          </cell>
          <cell r="D971" t="str">
            <v>BUCARAMANGA</v>
          </cell>
          <cell r="E971" t="str">
            <v>LEJANA</v>
          </cell>
          <cell r="F971" t="str">
            <v>TERRESTRE</v>
          </cell>
        </row>
        <row r="972">
          <cell r="A972">
            <v>68500</v>
          </cell>
          <cell r="B972" t="str">
            <v>OIBA</v>
          </cell>
          <cell r="C972" t="str">
            <v>SANTANDER</v>
          </cell>
          <cell r="D972" t="str">
            <v>BUCARAMANGA</v>
          </cell>
          <cell r="E972" t="str">
            <v>LEJANA</v>
          </cell>
          <cell r="F972" t="str">
            <v>TERRESTRE</v>
          </cell>
        </row>
        <row r="973">
          <cell r="A973">
            <v>68502</v>
          </cell>
          <cell r="B973" t="str">
            <v>ONZAGA</v>
          </cell>
          <cell r="C973" t="str">
            <v>SANTANDER</v>
          </cell>
          <cell r="D973" t="str">
            <v>BUCARAMANGA</v>
          </cell>
          <cell r="E973" t="str">
            <v>LEJANA</v>
          </cell>
          <cell r="F973" t="str">
            <v>TERRESTRE</v>
          </cell>
        </row>
        <row r="974">
          <cell r="A974">
            <v>68522</v>
          </cell>
          <cell r="B974" t="str">
            <v>PALMAR</v>
          </cell>
          <cell r="C974" t="str">
            <v>SANTANDER</v>
          </cell>
          <cell r="D974" t="str">
            <v>BUCARAMANGA</v>
          </cell>
          <cell r="E974" t="str">
            <v>LEJANA</v>
          </cell>
          <cell r="F974" t="str">
            <v>TERRESTRE</v>
          </cell>
        </row>
        <row r="975">
          <cell r="A975">
            <v>68524</v>
          </cell>
          <cell r="B975" t="str">
            <v>PALMAS DEL SOCORRO</v>
          </cell>
          <cell r="C975" t="str">
            <v>SANTANDER</v>
          </cell>
          <cell r="D975" t="str">
            <v>BUCARAMANGA</v>
          </cell>
          <cell r="E975" t="str">
            <v>LEJANA</v>
          </cell>
          <cell r="F975" t="str">
            <v>TERRESTRE</v>
          </cell>
        </row>
        <row r="976">
          <cell r="A976">
            <v>68533</v>
          </cell>
          <cell r="B976" t="str">
            <v>PARAMO</v>
          </cell>
          <cell r="C976" t="str">
            <v>SANTANDER</v>
          </cell>
          <cell r="D976" t="str">
            <v>BUCARAMANGA</v>
          </cell>
          <cell r="E976" t="str">
            <v>LEJANA</v>
          </cell>
          <cell r="F976" t="str">
            <v>TERRESTRE</v>
          </cell>
        </row>
        <row r="977">
          <cell r="A977">
            <v>68547</v>
          </cell>
          <cell r="B977" t="str">
            <v>PIEDECUESTA</v>
          </cell>
          <cell r="C977" t="str">
            <v>SANTANDER</v>
          </cell>
          <cell r="D977" t="str">
            <v>BUCARAMANGA</v>
          </cell>
          <cell r="E977" t="str">
            <v>INTERMEDIA</v>
          </cell>
          <cell r="F977" t="str">
            <v>TERRESTRE</v>
          </cell>
        </row>
        <row r="978">
          <cell r="A978">
            <v>68549</v>
          </cell>
          <cell r="B978" t="str">
            <v>PINCHOTE</v>
          </cell>
          <cell r="C978" t="str">
            <v>SANTANDER</v>
          </cell>
          <cell r="D978" t="str">
            <v>BUCARAMANGA</v>
          </cell>
          <cell r="E978" t="str">
            <v>LEJANA</v>
          </cell>
          <cell r="F978" t="str">
            <v>TERRESTRE</v>
          </cell>
        </row>
        <row r="979">
          <cell r="A979">
            <v>68572</v>
          </cell>
          <cell r="B979" t="str">
            <v>PUENTE NACIONAL</v>
          </cell>
          <cell r="C979" t="str">
            <v>SANTANDER</v>
          </cell>
          <cell r="D979" t="str">
            <v>TUNJA</v>
          </cell>
          <cell r="E979" t="str">
            <v>INTERMEDIA</v>
          </cell>
          <cell r="F979" t="str">
            <v>TERRESTRE</v>
          </cell>
        </row>
        <row r="980">
          <cell r="A980">
            <v>68573</v>
          </cell>
          <cell r="B980" t="str">
            <v>PUERTO PARRA</v>
          </cell>
          <cell r="C980" t="str">
            <v>SANTANDER</v>
          </cell>
          <cell r="D980" t="str">
            <v>BUCARAMANGA</v>
          </cell>
          <cell r="E980" t="str">
            <v>LEJANA</v>
          </cell>
          <cell r="F980" t="str">
            <v>TERRESTRE</v>
          </cell>
        </row>
        <row r="981">
          <cell r="A981">
            <v>68575</v>
          </cell>
          <cell r="B981" t="str">
            <v>PUERTO WILCHES</v>
          </cell>
          <cell r="C981" t="str">
            <v>SANTANDER</v>
          </cell>
          <cell r="D981" t="str">
            <v>BUCARAMANGA</v>
          </cell>
          <cell r="E981" t="str">
            <v>LEJANA</v>
          </cell>
          <cell r="F981" t="str">
            <v>TERRESTRE</v>
          </cell>
        </row>
        <row r="982">
          <cell r="A982">
            <v>68655</v>
          </cell>
          <cell r="B982" t="str">
            <v>SABANA DE TORRES</v>
          </cell>
          <cell r="C982" t="str">
            <v>SANTANDER</v>
          </cell>
          <cell r="D982" t="str">
            <v>BUCARAMANGA</v>
          </cell>
          <cell r="E982" t="str">
            <v>LEJANA</v>
          </cell>
          <cell r="F982" t="str">
            <v>TERRESTRE</v>
          </cell>
        </row>
        <row r="983">
          <cell r="A983">
            <v>68673</v>
          </cell>
          <cell r="B983" t="str">
            <v>SAN BENITO</v>
          </cell>
          <cell r="C983" t="str">
            <v>SANTANDER</v>
          </cell>
          <cell r="D983" t="str">
            <v>BUCARAMANGA</v>
          </cell>
          <cell r="E983" t="str">
            <v>LEJANA</v>
          </cell>
          <cell r="F983" t="str">
            <v>TERRESTRE</v>
          </cell>
        </row>
        <row r="984">
          <cell r="A984">
            <v>68679</v>
          </cell>
          <cell r="B984" t="str">
            <v>SAN GIL</v>
          </cell>
          <cell r="C984" t="str">
            <v>SANTANDER</v>
          </cell>
          <cell r="D984" t="str">
            <v>BUCARAMANGA</v>
          </cell>
          <cell r="E984" t="str">
            <v>INTERMEDIA</v>
          </cell>
          <cell r="F984" t="str">
            <v>TERRESTRE</v>
          </cell>
        </row>
        <row r="985">
          <cell r="A985">
            <v>68682</v>
          </cell>
          <cell r="B985" t="str">
            <v>SAN JOAQUIN</v>
          </cell>
          <cell r="C985" t="str">
            <v>SANTANDER</v>
          </cell>
          <cell r="D985" t="str">
            <v>BUCARAMANGA</v>
          </cell>
          <cell r="E985" t="str">
            <v>LEJANA</v>
          </cell>
          <cell r="F985" t="str">
            <v>TERRESTRE</v>
          </cell>
        </row>
        <row r="986">
          <cell r="A986">
            <v>68684</v>
          </cell>
          <cell r="B986" t="str">
            <v>SAN JOSE DE MIRANDA</v>
          </cell>
          <cell r="C986" t="str">
            <v>SANTANDER</v>
          </cell>
          <cell r="D986" t="str">
            <v>BUCARAMANGA</v>
          </cell>
          <cell r="E986" t="str">
            <v>LEJANA</v>
          </cell>
          <cell r="F986" t="str">
            <v>TERRESTRE</v>
          </cell>
        </row>
        <row r="987">
          <cell r="A987">
            <v>68689</v>
          </cell>
          <cell r="B987" t="str">
            <v>SAN VICENTE DE CHUCURI</v>
          </cell>
          <cell r="C987" t="str">
            <v>SANTANDER</v>
          </cell>
          <cell r="D987" t="str">
            <v>BUCARAMANGA</v>
          </cell>
          <cell r="E987" t="str">
            <v>LEJANA</v>
          </cell>
          <cell r="F987" t="str">
            <v>TERRESTRE</v>
          </cell>
        </row>
        <row r="988">
          <cell r="A988">
            <v>68720</v>
          </cell>
          <cell r="B988" t="str">
            <v>SANTA HELENA DEL OPON</v>
          </cell>
          <cell r="C988" t="str">
            <v>SANTANDER</v>
          </cell>
          <cell r="D988" t="str">
            <v>BUCARAMANGA</v>
          </cell>
          <cell r="E988" t="str">
            <v>LEJANA</v>
          </cell>
          <cell r="F988" t="str">
            <v>TERRESTRE</v>
          </cell>
        </row>
        <row r="989">
          <cell r="A989">
            <v>68745</v>
          </cell>
          <cell r="B989" t="str">
            <v>SIMACOTA</v>
          </cell>
          <cell r="C989" t="str">
            <v>SANTANDER</v>
          </cell>
          <cell r="D989" t="str">
            <v>BUCARAMANGA</v>
          </cell>
          <cell r="E989" t="str">
            <v>LEJANA</v>
          </cell>
          <cell r="F989" t="str">
            <v>TERRESTRE</v>
          </cell>
        </row>
        <row r="990">
          <cell r="A990">
            <v>68755</v>
          </cell>
          <cell r="B990" t="str">
            <v>SOCORRO</v>
          </cell>
          <cell r="C990" t="str">
            <v>SANTANDER</v>
          </cell>
          <cell r="D990" t="str">
            <v>BUCARAMANGA</v>
          </cell>
          <cell r="E990" t="str">
            <v>LEJANA</v>
          </cell>
          <cell r="F990" t="str">
            <v>TERRESTRE</v>
          </cell>
        </row>
        <row r="991">
          <cell r="A991">
            <v>68770</v>
          </cell>
          <cell r="B991" t="str">
            <v>SUAITA</v>
          </cell>
          <cell r="C991" t="str">
            <v>SANTANDER</v>
          </cell>
          <cell r="D991" t="str">
            <v>BUCARAMANGA</v>
          </cell>
          <cell r="E991" t="str">
            <v>LEJANA</v>
          </cell>
          <cell r="F991" t="str">
            <v>TERRESTRE</v>
          </cell>
        </row>
        <row r="992">
          <cell r="A992">
            <v>68780</v>
          </cell>
          <cell r="B992" t="str">
            <v>SURATA</v>
          </cell>
          <cell r="C992" t="str">
            <v>SANTANDER</v>
          </cell>
          <cell r="D992" t="str">
            <v>BUCARAMANGA</v>
          </cell>
          <cell r="E992" t="str">
            <v>LEJANA</v>
          </cell>
          <cell r="F992" t="str">
            <v>TERRESTRE</v>
          </cell>
        </row>
        <row r="993">
          <cell r="A993">
            <v>68820</v>
          </cell>
          <cell r="B993" t="str">
            <v>TONA</v>
          </cell>
          <cell r="C993" t="str">
            <v>SANTANDER</v>
          </cell>
          <cell r="D993" t="str">
            <v>BUCARAMANGA</v>
          </cell>
          <cell r="E993" t="str">
            <v>INTERMEDIA</v>
          </cell>
          <cell r="F993" t="str">
            <v>TERRESTRE</v>
          </cell>
        </row>
        <row r="994">
          <cell r="A994">
            <v>68855</v>
          </cell>
          <cell r="B994" t="str">
            <v>VALLE DE SAN JOSE</v>
          </cell>
          <cell r="C994" t="str">
            <v>SANTANDER</v>
          </cell>
          <cell r="D994" t="str">
            <v>BUCARAMANGA</v>
          </cell>
          <cell r="E994" t="str">
            <v>LEJANA</v>
          </cell>
          <cell r="F994" t="str">
            <v>TERRESTRE</v>
          </cell>
        </row>
        <row r="995">
          <cell r="A995">
            <v>68861</v>
          </cell>
          <cell r="B995" t="str">
            <v>VELEZ</v>
          </cell>
          <cell r="C995" t="str">
            <v>SANTANDER</v>
          </cell>
          <cell r="D995" t="str">
            <v>TUNJA</v>
          </cell>
          <cell r="E995" t="str">
            <v>INTERMEDIA</v>
          </cell>
          <cell r="F995" t="str">
            <v>TERRESTRE</v>
          </cell>
        </row>
        <row r="996">
          <cell r="A996">
            <v>68867</v>
          </cell>
          <cell r="B996" t="str">
            <v>VETAS</v>
          </cell>
          <cell r="C996" t="str">
            <v>SANTANDER</v>
          </cell>
          <cell r="D996" t="str">
            <v>CUCUTA</v>
          </cell>
          <cell r="E996" t="str">
            <v>LEJANA</v>
          </cell>
          <cell r="F996" t="str">
            <v>TERRESTRE</v>
          </cell>
        </row>
        <row r="997">
          <cell r="A997">
            <v>68895</v>
          </cell>
          <cell r="B997" t="str">
            <v>ZAPATOCA</v>
          </cell>
          <cell r="C997" t="str">
            <v>SANTANDER</v>
          </cell>
          <cell r="D997" t="str">
            <v>BUCARAMANGA</v>
          </cell>
          <cell r="E997" t="str">
            <v>LEJANA</v>
          </cell>
          <cell r="F997" t="str">
            <v>TERRESTRE</v>
          </cell>
        </row>
        <row r="998">
          <cell r="A998">
            <v>70110</v>
          </cell>
          <cell r="B998" t="str">
            <v>BUENAVISTA</v>
          </cell>
          <cell r="C998" t="str">
            <v>SUCRE</v>
          </cell>
          <cell r="D998" t="str">
            <v>SINCELEJO</v>
          </cell>
          <cell r="E998" t="str">
            <v>INTERMEDIA</v>
          </cell>
          <cell r="F998" t="str">
            <v>TERRESTRE</v>
          </cell>
        </row>
        <row r="999">
          <cell r="A999">
            <v>70400</v>
          </cell>
          <cell r="B999" t="str">
            <v>LA UNION</v>
          </cell>
          <cell r="C999" t="str">
            <v>SUCRE</v>
          </cell>
          <cell r="D999" t="str">
            <v>SINCELEJO</v>
          </cell>
          <cell r="E999" t="str">
            <v>INTERMEDIA</v>
          </cell>
          <cell r="F999" t="str">
            <v>TERRESTRE</v>
          </cell>
        </row>
        <row r="1000">
          <cell r="A1000">
            <v>70717</v>
          </cell>
          <cell r="B1000" t="str">
            <v>SAN PEDRO</v>
          </cell>
          <cell r="C1000" t="str">
            <v>SUCRE</v>
          </cell>
          <cell r="D1000" t="str">
            <v>SINCELEJO</v>
          </cell>
          <cell r="E1000" t="str">
            <v>INTERMEDIA</v>
          </cell>
          <cell r="F1000" t="str">
            <v>TERRESTRE</v>
          </cell>
        </row>
        <row r="1001">
          <cell r="A1001">
            <v>70771</v>
          </cell>
          <cell r="B1001" t="str">
            <v>SUCRE</v>
          </cell>
          <cell r="C1001" t="str">
            <v>SUCRE</v>
          </cell>
          <cell r="D1001" t="str">
            <v>SINCELEJO</v>
          </cell>
          <cell r="E1001" t="str">
            <v>LEJANA</v>
          </cell>
          <cell r="F1001" t="str">
            <v>TERRESTRE</v>
          </cell>
        </row>
        <row r="1002">
          <cell r="A1002">
            <v>70124</v>
          </cell>
          <cell r="B1002" t="str">
            <v>CAIMITO</v>
          </cell>
          <cell r="C1002" t="str">
            <v>SUCRE</v>
          </cell>
          <cell r="D1002" t="str">
            <v>SINCELEJO</v>
          </cell>
          <cell r="E1002" t="str">
            <v>LEJANA</v>
          </cell>
          <cell r="F1002" t="str">
            <v>TERRESTRE</v>
          </cell>
        </row>
        <row r="1003">
          <cell r="A1003">
            <v>70230</v>
          </cell>
          <cell r="B1003" t="str">
            <v>CHALAN</v>
          </cell>
          <cell r="C1003" t="str">
            <v>SUCRE</v>
          </cell>
          <cell r="D1003" t="str">
            <v>SINCELEJO</v>
          </cell>
          <cell r="E1003" t="str">
            <v>LEJANA</v>
          </cell>
          <cell r="F1003" t="str">
            <v>TERRESTRE</v>
          </cell>
        </row>
        <row r="1004">
          <cell r="A1004">
            <v>70204</v>
          </cell>
          <cell r="B1004" t="str">
            <v>COLOSO</v>
          </cell>
          <cell r="C1004" t="str">
            <v>SUCRE</v>
          </cell>
          <cell r="D1004" t="str">
            <v>SINCELEJO</v>
          </cell>
          <cell r="E1004" t="str">
            <v>LEJANA</v>
          </cell>
          <cell r="F1004" t="str">
            <v>TERRESTRE</v>
          </cell>
        </row>
        <row r="1005">
          <cell r="A1005">
            <v>70215</v>
          </cell>
          <cell r="B1005" t="str">
            <v>COROZAL</v>
          </cell>
          <cell r="C1005" t="str">
            <v>SUCRE</v>
          </cell>
          <cell r="D1005" t="str">
            <v>SINCELEJO</v>
          </cell>
          <cell r="E1005" t="str">
            <v>INTERMEDIA</v>
          </cell>
          <cell r="F1005" t="str">
            <v>TERRESTRE</v>
          </cell>
        </row>
        <row r="1006">
          <cell r="A1006">
            <v>70221</v>
          </cell>
          <cell r="B1006" t="str">
            <v>COVEÑAS</v>
          </cell>
          <cell r="C1006" t="str">
            <v>SUCRE</v>
          </cell>
          <cell r="D1006" t="str">
            <v>SINCELEJO</v>
          </cell>
          <cell r="E1006" t="str">
            <v>INTERMEDIA</v>
          </cell>
          <cell r="F1006" t="str">
            <v>TERRESTRE</v>
          </cell>
        </row>
        <row r="1007">
          <cell r="A1007">
            <v>70233</v>
          </cell>
          <cell r="B1007" t="str">
            <v>EL ROBLE</v>
          </cell>
          <cell r="C1007" t="str">
            <v>SUCRE</v>
          </cell>
          <cell r="D1007" t="str">
            <v>SINCELEJO</v>
          </cell>
          <cell r="E1007" t="str">
            <v>INTERMEDIA</v>
          </cell>
          <cell r="F1007" t="str">
            <v>TERRESTRE</v>
          </cell>
        </row>
        <row r="1008">
          <cell r="A1008">
            <v>70235</v>
          </cell>
          <cell r="B1008" t="str">
            <v>GALERAS</v>
          </cell>
          <cell r="C1008" t="str">
            <v>SUCRE</v>
          </cell>
          <cell r="D1008" t="str">
            <v>SINCELEJO</v>
          </cell>
          <cell r="E1008" t="str">
            <v>INTERMEDIA</v>
          </cell>
          <cell r="F1008" t="str">
            <v>TERRESTRE</v>
          </cell>
        </row>
        <row r="1009">
          <cell r="A1009">
            <v>70265</v>
          </cell>
          <cell r="B1009" t="str">
            <v>GUARANDA</v>
          </cell>
          <cell r="C1009" t="str">
            <v>SUCRE</v>
          </cell>
          <cell r="D1009" t="str">
            <v>SINCELEJO</v>
          </cell>
          <cell r="E1009" t="str">
            <v>LEJANA</v>
          </cell>
          <cell r="F1009" t="str">
            <v>TERRESTRE</v>
          </cell>
        </row>
        <row r="1010">
          <cell r="A1010">
            <v>70418</v>
          </cell>
          <cell r="B1010" t="str">
            <v>LOS PALMITOS</v>
          </cell>
          <cell r="C1010" t="str">
            <v>SUCRE</v>
          </cell>
          <cell r="D1010" t="str">
            <v>SINCELEJO</v>
          </cell>
          <cell r="E1010" t="str">
            <v>INTERMEDIA</v>
          </cell>
          <cell r="F1010" t="str">
            <v>TERRESTRE</v>
          </cell>
        </row>
        <row r="1011">
          <cell r="A1011">
            <v>70429</v>
          </cell>
          <cell r="B1011" t="str">
            <v>MAJAGUAL</v>
          </cell>
          <cell r="C1011" t="str">
            <v>SUCRE</v>
          </cell>
          <cell r="D1011" t="str">
            <v>SINCELEJO</v>
          </cell>
          <cell r="E1011" t="str">
            <v>LEJANA</v>
          </cell>
          <cell r="F1011" t="str">
            <v>FLUVIAL</v>
          </cell>
        </row>
        <row r="1012">
          <cell r="A1012">
            <v>70473</v>
          </cell>
          <cell r="B1012" t="str">
            <v>MORROA</v>
          </cell>
          <cell r="C1012" t="str">
            <v>SUCRE</v>
          </cell>
          <cell r="D1012" t="str">
            <v>SINCELEJO</v>
          </cell>
          <cell r="E1012" t="str">
            <v>INTERMEDIA</v>
          </cell>
          <cell r="F1012" t="str">
            <v>TERRESTRE</v>
          </cell>
        </row>
        <row r="1013">
          <cell r="A1013">
            <v>70508</v>
          </cell>
          <cell r="B1013" t="str">
            <v>OVEJAS</v>
          </cell>
          <cell r="C1013" t="str">
            <v>SUCRE</v>
          </cell>
          <cell r="D1013" t="str">
            <v>SINCELEJO</v>
          </cell>
          <cell r="E1013" t="str">
            <v>INTERMEDIA</v>
          </cell>
          <cell r="F1013" t="str">
            <v>TERRESTRE</v>
          </cell>
        </row>
        <row r="1014">
          <cell r="A1014">
            <v>70523</v>
          </cell>
          <cell r="B1014" t="str">
            <v>PALMITO</v>
          </cell>
          <cell r="C1014" t="str">
            <v>SUCRE</v>
          </cell>
          <cell r="D1014" t="str">
            <v>SINCELEJO</v>
          </cell>
          <cell r="E1014" t="str">
            <v>INTERMEDIA</v>
          </cell>
          <cell r="F1014" t="str">
            <v>TERRESTRE</v>
          </cell>
        </row>
        <row r="1015">
          <cell r="A1015">
            <v>70670</v>
          </cell>
          <cell r="B1015" t="str">
            <v>SAMPUES</v>
          </cell>
          <cell r="C1015" t="str">
            <v>SUCRE</v>
          </cell>
          <cell r="D1015" t="str">
            <v>SINCELEJO</v>
          </cell>
          <cell r="E1015" t="str">
            <v>INTERMEDIA</v>
          </cell>
          <cell r="F1015" t="str">
            <v>TERRESTRE</v>
          </cell>
        </row>
        <row r="1016">
          <cell r="A1016">
            <v>70678</v>
          </cell>
          <cell r="B1016" t="str">
            <v>SAN BENITO ABAD</v>
          </cell>
          <cell r="C1016" t="str">
            <v>SUCRE</v>
          </cell>
          <cell r="D1016" t="str">
            <v>SINCELEJO</v>
          </cell>
          <cell r="E1016" t="str">
            <v>INTERMEDIA</v>
          </cell>
          <cell r="F1016" t="str">
            <v>TERRESTRE</v>
          </cell>
        </row>
        <row r="1017">
          <cell r="A1017">
            <v>70702</v>
          </cell>
          <cell r="B1017" t="str">
            <v>SAN JUAN DE BETULIA</v>
          </cell>
          <cell r="C1017" t="str">
            <v>SUCRE</v>
          </cell>
          <cell r="D1017" t="str">
            <v>SINCELEJO</v>
          </cell>
          <cell r="E1017" t="str">
            <v>INTERMEDIA</v>
          </cell>
          <cell r="F1017" t="str">
            <v>TERRESTRE</v>
          </cell>
        </row>
        <row r="1018">
          <cell r="A1018">
            <v>70742</v>
          </cell>
          <cell r="B1018" t="str">
            <v>SAN LUIS DE SINCE</v>
          </cell>
          <cell r="C1018" t="str">
            <v>SUCRE</v>
          </cell>
          <cell r="D1018" t="str">
            <v>SINCELEJO</v>
          </cell>
          <cell r="E1018" t="str">
            <v>INTERMEDIA</v>
          </cell>
          <cell r="F1018" t="str">
            <v>TERRESTRE</v>
          </cell>
        </row>
        <row r="1019">
          <cell r="A1019">
            <v>70708</v>
          </cell>
          <cell r="B1019" t="str">
            <v>SAN MARCOS</v>
          </cell>
          <cell r="C1019" t="str">
            <v>SUCRE</v>
          </cell>
          <cell r="D1019" t="str">
            <v>SINCELEJO</v>
          </cell>
          <cell r="E1019" t="str">
            <v>LEJANA</v>
          </cell>
          <cell r="F1019" t="str">
            <v>TERRESTRE</v>
          </cell>
        </row>
        <row r="1020">
          <cell r="A1020">
            <v>70713</v>
          </cell>
          <cell r="B1020" t="str">
            <v>SAN ONOFRE</v>
          </cell>
          <cell r="C1020" t="str">
            <v>SUCRE</v>
          </cell>
          <cell r="D1020" t="str">
            <v>SINCELEJO</v>
          </cell>
          <cell r="E1020" t="str">
            <v>INTERMEDIA</v>
          </cell>
          <cell r="F1020" t="str">
            <v>TERRESTRE</v>
          </cell>
        </row>
        <row r="1021">
          <cell r="A1021">
            <v>70820</v>
          </cell>
          <cell r="B1021" t="str">
            <v>SANTIAGO DE TOLU</v>
          </cell>
          <cell r="C1021" t="str">
            <v>SUCRE</v>
          </cell>
          <cell r="D1021" t="str">
            <v>SINCELEJO</v>
          </cell>
          <cell r="E1021" t="str">
            <v>INTERMEDIA</v>
          </cell>
          <cell r="F1021" t="str">
            <v>TERRESTRE</v>
          </cell>
        </row>
        <row r="1022">
          <cell r="A1022">
            <v>70001</v>
          </cell>
          <cell r="B1022" t="str">
            <v>SINCELEJO</v>
          </cell>
          <cell r="C1022" t="str">
            <v>SUCRE</v>
          </cell>
          <cell r="D1022" t="str">
            <v>SINCELEJO</v>
          </cell>
          <cell r="E1022" t="str">
            <v>PRINCIPAL</v>
          </cell>
          <cell r="F1022" t="str">
            <v>TERRESTRE</v>
          </cell>
        </row>
        <row r="1023">
          <cell r="A1023">
            <v>70823</v>
          </cell>
          <cell r="B1023" t="str">
            <v>TOLU VIEJO</v>
          </cell>
          <cell r="C1023" t="str">
            <v>SUCRE</v>
          </cell>
          <cell r="D1023" t="str">
            <v>SINCELEJO</v>
          </cell>
          <cell r="E1023" t="str">
            <v>INTERMEDIA</v>
          </cell>
          <cell r="F1023" t="str">
            <v>TERRESTRE</v>
          </cell>
        </row>
        <row r="1024">
          <cell r="A1024">
            <v>73678</v>
          </cell>
          <cell r="B1024" t="str">
            <v>SAN LUIS</v>
          </cell>
          <cell r="C1024" t="str">
            <v>TOLIMA</v>
          </cell>
          <cell r="D1024" t="str">
            <v>IBAGUE</v>
          </cell>
          <cell r="E1024" t="str">
            <v>INTERMEDIA</v>
          </cell>
          <cell r="F1024" t="str">
            <v>TERRESTRE</v>
          </cell>
        </row>
        <row r="1025">
          <cell r="A1025">
            <v>73770</v>
          </cell>
          <cell r="B1025" t="str">
            <v>SUAREZ</v>
          </cell>
          <cell r="C1025" t="str">
            <v>TOLIMA</v>
          </cell>
          <cell r="D1025" t="str">
            <v>IBAGUE</v>
          </cell>
          <cell r="E1025" t="str">
            <v>INTERMEDIA</v>
          </cell>
          <cell r="F1025" t="str">
            <v>TERRESTRE</v>
          </cell>
        </row>
        <row r="1026">
          <cell r="A1026">
            <v>73024</v>
          </cell>
          <cell r="B1026" t="str">
            <v>ALPUJARRA</v>
          </cell>
          <cell r="C1026" t="str">
            <v>TOLIMA</v>
          </cell>
          <cell r="D1026" t="str">
            <v>IBAGUE</v>
          </cell>
          <cell r="E1026" t="str">
            <v>LEJANA</v>
          </cell>
          <cell r="F1026" t="str">
            <v>TERRESTRE</v>
          </cell>
        </row>
        <row r="1027">
          <cell r="A1027">
            <v>73026</v>
          </cell>
          <cell r="B1027" t="str">
            <v>ALVARADO</v>
          </cell>
          <cell r="C1027" t="str">
            <v>TOLIMA</v>
          </cell>
          <cell r="D1027" t="str">
            <v>IBAGUE</v>
          </cell>
          <cell r="E1027" t="str">
            <v>INTERMEDIA</v>
          </cell>
          <cell r="F1027" t="str">
            <v>TERRESTRE</v>
          </cell>
        </row>
        <row r="1028">
          <cell r="A1028">
            <v>73030</v>
          </cell>
          <cell r="B1028" t="str">
            <v>AMBALEMA</v>
          </cell>
          <cell r="C1028" t="str">
            <v>TOLIMA</v>
          </cell>
          <cell r="D1028" t="str">
            <v>IBAGUE</v>
          </cell>
          <cell r="E1028" t="str">
            <v>INTERMEDIA</v>
          </cell>
          <cell r="F1028" t="str">
            <v>TERRESTRE</v>
          </cell>
        </row>
        <row r="1029">
          <cell r="A1029">
            <v>73043</v>
          </cell>
          <cell r="B1029" t="str">
            <v>ANZOATEGUI</v>
          </cell>
          <cell r="C1029" t="str">
            <v>TOLIMA</v>
          </cell>
          <cell r="D1029" t="str">
            <v>IBAGUE</v>
          </cell>
          <cell r="E1029" t="str">
            <v>INTERMEDIA</v>
          </cell>
          <cell r="F1029" t="str">
            <v>TERRESTRE</v>
          </cell>
        </row>
        <row r="1030">
          <cell r="A1030">
            <v>73055</v>
          </cell>
          <cell r="B1030" t="str">
            <v>ARMERO</v>
          </cell>
          <cell r="C1030" t="str">
            <v>TOLIMA</v>
          </cell>
          <cell r="D1030" t="str">
            <v>IBAGUE</v>
          </cell>
          <cell r="E1030" t="str">
            <v>INTERMEDIA</v>
          </cell>
          <cell r="F1030" t="str">
            <v>TERRESTRE</v>
          </cell>
        </row>
        <row r="1031">
          <cell r="A1031">
            <v>73067</v>
          </cell>
          <cell r="B1031" t="str">
            <v>ATACO</v>
          </cell>
          <cell r="C1031" t="str">
            <v>TOLIMA</v>
          </cell>
          <cell r="D1031" t="str">
            <v>IBAGUE</v>
          </cell>
          <cell r="E1031" t="str">
            <v>LEJANA</v>
          </cell>
          <cell r="F1031" t="str">
            <v>TERRESTRE</v>
          </cell>
        </row>
        <row r="1032">
          <cell r="A1032">
            <v>73124</v>
          </cell>
          <cell r="B1032" t="str">
            <v>CAJAMARCA</v>
          </cell>
          <cell r="C1032" t="str">
            <v>TOLIMA</v>
          </cell>
          <cell r="D1032" t="str">
            <v>IBAGUE</v>
          </cell>
          <cell r="E1032" t="str">
            <v>INTERMEDIA</v>
          </cell>
          <cell r="F1032" t="str">
            <v>TERRESTRE</v>
          </cell>
        </row>
        <row r="1033">
          <cell r="A1033">
            <v>73148</v>
          </cell>
          <cell r="B1033" t="str">
            <v>CARMEN DE APICALA</v>
          </cell>
          <cell r="C1033" t="str">
            <v>TOLIMA</v>
          </cell>
          <cell r="D1033" t="str">
            <v>BOGOTA</v>
          </cell>
          <cell r="E1033" t="str">
            <v>INTERMEDIA</v>
          </cell>
          <cell r="F1033" t="str">
            <v>TERRESTRE</v>
          </cell>
        </row>
        <row r="1034">
          <cell r="A1034">
            <v>73152</v>
          </cell>
          <cell r="B1034" t="str">
            <v>CASABIANCA</v>
          </cell>
          <cell r="C1034" t="str">
            <v>TOLIMA</v>
          </cell>
          <cell r="D1034" t="str">
            <v>IBAGUE</v>
          </cell>
          <cell r="E1034" t="str">
            <v>LEJANA</v>
          </cell>
          <cell r="F1034" t="str">
            <v>TERRESTRE</v>
          </cell>
        </row>
        <row r="1035">
          <cell r="A1035">
            <v>73168</v>
          </cell>
          <cell r="B1035" t="str">
            <v>CHAPARRAL</v>
          </cell>
          <cell r="C1035" t="str">
            <v>TOLIMA</v>
          </cell>
          <cell r="D1035" t="str">
            <v>IBAGUE</v>
          </cell>
          <cell r="E1035" t="str">
            <v>LEJANA</v>
          </cell>
          <cell r="F1035" t="str">
            <v>TERRESTRE</v>
          </cell>
        </row>
        <row r="1036">
          <cell r="A1036">
            <v>73200</v>
          </cell>
          <cell r="B1036" t="str">
            <v>COELLO</v>
          </cell>
          <cell r="C1036" t="str">
            <v>TOLIMA</v>
          </cell>
          <cell r="D1036" t="str">
            <v>IBAGUE</v>
          </cell>
          <cell r="E1036" t="str">
            <v>INTERMEDIA</v>
          </cell>
          <cell r="F1036" t="str">
            <v>TERRESTRE</v>
          </cell>
        </row>
        <row r="1037">
          <cell r="A1037">
            <v>73217</v>
          </cell>
          <cell r="B1037" t="str">
            <v>COYAIMA</v>
          </cell>
          <cell r="C1037" t="str">
            <v>TOLIMA</v>
          </cell>
          <cell r="D1037" t="str">
            <v>IBAGUE</v>
          </cell>
          <cell r="E1037" t="str">
            <v>LEJANA</v>
          </cell>
          <cell r="F1037" t="str">
            <v>TERRESTRE</v>
          </cell>
        </row>
        <row r="1038">
          <cell r="A1038">
            <v>73226</v>
          </cell>
          <cell r="B1038" t="str">
            <v>CUNDAY</v>
          </cell>
          <cell r="C1038" t="str">
            <v>TOLIMA</v>
          </cell>
          <cell r="D1038" t="str">
            <v>IBAGUE</v>
          </cell>
          <cell r="E1038" t="str">
            <v>INTERMEDIA</v>
          </cell>
          <cell r="F1038" t="str">
            <v>TERRESTRE</v>
          </cell>
        </row>
        <row r="1039">
          <cell r="A1039">
            <v>73236</v>
          </cell>
          <cell r="B1039" t="str">
            <v>DOLORES</v>
          </cell>
          <cell r="C1039" t="str">
            <v>TOLIMA</v>
          </cell>
          <cell r="D1039" t="str">
            <v>IBAGUE</v>
          </cell>
          <cell r="E1039" t="str">
            <v>LEJANA</v>
          </cell>
          <cell r="F1039" t="str">
            <v>TERRESTRE</v>
          </cell>
        </row>
        <row r="1040">
          <cell r="A1040">
            <v>73268</v>
          </cell>
          <cell r="B1040" t="str">
            <v>ESPINAL</v>
          </cell>
          <cell r="C1040" t="str">
            <v>TOLIMA</v>
          </cell>
          <cell r="D1040" t="str">
            <v>IBAGUE</v>
          </cell>
          <cell r="E1040" t="str">
            <v>INTERMEDIA</v>
          </cell>
          <cell r="F1040" t="str">
            <v>TERRESTRE</v>
          </cell>
        </row>
        <row r="1041">
          <cell r="A1041">
            <v>73270</v>
          </cell>
          <cell r="B1041" t="str">
            <v>FALAN</v>
          </cell>
          <cell r="C1041" t="str">
            <v>TOLIMA</v>
          </cell>
          <cell r="D1041" t="str">
            <v>IBAGUE</v>
          </cell>
          <cell r="E1041" t="str">
            <v>LEJANA</v>
          </cell>
          <cell r="F1041" t="str">
            <v>TERRESTRE</v>
          </cell>
        </row>
        <row r="1042">
          <cell r="A1042">
            <v>73275</v>
          </cell>
          <cell r="B1042" t="str">
            <v>FLANDES</v>
          </cell>
          <cell r="C1042" t="str">
            <v>TOLIMA</v>
          </cell>
          <cell r="D1042" t="str">
            <v>IBAGUE</v>
          </cell>
          <cell r="E1042" t="str">
            <v>INTERMEDIA</v>
          </cell>
          <cell r="F1042" t="str">
            <v>TERRESTRE</v>
          </cell>
        </row>
        <row r="1043">
          <cell r="A1043">
            <v>73283</v>
          </cell>
          <cell r="B1043" t="str">
            <v>FRESNO</v>
          </cell>
          <cell r="C1043" t="str">
            <v>TOLIMA</v>
          </cell>
          <cell r="D1043" t="str">
            <v>IBAGUE</v>
          </cell>
          <cell r="E1043" t="str">
            <v>LEJANA</v>
          </cell>
          <cell r="F1043" t="str">
            <v>TERRESTRE</v>
          </cell>
        </row>
        <row r="1044">
          <cell r="A1044">
            <v>73319</v>
          </cell>
          <cell r="B1044" t="str">
            <v>GUAMO</v>
          </cell>
          <cell r="C1044" t="str">
            <v>TOLIMA</v>
          </cell>
          <cell r="D1044" t="str">
            <v>IBAGUE</v>
          </cell>
          <cell r="E1044" t="str">
            <v>INTERMEDIA</v>
          </cell>
          <cell r="F1044" t="str">
            <v>TERRESTRE</v>
          </cell>
        </row>
        <row r="1045">
          <cell r="A1045">
            <v>73347</v>
          </cell>
          <cell r="B1045" t="str">
            <v>HERVEO</v>
          </cell>
          <cell r="C1045" t="str">
            <v>TOLIMA</v>
          </cell>
          <cell r="D1045" t="str">
            <v>MANIZALES</v>
          </cell>
          <cell r="E1045" t="str">
            <v>LEJANA</v>
          </cell>
          <cell r="F1045" t="str">
            <v>TERRESTRE</v>
          </cell>
        </row>
        <row r="1046">
          <cell r="A1046">
            <v>73349</v>
          </cell>
          <cell r="B1046" t="str">
            <v>HONDA</v>
          </cell>
          <cell r="C1046" t="str">
            <v>TOLIMA</v>
          </cell>
          <cell r="D1046" t="str">
            <v>IBAGUE</v>
          </cell>
          <cell r="E1046" t="str">
            <v>LEJANA</v>
          </cell>
          <cell r="F1046" t="str">
            <v>TERRESTRE</v>
          </cell>
        </row>
        <row r="1047">
          <cell r="A1047">
            <v>73001</v>
          </cell>
          <cell r="B1047" t="str">
            <v>IBAGUE</v>
          </cell>
          <cell r="C1047" t="str">
            <v>TOLIMA</v>
          </cell>
          <cell r="D1047" t="str">
            <v>IBAGUE</v>
          </cell>
          <cell r="E1047" t="str">
            <v>PRINCIPAL</v>
          </cell>
          <cell r="F1047" t="str">
            <v>TERRESTRE</v>
          </cell>
        </row>
        <row r="1048">
          <cell r="A1048">
            <v>73352</v>
          </cell>
          <cell r="B1048" t="str">
            <v>ICONONZO</v>
          </cell>
          <cell r="C1048" t="str">
            <v>TOLIMA</v>
          </cell>
          <cell r="D1048" t="str">
            <v>IBAGUE</v>
          </cell>
          <cell r="E1048" t="str">
            <v>LEJANA</v>
          </cell>
          <cell r="F1048" t="str">
            <v>TERRESTRE</v>
          </cell>
        </row>
        <row r="1049">
          <cell r="A1049">
            <v>73408</v>
          </cell>
          <cell r="B1049" t="str">
            <v>LERIDA</v>
          </cell>
          <cell r="C1049" t="str">
            <v>TOLIMA</v>
          </cell>
          <cell r="D1049" t="str">
            <v>IBAGUE</v>
          </cell>
          <cell r="E1049" t="str">
            <v>INTERMEDIA</v>
          </cell>
          <cell r="F1049" t="str">
            <v>TERRESTRE</v>
          </cell>
        </row>
        <row r="1050">
          <cell r="A1050">
            <v>73411</v>
          </cell>
          <cell r="B1050" t="str">
            <v>LIBANO</v>
          </cell>
          <cell r="C1050" t="str">
            <v>TOLIMA</v>
          </cell>
          <cell r="D1050" t="str">
            <v>IBAGUE</v>
          </cell>
          <cell r="E1050" t="str">
            <v>LEJANA</v>
          </cell>
          <cell r="F1050" t="str">
            <v>TERRESTRE</v>
          </cell>
        </row>
        <row r="1051">
          <cell r="A1051">
            <v>73443</v>
          </cell>
          <cell r="B1051" t="str">
            <v>MARIQUITA</v>
          </cell>
          <cell r="C1051" t="str">
            <v>TOLIMA</v>
          </cell>
          <cell r="D1051" t="str">
            <v>IBAGUE</v>
          </cell>
          <cell r="E1051" t="str">
            <v>LEJANA</v>
          </cell>
          <cell r="F1051" t="str">
            <v>TERRESTRE</v>
          </cell>
        </row>
        <row r="1052">
          <cell r="A1052">
            <v>73449</v>
          </cell>
          <cell r="B1052" t="str">
            <v>MELGAR</v>
          </cell>
          <cell r="C1052" t="str">
            <v>TOLIMA</v>
          </cell>
          <cell r="D1052" t="str">
            <v>BOGOTA</v>
          </cell>
          <cell r="E1052" t="str">
            <v>INTERMEDIA</v>
          </cell>
          <cell r="F1052" t="str">
            <v>TERRESTRE</v>
          </cell>
        </row>
        <row r="1053">
          <cell r="A1053">
            <v>73461</v>
          </cell>
          <cell r="B1053" t="str">
            <v>MURILLO</v>
          </cell>
          <cell r="C1053" t="str">
            <v>TOLIMA</v>
          </cell>
          <cell r="D1053" t="str">
            <v>IBAGUE</v>
          </cell>
          <cell r="E1053" t="str">
            <v>LEJANA</v>
          </cell>
          <cell r="F1053" t="str">
            <v>TERRESTRE</v>
          </cell>
        </row>
        <row r="1054">
          <cell r="A1054">
            <v>73483</v>
          </cell>
          <cell r="B1054" t="str">
            <v>NATAGAIMA</v>
          </cell>
          <cell r="C1054" t="str">
            <v>TOLIMA</v>
          </cell>
          <cell r="D1054" t="str">
            <v>NEIVA</v>
          </cell>
          <cell r="E1054" t="str">
            <v>INTERMEDIA</v>
          </cell>
          <cell r="F1054" t="str">
            <v>TERRESTRE</v>
          </cell>
        </row>
        <row r="1055">
          <cell r="A1055">
            <v>73504</v>
          </cell>
          <cell r="B1055" t="str">
            <v>ORTEGA</v>
          </cell>
          <cell r="C1055" t="str">
            <v>TOLIMA</v>
          </cell>
          <cell r="D1055" t="str">
            <v>IBAGUE</v>
          </cell>
          <cell r="E1055" t="str">
            <v>LEJANA</v>
          </cell>
          <cell r="F1055" t="str">
            <v>TERRESTRE</v>
          </cell>
        </row>
        <row r="1056">
          <cell r="A1056">
            <v>73520</v>
          </cell>
          <cell r="B1056" t="str">
            <v>PALOCABILDO</v>
          </cell>
          <cell r="C1056" t="str">
            <v>TOLIMA</v>
          </cell>
          <cell r="D1056" t="str">
            <v>IBAGUE</v>
          </cell>
          <cell r="E1056" t="str">
            <v>LEJANA</v>
          </cell>
          <cell r="F1056" t="str">
            <v>TERRESTRE</v>
          </cell>
        </row>
        <row r="1057">
          <cell r="A1057">
            <v>73547</v>
          </cell>
          <cell r="B1057" t="str">
            <v>PIEDRAS</v>
          </cell>
          <cell r="C1057" t="str">
            <v>TOLIMA</v>
          </cell>
          <cell r="D1057" t="str">
            <v>IBAGUE</v>
          </cell>
          <cell r="E1057" t="str">
            <v>INTERMEDIA</v>
          </cell>
          <cell r="F1057" t="str">
            <v>TERRESTRE</v>
          </cell>
        </row>
        <row r="1058">
          <cell r="A1058">
            <v>73555</v>
          </cell>
          <cell r="B1058" t="str">
            <v>PLANADAS</v>
          </cell>
          <cell r="C1058" t="str">
            <v>TOLIMA</v>
          </cell>
          <cell r="D1058" t="str">
            <v>IBAGUE</v>
          </cell>
          <cell r="E1058" t="str">
            <v>LEJANA</v>
          </cell>
          <cell r="F1058" t="str">
            <v>TERRESTRE</v>
          </cell>
        </row>
        <row r="1059">
          <cell r="A1059">
            <v>73563</v>
          </cell>
          <cell r="B1059" t="str">
            <v>PRADO</v>
          </cell>
          <cell r="C1059" t="str">
            <v>TOLIMA</v>
          </cell>
          <cell r="D1059" t="str">
            <v>IBAGUE</v>
          </cell>
          <cell r="E1059" t="str">
            <v>LEJANA</v>
          </cell>
          <cell r="F1059" t="str">
            <v>TERRESTRE</v>
          </cell>
        </row>
        <row r="1060">
          <cell r="A1060">
            <v>73585</v>
          </cell>
          <cell r="B1060" t="str">
            <v>PURIFICACION</v>
          </cell>
          <cell r="C1060" t="str">
            <v>TOLIMA</v>
          </cell>
          <cell r="D1060" t="str">
            <v>IBAGUE</v>
          </cell>
          <cell r="E1060" t="str">
            <v>INTERMEDIA</v>
          </cell>
          <cell r="F1060" t="str">
            <v>TERRESTRE</v>
          </cell>
        </row>
        <row r="1061">
          <cell r="A1061">
            <v>73616</v>
          </cell>
          <cell r="B1061" t="str">
            <v>RIOBLANCO</v>
          </cell>
          <cell r="C1061" t="str">
            <v>TOLIMA</v>
          </cell>
          <cell r="D1061" t="str">
            <v>IBAGUE</v>
          </cell>
          <cell r="E1061" t="str">
            <v>LEJANA</v>
          </cell>
          <cell r="F1061" t="str">
            <v>TERRESTRE</v>
          </cell>
        </row>
        <row r="1062">
          <cell r="A1062">
            <v>73622</v>
          </cell>
          <cell r="B1062" t="str">
            <v>RONCESVALLES</v>
          </cell>
          <cell r="C1062" t="str">
            <v>TOLIMA</v>
          </cell>
          <cell r="D1062" t="str">
            <v>IBAGUE</v>
          </cell>
          <cell r="E1062" t="str">
            <v>LEJANA</v>
          </cell>
          <cell r="F1062" t="str">
            <v>TERRESTRE</v>
          </cell>
        </row>
        <row r="1063">
          <cell r="A1063">
            <v>73624</v>
          </cell>
          <cell r="B1063" t="str">
            <v>ROVIRA</v>
          </cell>
          <cell r="C1063" t="str">
            <v>TOLIMA</v>
          </cell>
          <cell r="D1063" t="str">
            <v>IBAGUE</v>
          </cell>
          <cell r="E1063" t="str">
            <v>LEJANA</v>
          </cell>
          <cell r="F1063" t="str">
            <v>TERRESTRE</v>
          </cell>
        </row>
        <row r="1064">
          <cell r="A1064">
            <v>73671</v>
          </cell>
          <cell r="B1064" t="str">
            <v>SALDAÑA</v>
          </cell>
          <cell r="C1064" t="str">
            <v>TOLIMA</v>
          </cell>
          <cell r="D1064" t="str">
            <v>IBAGUE</v>
          </cell>
          <cell r="E1064" t="str">
            <v>INTERMEDIA</v>
          </cell>
          <cell r="F1064" t="str">
            <v>TERRESTRE</v>
          </cell>
        </row>
        <row r="1065">
          <cell r="A1065">
            <v>73675</v>
          </cell>
          <cell r="B1065" t="str">
            <v>SAN ANTONIO</v>
          </cell>
          <cell r="C1065" t="str">
            <v>TOLIMA</v>
          </cell>
          <cell r="D1065" t="str">
            <v>IBAGUE</v>
          </cell>
          <cell r="E1065" t="str">
            <v>LEJANA</v>
          </cell>
          <cell r="F1065" t="str">
            <v>TERRESTRE</v>
          </cell>
        </row>
        <row r="1066">
          <cell r="A1066">
            <v>73686</v>
          </cell>
          <cell r="B1066" t="str">
            <v>SANTA ISABEL</v>
          </cell>
          <cell r="C1066" t="str">
            <v>TOLIMA</v>
          </cell>
          <cell r="D1066" t="str">
            <v>IBAGUE</v>
          </cell>
          <cell r="E1066" t="str">
            <v>LEJANA</v>
          </cell>
          <cell r="F1066" t="str">
            <v>TERRESTRE</v>
          </cell>
        </row>
        <row r="1067">
          <cell r="A1067">
            <v>73854</v>
          </cell>
          <cell r="B1067" t="str">
            <v>VALLE DE SAN JUAN</v>
          </cell>
          <cell r="C1067" t="str">
            <v>TOLIMA</v>
          </cell>
          <cell r="D1067" t="str">
            <v>IBAGUE</v>
          </cell>
          <cell r="E1067" t="str">
            <v>INTERMEDIA</v>
          </cell>
          <cell r="F1067" t="str">
            <v>TERRESTRE</v>
          </cell>
        </row>
        <row r="1068">
          <cell r="A1068">
            <v>73861</v>
          </cell>
          <cell r="B1068" t="str">
            <v>VENADILLO</v>
          </cell>
          <cell r="C1068" t="str">
            <v>TOLIMA</v>
          </cell>
          <cell r="D1068" t="str">
            <v>IBAGUE</v>
          </cell>
          <cell r="E1068" t="str">
            <v>INTERMEDIA</v>
          </cell>
          <cell r="F1068" t="str">
            <v>TERRESTRE</v>
          </cell>
        </row>
        <row r="1069">
          <cell r="A1069">
            <v>73870</v>
          </cell>
          <cell r="B1069" t="str">
            <v>VILLAHERMOSA</v>
          </cell>
          <cell r="C1069" t="str">
            <v>TOLIMA</v>
          </cell>
          <cell r="D1069" t="str">
            <v>IBAGUE</v>
          </cell>
          <cell r="E1069" t="str">
            <v>LEJANA</v>
          </cell>
          <cell r="F1069" t="str">
            <v>TERRESTRE</v>
          </cell>
        </row>
        <row r="1070">
          <cell r="A1070">
            <v>73873</v>
          </cell>
          <cell r="B1070" t="str">
            <v>VILLARRICA</v>
          </cell>
          <cell r="C1070" t="str">
            <v>TOLIMA</v>
          </cell>
          <cell r="D1070" t="str">
            <v>IBAGUE</v>
          </cell>
          <cell r="E1070" t="str">
            <v>LEJANA</v>
          </cell>
          <cell r="F1070" t="str">
            <v>TERRESTRE</v>
          </cell>
        </row>
        <row r="1071">
          <cell r="A1071">
            <v>76054</v>
          </cell>
          <cell r="B1071" t="str">
            <v>ARGELIA</v>
          </cell>
          <cell r="C1071" t="str">
            <v>VALLE DEL CAUCA</v>
          </cell>
          <cell r="D1071" t="str">
            <v>PEREIRA</v>
          </cell>
          <cell r="E1071" t="str">
            <v>LEJANA</v>
          </cell>
          <cell r="F1071" t="str">
            <v>TERRESTRE</v>
          </cell>
        </row>
        <row r="1072">
          <cell r="A1072">
            <v>76100</v>
          </cell>
          <cell r="B1072" t="str">
            <v>BOLIVAR</v>
          </cell>
          <cell r="C1072" t="str">
            <v>VALLE DEL CAUCA</v>
          </cell>
          <cell r="D1072" t="str">
            <v>PEREIRA</v>
          </cell>
          <cell r="E1072" t="str">
            <v>INTERMEDIA</v>
          </cell>
          <cell r="F1072" t="str">
            <v>TERRESTRE</v>
          </cell>
        </row>
        <row r="1073">
          <cell r="A1073">
            <v>76130</v>
          </cell>
          <cell r="B1073" t="str">
            <v>CANDELARIA</v>
          </cell>
          <cell r="C1073" t="str">
            <v>VALLE DEL CAUCA</v>
          </cell>
          <cell r="D1073" t="str">
            <v>CALI</v>
          </cell>
          <cell r="E1073" t="str">
            <v>INTERMEDIA</v>
          </cell>
          <cell r="F1073" t="str">
            <v>TERRESTRE</v>
          </cell>
        </row>
        <row r="1074">
          <cell r="A1074">
            <v>76400</v>
          </cell>
          <cell r="B1074" t="str">
            <v>LA UNION</v>
          </cell>
          <cell r="C1074" t="str">
            <v>VALLE DEL CAUCA</v>
          </cell>
          <cell r="D1074" t="str">
            <v>PEREIRA</v>
          </cell>
          <cell r="E1074" t="str">
            <v>INTERMEDIA</v>
          </cell>
          <cell r="F1074" t="str">
            <v>TERRESTRE</v>
          </cell>
        </row>
        <row r="1075">
          <cell r="A1075">
            <v>76403</v>
          </cell>
          <cell r="B1075" t="str">
            <v>LA VICTORIA</v>
          </cell>
          <cell r="C1075" t="str">
            <v>VALLE DEL CAUCA</v>
          </cell>
          <cell r="D1075" t="str">
            <v>PEREIRA</v>
          </cell>
          <cell r="E1075" t="str">
            <v>INTERMEDIA</v>
          </cell>
          <cell r="F1075" t="str">
            <v>TERRESTRE</v>
          </cell>
        </row>
        <row r="1076">
          <cell r="A1076">
            <v>76606</v>
          </cell>
          <cell r="B1076" t="str">
            <v>RESTREPO</v>
          </cell>
          <cell r="C1076" t="str">
            <v>VALLE DEL CAUCA</v>
          </cell>
          <cell r="D1076" t="str">
            <v>CALI</v>
          </cell>
          <cell r="E1076" t="str">
            <v>INTERMEDIA</v>
          </cell>
          <cell r="F1076" t="str">
            <v>TERRESTRE</v>
          </cell>
        </row>
        <row r="1077">
          <cell r="A1077">
            <v>76670</v>
          </cell>
          <cell r="B1077" t="str">
            <v>SAN PEDRO</v>
          </cell>
          <cell r="C1077" t="str">
            <v>VALLE DEL CAUCA</v>
          </cell>
          <cell r="D1077" t="str">
            <v>CALI</v>
          </cell>
          <cell r="E1077" t="str">
            <v>INTERMEDIA</v>
          </cell>
          <cell r="F1077" t="str">
            <v>TERRESTRE</v>
          </cell>
        </row>
        <row r="1078">
          <cell r="A1078">
            <v>76020</v>
          </cell>
          <cell r="B1078" t="str">
            <v>ALCALA</v>
          </cell>
          <cell r="C1078" t="str">
            <v>VALLE DEL CAUCA</v>
          </cell>
          <cell r="D1078" t="str">
            <v>PEREIRA</v>
          </cell>
          <cell r="E1078" t="str">
            <v>INTERMEDIA</v>
          </cell>
          <cell r="F1078" t="str">
            <v>TERRESTRE</v>
          </cell>
        </row>
        <row r="1079">
          <cell r="A1079">
            <v>76036</v>
          </cell>
          <cell r="B1079" t="str">
            <v>ANDALUCIA</v>
          </cell>
          <cell r="C1079" t="str">
            <v>VALLE DEL CAUCA</v>
          </cell>
          <cell r="D1079" t="str">
            <v>CALI</v>
          </cell>
          <cell r="E1079" t="str">
            <v>INTERMEDIA</v>
          </cell>
          <cell r="F1079" t="str">
            <v>TERRESTRE</v>
          </cell>
        </row>
        <row r="1080">
          <cell r="A1080">
            <v>76041</v>
          </cell>
          <cell r="B1080" t="str">
            <v>ANSERMANUEVO</v>
          </cell>
          <cell r="C1080" t="str">
            <v>VALLE DEL CAUCA</v>
          </cell>
          <cell r="D1080" t="str">
            <v>PEREIRA</v>
          </cell>
          <cell r="E1080" t="str">
            <v>INTERMEDIA</v>
          </cell>
          <cell r="F1080" t="str">
            <v>TERRESTRE</v>
          </cell>
        </row>
        <row r="1081">
          <cell r="A1081">
            <v>76109</v>
          </cell>
          <cell r="B1081" t="str">
            <v>BUENAVENTURA</v>
          </cell>
          <cell r="C1081" t="str">
            <v>VALLE DEL CAUCA</v>
          </cell>
          <cell r="D1081" t="str">
            <v>CALI</v>
          </cell>
          <cell r="E1081" t="str">
            <v>LEJANA</v>
          </cell>
          <cell r="F1081" t="str">
            <v>TERRESTRE</v>
          </cell>
        </row>
        <row r="1082">
          <cell r="A1082">
            <v>76113</v>
          </cell>
          <cell r="B1082" t="str">
            <v>BUGALAGRANDE</v>
          </cell>
          <cell r="C1082" t="str">
            <v>VALLE DEL CAUCA</v>
          </cell>
          <cell r="D1082" t="str">
            <v>CALI</v>
          </cell>
          <cell r="E1082" t="str">
            <v>INTERMEDIA</v>
          </cell>
          <cell r="F1082" t="str">
            <v>TERRESTRE</v>
          </cell>
        </row>
        <row r="1083">
          <cell r="A1083">
            <v>76122</v>
          </cell>
          <cell r="B1083" t="str">
            <v>CAICEDONIA</v>
          </cell>
          <cell r="C1083" t="str">
            <v>VALLE DEL CAUCA</v>
          </cell>
          <cell r="D1083" t="str">
            <v>PEREIRA</v>
          </cell>
          <cell r="E1083" t="str">
            <v>INTERMEDIA</v>
          </cell>
          <cell r="F1083" t="str">
            <v>TERRESTRE</v>
          </cell>
        </row>
        <row r="1084">
          <cell r="A1084">
            <v>76001</v>
          </cell>
          <cell r="B1084" t="str">
            <v>CALI</v>
          </cell>
          <cell r="C1084" t="str">
            <v>VALLE DEL CAUCA</v>
          </cell>
          <cell r="D1084" t="str">
            <v>CALI</v>
          </cell>
          <cell r="E1084" t="str">
            <v>PRINCIPAL</v>
          </cell>
          <cell r="F1084" t="str">
            <v>TERRESTRE</v>
          </cell>
        </row>
        <row r="1085">
          <cell r="A1085">
            <v>76126</v>
          </cell>
          <cell r="B1085" t="str">
            <v>CALIMA</v>
          </cell>
          <cell r="C1085" t="str">
            <v>VALLE DEL CAUCA</v>
          </cell>
          <cell r="D1085" t="str">
            <v>CALI</v>
          </cell>
          <cell r="E1085" t="str">
            <v>INTERMEDIA</v>
          </cell>
          <cell r="F1085" t="str">
            <v>TERRESTRE</v>
          </cell>
        </row>
        <row r="1086">
          <cell r="A1086">
            <v>76147</v>
          </cell>
          <cell r="B1086" t="str">
            <v>CARTAGO</v>
          </cell>
          <cell r="C1086" t="str">
            <v>VALLE DEL CAUCA</v>
          </cell>
          <cell r="D1086" t="str">
            <v>PEREIRA</v>
          </cell>
          <cell r="E1086" t="str">
            <v>PRINCIPAL</v>
          </cell>
          <cell r="F1086" t="str">
            <v>TERRESTRE</v>
          </cell>
        </row>
        <row r="1087">
          <cell r="A1087">
            <v>76233</v>
          </cell>
          <cell r="B1087" t="str">
            <v>DAGUA</v>
          </cell>
          <cell r="C1087" t="str">
            <v>VALLE DEL CAUCA</v>
          </cell>
          <cell r="D1087" t="str">
            <v>CALI</v>
          </cell>
          <cell r="E1087" t="str">
            <v>INTERMEDIA</v>
          </cell>
          <cell r="F1087" t="str">
            <v>TERRESTRE</v>
          </cell>
        </row>
        <row r="1088">
          <cell r="A1088">
            <v>76243</v>
          </cell>
          <cell r="B1088" t="str">
            <v>EL AGUILA</v>
          </cell>
          <cell r="C1088" t="str">
            <v>VALLE DEL CAUCA</v>
          </cell>
          <cell r="D1088" t="str">
            <v>PEREIRA</v>
          </cell>
          <cell r="E1088" t="str">
            <v>LEJANA</v>
          </cell>
          <cell r="F1088" t="str">
            <v>TERRESTRE</v>
          </cell>
        </row>
        <row r="1089">
          <cell r="A1089">
            <v>76246</v>
          </cell>
          <cell r="B1089" t="str">
            <v>EL CAIRO</v>
          </cell>
          <cell r="C1089" t="str">
            <v>VALLE DEL CAUCA</v>
          </cell>
          <cell r="D1089" t="str">
            <v>PEREIRA</v>
          </cell>
          <cell r="E1089" t="str">
            <v>LEJANA</v>
          </cell>
          <cell r="F1089" t="str">
            <v>TERRESTRE</v>
          </cell>
        </row>
        <row r="1090">
          <cell r="A1090">
            <v>76248</v>
          </cell>
          <cell r="B1090" t="str">
            <v>EL CERRITO</v>
          </cell>
          <cell r="C1090" t="str">
            <v>VALLE DEL CAUCA</v>
          </cell>
          <cell r="D1090" t="str">
            <v>CALI</v>
          </cell>
          <cell r="E1090" t="str">
            <v>INTERMEDIA</v>
          </cell>
          <cell r="F1090" t="str">
            <v>TERRESTRE</v>
          </cell>
        </row>
        <row r="1091">
          <cell r="A1091">
            <v>76250</v>
          </cell>
          <cell r="B1091" t="str">
            <v>EL DOVIO</v>
          </cell>
          <cell r="C1091" t="str">
            <v>VALLE DEL CAUCA</v>
          </cell>
          <cell r="D1091" t="str">
            <v>PEREIRA</v>
          </cell>
          <cell r="E1091" t="str">
            <v>INTERMEDIA</v>
          </cell>
          <cell r="F1091" t="str">
            <v>TERRESTRE</v>
          </cell>
        </row>
        <row r="1092">
          <cell r="A1092">
            <v>76275</v>
          </cell>
          <cell r="B1092" t="str">
            <v>FLORIDA</v>
          </cell>
          <cell r="C1092" t="str">
            <v>VALLE DEL CAUCA</v>
          </cell>
          <cell r="D1092" t="str">
            <v>CALI</v>
          </cell>
          <cell r="E1092" t="str">
            <v>INTERMEDIA</v>
          </cell>
          <cell r="F1092" t="str">
            <v>TERRESTRE</v>
          </cell>
        </row>
        <row r="1093">
          <cell r="A1093">
            <v>76306</v>
          </cell>
          <cell r="B1093" t="str">
            <v>GINEBRA</v>
          </cell>
          <cell r="C1093" t="str">
            <v>VALLE DEL CAUCA</v>
          </cell>
          <cell r="D1093" t="str">
            <v>CALI</v>
          </cell>
          <cell r="E1093" t="str">
            <v>INTERMEDIA</v>
          </cell>
          <cell r="F1093" t="str">
            <v>TERRESTRE</v>
          </cell>
        </row>
        <row r="1094">
          <cell r="A1094">
            <v>76318</v>
          </cell>
          <cell r="B1094" t="str">
            <v>GUACARI</v>
          </cell>
          <cell r="C1094" t="str">
            <v>VALLE DEL CAUCA</v>
          </cell>
          <cell r="D1094" t="str">
            <v>CALI</v>
          </cell>
          <cell r="E1094" t="str">
            <v>INTERMEDIA</v>
          </cell>
          <cell r="F1094" t="str">
            <v>TERRESTRE</v>
          </cell>
        </row>
        <row r="1095">
          <cell r="A1095">
            <v>76111</v>
          </cell>
          <cell r="B1095" t="str">
            <v>GUADALAJARA DE BUGA</v>
          </cell>
          <cell r="C1095" t="str">
            <v>VALLE DEL CAUCA</v>
          </cell>
          <cell r="D1095" t="str">
            <v>CALI</v>
          </cell>
          <cell r="E1095" t="str">
            <v>INTERMEDIA</v>
          </cell>
          <cell r="F1095" t="str">
            <v>TERRESTRE</v>
          </cell>
        </row>
        <row r="1096">
          <cell r="A1096">
            <v>76364</v>
          </cell>
          <cell r="B1096" t="str">
            <v>JAMUNDI</v>
          </cell>
          <cell r="C1096" t="str">
            <v>VALLE DEL CAUCA</v>
          </cell>
          <cell r="D1096" t="str">
            <v>CALI</v>
          </cell>
          <cell r="E1096" t="str">
            <v>INTERMEDIA</v>
          </cell>
          <cell r="F1096" t="str">
            <v>TERRESTRE</v>
          </cell>
        </row>
        <row r="1097">
          <cell r="A1097">
            <v>76377</v>
          </cell>
          <cell r="B1097" t="str">
            <v>LA CUMBRE</v>
          </cell>
          <cell r="C1097" t="str">
            <v>VALLE DEL CAUCA</v>
          </cell>
          <cell r="D1097" t="str">
            <v>CALI</v>
          </cell>
          <cell r="E1097" t="str">
            <v>INTERMEDIA</v>
          </cell>
          <cell r="F1097" t="str">
            <v>TERRESTRE</v>
          </cell>
        </row>
        <row r="1098">
          <cell r="A1098">
            <v>76497</v>
          </cell>
          <cell r="B1098" t="str">
            <v>OBANDO</v>
          </cell>
          <cell r="C1098" t="str">
            <v>VALLE DEL CAUCA</v>
          </cell>
          <cell r="D1098" t="str">
            <v>PEREIRA</v>
          </cell>
          <cell r="E1098" t="str">
            <v>INTERMEDIA</v>
          </cell>
          <cell r="F1098" t="str">
            <v>TERRESTRE</v>
          </cell>
        </row>
        <row r="1099">
          <cell r="A1099">
            <v>76520</v>
          </cell>
          <cell r="B1099" t="str">
            <v>PALMIRA</v>
          </cell>
          <cell r="C1099" t="str">
            <v>VALLE DEL CAUCA</v>
          </cell>
          <cell r="D1099" t="str">
            <v>CALI</v>
          </cell>
          <cell r="E1099" t="str">
            <v>PRINCIPAL</v>
          </cell>
          <cell r="F1099" t="str">
            <v>TERRESTRE</v>
          </cell>
        </row>
        <row r="1100">
          <cell r="A1100">
            <v>76563</v>
          </cell>
          <cell r="B1100" t="str">
            <v>PRADERA</v>
          </cell>
          <cell r="C1100" t="str">
            <v>VALLE DEL CAUCA</v>
          </cell>
          <cell r="D1100" t="str">
            <v>CALI</v>
          </cell>
          <cell r="E1100" t="str">
            <v>INTERMEDIA</v>
          </cell>
          <cell r="F1100" t="str">
            <v>TERRESTRE</v>
          </cell>
        </row>
        <row r="1101">
          <cell r="A1101">
            <v>76616</v>
          </cell>
          <cell r="B1101" t="str">
            <v>RIOFRIO</v>
          </cell>
          <cell r="C1101" t="str">
            <v>VALLE DEL CAUCA</v>
          </cell>
          <cell r="D1101" t="str">
            <v>CALI</v>
          </cell>
          <cell r="E1101" t="str">
            <v>INTERMEDIA</v>
          </cell>
          <cell r="F1101" t="str">
            <v>TERRESTRE</v>
          </cell>
        </row>
        <row r="1102">
          <cell r="A1102">
            <v>76622</v>
          </cell>
          <cell r="B1102" t="str">
            <v>ROLDANILLO</v>
          </cell>
          <cell r="C1102" t="str">
            <v>VALLE DEL CAUCA</v>
          </cell>
          <cell r="D1102" t="str">
            <v>PEREIRA</v>
          </cell>
          <cell r="E1102" t="str">
            <v>LEJANA</v>
          </cell>
          <cell r="F1102" t="str">
            <v>TERRESTRE</v>
          </cell>
        </row>
        <row r="1103">
          <cell r="A1103">
            <v>76736</v>
          </cell>
          <cell r="B1103" t="str">
            <v>SEVILLA</v>
          </cell>
          <cell r="C1103" t="str">
            <v>VALLE DEL CAUCA</v>
          </cell>
          <cell r="D1103" t="str">
            <v>PEREIRA</v>
          </cell>
          <cell r="E1103" t="str">
            <v>INTERMEDIA</v>
          </cell>
          <cell r="F1103" t="str">
            <v>TERRESTRE</v>
          </cell>
        </row>
        <row r="1104">
          <cell r="A1104">
            <v>76823</v>
          </cell>
          <cell r="B1104" t="str">
            <v>TORO</v>
          </cell>
          <cell r="C1104" t="str">
            <v>VALLE DEL CAUCA</v>
          </cell>
          <cell r="D1104" t="str">
            <v>PEREIRA</v>
          </cell>
          <cell r="E1104" t="str">
            <v>INTERMEDIA</v>
          </cell>
          <cell r="F1104" t="str">
            <v>TERRESTRE</v>
          </cell>
        </row>
        <row r="1105">
          <cell r="A1105">
            <v>76828</v>
          </cell>
          <cell r="B1105" t="str">
            <v>TRUJILLO</v>
          </cell>
          <cell r="C1105" t="str">
            <v>VALLE DEL CAUCA</v>
          </cell>
          <cell r="D1105" t="str">
            <v>PEREIRA</v>
          </cell>
          <cell r="E1105" t="str">
            <v>INTERMEDIA</v>
          </cell>
          <cell r="F1105" t="str">
            <v>TERRESTRE</v>
          </cell>
        </row>
        <row r="1106">
          <cell r="A1106">
            <v>76834</v>
          </cell>
          <cell r="B1106" t="str">
            <v>TULUA</v>
          </cell>
          <cell r="C1106" t="str">
            <v>VALLE DEL CAUCA</v>
          </cell>
          <cell r="D1106" t="str">
            <v>CALI</v>
          </cell>
          <cell r="E1106" t="str">
            <v>INTERMEDIA</v>
          </cell>
          <cell r="F1106" t="str">
            <v>TERRESTRE</v>
          </cell>
        </row>
        <row r="1107">
          <cell r="A1107">
            <v>76845</v>
          </cell>
          <cell r="B1107" t="str">
            <v>ULLOA</v>
          </cell>
          <cell r="C1107" t="str">
            <v>VALLE DEL CAUCA</v>
          </cell>
          <cell r="D1107" t="str">
            <v>PEREIRA</v>
          </cell>
          <cell r="E1107" t="str">
            <v>INTERMEDIA</v>
          </cell>
          <cell r="F1107" t="str">
            <v>TERRESTRE</v>
          </cell>
        </row>
        <row r="1108">
          <cell r="A1108">
            <v>76863</v>
          </cell>
          <cell r="B1108" t="str">
            <v>VERSALLES</v>
          </cell>
          <cell r="C1108" t="str">
            <v>VALLE DEL CAUCA</v>
          </cell>
          <cell r="D1108" t="str">
            <v>PEREIRA</v>
          </cell>
          <cell r="E1108" t="str">
            <v>LEJANA</v>
          </cell>
          <cell r="F1108" t="str">
            <v>TERRESTRE</v>
          </cell>
        </row>
        <row r="1109">
          <cell r="A1109">
            <v>76869</v>
          </cell>
          <cell r="B1109" t="str">
            <v>VIJES</v>
          </cell>
          <cell r="C1109" t="str">
            <v>VALLE DEL CAUCA</v>
          </cell>
          <cell r="D1109" t="str">
            <v>CALI</v>
          </cell>
          <cell r="E1109" t="str">
            <v>INTERMEDIA</v>
          </cell>
          <cell r="F1109" t="str">
            <v>TERRESTRE</v>
          </cell>
        </row>
        <row r="1110">
          <cell r="A1110">
            <v>76890</v>
          </cell>
          <cell r="B1110" t="str">
            <v>YOTOCO</v>
          </cell>
          <cell r="C1110" t="str">
            <v>VALLE DEL CAUCA</v>
          </cell>
          <cell r="D1110" t="str">
            <v>CALI</v>
          </cell>
          <cell r="E1110" t="str">
            <v>INTERMEDIA</v>
          </cell>
          <cell r="F1110" t="str">
            <v>TERRESTRE</v>
          </cell>
        </row>
        <row r="1111">
          <cell r="A1111">
            <v>76892</v>
          </cell>
          <cell r="B1111" t="str">
            <v>YUMBO</v>
          </cell>
          <cell r="C1111" t="str">
            <v>VALLE DEL CAUCA</v>
          </cell>
          <cell r="D1111" t="str">
            <v>CALI</v>
          </cell>
          <cell r="E1111" t="str">
            <v>PRINCIPAL</v>
          </cell>
          <cell r="F1111" t="str">
            <v>TERRESTRE</v>
          </cell>
        </row>
        <row r="1112">
          <cell r="A1112">
            <v>76895</v>
          </cell>
          <cell r="B1112" t="str">
            <v>ZARZAL</v>
          </cell>
          <cell r="C1112" t="str">
            <v>VALLE DEL CAUCA</v>
          </cell>
          <cell r="D1112" t="str">
            <v>PEREIRA</v>
          </cell>
          <cell r="E1112" t="str">
            <v>LEJANA</v>
          </cell>
          <cell r="F1112" t="str">
            <v>TERRESTRE</v>
          </cell>
        </row>
        <row r="1113">
          <cell r="A1113">
            <v>97161</v>
          </cell>
          <cell r="B1113" t="str">
            <v>CARURU</v>
          </cell>
          <cell r="C1113" t="str">
            <v>VAUPES</v>
          </cell>
          <cell r="D1113" t="str">
            <v>VILLAVICENCIO</v>
          </cell>
          <cell r="E1113" t="str">
            <v>LEJANA</v>
          </cell>
          <cell r="F1113" t="str">
            <v>AEREO</v>
          </cell>
        </row>
        <row r="1114">
          <cell r="A1114">
            <v>97001</v>
          </cell>
          <cell r="B1114" t="str">
            <v>MITU</v>
          </cell>
          <cell r="C1114" t="str">
            <v>VAUPES</v>
          </cell>
          <cell r="D1114" t="str">
            <v>BOGOTA</v>
          </cell>
          <cell r="E1114" t="str">
            <v>LEJANA</v>
          </cell>
          <cell r="F1114" t="str">
            <v>AEREO</v>
          </cell>
        </row>
        <row r="1115">
          <cell r="A1115">
            <v>97511</v>
          </cell>
          <cell r="B1115" t="str">
            <v>PACOA</v>
          </cell>
          <cell r="C1115" t="str">
            <v>VAUPES</v>
          </cell>
          <cell r="D1115" t="str">
            <v>VILLAVICENCIO</v>
          </cell>
          <cell r="E1115" t="str">
            <v>LEJANA</v>
          </cell>
          <cell r="F1115" t="str">
            <v>AEREO</v>
          </cell>
        </row>
        <row r="1116">
          <cell r="A1116">
            <v>97777</v>
          </cell>
          <cell r="B1116" t="str">
            <v>PAPUNAUA</v>
          </cell>
          <cell r="C1116" t="str">
            <v>VAUPES</v>
          </cell>
          <cell r="D1116" t="str">
            <v>VILLAVICENCIO</v>
          </cell>
          <cell r="E1116" t="str">
            <v>LEJANA</v>
          </cell>
          <cell r="F1116" t="str">
            <v>AEREO</v>
          </cell>
        </row>
        <row r="1117">
          <cell r="A1117">
            <v>97666</v>
          </cell>
          <cell r="B1117" t="str">
            <v>TARAIRA</v>
          </cell>
          <cell r="C1117" t="str">
            <v>VAUPES</v>
          </cell>
          <cell r="D1117" t="str">
            <v>VILLAVICENCIO</v>
          </cell>
          <cell r="E1117" t="str">
            <v>LEJANA</v>
          </cell>
          <cell r="F1117" t="str">
            <v>AEREO</v>
          </cell>
        </row>
        <row r="1118">
          <cell r="A1118">
            <v>97889</v>
          </cell>
          <cell r="B1118" t="str">
            <v>YAVARATE</v>
          </cell>
          <cell r="C1118" t="str">
            <v>VAUPES</v>
          </cell>
          <cell r="D1118" t="str">
            <v>VILLAVICENCIO</v>
          </cell>
          <cell r="E1118" t="str">
            <v>LEJANA</v>
          </cell>
          <cell r="F1118" t="str">
            <v>AEREO</v>
          </cell>
        </row>
        <row r="1119">
          <cell r="A1119">
            <v>99773</v>
          </cell>
          <cell r="B1119" t="str">
            <v>CUMARIBO</v>
          </cell>
          <cell r="C1119" t="str">
            <v>VICHADA</v>
          </cell>
          <cell r="D1119" t="str">
            <v>VILLAVICENCIO</v>
          </cell>
          <cell r="E1119" t="str">
            <v>LEJANA</v>
          </cell>
          <cell r="F1119" t="str">
            <v>AEREO</v>
          </cell>
        </row>
        <row r="1120">
          <cell r="A1120">
            <v>99524</v>
          </cell>
          <cell r="B1120" t="str">
            <v>LA PRIMAVERA</v>
          </cell>
          <cell r="C1120" t="str">
            <v>VICHADA</v>
          </cell>
          <cell r="D1120" t="str">
            <v>VILLAVICENCIO</v>
          </cell>
          <cell r="E1120" t="str">
            <v>LEJANA</v>
          </cell>
          <cell r="F1120" t="str">
            <v>AEREO</v>
          </cell>
        </row>
        <row r="1121">
          <cell r="A1121">
            <v>99001</v>
          </cell>
          <cell r="B1121" t="str">
            <v>PUERTO CARREÑO</v>
          </cell>
          <cell r="C1121" t="str">
            <v>VICHADA</v>
          </cell>
          <cell r="D1121" t="str">
            <v>BOGOTA</v>
          </cell>
          <cell r="E1121" t="str">
            <v>LEJANA</v>
          </cell>
          <cell r="F1121" t="str">
            <v>AEREO</v>
          </cell>
        </row>
        <row r="1122">
          <cell r="A1122">
            <v>99624</v>
          </cell>
          <cell r="B1122" t="str">
            <v>SANTA ROSALIA</v>
          </cell>
          <cell r="C1122" t="str">
            <v>VICHADA</v>
          </cell>
          <cell r="D1122" t="str">
            <v>VILLAVICENCIO</v>
          </cell>
          <cell r="E1122" t="str">
            <v>LEJANA</v>
          </cell>
          <cell r="F1122" t="str">
            <v>AEREO</v>
          </cell>
        </row>
        <row r="1123">
          <cell r="A1123">
            <v>23815</v>
          </cell>
          <cell r="B1123" t="str">
            <v>TUCHIN</v>
          </cell>
          <cell r="C1123" t="str">
            <v>CORDOBA</v>
          </cell>
          <cell r="D1123" t="str">
            <v>MONTERIA</v>
          </cell>
          <cell r="E1123" t="str">
            <v>LEJANA</v>
          </cell>
          <cell r="F1123" t="str">
            <v>TERRESTRE</v>
          </cell>
        </row>
        <row r="1124">
          <cell r="A1124">
            <v>23682</v>
          </cell>
          <cell r="B1124" t="str">
            <v>SAN JOSE DE URE</v>
          </cell>
          <cell r="C1124" t="str">
            <v>CORDOBA</v>
          </cell>
          <cell r="D1124" t="str">
            <v>MONTERIA</v>
          </cell>
          <cell r="E1124" t="str">
            <v>LEJANA</v>
          </cell>
          <cell r="F1124" t="str">
            <v>TERRESTRE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General"/>
      <sheetName val="Resumen Ciudad"/>
      <sheetName val="Base Migracion 31082025"/>
      <sheetName val="Inverntario Redeban"/>
      <sheetName val="Multipunto"/>
      <sheetName val="Pasarela"/>
      <sheetName val="TRX Historica"/>
      <sheetName val="BF y BW"/>
      <sheetName val="Estado - Correo"/>
      <sheetName val="Municipio Migracion"/>
      <sheetName val="Base Rutas Semanal"/>
      <sheetName val="Categoria Migracion"/>
      <sheetName val="Analisis Detallado "/>
      <sheetName val="Gestoria REVAL"/>
      <sheetName val="Gestoria Satelco"/>
    </sheetNames>
    <sheetDataSet>
      <sheetData sheetId="0"/>
      <sheetData sheetId="1"/>
      <sheetData sheetId="2"/>
      <sheetData sheetId="3">
        <row r="1">
          <cell r="A1" t="str">
            <v>Etiquetas de fila</v>
          </cell>
        </row>
      </sheetData>
      <sheetData sheetId="4">
        <row r="1">
          <cell r="A1" t="str">
            <v>Etiquetas de fila</v>
          </cell>
        </row>
      </sheetData>
      <sheetData sheetId="5">
        <row r="1">
          <cell r="A1" t="str">
            <v>CODIGO PUNTO DE SERVICIO</v>
          </cell>
        </row>
      </sheetData>
      <sheetData sheetId="6">
        <row r="1">
          <cell r="A1" t="str">
            <v>cncodpus</v>
          </cell>
        </row>
      </sheetData>
      <sheetData sheetId="7"/>
      <sheetData sheetId="8">
        <row r="1">
          <cell r="A1" t="str">
            <v>CODIGO PUNTO DE SERVICIO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i Hernández" refreshedDate="46036.625175462963" createdVersion="8" refreshedVersion="8" minRefreshableVersion="3" recordCount="785" xr:uid="{39D69267-AEF5-4A51-BC7A-7824365F499D}">
  <cacheSource type="worksheet">
    <worksheetSource ref="A1:W1048576" sheet="ENTREGA DE DATAFONOS EN BODEGAS"/>
  </cacheSource>
  <cacheFields count="23">
    <cacheField name="Codigo_Punto" numFmtId="0">
      <sharedItems containsString="0" containsBlank="1" containsNumber="1" containsInteger="1" minValue="10016" maxValue="81175"/>
    </cacheField>
    <cacheField name="Nombre_Punto" numFmtId="0">
      <sharedItems containsBlank="1"/>
    </cacheField>
    <cacheField name="Nit_CC_Persona" numFmtId="0">
      <sharedItems containsString="0" containsBlank="1" containsNumber="1" containsInteger="1" minValue="1034518" maxValue="2000010749"/>
    </cacheField>
    <cacheField name="TelefonoCB" numFmtId="0">
      <sharedItems containsBlank="1"/>
    </cacheField>
    <cacheField name="Celular_Contacto1" numFmtId="0">
      <sharedItems containsBlank="1"/>
    </cacheField>
    <cacheField name="Celular_dueno" numFmtId="0">
      <sharedItems containsBlank="1"/>
    </cacheField>
    <cacheField name="Dirección_Establecimiento" numFmtId="0">
      <sharedItems containsBlank="1"/>
    </cacheField>
    <cacheField name="Latitud" numFmtId="0">
      <sharedItems containsBlank="1"/>
    </cacheField>
    <cacheField name="Longitud" numFmtId="0">
      <sharedItems containsBlank="1"/>
    </cacheField>
    <cacheField name="Departamento" numFmtId="0">
      <sharedItems containsBlank="1"/>
    </cacheField>
    <cacheField name="Municipio" numFmtId="0">
      <sharedItems containsBlank="1"/>
    </cacheField>
    <cacheField name="Corregimiento" numFmtId="0">
      <sharedItems containsBlank="1"/>
    </cacheField>
    <cacheField name="Codigo_Dane" numFmtId="0">
      <sharedItems containsString="0" containsBlank="1" containsNumber="1" containsInteger="1" minValue="5001" maxValue="86749"/>
    </cacheField>
    <cacheField name="Fecha_Migracion" numFmtId="166">
      <sharedItems containsBlank="1"/>
    </cacheField>
    <cacheField name="Formulario" numFmtId="0">
      <sharedItems containsNonDate="0" containsString="0" containsBlank="1"/>
    </cacheField>
    <cacheField name="Forma de atención" numFmtId="0">
      <sharedItems containsNonDate="0" containsString="0" containsBlank="1"/>
    </cacheField>
    <cacheField name="Descripción de la Solución" numFmtId="0">
      <sharedItems containsNonDate="0" containsString="0" containsBlank="1"/>
    </cacheField>
    <cacheField name="Estado" numFmtId="0">
      <sharedItems containsNonDate="0" containsString="0" containsBlank="1"/>
    </cacheField>
    <cacheField name="Cantidad de quipos por CB" numFmtId="0">
      <sharedItems containsString="0" containsBlank="1" containsNumber="1" containsInteger="1" minValue="1" maxValue="6"/>
    </cacheField>
    <cacheField name="Bodega" numFmtId="0">
      <sharedItems containsBlank="1"/>
    </cacheField>
    <cacheField name="Centro_de_Costos" numFmtId="0">
      <sharedItems containsBlank="1" count="8">
        <s v="WOMPI NOROCCIDENTE"/>
        <s v="WOMPI COSTA"/>
        <s v="WOMPI SANTANDERES"/>
        <s v="WOMPI ORIENTE"/>
        <s v="WOMPI CENTRO"/>
        <s v="WOMPI SUROCCIDENTE"/>
        <s v="WOMPI EJE CAFETERO"/>
        <m/>
      </sharedItems>
    </cacheField>
    <cacheField name="Valor por datáfono" numFmtId="164">
      <sharedItems containsString="0" containsBlank="1" containsNumber="1" minValue="37313" maxValue="49671.7"/>
    </cacheField>
    <cacheField name="valor total" numFmtId="164">
      <sharedItems containsString="0" containsBlank="1" containsNumber="1" minValue="37313" maxValue="60581743.8999999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5">
  <r>
    <n v="15190"/>
    <s v="BARRIO CALATRAVA ITAGUI"/>
    <n v="70786438"/>
    <s v="3762974"/>
    <s v="3147834317"/>
    <s v="3209825116"/>
    <s v=" CR 59A  57-04 CALATRAVA"/>
    <s v="6.1796942"/>
    <s v="-75.6092411"/>
    <s v="ANTIOQUIA"/>
    <s v="ITAGÜÍ"/>
    <s v="ITAGÜÍ"/>
    <n v="5360"/>
    <s v="2025-12-04"/>
    <m/>
    <m/>
    <m/>
    <m/>
    <n v="4"/>
    <s v="MEDELLIN"/>
    <x v="0"/>
    <n v="37313"/>
    <n v="149252"/>
  </r>
  <r>
    <n v="78376"/>
    <s v="BARRIO PLAZA MAYORISTA ITAGUI  1"/>
    <n v="8353513"/>
    <s v="3116351859"/>
    <s v="3117912430"/>
    <s v="3192876016"/>
    <s v="CL 85 48 1 BL 8 LC 16,CENTRAL MAYORISTA DE ANTIOQUIA"/>
    <s v="6.1891746"/>
    <s v="-75.5914119"/>
    <s v="ANTIOQUIA"/>
    <s v="ITAGÜÍ"/>
    <s v="ITAGÜÍ"/>
    <n v="5360"/>
    <s v="2025-12-01"/>
    <m/>
    <m/>
    <m/>
    <m/>
    <n v="2"/>
    <s v="MEDELLIN"/>
    <x v="0"/>
    <n v="37313"/>
    <n v="74626"/>
  </r>
  <r>
    <n v="77534"/>
    <s v="BARRIO SAN JOSE ITAGUI  2"/>
    <n v="901583748"/>
    <s v="0"/>
    <s v="3136046087"/>
    <s v="3104251385"/>
    <s v="CL 36 A 38 30,SAN JOSE"/>
    <s v="6.1660099"/>
    <s v="-75.6135985"/>
    <s v="ANTIOQUIA"/>
    <s v="ITAGÜÍ"/>
    <s v="ITAGÜÍ"/>
    <n v="5360"/>
    <s v="2025-12-01"/>
    <m/>
    <m/>
    <m/>
    <m/>
    <n v="2"/>
    <s v="MEDELLIN"/>
    <x v="0"/>
    <n v="37313"/>
    <n v="74626"/>
  </r>
  <r>
    <n v="77399"/>
    <s v="BARRIO ITAGUI ITAGUI 28"/>
    <n v="28056870"/>
    <s v="3117713940"/>
    <s v="3117713940"/>
    <s v="3208484493"/>
    <s v="CR 50 85 153 LC 1,ITAGUI"/>
    <s v="6.191957"/>
    <s v=" -75.590091"/>
    <s v="ANTIOQUIA"/>
    <s v="ITAGÜÍ"/>
    <s v="ITAGÜÍ"/>
    <n v="5360"/>
    <s v="2025-12-01"/>
    <m/>
    <m/>
    <m/>
    <m/>
    <n v="3"/>
    <s v="MEDELLIN"/>
    <x v="0"/>
    <n v="37313"/>
    <n v="111939"/>
  </r>
  <r>
    <n v="73721"/>
    <s v="BARRIO ITAGUI SANTA MARIA ITAGUI 1"/>
    <n v="1129508911"/>
    <s v="3192107219"/>
    <s v="3192107219"/>
    <s v="3192107219"/>
    <s v="CALLE 31 50 C 37,ITAGÜÍ SANTAMARÍA"/>
    <s v="6.1636230"/>
    <s v="-75.6242027"/>
    <s v="ANTIOQUIA"/>
    <s v="ITAGÜÍ"/>
    <s v="ITAGÜÍ"/>
    <n v="5360"/>
    <s v="2025-12-01"/>
    <m/>
    <m/>
    <m/>
    <m/>
    <n v="1"/>
    <s v="MEDELLIN"/>
    <x v="0"/>
    <n v="37313"/>
    <n v="37313"/>
  </r>
  <r>
    <n v="72556"/>
    <s v="SAMARIA ITAGUI ANTIOQUIA"/>
    <n v="901340974"/>
    <s v="2776243"/>
    <s v="3136143749"/>
    <s v="3136143749"/>
    <s v="CALLE 34 A 54 A 64,SAMARIA"/>
    <s v="6.1679867"/>
    <s v="-75.6245184"/>
    <s v="ANTIOQUIA"/>
    <s v="ITAGÜÍ"/>
    <s v="ITAGÜÍ"/>
    <n v="5360"/>
    <s v="2025-12-03"/>
    <m/>
    <m/>
    <m/>
    <m/>
    <n v="1"/>
    <s v="MEDELLIN"/>
    <x v="0"/>
    <n v="37313"/>
    <n v="37313"/>
  </r>
  <r>
    <n v="44132"/>
    <s v="BARRIO ITAGUI ITAGUI 4"/>
    <n v="800046457"/>
    <s v="4445499"/>
    <s v="3108442514"/>
    <s v="3103741199"/>
    <s v="CL 72  42 - 33 LC 101 CE Capri Centro BRR La Esmeralda"/>
    <s v="6.1790439"/>
    <s v="-75.5930340"/>
    <s v="ANTIOQUIA"/>
    <s v="ITAGÜÍ"/>
    <s v="ITAGÜÍ"/>
    <n v="5360"/>
    <s v="2025-12-01"/>
    <m/>
    <m/>
    <m/>
    <m/>
    <n v="1"/>
    <s v="MEDELLIN"/>
    <x v="0"/>
    <n v="37313"/>
    <n v="37313"/>
  </r>
  <r>
    <n v="46735"/>
    <s v="BARRIO ITAGUI ITAGUI 8"/>
    <n v="900872708"/>
    <s v="3720051"/>
    <s v="3002919589"/>
    <s v="3002919589"/>
    <s v="CL 49 48 52,ITAGUI"/>
    <s v="6.1704157"/>
    <s v="-75.6100435"/>
    <s v="ANTIOQUIA"/>
    <s v="ITAGÜÍ"/>
    <s v="ITAGÜÍ"/>
    <n v="5360"/>
    <s v="2025-12-03"/>
    <m/>
    <m/>
    <m/>
    <m/>
    <n v="2"/>
    <s v="MEDELLIN"/>
    <x v="0"/>
    <n v="37313"/>
    <n v="74626"/>
  </r>
  <r>
    <n v="44593"/>
    <s v="BARRIO SANTA MARIA MEDELLIN"/>
    <n v="901340974"/>
    <s v="2776243"/>
    <s v="3195730489"/>
    <s v="3195730489"/>
    <s v="CR 52 D 68 16,SANTA MARÍA"/>
    <s v="6.1828006"/>
    <s v="-75.6000425"/>
    <s v="ANTIOQUIA"/>
    <s v="ITAGÜÍ"/>
    <s v="ITAGÜÍ"/>
    <n v="5360"/>
    <s v="2025-12-04"/>
    <m/>
    <m/>
    <m/>
    <m/>
    <n v="1"/>
    <s v="MEDELLIN"/>
    <x v="0"/>
    <n v="37313"/>
    <n v="37313"/>
  </r>
  <r>
    <n v="33798"/>
    <s v="BARRIO SAMARIA ITAGUI 2"/>
    <n v="900014642"/>
    <s v="3227815"/>
    <s v="3218122144"/>
    <s v="3217806471"/>
    <s v=" CL 75 A A SUR 52 G 36"/>
    <s v="6.1633840"/>
    <s v="-75.6351319"/>
    <s v="ANTIOQUIA"/>
    <s v="ITAGÜÍ"/>
    <s v="ITAGÜÍ"/>
    <n v="5360"/>
    <s v="2025-12-03"/>
    <m/>
    <m/>
    <m/>
    <m/>
    <n v="3"/>
    <s v="MEDELLIN"/>
    <x v="0"/>
    <n v="37313"/>
    <n v="111939"/>
  </r>
  <r>
    <n v="37129"/>
    <s v="BARRIO ASTURIAS ITAGUI"/>
    <n v="10183532"/>
    <s v="6125923"/>
    <s v="3116266883"/>
    <s v="3116266883"/>
    <s v=" CL 47 48 13 ASTURIAS"/>
    <s v="6.16951777"/>
    <s v="-75.6110402"/>
    <s v="ANTIOQUIA"/>
    <s v="ITAGÜÍ"/>
    <s v="ITAGÜÍ"/>
    <n v="5360"/>
    <s v="2025-12-01"/>
    <m/>
    <m/>
    <m/>
    <m/>
    <n v="2"/>
    <s v="MEDELLIN"/>
    <x v="0"/>
    <n v="37313"/>
    <n v="74626"/>
  </r>
  <r>
    <n v="34176"/>
    <s v="BARRIO PARQUE ITAGUI 5"/>
    <n v="1037586135"/>
    <s v="2819792"/>
    <s v="3015133808"/>
    <s v="3015133808"/>
    <s v=" CR 50 50 66 LC 124"/>
    <s v="6.1719033"/>
    <s v="-75.6090500"/>
    <s v="ANTIOQUIA"/>
    <s v="ITAGÜÍ"/>
    <s v="ITAGÜÍ"/>
    <n v="5360"/>
    <s v="2025-12-03"/>
    <m/>
    <m/>
    <m/>
    <m/>
    <n v="6"/>
    <s v="MEDELLIN"/>
    <x v="0"/>
    <n v="37313"/>
    <n v="223878"/>
  </r>
  <r>
    <n v="35409"/>
    <s v="BARRIO CENTRO ITAGUI 2"/>
    <n v="1036600007"/>
    <s v="4483995"/>
    <s v="3117973595"/>
    <s v="3117973595"/>
    <s v=" CL 50 48 07"/>
    <s v="6.17042333"/>
    <s v="-75.60902"/>
    <s v="ANTIOQUIA"/>
    <s v="ITAGÜÍ"/>
    <s v="ITAGÜÍ"/>
    <n v="5360"/>
    <s v="2025-12-01"/>
    <m/>
    <m/>
    <m/>
    <m/>
    <n v="2"/>
    <s v="MEDELLIN"/>
    <x v="0"/>
    <n v="37313"/>
    <n v="74626"/>
  </r>
  <r>
    <n v="24500"/>
    <s v="BARRIO CALATRAVA V - ITAGÜÍ"/>
    <n v="70786438"/>
    <s v="3726203"/>
    <s v="3223682116"/>
    <s v="3106783282"/>
    <s v=" CL 63  58DD-65"/>
    <s v="6.1813630"/>
    <s v="-75.6081392"/>
    <s v="ANTIOQUIA"/>
    <s v="ITAGÜÍ"/>
    <s v="ITAGÜÍ"/>
    <n v="5360"/>
    <s v="2025-12-04"/>
    <m/>
    <m/>
    <m/>
    <m/>
    <n v="4"/>
    <s v="MEDELLIN"/>
    <x v="0"/>
    <n v="37313"/>
    <n v="149252"/>
  </r>
  <r>
    <n v="27731"/>
    <s v="BARRIO PARQUE ITAGUI 2 - ITAGÜÍ"/>
    <n v="900014642"/>
    <s v="2772553"/>
    <s v="3136866742"/>
    <s v="3136866742"/>
    <s v=" CL 50 50 35 OF 205"/>
    <s v="6.17209933"/>
    <s v="-75.60987801"/>
    <s v="ANTIOQUIA"/>
    <s v="ITAGÜÍ"/>
    <s v="ITAGÜÍ"/>
    <n v="5360"/>
    <s v="2025-12-01"/>
    <m/>
    <m/>
    <m/>
    <m/>
    <n v="2"/>
    <s v="MEDELLIN"/>
    <x v="0"/>
    <n v="37313"/>
    <n v="74626"/>
  </r>
  <r>
    <n v="26969"/>
    <s v="BARRIO SIMON BOLIVAR  3 ITAGUI"/>
    <n v="43161222"/>
    <s v="5962262"/>
    <s v="3002069065"/>
    <s v="3002069065"/>
    <s v=" CR 45 A  63 32 ITAGUI ITAGUI ANTIOQUIA"/>
    <s v="6.1773678"/>
    <s v="-75.5982140"/>
    <s v="ANTIOQUIA"/>
    <s v="ITAGÜÍ"/>
    <s v="ITAGÜÍ"/>
    <n v="5360"/>
    <s v="2025-12-04"/>
    <m/>
    <m/>
    <m/>
    <m/>
    <n v="3"/>
    <s v="MEDELLIN"/>
    <x v="0"/>
    <n v="37313"/>
    <n v="111939"/>
  </r>
  <r>
    <n v="18551"/>
    <s v="BARRIO SIMON BOLIVAR II ITAGUI"/>
    <n v="71992351"/>
    <s v="5992099"/>
    <s v="3116075486"/>
    <s v="3116075486"/>
    <s v=" CR 45 A 65 27 SIMON BOLIVAR"/>
    <s v="6.1784909"/>
    <s v="-75.5972578"/>
    <s v="ANTIOQUIA"/>
    <s v="ITAGÜÍ"/>
    <s v="ITAGÜÍ"/>
    <n v="5360"/>
    <s v="2025-12-04"/>
    <m/>
    <m/>
    <m/>
    <m/>
    <n v="5"/>
    <s v="MEDELLIN"/>
    <x v="0"/>
    <n v="37313"/>
    <n v="186565"/>
  </r>
  <r>
    <n v="78777"/>
    <s v="BARRIO SAN PEDRO BARRANQUILLA"/>
    <n v="1046398325"/>
    <s v="3168688837"/>
    <s v="3168688837"/>
    <m/>
    <s v="CR 6 LC1 # 102 -04"/>
    <s v="10.9489988"/>
    <s v="-74.8329493"/>
    <s v="ATLÁNTICO"/>
    <s v="BARRANQUILLA"/>
    <s v="BARRANQUILLA"/>
    <n v="8001"/>
    <s v="2025-12-05"/>
    <m/>
    <m/>
    <m/>
    <m/>
    <n v="3"/>
    <s v="BARRANQUILLA"/>
    <x v="1"/>
    <n v="37313"/>
    <n v="111939"/>
  </r>
  <r>
    <n v="77516"/>
    <s v="BARRIO GALAN BARRANQUILLA  6"/>
    <n v="1140896804"/>
    <s v="3022835339"/>
    <s v="3015567707"/>
    <s v="3022835339"/>
    <s v="CR 2 39 - 50 P1,GALAN"/>
    <s v="10.93495"/>
    <s v="-74.79484"/>
    <s v="ATLÁNTICO"/>
    <s v="BARRANQUILLA"/>
    <s v="BARRANQUILLA"/>
    <n v="8001"/>
    <s v="2025-12-03"/>
    <m/>
    <m/>
    <m/>
    <m/>
    <n v="2"/>
    <s v="BARRANQUILLA"/>
    <x v="1"/>
    <n v="37313"/>
    <n v="74626"/>
  </r>
  <r>
    <n v="78064"/>
    <s v="BARRIO MERCEDES SUR BARRANQUILLA"/>
    <n v="8520914"/>
    <s v="3027089849"/>
    <s v="3027089849"/>
    <s v="3205770977"/>
    <s v="CR 35 C 76 - 101,MERCEDES SUR"/>
    <s v="10.98476"/>
    <s v="-74.81783"/>
    <s v="ATLÁNTICO"/>
    <s v="BARRANQUILLA"/>
    <s v="BARRANQUILLA"/>
    <n v="8001"/>
    <s v="2025-12-04"/>
    <m/>
    <m/>
    <m/>
    <m/>
    <n v="2"/>
    <s v="BARRANQUILLA"/>
    <x v="1"/>
    <n v="37313"/>
    <n v="74626"/>
  </r>
  <r>
    <n v="77514"/>
    <s v="BARRIO CENTRO BARRANQUILLA  52"/>
    <n v="901526326"/>
    <s v="3002141697"/>
    <s v="3023702967"/>
    <s v="3002141697"/>
    <s v="CL 40 41 - 83,CENTRO"/>
    <s v="10.98167"/>
    <s v="-74.78207"/>
    <s v="ATLÁNTICO"/>
    <s v="BARRANQUILLA"/>
    <s v="BARRANQUILLA"/>
    <n v="8001"/>
    <s v="2025-12-04"/>
    <m/>
    <m/>
    <m/>
    <m/>
    <n v="2"/>
    <s v="BARRANQUILLA"/>
    <x v="1"/>
    <n v="37313"/>
    <n v="74626"/>
  </r>
  <r>
    <n v="77194"/>
    <s v="BARRIO VILLANUEVA BARRANQUILLA 1"/>
    <n v="73550509"/>
    <s v="3157119627"/>
    <s v="3506423188"/>
    <s v="3126652819"/>
    <s v="CR 43 08 - 48,VILLANUEVA"/>
    <s v="10.98165"/>
    <s v="-74.77303"/>
    <s v="ATLÁNTICO"/>
    <s v="BARRANQUILLA"/>
    <s v="BARRANQUILLA"/>
    <n v="8001"/>
    <s v="2025-12-05"/>
    <m/>
    <m/>
    <m/>
    <m/>
    <n v="2"/>
    <s v="BARRANQUILLA"/>
    <x v="1"/>
    <n v="37313"/>
    <n v="74626"/>
  </r>
  <r>
    <n v="77215"/>
    <s v="BARRIO NUEVA GRANADA BARRANQUILLA 1"/>
    <n v="8709578"/>
    <s v="3237879555"/>
    <s v="3237879555"/>
    <s v="3237879555"/>
    <s v="CL 68 32 - 7,NUEVA GRANADA"/>
    <s v="10.98102"/>
    <s v="-74.80477"/>
    <s v="ATLÁNTICO"/>
    <s v="BARRANQUILLA"/>
    <s v="BARRANQUILLA"/>
    <n v="8001"/>
    <s v="2025-12-04"/>
    <m/>
    <m/>
    <m/>
    <m/>
    <n v="2"/>
    <s v="BARRANQUILLA"/>
    <x v="1"/>
    <n v="37313"/>
    <n v="74626"/>
  </r>
  <r>
    <n v="77298"/>
    <s v="BARRIO EVARISTO SOURDIS BARRANQUILLA"/>
    <n v="1143259355"/>
    <s v="3018014395"/>
    <s v="3018014395"/>
    <s v="3003610821"/>
    <s v="CR 9 G 70 C - 55,EVARISTO SOURDIS"/>
    <s v="10.95937"/>
    <s v="-74.82014"/>
    <s v="ATLÁNTICO"/>
    <s v="BARRANQUILLA"/>
    <s v="BARRANQUILLA"/>
    <n v="8001"/>
    <s v="2025-12-03"/>
    <m/>
    <m/>
    <m/>
    <m/>
    <n v="2"/>
    <s v="BARRANQUILLA"/>
    <x v="1"/>
    <n v="37313"/>
    <n v="74626"/>
  </r>
  <r>
    <n v="76876"/>
    <s v="BARRIO 7 DE ABRIL BARRANQUILLA 3"/>
    <n v="1042472912"/>
    <s v="3245993871"/>
    <s v="3002690327"/>
    <s v="3245993871"/>
    <s v="CL 51 B 7 SUR - 44,7 DE ABRIL"/>
    <s v="10.92771"/>
    <s v="-74.81407"/>
    <s v="ATLÁNTICO"/>
    <s v="BARRANQUILLA"/>
    <s v="BARRANQUILLA"/>
    <n v="8001"/>
    <s v="2025-12-04"/>
    <m/>
    <m/>
    <m/>
    <m/>
    <n v="2"/>
    <s v="BARRANQUILLA"/>
    <x v="1"/>
    <n v="37313"/>
    <n v="74626"/>
  </r>
  <r>
    <n v="74251"/>
    <s v="BARRIO ALTOS DEL PRADO BARRANQUILLA"/>
    <n v="901449900"/>
    <s v="3017292085"/>
    <s v="3245482276"/>
    <s v="3017292085"/>
    <s v="CR 53 75-87,ALTOS DEL PRADO"/>
    <s v="11.0017917"/>
    <s v="-74.8053730"/>
    <s v="ATLÁNTICO"/>
    <s v="BARRANQUILLA"/>
    <s v="BARRANQUILLA"/>
    <n v="8001"/>
    <s v="2025-12-04"/>
    <m/>
    <m/>
    <m/>
    <m/>
    <n v="2"/>
    <s v="BARRANQUILLA"/>
    <x v="1"/>
    <n v="37313"/>
    <n v="74626"/>
  </r>
  <r>
    <n v="75412"/>
    <s v="BARRIO LAS MALVINAS BARRANQUILLA 3"/>
    <n v="72263142"/>
    <s v="3104266711"/>
    <s v="3004153169"/>
    <s v="3104266711"/>
    <s v="CL 99 C 9 E - 43,LAS MALVINAS"/>
    <s v="10.95687"/>
    <s v="-74.83266"/>
    <s v="ATLÁNTICO"/>
    <s v="BARRANQUILLA"/>
    <s v="BARRANQUILLA"/>
    <n v="8001"/>
    <s v="2025-12-03"/>
    <m/>
    <m/>
    <m/>
    <m/>
    <n v="2"/>
    <s v="BARRANQUILLA"/>
    <x v="1"/>
    <n v="37313"/>
    <n v="74626"/>
  </r>
  <r>
    <n v="73101"/>
    <s v="BARRIO LAS NIEVES BARRANQUILLA 5"/>
    <n v="1129518575"/>
    <s v="3008865988"/>
    <s v="3004205276"/>
    <s v="3004205276"/>
    <s v="CL 26 21-27,LAS NIEVES"/>
    <s v="10.95885"/>
    <s v="-74.78160"/>
    <s v="ATLÁNTICO"/>
    <s v="BARRANQUILLA"/>
    <s v="BARRANQUILLA"/>
    <n v="8001"/>
    <s v="2025-12-02"/>
    <m/>
    <m/>
    <m/>
    <m/>
    <n v="4"/>
    <s v="BARRANQUILLA"/>
    <x v="1"/>
    <n v="37313"/>
    <n v="149252"/>
  </r>
  <r>
    <n v="74121"/>
    <s v="BARRIO CIUDADELA 20 DE JULIO  BARRANQUILLA"/>
    <n v="1001945227"/>
    <s v="3013911818"/>
    <s v="3008093515"/>
    <s v="3008093515"/>
    <s v="CL 45 D 01 F - 21,CIUDADELA 20 DE JULIO"/>
    <s v="10.93235"/>
    <s v="-74.80072"/>
    <s v="ATLÁNTICO"/>
    <s v="BARRANQUILLA"/>
    <s v="BARRANQUILLA"/>
    <n v="8001"/>
    <s v="2025-12-02"/>
    <m/>
    <m/>
    <m/>
    <m/>
    <n v="2"/>
    <s v="BARRANQUILLA"/>
    <x v="1"/>
    <n v="37313"/>
    <n v="74626"/>
  </r>
  <r>
    <n v="74522"/>
    <s v="BARRIO LAS NIEVES BARRANQUILLA  6"/>
    <n v="901678042"/>
    <s v="3106669192"/>
    <s v="3106669192"/>
    <s v="3106700410"/>
    <s v="CR 11 23-107,LAS NIEVES"/>
    <s v="10.95023"/>
    <s v="-74.77793"/>
    <s v="ATLÁNTICO"/>
    <s v="BARRANQUILLA"/>
    <s v="BARRANQUILLA"/>
    <n v="8001"/>
    <s v="2025-12-02"/>
    <m/>
    <m/>
    <m/>
    <m/>
    <n v="2"/>
    <s v="BARRANQUILLA"/>
    <x v="1"/>
    <n v="37313"/>
    <n v="74626"/>
  </r>
  <r>
    <n v="69017"/>
    <s v="BARRIO VILLANUEVA BARRANQUILLA"/>
    <n v="900774104"/>
    <s v="3217799635"/>
    <s v="0"/>
    <s v="3103795178"/>
    <s v="CL 6 43 27,VILLANUEVA"/>
    <s v="10.9822823"/>
    <s v="-74.7701382"/>
    <s v="ATLÁNTICO"/>
    <s v="BARRANQUILLA"/>
    <s v="BARRANQUILLA"/>
    <n v="8001"/>
    <s v="2025-12-05"/>
    <m/>
    <m/>
    <m/>
    <m/>
    <n v="2"/>
    <s v="BARRANQUILLA"/>
    <x v="1"/>
    <n v="37313"/>
    <n v="74626"/>
  </r>
  <r>
    <n v="69991"/>
    <s v="BARRIO GALAN BARRANQUILLA 3"/>
    <n v="901192464"/>
    <s v="3167482678"/>
    <s v="3167482678"/>
    <s v="3167482678"/>
    <s v="CR 4 35 B 67,GALAN"/>
    <s v="10.93878"/>
    <s v="-74.79106"/>
    <s v="ATLÁNTICO"/>
    <s v="BARRANQUILLA"/>
    <s v="BARRANQUILLA"/>
    <n v="8001"/>
    <s v="2025-12-03"/>
    <m/>
    <m/>
    <m/>
    <m/>
    <n v="2"/>
    <s v="BARRANQUILLA"/>
    <x v="1"/>
    <n v="37313"/>
    <n v="74626"/>
  </r>
  <r>
    <n v="69804"/>
    <s v="BARRIO LA LUZ BARRANQUILLA  4"/>
    <n v="800010116"/>
    <s v="3182432796"/>
    <s v="0"/>
    <s v="3157222360"/>
    <s v="CL 17 18 96,LA LUZ"/>
    <s v="10.95725"/>
    <s v="-74.77412"/>
    <s v="ATLÁNTICO"/>
    <s v="BARRANQUILLA"/>
    <s v="BARRANQUILLA"/>
    <n v="8001"/>
    <s v="2025-12-02"/>
    <m/>
    <m/>
    <m/>
    <m/>
    <n v="2"/>
    <s v="BARRANQUILLA"/>
    <x v="1"/>
    <n v="37313"/>
    <n v="74626"/>
  </r>
  <r>
    <n v="69230"/>
    <s v="BARRIO LA UNION BARRANQUILLA 2"/>
    <n v="1045674976"/>
    <s v="3136607428"/>
    <s v="0"/>
    <s v="3136607428"/>
    <s v="CL 12 12 68,SECTOR EL HOSPITAL"/>
    <s v="5.9741124"/>
    <s v="-75.3642466"/>
    <s v="ANTIOQUIA"/>
    <s v="LA UNIÓN"/>
    <s v="LA UNIÓN"/>
    <n v="5400"/>
    <s v="2025-11-07"/>
    <m/>
    <m/>
    <m/>
    <m/>
    <n v="2"/>
    <s v="MEDELLIN"/>
    <x v="0"/>
    <n v="37313"/>
    <n v="74626"/>
  </r>
  <r>
    <n v="66702"/>
    <s v="BARRIO CENTRO BARRANQUILLA 44"/>
    <n v="1042440613"/>
    <s v="3163088919"/>
    <s v="3163088919"/>
    <m/>
    <s v="VRD QUIRBAQUIRA, SECTOR CASA BLANCA,VEREDA QUIRBAQUIRA"/>
    <s v="5.6912697"/>
    <s v="-73.3675628"/>
    <s v="BOYACÁ"/>
    <s v="ARCABUCO"/>
    <s v="ARCABUCO"/>
    <n v="15051"/>
    <s v="2025-11-05"/>
    <m/>
    <m/>
    <m/>
    <m/>
    <n v="2"/>
    <s v="TUNJA"/>
    <x v="2"/>
    <n v="49671.7"/>
    <n v="99343.4"/>
  </r>
  <r>
    <n v="64402"/>
    <s v="BARRIO GALAN BARRANQUILLA 2"/>
    <n v="901192464"/>
    <s v="3165362959"/>
    <s v="3165362959"/>
    <s v="3165362959"/>
    <s v="Carrera 5 # 3 - 31 Centro"/>
    <s v="5.454"/>
    <s v="-73.362"/>
    <s v="BOYACÁ"/>
    <s v="BOYACÁ"/>
    <s v="BOYACÁ"/>
    <n v="15104"/>
    <s v="2025-11-13"/>
    <m/>
    <m/>
    <m/>
    <m/>
    <n v="5"/>
    <s v="TUNJA"/>
    <x v="2"/>
    <n v="49671.7"/>
    <n v="248358.5"/>
  </r>
  <r>
    <n v="63348"/>
    <s v="BARRIO ZONA FRANCA BARRANQUILLA 1"/>
    <n v="33172327"/>
    <s v="3144233419"/>
    <s v="3144233419"/>
    <s v="3144233419"/>
    <s v="CR 4 A 3 85,CENTRO"/>
    <s v="5.4538173"/>
    <s v="-73.3630605"/>
    <s v="BOYACÁ"/>
    <s v="BOYACÁ"/>
    <s v="BOYACÁ"/>
    <n v="15104"/>
    <s v="2025-11-13"/>
    <m/>
    <m/>
    <m/>
    <m/>
    <n v="2"/>
    <s v="TUNJA"/>
    <x v="2"/>
    <n v="49671.7"/>
    <n v="99343.4"/>
  </r>
  <r>
    <n v="59489"/>
    <s v="BARRIO VILLA SAN PEDRO BARRANQUILLA 1"/>
    <n v="8708961"/>
    <s v="3225201619"/>
    <s v="3225201619"/>
    <s v="3225201619"/>
    <s v="CR 9 A 3 9,BOYACA BAJO"/>
    <s v="5.61052869"/>
    <s v="-73.82480853"/>
    <s v="BOYACÁ"/>
    <s v="CHIQUINQUIRÁ"/>
    <s v="CHIQUINQUIRÁ"/>
    <n v="15176"/>
    <s v="2025-11-14"/>
    <m/>
    <m/>
    <m/>
    <m/>
    <n v="2"/>
    <s v="TUNJA"/>
    <x v="2"/>
    <n v="49671.7"/>
    <n v="99343.4"/>
  </r>
  <r>
    <n v="54423"/>
    <s v="BARRIO CIUDADELA 20 DE JULIO BARRANQUILLA 10"/>
    <n v="1042440613"/>
    <s v="0"/>
    <s v="3103830426"/>
    <s v="3103830426"/>
    <s v="CL 42 A NR0. 8 -6 BRR LLERAS"/>
    <s v="6.4860518"/>
    <s v="-74.4055606"/>
    <s v="ANTIOQUIA"/>
    <s v="PUERTO BERRÍO"/>
    <s v="PUERTO BERRÍO"/>
    <n v="5579"/>
    <s v="2025-11-06"/>
    <m/>
    <m/>
    <m/>
    <m/>
    <n v="2"/>
    <s v="MEDELLIN"/>
    <x v="0"/>
    <n v="37313"/>
    <n v="74626"/>
  </r>
  <r>
    <n v="80520"/>
    <s v="BARRIO LA QUINTA CARTAGENA DE INDIAS"/>
    <n v="901820974"/>
    <s v="8330068"/>
    <s v="3016209379"/>
    <s v="3016209379"/>
    <s v="VRD LA MARGARITA,LA MARGARITA"/>
    <s v="6.495189"/>
    <s v="-74.474370"/>
    <s v="ANTIOQUIA"/>
    <s v="PUERTO BERRÍO"/>
    <s v="PUERTO BERRÍO"/>
    <n v="5579"/>
    <s v="2025-11-06"/>
    <m/>
    <m/>
    <m/>
    <m/>
    <n v="1"/>
    <s v="MEDELLIN"/>
    <x v="0"/>
    <n v="37313"/>
    <n v="37313"/>
  </r>
  <r>
    <n v="78900"/>
    <s v="BARRIO MANGA CARTAGENA INDIAS"/>
    <n v="1007207649"/>
    <s v="0"/>
    <s v="3137979779"/>
    <s v="3137979779"/>
    <s v="CR 3 57 97"/>
    <s v="6.4928787"/>
    <s v="-74.399246"/>
    <s v="ANTIOQUIA"/>
    <s v="PUERTO BERRÍO"/>
    <s v="PUERTO BERRÍO"/>
    <n v="5579"/>
    <s v="2025-11-07"/>
    <m/>
    <m/>
    <m/>
    <m/>
    <n v="1"/>
    <s v="MEDELLIN"/>
    <x v="0"/>
    <n v="37313"/>
    <n v="37313"/>
  </r>
  <r>
    <n v="10182"/>
    <s v="NOBSA - BOYACA"/>
    <n v="7218435"/>
    <s v="3136557113"/>
    <s v="3136557113"/>
    <s v="3136557113"/>
    <s v="CALLE 50 7 20 BRR CENTRO,CENTRO"/>
    <s v="6.4896454"/>
    <s v="-74.4034766"/>
    <s v="ANTIOQUIA"/>
    <s v="PUERTO BERRÍO"/>
    <s v="PUERTO BERRÍO"/>
    <n v="5579"/>
    <s v="2025-11-07"/>
    <m/>
    <m/>
    <m/>
    <m/>
    <n v="1"/>
    <s v="MEDELLIN"/>
    <x v="0"/>
    <n v="37313"/>
    <n v="37313"/>
  </r>
  <r>
    <n v="39438"/>
    <s v="BARRIO JERONIMO HOLGUIN NOBSA"/>
    <n v="7218435"/>
    <s v="0"/>
    <s v="3229306882"/>
    <s v="3229306882"/>
    <s v="VRA MINAS DEL VAPOR - VDA MINAS DEL VAPOR ,VRA MINAS DEL VAPOR"/>
    <s v="6.4564882"/>
    <s v="-74.6306562"/>
    <s v="ANTIOQUIA"/>
    <s v="PUERTO BERRÍO"/>
    <s v="PUERTO BERRÍO"/>
    <n v="5579"/>
    <s v="2025-11-10"/>
    <m/>
    <m/>
    <m/>
    <m/>
    <n v="1"/>
    <s v="MEDELLIN"/>
    <x v="0"/>
    <n v="37313"/>
    <n v="37313"/>
  </r>
  <r>
    <n v="71811"/>
    <s v="BARRIO CENTRO NOBSA"/>
    <n v="46383377"/>
    <s v="8821750"/>
    <s v="3103292709"/>
    <s v="3103292709"/>
    <s v=" CL 54  7-13 LA GRANJA"/>
    <s v="5.56117952"/>
    <s v="-73.34892293"/>
    <s v="BOYACÁ"/>
    <s v="TUNJA"/>
    <s v="TUNJA"/>
    <n v="15001"/>
    <s v="2025-11-20"/>
    <m/>
    <m/>
    <m/>
    <m/>
    <n v="1"/>
    <s v="TUNJA"/>
    <x v="2"/>
    <n v="49671.7"/>
    <n v="49671.7"/>
  </r>
  <r>
    <n v="51286"/>
    <s v="BARRIO BUENOS AIRES BARRANQUILLA 1"/>
    <n v="1143135432"/>
    <s v="3108181835"/>
    <s v="3143145414"/>
    <s v="3143145414"/>
    <s v="CR 8 B 58 05,SANTA RITA"/>
    <s v="5.5653133"/>
    <s v="-73.3478377"/>
    <s v="BOYACÁ"/>
    <s v="TUNJA"/>
    <s v="TUNJA"/>
    <n v="15001"/>
    <s v="2025-11-05"/>
    <m/>
    <m/>
    <m/>
    <m/>
    <n v="2"/>
    <s v="TUNJA"/>
    <x v="2"/>
    <n v="49671.7"/>
    <n v="99343.4"/>
  </r>
  <r>
    <n v="50827"/>
    <s v="BARRIO EL ROMANCE BARRANQUILLA"/>
    <n v="32836762"/>
    <s v="3228080370"/>
    <s v="3228080370"/>
    <s v="3228080370"/>
    <s v="CR 9 20 09,CENTRO"/>
    <s v="5.53291885"/>
    <s v="-73.36089901"/>
    <s v="BOYACÁ"/>
    <s v="TUNJA"/>
    <s v="TUNJA"/>
    <n v="15001"/>
    <s v="2025-11-20"/>
    <m/>
    <m/>
    <m/>
    <m/>
    <n v="3"/>
    <s v="TUNJA"/>
    <x v="2"/>
    <n v="49671.7"/>
    <n v="149015.09999999998"/>
  </r>
  <r>
    <n v="51688"/>
    <s v="BARRIO BETANIA BARRANQUILLA 1"/>
    <n v="32869593"/>
    <s v="3102533408"/>
    <s v="3102533400"/>
    <s v="3102533400"/>
    <s v="CL 34 B 16 B 16,LA FUENTE"/>
    <s v="5.54800902"/>
    <s v="-73.36447181"/>
    <s v="BOYACÁ"/>
    <s v="TUNJA"/>
    <s v="TUNJA"/>
    <n v="15001"/>
    <s v="2025-11-20"/>
    <m/>
    <m/>
    <m/>
    <m/>
    <n v="2"/>
    <s v="TUNJA"/>
    <x v="2"/>
    <n v="49671.7"/>
    <n v="99343.4"/>
  </r>
  <r>
    <n v="50447"/>
    <s v="BARRIO LA MGADALENA BARRANQUILLA"/>
    <n v="900537068"/>
    <s v="6043170362"/>
    <s v="3174070761"/>
    <s v="3174070761"/>
    <s v="CL 46 45 20,ITAGÜÍ"/>
    <s v="6.1676270"/>
    <s v="-75.6112657"/>
    <s v="ANTIOQUIA"/>
    <s v="ITAGÜÍ"/>
    <s v="ITAGÜÍ"/>
    <n v="5360"/>
    <s v="2025-11-20"/>
    <m/>
    <m/>
    <m/>
    <m/>
    <n v="2"/>
    <s v="MEDELLIN"/>
    <x v="0"/>
    <n v="37313"/>
    <n v="74626"/>
  </r>
  <r>
    <n v="46935"/>
    <s v="BARRIO CIUDADELA 20 DE JULIO BARRANQUILLA 8"/>
    <n v="72238454"/>
    <s v="3714091"/>
    <s v="3147053945"/>
    <s v="3147053945"/>
    <s v=" CL 50 41 95"/>
    <s v="6.16614944444"/>
    <s v="-75.60705277"/>
    <s v="ANTIOQUIA"/>
    <s v="ITAGÜÍ"/>
    <s v="ITAGÜÍ"/>
    <n v="5360"/>
    <s v="2025-11-05"/>
    <m/>
    <m/>
    <m/>
    <m/>
    <n v="2"/>
    <s v="MEDELLIN"/>
    <x v="0"/>
    <n v="37313"/>
    <n v="74626"/>
  </r>
  <r>
    <n v="43972"/>
    <s v="BARRIO DELICIAS BARRANQUILLA 2"/>
    <n v="900723573"/>
    <s v="3734111"/>
    <s v="3116219865"/>
    <s v="3116219865"/>
    <s v=" CL 36 69 D 66"/>
    <s v="6.1745154"/>
    <s v="-75.6341963"/>
    <s v="ANTIOQUIA"/>
    <s v="ITAGÜÍ"/>
    <s v="ITAGÜÍ"/>
    <n v="5360"/>
    <s v="2025-11-20"/>
    <m/>
    <m/>
    <m/>
    <m/>
    <n v="2"/>
    <s v="MEDELLIN"/>
    <x v="0"/>
    <n v="37313"/>
    <n v="74626"/>
  </r>
  <r>
    <n v="37719"/>
    <s v="BARRIO CENTRO BARRANQUILLA 6"/>
    <n v="72200736"/>
    <s v="2815772"/>
    <s v="3004564538"/>
    <s v="3229709071"/>
    <s v="CL 76 45 A 23"/>
    <s v="6.1831241"/>
    <s v="-75.5921676"/>
    <s v="ANTIOQUIA"/>
    <s v="ITAGÜÍ"/>
    <s v="ITAGÜÍ"/>
    <n v="5360"/>
    <s v="2025-11-20"/>
    <m/>
    <m/>
    <m/>
    <m/>
    <n v="1"/>
    <s v="MEDELLIN"/>
    <x v="0"/>
    <n v="37313"/>
    <n v="37313"/>
  </r>
  <r>
    <n v="76444"/>
    <s v="BARRIO LAS GAVIOSTAS CARTAGENA DE INDIAS"/>
    <n v="23133427"/>
    <m/>
    <s v="3115984971"/>
    <s v="3115984971"/>
    <s v=" CL PRINCIPAL DE SAN ANTONIO DE GETUCHA"/>
    <s v="1.0999342"/>
    <s v="-75.4022001"/>
    <s v="CAQUETÁ"/>
    <s v="MILÁN"/>
    <s v="MILÁN"/>
    <n v="18460"/>
    <s v="2025-11-21"/>
    <m/>
    <m/>
    <m/>
    <m/>
    <n v="2"/>
    <s v="NEIVA"/>
    <x v="3"/>
    <n v="49671.7"/>
    <n v="99343.4"/>
  </r>
  <r>
    <n v="74906"/>
    <s v="BARRIO TERMINAL DE TRANSPORTE CARTAGENA 1"/>
    <n v="1045420782"/>
    <m/>
    <s v="3124344457"/>
    <s v="3124344457"/>
    <s v=" CL PRINCIPAL IPM SAN ANTONIO DE GETUCHA SAN ANTONIO GETUCHA"/>
    <s v="1.098474166"/>
    <s v="-75.40140972"/>
    <s v="CAQUETÁ"/>
    <s v="MILÁN"/>
    <s v="MILÁN"/>
    <n v="18460"/>
    <s v="2025-11-21"/>
    <m/>
    <m/>
    <m/>
    <m/>
    <n v="1"/>
    <s v="NEIVA"/>
    <x v="3"/>
    <n v="49671.7"/>
    <n v="49671.7"/>
  </r>
  <r>
    <n v="73154"/>
    <s v="BARRIO CIUDADELA INDIA CATALINA CARTAGENA DE INDIAS 2"/>
    <n v="25878577"/>
    <s v="3212068788"/>
    <s v="3212068788"/>
    <s v="3212068788"/>
    <s v="CL PRINCIPAL MANZANA 9,CENTRO"/>
    <s v="1.0999974"/>
    <s v="-75.4022003"/>
    <s v="CAQUETÁ"/>
    <s v="MILÁN"/>
    <s v="MILÁN"/>
    <n v="18460"/>
    <s v="2025-11-21"/>
    <m/>
    <m/>
    <m/>
    <m/>
    <n v="2"/>
    <s v="NEIVA"/>
    <x v="3"/>
    <n v="49671.7"/>
    <n v="99343.4"/>
  </r>
  <r>
    <n v="74080"/>
    <s v="BARRIO NUEVO BOSQUE CARTAGENA DE INDIAS 7"/>
    <n v="1235038058"/>
    <s v="3234014949"/>
    <s v="3106240241"/>
    <s v="3106240241"/>
    <s v=" PLAZA PRINCIPAL DEL PROGRESO 17 35 ,brrEL PROGRESO"/>
    <s v="9.019334"/>
    <s v="-76.261506"/>
    <s v="CÓRDOBA"/>
    <s v="PUERTO ESCONDIDO"/>
    <s v="PUERTO ESCONDIDO"/>
    <n v="23574"/>
    <s v="2025-11-28"/>
    <m/>
    <m/>
    <m/>
    <m/>
    <n v="2"/>
    <s v="MONTERIA"/>
    <x v="1"/>
    <n v="37313"/>
    <n v="74626"/>
  </r>
  <r>
    <n v="34790"/>
    <s v="BARRIO LAS AMERICAS BARRANQUILLA"/>
    <n v="55240390"/>
    <s v="3186385"/>
    <s v="3116827824"/>
    <s v="3116827824"/>
    <s v=" CL 1 1 119"/>
    <s v="9.1838259"/>
    <s v="-75.5481295"/>
    <s v="CÓRDOBA"/>
    <s v="TUCHÍN"/>
    <s v="TUCHÍN"/>
    <n v="23815"/>
    <s v="2025-11-10"/>
    <m/>
    <m/>
    <m/>
    <m/>
    <n v="2"/>
    <s v="MONTERIA"/>
    <x v="1"/>
    <n v="37313"/>
    <n v="74626"/>
  </r>
  <r>
    <n v="28367"/>
    <s v="BARRIO BARRANQUILLITA 2 BARRANQUILLA"/>
    <n v="4253436"/>
    <s v="7856529"/>
    <s v="3004483217"/>
    <s v="3004483217"/>
    <s v="CL 13 CR  13 A  85 BARRIO CENTRAL"/>
    <s v="9.1868027"/>
    <s v="-75.5545002"/>
    <s v="CÓRDOBA"/>
    <s v="TUCHÍN"/>
    <s v="TUCHÍN"/>
    <n v="23815"/>
    <s v="2025-11-10"/>
    <m/>
    <m/>
    <m/>
    <m/>
    <n v="4"/>
    <s v="MONTERIA"/>
    <x v="1"/>
    <n v="37313"/>
    <n v="149252"/>
  </r>
  <r>
    <n v="29786"/>
    <s v="BARRIO CEIBA BARRANQUILLA"/>
    <n v="900691120"/>
    <s v="3017479723"/>
    <s v="3145144465"/>
    <s v="3145144465"/>
    <s v="CL 15 12-34 FRENTE AL PARQUE,EL CENTRO"/>
    <s v="9.18719"/>
    <s v="-75.55416"/>
    <s v="CÓRDOBA"/>
    <s v="TUCHÍN"/>
    <s v="TUCHÍN"/>
    <n v="23815"/>
    <s v="2025-11-10"/>
    <m/>
    <m/>
    <m/>
    <m/>
    <n v="1"/>
    <s v="MONTERIA"/>
    <x v="1"/>
    <n v="37313"/>
    <n v="37313"/>
  </r>
  <r>
    <n v="27937"/>
    <s v="BARRIO LAS MORAS BARRANQUILLA"/>
    <n v="22517110"/>
    <s v="3004573086"/>
    <s v="3004573086"/>
    <s v="3004573086"/>
    <s v="CL 14 15 C 33,SAN PEDRO"/>
    <s v="9.1872295"/>
    <s v="-75.5560865"/>
    <s v="CÓRDOBA"/>
    <s v="TUCHÍN"/>
    <s v="TUCHÍN"/>
    <n v="23815"/>
    <s v="2025-11-10"/>
    <m/>
    <m/>
    <m/>
    <m/>
    <n v="5"/>
    <s v="MONTERIA"/>
    <x v="1"/>
    <n v="37313"/>
    <n v="186565"/>
  </r>
  <r>
    <n v="26911"/>
    <s v="BARRIO BETANIA LOS PATIOS"/>
    <n v="60310580"/>
    <s v="3138796610"/>
    <s v="3138796610"/>
    <s v="3138796610"/>
    <s v="CL 13 13 4,TUCHIN"/>
    <s v="9.187192"/>
    <s v="-75.553131"/>
    <s v="CÓRDOBA"/>
    <s v="TUCHÍN"/>
    <s v="TUCHÍN"/>
    <n v="23815"/>
    <s v="2025-11-13"/>
    <m/>
    <m/>
    <m/>
    <m/>
    <n v="2"/>
    <s v="MONTERIA"/>
    <x v="1"/>
    <n v="37313"/>
    <n v="74626"/>
  </r>
  <r>
    <n v="24836"/>
    <s v="BARRIO ONCE DE NOVIEMBRE LOS PATIOS 2"/>
    <n v="900576569"/>
    <s v="3005145872"/>
    <s v="3005145872"/>
    <s v="3005145872"/>
    <s v="CL 12 16 D 153,OTRO"/>
    <s v="9.185053"/>
    <s v="-75.558262"/>
    <s v="CÓRDOBA"/>
    <s v="TUCHÍN"/>
    <s v="TUCHÍN"/>
    <n v="23815"/>
    <s v="2025-11-13"/>
    <m/>
    <m/>
    <m/>
    <m/>
    <n v="1"/>
    <s v="MONTERIA"/>
    <x v="1"/>
    <n v="37313"/>
    <n v="37313"/>
  </r>
  <r>
    <n v="78876"/>
    <s v="BARRIO TIERRA LINDA LOS PATIOS 6"/>
    <n v="1005027949"/>
    <m/>
    <s v="3133684189"/>
    <s v="3133684189"/>
    <s v="TV 8 12 35,SANTA HELENA"/>
    <s v="4.7366952"/>
    <s v="-74.3446350"/>
    <s v="CUNDINAMARCA"/>
    <s v="BOJACÁ"/>
    <s v="BOJACÁ"/>
    <n v="25099"/>
    <s v="2025-11-10"/>
    <m/>
    <m/>
    <m/>
    <m/>
    <n v="3"/>
    <s v="BOGOTA"/>
    <x v="4"/>
    <n v="37313"/>
    <n v="111939"/>
  </r>
  <r>
    <n v="64062"/>
    <s v="BARRIO BOSQUE CARTAGENA DE INDIAS 3"/>
    <n v="900975195"/>
    <s v="3168652745"/>
    <s v="3168652745"/>
    <m/>
    <s v="CR 10 D 9 79 ,SANTA ELENA BOJACA"/>
    <s v="4.7372958"/>
    <s v="-74.3442711"/>
    <s v="CUNDINAMARCA"/>
    <s v="BOJACÁ"/>
    <s v="BOJACÁ"/>
    <n v="25099"/>
    <s v="2025-11-14"/>
    <m/>
    <m/>
    <m/>
    <m/>
    <n v="1"/>
    <s v="BOGOTA"/>
    <x v="4"/>
    <n v="37313"/>
    <n v="37313"/>
  </r>
  <r>
    <n v="61410"/>
    <s v="BARRIO TERNERA CARTAGENA DE INDIAS 1"/>
    <n v="1020417826"/>
    <s v="0"/>
    <s v="3228490249"/>
    <s v="3228490249"/>
    <s v="CL 7 5 58"/>
    <s v="4.7328166"/>
    <s v="-74.3412807"/>
    <s v="CUNDINAMARCA"/>
    <s v="BOJACÁ"/>
    <s v="BOJACÁ"/>
    <n v="25099"/>
    <s v="2025-11-13"/>
    <m/>
    <m/>
    <m/>
    <m/>
    <n v="1"/>
    <s v="BOGOTA"/>
    <x v="4"/>
    <n v="37313"/>
    <n v="37313"/>
  </r>
  <r>
    <n v="61411"/>
    <s v="BARRIO TERNERA CARTGENA DE INDIAS"/>
    <n v="1020417826"/>
    <s v="0"/>
    <s v="3143402603"/>
    <s v="3143402603"/>
    <s v="CL 17 14 58,CENTRO"/>
    <s v="4.740918"/>
    <s v="-74.344396"/>
    <s v="CUNDINAMARCA"/>
    <s v="BOJACÁ"/>
    <s v="BOJACÁ"/>
    <n v="25099"/>
    <s v="2025-11-10"/>
    <m/>
    <m/>
    <m/>
    <m/>
    <n v="1"/>
    <s v="BOGOTA"/>
    <x v="4"/>
    <n v="37313"/>
    <n v="37313"/>
  </r>
  <r>
    <n v="77602"/>
    <s v="BARRIO CENTRO GALAPA  5"/>
    <n v="1047239870"/>
    <s v="8840153"/>
    <s v="3102002969"/>
    <s v="3102002969"/>
    <s v="AUT NORTE KM 23 VDA YERBABUENA ESTACIÓN DE SERVICIO ESSO"/>
    <s v="4.869898"/>
    <s v="-74.022365"/>
    <s v="CUNDINAMARCA"/>
    <s v="CHÍA"/>
    <s v="CHÍA"/>
    <n v="25175"/>
    <s v="2025-11-11"/>
    <m/>
    <m/>
    <m/>
    <m/>
    <n v="2"/>
    <s v="BOGOTA"/>
    <x v="4"/>
    <n v="37313"/>
    <n v="74626"/>
  </r>
  <r>
    <n v="47377"/>
    <s v="BARRIO VEREDA BUITREROS CUITIVA"/>
    <n v="901162599"/>
    <s v="3114483703"/>
    <s v="3114483703"/>
    <s v="3114483703"/>
    <s v="CR 13 17 103,LA PRIMAVERA"/>
    <s v="4.8675661"/>
    <s v="-74.0595819"/>
    <s v="CUNDINAMARCA"/>
    <s v="CHÍA"/>
    <s v="CHÍA"/>
    <n v="25175"/>
    <s v="2025-11-04"/>
    <m/>
    <m/>
    <m/>
    <m/>
    <n v="1"/>
    <s v="BOGOTA"/>
    <x v="4"/>
    <n v="37313"/>
    <n v="37313"/>
  </r>
  <r>
    <n v="77546"/>
    <s v="BARRIO LA CORDIALIDAD LOS PATIOS 9"/>
    <n v="60360897"/>
    <s v="3227018594"/>
    <s v="3227018594"/>
    <m/>
    <s v="CR 3 31 36 CA 42,NUEVO MILENIO"/>
    <s v="4.8782894"/>
    <s v="-74.0452671"/>
    <s v="CUNDINAMARCA"/>
    <s v="CHÍA"/>
    <s v="CHÍA"/>
    <n v="25175"/>
    <s v="2025-11-04"/>
    <m/>
    <m/>
    <m/>
    <m/>
    <n v="2"/>
    <s v="BOGOTA"/>
    <x v="4"/>
    <n v="37313"/>
    <n v="74626"/>
  </r>
  <r>
    <n v="72493"/>
    <s v="KILOMETRO 8 LOS PATIOS "/>
    <n v="13496724"/>
    <s v="3203536252"/>
    <s v="3203536252"/>
    <s v="3203536252"/>
    <s v="AV CHILACOS CR 9 21 - 56,CHILACOS"/>
    <s v="4.8683050"/>
    <s v="-74.0539150"/>
    <s v="CUNDINAMARCA"/>
    <s v="CHÍA"/>
    <s v="CHÍA"/>
    <n v="25175"/>
    <s v="2025-11-04"/>
    <m/>
    <m/>
    <m/>
    <m/>
    <n v="2"/>
    <s v="BOGOTA"/>
    <x v="4"/>
    <n v="37313"/>
    <n v="74626"/>
  </r>
  <r>
    <n v="74339"/>
    <s v="BARRIO ONCE DE NOVIEMBRE LOS PATIOS 7"/>
    <n v="1093292148"/>
    <s v="3107760065"/>
    <s v="3107760065"/>
    <s v="3107760065"/>
    <s v="KM 24 VIA CHIA -CAJICA.MARGARITAS EDS TEXACO"/>
    <s v="4.8831373"/>
    <s v="-74.0376439"/>
    <s v="CUNDINAMARCA"/>
    <s v="CHÍA"/>
    <s v="CHÍA"/>
    <n v="25175"/>
    <s v="2025-11-13"/>
    <m/>
    <m/>
    <m/>
    <m/>
    <n v="2"/>
    <s v="BOGOTA"/>
    <x v="4"/>
    <n v="37313"/>
    <n v="74626"/>
  </r>
  <r>
    <n v="50115"/>
    <s v="BARRIO CARACOLES CARTAGENA DE INDIAS"/>
    <n v="23135708"/>
    <s v="5139474"/>
    <s v="3146302114"/>
    <s v="3146302114"/>
    <s v=" CL 7 CR 1 ESQ"/>
    <s v="1.9226472"/>
    <s v="-74.6913869"/>
    <s v="CAQUETÁ"/>
    <s v="SAN VICENTE DEL CAGUÁN"/>
    <s v="SAN VICENTE DEL CAGUÁN"/>
    <n v="18753"/>
    <s v="2025-11-24"/>
    <m/>
    <m/>
    <m/>
    <m/>
    <n v="2"/>
    <s v="NEIVA"/>
    <x v="3"/>
    <n v="49671.7"/>
    <n v="99343.4"/>
  </r>
  <r>
    <n v="49655"/>
    <s v="BARRIO URB PALMA DE SALAMANCA SEC 2 CARTAGENA DE INDIAS"/>
    <n v="1007800738"/>
    <s v="3203069"/>
    <s v="3203069606"/>
    <s v="3203069606"/>
    <s v=" VRD CRISTALINA DEL LOZADA"/>
    <s v="2.1132197"/>
    <s v="-74.7692183"/>
    <s v="CAQUETÁ"/>
    <s v="SAN VICENTE DEL CAGUÁN"/>
    <s v="SAN VICENTE DEL CAGUÁN"/>
    <n v="18753"/>
    <s v="2025-11-06"/>
    <m/>
    <m/>
    <m/>
    <m/>
    <n v="1"/>
    <s v="NEIVA"/>
    <x v="3"/>
    <n v="49671.7"/>
    <n v="49671.7"/>
  </r>
  <r>
    <n v="48268"/>
    <s v="BARRIO CAMPESTRE CARTAGENA DE INDIAS"/>
    <n v="33310555"/>
    <m/>
    <s v="3133287624"/>
    <s v="3133287624"/>
    <s v=" CASERIO LA NOVIA,CASERIO LA NOVIA"/>
    <s v="2.1037246"/>
    <s v="-74.7691966"/>
    <s v="CAQUETÁ"/>
    <s v="SAN VICENTE DEL CAGUÁN"/>
    <s v="SAN VICENTE DEL CAGUÁN"/>
    <n v="18753"/>
    <s v="2025-11-25"/>
    <m/>
    <m/>
    <m/>
    <m/>
    <n v="4"/>
    <s v="NEIVA"/>
    <x v="3"/>
    <n v="49671.7"/>
    <n v="198686.8"/>
  </r>
  <r>
    <n v="38270"/>
    <s v="BARRIO CEBALLOS CARTAGENA DE INDIAS"/>
    <n v="9098817"/>
    <s v="3213717225"/>
    <s v="3213717225"/>
    <s v="3219968637"/>
    <s v="MZ N LT2,EL TRIUNFO"/>
    <s v="2.1209107"/>
    <s v="-74.7563908"/>
    <s v="CAQUETÁ"/>
    <s v="SAN VICENTE DEL CAGUÁN"/>
    <s v="SAN VICENTE DEL CAGUÁN"/>
    <n v="18753"/>
    <s v="2025-11-06"/>
    <m/>
    <m/>
    <m/>
    <m/>
    <n v="2"/>
    <s v="NEIVA"/>
    <x v="3"/>
    <n v="49671.7"/>
    <n v="99343.4"/>
  </r>
  <r>
    <n v="65758"/>
    <s v="BARRIO TIERRA LINDA LOS PATIOS 2"/>
    <n v="1005037042"/>
    <s v="3236853994"/>
    <s v="3226853994"/>
    <s v="3226853994"/>
    <s v="CR 7 5 74 LOCAL 27 INTERNO ,GALERIA MUNICIPAL"/>
    <s v="2.1128627"/>
    <s v="-74.7719252"/>
    <s v="CAQUETÁ"/>
    <s v="SAN VICENTE DEL CAGUÁN"/>
    <s v="SAN VICENTE DEL CAGUÁN"/>
    <n v="18753"/>
    <s v="2025-11-13"/>
    <m/>
    <m/>
    <m/>
    <m/>
    <n v="2"/>
    <s v="NEIVA"/>
    <x v="3"/>
    <n v="49671.7"/>
    <n v="99343.4"/>
  </r>
  <r>
    <n v="67138"/>
    <s v="BARRIO PATIO CENTRO LOS PATIOS 1"/>
    <n v="88250291"/>
    <s v="3209387427"/>
    <s v="3209387427"/>
    <m/>
    <s v="INSPECCION LOS POZOS"/>
    <s v="2.1231124"/>
    <s v="-74.5564811"/>
    <s v="CAQUETÁ"/>
    <s v="SAN VICENTE DEL CAGUÁN"/>
    <s v="SAN VICENTE DEL CAGUÁN"/>
    <n v="18753"/>
    <s v="2025-11-06"/>
    <m/>
    <m/>
    <m/>
    <m/>
    <n v="1"/>
    <s v="NEIVA"/>
    <x v="3"/>
    <n v="49671.7"/>
    <n v="49671.7"/>
  </r>
  <r>
    <n v="51436"/>
    <s v="BARRIO URB PENSILVANIA LOS PATIOS "/>
    <n v="901220535"/>
    <s v="3005153568"/>
    <s v="3005153568"/>
    <m/>
    <s v="CL 1 6 24,HERNANDEZ"/>
    <s v="2.1107534"/>
    <s v="-74.7690186"/>
    <s v="CAQUETÁ"/>
    <s v="SAN VICENTE DEL CAGUÁN"/>
    <s v="SAN VICENTE DEL CAGUÁN"/>
    <n v="18753"/>
    <s v="2025-11-13"/>
    <m/>
    <m/>
    <m/>
    <m/>
    <n v="1"/>
    <s v="NEIVA"/>
    <x v="3"/>
    <n v="49671.7"/>
    <n v="49671.7"/>
  </r>
  <r>
    <n v="45904"/>
    <s v="BARRIO TASAJERO LOS PATIOS"/>
    <n v="1986321"/>
    <s v="3229147898"/>
    <s v="3202020891"/>
    <s v="3202020891"/>
    <s v="CR 9 13 SUR,JARDIN"/>
    <s v="2.107108"/>
    <s v="-74.769386"/>
    <s v="CAQUETÁ"/>
    <s v="SAN VICENTE DEL CAGUÁN"/>
    <s v="SAN VICENTE DEL CAGUÁN"/>
    <n v="18753"/>
    <s v="2025-11-06"/>
    <m/>
    <m/>
    <m/>
    <m/>
    <n v="2"/>
    <s v="NEIVA"/>
    <x v="3"/>
    <n v="49671.7"/>
    <n v="99343.4"/>
  </r>
  <r>
    <n v="46025"/>
    <s v="BARRIO DOCE DE OCTUBRE LOS PATIOS"/>
    <n v="1093739795"/>
    <s v="3015583086"/>
    <s v="3015583086"/>
    <s v="3015583086"/>
    <s v="CL 6 2 BIS 03 - LA CONSOLATA"/>
    <s v="2.1165792"/>
    <s v="-74.7694033"/>
    <s v="CAQUETÁ"/>
    <s v="SAN VICENTE DEL CAGUÁN"/>
    <s v="SAN VICENTE DEL CAGUÁN"/>
    <n v="18753"/>
    <s v="2025-11-12"/>
    <m/>
    <m/>
    <m/>
    <m/>
    <n v="2"/>
    <s v="NEIVA"/>
    <x v="3"/>
    <n v="49671.7"/>
    <n v="99343.4"/>
  </r>
  <r>
    <n v="34796"/>
    <s v="BARRIO CANAPOTE CARTAGENA DE INDIAS"/>
    <n v="33140885"/>
    <s v="3103212591"/>
    <s v="3103212591"/>
    <s v="3103212591"/>
    <s v="CL 5 N 4 ESQ,CENTRO"/>
    <s v="2.1142235"/>
    <s v="-74.7691074"/>
    <s v="CAQUETÁ"/>
    <s v="SAN VICENTE DEL CAGUÁN"/>
    <s v="SAN VICENTE DEL CAGUÁN"/>
    <n v="18753"/>
    <s v="2025-11-12"/>
    <m/>
    <m/>
    <m/>
    <m/>
    <n v="5"/>
    <s v="NEIVA"/>
    <x v="3"/>
    <n v="49671.7"/>
    <n v="248358.5"/>
  </r>
  <r>
    <n v="36067"/>
    <s v="BARRIO BAZURTO CARTAGENA"/>
    <n v="1047395572"/>
    <s v="3202977658"/>
    <s v="3202977658"/>
    <s v="3202977658"/>
    <s v="INSP CAMPO HERMOSO,CL PRINCIPAL"/>
    <s v="1.9201377"/>
    <s v="-74.6890496"/>
    <s v="CAQUETÁ"/>
    <s v="SAN VICENTE DEL CAGUÁN"/>
    <s v="SAN VICENTE DEL CAGUÁN"/>
    <n v="18753"/>
    <s v="2025-11-13"/>
    <m/>
    <m/>
    <m/>
    <m/>
    <n v="2"/>
    <s v="NEIVA"/>
    <x v="3"/>
    <n v="49671.7"/>
    <n v="99343.4"/>
  </r>
  <r>
    <n v="28974"/>
    <s v="BARRIO BOSQUE 4 CARTAGENA DE INDIAS"/>
    <n v="900975195"/>
    <s v="3114405136"/>
    <s v="3114405136"/>
    <m/>
    <s v="CR 7 2 31 33,PUERTO REDONDO"/>
    <s v="2.1105243"/>
    <s v="-74.7699071"/>
    <s v="CAQUETÁ"/>
    <s v="SAN VICENTE DEL CAGUÁN"/>
    <s v="SAN VICENTE DEL CAGUÁN"/>
    <n v="18753"/>
    <s v="2025-11-06"/>
    <m/>
    <m/>
    <m/>
    <m/>
    <n v="4"/>
    <s v="NEIVA"/>
    <x v="3"/>
    <n v="49671.7"/>
    <n v="198686.8"/>
  </r>
  <r>
    <n v="31029"/>
    <s v="BARRIO CHILE"/>
    <n v="45543065"/>
    <s v="3202403945"/>
    <s v="3202403945"/>
    <s v="3202403945"/>
    <s v=" INSP GUAYABAL,GUAYABAL"/>
    <s v="2.699445"/>
    <s v="-74.882292"/>
    <s v="CAQUETÁ"/>
    <s v="SAN VICENTE DEL CAGUÁN"/>
    <s v="SAN VICENTE DEL CAGUÁN"/>
    <n v="18753"/>
    <s v="2025-11-07"/>
    <m/>
    <m/>
    <m/>
    <m/>
    <n v="2"/>
    <s v="NEIVA"/>
    <x v="3"/>
    <n v="49671.7"/>
    <n v="99343.4"/>
  </r>
  <r>
    <n v="30332"/>
    <s v="BARRIO MANGA CARTAGENA DE INDIAS"/>
    <n v="900733016"/>
    <s v="0"/>
    <s v="3106395383"/>
    <s v="3106395383"/>
    <s v="CR 6 6 A 04,SANTA ISABEL"/>
    <s v="2.114671"/>
    <s v="-74.772639"/>
    <s v="CAQUETÁ"/>
    <s v="SAN VICENTE DEL CAGUÁN"/>
    <s v="SAN VICENTE DEL CAGUÁN"/>
    <n v="18753"/>
    <s v="2025-11-05"/>
    <m/>
    <m/>
    <m/>
    <m/>
    <n v="2"/>
    <s v="NEIVA"/>
    <x v="3"/>
    <n v="49671.7"/>
    <n v="99343.4"/>
  </r>
  <r>
    <n v="21456"/>
    <s v="BARRIO BELLAVISTA - CARTAGENA DE INDIAS"/>
    <n v="64894059"/>
    <s v="3125121138"/>
    <s v="3125121138"/>
    <s v="3125121138"/>
    <s v="MZ R LT24,URBANIZACIÓN PRIMAVERA"/>
    <s v="2.1287219"/>
    <s v="-74.7593143"/>
    <s v="CAQUETÁ"/>
    <s v="SAN VICENTE DEL CAGUÁN"/>
    <s v="SAN VICENTE DEL CAGUÁN"/>
    <n v="18753"/>
    <s v="2025-11-07"/>
    <m/>
    <m/>
    <m/>
    <m/>
    <n v="2"/>
    <s v="NEIVA"/>
    <x v="3"/>
    <n v="49671.7"/>
    <n v="99343.4"/>
  </r>
  <r>
    <n v="63361"/>
    <s v="BARRIO VEREDA EL PIÑAL VIOTA"/>
    <n v="63531706"/>
    <s v="0"/>
    <s v="3132955039"/>
    <s v="3132955039"/>
    <s v="VRD SAN JUAN DEL LOZADA ,VRD"/>
    <s v="2.242813"/>
    <s v=" -74.451859"/>
    <s v="CAQUETÁ"/>
    <s v="SAN VICENTE DEL CAGUÁN"/>
    <s v="SAN VICENTE DEL CAGUÁN"/>
    <n v="18753"/>
    <s v="2025-11-28"/>
    <m/>
    <m/>
    <m/>
    <m/>
    <n v="1"/>
    <s v="NEIVA"/>
    <x v="3"/>
    <n v="49671.7"/>
    <n v="49671.7"/>
  </r>
  <r>
    <n v="64145"/>
    <s v="BARRIO VIOTA VIOTA"/>
    <n v="79760633"/>
    <s v="0"/>
    <s v="3232268146"/>
    <s v="3214670774"/>
    <s v="CAS VILLA LOBOS"/>
    <s v="1.633825"/>
    <s v="-74.561671"/>
    <s v="CAQUETÁ"/>
    <s v="SAN VICENTE DEL CAGUÁN"/>
    <s v="SAN VICENTE DEL CAGUÁN"/>
    <n v="18753"/>
    <s v="2025-11-25"/>
    <m/>
    <m/>
    <m/>
    <m/>
    <n v="1"/>
    <s v="NEIVA"/>
    <x v="3"/>
    <n v="49671.7"/>
    <n v="49671.7"/>
  </r>
  <r>
    <n v="69316"/>
    <s v="CENTRO VIOTÁ"/>
    <n v="901225815"/>
    <s v="3143705547"/>
    <s v="3104158944"/>
    <s v="3143705547"/>
    <s v="INSP CAMPO HERMOSO"/>
    <s v="1.55150"/>
    <s v="-74.41270"/>
    <s v="CAQUETÁ"/>
    <s v="SAN VICENTE DEL CAGUÁN"/>
    <s v="SAN VICENTE DEL CAGUÁN"/>
    <n v="18753"/>
    <s v="2025-11-24"/>
    <m/>
    <m/>
    <m/>
    <m/>
    <n v="1"/>
    <s v="NEIVA"/>
    <x v="3"/>
    <n v="49671.7"/>
    <n v="49671.7"/>
  </r>
  <r>
    <n v="60480"/>
    <s v="BARRIO PARCELA ZIPAQUIRA"/>
    <n v="1075677684"/>
    <s v="3134637535"/>
    <s v="3134637535"/>
    <s v="3134637535"/>
    <s v="TV 1 67 03 MZ 19 ,LOS MUISCAS"/>
    <s v="5.5702437"/>
    <s v="-73.3395212"/>
    <s v="BOYACÁ"/>
    <s v="TUNJA"/>
    <s v="TUNJA"/>
    <n v="15001"/>
    <s v="2025-11-20"/>
    <m/>
    <m/>
    <m/>
    <m/>
    <n v="1"/>
    <s v="TUNJA"/>
    <x v="2"/>
    <n v="49671.7"/>
    <n v="49671.7"/>
  </r>
  <r>
    <n v="50484"/>
    <s v="BARRIO ZIPAQUIRA ZIPAQUIRA "/>
    <n v="830073087"/>
    <s v="3164071085"/>
    <s v="3208356593"/>
    <s v="3208356593"/>
    <s v="CR 1 A 18 20 MZ 2 CASA 2,PISO 1"/>
    <s v="5.529"/>
    <s v="-73.350"/>
    <s v="BOYACÁ"/>
    <s v="TUNJA"/>
    <s v="TUNJA"/>
    <n v="15001"/>
    <s v="2025-11-24"/>
    <m/>
    <m/>
    <m/>
    <m/>
    <n v="1"/>
    <s v="TUNJA"/>
    <x v="2"/>
    <n v="49671.7"/>
    <n v="49671.7"/>
  </r>
  <r>
    <n v="41529"/>
    <s v="BARRIO LAS PEÑITAS TUNJA"/>
    <n v="74374334"/>
    <s v="3015123142"/>
    <s v="3015123142"/>
    <s v="3015123142"/>
    <s v="CR 10 17 97"/>
    <s v="5.5310387"/>
    <s v="-73.3625633"/>
    <s v="BOYACÁ"/>
    <s v="TUNJA"/>
    <s v="TUNJA"/>
    <n v="15001"/>
    <s v="2025-11-24"/>
    <m/>
    <m/>
    <m/>
    <m/>
    <n v="1"/>
    <s v="TUNJA"/>
    <x v="2"/>
    <n v="49671.7"/>
    <n v="49671.7"/>
  </r>
  <r>
    <n v="33503"/>
    <s v="BARRIO SAN FERNANDO DOSQUEBRADAS"/>
    <n v="43501384"/>
    <s v="3164071085"/>
    <s v="3164071085"/>
    <s v="3164071085"/>
    <s v="CR 4 8 05"/>
    <s v="5.520"/>
    <s v="-73.359"/>
    <s v="BOYACÁ"/>
    <s v="TUNJA"/>
    <s v="TUNJA"/>
    <n v="15001"/>
    <s v="2025-11-24"/>
    <m/>
    <m/>
    <m/>
    <m/>
    <n v="1"/>
    <s v="TUNJA"/>
    <x v="2"/>
    <n v="49671.7"/>
    <n v="49671.7"/>
  </r>
  <r>
    <n v="32414"/>
    <s v="BARRIO TEJARES DE LA LOMA 1"/>
    <n v="1126595090"/>
    <s v="7456261"/>
    <s v="3103292709"/>
    <s v="3103292709"/>
    <s v="cr 14 N 26-124"/>
    <s v="5.540"/>
    <s v="-73.362"/>
    <s v="BOYACÁ"/>
    <s v="TUNJA"/>
    <s v="TUNJA"/>
    <n v="15001"/>
    <s v="2025-11-24"/>
    <m/>
    <m/>
    <m/>
    <m/>
    <n v="2"/>
    <s v="TUNJA"/>
    <x v="2"/>
    <n v="49671.7"/>
    <n v="99343.4"/>
  </r>
  <r>
    <n v="35868"/>
    <s v="BARRIO LOS MOLINOS DOSQUEBRADAS"/>
    <n v="42152843"/>
    <s v="7474112"/>
    <s v="3005188531"/>
    <s v="3005188531"/>
    <s v=" CR 2 ESTE 22 140"/>
    <s v="5.53512828"/>
    <s v="-73.35123733"/>
    <s v="BOYACÁ"/>
    <s v="TUNJA"/>
    <s v="TUNJA"/>
    <n v="15001"/>
    <s v="2025-11-20"/>
    <m/>
    <m/>
    <m/>
    <m/>
    <n v="1"/>
    <s v="TUNJA"/>
    <x v="2"/>
    <n v="49671.7"/>
    <n v="49671.7"/>
  </r>
  <r>
    <n v="78186"/>
    <s v="BARRIO BALAIKA DOSQUEBRADAS"/>
    <n v="901624933"/>
    <s v="3024080"/>
    <s v="3137169135"/>
    <s v="3137169135"/>
    <s v=" CL 40 1 A 71 ESTE LC 6"/>
    <s v="5.5448403"/>
    <s v="-73.3497055"/>
    <s v="BOYACÁ"/>
    <s v="TUNJA"/>
    <s v="TUNJA"/>
    <n v="15001"/>
    <s v="2025-11-24"/>
    <m/>
    <m/>
    <m/>
    <m/>
    <n v="1"/>
    <s v="TUNJA"/>
    <x v="2"/>
    <n v="49671.7"/>
    <n v="49671.7"/>
  </r>
  <r>
    <n v="79298"/>
    <s v="BARRIO LA CAPILLA DOSQUEBRADAS"/>
    <n v="1127912920"/>
    <s v="3734111"/>
    <s v="3222739405"/>
    <s v="3222739405"/>
    <s v=" CR 7 5 31"/>
    <s v="6.3264781"/>
    <s v="-72.5761156"/>
    <s v="BOYACÁ"/>
    <s v="BOAVITA"/>
    <s v="BOAVITA"/>
    <n v="15097"/>
    <s v="2025-11-07"/>
    <m/>
    <m/>
    <m/>
    <m/>
    <n v="3"/>
    <s v="TUNJA"/>
    <x v="2"/>
    <n v="49671.7"/>
    <n v="149015.09999999998"/>
  </r>
  <r>
    <n v="78248"/>
    <s v="BARRIO OTUN DOSQUEBRADAS 1"/>
    <n v="15922797"/>
    <m/>
    <s v="3125364630"/>
    <s v="3125364630"/>
    <s v="CR 7  5 -78"/>
    <s v="6.3307733"/>
    <s v="-72.5861296"/>
    <s v="BOYACÁ"/>
    <s v="BOAVITA"/>
    <s v="BOAVITA"/>
    <n v="15097"/>
    <s v="2025-11-07"/>
    <m/>
    <m/>
    <m/>
    <m/>
    <n v="1"/>
    <s v="TUNJA"/>
    <x v="2"/>
    <n v="49671.7"/>
    <n v="49671.7"/>
  </r>
  <r>
    <n v="77735"/>
    <s v="BARRIO LA ROMELIA DOSQUEBRADAS 1"/>
    <n v="91109231"/>
    <s v="3213348499"/>
    <s v="3112111435"/>
    <s v="3112111435"/>
    <s v="CL 4 NO.7-52,CENTRO"/>
    <s v="6.3292475"/>
    <s v="-72.5850955"/>
    <s v="BOYACÁ"/>
    <s v="BOAVITA"/>
    <s v="BOAVITA"/>
    <n v="15097"/>
    <s v="2025-11-07"/>
    <m/>
    <m/>
    <m/>
    <m/>
    <n v="1"/>
    <s v="TUNJA"/>
    <x v="2"/>
    <n v="49671.7"/>
    <n v="49671.7"/>
  </r>
  <r>
    <n v="26481"/>
    <s v="BARRIO SAN MIGUEL CENTRO - COROZAL"/>
    <n v="64541423"/>
    <s v="3224813573"/>
    <s v="3224813573"/>
    <s v="3224813573"/>
    <s v="CL 5 7-16 BARRIO CENTRO"/>
    <s v="6.3301919"/>
    <s v="-72.5854562"/>
    <s v="BOYACÁ"/>
    <s v="BOAVITA"/>
    <s v="BOAVITA"/>
    <n v="15097"/>
    <s v="2025-11-07"/>
    <m/>
    <m/>
    <m/>
    <m/>
    <n v="1"/>
    <s v="TUNJA"/>
    <x v="2"/>
    <n v="49671.7"/>
    <n v="49671.7"/>
  </r>
  <r>
    <n v="65900"/>
    <s v="BARRIO PATIÑO AMARILES DOSQUEBRADAS"/>
    <n v="9867943"/>
    <s v="3205974172"/>
    <s v="3205974172"/>
    <s v="3203029086"/>
    <s v="CR 7 NO.3-19,CENTRO"/>
    <s v="6.3291962"/>
    <s v="-72.5843093"/>
    <s v="BOYACÁ"/>
    <s v="BOAVITA"/>
    <s v="BOAVITA"/>
    <n v="15097"/>
    <s v="2025-11-07"/>
    <m/>
    <m/>
    <m/>
    <m/>
    <n v="1"/>
    <s v="TUNJA"/>
    <x v="2"/>
    <n v="49671.7"/>
    <n v="49671.7"/>
  </r>
  <r>
    <n v="66152"/>
    <s v="BARRIO GUADULAES DOSQUEBRADAS 1"/>
    <n v="80410202"/>
    <s v="3002031425"/>
    <s v="3002031425"/>
    <s v="3002031425"/>
    <s v="CR 63 22 15,GAMBOTICO"/>
    <s v="9.71024411"/>
    <s v="-75.11204086"/>
    <s v="BOLÍVAR"/>
    <s v="EL CARMEN DE BOLÍVAR"/>
    <s v="EL CARMEN DE BOLÍVAR"/>
    <n v="13244"/>
    <s v="2025-11-05"/>
    <m/>
    <m/>
    <m/>
    <m/>
    <n v="2"/>
    <s v="CARTAGENA"/>
    <x v="1"/>
    <n v="49671.7"/>
    <n v="99343.4"/>
  </r>
  <r>
    <n v="51187"/>
    <s v="BARRIO EL RECREO SAN FELIX DOSQUEBRADAS"/>
    <n v="1037632868"/>
    <s v="3107455213"/>
    <s v="3003566584"/>
    <s v="3003566584"/>
    <s v="CL 14 CRA 6 5 58"/>
    <s v="9.303362500000"/>
    <s v="-74.568268333"/>
    <s v="BOLÍVAR"/>
    <s v="TALAIGUA NUEVO"/>
    <s v="TALAIGUA NUEVO"/>
    <n v="13780"/>
    <s v="2025-11-06"/>
    <m/>
    <m/>
    <m/>
    <m/>
    <n v="2"/>
    <s v="CARTAGENA"/>
    <x v="1"/>
    <n v="49671.7"/>
    <n v="99343.4"/>
  </r>
  <r>
    <n v="17219"/>
    <s v="BARRIO NUEVO SOTOMAYOR II BUCARAMANGA"/>
    <n v="17588285"/>
    <s v="3215222471"/>
    <s v="3205557908"/>
    <s v="3215222471"/>
    <s v="CL 4 9 - 20 CORREGIMIENTO TALAIGUA VIEJO ,"/>
    <s v="9.3120083"/>
    <s v="-74.5856652"/>
    <s v="BOLÍVAR"/>
    <s v="TALAIGUA NUEVO"/>
    <s v="TALAIGUA NUEVO"/>
    <n v="13780"/>
    <s v="2025-11-06"/>
    <m/>
    <m/>
    <m/>
    <m/>
    <n v="2"/>
    <s v="CARTAGENA"/>
    <x v="1"/>
    <n v="49671.7"/>
    <n v="99343.4"/>
  </r>
  <r>
    <n v="75050"/>
    <s v="BARRIO CENTRO JENESANO 4"/>
    <n v="23755196"/>
    <s v="3002842027"/>
    <s v="3002842027"/>
    <s v="3002842027"/>
    <s v="CR 8B 13A 29 BODEGA,10 DE ABRIL"/>
    <s v="9.3029488"/>
    <s v="-74.5680969"/>
    <s v="BOLÍVAR"/>
    <s v="TALAIGUA NUEVO"/>
    <s v="TALAIGUA NUEVO"/>
    <n v="13780"/>
    <s v="2025-11-06"/>
    <m/>
    <m/>
    <m/>
    <m/>
    <n v="1"/>
    <s v="CARTAGENA"/>
    <x v="1"/>
    <n v="49671.7"/>
    <n v="49671.7"/>
  </r>
  <r>
    <n v="58209"/>
    <s v="BARRIO CENTRO JENESANO 2"/>
    <n v="1049625722"/>
    <s v="3114061596"/>
    <s v="3114061596"/>
    <s v="3114061596"/>
    <s v="CL 14 CR 4 72 AP 3,CENTRO"/>
    <s v="9.3040567"/>
    <s v="-74.5659567"/>
    <s v="BOLÍVAR"/>
    <s v="TALAIGUA NUEVO"/>
    <s v="TALAIGUA NUEVO"/>
    <n v="13780"/>
    <s v="2025-11-06"/>
    <m/>
    <m/>
    <m/>
    <m/>
    <n v="1"/>
    <s v="CARTAGENA"/>
    <x v="1"/>
    <n v="49671.7"/>
    <n v="49671.7"/>
  </r>
  <r>
    <n v="39909"/>
    <s v="BARRIO RETIRO DE LOS INDIOS CERETE"/>
    <n v="15319855"/>
    <s v="7794180"/>
    <s v="3102182360"/>
    <s v="3102182360"/>
    <s v="CR  8 N  7 32"/>
    <s v="5.5189662"/>
    <s v="-72.8839042"/>
    <s v="BOYACÁ"/>
    <s v="AQUITANIA"/>
    <s v="AQUITANIA"/>
    <n v="15047"/>
    <s v="2025-11-07"/>
    <m/>
    <m/>
    <m/>
    <m/>
    <n v="1"/>
    <s v="TUNJA"/>
    <x v="2"/>
    <n v="49671.7"/>
    <n v="49671.7"/>
  </r>
  <r>
    <n v="77918"/>
    <s v="BARRIO EL SOCORRO CERETE 3"/>
    <n v="50846877"/>
    <s v="3112541406"/>
    <s v="3112671055"/>
    <s v="3112671055"/>
    <s v="CR 9 4-40,CENTRO"/>
    <s v="5.717"/>
    <s v="-72.885"/>
    <s v="BOYACÁ"/>
    <s v="AQUITANIA"/>
    <s v="AQUITANIA"/>
    <n v="15047"/>
    <s v="2025-11-07"/>
    <m/>
    <m/>
    <m/>
    <m/>
    <n v="1"/>
    <s v="TUNJA"/>
    <x v="2"/>
    <n v="49671.7"/>
    <n v="49671.7"/>
  </r>
  <r>
    <n v="58877"/>
    <s v="BARRIO CORREGIMIENTO RABOLARGO CERETE"/>
    <n v="1064979627"/>
    <s v="3123296739"/>
    <s v="3123296739"/>
    <s v="3227359738"/>
    <s v="CR 6 NO.5-19,CENTRO"/>
    <s v="5.5165637"/>
    <s v="-72.8833425"/>
    <s v="BOYACÁ"/>
    <s v="AQUITANIA"/>
    <s v="AQUITANIA"/>
    <n v="15047"/>
    <s v="2025-11-07"/>
    <m/>
    <m/>
    <m/>
    <m/>
    <n v="2"/>
    <s v="TUNJA"/>
    <x v="2"/>
    <n v="49671.7"/>
    <n v="99343.4"/>
  </r>
  <r>
    <n v="75688"/>
    <s v="BARRIO CENTRO TAUSA"/>
    <n v="52268713"/>
    <m/>
    <s v="3208351906"/>
    <s v="3208351906"/>
    <s v="CL 7  6  76"/>
    <s v="5.9561861"/>
    <s v="-72.94860"/>
    <s v="BOYACÁ"/>
    <s v="CERINZA"/>
    <s v="CERINZA"/>
    <n v="15162"/>
    <s v="2025-11-11"/>
    <m/>
    <m/>
    <m/>
    <m/>
    <n v="1"/>
    <s v="TUNJA"/>
    <x v="2"/>
    <n v="49671.7"/>
    <n v="49671.7"/>
  </r>
  <r>
    <n v="80012"/>
    <s v="BARRIO FRANCISCO DE PAULA EL ZULIA 1"/>
    <n v="88250875"/>
    <s v="3138071572"/>
    <s v="3138071572"/>
    <s v="3103410945"/>
    <s v="CL 6 NO.8-26,CENTRO"/>
    <s v="5.95765"/>
    <s v="-72.949538"/>
    <s v="BOYACÁ"/>
    <s v="CERINZA"/>
    <s v="CERINZA"/>
    <n v="15162"/>
    <s v="2025-11-11"/>
    <m/>
    <m/>
    <m/>
    <m/>
    <n v="1"/>
    <s v="TUNJA"/>
    <x v="2"/>
    <n v="49671.7"/>
    <n v="49671.7"/>
  </r>
  <r>
    <n v="76882"/>
    <s v="BARRIO BUCARAMANGA BUCARAMANGA  19"/>
    <n v="1095934512"/>
    <s v="8572017"/>
    <s v="3138696817"/>
    <s v="3138696817"/>
    <s v=" CL 5  2-15"/>
    <s v="5.16855"/>
    <s v="-73.3689"/>
    <s v="BOYACÁ"/>
    <s v="CHINAVITA"/>
    <s v="CHINAVITA"/>
    <n v="15172"/>
    <s v="2025-11-04"/>
    <m/>
    <m/>
    <m/>
    <m/>
    <n v="2"/>
    <s v="TUNJA"/>
    <x v="2"/>
    <n v="49671.7"/>
    <n v="99343.4"/>
  </r>
  <r>
    <n v="74479"/>
    <s v="BARRIO VIA BUCARAMANGA - GIRON BUCARAMANGA"/>
    <n v="901749566"/>
    <s v="3107777743"/>
    <s v="3107777743"/>
    <s v="3107777743"/>
    <s v="CR 2 7 65,"/>
    <s v="5.170108"/>
    <s v="-73.368461"/>
    <s v="BOYACÁ"/>
    <s v="CHINAVITA"/>
    <s v="CHINAVITA"/>
    <n v="15172"/>
    <s v="2025-11-04"/>
    <m/>
    <m/>
    <m/>
    <m/>
    <n v="1"/>
    <s v="TUNJA"/>
    <x v="2"/>
    <n v="49671.7"/>
    <n v="49671.7"/>
  </r>
  <r>
    <n v="17025"/>
    <s v="BARRIO LOMITAS VILLA DEL ROSARIO"/>
    <n v="60329070"/>
    <s v="3124829251"/>
    <s v="3124829251"/>
    <s v="3124829251"/>
    <s v="CR 2 7 26,CENTRO"/>
    <s v="5.169"/>
    <s v="-73.368"/>
    <s v="BOYACÁ"/>
    <s v="CHINAVITA"/>
    <s v="CHINAVITA"/>
    <n v="15172"/>
    <s v="2025-11-04"/>
    <m/>
    <m/>
    <m/>
    <m/>
    <n v="2"/>
    <s v="TUNJA"/>
    <x v="2"/>
    <n v="49671.7"/>
    <n v="99343.4"/>
  </r>
  <r>
    <n v="73833"/>
    <s v="BARRIO BUCARAMANGA BUCARAMANGA 14"/>
    <n v="1094664367"/>
    <s v="3232325412"/>
    <s v="3232325412"/>
    <m/>
    <s v="CL 19 4 B 03,BUENOS AIRES"/>
    <s v="1.6212743"/>
    <s v="-75.6075378"/>
    <s v="CAQUETÁ"/>
    <s v="FLORENCIA"/>
    <s v="FLORENCIA"/>
    <n v="18001"/>
    <s v="2025-11-24"/>
    <m/>
    <m/>
    <m/>
    <m/>
    <n v="1"/>
    <s v="NEIVA"/>
    <x v="3"/>
    <n v="49671.7"/>
    <n v="49671.7"/>
  </r>
  <r>
    <n v="74426"/>
    <s v="BARRIO SAN FRANCISCO BUCARAMANGA 15"/>
    <n v="1096946084"/>
    <s v="3118117076"/>
    <s v="3175100511"/>
    <s v="3175100511"/>
    <s v="DG 15 N° 8A - 10 BARRIO LA ESTRELLA"/>
    <s v="1.6136563"/>
    <s v="-75.6071793"/>
    <s v="CAQUETÁ"/>
    <s v="FLORENCIA"/>
    <s v="FLORENCIA"/>
    <n v="18001"/>
    <s v="2025-11-24"/>
    <m/>
    <m/>
    <m/>
    <m/>
    <n v="1"/>
    <s v="NEIVA"/>
    <x v="3"/>
    <n v="49671.7"/>
    <n v="49671.7"/>
  </r>
  <r>
    <n v="74943"/>
    <s v="BARRIO BUCARAMANGA BUCARAMANGA 17"/>
    <n v="1098727985"/>
    <s v="3103096813"/>
    <s v="3103096813"/>
    <s v="3103096813"/>
    <s v="D 27 N 24 L 4 SENDEROS BARU,SENDEROS DE BARUC"/>
    <s v="1.6172231"/>
    <s v="-75.6367607"/>
    <s v="CAQUETÁ"/>
    <s v="FLORENCIA"/>
    <s v="FLORENCIA"/>
    <n v="18001"/>
    <s v="2025-11-24"/>
    <m/>
    <m/>
    <m/>
    <m/>
    <n v="1"/>
    <s v="NEIVA"/>
    <x v="3"/>
    <n v="49671.7"/>
    <n v="49671.7"/>
  </r>
  <r>
    <n v="72301"/>
    <s v="BARRIO MUTIS BUCARAMANGA 5"/>
    <n v="63271857"/>
    <s v="3102266408"/>
    <s v="3102266408"/>
    <s v="3102266408"/>
    <s v="CL 33 9 A 21 ,LA PAZ"/>
    <s v="1.6351362"/>
    <s v="-75.6147338"/>
    <s v="CAQUETÁ"/>
    <s v="FLORENCIA"/>
    <s v="FLORENCIA"/>
    <n v="18001"/>
    <s v="2025-11-18"/>
    <m/>
    <m/>
    <m/>
    <m/>
    <n v="2"/>
    <s v="NEIVA"/>
    <x v="3"/>
    <n v="49671.7"/>
    <n v="99343.4"/>
  </r>
  <r>
    <n v="71839"/>
    <s v="BUCARAMANGA CHPRRERA DE DON JUAN"/>
    <n v="63526217"/>
    <s v="3115485300"/>
    <s v="3115485300"/>
    <s v="3115485300"/>
    <s v="CR 11 9 46,COOPERATIVA"/>
    <s v="1.6112332"/>
    <s v="-75.6100526"/>
    <s v="CAQUETÁ"/>
    <s v="FLORENCIA"/>
    <s v="FLORENCIA"/>
    <n v="18001"/>
    <s v="2025-11-18"/>
    <m/>
    <m/>
    <m/>
    <m/>
    <n v="2"/>
    <s v="NEIVA"/>
    <x v="3"/>
    <n v="49671.7"/>
    <n v="99343.4"/>
  </r>
  <r>
    <n v="71840"/>
    <s v="BUCARAMANGA CAMPOHERMOSO"/>
    <n v="1127600802"/>
    <s v="3214602485"/>
    <s v="3214602485"/>
    <m/>
    <s v="CR 9 16 51,CENTRO"/>
    <s v="1.6175254"/>
    <s v="-75.6117203"/>
    <s v="CAQUETÁ"/>
    <s v="FLORENCIA"/>
    <s v="FLORENCIA"/>
    <n v="18001"/>
    <s v="2025-11-18"/>
    <m/>
    <m/>
    <m/>
    <m/>
    <n v="2"/>
    <s v="NEIVA"/>
    <x v="3"/>
    <n v="49671.7"/>
    <n v="99343.4"/>
  </r>
  <r>
    <n v="30673"/>
    <s v="BARRIO VILLA DEL ROSARIO LOMITAS"/>
    <n v="60329070"/>
    <s v="3223730837"/>
    <s v="3223730837"/>
    <s v="3223730837"/>
    <s v="CL 22 3 54 58,ALPES"/>
    <s v="1.624631"/>
    <s v="-75.605879"/>
    <s v="CAQUETÁ"/>
    <s v="FLORENCIA"/>
    <s v="FLORENCIA"/>
    <n v="18001"/>
    <s v="2025-11-19"/>
    <m/>
    <m/>
    <m/>
    <m/>
    <n v="2"/>
    <s v="NEIVA"/>
    <x v="3"/>
    <n v="49671.7"/>
    <n v="99343.4"/>
  </r>
  <r>
    <n v="32323"/>
    <s v="BARRIO LOMITAS DEL TRAPICHE VILLA DEL ROSARIO"/>
    <n v="52353530"/>
    <s v="3218952913"/>
    <s v="3218952913"/>
    <s v="3218952913"/>
    <s v="CA 228 ASENTAMIENTO LA ILUSIÓN"/>
    <s v="1.6241950"/>
    <s v="-75.6396509"/>
    <s v="CAQUETÁ"/>
    <s v="FLORENCIA"/>
    <s v="FLORENCIA"/>
    <n v="18001"/>
    <s v="2025-11-19"/>
    <m/>
    <m/>
    <m/>
    <m/>
    <n v="2"/>
    <s v="NEIVA"/>
    <x v="3"/>
    <n v="49671.7"/>
    <n v="99343.4"/>
  </r>
  <r>
    <n v="80980"/>
    <s v="BARRIO SAN MARTIN VILLA DEL ROSARIO  2"/>
    <n v="1092340632"/>
    <s v="3213306242"/>
    <s v="3213306242"/>
    <s v="3213306242"/>
    <s v="CR 13 B 10 23,EL GUAMAL"/>
    <s v="1.608255"/>
    <s v="-75.613705"/>
    <s v="CAQUETÁ"/>
    <s v="FLORENCIA"/>
    <s v="FLORENCIA"/>
    <n v="18001"/>
    <s v="2025-11-24"/>
    <m/>
    <m/>
    <m/>
    <m/>
    <n v="1"/>
    <s v="NEIVA"/>
    <x v="3"/>
    <n v="49671.7"/>
    <n v="49671.7"/>
  </r>
  <r>
    <n v="77297"/>
    <s v="BARRIO SANTANDER VILLA DEL ROSARIO  3"/>
    <n v="13173718"/>
    <s v="3202808239"/>
    <s v="3202808239"/>
    <s v="3202808239"/>
    <s v="LT7 B,LAS PALMERAS ALTAS"/>
    <s v="1.6205765"/>
    <s v="-75.5907987"/>
    <s v="CAQUETÁ"/>
    <s v="FLORENCIA"/>
    <s v="FLORENCIA"/>
    <n v="18001"/>
    <s v="2025-11-24"/>
    <m/>
    <m/>
    <m/>
    <m/>
    <n v="2"/>
    <s v="NEIVA"/>
    <x v="3"/>
    <n v="49671.7"/>
    <n v="99343.4"/>
  </r>
  <r>
    <n v="77332"/>
    <s v="BARRIO BELLAVISTA VILLA DEL ROSARIO  1"/>
    <n v="1092348379"/>
    <s v="3228444701"/>
    <s v="3228444701"/>
    <s v="3228444701"/>
    <s v="CL 3D # 5 D 29 SEC 4 BRR LAS MALVINAS"/>
    <s v="1.615849"/>
    <s v="-75.608504"/>
    <s v="CAQUETÁ"/>
    <s v="FLORENCIA"/>
    <s v="FLORENCIA"/>
    <n v="18001"/>
    <s v="2025-11-19"/>
    <m/>
    <m/>
    <m/>
    <m/>
    <n v="2"/>
    <s v="NEIVA"/>
    <x v="3"/>
    <n v="49671.7"/>
    <n v="99343.4"/>
  </r>
  <r>
    <n v="78162"/>
    <s v="BARRIO CENTRO VILLA DEL ROSARIO 4"/>
    <n v="1092345306"/>
    <s v="3232289742"/>
    <s v="3232289742"/>
    <s v="3232289742"/>
    <s v="LOTE 70,GIRASOLES"/>
    <s v="1.612902"/>
    <s v="-75.595634"/>
    <s v="CAQUETÁ"/>
    <s v="FLORENCIA"/>
    <s v="FLORENCIA"/>
    <n v="18001"/>
    <s v="2025-11-19"/>
    <m/>
    <m/>
    <m/>
    <m/>
    <n v="2"/>
    <s v="NEIVA"/>
    <x v="3"/>
    <n v="49671.7"/>
    <n v="99343.4"/>
  </r>
  <r>
    <n v="77499"/>
    <s v="BARRIO EL PARAMO VILLA DEL ROSARIO"/>
    <n v="37506363"/>
    <s v="3124856810"/>
    <s v="3123198054"/>
    <s v="3123198054"/>
    <s v="CL 3E 5D-37 LA ESPERANZA"/>
    <s v="1.22999999"/>
    <s v="-75.60207999"/>
    <s v="CAQUETÁ"/>
    <s v="FLORENCIA"/>
    <s v="FLORENCIA"/>
    <n v="18001"/>
    <s v="2025-11-19"/>
    <m/>
    <m/>
    <m/>
    <m/>
    <n v="1"/>
    <s v="NEIVA"/>
    <x v="3"/>
    <n v="49671.7"/>
    <n v="49671.7"/>
  </r>
  <r>
    <n v="60471"/>
    <s v="BARRIO EL DINDAL CAPARRAPI"/>
    <n v="1072745893"/>
    <s v="3107577365"/>
    <s v="3107577365"/>
    <s v="3107577365"/>
    <s v="CL 31 # 0 57 LC 1 BOJACA"/>
    <s v="4.8763439"/>
    <s v="-74.040245"/>
    <s v="CUNDINAMARCA"/>
    <s v="CHÍA"/>
    <s v="CHÍA"/>
    <n v="25175"/>
    <s v="2025-11-04"/>
    <m/>
    <m/>
    <m/>
    <m/>
    <n v="1"/>
    <s v="BOGOTA"/>
    <x v="4"/>
    <n v="37313"/>
    <n v="37313"/>
  </r>
  <r>
    <n v="69454"/>
    <s v="BARRIO CENTRO CAPARRAPI 1"/>
    <n v="1073610058"/>
    <s v="3045751001"/>
    <s v="3045751001"/>
    <s v="3045751001"/>
    <s v="CL 7 3 23 ESTE.SAMARIA"/>
    <s v="4.8522669"/>
    <s v="-74.0478528"/>
    <s v="CUNDINAMARCA"/>
    <s v="CHÍA"/>
    <s v="CHÍA"/>
    <n v="25175"/>
    <s v="2025-11-13"/>
    <m/>
    <m/>
    <m/>
    <m/>
    <n v="1"/>
    <s v="BOGOTA"/>
    <x v="4"/>
    <n v="37313"/>
    <n v="37313"/>
  </r>
  <r>
    <n v="76896"/>
    <s v="BARRIO CENTRO CAPARRAPI 2"/>
    <n v="80155432"/>
    <s v="0"/>
    <s v="3002013189"/>
    <s v="3202361411"/>
    <s v="CR 9 # 14 85,CENTRO"/>
    <s v="4.863076"/>
    <s v="-74.058300"/>
    <s v="CUNDINAMARCA"/>
    <s v="CHÍA"/>
    <s v="CHÍA"/>
    <n v="25175"/>
    <s v="2025-11-13"/>
    <m/>
    <m/>
    <m/>
    <m/>
    <n v="1"/>
    <s v="BOGOTA"/>
    <x v="4"/>
    <n v="37313"/>
    <n v="37313"/>
  </r>
  <r>
    <n v="68812"/>
    <s v="BARRIO CENTRO PUERTO SALGAR 2"/>
    <n v="1007405446"/>
    <s v="3174978834"/>
    <s v="3015692749"/>
    <s v="3203798443"/>
    <s v="VRD CANAVITA CON RESERVA DE ALEJANDRIA LC 03,VRD CANAVITA CON RESERVA DE ALEJANDRIA"/>
    <s v="4.9374157"/>
    <s v="-73.9394722"/>
    <s v="CUNDINAMARCA"/>
    <s v="TOCANCIPÁ"/>
    <s v="TOCANCIPÁ"/>
    <n v="25817"/>
    <s v="2025-11-25"/>
    <m/>
    <m/>
    <m/>
    <m/>
    <n v="1"/>
    <s v="BOGOTA"/>
    <x v="4"/>
    <n v="37313"/>
    <n v="37313"/>
  </r>
  <r>
    <n v="73521"/>
    <s v="BARRIO LA CONSOLATA  PUERTO SALGAR"/>
    <n v="1073321063"/>
    <s v="3183891096"/>
    <s v="3229426741"/>
    <s v="3173796853"/>
    <s v="VRD CANAVITA,VRD CANAVITA"/>
    <s v="4.9474567"/>
    <s v="-73.9225083"/>
    <s v="CUNDINAMARCA"/>
    <s v="TOCANCIPÁ"/>
    <s v="TOCANCIPÁ"/>
    <n v="25817"/>
    <s v="2025-11-25"/>
    <m/>
    <m/>
    <m/>
    <m/>
    <n v="1"/>
    <s v="BOGOTA"/>
    <x v="4"/>
    <n v="37313"/>
    <n v="37313"/>
  </r>
  <r>
    <n v="66433"/>
    <s v="BARRIO VILLAS DEL NOGAL BUCARAMANGA"/>
    <n v="1098721432"/>
    <s v="3142469719"/>
    <s v="3142469719"/>
    <s v="3046583395"/>
    <s v="CL 13 4A 26,CENTRO"/>
    <s v="4.9662848"/>
    <s v="-73.9113859"/>
    <s v="CUNDINAMARCA"/>
    <s v="TOCANCIPÁ"/>
    <s v="TOCANCIPÁ"/>
    <n v="25817"/>
    <s v="2025-11-25"/>
    <m/>
    <m/>
    <m/>
    <m/>
    <n v="2"/>
    <s v="BOGOTA"/>
    <x v="4"/>
    <n v="37313"/>
    <n v="74626"/>
  </r>
  <r>
    <n v="66436"/>
    <s v="BARRIO BOLIVAR BUCARAMANGA 3"/>
    <n v="37713492"/>
    <s v="3214288857"/>
    <s v="3214288857"/>
    <s v="3214288857"/>
    <s v="CR 4 3 -31"/>
    <s v="4.4833941"/>
    <s v="-73.9345744"/>
    <s v="CUNDINAMARCA"/>
    <s v="UBAQUE"/>
    <s v="UBAQUE"/>
    <n v="25841"/>
    <s v="2025-11-24"/>
    <m/>
    <m/>
    <m/>
    <m/>
    <n v="2"/>
    <s v="BOGOTA"/>
    <x v="4"/>
    <n v="37313"/>
    <n v="74626"/>
  </r>
  <r>
    <n v="38505"/>
    <s v="BARRIO CENTRO BUCARAMANGA 14"/>
    <n v="63446058"/>
    <s v="3112528114"/>
    <s v="3112528114"/>
    <s v="3103028829"/>
    <s v="CL 4 1 03,CENTRO"/>
    <s v="4.4828145"/>
    <s v="-73.9361886"/>
    <s v="CUNDINAMARCA"/>
    <s v="UBAQUE"/>
    <s v="UBAQUE"/>
    <n v="25841"/>
    <s v="2025-11-24"/>
    <m/>
    <m/>
    <m/>
    <m/>
    <n v="2"/>
    <s v="BOGOTA"/>
    <x v="4"/>
    <n v="37313"/>
    <n v="74626"/>
  </r>
  <r>
    <n v="61993"/>
    <s v="BARRIO PALMAS DEL NIZA BUCARAMANGA"/>
    <n v="5727106"/>
    <s v="0"/>
    <s v="3208429573"/>
    <s v="3208429573"/>
    <s v="CARRERA 3 NUMERO 7-08"/>
    <s v="4.8769416"/>
    <s v="-74.5603568"/>
    <s v="CUNDINAMARCA"/>
    <s v="VIANÍ"/>
    <s v="VIANÍ"/>
    <n v="25867"/>
    <s v="2025-11-25"/>
    <m/>
    <m/>
    <m/>
    <m/>
    <n v="2"/>
    <s v="BOGOTA"/>
    <x v="4"/>
    <n v="37313"/>
    <n v="74626"/>
  </r>
  <r>
    <n v="62763"/>
    <s v="BARRIO SAN LUIS BUCARAMANGA"/>
    <n v="63530155"/>
    <s v="0"/>
    <s v="3208437193"/>
    <s v="3208437193"/>
    <s v="CR 3 5 41"/>
    <s v="4.8757069"/>
    <s v="-74.5611166"/>
    <s v="CUNDINAMARCA"/>
    <s v="VIANÍ"/>
    <s v="VIANÍ"/>
    <n v="25867"/>
    <s v="2025-11-25"/>
    <m/>
    <m/>
    <m/>
    <m/>
    <n v="2"/>
    <s v="BOGOTA"/>
    <x v="4"/>
    <n v="37313"/>
    <n v="74626"/>
  </r>
  <r>
    <n v="58935"/>
    <s v="BARRIO SANTA BARBARA 1 BUCARAMANGA"/>
    <n v="91535195"/>
    <s v="3143824869"/>
    <s v="3143824869"/>
    <s v="3133370645"/>
    <s v="CL 4 5 28 LC 3,PANAMERICANA VIANI"/>
    <s v="4.8748284"/>
    <s v="-74.5625023"/>
    <s v="CUNDINAMARCA"/>
    <s v="VIANÍ"/>
    <s v="VIANÍ"/>
    <n v="25867"/>
    <s v="2025-11-25"/>
    <m/>
    <m/>
    <m/>
    <m/>
    <n v="2"/>
    <s v="BOGOTA"/>
    <x v="4"/>
    <n v="37313"/>
    <n v="74626"/>
  </r>
  <r>
    <n v="59284"/>
    <s v="BARRIO BUCARAMANGA BUCARAMANGA 6"/>
    <n v="1096926386"/>
    <s v="7773031"/>
    <s v="3114067254"/>
    <s v="3114067254"/>
    <s v=" CR 19 CL 12-33 CENTRO"/>
    <s v="8.25888229"/>
    <s v="-76.14872212"/>
    <s v="CÓRDOBA"/>
    <s v="VALENCIA"/>
    <s v="VALENCIA"/>
    <n v="23855"/>
    <s v="2025-11-07"/>
    <m/>
    <m/>
    <m/>
    <m/>
    <n v="2"/>
    <s v="MONTERIA"/>
    <x v="1"/>
    <n v="37313"/>
    <n v="74626"/>
  </r>
  <r>
    <n v="57291"/>
    <s v="BARRIO RICAUTE BUCARAMANGA 2"/>
    <n v="91259817"/>
    <s v="3145440534"/>
    <s v="3192886343"/>
    <s v="3192886343"/>
    <s v=" CORREGIMIENTO VILLANUEVA,"/>
    <s v="8.34507254"/>
    <s v="-76.12289252"/>
    <s v="CÓRDOBA"/>
    <s v="VALENCIA"/>
    <s v="VALENCIA"/>
    <n v="23855"/>
    <s v="2025-11-07"/>
    <m/>
    <m/>
    <m/>
    <m/>
    <n v="3"/>
    <s v="MONTERIA"/>
    <x v="1"/>
    <n v="37313"/>
    <n v="111939"/>
  </r>
  <r>
    <n v="67439"/>
    <s v="BARRIO SANTANDER VILLA DEL ROSARIO 1"/>
    <n v="1093798202"/>
    <s v="8461095"/>
    <s v="3105869440"/>
    <s v="3105869440"/>
    <s v=" CL 3  4 57 CHAGUANI CHAGUANI CUNDINAMARCA"/>
    <s v="4.9495907"/>
    <s v="-74.5944964"/>
    <s v="CUNDINAMARCA"/>
    <s v="CHAGUANÍ"/>
    <s v="CHAGUANÍ"/>
    <n v="25168"/>
    <s v="2025-11-12"/>
    <m/>
    <m/>
    <m/>
    <m/>
    <n v="2"/>
    <s v="BOGOTA"/>
    <x v="4"/>
    <n v="37313"/>
    <n v="74626"/>
  </r>
  <r>
    <n v="46415"/>
    <s v="BARRIO GRAMALOTE VILLA DEL ROSARIO 1"/>
    <n v="88189996"/>
    <s v="3105650580"/>
    <s v="3105650580"/>
    <s v="3105650580"/>
    <s v="CL 3 3 09 ,LA AMISTAD"/>
    <s v="4.9493354"/>
    <s v="-74.5942554"/>
    <s v="CUNDINAMARCA"/>
    <s v="CHAGUANÍ"/>
    <s v="CHAGUANÍ"/>
    <n v="25168"/>
    <s v="2025-11-06"/>
    <m/>
    <m/>
    <m/>
    <m/>
    <n v="4"/>
    <s v="BOGOTA"/>
    <x v="4"/>
    <n v="37313"/>
    <n v="149252"/>
  </r>
  <r>
    <n v="51091"/>
    <s v="BARRIO LA PARADA VILLA DEL ROSARIO 5"/>
    <n v="5401855"/>
    <s v="8561351"/>
    <s v="3112376710"/>
    <s v="3112376710"/>
    <s v=" CR 5 4 14"/>
    <s v="5.14454542"/>
    <s v="-73.68647787"/>
    <s v="CUNDINAMARCA"/>
    <s v="CHOCONTÁ"/>
    <s v="CHOCONTÁ"/>
    <n v="25183"/>
    <s v="2025-11-21"/>
    <m/>
    <m/>
    <m/>
    <m/>
    <n v="2"/>
    <s v="TUNJA"/>
    <x v="2"/>
    <n v="49671.7"/>
    <n v="99343.4"/>
  </r>
  <r>
    <n v="35242"/>
    <s v="BARRO EL PARAMO VILLA DEL ROSARIO"/>
    <n v="1092355278"/>
    <s v="3192503478"/>
    <s v="3223647955"/>
    <s v="3223647955"/>
    <s v="CR 5 10 A 03.CENTRO"/>
    <s v="5.148501"/>
    <s v="-73.6808035"/>
    <s v="CUNDINAMARCA"/>
    <s v="CHOCONTÁ"/>
    <s v="CHOCONTÁ"/>
    <n v="25183"/>
    <s v="2025-11-21"/>
    <m/>
    <m/>
    <m/>
    <m/>
    <n v="2"/>
    <s v="TUNJA"/>
    <x v="2"/>
    <n v="49671.7"/>
    <n v="99343.4"/>
  </r>
  <r>
    <n v="46041"/>
    <s v="BARRIO 45078 BUCARAMANGA"/>
    <n v="63542840"/>
    <s v="3118553100"/>
    <s v="3118553100"/>
    <s v="3118553100"/>
    <s v="CL 11 4 68,CENTRO"/>
    <s v="5.1487497"/>
    <s v="-73.6795422"/>
    <s v="CUNDINAMARCA"/>
    <s v="CHOCONTÁ"/>
    <s v="CHOCONTÁ"/>
    <n v="25183"/>
    <s v="2025-11-20"/>
    <m/>
    <m/>
    <m/>
    <m/>
    <n v="2"/>
    <s v="TUNJA"/>
    <x v="2"/>
    <n v="49671.7"/>
    <n v="99343.4"/>
  </r>
  <r>
    <n v="41748"/>
    <s v="BARRIO PROVENZA BUCARAMANGA 3"/>
    <n v="5596021"/>
    <s v="3115009689"/>
    <s v="3112563195"/>
    <s v="3112563195"/>
    <s v="CR 8 9 26,CHOCONTA"/>
    <s v="5.1484457"/>
    <s v="-73.6835387"/>
    <s v="CUNDINAMARCA"/>
    <s v="CHOCONTÁ"/>
    <s v="CHOCONTÁ"/>
    <n v="25183"/>
    <s v="2025-11-21"/>
    <m/>
    <m/>
    <m/>
    <m/>
    <n v="1"/>
    <s v="TUNJA"/>
    <x v="2"/>
    <n v="49671.7"/>
    <n v="49671.7"/>
  </r>
  <r>
    <n v="41522"/>
    <s v="BARRIO CABECERA BUCARAMANGA 5"/>
    <n v="900932136"/>
    <s v="8474368"/>
    <s v="3108136113"/>
    <s v="3108136113"/>
    <s v=" CR 3 2 28 INSP EL TRIUNFO"/>
    <s v="4.584195"/>
    <s v="-74.445236"/>
    <s v="CUNDINAMARCA"/>
    <s v="EL COLEGIO"/>
    <s v="EL COLEGIO"/>
    <n v="25245"/>
    <s v="2025-11-26"/>
    <m/>
    <m/>
    <m/>
    <m/>
    <n v="1"/>
    <s v="BOGOTA"/>
    <x v="4"/>
    <n v="37313"/>
    <n v="37313"/>
  </r>
  <r>
    <n v="39113"/>
    <s v="BARRIO SAN FRANCISCO BUCARAMANGA 1"/>
    <n v="37840435"/>
    <s v="3126789004"/>
    <s v="3154776673"/>
    <s v="3118689304"/>
    <s v="CR 4 4 16 BRR LA CASTELLANA,CENTRO"/>
    <s v="4.5798445"/>
    <s v="-74.4436852"/>
    <s v="CUNDINAMARCA"/>
    <s v="EL COLEGIO"/>
    <s v="EL COLEGIO"/>
    <n v="25245"/>
    <s v="2025-11-26"/>
    <m/>
    <m/>
    <m/>
    <m/>
    <n v="2"/>
    <s v="BOGOTA"/>
    <x v="4"/>
    <n v="37313"/>
    <n v="74626"/>
  </r>
  <r>
    <n v="35033"/>
    <s v="BARRIO RICAURTE BUCARAMANGA 2"/>
    <n v="28099203"/>
    <s v="3165308556"/>
    <s v="3165308556"/>
    <s v="3124029771"/>
    <s v="CLL 6 NO 7 - 07"/>
    <s v="4.5813145"/>
    <s v="-74.4449089"/>
    <s v="CUNDINAMARCA"/>
    <s v="EL COLEGIO"/>
    <s v="EL COLEGIO"/>
    <n v="25245"/>
    <s v="2025-11-27"/>
    <m/>
    <m/>
    <m/>
    <m/>
    <n v="3"/>
    <s v="BOGOTA"/>
    <x v="4"/>
    <n v="37313"/>
    <n v="111939"/>
  </r>
  <r>
    <n v="32108"/>
    <s v="BARRIO CENTRO 3 BUCARAMANGA"/>
    <n v="63432597"/>
    <s v="0"/>
    <s v="3212864922"/>
    <s v="3212864922"/>
    <s v="CL 9 5 05,CENTRO"/>
    <s v="4.5840762"/>
    <s v="-74.4444054"/>
    <s v="CUNDINAMARCA"/>
    <s v="EL COLEGIO"/>
    <s v="EL COLEGIO"/>
    <n v="25245"/>
    <s v="2025-11-26"/>
    <m/>
    <m/>
    <m/>
    <m/>
    <n v="2"/>
    <s v="BOGOTA"/>
    <x v="4"/>
    <n v="37313"/>
    <n v="74626"/>
  </r>
  <r>
    <n v="30387"/>
    <s v="BARRIO EL ROCIO BUCARAMANGA   "/>
    <n v="13822166"/>
    <s v="3042040639"/>
    <s v="3132518654"/>
    <s v="3042040639"/>
    <s v="KM23 VIA MESITAS DEL COLEGIO.VDR SANTIBAR BAJO"/>
    <s v="4.597725"/>
    <s v="-74.376642"/>
    <s v="CUNDINAMARCA"/>
    <s v="EL COLEGIO"/>
    <s v="EL COLEGIO"/>
    <n v="25245"/>
    <s v="2025-11-27"/>
    <m/>
    <m/>
    <m/>
    <m/>
    <n v="2"/>
    <s v="BOGOTA"/>
    <x v="4"/>
    <n v="37313"/>
    <n v="74626"/>
  </r>
  <r>
    <n v="31905"/>
    <s v="BARRIO  CENTRO 28  BUCARAMANGA"/>
    <n v="13715984"/>
    <s v="8475537"/>
    <s v="3165308556"/>
    <s v="3124029771"/>
    <s v="CR 7 8 41 B. CENTRO,EL COLEGIO"/>
    <s v="4.5836394"/>
    <s v="-74.4454575"/>
    <s v="CUNDINAMARCA"/>
    <s v="EL COLEGIO"/>
    <s v="EL COLEGIO"/>
    <n v="25245"/>
    <s v="2025-11-27"/>
    <m/>
    <m/>
    <m/>
    <m/>
    <n v="2"/>
    <s v="BOGOTA"/>
    <x v="4"/>
    <n v="37313"/>
    <n v="74626"/>
  </r>
  <r>
    <n v="26983"/>
    <s v="BARRIO ALARCON 2  BUCARAMANGA"/>
    <n v="86081636"/>
    <s v="8421423"/>
    <s v="3123934858"/>
    <s v="3123934858"/>
    <s v=" CL 21 ESTE1 A 28 SUR "/>
    <s v="4.7898418"/>
    <s v="-74.3368494"/>
    <s v="CUNDINAMARCA"/>
    <s v="FACATATIVÁ"/>
    <s v="FACATATIVÁ"/>
    <n v="25269"/>
    <s v="2025-11-12"/>
    <m/>
    <m/>
    <m/>
    <m/>
    <n v="6"/>
    <s v="BOGOTA"/>
    <x v="4"/>
    <n v="37313"/>
    <n v="223878"/>
  </r>
  <r>
    <n v="30026"/>
    <s v="BARRIO CENTRO  25 - BUCARAMANGA "/>
    <n v="10545468"/>
    <s v="8422041"/>
    <s v="3134421868"/>
    <s v="3134421868"/>
    <s v=" CR 2 18 B 18"/>
    <s v="4.8188447"/>
    <s v="-74.3654029"/>
    <s v="CUNDINAMARCA"/>
    <s v="FACATATIVÁ"/>
    <s v="FACATATIVÁ"/>
    <n v="25269"/>
    <s v="2025-11-04"/>
    <m/>
    <m/>
    <m/>
    <m/>
    <n v="2"/>
    <s v="BOGOTA"/>
    <x v="4"/>
    <n v="37313"/>
    <n v="74626"/>
  </r>
  <r>
    <n v="39493"/>
    <s v="BARRIO CENTRO EL CERRITO 3"/>
    <n v="890306372"/>
    <s v="1111111"/>
    <s v="3138024134"/>
    <s v="3138024134"/>
    <s v="DG 11 13 C 33 P 1,REMANSO EL CACIQUE"/>
    <s v="4.8216555"/>
    <s v="-74.3502272"/>
    <s v="CUNDINAMARCA"/>
    <s v="FACATATIVÁ"/>
    <s v="FACATATIVÁ"/>
    <n v="25269"/>
    <s v="2025-11-04"/>
    <m/>
    <m/>
    <m/>
    <m/>
    <n v="1"/>
    <s v="BOGOTA"/>
    <x v="4"/>
    <n v="37313"/>
    <n v="37313"/>
  </r>
  <r>
    <n v="67753"/>
    <s v="BARRIO CENTRO VILLAVICENCIO 27"/>
    <n v="1121842169"/>
    <s v="3123175390"/>
    <s v="3123175390"/>
    <s v="3123175390"/>
    <s v="CR 2 SUR 7 B 13,VILLA NUEVA FACATATIVÁ"/>
    <s v="4.8094679"/>
    <s v="-74.3577277"/>
    <s v="CUNDINAMARCA"/>
    <s v="FACATATIVÁ"/>
    <s v="FACATATIVÁ"/>
    <n v="25269"/>
    <s v="2025-11-12"/>
    <m/>
    <m/>
    <m/>
    <m/>
    <n v="1"/>
    <s v="BOGOTA"/>
    <x v="4"/>
    <n v="37313"/>
    <n v="37313"/>
  </r>
  <r>
    <n v="69390"/>
    <s v="BARRIO CENTRO VILLAVICENCIO  29"/>
    <n v="1121842169"/>
    <s v="3144729743"/>
    <s v="3229595590"/>
    <s v="3229595590"/>
    <s v="CL 5 5 16 LC 03,CENTRO"/>
    <s v="4.8115224"/>
    <s v="-74.3521033"/>
    <s v="CUNDINAMARCA"/>
    <s v="FACATATIVÁ"/>
    <s v="FACATATIVÁ"/>
    <n v="25269"/>
    <s v="2025-11-13"/>
    <m/>
    <m/>
    <m/>
    <m/>
    <n v="1"/>
    <s v="BOGOTA"/>
    <x v="4"/>
    <n v="37313"/>
    <n v="37313"/>
  </r>
  <r>
    <n v="10016"/>
    <s v="BARRIO SAN FRANCISCO - BUCARAMANGA"/>
    <n v="5796974"/>
    <s v="3123208436"/>
    <s v="3123208436"/>
    <s v="3123208336"/>
    <s v="CL 4 4 23 LC 1,CENTRO FACATATIVÁ"/>
    <s v="4.8100744"/>
    <s v="-74.3520042"/>
    <s v="CUNDINAMARCA"/>
    <s v="FACATATIVÁ"/>
    <s v="FACATATIVÁ"/>
    <n v="25269"/>
    <s v="2025-11-13"/>
    <m/>
    <m/>
    <m/>
    <m/>
    <n v="2"/>
    <s v="BOGOTA"/>
    <x v="4"/>
    <n v="37313"/>
    <n v="74626"/>
  </r>
  <r>
    <n v="11742"/>
    <s v="COOPENESSA - GUARIN"/>
    <n v="800054946"/>
    <s v="3112509991"/>
    <s v="3112509991"/>
    <s v="3112509991"/>
    <s v="CL 5 8 05,ZAMBRANO"/>
    <s v="4.8142583"/>
    <s v="-74.3507269"/>
    <s v="CUNDINAMARCA"/>
    <s v="FACATATIVÁ"/>
    <s v="FACATATIVÁ"/>
    <n v="25269"/>
    <s v="2025-11-13"/>
    <m/>
    <m/>
    <m/>
    <m/>
    <n v="3"/>
    <s v="BOGOTA"/>
    <x v="4"/>
    <n v="37313"/>
    <n v="111939"/>
  </r>
  <r>
    <n v="22039"/>
    <s v="MATERIALES EMO - AG BUCARAMANGA "/>
    <n v="801002644"/>
    <s v="0"/>
    <s v="3112222352"/>
    <s v="3112222352"/>
    <s v="CARRERA 2 SUR NRO. 9-23"/>
    <s v="4.8109557"/>
    <s v="-74.3594697"/>
    <s v="CUNDINAMARCA"/>
    <s v="FACATATIVÁ"/>
    <s v="FACATATIVÁ"/>
    <n v="25269"/>
    <s v="2025-11-12"/>
    <m/>
    <m/>
    <m/>
    <m/>
    <n v="2"/>
    <s v="BOGOTA"/>
    <x v="4"/>
    <n v="37313"/>
    <n v="74626"/>
  </r>
  <r>
    <n v="67039"/>
    <s v="BARRIO RINCON DE LA MARIA VILLAVICENCIO"/>
    <n v="51804506"/>
    <s v="0"/>
    <s v="3112332476"/>
    <s v="3112332476"/>
    <s v="CR 3 NRO. 5 A 20 ESTE"/>
    <s v="4.8026433"/>
    <s v="-74.3463067"/>
    <s v="CUNDINAMARCA"/>
    <s v="FACATATIVÁ"/>
    <s v="FACATATIVÁ"/>
    <n v="25269"/>
    <s v="2025-11-04"/>
    <m/>
    <m/>
    <m/>
    <m/>
    <n v="1"/>
    <s v="BOGOTA"/>
    <x v="4"/>
    <n v="37313"/>
    <n v="37313"/>
  </r>
  <r>
    <n v="63463"/>
    <s v="BARRIO CENTRO CARCASI"/>
    <n v="28057789"/>
    <s v="3187890172"/>
    <s v="3187890172"/>
    <s v="3162522612"/>
    <s v="CL 15  16-45 TULIPANES"/>
    <s v="4.8248560"/>
    <s v="-74.3569516"/>
    <s v="CUNDINAMARCA"/>
    <s v="FACATATIVÁ"/>
    <s v="FACATATIVÁ"/>
    <n v="25269"/>
    <s v="2025-11-04"/>
    <m/>
    <m/>
    <m/>
    <m/>
    <n v="1"/>
    <s v="BOGOTA"/>
    <x v="4"/>
    <n v="37313"/>
    <n v="37313"/>
  </r>
  <r>
    <n v="12091"/>
    <s v="COELLO - TOLIMA"/>
    <n v="28636734"/>
    <s v="3186179149"/>
    <s v="3107859065"/>
    <s v="3107859065"/>
    <s v="CL 6 1 C 04 E BRR CHICO 1,CHICO 1"/>
    <s v="4.801920"/>
    <s v="-74.346023"/>
    <s v="CUNDINAMARCA"/>
    <s v="FACATATIVÁ"/>
    <s v="FACATATIVÁ"/>
    <n v="25269"/>
    <s v="2025-11-04"/>
    <m/>
    <m/>
    <m/>
    <m/>
    <n v="1"/>
    <s v="BOGOTA"/>
    <x v="4"/>
    <n v="37313"/>
    <n v="37313"/>
  </r>
  <r>
    <n v="70775"/>
    <s v="CENTRO CORREGIMIENTO GUALANDAY "/>
    <n v="1110532353"/>
    <s v="3222876504"/>
    <s v="3222876504"/>
    <m/>
    <s v="CR 7 4 90 94 100 104,LA ESMERALDA"/>
    <s v="1.8283377"/>
    <s v="-75.2183809"/>
    <s v="CAQUETÁ"/>
    <s v="PUERTO RICO"/>
    <s v="PUERTO RICO"/>
    <n v="18592"/>
    <s v="2025-11-14"/>
    <m/>
    <m/>
    <m/>
    <m/>
    <n v="1"/>
    <s v="NEIVA"/>
    <x v="3"/>
    <n v="49671.7"/>
    <n v="49671.7"/>
  </r>
  <r>
    <n v="47011"/>
    <s v="BARRIO CENTRO CHOCONTA CHOCONTA"/>
    <n v="41243381"/>
    <s v="3177245449"/>
    <s v="3177245449"/>
    <m/>
    <s v="CL 6 N 8 ELBA PUERTO RICO,LAS DAMAS"/>
    <s v="1.9106517"/>
    <s v="-75.1563030"/>
    <s v="CAQUETÁ"/>
    <s v="PUERTO RICO"/>
    <s v="PUERTO RICO"/>
    <n v="18592"/>
    <s v="2025-11-14"/>
    <m/>
    <m/>
    <m/>
    <m/>
    <n v="1"/>
    <s v="NEIVA"/>
    <x v="3"/>
    <n v="49671.7"/>
    <n v="49671.7"/>
  </r>
  <r>
    <n v="60826"/>
    <s v="BARRIO VERACRUZ CHOCONTA CHOCONTA"/>
    <n v="1069265749"/>
    <s v="3232247505"/>
    <s v="3232247505"/>
    <s v="3232247505"/>
    <s v="CR 9 N 6 69,LAS DAMAS"/>
    <s v="1.9114537"/>
    <s v="-75.1569372"/>
    <s v="CAQUETÁ"/>
    <s v="PUERTO RICO"/>
    <s v="PUERTO RICO"/>
    <n v="18592"/>
    <s v="2025-11-14"/>
    <m/>
    <m/>
    <m/>
    <m/>
    <n v="1"/>
    <s v="NEIVA"/>
    <x v="3"/>
    <n v="49671.7"/>
    <n v="49671.7"/>
  </r>
  <r>
    <n v="67742"/>
    <s v="BARRIO CENTRO CHOCONTA CHOCONTA 1"/>
    <n v="1069258611"/>
    <s v="3118058"/>
    <s v="3118058347"/>
    <s v="3118058347"/>
    <s v=" CR 5 5 52  CENTRO"/>
    <s v="1.3315099"/>
    <s v="-75.9741548"/>
    <s v="CAQUETÁ"/>
    <s v="SAN JOSÉ DEL FRAGUA"/>
    <s v="SAN JOSÉ DEL FRAGUA"/>
    <n v="18610"/>
    <s v="2025-11-10"/>
    <m/>
    <m/>
    <m/>
    <m/>
    <n v="1"/>
    <s v="NEIVA"/>
    <x v="3"/>
    <n v="49671.7"/>
    <n v="49671.7"/>
  </r>
  <r>
    <n v="68965"/>
    <s v="BARRIO CENTRO - CHOCONTA CHOCONTA"/>
    <n v="1007141112"/>
    <s v="3223169563"/>
    <s v="3223169563"/>
    <s v="3223169563"/>
    <s v="BARRIO SUMAWASY SAN JOSE,SUMAWASY"/>
    <s v="1.3241595"/>
    <s v="-75.9742797"/>
    <s v="CAQUETÁ"/>
    <s v="SAN JOSÉ DEL FRAGUA"/>
    <s v="SAN JOSÉ DEL FRAGUA"/>
    <n v="18610"/>
    <s v="2025-11-12"/>
    <m/>
    <m/>
    <m/>
    <m/>
    <n v="1"/>
    <s v="NEIVA"/>
    <x v="3"/>
    <n v="49671.7"/>
    <n v="49671.7"/>
  </r>
  <r>
    <n v="61670"/>
    <s v="BARRIO ESPERANZA 4 ETAPA VILLAVICENCIO"/>
    <n v="40381104"/>
    <s v="3202364275"/>
    <s v="3202364275"/>
    <s v="3202364275"/>
    <s v="SIN CENTRO YURAYACO,CENTRO"/>
    <s v="1.2261902"/>
    <s v="-76.0925412"/>
    <s v="CAQUETÁ"/>
    <s v="SAN JOSÉ DEL FRAGUA"/>
    <s v="SAN JOSÉ DEL FRAGUA"/>
    <n v="18610"/>
    <s v="2025-11-11"/>
    <m/>
    <m/>
    <m/>
    <m/>
    <n v="2"/>
    <s v="NEIVA"/>
    <x v="3"/>
    <n v="49671.7"/>
    <n v="99343.4"/>
  </r>
  <r>
    <n v="15606"/>
    <s v="VILLA GORGONA III"/>
    <n v="16674969"/>
    <s v="3143709289"/>
    <s v="3143709289"/>
    <s v="3143709289"/>
    <s v="SIN CENTRO ZABALETA,CALLE PRINCIPAL"/>
    <s v="1.1339221"/>
    <s v="-76.1753842"/>
    <s v="CAQUETÁ"/>
    <s v="SAN JOSÉ DEL FRAGUA"/>
    <s v="SAN JOSÉ DEL FRAGUA"/>
    <n v="18610"/>
    <s v="2025-11-11"/>
    <m/>
    <m/>
    <m/>
    <m/>
    <n v="1"/>
    <s v="NEIVA"/>
    <x v="3"/>
    <n v="49671.7"/>
    <n v="49671.7"/>
  </r>
  <r>
    <n v="79549"/>
    <s v="BARRIO MANZANARES SECTOR 13  CANDELARIA"/>
    <n v="31309462"/>
    <s v="3168701295"/>
    <s v="3168701295"/>
    <s v="3168701295"/>
    <s v="CR 5 # 4 BIS 19 BRR CEN"/>
    <s v="1.3309811"/>
    <s v="-75.9744567"/>
    <s v="CAQUETÁ"/>
    <s v="SAN JOSÉ DEL FRAGUA"/>
    <s v="SAN JOSÉ DEL FRAGUA"/>
    <n v="18610"/>
    <s v="2025-11-10"/>
    <m/>
    <m/>
    <m/>
    <m/>
    <n v="1"/>
    <s v="NEIVA"/>
    <x v="3"/>
    <n v="49671.7"/>
    <n v="49671.7"/>
  </r>
  <r>
    <n v="80939"/>
    <s v="BARRIO ARMANDO VASQUEZ CANDELARIA"/>
    <n v="68290773"/>
    <s v="3144778635"/>
    <s v="3132109397"/>
    <s v="3144778635"/>
    <s v="CL 6 # 5-60 PUEBLO NUEVO"/>
    <s v="1.332193"/>
    <s v="-75.974696"/>
    <s v="CAQUETÁ"/>
    <s v="SAN JOSÉ DEL FRAGUA"/>
    <s v="SAN JOSÉ DEL FRAGUA"/>
    <n v="18610"/>
    <s v="2025-11-11"/>
    <m/>
    <m/>
    <m/>
    <m/>
    <n v="1"/>
    <s v="NEIVA"/>
    <x v="3"/>
    <n v="49671.7"/>
    <n v="49671.7"/>
  </r>
  <r>
    <n v="76719"/>
    <s v="BARRIO CENTRO CHOCONTÁ"/>
    <n v="1007688785"/>
    <s v="3195117362"/>
    <s v="3195117362"/>
    <s v="3195117362"/>
    <s v="CL 4 7 07,VIANI"/>
    <s v="4.8743609"/>
    <s v="-74.5636124"/>
    <s v="CUNDINAMARCA"/>
    <s v="VIANÍ"/>
    <s v="VIANÍ"/>
    <n v="25867"/>
    <s v="2025-11-25"/>
    <m/>
    <m/>
    <m/>
    <m/>
    <n v="1"/>
    <s v="BOGOTA"/>
    <x v="4"/>
    <n v="37313"/>
    <n v="37313"/>
  </r>
  <r>
    <n v="77133"/>
    <s v="BARRIO CENTRO CHOCONTÁ 1"/>
    <n v="20363580"/>
    <s v="8446368"/>
    <s v="3112434093"/>
    <s v="3112434093"/>
    <s v="CR 9 N6 -69 BRR MURILLO TORO"/>
    <s v="5.0114617"/>
    <s v="-74.4741403"/>
    <s v="CUNDINAMARCA"/>
    <s v="VILLETA"/>
    <s v="VILLETA"/>
    <n v="25875"/>
    <s v="2025-11-14"/>
    <m/>
    <m/>
    <m/>
    <m/>
    <n v="1"/>
    <s v="BOGOTA"/>
    <x v="4"/>
    <n v="37313"/>
    <n v="37313"/>
  </r>
  <r>
    <n v="63910"/>
    <s v="BARRIO CIUDADELA SAN ANTONIO VILLAVICENCIO 3"/>
    <n v="51804506"/>
    <s v="3132629676"/>
    <s v="3132629676"/>
    <m/>
    <s v="CR 7 4 02 CENTRO,CENTRO"/>
    <s v="5.0105532"/>
    <s v="-74.4710755"/>
    <s v="CUNDINAMARCA"/>
    <s v="VILLETA"/>
    <s v="VILLETA"/>
    <n v="25875"/>
    <s v="2025-11-14"/>
    <m/>
    <m/>
    <m/>
    <m/>
    <n v="1"/>
    <s v="BOGOTA"/>
    <x v="4"/>
    <n v="37313"/>
    <n v="37313"/>
  </r>
  <r>
    <n v="64152"/>
    <s v="BARRIO ANILLO VIAL LLANO ABASTO VILLAVICENCIO"/>
    <n v="19373043"/>
    <s v="3243963378"/>
    <s v="3243963378"/>
    <s v="3243963378"/>
    <s v="CASERIO EL PUENTE,CASERIO EL PUENTE"/>
    <s v="4.9914631"/>
    <s v="-74.4891374"/>
    <s v="CUNDINAMARCA"/>
    <s v="VILLETA"/>
    <s v="VILLETA"/>
    <n v="25875"/>
    <s v="2025-11-14"/>
    <m/>
    <m/>
    <m/>
    <m/>
    <n v="2"/>
    <s v="BOGOTA"/>
    <x v="4"/>
    <n v="37313"/>
    <n v="74626"/>
  </r>
  <r>
    <n v="64252"/>
    <s v="BARRIO ESTERO VILLAVICENCIO 10"/>
    <n v="17316426"/>
    <s v="3125412273"/>
    <s v="3132845766"/>
    <s v="3125412273"/>
    <s v="CL 5 # 11 - 25"/>
    <s v="5.0086050"/>
    <s v="-74.4743432"/>
    <s v="CUNDINAMARCA"/>
    <s v="VILLETA"/>
    <s v="VILLETA"/>
    <n v="25875"/>
    <s v="2025-11-14"/>
    <m/>
    <m/>
    <m/>
    <m/>
    <n v="1"/>
    <s v="BOGOTA"/>
    <x v="4"/>
    <n v="37313"/>
    <n v="37313"/>
  </r>
  <r>
    <n v="63148"/>
    <s v="BARRIO BARZAL VILLAVICENCIO 13"/>
    <n v="1010203964"/>
    <s v="3123580828"/>
    <s v="0"/>
    <s v="3123580828"/>
    <s v="CLE. 4 NRO. 6 - 48 _ CENTRO,CENTRO"/>
    <s v="5.0106075"/>
    <s v="-74.4708193"/>
    <s v="CUNDINAMARCA"/>
    <s v="VILLETA"/>
    <s v="VILLETA"/>
    <n v="25875"/>
    <s v="2025-11-14"/>
    <m/>
    <m/>
    <m/>
    <m/>
    <n v="2"/>
    <s v="BOGOTA"/>
    <x v="4"/>
    <n v="37313"/>
    <n v="74626"/>
  </r>
  <r>
    <n v="18619"/>
    <s v="BARRIO EL REMANSO MOSQUERA"/>
    <n v="79819938"/>
    <s v="7783311"/>
    <s v="3124322196"/>
    <s v="3124322196"/>
    <s v=" CL 18  10-24"/>
    <s v="4.4381301"/>
    <s v="-74.5218083"/>
    <s v="CUNDINAMARCA"/>
    <s v="VIOTÁ"/>
    <s v="VIOTÁ"/>
    <n v="25878"/>
    <s v="2025-11-21"/>
    <m/>
    <m/>
    <m/>
    <m/>
    <n v="4"/>
    <s v="BOGOTA"/>
    <x v="4"/>
    <n v="37313"/>
    <n v="149252"/>
  </r>
  <r>
    <n v="53791"/>
    <s v="BARRIO ANTONIO VILLAVICENCIO VILLAVICENCIO"/>
    <n v="21231661"/>
    <s v="3107592388"/>
    <s v="3107592388"/>
    <s v="3107592388"/>
    <s v="CL 17 10 62,CENTRO"/>
    <s v="4.4375914"/>
    <s v="-74.5224341"/>
    <s v="CUNDINAMARCA"/>
    <s v="VIOTÁ"/>
    <s v="VIOTÁ"/>
    <n v="25878"/>
    <s v="2025-11-07"/>
    <m/>
    <m/>
    <m/>
    <m/>
    <n v="2"/>
    <s v="BOGOTA"/>
    <x v="4"/>
    <n v="37313"/>
    <n v="74626"/>
  </r>
  <r>
    <n v="57546"/>
    <s v="BARRIO CAUDAL VILLAVICENCIO"/>
    <n v="1006825959"/>
    <s v="3112253522"/>
    <s v="3112253522"/>
    <s v="3112253522"/>
    <s v="CR 9 17 A 10,SANTA LILIANA"/>
    <s v="4.4378024"/>
    <s v="-74.5209191"/>
    <s v="CUNDINAMARCA"/>
    <s v="VIOTÁ"/>
    <s v="VIOTÁ"/>
    <n v="25878"/>
    <s v="2025-11-07"/>
    <m/>
    <m/>
    <m/>
    <m/>
    <n v="2"/>
    <s v="BOGOTA"/>
    <x v="4"/>
    <n v="37313"/>
    <n v="74626"/>
  </r>
  <r>
    <n v="61435"/>
    <s v="BARRIO VILLA YENNY MOSQUERA"/>
    <n v="1073502058"/>
    <s v="3015406150"/>
    <s v="3015406150"/>
    <s v="3015406150"/>
    <s v="CR 10 15 62 BRR CENTRO,CENTRO VIOTA"/>
    <s v="4.4365900"/>
    <s v="-74.5220117"/>
    <s v="CUNDINAMARCA"/>
    <s v="VIOTÁ"/>
    <s v="VIOTÁ"/>
    <n v="25878"/>
    <s v="2025-11-21"/>
    <m/>
    <m/>
    <m/>
    <m/>
    <n v="2"/>
    <s v="BOGOTA"/>
    <x v="4"/>
    <n v="37313"/>
    <n v="74626"/>
  </r>
  <r>
    <n v="54941"/>
    <s v="BARRIO LOS MARCOAS VILLAVICENCIO"/>
    <n v="1121861314"/>
    <s v="3107763297"/>
    <s v="3138464719"/>
    <s v="3107763297"/>
    <s v="CR 10 17 12 BRR CENTRO,CENTRO"/>
    <s v="4.4372872"/>
    <s v="-74.5217412"/>
    <s v="CUNDINAMARCA"/>
    <s v="VIOTÁ"/>
    <s v="VIOTÁ"/>
    <n v="25878"/>
    <s v="2025-11-07"/>
    <m/>
    <m/>
    <m/>
    <m/>
    <n v="3"/>
    <s v="BOGOTA"/>
    <x v="4"/>
    <n v="37313"/>
    <n v="111939"/>
  </r>
  <r>
    <n v="51901"/>
    <s v="BARRIO BALATA VILLAVICENCIO 2"/>
    <n v="1121840733"/>
    <s v="3102310636"/>
    <s v="3102310636"/>
    <m/>
    <s v="CL 8 37 46 LC 52 CC CATEDRAL PLAZA,LA PAZ"/>
    <s v="5.0281769"/>
    <s v="-73.9810553"/>
    <s v="CUNDINAMARCA"/>
    <s v="ZIPAQUIRÁ"/>
    <s v="ZIPAQUIRÁ"/>
    <n v="25899"/>
    <s v="2025-11-19"/>
    <m/>
    <m/>
    <m/>
    <m/>
    <n v="2"/>
    <s v="BOGOTA"/>
    <x v="4"/>
    <n v="37313"/>
    <n v="74626"/>
  </r>
  <r>
    <n v="53198"/>
    <s v="BARRIO ESPERANZA VILLAVICENCIO 4"/>
    <n v="1121843999"/>
    <s v="3163027679"/>
    <s v="3163027679"/>
    <s v="3163027679"/>
    <s v="CR 5 2-07,GIGANTE HUILA"/>
    <s v="2.389230"/>
    <s v="-75.545958"/>
    <s v="HUILA"/>
    <s v="GIGANTE"/>
    <s v="GIGANTE"/>
    <n v="41306"/>
    <s v="2025-11-11"/>
    <m/>
    <m/>
    <m/>
    <m/>
    <n v="2"/>
    <s v="NEIVA"/>
    <x v="3"/>
    <n v="49671.7"/>
    <n v="99343.4"/>
  </r>
  <r>
    <n v="52928"/>
    <s v="BARRIO VEINTE DE JULIO VILLAVICENCIO"/>
    <n v="17336093"/>
    <s v="3115014709"/>
    <s v="0"/>
    <s v="3115014709"/>
    <s v="CR 5 3 49,CENTRO"/>
    <s v="2.388058"/>
    <s v="-75.546363"/>
    <s v="HUILA"/>
    <s v="GIGANTE"/>
    <s v="GIGANTE"/>
    <n v="41306"/>
    <s v="2025-11-11"/>
    <m/>
    <m/>
    <m/>
    <m/>
    <n v="3"/>
    <s v="NEIVA"/>
    <x v="3"/>
    <n v="49671.7"/>
    <n v="149015.09999999998"/>
  </r>
  <r>
    <n v="50586"/>
    <s v="BARRIO KIRPAS VILLAVICENCIO 1"/>
    <n v="1121832493"/>
    <s v="3133219721"/>
    <s v="3133219721"/>
    <s v="3133219721"/>
    <s v="FRENTE A LA ESCUELA,TRES ESQUINAS"/>
    <s v="2.3138307"/>
    <s v="-75.5030310"/>
    <s v="HUILA"/>
    <s v="GIGANTE"/>
    <s v="GIGANTE"/>
    <n v="41306"/>
    <s v="2025-11-11"/>
    <m/>
    <m/>
    <m/>
    <m/>
    <n v="2"/>
    <s v="NEIVA"/>
    <x v="3"/>
    <n v="49671.7"/>
    <n v="99343.4"/>
  </r>
  <r>
    <n v="16203"/>
    <s v="VENECIA CUNDINAMARCA"/>
    <n v="11379369"/>
    <s v="3107229020"/>
    <s v="3107229020"/>
    <m/>
    <s v="VRD PUEBLO NUEVO,KM 1 VÍA A NEIVA VEREDA PUEBLO NUEVO"/>
    <s v="2.3940632"/>
    <s v="-75.5412641"/>
    <s v="HUILA"/>
    <s v="GIGANTE"/>
    <s v="GIGANTE"/>
    <n v="41306"/>
    <s v="2025-11-11"/>
    <m/>
    <m/>
    <m/>
    <m/>
    <n v="1"/>
    <s v="NEIVA"/>
    <x v="3"/>
    <n v="49671.7"/>
    <n v="49671.7"/>
  </r>
  <r>
    <n v="43051"/>
    <s v="BARRIO CENTRO VENECIA"/>
    <n v="1069717168"/>
    <s v="3173327483"/>
    <s v="3173327483"/>
    <s v="3173327483"/>
    <s v="CR 6 2 72,CENTRO"/>
    <s v="2.3884358"/>
    <s v="-75.5453899"/>
    <s v="HUILA"/>
    <s v="GIGANTE"/>
    <s v="GIGANTE"/>
    <n v="41306"/>
    <s v="2025-11-11"/>
    <m/>
    <m/>
    <m/>
    <m/>
    <n v="1"/>
    <s v="NEIVA"/>
    <x v="3"/>
    <n v="49671.7"/>
    <n v="49671.7"/>
  </r>
  <r>
    <n v="71738"/>
    <s v="BARRIO CORREGIMIENTTO DE APOSENTOS"/>
    <n v="900342127"/>
    <s v="3114809640"/>
    <s v="3143076033"/>
    <s v="3114809640"/>
    <s v="CL 5 CON CL 6 NO. 9 67,CENTRO PUERTO LOPEZ"/>
    <s v="4.0846709"/>
    <s v="-72.9583297"/>
    <s v="META"/>
    <s v="PUERTO LÓPEZ"/>
    <s v="PUERTO LÓPEZ"/>
    <n v="50573"/>
    <s v="2025-11-07"/>
    <m/>
    <m/>
    <m/>
    <m/>
    <n v="1"/>
    <s v="VILLAVICENCIO"/>
    <x v="3"/>
    <n v="49671.7"/>
    <n v="49671.7"/>
  </r>
  <r>
    <n v="26464"/>
    <s v="BARRIO LA UNION SOACHA"/>
    <n v="19341983"/>
    <s v="3208851372"/>
    <s v="3208851372"/>
    <s v="3158339665"/>
    <s v="VRD PUEBLO NUEVO PUERTO LOPEZ SOBRE LA VIA PRINCIPAL - ZONA RURAL PUERTO LOPEZ META,PUEBLO NUEVO ZONA RURAL"/>
    <s v="4.3147992"/>
    <s v="-72.3406201"/>
    <s v="META"/>
    <s v="PUERTO LÓPEZ"/>
    <s v="PUERTO LÓPEZ"/>
    <n v="50573"/>
    <s v="2025-11-05"/>
    <m/>
    <m/>
    <m/>
    <m/>
    <n v="3"/>
    <s v="VILLAVICENCIO"/>
    <x v="3"/>
    <n v="49671.7"/>
    <n v="149015.09999999998"/>
  </r>
  <r>
    <n v="50773"/>
    <s v="BARRIO NOGAL VILLAVICENCIO"/>
    <n v="30030782"/>
    <s v="3222445614"/>
    <s v="3185801324"/>
    <s v="3185801324"/>
    <s v="VRD KM 77 VÍA PUERTO GAITÁN VDA GETSEMANÍ - ZONA RURAL PUERTO LOPEZ META,VEREDA GETSEMANÍ"/>
    <s v="4.3151778"/>
    <s v="-72.3372178"/>
    <s v="META"/>
    <s v="PUERTO LÓPEZ"/>
    <s v="PUERTO LÓPEZ"/>
    <n v="50573"/>
    <s v="2025-11-05"/>
    <m/>
    <m/>
    <m/>
    <m/>
    <n v="2"/>
    <s v="VILLAVICENCIO"/>
    <x v="3"/>
    <n v="49671.7"/>
    <n v="99343.4"/>
  </r>
  <r>
    <n v="49099"/>
    <s v="BARRIO CENTRO VILLAVICENCIO 7"/>
    <n v="900808260"/>
    <s v="3102635407"/>
    <s v="3102635407"/>
    <s v="3102635407"/>
    <s v="AV 14 10 32 BRR EL VERGEL LC 2"/>
    <s v="4.0993124"/>
    <s v="-72.9546234"/>
    <s v="META"/>
    <s v="PUERTO LÓPEZ"/>
    <s v="PUERTO LÓPEZ"/>
    <n v="50573"/>
    <s v="2025-11-07"/>
    <m/>
    <m/>
    <m/>
    <m/>
    <n v="2"/>
    <s v="VILLAVICENCIO"/>
    <x v="3"/>
    <n v="49671.7"/>
    <n v="99343.4"/>
  </r>
  <r>
    <n v="50122"/>
    <s v="BARRIO PORVENIR VILLAVICENCIO 3"/>
    <n v="40441051"/>
    <s v="3144095630"/>
    <s v="3144095630"/>
    <s v="3112773840"/>
    <s v="KM 77 PUERTO LÓPEZ - PUERTO GAITÁN - PUEBLO NUEVO,VEREDA PUEBLO NUEVO"/>
    <s v="4.3149288"/>
    <s v="-72.3405393"/>
    <s v="META"/>
    <s v="PUERTO LÓPEZ"/>
    <s v="PUERTO LÓPEZ"/>
    <n v="50573"/>
    <s v="2025-11-05"/>
    <m/>
    <m/>
    <m/>
    <m/>
    <n v="2"/>
    <s v="VILLAVICENCIO"/>
    <x v="3"/>
    <n v="49671.7"/>
    <n v="99343.4"/>
  </r>
  <r>
    <n v="76974"/>
    <s v="BARRIO VRD SAN BERNADRO BAJO LAS MERCEDES SASAIMA"/>
    <n v="19246761"/>
    <s v="3158339665"/>
    <s v="3173273335"/>
    <s v="3132696897"/>
    <s v="CR 19 DIAGONAL 6 A NRO. 11 - 15 - LA UNIÓN,LA UNIÓN"/>
    <s v="4.0845814"/>
    <s v="-72.9667222"/>
    <s v="META"/>
    <s v="PUERTO LÓPEZ"/>
    <s v="PUERTO LÓPEZ"/>
    <n v="50573"/>
    <s v="2025-11-07"/>
    <m/>
    <m/>
    <m/>
    <m/>
    <n v="1"/>
    <s v="VILLAVICENCIO"/>
    <x v="3"/>
    <n v="49671.7"/>
    <n v="49671.7"/>
  </r>
  <r>
    <n v="77611"/>
    <s v="BARRIO CENTRO SASAIMA  3"/>
    <n v="1007560187"/>
    <s v="3115979977"/>
    <s v="3229451259"/>
    <s v="3229451259"/>
    <s v="CL 6 6 -16 PACHAQUIARO - ZONA RURAL PUERTO LOPEZ META,PACHAQUIARO ZONA RURAL"/>
    <s v="4.056599"/>
    <s v="-73.174503"/>
    <s v="META"/>
    <s v="PUERTO LÓPEZ"/>
    <s v="PUERTO LÓPEZ"/>
    <n v="50573"/>
    <s v="2025-11-07"/>
    <m/>
    <m/>
    <m/>
    <m/>
    <n v="1"/>
    <s v="VILLAVICENCIO"/>
    <x v="3"/>
    <n v="49671.7"/>
    <n v="49671.7"/>
  </r>
  <r>
    <n v="76919"/>
    <s v="BARRIO MARANATA 1 SOACHA"/>
    <n v="79535093"/>
    <s v="3118090661"/>
    <s v="3118090661"/>
    <s v="3118090661"/>
    <s v="CL 6 6 55 AL RESPALDO PLAZA DE MERCADO,PACHAQUEARO"/>
    <s v="4.0574224"/>
    <s v="-73.1757279"/>
    <s v="META"/>
    <s v="PUERTO LÓPEZ"/>
    <s v="PUERTO LÓPEZ"/>
    <n v="50573"/>
    <s v="2025-11-06"/>
    <m/>
    <m/>
    <m/>
    <m/>
    <n v="1"/>
    <s v="VILLAVICENCIO"/>
    <x v="3"/>
    <n v="49671.7"/>
    <n v="49671.7"/>
  </r>
  <r>
    <n v="75363"/>
    <s v="BARRIO HOGARES SOACHA 8"/>
    <n v="52762521"/>
    <s v="3115956879"/>
    <s v="3115956879"/>
    <s v="3115956879"/>
    <s v=" KILÓMETRO 59 VÍA GAITÁN SECTOR EL RODEO,"/>
    <s v="4.232995"/>
    <s v="-72.474842"/>
    <s v="META"/>
    <s v="PUERTO LÓPEZ"/>
    <s v="PUERTO LÓPEZ"/>
    <n v="50573"/>
    <s v="2025-11-06"/>
    <m/>
    <m/>
    <m/>
    <m/>
    <n v="1"/>
    <s v="VILLAVICENCIO"/>
    <x v="3"/>
    <n v="49671.7"/>
    <n v="49671.7"/>
  </r>
  <r>
    <n v="72703"/>
    <s v="SOACHA LEON XIII 2"/>
    <n v="1012317448"/>
    <s v="3202059577"/>
    <s v="3202059577"/>
    <s v="3202059577"/>
    <s v="VIA PUERTO LÓPEZ - PUERTO GAITÁN KM 78,ZONA RURAL"/>
    <s v="4.3141257"/>
    <s v="-72.3421371"/>
    <s v="META"/>
    <s v="PUERTO LÓPEZ"/>
    <s v="PUERTO LÓPEZ"/>
    <n v="50573"/>
    <s v="2025-11-05"/>
    <m/>
    <m/>
    <m/>
    <m/>
    <n v="2"/>
    <s v="VILLAVICENCIO"/>
    <x v="3"/>
    <n v="49671.7"/>
    <n v="99343.4"/>
  </r>
  <r>
    <n v="71902"/>
    <s v="SOACHA LEON XIII SECTOR 2"/>
    <n v="5885998"/>
    <s v="3208327840"/>
    <s v="3223309530"/>
    <s v="3208327840"/>
    <s v="VDA PUEBLO NUEVO KM 77 VIA PTO GAITÁN"/>
    <s v="4.3136124"/>
    <s v="-72.3434663"/>
    <s v="META"/>
    <s v="PUERTO LÓPEZ"/>
    <s v="PUERTO LÓPEZ"/>
    <n v="50573"/>
    <s v="2025-11-06"/>
    <m/>
    <m/>
    <m/>
    <m/>
    <n v="1"/>
    <s v="VILLAVICENCIO"/>
    <x v="3"/>
    <n v="49671.7"/>
    <n v="49671.7"/>
  </r>
  <r>
    <n v="72151"/>
    <s v="SAN MATEO SOACHA CUNDINAMARCA 1"/>
    <n v="52765416"/>
    <s v="3112773840"/>
    <s v="3112773840"/>
    <s v="3144095630"/>
    <s v=" KM 60 VIA PTO LÓPEZ - PTO GAITÁN VDA EL TORO - ZONA RURAL PUERTO LÓPEZ META,VEREDA EL TORO"/>
    <s v="4.2332942"/>
    <s v="-72.4736514"/>
    <s v="META"/>
    <s v="PUERTO LÓPEZ"/>
    <s v="PUERTO LÓPEZ"/>
    <n v="50573"/>
    <s v="2025-11-06"/>
    <m/>
    <m/>
    <m/>
    <m/>
    <n v="1"/>
    <s v="VILLAVICENCIO"/>
    <x v="3"/>
    <n v="49671.7"/>
    <n v="49671.7"/>
  </r>
  <r>
    <n v="37333"/>
    <s v="BARRIO ANILLO VIAL VILLAVICENCIO"/>
    <n v="900609933"/>
    <s v="3112716379"/>
    <s v="3112716379"/>
    <s v="3112716379"/>
    <s v="CL PRINCIPAL LOS PORTALES DEL FRAGUITA"/>
    <s v="1.187301"/>
    <s v="-76.148966"/>
    <s v="CAQUETÁ"/>
    <s v="SAN JOSÉ DEL FRAGUA"/>
    <s v="SAN JOSÉ DEL FRAGUA"/>
    <n v="18610"/>
    <s v="2025-11-11"/>
    <m/>
    <m/>
    <m/>
    <m/>
    <n v="2"/>
    <s v="NEIVA"/>
    <x v="3"/>
    <n v="49671.7"/>
    <n v="99343.4"/>
  </r>
  <r>
    <n v="39668"/>
    <s v="BARRIO BALATA VILLAVICENCIO 1"/>
    <n v="51609377"/>
    <s v="3116291078"/>
    <s v="3116291078"/>
    <s v="3116291078"/>
    <s v="CR 41 2 C 26,LA MARIA OCCIDENTE"/>
    <s v="2.4559750"/>
    <s v="-76.6331444"/>
    <s v="CAUCA"/>
    <s v="POPAYÁN"/>
    <s v="POPAYÁN"/>
    <n v="19001"/>
    <s v="2025-11-04"/>
    <m/>
    <m/>
    <m/>
    <m/>
    <n v="2"/>
    <s v="CALI"/>
    <x v="5"/>
    <n v="37313"/>
    <n v="74626"/>
  </r>
  <r>
    <n v="34463"/>
    <s v="BARRIO ANTONIO VILLAVICENCIO"/>
    <n v="40383825"/>
    <s v="3108860359"/>
    <s v="3108860359"/>
    <s v="3108860359"/>
    <s v="CL 4 39A 08 BRR MARIA OCCIDENTE,LA MARIA OCCIDENTE"/>
    <s v="2.4543148"/>
    <s v="-76.6327406"/>
    <s v="CAUCA"/>
    <s v="POPAYÁN"/>
    <s v="POPAYÁN"/>
    <n v="19001"/>
    <s v="2025-11-04"/>
    <m/>
    <m/>
    <m/>
    <m/>
    <n v="1"/>
    <s v="CALI"/>
    <x v="5"/>
    <n v="37313"/>
    <n v="37313"/>
  </r>
  <r>
    <n v="29694"/>
    <s v="BARRIO OLÍMPICO VILLAVICENCIO"/>
    <n v="3142415"/>
    <s v="3234799232"/>
    <s v="3234799232"/>
    <m/>
    <s v="CL 25 A 12 - 33,NUEVA FRONTERA"/>
    <s v="2.4299875"/>
    <s v="-76.6164323"/>
    <s v="CAUCA"/>
    <s v="POPAYÁN"/>
    <s v="POPAYÁN"/>
    <n v="19001"/>
    <s v="2025-11-04"/>
    <m/>
    <m/>
    <m/>
    <m/>
    <n v="1"/>
    <s v="CALI"/>
    <x v="5"/>
    <n v="37313"/>
    <n v="37313"/>
  </r>
  <r>
    <n v="30658"/>
    <s v="BARRIO ESPERANZA 7"/>
    <n v="3142415"/>
    <s v="3223168746"/>
    <s v="3223168746"/>
    <m/>
    <s v="CR 25 A 24 26 BRR LAS ORQUIDEAS,LAS ORQUIDEAS"/>
    <s v="2.4399703"/>
    <s v="-76.6293718"/>
    <s v="CAUCA"/>
    <s v="POPAYÁN"/>
    <s v="POPAYÁN"/>
    <n v="19001"/>
    <s v="2025-11-04"/>
    <m/>
    <m/>
    <m/>
    <m/>
    <n v="1"/>
    <s v="CALI"/>
    <x v="5"/>
    <n v="37313"/>
    <n v="37313"/>
  </r>
  <r>
    <n v="34201"/>
    <s v="BARRIO CENTRO VILLAVICENCIO META 3"/>
    <n v="17316426"/>
    <s v="3103230893"/>
    <s v="3102230893"/>
    <s v="3102230893"/>
    <s v="CL 4 22 93 LC 2 - PANDIGUANDO,PANDIGUANDO"/>
    <s v="2.4477344"/>
    <s v="-76.6196028"/>
    <s v="CAUCA"/>
    <s v="POPAYÁN"/>
    <s v="POPAYÁN"/>
    <n v="19001"/>
    <s v="2025-11-14"/>
    <m/>
    <m/>
    <m/>
    <m/>
    <n v="1"/>
    <s v="CALI"/>
    <x v="5"/>
    <n v="37313"/>
    <n v="37313"/>
  </r>
  <r>
    <n v="33386"/>
    <s v="BARRIO REMANSO VILLAVICENCIO 1"/>
    <n v="40383825"/>
    <s v="3206219431"/>
    <s v="3206219431"/>
    <m/>
    <s v="VRD ANTOMORENO,VEREDA ANTOMORENO"/>
    <s v="2.4165321"/>
    <s v="-76.6235003"/>
    <s v="CAUCA"/>
    <s v="POPAYÁN"/>
    <s v="POPAYÁN"/>
    <n v="19001"/>
    <s v="2025-11-04"/>
    <m/>
    <m/>
    <m/>
    <m/>
    <n v="1"/>
    <s v="CALI"/>
    <x v="5"/>
    <n v="37313"/>
    <n v="37313"/>
  </r>
  <r>
    <n v="31710"/>
    <s v="BARRIO HACARITAMA 2 VILLAVICENCIO"/>
    <n v="21237279"/>
    <s v="3146363933"/>
    <s v="3146363933"/>
    <s v="3146363933"/>
    <s v="CR 31 14 - 12 MIRADOR - EL MIRADOR,EL MIRADOR"/>
    <s v="2.4460098"/>
    <s v="-76.6288216"/>
    <s v="CAUCA"/>
    <s v="POPAYÁN"/>
    <s v="POPAYÁN"/>
    <n v="19001"/>
    <s v="2025-11-11"/>
    <m/>
    <m/>
    <m/>
    <m/>
    <n v="2"/>
    <s v="CALI"/>
    <x v="5"/>
    <n v="37313"/>
    <n v="74626"/>
  </r>
  <r>
    <n v="66712"/>
    <s v="BARRIO SOACHA SAN LUIS SOACHA"/>
    <n v="1073700427"/>
    <s v="3107209487"/>
    <s v="3107209487"/>
    <s v="3107209487"/>
    <s v="CR 17 11B - 37 P 2,VERSALLES"/>
    <s v="2.4380156"/>
    <s v="-76.6162277"/>
    <s v="CAUCA"/>
    <s v="POPAYÁN"/>
    <s v="POPAYÁN"/>
    <n v="19001"/>
    <s v="2025-11-13"/>
    <m/>
    <m/>
    <m/>
    <m/>
    <n v="2"/>
    <s v="CALI"/>
    <x v="5"/>
    <n v="37313"/>
    <n v="74626"/>
  </r>
  <r>
    <n v="68734"/>
    <s v="BARRIO SAN MATEO SOACHA 21"/>
    <n v="1010191824"/>
    <s v="3212692205"/>
    <s v="3135389338"/>
    <s v="3212692205"/>
    <s v="CR 33 N 12 78,LA PAZ"/>
    <s v="5.0287086"/>
    <s v="-73.9832910"/>
    <s v="CUNDINAMARCA"/>
    <s v="ZIPAQUIRÁ"/>
    <s v="ZIPAQUIRÁ"/>
    <n v="25899"/>
    <s v="2025-11-19"/>
    <m/>
    <m/>
    <m/>
    <m/>
    <n v="3"/>
    <s v="BOGOTA"/>
    <x v="4"/>
    <n v="37313"/>
    <n v="111939"/>
  </r>
  <r>
    <n v="67120"/>
    <s v="BARRIO EL TREBOL SOACHA SOACHA"/>
    <n v="1012442224"/>
    <s v="3144589913"/>
    <s v="3144589913"/>
    <s v="3144589913"/>
    <s v="KM 7 VIA ZIPAQUIRÁ PACHO VDA SAN ISIDRO,VEREDA SAN ISIDRO"/>
    <s v="5.0328219"/>
    <s v="-74.0380316"/>
    <s v="CUNDINAMARCA"/>
    <s v="ZIPAQUIRÁ"/>
    <s v="ZIPAQUIRÁ"/>
    <n v="25899"/>
    <s v="2025-11-28"/>
    <m/>
    <m/>
    <m/>
    <m/>
    <n v="3"/>
    <s v="BOGOTA"/>
    <x v="4"/>
    <n v="37313"/>
    <n v="111939"/>
  </r>
  <r>
    <n v="67275"/>
    <s v="BARRIO CIUDAD VERDE SOACHA 7"/>
    <n v="80901565"/>
    <s v="3114450543"/>
    <s v="3115511010"/>
    <s v="3114450543"/>
    <s v="CRA 36 4 80,LA PAZ"/>
    <s v="5.0220195"/>
    <s v="-73.9834554"/>
    <s v="CUNDINAMARCA"/>
    <s v="ZIPAQUIRÁ"/>
    <s v="ZIPAQUIRÁ"/>
    <n v="25899"/>
    <s v="2025-11-19"/>
    <m/>
    <m/>
    <m/>
    <m/>
    <n v="1"/>
    <s v="BOGOTA"/>
    <x v="4"/>
    <n v="37313"/>
    <n v="37313"/>
  </r>
  <r>
    <n v="64547"/>
    <s v="BARRIO CIUDAD VERDE SOACHA SOACHA"/>
    <n v="80723993"/>
    <s v="8776724"/>
    <s v="3229345503"/>
    <s v="3143344131"/>
    <s v=" CL 19 51 09 LC 2"/>
    <s v="2.94098365"/>
    <s v="-75.24880249"/>
    <s v="HUILA"/>
    <s v="NEIVA"/>
    <s v="NEIVA"/>
    <n v="41001"/>
    <s v="2025-11-24"/>
    <m/>
    <m/>
    <m/>
    <m/>
    <n v="2"/>
    <s v="NEIVA"/>
    <x v="3"/>
    <n v="49671.7"/>
    <n v="99343.4"/>
  </r>
  <r>
    <n v="27074"/>
    <s v="BARRIO QUINTAS DE LAS ACACIAS VILLAVICENCIO"/>
    <n v="20781621"/>
    <s v="3155433406"/>
    <s v="3155433406"/>
    <s v="3155433406"/>
    <s v="CR 7 12 43 LOCAL 6B ED LA CONCORDIA,CENTRO"/>
    <s v="2.9315696"/>
    <s v="-75.2881664"/>
    <s v="HUILA"/>
    <s v="NEIVA"/>
    <s v="NEIVA"/>
    <n v="41001"/>
    <s v="2025-11-21"/>
    <m/>
    <m/>
    <m/>
    <m/>
    <n v="2"/>
    <s v="NEIVA"/>
    <x v="3"/>
    <n v="49671.7"/>
    <n v="99343.4"/>
  </r>
  <r>
    <n v="27884"/>
    <s v="BARRIO VILLA MELIDA 2 - VILLAVICENCIO"/>
    <n v="1076326760"/>
    <s v="3133654035"/>
    <s v="3133654035"/>
    <m/>
    <s v="CR 20 16 A 22 SUR,TIMANCON III ESTAPA"/>
    <s v="2.9119142"/>
    <s v="-75.2764960"/>
    <s v="HUILA"/>
    <s v="NEIVA"/>
    <s v="NEIVA"/>
    <n v="41001"/>
    <s v="2025-11-21"/>
    <m/>
    <m/>
    <m/>
    <m/>
    <n v="2"/>
    <s v="NEIVA"/>
    <x v="3"/>
    <n v="49671.7"/>
    <n v="99343.4"/>
  </r>
  <r>
    <n v="31187"/>
    <s v="BARRIO BARZAL 10"/>
    <n v="40436796"/>
    <s v="3136446891"/>
    <s v="3117418842"/>
    <s v="3136446891"/>
    <s v="CR 6E 4E 47 LA LOMITA,LA LOMITA"/>
    <s v="2.4340523"/>
    <s v="-76.5981063"/>
    <s v="CAUCA"/>
    <s v="POPAYÁN"/>
    <s v="POPAYÁN"/>
    <n v="19001"/>
    <s v="2025-11-13"/>
    <m/>
    <m/>
    <m/>
    <m/>
    <n v="2"/>
    <s v="CALI"/>
    <x v="5"/>
    <n v="37313"/>
    <n v="74626"/>
  </r>
  <r>
    <n v="17743"/>
    <s v="BARRIO COOPERATIVO VILLAVICENCIO"/>
    <n v="86088859"/>
    <s v="3017080459"/>
    <s v="3186062348"/>
    <s v="3017080459"/>
    <s v="MANZANA 26 NRO. 26 - 01 BRR TOMAS CIPRIANO DE MOSQUERA PISO 1 LOCAL 1,TOMAS CIPRIANO DE MOSQUERA"/>
    <s v="2.4440166"/>
    <s v="-76.6258624"/>
    <s v="CAUCA"/>
    <s v="POPAYÁN"/>
    <s v="POPAYÁN"/>
    <n v="19001"/>
    <s v="2025-11-13"/>
    <m/>
    <m/>
    <m/>
    <m/>
    <n v="2"/>
    <s v="CALI"/>
    <x v="5"/>
    <n v="37313"/>
    <n v="74626"/>
  </r>
  <r>
    <n v="27075"/>
    <s v="BARRIO GUATIQUIA VILLAVICENCIO"/>
    <n v="20781621"/>
    <s v="3219787547"/>
    <s v="3219787547"/>
    <m/>
    <s v="CR 3 9 83 95 LC 102 GAITAN,GAITAN"/>
    <s v="4.2688897"/>
    <s v="-73.5402717"/>
    <s v="META"/>
    <s v="RESTREPO"/>
    <s v="RESTREPO"/>
    <n v="50606"/>
    <s v="2025-11-12"/>
    <m/>
    <m/>
    <m/>
    <m/>
    <n v="2"/>
    <s v="VILLAVICENCIO"/>
    <x v="3"/>
    <n v="49671.7"/>
    <n v="99343.4"/>
  </r>
  <r>
    <n v="29174"/>
    <s v="BARRIO VILLA ORTIZ VILLAVICENCIO"/>
    <n v="1121831929"/>
    <s v="6500562"/>
    <s v="3162976256"/>
    <s v="3162976256"/>
    <s v=" CR 4  4-22 GOLGOTA"/>
    <s v="1.3510866"/>
    <s v="-77.5236826"/>
    <s v="NARIÑO"/>
    <s v="LINARES"/>
    <s v="LINARES"/>
    <n v="52411"/>
    <s v="2025-11-11"/>
    <m/>
    <m/>
    <m/>
    <m/>
    <n v="2"/>
    <s v="PASTO"/>
    <x v="5"/>
    <n v="49671.7"/>
    <n v="99343.4"/>
  </r>
  <r>
    <n v="64082"/>
    <s v="BARRIO SOACHA SOACHA 12"/>
    <n v="1024500036"/>
    <s v="0"/>
    <s v="3205159892"/>
    <s v="3205159892"/>
    <s v="BRR GOLGOTA CL 3 CA 12 A"/>
    <s v="1.351135"/>
    <s v="-77.523262"/>
    <s v="NARIÑO"/>
    <s v="LINARES"/>
    <s v="LINARES"/>
    <n v="52411"/>
    <s v="2025-11-10"/>
    <m/>
    <m/>
    <m/>
    <m/>
    <n v="1"/>
    <s v="PASTO"/>
    <x v="5"/>
    <n v="49671.7"/>
    <n v="49671.7"/>
  </r>
  <r>
    <n v="57241"/>
    <s v="BARRIO LEON XIII SOACHA 6"/>
    <n v="1043848739"/>
    <s v="3102287940"/>
    <s v="3150035671"/>
    <s v="3102287940"/>
    <s v="BRR GOLGOTA,BRR GOLGOTA"/>
    <s v="1.3490642"/>
    <s v="-77.5238033"/>
    <s v="NARIÑO"/>
    <s v="LINARES"/>
    <s v="LINARES"/>
    <n v="52411"/>
    <s v="2025-11-11"/>
    <m/>
    <m/>
    <m/>
    <m/>
    <n v="2"/>
    <s v="PASTO"/>
    <x v="5"/>
    <n v="49671.7"/>
    <n v="99343.4"/>
  </r>
  <r>
    <n v="48371"/>
    <s v="BARRIO SOACHA CIUDAD VERDE SOACHA 1"/>
    <n v="1023881117"/>
    <s v="3176797045"/>
    <s v="3176797045"/>
    <s v="3176797045"/>
    <s v="CL 8 N 3-15,EL TRIUNFO"/>
    <s v="7.9312699"/>
    <s v="-72.6024658"/>
    <s v="NORTE DE SANTANDER"/>
    <s v="EL ZULIA"/>
    <s v="EL ZULIA"/>
    <n v="54261"/>
    <s v="2025-11-19"/>
    <m/>
    <m/>
    <m/>
    <m/>
    <n v="2"/>
    <s v="CUCUTA"/>
    <x v="2"/>
    <n v="49671.7"/>
    <n v="99343.4"/>
  </r>
  <r>
    <n v="49558"/>
    <s v="BARRIO SOACHA LAS VEGAS SOACHA"/>
    <n v="52474006"/>
    <s v="3215892401"/>
    <s v="3215892401"/>
    <s v="3215892401"/>
    <s v="CA 10 APT 1,FRANCISCO DE PAULA"/>
    <s v="7.9354970"/>
    <s v="-72.6049743"/>
    <s v="NORTE DE SANTANDER"/>
    <s v="EL ZULIA"/>
    <s v="EL ZULIA"/>
    <n v="54261"/>
    <s v="2025-11-19"/>
    <m/>
    <m/>
    <m/>
    <m/>
    <n v="2"/>
    <s v="CUCUTA"/>
    <x v="2"/>
    <n v="49671.7"/>
    <n v="99343.4"/>
  </r>
  <r>
    <n v="17974"/>
    <s v="BARRIO CENTRO VII- VILLAVICENCIO"/>
    <n v="52427938"/>
    <s v="3186538703"/>
    <s v="3186538703"/>
    <s v="3105526522"/>
    <s v="CL 1 NO 9 36,ALFONSO LOPEZ"/>
    <s v="7.9389360"/>
    <s v="-72.6045398"/>
    <s v="NORTE DE SANTANDER"/>
    <s v="EL ZULIA"/>
    <s v="EL ZULIA"/>
    <n v="54261"/>
    <s v="2025-11-19"/>
    <m/>
    <m/>
    <m/>
    <m/>
    <n v="2"/>
    <s v="CUCUTA"/>
    <x v="2"/>
    <n v="49671.7"/>
    <n v="99343.4"/>
  </r>
  <r>
    <n v="23433"/>
    <s v="BARRIO SANANTONIO - VILLAVICENCIO"/>
    <n v="40333015"/>
    <s v="3024037068"/>
    <s v="3024037068"/>
    <m/>
    <s v="CL 52 1 W 06,CHICALA"/>
    <s v="2.9569138"/>
    <s v="-75.2972824"/>
    <s v="HUILA"/>
    <s v="NEIVA"/>
    <s v="NEIVA"/>
    <n v="41001"/>
    <s v="2025-11-21"/>
    <m/>
    <m/>
    <m/>
    <m/>
    <n v="4"/>
    <s v="NEIVA"/>
    <x v="3"/>
    <n v="49671.7"/>
    <n v="198686.8"/>
  </r>
  <r>
    <n v="77136"/>
    <s v="BARRIO CAMILO TORRES GRANADA 9"/>
    <n v="86014420"/>
    <s v="3168269362"/>
    <s v="3219698695"/>
    <s v="3168269362"/>
    <s v="CL 50 22 95,SAN VALENTIN"/>
    <s v="2.9573094"/>
    <s v="-75.2801205"/>
    <s v="HUILA"/>
    <s v="NEIVA"/>
    <s v="NEIVA"/>
    <n v="41001"/>
    <s v="2025-11-18"/>
    <m/>
    <m/>
    <m/>
    <m/>
    <n v="1"/>
    <s v="NEIVA"/>
    <x v="3"/>
    <n v="49671.7"/>
    <n v="49671.7"/>
  </r>
  <r>
    <n v="35979"/>
    <s v="BARRIO SAN MATEO SOACHA 3"/>
    <n v="1073669849"/>
    <s v="3167206933"/>
    <s v="3167206933"/>
    <s v="3167206933"/>
    <s v="CR 50 20 07,MISAEL PASTRANA"/>
    <s v="2.9415462"/>
    <s v="-75.2503630"/>
    <s v="HUILA"/>
    <s v="NEIVA"/>
    <s v="NEIVA"/>
    <n v="41001"/>
    <s v="2025-11-18"/>
    <m/>
    <m/>
    <m/>
    <m/>
    <n v="2"/>
    <s v="NEIVA"/>
    <x v="3"/>
    <n v="49671.7"/>
    <n v="99343.4"/>
  </r>
  <r>
    <n v="27151"/>
    <s v="BARRIO OLIVOS III SECTOR SOACHA"/>
    <n v="1012427286"/>
    <s v="3165196655"/>
    <s v="3165196655"/>
    <s v="3165196655"/>
    <s v="CR 5 23 74,SEVILLA"/>
    <s v="2.9388053"/>
    <s v="-75.2931677"/>
    <s v="HUILA"/>
    <s v="NEIVA"/>
    <s v="NEIVA"/>
    <n v="41001"/>
    <s v="2025-11-21"/>
    <m/>
    <m/>
    <m/>
    <m/>
    <n v="1"/>
    <s v="NEIVA"/>
    <x v="3"/>
    <n v="49671.7"/>
    <n v="49671.7"/>
  </r>
  <r>
    <n v="68124"/>
    <s v="SECTOR PEDREGAL CHACHAGÜÍ"/>
    <n v="2000010749"/>
    <s v="3112327008"/>
    <s v="3112327008"/>
    <s v="3112327008"/>
    <s v="MERCANEIVA LC 0493 ,ZONA INDUSTRIAL"/>
    <s v="2.8943430"/>
    <s v="-75.2825581"/>
    <s v="HUILA"/>
    <s v="NEIVA"/>
    <s v="NEIVA"/>
    <n v="41001"/>
    <s v="2025-11-21"/>
    <m/>
    <m/>
    <m/>
    <m/>
    <n v="1"/>
    <s v="NEIVA"/>
    <x v="3"/>
    <n v="49671.7"/>
    <n v="49671.7"/>
  </r>
  <r>
    <n v="68125"/>
    <s v="CENTRO CHACHAGUI NARIÑO"/>
    <n v="2000010749"/>
    <s v="3112714958"/>
    <s v="3112714958"/>
    <s v="3142183678"/>
    <s v="CL 6 16 A 17,CALIXTO LEIVA"/>
    <s v="2.9286982"/>
    <s v="-75.2777961"/>
    <s v="HUILA"/>
    <s v="NEIVA"/>
    <s v="NEIVA"/>
    <n v="41001"/>
    <s v="2025-11-18"/>
    <m/>
    <m/>
    <m/>
    <m/>
    <n v="1"/>
    <s v="NEIVA"/>
    <x v="3"/>
    <n v="49671.7"/>
    <n v="49671.7"/>
  </r>
  <r>
    <n v="12800"/>
    <s v="BARRIO CEIBA"/>
    <n v="900576569"/>
    <s v="3102634742"/>
    <s v="3102634742"/>
    <s v="3102634742"/>
    <s v="CL 55 A 2 AW - 45,CANDIDO LEGUIZAMO"/>
    <s v="2.957034"/>
    <s v="-75.298373"/>
    <s v="HUILA"/>
    <s v="NEIVA"/>
    <s v="NEIVA"/>
    <n v="41001"/>
    <s v="2025-11-24"/>
    <m/>
    <m/>
    <m/>
    <m/>
    <n v="1"/>
    <s v="NEIVA"/>
    <x v="3"/>
    <n v="49671.7"/>
    <n v="49671.7"/>
  </r>
  <r>
    <n v="79374"/>
    <s v="BARRIO PARQUE BOLIVAR CONTADADERO"/>
    <n v="901452181"/>
    <s v="3175455920"/>
    <s v="3153154693"/>
    <s v="3175455920"/>
    <s v="CR 16 41 72 CC SAN JUAN PLAZA LC 219,ALAMOS NORTE"/>
    <s v="2.955654"/>
    <s v="-75.280385"/>
    <s v="HUILA"/>
    <s v="NEIVA"/>
    <s v="NEIVA"/>
    <n v="41001"/>
    <s v="2025-11-24"/>
    <m/>
    <m/>
    <m/>
    <m/>
    <n v="1"/>
    <s v="NEIVA"/>
    <x v="3"/>
    <n v="49671.7"/>
    <n v="49671.7"/>
  </r>
  <r>
    <n v="77616"/>
    <s v="BARRIO GUAIMARAL CUCUTA 10"/>
    <n v="91248525"/>
    <s v="3183184409"/>
    <s v="3183184409"/>
    <s v="3183184409"/>
    <s v="CL 49 C SUR37 170 TORRE 25 APTO 104,PRADOS DEL SAUCE"/>
    <s v="2.8873513"/>
    <s v="-75.2511661"/>
    <s v="HUILA"/>
    <s v="NEIVA"/>
    <s v="NEIVA"/>
    <n v="41001"/>
    <s v="2025-11-18"/>
    <m/>
    <m/>
    <m/>
    <m/>
    <n v="2"/>
    <s v="NEIVA"/>
    <x v="3"/>
    <n v="49671.7"/>
    <n v="99343.4"/>
  </r>
  <r>
    <n v="78377"/>
    <s v="BARRIO BOCONO CUCUTA 2"/>
    <n v="37292139"/>
    <s v="3158861236"/>
    <s v="3158861236"/>
    <s v="3158861236"/>
    <s v="CL 56 B 17 - 71 LOCAL 2,CONDOMINIO RESIDENCIAL AMARANTO CLUB"/>
    <s v="2.9586160"/>
    <s v="-75.2871921"/>
    <s v="HUILA"/>
    <s v="NEIVA"/>
    <s v="NEIVA"/>
    <n v="41001"/>
    <s v="2025-11-24"/>
    <m/>
    <m/>
    <m/>
    <m/>
    <n v="1"/>
    <s v="NEIVA"/>
    <x v="3"/>
    <n v="49671.7"/>
    <n v="49671.7"/>
  </r>
  <r>
    <n v="78423"/>
    <s v="BARRIO BELEN CUCUTA 7"/>
    <n v="901743549"/>
    <s v="3132438564"/>
    <s v="3132438564"/>
    <s v="3132438564"/>
    <s v="CR 17 35 28,GUALANDAY"/>
    <s v="2.192466"/>
    <s v="-75.636559"/>
    <s v="HUILA"/>
    <s v="NEIVA"/>
    <s v="NEIVA"/>
    <n v="41001"/>
    <s v="2025-11-27"/>
    <m/>
    <m/>
    <m/>
    <m/>
    <n v="1"/>
    <s v="NEIVA"/>
    <x v="3"/>
    <n v="49671.7"/>
    <n v="49671.7"/>
  </r>
  <r>
    <n v="78348"/>
    <s v="BARRIO PRADOS DEL NORTE CUCUTA 4"/>
    <n v="1193479180"/>
    <s v="3108119746"/>
    <s v="3108119746"/>
    <s v="3503598349"/>
    <s v="CL 25 6 12 JOSE EUSTACIO RIVERA"/>
    <s v="2.954268"/>
    <s v="-75.283395"/>
    <s v="HUILA"/>
    <s v="NEIVA"/>
    <s v="NEIVA"/>
    <n v="41001"/>
    <s v="2025-11-27"/>
    <m/>
    <m/>
    <m/>
    <m/>
    <n v="2"/>
    <s v="NEIVA"/>
    <x v="3"/>
    <n v="49671.7"/>
    <n v="99343.4"/>
  </r>
  <r>
    <n v="77958"/>
    <s v="BARRIO SAN RAFAEL CUCUTA  5"/>
    <n v="1127344093"/>
    <s v="3133907871"/>
    <s v="3133907871"/>
    <s v="3133907871"/>
    <s v="CL 55 4 W 46,CARLOS PIZARRO"/>
    <s v="2.9591988"/>
    <s v="-75.2995807"/>
    <s v="HUILA"/>
    <s v="NEIVA"/>
    <s v="NEIVA"/>
    <n v="41001"/>
    <s v="2025-11-27"/>
    <m/>
    <m/>
    <m/>
    <m/>
    <n v="1"/>
    <s v="NEIVA"/>
    <x v="3"/>
    <n v="49671.7"/>
    <n v="49671.7"/>
  </r>
  <r>
    <n v="77664"/>
    <s v="BARRIO PARAMO CUCUTA 3"/>
    <n v="60364124"/>
    <m/>
    <s v="3188601647"/>
    <s v="3188601647"/>
    <s v="CL 70 A N 8 C 92,SAN EDUARDO"/>
    <s v="2.4810158"/>
    <s v="-76.5626645"/>
    <s v="CAUCA"/>
    <s v="POPAYÁN"/>
    <s v="POPAYÁN"/>
    <n v="19001"/>
    <s v="2025-11-12"/>
    <m/>
    <m/>
    <m/>
    <m/>
    <n v="1"/>
    <s v="CALI"/>
    <x v="5"/>
    <n v="37313"/>
    <n v="37313"/>
  </r>
  <r>
    <n v="31689"/>
    <s v="BARRIO CENTRO 2 SÁCHICA"/>
    <n v="1030550769"/>
    <m/>
    <s v="3116602641"/>
    <s v="3116602641"/>
    <s v=" CR 9 5. 42 CENTRO"/>
    <s v="2.4417407"/>
    <s v="-76.6087823"/>
    <s v="CAUCA"/>
    <s v="POPAYÁN"/>
    <s v="POPAYÁN"/>
    <n v="19001"/>
    <s v="2025-11-13"/>
    <m/>
    <m/>
    <m/>
    <m/>
    <n v="2"/>
    <s v="CALI"/>
    <x v="5"/>
    <n v="37313"/>
    <n v="74626"/>
  </r>
  <r>
    <n v="50461"/>
    <s v="BARRIO CENTRO SACHICA 1"/>
    <n v="1079869"/>
    <s v="8367549"/>
    <s v="3202199442"/>
    <s v="3202199442"/>
    <s v=" KM 22 AU MEDELLIN VRD TIERRA GRATA"/>
    <s v="4.8514819"/>
    <s v="-74.2744612"/>
    <s v="CUNDINAMARCA"/>
    <s v="EL ROSAL"/>
    <s v="EL ROSAL"/>
    <n v="25260"/>
    <s v="2025-11-07"/>
    <m/>
    <m/>
    <m/>
    <m/>
    <n v="1"/>
    <s v="BOGOTA"/>
    <x v="4"/>
    <n v="37313"/>
    <n v="37313"/>
  </r>
  <r>
    <n v="34783"/>
    <s v=" BARRIO VDA TIBAQUIRA   "/>
    <n v="901064892"/>
    <m/>
    <s v="3208333892"/>
    <s v="3208333892"/>
    <s v="CLL 11A Nº 6- 33 L C 3"/>
    <s v="4.8543284"/>
    <s v="-74.2615800"/>
    <s v="CUNDINAMARCA"/>
    <s v="EL ROSAL"/>
    <s v="EL ROSAL"/>
    <n v="25260"/>
    <s v="2025-11-07"/>
    <m/>
    <m/>
    <m/>
    <m/>
    <n v="1"/>
    <s v="BOGOTA"/>
    <x v="4"/>
    <n v="37313"/>
    <n v="37313"/>
  </r>
  <r>
    <n v="65867"/>
    <s v="BARRIO VERDA SALAMANCA SAMACA"/>
    <n v="1056799210"/>
    <s v="0"/>
    <s v="3128156608"/>
    <s v="3128157608"/>
    <s v="VRD EL ROSARIO ALTO FCA SANTA ELENA"/>
    <s v="4.6678109"/>
    <s v="-74.3850154"/>
    <s v="CUNDINAMARCA"/>
    <s v="TENA"/>
    <s v="TENA"/>
    <n v="25797"/>
    <s v="2025-11-27"/>
    <m/>
    <m/>
    <m/>
    <m/>
    <n v="1"/>
    <s v="BOGOTA"/>
    <x v="4"/>
    <n v="37313"/>
    <n v="37313"/>
  </r>
  <r>
    <n v="71002"/>
    <s v="BARRIO CENTRO SAMACA 6"/>
    <n v="1052397766"/>
    <s v="8789381"/>
    <s v="3125454176"/>
    <s v="3125454176"/>
    <s v=" CL 3  3 28"/>
    <s v="5.1188071"/>
    <s v="-74.3454938"/>
    <s v="CUNDINAMARCA"/>
    <s v="VERGARA"/>
    <s v="VERGARA"/>
    <n v="25862"/>
    <s v="2025-11-25"/>
    <m/>
    <m/>
    <m/>
    <m/>
    <n v="1"/>
    <s v="BOGOTA"/>
    <x v="4"/>
    <n v="37313"/>
    <n v="37313"/>
  </r>
  <r>
    <n v="55146"/>
    <s v="BARRIO CENTRO TUTA 3"/>
    <n v="901471813"/>
    <s v="0"/>
    <s v="3103292137"/>
    <s v="3103292137"/>
    <s v="CR 3 # 2 - 08 BRR SAN PEDRO"/>
    <s v="5.1180315"/>
    <s v="-74.3458071"/>
    <s v="CUNDINAMARCA"/>
    <s v="VERGARA"/>
    <s v="VERGARA"/>
    <n v="25862"/>
    <s v="2025-11-25"/>
    <m/>
    <m/>
    <m/>
    <m/>
    <n v="1"/>
    <s v="BOGOTA"/>
    <x v="4"/>
    <n v="37313"/>
    <n v="37313"/>
  </r>
  <r>
    <n v="81175"/>
    <s v="BARRIO VEREDA RIO DE PIEDRAS TUTA"/>
    <n v="7180978"/>
    <s v="0"/>
    <s v="3107977908"/>
    <s v="3107977908"/>
    <s v="CL 2 3 49"/>
    <s v="5.1182565"/>
    <s v="-74.3454319"/>
    <s v="CUNDINAMARCA"/>
    <s v="VERGARA"/>
    <s v="VERGARA"/>
    <n v="25862"/>
    <s v="2025-11-25"/>
    <m/>
    <m/>
    <m/>
    <m/>
    <n v="1"/>
    <s v="BOGOTA"/>
    <x v="4"/>
    <n v="37313"/>
    <n v="37313"/>
  </r>
  <r>
    <n v="74779"/>
    <s v="BARRIO SAN LUIS CUCUTA 27"/>
    <n v="1092357348"/>
    <s v="0"/>
    <s v="3105808496"/>
    <s v="3142441242"/>
    <s v="CRA 6 A NO 1 - 19,SANTO DOMINGO"/>
    <s v="5.1192886"/>
    <s v="-74.3441949"/>
    <s v="CUNDINAMARCA"/>
    <s v="VERGARA"/>
    <s v="VERGARA"/>
    <n v="25862"/>
    <s v="2025-11-25"/>
    <m/>
    <m/>
    <m/>
    <m/>
    <n v="1"/>
    <s v="BOGOTA"/>
    <x v="4"/>
    <n v="37313"/>
    <n v="37313"/>
  </r>
  <r>
    <n v="13693"/>
    <s v="SECTOR NOGALES"/>
    <n v="1051820090"/>
    <s v="3135629833"/>
    <s v="3135629833"/>
    <s v="3135629833"/>
    <s v="CLE 2 NO 4 60,CENTRO"/>
    <s v="5.1188781"/>
    <s v="-74.3449129"/>
    <s v="CUNDINAMARCA"/>
    <s v="VERGARA"/>
    <s v="VERGARA"/>
    <n v="25862"/>
    <s v="2025-11-25"/>
    <m/>
    <m/>
    <m/>
    <m/>
    <n v="1"/>
    <s v="BOGOTA"/>
    <x v="4"/>
    <n v="37313"/>
    <n v="37313"/>
  </r>
  <r>
    <n v="74337"/>
    <s v="BARRIO LA LIBERTAD CUCUTA 22"/>
    <n v="901584620"/>
    <s v="8389939"/>
    <s v="3212044050"/>
    <s v="3212044050"/>
    <s v=" CR 4 CL 5 A ESQ"/>
    <s v="3.222475"/>
    <s v="-75.236699"/>
    <s v="HUILA"/>
    <s v="AIPE"/>
    <s v="AIPE"/>
    <n v="41016"/>
    <s v="2025-11-20"/>
    <m/>
    <m/>
    <m/>
    <m/>
    <n v="1"/>
    <s v="NEIVA"/>
    <x v="3"/>
    <n v="49671.7"/>
    <n v="49671.7"/>
  </r>
  <r>
    <n v="74281"/>
    <s v="BARRIO CALLEJON CUCUTA 15"/>
    <n v="1092350546"/>
    <s v="3118534071"/>
    <s v="3113602786"/>
    <s v="3113602786"/>
    <s v="VRD 1 - 1 VEREDA LA UNIÓN,VEREDA LA UNIÓN"/>
    <s v="3.2022377"/>
    <s v="-75.5737359"/>
    <s v="HUILA"/>
    <s v="AIPE"/>
    <s v="AIPE"/>
    <n v="41016"/>
    <s v="2025-11-20"/>
    <m/>
    <m/>
    <m/>
    <m/>
    <n v="2"/>
    <s v="NEIVA"/>
    <x v="3"/>
    <n v="49671.7"/>
    <n v="99343.4"/>
  </r>
  <r>
    <n v="23039"/>
    <s v="BARRIO SIMÓN BOLÍVAR - SOGAMOSO"/>
    <n v="9396871"/>
    <s v="3208460382"/>
    <s v="3208460382"/>
    <s v="3208460382"/>
    <s v="CL 4 3 - 79,CENTRO"/>
    <s v="3.221263"/>
    <s v="-75.236610"/>
    <s v="HUILA"/>
    <s v="AIPE"/>
    <s v="AIPE"/>
    <n v="41016"/>
    <s v="2025-11-20"/>
    <m/>
    <m/>
    <m/>
    <m/>
    <n v="1"/>
    <s v="NEIVA"/>
    <x v="3"/>
    <n v="49671.7"/>
    <n v="49671.7"/>
  </r>
  <r>
    <n v="78618"/>
    <s v="BARRIO UNIVERSITARIO SOGAMOSO 7"/>
    <n v="1007343084"/>
    <s v="3132239608"/>
    <s v="3132239608"/>
    <m/>
    <s v="CR 6 4 35,CENTRO"/>
    <s v="2.5235913"/>
    <s v="-75.3156105"/>
    <s v="HUILA"/>
    <s v="ALGECIRAS"/>
    <s v="ALGECIRAS"/>
    <n v="41020"/>
    <s v="2025-11-12"/>
    <m/>
    <m/>
    <m/>
    <m/>
    <n v="1"/>
    <s v="NEIVA"/>
    <x v="3"/>
    <n v="49671.7"/>
    <n v="49671.7"/>
  </r>
  <r>
    <n v="53829"/>
    <s v="BARRIO EL LAGUITO SOGAMOSO 3"/>
    <n v="900624919"/>
    <s v="3103478200"/>
    <s v="3103478200"/>
    <s v="3103478200"/>
    <s v="CR 6 6 23,CENTRO"/>
    <s v="2.5242948"/>
    <s v="-75.3147733"/>
    <s v="HUILA"/>
    <s v="ALGECIRAS"/>
    <s v="ALGECIRAS"/>
    <n v="41020"/>
    <s v="2025-11-12"/>
    <m/>
    <m/>
    <m/>
    <m/>
    <n v="1"/>
    <s v="NEIVA"/>
    <x v="3"/>
    <n v="49671.7"/>
    <n v="49671.7"/>
  </r>
  <r>
    <n v="74275"/>
    <s v="BARRIO ALFONSO LOPEZ CUCUTA 7"/>
    <n v="1128130814"/>
    <s v="3214475512"/>
    <s v="3214475512"/>
    <s v="3214475512"/>
    <s v="CR 5 2 03,CENTRO"/>
    <s v="2.5230817"/>
    <s v="-75.3182317"/>
    <s v="HUILA"/>
    <s v="ALGECIRAS"/>
    <s v="ALGECIRAS"/>
    <n v="41020"/>
    <s v="2025-11-12"/>
    <m/>
    <m/>
    <m/>
    <m/>
    <n v="1"/>
    <s v="NEIVA"/>
    <x v="3"/>
    <n v="49671.7"/>
    <n v="49671.7"/>
  </r>
  <r>
    <n v="75193"/>
    <s v="BARRIO SAN LUIS CUCUTA 28"/>
    <n v="37511588"/>
    <s v="3143242562"/>
    <s v="3143242562"/>
    <s v="3143242562"/>
    <s v="CL 6 8-08,JUAN XXI"/>
    <s v="2.522318"/>
    <s v="-75.312806"/>
    <s v="HUILA"/>
    <s v="ALGECIRAS"/>
    <s v="ALGECIRAS"/>
    <n v="41020"/>
    <s v="2025-11-12"/>
    <m/>
    <m/>
    <m/>
    <m/>
    <n v="1"/>
    <s v="NEIVA"/>
    <x v="3"/>
    <n v="49671.7"/>
    <n v="49671.7"/>
  </r>
  <r>
    <n v="72611"/>
    <s v="SEVILLA CUCUTA 3"/>
    <n v="37273830"/>
    <s v="3123278956"/>
    <s v="3123278956"/>
    <s v="3123278956"/>
    <s v="CL 2 CR 6 BRR CENTRO INSPECCIÓN PALMERAS"/>
    <s v="3.915995"/>
    <s v="-73.235003"/>
    <s v="META"/>
    <s v="SAN CARLOS DE GUAROA"/>
    <s v="SAN CARLOS DE GUAROA"/>
    <n v="50680"/>
    <s v="2025-11-11"/>
    <m/>
    <m/>
    <m/>
    <m/>
    <n v="1"/>
    <s v="VILLAVICENCIO"/>
    <x v="3"/>
    <n v="49671.7"/>
    <n v="49671.7"/>
  </r>
  <r>
    <n v="72612"/>
    <s v="BARRIO NUEVO HORIZONTE CUCUTA 3"/>
    <n v="60402106"/>
    <s v="3134766197"/>
    <s v="3108808658"/>
    <s v="3134766197"/>
    <s v="CL 2 CRA 4 INSPECCION LA PALMERA - ZONA RURAL SAN CARLOS DE GUAROBA,INSPECCIÓN LA PALMERA"/>
    <s v="3.9163290"/>
    <s v="-73.2358341"/>
    <s v="META"/>
    <s v="SAN CARLOS DE GUAROA"/>
    <s v="SAN CARLOS DE GUAROA"/>
    <n v="50680"/>
    <s v="2025-11-11"/>
    <m/>
    <m/>
    <m/>
    <m/>
    <n v="2"/>
    <s v="VILLAVICENCIO"/>
    <x v="3"/>
    <n v="49671.7"/>
    <n v="99343.4"/>
  </r>
  <r>
    <n v="53870"/>
    <s v="BARRIO SAN RAFAEL SOGAMOSO"/>
    <n v="1065853944"/>
    <s v="3182649776"/>
    <s v="3182649776"/>
    <s v="3138142479"/>
    <s v="CR 42 -71 INSPECCIÓN PALMERAS,ZONA RURAL SAN CARLOS DE GUAROBA"/>
    <s v="3.9164386"/>
    <s v="-73.2365986"/>
    <s v="META"/>
    <s v="SAN CARLOS DE GUAROA"/>
    <s v="SAN CARLOS DE GUAROA"/>
    <n v="50680"/>
    <s v="2025-11-11"/>
    <m/>
    <m/>
    <m/>
    <m/>
    <n v="2"/>
    <s v="VILLAVICENCIO"/>
    <x v="3"/>
    <n v="49671.7"/>
    <n v="99343.4"/>
  </r>
  <r>
    <n v="55432"/>
    <s v="BARRIO EL LAGUITO SOGAMOSO 4"/>
    <n v="1065853944"/>
    <s v="3153525206"/>
    <s v="3166607067"/>
    <s v="3168728357"/>
    <s v="VRD INSPECCIÓN SURIMENA - ZONA RURAL SAN CARLOS DE GUAROA,INSPECCIÓN SURIMENA"/>
    <s v="3.859705"/>
    <s v="-73.314787"/>
    <s v="META"/>
    <s v="SAN CARLOS DE GUAROA"/>
    <s v="SAN CARLOS DE GUAROA"/>
    <n v="50680"/>
    <s v="2025-11-27"/>
    <m/>
    <m/>
    <m/>
    <m/>
    <n v="2"/>
    <s v="VILLAVICENCIO"/>
    <x v="3"/>
    <n v="49671.7"/>
    <n v="99343.4"/>
  </r>
  <r>
    <n v="50296"/>
    <s v="BARRIO GUSTAVO JIMENEZ SOGAMOSO 1"/>
    <n v="9396871"/>
    <s v="3103160028"/>
    <s v="3103160028"/>
    <s v="3208340254"/>
    <s v="VRD INSPECCIÓN RINCÓN DE PAJURE - ZONA RURAL SAN CARLOS DE GUAROA,INSPECCIÓN RINCÓN DE PAJURE"/>
    <s v="3.890488"/>
    <s v="-73.125962"/>
    <s v="META"/>
    <s v="SAN CARLOS DE GUAROA"/>
    <s v="SAN CARLOS DE GUAROA"/>
    <n v="50680"/>
    <s v="2025-11-27"/>
    <m/>
    <m/>
    <m/>
    <m/>
    <n v="1"/>
    <s v="VILLAVICENCIO"/>
    <x v="3"/>
    <n v="49671.7"/>
    <n v="49671.7"/>
  </r>
  <r>
    <n v="47020"/>
    <s v="BARRIO UNIVERSITARIO SOGAMOSO 2"/>
    <n v="51911307"/>
    <s v="3116918181"/>
    <s v="3213035828"/>
    <s v="3116918181"/>
    <s v="ESQ PARQUE PRINCIPAL BARRIO PROGRESO,PROGRESO"/>
    <s v="1.472852"/>
    <s v="-77.5798499"/>
    <s v="NARIÑO"/>
    <s v="LA LLANADA"/>
    <s v="LA LLANADA"/>
    <n v="52385"/>
    <s v="2025-11-11"/>
    <m/>
    <m/>
    <m/>
    <m/>
    <n v="1"/>
    <s v="PASTO"/>
    <x v="5"/>
    <n v="49671.7"/>
    <n v="49671.7"/>
  </r>
  <r>
    <n v="72904"/>
    <s v="BARRIO RAFAEL NUÑEZ CUCUTA 1"/>
    <n v="88267282"/>
    <s v="3154346757"/>
    <s v="3112344143"/>
    <s v="3154346757"/>
    <s v="CR 5 6 09 B/SAN FRANCISCO,SAN FRANCISCO"/>
    <s v="1.4786191"/>
    <s v="-77.5815685"/>
    <s v="NARIÑO"/>
    <s v="LA LLANADA"/>
    <s v="LA LLANADA"/>
    <n v="52385"/>
    <s v="2025-11-11"/>
    <m/>
    <m/>
    <m/>
    <m/>
    <n v="1"/>
    <s v="PASTO"/>
    <x v="5"/>
    <n v="49671.7"/>
    <n v="49671.7"/>
  </r>
  <r>
    <n v="72058"/>
    <s v="BARRIO EL LLANO CUCUTA 13"/>
    <n v="88263528"/>
    <s v="5552127"/>
    <s v="3108720803"/>
    <s v="3108720803"/>
    <s v=" AV 10 16 24"/>
    <s v="7.827482940232154"/>
    <s v="-72.5118858868464"/>
    <s v="NORTE DE SANTANDER"/>
    <s v="LOS PATIOS"/>
    <s v="LOS PATIOS"/>
    <n v="54405"/>
    <s v="2025-11-28"/>
    <m/>
    <m/>
    <m/>
    <m/>
    <n v="3"/>
    <s v="CUCUTA"/>
    <x v="2"/>
    <n v="49671.7"/>
    <n v="149015.09999999998"/>
  </r>
  <r>
    <n v="71336"/>
    <s v="BARRIO LA NUEVA SEXTA CUCUTA "/>
    <n v="91429851"/>
    <s v="3234104669"/>
    <s v="3234104669"/>
    <s v="3234104669"/>
    <s v="AV 10 12 30,ONCE DE NOVIEMBRE"/>
    <s v="7.8241678"/>
    <s v="-72.5129989"/>
    <s v="NORTE DE SANTANDER"/>
    <s v="LOS PATIOS"/>
    <s v="LOS PATIOS"/>
    <n v="54405"/>
    <s v="2025-11-24"/>
    <m/>
    <m/>
    <m/>
    <m/>
    <n v="3"/>
    <s v="CUCUTA"/>
    <x v="2"/>
    <n v="49671.7"/>
    <n v="149015.09999999998"/>
  </r>
  <r>
    <n v="70841"/>
    <s v="BARRIO URB PRADOS DEL NORTE CUCUTA 10"/>
    <n v="68296631"/>
    <s v="3167626155"/>
    <s v="3167626155"/>
    <s v="3167626155"/>
    <s v="KDX 6 2,RECTA COROZAL"/>
    <s v="7.7326718"/>
    <s v="-72.5552988"/>
    <s v="NORTE DE SANTANDER"/>
    <s v="LOS PATIOS"/>
    <s v="LOS PATIOS"/>
    <n v="54405"/>
    <s v="2025-11-19"/>
    <m/>
    <m/>
    <m/>
    <m/>
    <n v="2"/>
    <s v="CUCUTA"/>
    <x v="2"/>
    <n v="49671.7"/>
    <n v="99343.4"/>
  </r>
  <r>
    <n v="69176"/>
    <s v="BARRIO URB SAN MARTIN CUCUTA"/>
    <n v="1090417626"/>
    <s v="3156511123"/>
    <s v="3156511123"/>
    <s v="3016718357"/>
    <s v="AV 10 MZ 0 LC 19 CC LA CAMPIÑA,URB LA CAMPIÑA"/>
    <s v="7.8179184"/>
    <s v="-72.5154217"/>
    <s v="NORTE DE SANTANDER"/>
    <s v="LOS PATIOS"/>
    <s v="LOS PATIOS"/>
    <n v="54405"/>
    <s v="2025-11-05"/>
    <m/>
    <m/>
    <m/>
    <m/>
    <n v="1"/>
    <s v="CUCUTA"/>
    <x v="2"/>
    <n v="49671.7"/>
    <n v="49671.7"/>
  </r>
  <r>
    <n v="69231"/>
    <s v="BARRIO SAN MARTIN CUCUTA 3"/>
    <n v="1090417626"/>
    <s v="6050962"/>
    <s v="3132350020"/>
    <s v="3143719794"/>
    <s v=" CL 24 A 49 37"/>
    <s v="2.9451385"/>
    <s v="-75.2530159"/>
    <s v="HUILA"/>
    <s v="NEIVA"/>
    <s v="NEIVA"/>
    <n v="41001"/>
    <s v="2025-11-28"/>
    <m/>
    <m/>
    <m/>
    <m/>
    <n v="1"/>
    <s v="NEIVA"/>
    <x v="3"/>
    <n v="49671.7"/>
    <n v="49671.7"/>
  </r>
  <r>
    <n v="69908"/>
    <s v="BARRIO SANTANDER CUCUTA 2"/>
    <n v="88250291"/>
    <s v="8760619"/>
    <s v="3007357505"/>
    <s v="3007357505"/>
    <s v=" CL 67 1 78"/>
    <s v="2.9650819"/>
    <s v="-75.2950509"/>
    <s v="HUILA"/>
    <s v="NEIVA"/>
    <s v="NEIVA"/>
    <n v="41001"/>
    <s v="2025-11-28"/>
    <m/>
    <m/>
    <m/>
    <m/>
    <n v="1"/>
    <s v="NEIVA"/>
    <x v="3"/>
    <n v="49671.7"/>
    <n v="49671.7"/>
  </r>
  <r>
    <n v="75085"/>
    <s v="BARRIO EL SOCORRO BUESACO 1"/>
    <n v="1084221711"/>
    <s v="8713779"/>
    <s v="3237879733"/>
    <s v="3214189981"/>
    <s v=" CR 4 3 29"/>
    <s v="2.923088"/>
    <s v="-75.288411"/>
    <s v="HUILA"/>
    <s v="NEIVA"/>
    <s v="NEIVA"/>
    <n v="41001"/>
    <s v="2025-11-28"/>
    <m/>
    <m/>
    <m/>
    <m/>
    <n v="1"/>
    <s v="NEIVA"/>
    <x v="3"/>
    <n v="49671.7"/>
    <n v="49671.7"/>
  </r>
  <r>
    <n v="42903"/>
    <s v="BARRIO CALLE LA CRUZ FILANDIA"/>
    <n v="901088792"/>
    <s v="8719891"/>
    <s v="3102293210"/>
    <s v="3102293210"/>
    <s v=" CL 6 4 49"/>
    <s v="2.925161"/>
    <s v="-75.288673"/>
    <s v="HUILA"/>
    <s v="NEIVA"/>
    <s v="NEIVA"/>
    <n v="41001"/>
    <s v="2025-11-28"/>
    <m/>
    <m/>
    <m/>
    <m/>
    <n v="1"/>
    <s v="NEIVA"/>
    <x v="3"/>
    <n v="49671.7"/>
    <n v="49671.7"/>
  </r>
  <r>
    <n v="33450"/>
    <s v="BARRIO SIMON BOLIVAR SOGAMOSO"/>
    <n v="1065853944"/>
    <s v="3112941685"/>
    <s v="3112941685"/>
    <m/>
    <s v="CL 29 3 58,LA CORDIALIDAD"/>
    <s v="7.8365977"/>
    <s v="-72.5035049"/>
    <s v="NORTE DE SANTANDER"/>
    <s v="LOS PATIOS"/>
    <s v="LOS PATIOS"/>
    <n v="54405"/>
    <s v="2025-11-24"/>
    <m/>
    <m/>
    <m/>
    <m/>
    <n v="2"/>
    <s v="CUCUTA"/>
    <x v="2"/>
    <n v="49671.7"/>
    <n v="99343.4"/>
  </r>
  <r>
    <n v="22633"/>
    <s v="BARRIO CENTRO XIII - SOGAMOSO"/>
    <n v="1052385991"/>
    <s v="3102234864"/>
    <s v="3043478063"/>
    <s v="3043478063"/>
    <s v="CL 27 3 57 APTO 101,LA CORDIALIDAD"/>
    <s v="7.836615465004341"/>
    <s v=" -72.49892444850259"/>
    <s v="NORTE DE SANTANDER"/>
    <s v="LOS PATIOS"/>
    <s v="LOS PATIOS"/>
    <n v="54405"/>
    <s v="2025-11-27"/>
    <m/>
    <m/>
    <m/>
    <m/>
    <n v="1"/>
    <s v="CUCUTA"/>
    <x v="2"/>
    <n v="49671.7"/>
    <n v="49671.7"/>
  </r>
  <r>
    <n v="73272"/>
    <s v="BARRIO CENTRO TINJACA 3"/>
    <n v="1057215949"/>
    <s v="3156685838"/>
    <s v="3144766559"/>
    <s v="3144766559"/>
    <s v="CL 22 B 3 98 LC 2,TASAJERO"/>
    <s v="7.831796952404172"/>
    <s v=" -72.505310104322"/>
    <s v="NORTE DE SANTANDER"/>
    <s v="LOS PATIOS"/>
    <s v="LOS PATIOS"/>
    <n v="54405"/>
    <s v="2025-11-20"/>
    <m/>
    <m/>
    <m/>
    <m/>
    <n v="1"/>
    <s v="CUCUTA"/>
    <x v="2"/>
    <n v="49671.7"/>
    <n v="49671.7"/>
  </r>
  <r>
    <n v="76086"/>
    <s v="BARRIO CENTRO TINJACA 4"/>
    <n v="1054095799"/>
    <s v="3163887351"/>
    <s v="3163887351"/>
    <s v="3163887351"/>
    <s v="AV 9 NRO. 5C - 06 LC 3,URB SAN NICOLÁS 2"/>
    <s v="7.8186304"/>
    <s v="-72.5138397"/>
    <s v="NORTE DE SANTANDER"/>
    <s v="LOS PATIOS"/>
    <s v="LOS PATIOS"/>
    <n v="54405"/>
    <s v="2025-11-24"/>
    <m/>
    <m/>
    <m/>
    <m/>
    <n v="1"/>
    <s v="CUCUTA"/>
    <x v="2"/>
    <n v="49671.7"/>
    <n v="49671.7"/>
  </r>
  <r>
    <n v="78071"/>
    <s v="BARRIO PLAYA BLANCA TOTA"/>
    <n v="79976498"/>
    <s v="3163887351"/>
    <s v="3163887351"/>
    <s v="3163887351"/>
    <s v="AV 10 NRO. 18 - 20 A,ONCE DE NOVIEMBRE"/>
    <s v="7.8292045"/>
    <s v="-72.5113581"/>
    <s v="NORTE DE SANTANDER"/>
    <s v="LOS PATIOS"/>
    <s v="LOS PATIOS"/>
    <n v="54405"/>
    <s v="2025-11-24"/>
    <m/>
    <m/>
    <m/>
    <m/>
    <n v="1"/>
    <s v="CUCUTA"/>
    <x v="2"/>
    <n v="49671.7"/>
    <n v="49671.7"/>
  </r>
  <r>
    <n v="33823"/>
    <s v="BARRIO CENTRO CHINCHINA 2"/>
    <n v="890807047"/>
    <s v="3163887351"/>
    <s v="3163887351"/>
    <s v="3163887351"/>
    <s v="AV 4 NRO. 34 - 33 LO. 1,LA SABANA"/>
    <s v="7.8420794"/>
    <s v="-72.5023490"/>
    <s v="NORTE DE SANTANDER"/>
    <s v="LOS PATIOS"/>
    <s v="LOS PATIOS"/>
    <n v="54405"/>
    <s v="2025-11-21"/>
    <m/>
    <m/>
    <m/>
    <m/>
    <n v="1"/>
    <s v="CUCUTA"/>
    <x v="2"/>
    <n v="49671.7"/>
    <n v="49671.7"/>
  </r>
  <r>
    <n v="33112"/>
    <s v="BARRIO CENTRO CHINCHINA"/>
    <n v="890807047"/>
    <s v="3163887351"/>
    <s v="3163887351"/>
    <s v="3233155763"/>
    <s v="AV 10 NRO. 25B - 29,PATIOS CENTRO"/>
    <s v="7.8360008"/>
    <s v="-72.5093711"/>
    <s v="NORTE DE SANTANDER"/>
    <s v="LOS PATIOS"/>
    <s v="LOS PATIOS"/>
    <n v="54405"/>
    <s v="2025-11-24"/>
    <m/>
    <m/>
    <m/>
    <m/>
    <n v="1"/>
    <s v="CUCUTA"/>
    <x v="2"/>
    <n v="49671.7"/>
    <n v="49671.7"/>
  </r>
  <r>
    <n v="42416"/>
    <s v="BARRIO CHINCHINA CHINCHINA"/>
    <n v="890306372"/>
    <s v="0"/>
    <s v="3015625108"/>
    <s v="3015625108"/>
    <s v="AV 10 16-40,ONCE DE NOVIEMBRE"/>
    <s v="7.8285697"/>
    <s v="-72.5115209"/>
    <s v="NORTE DE SANTANDER"/>
    <s v="LOS PATIOS"/>
    <s v="LOS PATIOS"/>
    <n v="54405"/>
    <s v="2025-11-28"/>
    <m/>
    <m/>
    <m/>
    <m/>
    <n v="1"/>
    <s v="CUCUTA"/>
    <x v="2"/>
    <n v="49671.7"/>
    <n v="49671.7"/>
  </r>
  <r>
    <n v="67374"/>
    <s v="BARRIO URB PRADOS DEL NORTE CUCUTA 9"/>
    <n v="37327907"/>
    <s v="0"/>
    <s v="3007685812"/>
    <s v="3007685812"/>
    <s v="AV 1E 28-19,LA CORDIALIDAD"/>
    <s v="7.834766022499206"/>
    <s v="-72.49933933315805"/>
    <s v="NORTE DE SANTANDER"/>
    <s v="LOS PATIOS"/>
    <s v="LOS PATIOS"/>
    <n v="54405"/>
    <s v="2025-11-28"/>
    <m/>
    <m/>
    <m/>
    <m/>
    <n v="2"/>
    <s v="CUCUTA"/>
    <x v="2"/>
    <n v="49671.7"/>
    <n v="99343.4"/>
  </r>
  <r>
    <n v="15400"/>
    <s v="BARRIO CENTRO IV - SEVILLA"/>
    <n v="70546407"/>
    <s v="0"/>
    <s v="3004414216"/>
    <s v="3004414216"/>
    <s v="AV 9 26-04 LOCAL 1,PATIOS CENTRO"/>
    <s v="7.8355805"/>
    <s v="-72.5082055"/>
    <s v="NORTE DE SANTANDER"/>
    <s v="LOS PATIOS"/>
    <s v="LOS PATIOS"/>
    <n v="54405"/>
    <s v="2025-11-20"/>
    <m/>
    <m/>
    <m/>
    <m/>
    <n v="1"/>
    <s v="CUCUTA"/>
    <x v="2"/>
    <n v="49671.7"/>
    <n v="49671.7"/>
  </r>
  <r>
    <n v="80015"/>
    <s v="BARRIO CONSOLATA FLORENCIA  6"/>
    <n v="17641131"/>
    <s v="0"/>
    <s v="3223531577"/>
    <s v="3223531577"/>
    <s v="AV 4 3B 53,URB ISCALIGUA II"/>
    <s v="7.816937845913552"/>
    <s v="-72.51217059083059"/>
    <s v="NORTE DE SANTANDER"/>
    <s v="LOS PATIOS"/>
    <s v="LOS PATIOS"/>
    <n v="54405"/>
    <s v="2025-11-21"/>
    <m/>
    <m/>
    <m/>
    <m/>
    <n v="1"/>
    <s v="CUCUTA"/>
    <x v="2"/>
    <n v="49671.7"/>
    <n v="49671.7"/>
  </r>
  <r>
    <n v="63373"/>
    <s v="BARRIO VALLESTER CUCUTA"/>
    <n v="37273830"/>
    <s v="0"/>
    <s v="3116459730"/>
    <s v="3116459730"/>
    <s v="MZ 30 LOTE 4-29,VIDELSO"/>
    <s v="7.82483697"/>
    <s v="-72.514015000"/>
    <s v="NORTE DE SANTANDER"/>
    <s v="LOS PATIOS"/>
    <s v="LOS PATIOS"/>
    <n v="54405"/>
    <s v="2025-11-21"/>
    <m/>
    <m/>
    <m/>
    <m/>
    <n v="1"/>
    <s v="CUCUTA"/>
    <x v="2"/>
    <n v="49671.7"/>
    <n v="49671.7"/>
  </r>
  <r>
    <n v="63458"/>
    <s v="BARRIO TRIGAL DEL NORTE CUCUTA 5"/>
    <n v="60402106"/>
    <s v="0"/>
    <s v="0"/>
    <s v="3233155763"/>
    <s v="AV 10 31-80,BRR PATIOS CENTRO"/>
    <s v="7.81737"/>
    <s v="-72.515312"/>
    <s v="NORTE DE SANTANDER"/>
    <s v="LOS PATIOS"/>
    <s v="LOS PATIOS"/>
    <n v="54405"/>
    <s v="2025-11-20"/>
    <m/>
    <m/>
    <m/>
    <m/>
    <n v="4"/>
    <s v="CUCUTA"/>
    <x v="2"/>
    <n v="49671.7"/>
    <n v="198686.8"/>
  </r>
  <r>
    <n v="60852"/>
    <s v="BARRIO DOÑA NIDIA CUCUTA 2"/>
    <n v="901309622"/>
    <s v="5704708"/>
    <s v="3133811343"/>
    <s v="3133811343"/>
    <s v="MZ E LT 87 LC 1,URB VILLA ANSEP"/>
    <s v="7.8179007"/>
    <s v="-72.5151122"/>
    <s v="NORTE DE SANTANDER"/>
    <s v="LOS PATIOS"/>
    <s v="LOS PATIOS"/>
    <n v="54405"/>
    <s v="2025-11-28"/>
    <m/>
    <m/>
    <m/>
    <m/>
    <n v="1"/>
    <s v="CUCUTA"/>
    <x v="2"/>
    <n v="49671.7"/>
    <n v="49671.7"/>
  </r>
  <r>
    <n v="60853"/>
    <s v="BARRIO NUEVO HORIZONTE CUCUTA 1"/>
    <n v="901309622"/>
    <s v="5781820"/>
    <s v="3108629626"/>
    <s v="3108629626"/>
    <s v="LT 1B CRISTAL 1,URB LA FLORESTA"/>
    <s v="7.8573253"/>
    <s v="-72.4973393"/>
    <s v="NORTE DE SANTANDER"/>
    <s v="LOS PATIOS"/>
    <s v="LOS PATIOS"/>
    <n v="54405"/>
    <s v="2025-11-21"/>
    <m/>
    <m/>
    <m/>
    <m/>
    <n v="1"/>
    <s v="CUCUTA"/>
    <x v="2"/>
    <n v="49671.7"/>
    <n v="49671.7"/>
  </r>
  <r>
    <n v="62336"/>
    <s v="BARRIO QUINTA ORIENTAL CUCUTA 9"/>
    <n v="1093784505"/>
    <s v="8200067"/>
    <s v="3124663418"/>
    <s v="3124663418"/>
    <s v=" CL PRINCIPAL"/>
    <s v="2.26814"/>
    <s v="-74.58197"/>
    <s v="META"/>
    <s v="LA MACARENA"/>
    <s v="LA MACARENA"/>
    <n v="50350"/>
    <s v="2025-11-28"/>
    <m/>
    <m/>
    <m/>
    <m/>
    <n v="2"/>
    <s v="VILLAVICENCIO"/>
    <x v="3"/>
    <n v="49671.7"/>
    <n v="99343.4"/>
  </r>
  <r>
    <n v="61168"/>
    <s v="BARRIO LA PLAYA CUCUTA 9"/>
    <n v="900469704"/>
    <s v="6069566"/>
    <s v="3143311123"/>
    <s v="3143311123"/>
    <s v=" CR 7 CL 5 ESQ"/>
    <s v="2.182307"/>
    <s v="-73.78532"/>
    <s v="META"/>
    <s v="LA MACARENA"/>
    <s v="LA MACARENA"/>
    <n v="50350"/>
    <s v="2025-11-26"/>
    <m/>
    <m/>
    <m/>
    <m/>
    <n v="2"/>
    <s v="VILLAVICENCIO"/>
    <x v="3"/>
    <n v="49671.7"/>
    <n v="99343.4"/>
  </r>
  <r>
    <n v="10276"/>
    <s v="BARRIO GUAYABAL"/>
    <n v="70165770"/>
    <s v="6870135"/>
    <s v="3232065468"/>
    <s v="3203023151"/>
    <s v=" CR 4 9 98 LOS CRISTALES"/>
    <s v="2.180008"/>
    <s v="-73.783302"/>
    <s v="META"/>
    <s v="LA MACARENA"/>
    <s v="LA MACARENA"/>
    <n v="50350"/>
    <s v="2025-11-27"/>
    <m/>
    <m/>
    <m/>
    <m/>
    <n v="4"/>
    <s v="VILLAVICENCIO"/>
    <x v="3"/>
    <n v="49671.7"/>
    <n v="198686.8"/>
  </r>
  <r>
    <n v="13893"/>
    <s v="BARRIO BUENOS AIRES V - MEDELLIN"/>
    <n v="43543460"/>
    <s v="6870135"/>
    <s v="3232065468"/>
    <s v="3203023151"/>
    <s v=" CR 4 9 98  LOS CRISTALES"/>
    <s v="2.180023"/>
    <s v="-73.783981"/>
    <s v="META"/>
    <s v="LA MACARENA"/>
    <s v="LA MACARENA"/>
    <n v="50350"/>
    <s v="2025-11-27"/>
    <m/>
    <m/>
    <m/>
    <m/>
    <n v="2"/>
    <s v="VILLAVICENCIO"/>
    <x v="3"/>
    <n v="49671.7"/>
    <n v="99343.4"/>
  </r>
  <r>
    <n v="79675"/>
    <s v="BARRIO GUAYABAL MEDELLIN  13"/>
    <n v="43988468"/>
    <m/>
    <s v="3202944654"/>
    <s v="3202944654"/>
    <s v=" CR 8 3 45"/>
    <s v="2.184035"/>
    <s v="-73.787246"/>
    <s v="META"/>
    <s v="LA MACARENA"/>
    <s v="LA MACARENA"/>
    <n v="50350"/>
    <s v="2025-11-27"/>
    <m/>
    <m/>
    <m/>
    <m/>
    <n v="1"/>
    <s v="VILLAVICENCIO"/>
    <x v="3"/>
    <n v="49671.7"/>
    <n v="49671.7"/>
  </r>
  <r>
    <n v="59849"/>
    <s v="BARRIO NIÑA CECI CUCUTA 4"/>
    <n v="1010108311"/>
    <s v="0"/>
    <s v="3204523245"/>
    <s v="3204523245"/>
    <s v="CL 6 N 7 69,CENTRO"/>
    <s v="2.182881"/>
    <s v="-73.786985"/>
    <s v="META"/>
    <s v="LA MACARENA"/>
    <s v="LA MACARENA"/>
    <n v="50350"/>
    <s v="2025-11-28"/>
    <m/>
    <m/>
    <m/>
    <m/>
    <n v="2"/>
    <s v="VILLAVICENCIO"/>
    <x v="3"/>
    <n v="49671.7"/>
    <n v="99343.4"/>
  </r>
  <r>
    <n v="61055"/>
    <s v="BARRIO ALONSITO CUCUTA"/>
    <n v="901302092"/>
    <s v="0"/>
    <s v="3118750700"/>
    <s v="3143896890"/>
    <s v="CR 7 N 6 - 32,CENTRO"/>
    <s v="2.1825495"/>
    <s v="-73.7862410"/>
    <s v="META"/>
    <s v="LA MACARENA"/>
    <s v="LA MACARENA"/>
    <n v="50350"/>
    <s v="2025-11-27"/>
    <m/>
    <m/>
    <m/>
    <m/>
    <n v="2"/>
    <s v="VILLAVICENCIO"/>
    <x v="3"/>
    <n v="49671.7"/>
    <n v="99343.4"/>
  </r>
  <r>
    <n v="57800"/>
    <s v="BARRIO AEROPUERTO CUCUTA 9"/>
    <n v="88256139"/>
    <s v="3146678442"/>
    <s v="3143378442"/>
    <s v="3143378442"/>
    <s v="CR 7 7 27,CENTRO"/>
    <s v="2.181940"/>
    <s v="-73.786118"/>
    <s v="META"/>
    <s v="LA MACARENA"/>
    <s v="LA MACARENA"/>
    <n v="50350"/>
    <s v="2025-11-27"/>
    <m/>
    <m/>
    <m/>
    <m/>
    <n v="1"/>
    <s v="VILLAVICENCIO"/>
    <x v="3"/>
    <n v="49671.7"/>
    <n v="49671.7"/>
  </r>
  <r>
    <n v="57801"/>
    <s v="BARRIO RAFAEL NUÑEZ CUCUTA"/>
    <n v="88267282"/>
    <s v="3144456581"/>
    <s v="3144456581"/>
    <s v="3144456581"/>
    <s v="CL 10 11 38,BRR LAS COLINAS"/>
    <s v="2.177709"/>
    <s v="-73.790411"/>
    <s v="META"/>
    <s v="LA MACARENA"/>
    <s v="LA MACARENA"/>
    <n v="50350"/>
    <s v="2025-11-27"/>
    <m/>
    <m/>
    <m/>
    <m/>
    <n v="1"/>
    <s v="VILLAVICENCIO"/>
    <x v="3"/>
    <n v="49671.7"/>
    <n v="49671.7"/>
  </r>
  <r>
    <n v="56733"/>
    <s v="BARRIO MOTILONES CUCUTA 10"/>
    <n v="17689210"/>
    <s v="3229492636"/>
    <s v="3229492636"/>
    <s v="3229492636"/>
    <s v="CL 5 7 50,CENTRO"/>
    <s v="2.183563"/>
    <s v="-73.786820"/>
    <s v="META"/>
    <s v="LA MACARENA"/>
    <s v="LA MACARENA"/>
    <n v="50350"/>
    <s v="2025-11-28"/>
    <m/>
    <m/>
    <m/>
    <m/>
    <n v="1"/>
    <s v="VILLAVICENCIO"/>
    <x v="3"/>
    <n v="49671.7"/>
    <n v="49671.7"/>
  </r>
  <r>
    <n v="57385"/>
    <s v="BARRIO AEROPUERTO CUCUTA 8"/>
    <n v="1090405165"/>
    <s v="3164971517"/>
    <s v="3164971517"/>
    <s v="3006737211"/>
    <s v="CL 8 KDX 37,FUERA DEL MUNICIPIO DE SAN CAYETANO"/>
    <s v="7.90668119"/>
    <s v="-72.63837946"/>
    <s v="NORTE DE SANTANDER"/>
    <s v="SAN CAYETANO"/>
    <s v="SAN CAYETANO"/>
    <n v="54673"/>
    <s v="2025-11-19"/>
    <m/>
    <m/>
    <m/>
    <m/>
    <n v="1"/>
    <s v="CUCUTA"/>
    <x v="2"/>
    <n v="49671.7"/>
    <n v="49671.7"/>
  </r>
  <r>
    <n v="54462"/>
    <s v="BARRIO MINUTO DE  DIOS CUCUTA"/>
    <n v="1090442723"/>
    <s v="6050962"/>
    <s v="3135413054"/>
    <s v="3135413054"/>
    <s v=" CR 4 4 89"/>
    <s v="6.31304709"/>
    <s v="-73.9476408"/>
    <s v="SANTANDER"/>
    <s v="CIMITARRA"/>
    <s v="CIMITARRA"/>
    <n v="68190"/>
    <s v="2025-11-11"/>
    <m/>
    <m/>
    <m/>
    <m/>
    <n v="2"/>
    <s v="BUCARAMANGA"/>
    <x v="2"/>
    <n v="37313"/>
    <n v="74626"/>
  </r>
  <r>
    <n v="14827"/>
    <s v="BARRIO LAS AMERICAS IV POPAYAN"/>
    <n v="900490352"/>
    <s v="3214581649"/>
    <s v="3214581649"/>
    <s v="3214581649"/>
    <s v="CL 10 NRO 0-16 PISO 1,EL TRIUNFO"/>
    <s v="7.9292998"/>
    <s v="-72.6009140"/>
    <s v="NORTE DE SANTANDER"/>
    <s v="EL ZULIA"/>
    <s v="EL ZULIA"/>
    <n v="54261"/>
    <s v="2025-11-19"/>
    <m/>
    <m/>
    <m/>
    <m/>
    <n v="1"/>
    <s v="CUCUTA"/>
    <x v="2"/>
    <n v="49671.7"/>
    <n v="49671.7"/>
  </r>
  <r>
    <n v="79335"/>
    <s v="BARRIO ANDA LUCIA LA FRANCIA MEDELLIN"/>
    <n v="1037610706"/>
    <s v="3155473996"/>
    <s v="3155473996"/>
    <s v="3155473996"/>
    <s v="CR 5 6A 32,CENTRO"/>
    <s v="7.3753516"/>
    <s v="-72.6495018"/>
    <s v="NORTE DE SANTANDER"/>
    <s v="PAMPLONA"/>
    <s v="PAMPLONA"/>
    <n v="54518"/>
    <s v="2025-11-13"/>
    <m/>
    <m/>
    <m/>
    <m/>
    <n v="2"/>
    <s v="CUCUTA"/>
    <x v="2"/>
    <n v="49671.7"/>
    <n v="99343.4"/>
  </r>
  <r>
    <n v="76333"/>
    <s v="BARRIO VILLA HERMOSA MEDELLIN  4"/>
    <n v="1037975475"/>
    <s v="3124571979"/>
    <s v="3124571979"/>
    <s v="3124571979"/>
    <s v="CL 4 5 71,CENTRO"/>
    <s v="7.3777129"/>
    <s v="-72.6472482"/>
    <s v="NORTE DE SANTANDER"/>
    <s v="PAMPLONA"/>
    <s v="PAMPLONA"/>
    <n v="54518"/>
    <s v="2025-11-13"/>
    <m/>
    <m/>
    <m/>
    <m/>
    <n v="2"/>
    <s v="CUCUTA"/>
    <x v="2"/>
    <n v="49671.7"/>
    <n v="99343.4"/>
  </r>
  <r>
    <n v="76077"/>
    <s v="BARRIO BELEN LA PALMA MEDELLIN  3"/>
    <n v="901345153"/>
    <s v="3204438399"/>
    <s v="3204438399"/>
    <s v="3204438399"/>
    <s v="CR 3 NRO 4-48,EL GUAMO"/>
    <s v="7.3791708693708955"/>
    <s v="-72.64980112392372"/>
    <s v="NORTE DE SANTANDER"/>
    <s v="PAMPLONA"/>
    <s v="PAMPLONA"/>
    <n v="54518"/>
    <s v="2025-11-13"/>
    <m/>
    <m/>
    <m/>
    <m/>
    <n v="2"/>
    <s v="CUCUTA"/>
    <x v="2"/>
    <n v="49671.7"/>
    <n v="99343.4"/>
  </r>
  <r>
    <n v="54085"/>
    <s v="BARRIO PARAMO CUCUTA 2"/>
    <n v="88264206"/>
    <s v="3207279905"/>
    <s v="3207279905"/>
    <s v="3136198645"/>
    <s v="VRD LA MARIA CA 18 24,LA MARIA"/>
    <s v="4.5315309"/>
    <s v="-75.6623573"/>
    <s v="QUINDÍO"/>
    <s v="CALARCÁ"/>
    <s v="CALARCÁ"/>
    <n v="63130"/>
    <s v="2025-11-10"/>
    <m/>
    <m/>
    <m/>
    <m/>
    <n v="2"/>
    <s v="PEREIRA"/>
    <x v="6"/>
    <n v="37313"/>
    <n v="74626"/>
  </r>
  <r>
    <n v="54090"/>
    <s v="BARRIO MARIA GRACIA CUCUTA 1"/>
    <n v="1093742309"/>
    <s v="3208278605"/>
    <s v="3208278605"/>
    <s v="3208278605"/>
    <s v="MZ A CA 8 LA HUERTA,LA HUERTA"/>
    <s v="4.5152000"/>
    <s v="-75.6439414"/>
    <s v="QUINDÍO"/>
    <s v="CALARCÁ"/>
    <s v="CALARCÁ"/>
    <n v="63130"/>
    <s v="2025-11-10"/>
    <m/>
    <m/>
    <m/>
    <m/>
    <n v="2"/>
    <s v="PEREIRA"/>
    <x v="6"/>
    <n v="37313"/>
    <n v="74626"/>
  </r>
  <r>
    <n v="53534"/>
    <s v="BARRIO URB CEIBA II CUCUTA 2"/>
    <n v="1090476322"/>
    <s v="6140663"/>
    <s v="3124494679"/>
    <s v="3124494679"/>
    <s v=" CR 3  2-23 CABECERA MUNICIPAL"/>
    <s v="6.69758082"/>
    <s v="-73.51243613"/>
    <s v="SANTANDER"/>
    <s v="EL CARMEN DE CHUCURÍ"/>
    <s v="EL CARMEN DE CHUCURÍ"/>
    <n v="68235"/>
    <s v="2025-11-05"/>
    <m/>
    <m/>
    <m/>
    <m/>
    <n v="2"/>
    <s v="BUCARAMANGA"/>
    <x v="2"/>
    <n v="37313"/>
    <n v="74626"/>
  </r>
  <r>
    <n v="53414"/>
    <s v="BARRIO CENTRO CUCUTA 10"/>
    <n v="1093803053"/>
    <s v="6837593"/>
    <s v="3178946323"/>
    <s v="3178946323"/>
    <s v=" CR 7  10-68"/>
    <s v="6.6982412"/>
    <s v="-73.5111734"/>
    <s v="SANTANDER"/>
    <s v="EL CARMEN DE CHUCURÍ"/>
    <s v="EL CARMEN DE CHUCURÍ"/>
    <n v="68235"/>
    <s v="2025-11-05"/>
    <m/>
    <m/>
    <m/>
    <m/>
    <n v="3"/>
    <s v="BUCARAMANGA"/>
    <x v="2"/>
    <n v="37313"/>
    <n v="111939"/>
  </r>
  <r>
    <n v="51430"/>
    <s v="BARRIO LA LIBERTAD CUCUTA 9"/>
    <n v="37277961"/>
    <s v="7465100"/>
    <s v="3105334206"/>
    <s v="3105334206"/>
    <s v=" CL 5 3 30"/>
    <s v="6.69816134"/>
    <s v="-73.51272828"/>
    <s v="SANTANDER"/>
    <s v="EL CARMEN DE CHUCURÍ"/>
    <s v="EL CARMEN DE CHUCURÍ"/>
    <n v="68235"/>
    <s v="2025-11-04"/>
    <m/>
    <m/>
    <m/>
    <m/>
    <n v="2"/>
    <s v="BUCARAMANGA"/>
    <x v="2"/>
    <n v="37313"/>
    <n v="74626"/>
  </r>
  <r>
    <n v="50858"/>
    <s v="BARRIO LA RIVIERA CUCUTA 2"/>
    <n v="900576569"/>
    <s v="6706704"/>
    <s v="3124432327"/>
    <s v="3124432327"/>
    <s v=" CL 3 6 10"/>
    <s v="6.69935932"/>
    <s v="-73.5136514"/>
    <s v="SANTANDER"/>
    <s v="EL CARMEN DE CHUCURÍ"/>
    <s v="EL CARMEN DE CHUCURÍ"/>
    <n v="68235"/>
    <s v="2025-11-04"/>
    <m/>
    <m/>
    <m/>
    <m/>
    <n v="1"/>
    <s v="BUCARAMANGA"/>
    <x v="2"/>
    <n v="37313"/>
    <n v="37313"/>
  </r>
  <r>
    <n v="73715"/>
    <s v="BARRIO ENCISO MEDELLIN 20"/>
    <n v="8417090"/>
    <s v="3125227137"/>
    <s v="3125686410"/>
    <s v="3125686410"/>
    <s v="CL 2 NO. 5 - 21 BRR CENTRO"/>
    <s v="6.70350558"/>
    <s v="-73.50888035"/>
    <s v="SANTANDER"/>
    <s v="EL CARMEN DE CHUCURÍ"/>
    <s v="EL CARMEN DE CHUCURÍ"/>
    <n v="68235"/>
    <s v="2025-11-05"/>
    <m/>
    <m/>
    <m/>
    <m/>
    <n v="2"/>
    <s v="BUCARAMANGA"/>
    <x v="2"/>
    <n v="37313"/>
    <n v="74626"/>
  </r>
  <r>
    <n v="49789"/>
    <s v="BARRIO EL LLANO CUCUTA 9"/>
    <n v="1004942973"/>
    <s v="3015991804"/>
    <s v="3015991804"/>
    <s v="3134895207"/>
    <s v="CL 5 2 08 CENTRO,CENTRO"/>
    <s v="6.6982412"/>
    <s v="-73.5111734"/>
    <s v="SANTANDER"/>
    <s v="EL CARMEN DE CHUCURÍ"/>
    <s v="EL CARMEN DE CHUCURÍ"/>
    <n v="68235"/>
    <s v="2025-11-04"/>
    <m/>
    <m/>
    <m/>
    <m/>
    <n v="2"/>
    <s v="BUCARAMANGA"/>
    <x v="2"/>
    <n v="37313"/>
    <n v="74626"/>
  </r>
  <r>
    <n v="47310"/>
    <s v="BARRIO EL CENTRO CUCUTA 43"/>
    <n v="13338147"/>
    <s v="3102645047"/>
    <s v="3102645047"/>
    <s v="3123415142"/>
    <s v="CR 4 2 2 ESQUINA"/>
    <s v="6.6981332"/>
    <s v="-73.5121423"/>
    <s v="SANTANDER"/>
    <s v="EL CARMEN DE CHUCURÍ"/>
    <s v="EL CARMEN DE CHUCURÍ"/>
    <n v="68235"/>
    <s v="2025-11-04"/>
    <m/>
    <m/>
    <m/>
    <m/>
    <n v="2"/>
    <s v="BUCARAMANGA"/>
    <x v="2"/>
    <n v="37313"/>
    <n v="74626"/>
  </r>
  <r>
    <n v="46038"/>
    <s v="BARRIO EL ESCOBAL CUCUTA 2"/>
    <n v="901273287"/>
    <s v="3546598"/>
    <s v="338168292"/>
    <s v="3138168298"/>
    <s v=" SEC ONCE DE MAEZO"/>
    <s v="6.0560150"/>
    <s v="-73.8152570"/>
    <s v="SANTANDER"/>
    <s v="EL PEÑÓN"/>
    <s v="EL PEÑÓN"/>
    <n v="68250"/>
    <s v="2025-11-06"/>
    <m/>
    <m/>
    <m/>
    <m/>
    <n v="1"/>
    <s v="BUCARAMANGA"/>
    <x v="2"/>
    <n v="37313"/>
    <n v="37313"/>
  </r>
  <r>
    <n v="46410"/>
    <s v="BARRIO URB GARCIA HERREROS I CUCUTA 1"/>
    <n v="1090437851"/>
    <s v="7019657"/>
    <s v="3103210274"/>
    <s v="3103210274"/>
    <s v=" SEC ONCE DE MARZO"/>
    <s v="6.0553350"/>
    <s v="-73.8145709"/>
    <s v="SANTANDER"/>
    <s v="EL PEÑÓN"/>
    <s v="EL PEÑÓN"/>
    <n v="68250"/>
    <s v="2025-11-06"/>
    <m/>
    <m/>
    <m/>
    <m/>
    <n v="3"/>
    <s v="BUCARAMANGA"/>
    <x v="2"/>
    <n v="37313"/>
    <n v="111939"/>
  </r>
  <r>
    <n v="46237"/>
    <s v="BARRIO URB TORCOROMA III CUCUTA"/>
    <n v="1090482642"/>
    <s v="3142238038"/>
    <s v="3142238038"/>
    <s v="3142238038"/>
    <s v="CR 21 22 124 VILLA CAMPESTRE 3,VILLA CAMPESTRE 3"/>
    <s v="7.064343"/>
    <s v="-73.166731"/>
    <s v="SANTANDER"/>
    <s v="GIRÓN"/>
    <s v="GIRÓN"/>
    <n v="68307"/>
    <s v="2025-11-26"/>
    <m/>
    <m/>
    <m/>
    <m/>
    <n v="2"/>
    <s v="BUCARAMANGA"/>
    <x v="2"/>
    <n v="37313"/>
    <n v="74626"/>
  </r>
  <r>
    <n v="73503"/>
    <s v="BARRIO PASAJE COMERC LA BOLSA  MEDELLIN"/>
    <n v="901566263"/>
    <s v="3174364806"/>
    <s v="3174364806"/>
    <s v="3174364806"/>
    <s v="CR 5 7 20 CENTRO,CENTRO"/>
    <s v="6.3135901"/>
    <s v="-73.9493067"/>
    <s v="SANTANDER"/>
    <s v="CIMITARRA"/>
    <s v="CIMITARRA"/>
    <n v="68190"/>
    <s v="2025-11-11"/>
    <m/>
    <m/>
    <m/>
    <m/>
    <n v="3"/>
    <s v="BUCARAMANGA"/>
    <x v="2"/>
    <n v="37313"/>
    <n v="111939"/>
  </r>
  <r>
    <n v="73028"/>
    <s v="BARRIO ENCISO MEDELLIN 19"/>
    <n v="1152206259"/>
    <s v="315 8855996"/>
    <s v="3158855996"/>
    <s v="3158855996"/>
    <s v="CR 5 7 93 CENTRO,CENTRO"/>
    <s v="6.31463999"/>
    <s v="-73.95011276"/>
    <s v="SANTANDER"/>
    <s v="CIMITARRA"/>
    <s v="CIMITARRA"/>
    <n v="68190"/>
    <s v="2025-11-11"/>
    <m/>
    <m/>
    <m/>
    <m/>
    <n v="1"/>
    <s v="BUCARAMANGA"/>
    <x v="2"/>
    <n v="37313"/>
    <n v="37313"/>
  </r>
  <r>
    <n v="71078"/>
    <s v="MEDELLON LA MILAGROSA"/>
    <n v="901234354"/>
    <s v="3123348121"/>
    <s v="3123348121"/>
    <s v="3123348121"/>
    <s v="CR 3 A 4 99 LOCAL 1,CENTRO"/>
    <s v="6.3131050"/>
    <s v="-73.9480167"/>
    <s v="SANTANDER"/>
    <s v="CIMITARRA"/>
    <s v="CIMITARRA"/>
    <n v="68190"/>
    <s v="2025-11-10"/>
    <m/>
    <m/>
    <m/>
    <m/>
    <n v="1"/>
    <s v="BUCARAMANGA"/>
    <x v="2"/>
    <n v="37313"/>
    <n v="37313"/>
  </r>
  <r>
    <n v="71462"/>
    <s v="BARRIO BELEN RINCON 1"/>
    <n v="15271369"/>
    <s v="3203540001"/>
    <s v="3203540001"/>
    <s v="3203540001"/>
    <s v="CR 4 7 15,CENTRO"/>
    <s v="6.31446"/>
    <s v="-73.94921"/>
    <s v="SANTANDER"/>
    <s v="CIMITARRA"/>
    <s v="CIMITARRA"/>
    <n v="68190"/>
    <s v="2025-11-11"/>
    <m/>
    <m/>
    <m/>
    <m/>
    <n v="2"/>
    <s v="BUCARAMANGA"/>
    <x v="2"/>
    <n v="37313"/>
    <n v="74626"/>
  </r>
  <r>
    <n v="69282"/>
    <s v="ARANJUEZ MEDELLIN ANTIOQUIA"/>
    <n v="901522985"/>
    <s v="3123648871"/>
    <s v="3123648871"/>
    <s v="3178179827"/>
    <s v="CR 7 6 58 CENTRO,CENTRO"/>
    <s v="6.31256492"/>
    <s v="-73.94996341"/>
    <s v="SANTANDER"/>
    <s v="CIMITARRA"/>
    <s v="CIMITARRA"/>
    <n v="68190"/>
    <s v="2025-11-11"/>
    <m/>
    <m/>
    <m/>
    <m/>
    <n v="2"/>
    <s v="BUCARAMANGA"/>
    <x v="2"/>
    <n v="37313"/>
    <n v="74626"/>
  </r>
  <r>
    <n v="43195"/>
    <s v="BARRIO NIÑA CECI CUCUTA 2"/>
    <n v="13445896"/>
    <s v="3114686438"/>
    <s v="3114686438"/>
    <s v="3178878473"/>
    <s v="CL 7 3 14 PISO 1 CENTRO,CIMITARRA"/>
    <s v="7.7054627"/>
    <s v="-73.9566082"/>
    <s v="SANTANDER"/>
    <s v="CIMITARRA"/>
    <s v="CIMITARRA"/>
    <n v="68190"/>
    <s v="2025-11-11"/>
    <m/>
    <m/>
    <m/>
    <m/>
    <n v="2"/>
    <s v="BUCARAMANGA"/>
    <x v="2"/>
    <n v="37313"/>
    <n v="74626"/>
  </r>
  <r>
    <n v="42241"/>
    <s v="BARRIO EL CENTRO CUCUTA 24"/>
    <n v="1090452903"/>
    <s v="3156491682"/>
    <s v="3183584141"/>
    <s v="3183584141"/>
    <s v="CR 3 3 B 54 CENTRO,CENTRO"/>
    <s v="6.3125131"/>
    <s v="-73.9467416"/>
    <s v="SANTANDER"/>
    <s v="CIMITARRA"/>
    <s v="CIMITARRA"/>
    <n v="68190"/>
    <s v="2025-11-11"/>
    <m/>
    <m/>
    <m/>
    <m/>
    <n v="4"/>
    <s v="BUCARAMANGA"/>
    <x v="2"/>
    <n v="37313"/>
    <n v="149252"/>
  </r>
  <r>
    <n v="42032"/>
    <s v="BARRIO EL CENTRO CUCUTA 20"/>
    <n v="900909774"/>
    <s v="6248021"/>
    <s v="3115323493"/>
    <s v="3115323493"/>
    <s v=" CR 4  4-52 SAN LUIS DE GACENO BOYACA"/>
    <s v="5.5123455"/>
    <s v="-73.3733661"/>
    <s v="BOYACÁ"/>
    <s v="SAN LUIS DE GACENO"/>
    <s v="SAN LUIS DE GACENO"/>
    <n v="15667"/>
    <s v="2025-11-05"/>
    <m/>
    <m/>
    <m/>
    <m/>
    <n v="1"/>
    <s v="TUNJA"/>
    <x v="2"/>
    <n v="49671.7"/>
    <n v="49671.7"/>
  </r>
  <r>
    <n v="42036"/>
    <s v="BARRIO EL CENTRO CUCUTA 22"/>
    <n v="900909774"/>
    <s v="4032936"/>
    <s v="3118125226"/>
    <s v="3118125226"/>
    <s v=" CR 4 6 06"/>
    <s v="4.821098"/>
    <s v="-73.679"/>
    <s v="BOYACÁ"/>
    <s v="SAN LUIS DE GACENO"/>
    <s v="SAN LUIS DE GACENO"/>
    <n v="15667"/>
    <s v="2025-11-06"/>
    <m/>
    <m/>
    <m/>
    <m/>
    <n v="1"/>
    <s v="TUNJA"/>
    <x v="2"/>
    <n v="49671.7"/>
    <n v="49671.7"/>
  </r>
  <r>
    <n v="42037"/>
    <s v="BARRIO EL CENTRO CUCUTA 23"/>
    <n v="900909774"/>
    <s v="3185438769"/>
    <s v="3185438769"/>
    <s v="3185438769"/>
    <s v="CR 5 4 36 BRR CENTRO"/>
    <s v="4.8206085"/>
    <s v="-73.1692662"/>
    <s v="BOYACÁ"/>
    <s v="SAN LUIS DE GACENO"/>
    <s v="SAN LUIS DE GACENO"/>
    <n v="15667"/>
    <s v="2025-11-05"/>
    <m/>
    <m/>
    <m/>
    <m/>
    <n v="1"/>
    <s v="TUNJA"/>
    <x v="2"/>
    <n v="49671.7"/>
    <n v="49671.7"/>
  </r>
  <r>
    <n v="39283"/>
    <s v="BARRIO CONDOMINIO PARQUE REAL CUCUTA"/>
    <n v="1093770325"/>
    <s v="3103431933"/>
    <s v="3103431933"/>
    <s v="3103431933"/>
    <s v="CL 5 3 47,CENTRO"/>
    <s v="4.8205296"/>
    <s v="-73.1683046"/>
    <s v="BOYACÁ"/>
    <s v="SAN LUIS DE GACENO"/>
    <s v="SAN LUIS DE GACENO"/>
    <n v="15667"/>
    <s v="2025-11-05"/>
    <m/>
    <m/>
    <m/>
    <m/>
    <n v="2"/>
    <s v="TUNJA"/>
    <x v="2"/>
    <n v="49671.7"/>
    <n v="99343.4"/>
  </r>
  <r>
    <n v="41848"/>
    <s v="BARRIO AGUAS CALIENTES CUCUTA 1"/>
    <n v="60373383"/>
    <s v="3125852518"/>
    <s v="3125852518"/>
    <s v="3195013484"/>
    <s v="CRA 5 3-42 CENTRO,CENTRO"/>
    <s v="4.817554"/>
    <s v="-73.172530"/>
    <s v="BOYACÁ"/>
    <s v="SAN LUIS DE GACENO"/>
    <s v="SAN LUIS DE GACENO"/>
    <n v="15667"/>
    <s v="2025-11-06"/>
    <m/>
    <m/>
    <m/>
    <m/>
    <n v="1"/>
    <s v="TUNJA"/>
    <x v="2"/>
    <n v="49671.7"/>
    <n v="49671.7"/>
  </r>
  <r>
    <n v="41849"/>
    <s v="BARRIO LA LIBERTAD CUCUTA 5"/>
    <n v="60373383"/>
    <m/>
    <s v="3112811881"/>
    <s v="3112811881"/>
    <s v="CR 2 2 29,CENTRO"/>
    <s v="4.8607277"/>
    <s v="-73.2615670"/>
    <s v="BOYACÁ"/>
    <s v="SANTA MARÍA"/>
    <s v="SANTA MARÍA"/>
    <n v="15690"/>
    <s v="2025-11-06"/>
    <m/>
    <m/>
    <m/>
    <m/>
    <n v="1"/>
    <s v="TUNJA"/>
    <x v="2"/>
    <n v="49671.7"/>
    <n v="49671.7"/>
  </r>
  <r>
    <n v="38478"/>
    <s v="BARRIO SAN RAFAEL CUCUTA"/>
    <n v="900576569"/>
    <s v="3224121525"/>
    <s v="3224121525"/>
    <s v="3224121525"/>
    <s v="CL 4 1 C 53,CENTRO"/>
    <s v="4.8617"/>
    <s v="-73.261"/>
    <s v="BOYACÁ"/>
    <s v="SANTA MARÍA"/>
    <s v="SANTA MARÍA"/>
    <n v="15690"/>
    <s v="2025-11-06"/>
    <m/>
    <m/>
    <m/>
    <m/>
    <n v="1"/>
    <s v="TUNJA"/>
    <x v="2"/>
    <n v="49671.7"/>
    <n v="49671.7"/>
  </r>
  <r>
    <n v="39106"/>
    <s v="BARRIO LA PLAYA CUCUTA 2"/>
    <n v="1094859024"/>
    <s v="3138298157"/>
    <s v="3138298157"/>
    <s v="3138298157"/>
    <s v="CL 5 3 14,CENTRO"/>
    <s v="5.7137378"/>
    <s v="-73.6018784"/>
    <s v="BOYACÁ"/>
    <s v="SANTA SOFÍA"/>
    <s v="SANTA SOFÍA"/>
    <n v="15696"/>
    <s v="2025-11-25"/>
    <m/>
    <m/>
    <m/>
    <m/>
    <n v="2"/>
    <s v="TUNJA"/>
    <x v="2"/>
    <n v="49671.7"/>
    <n v="99343.4"/>
  </r>
  <r>
    <n v="38918"/>
    <s v="BARRIO CAOBOS CUCUTA 2"/>
    <n v="13279052"/>
    <s v="3007811524"/>
    <s v="3007811524"/>
    <m/>
    <s v="AV 6 NRO 7-09 APTO 102,SAN FRANCISCO"/>
    <s v="8.0844143"/>
    <s v="-72.8012965"/>
    <s v="NORTE DE SANTANDER"/>
    <s v="SARDINATA"/>
    <s v="SARDINATA"/>
    <n v="54720"/>
    <s v="2025-11-12"/>
    <m/>
    <m/>
    <m/>
    <m/>
    <n v="1"/>
    <s v="CUCUTA"/>
    <x v="2"/>
    <n v="49671.7"/>
    <n v="49671.7"/>
  </r>
  <r>
    <n v="34206"/>
    <s v="BARRIO URB PLAYA CUCUTA"/>
    <n v="1090437740"/>
    <s v="5707139"/>
    <s v="3114549955"/>
    <s v="3114549955"/>
    <s v=" CL 20 8 09"/>
    <s v="7.8203209"/>
    <s v="-72.4732253"/>
    <s v="NORTE DE SANTANDER"/>
    <s v="VILLA DEL ROSARIO"/>
    <s v="VILLA DEL ROSARIO"/>
    <n v="54874"/>
    <s v="2025-11-24"/>
    <m/>
    <m/>
    <m/>
    <m/>
    <n v="2"/>
    <s v="CUCUTA"/>
    <x v="2"/>
    <n v="49671.7"/>
    <n v="99343.4"/>
  </r>
  <r>
    <n v="34862"/>
    <s v="BARRIO SAN MARTIN I CUCUTA"/>
    <n v="60286580"/>
    <s v="3132882534"/>
    <s v="3132882534"/>
    <s v="3132882534"/>
    <s v="CL 26 NRO 14-28,GRANCOLOMBIA"/>
    <s v="7.8148696"/>
    <s v="-72.4789557"/>
    <s v="NORTE DE SANTANDER"/>
    <s v="VILLA DEL ROSARIO"/>
    <s v="VILLA DEL ROSARIO"/>
    <n v="54874"/>
    <s v="2025-11-25"/>
    <m/>
    <m/>
    <m/>
    <m/>
    <n v="2"/>
    <s v="CUCUTA"/>
    <x v="2"/>
    <n v="49671.7"/>
    <n v="99343.4"/>
  </r>
  <r>
    <n v="37338"/>
    <s v="BARRIO SN MARTIN I CUCUTA"/>
    <n v="901081359"/>
    <s v="3142379141"/>
    <s v="3142379141"/>
    <s v="3157964855"/>
    <s v="CL 2N #  15 - 20 SAN GREGORIO"/>
    <s v="7.8390330"/>
    <s v="-72.4789761"/>
    <s v="NORTE DE SANTANDER"/>
    <s v="VILLA DEL ROSARIO"/>
    <s v="VILLA DEL ROSARIO"/>
    <n v="54874"/>
    <s v="2025-11-24"/>
    <m/>
    <m/>
    <m/>
    <m/>
    <n v="2"/>
    <s v="CUCUTA"/>
    <x v="2"/>
    <n v="49671.7"/>
    <n v="99343.4"/>
  </r>
  <r>
    <n v="63970"/>
    <s v="BARRIO CENTRO MEDELLIN 91"/>
    <n v="901522985"/>
    <s v="3106173785"/>
    <s v="3106173785"/>
    <s v="3106173785"/>
    <s v="CL 20 12 63,SAN JUDAS"/>
    <s v="7.820785"/>
    <s v="-72.477238"/>
    <s v="NORTE DE SANTANDER"/>
    <s v="VILLA DEL ROSARIO"/>
    <s v="VILLA DEL ROSARIO"/>
    <n v="54874"/>
    <s v="2025-11-24"/>
    <m/>
    <m/>
    <m/>
    <m/>
    <n v="2"/>
    <s v="CUCUTA"/>
    <x v="2"/>
    <n v="49671.7"/>
    <n v="99343.4"/>
  </r>
  <r>
    <n v="29271"/>
    <s v="BARRIO LATINO 7 CÚCUTA"/>
    <n v="17320832"/>
    <s v="3176982197"/>
    <s v="3505977616"/>
    <s v="3505977616"/>
    <s v="CR 12 A 1A 150 MZ H CASA 3 CONJUNTO CERRADO PALMAS DE CANARIA,LA PARADA"/>
    <s v="7.8164564"/>
    <s v="-72.4592011"/>
    <s v="NORTE DE SANTANDER"/>
    <s v="VILLA DEL ROSARIO"/>
    <s v="VILLA DEL ROSARIO"/>
    <n v="54874"/>
    <s v="2025-11-24"/>
    <m/>
    <m/>
    <m/>
    <m/>
    <n v="3"/>
    <s v="CUCUTA"/>
    <x v="2"/>
    <n v="49671.7"/>
    <n v="149015.09999999998"/>
  </r>
  <r>
    <n v="29576"/>
    <s v="BARRIO LA PLAYA 13 CÚCUTA"/>
    <n v="900469704"/>
    <s v="300-5909182"/>
    <s v="3008476415"/>
    <s v="3008476415"/>
    <s v="CR 23 46 22 EL POBLADO,EL POBLADO"/>
    <s v="7.7054008"/>
    <s v="-73.9558336"/>
    <s v="SANTANDER"/>
    <s v="GIRÓN"/>
    <s v="GIRÓN"/>
    <n v="68307"/>
    <s v="2025-11-26"/>
    <m/>
    <m/>
    <m/>
    <m/>
    <n v="2"/>
    <s v="BUCARAMANGA"/>
    <x v="2"/>
    <n v="37313"/>
    <n v="74626"/>
  </r>
  <r>
    <n v="31898"/>
    <s v="BARRIO URB GARCIA HERREROS I CUCUTA"/>
    <n v="37724618"/>
    <s v="3112643158"/>
    <s v="3112643158"/>
    <s v="3112643158"/>
    <s v="CR 25 31 36 CENTRO,CENTRO"/>
    <s v="7.7181884"/>
    <s v="-73.9916717"/>
    <s v="SANTANDER"/>
    <s v="GIRÓN"/>
    <s v="GIRÓN"/>
    <n v="68307"/>
    <s v="2025-11-21"/>
    <m/>
    <m/>
    <m/>
    <m/>
    <n v="3"/>
    <s v="BUCARAMANGA"/>
    <x v="2"/>
    <n v="37313"/>
    <n v="111939"/>
  </r>
  <r>
    <n v="28659"/>
    <s v="BARRIO PRADOS DEL ESTE CÚCUTA"/>
    <n v="900576569"/>
    <s v="3186465730"/>
    <s v="3186465730"/>
    <s v="3186465730"/>
    <s v="CL 45 22 67,EL POBLADO"/>
    <s v="7.0744601"/>
    <s v="-73.1667103"/>
    <s v="SANTANDER"/>
    <s v="GIRÓN"/>
    <s v="GIRÓN"/>
    <n v="68307"/>
    <s v="2025-11-25"/>
    <m/>
    <m/>
    <m/>
    <m/>
    <n v="1"/>
    <s v="BUCARAMANGA"/>
    <x v="2"/>
    <n v="37313"/>
    <n v="37313"/>
  </r>
  <r>
    <n v="23561"/>
    <s v="BARRIO LA CONCORDIA III - CÚCUTA"/>
    <n v="18188083"/>
    <s v="6909302"/>
    <s v="3112643158"/>
    <s v="3112643158"/>
    <s v="CR 26 31 37,CASCO ANTIGUO"/>
    <s v="7.0685167"/>
    <s v="-73.1699323"/>
    <s v="SANTANDER"/>
    <s v="GIRÓN"/>
    <s v="GIRÓN"/>
    <n v="68307"/>
    <s v="2025-11-21"/>
    <m/>
    <m/>
    <m/>
    <m/>
    <n v="2"/>
    <s v="BUCARAMANGA"/>
    <x v="2"/>
    <n v="37313"/>
    <n v="74626"/>
  </r>
  <r>
    <n v="17512"/>
    <s v="ANSERMA IV CALDAS"/>
    <n v="24391026"/>
    <s v="6460978"/>
    <s v="3003123564"/>
    <s v="3003123564"/>
    <s v=" CR 16 C 60 38"/>
    <s v="7.086823333"/>
    <s v="-73.165491944"/>
    <s v="SANTANDER"/>
    <s v="GIRÓN"/>
    <s v="GIRÓN"/>
    <n v="68307"/>
    <s v="2025-11-25"/>
    <m/>
    <m/>
    <m/>
    <m/>
    <n v="1"/>
    <s v="BUCARAMANGA"/>
    <x v="2"/>
    <n v="37313"/>
    <n v="37313"/>
  </r>
  <r>
    <n v="25851"/>
    <s v="GALICIA ANSERMA - CALDAS"/>
    <n v="901021437"/>
    <s v="6461773"/>
    <s v="3015816386"/>
    <s v="3015816386"/>
    <s v=" CR 25  29-27"/>
    <s v="7.6682636"/>
    <s v="-73.16916231"/>
    <s v="SANTANDER"/>
    <s v="GIRÓN"/>
    <s v="GIRÓN"/>
    <n v="68307"/>
    <s v="2025-11-26"/>
    <m/>
    <m/>
    <m/>
    <m/>
    <n v="1"/>
    <s v="BUCARAMANGA"/>
    <x v="2"/>
    <n v="37313"/>
    <n v="37313"/>
  </r>
  <r>
    <n v="50963"/>
    <s v="BARRIO CENTRO ANSERMA 4"/>
    <n v="24391026"/>
    <s v="7583256"/>
    <s v="3112573807"/>
    <s v="3112573807"/>
    <s v=" CR 5  3 73"/>
    <s v="6.0254100"/>
    <s v="-73.5730150"/>
    <s v="SANTANDER"/>
    <s v="GÜEPSA"/>
    <s v="GÜEPSA"/>
    <n v="68327"/>
    <s v="2025-11-28"/>
    <m/>
    <m/>
    <m/>
    <m/>
    <n v="1"/>
    <s v="BUCARAMANGA"/>
    <x v="2"/>
    <n v="37313"/>
    <n v="37313"/>
  </r>
  <r>
    <n v="60536"/>
    <s v="BARRIO ENCISO MEDELLIN 16"/>
    <n v="8419046"/>
    <s v="3124354"/>
    <s v="3124359486"/>
    <s v="3124359486"/>
    <s v=" CL 4 6 19"/>
    <s v="6.0263280"/>
    <s v="-73.5718950"/>
    <s v="SANTANDER"/>
    <s v="GÜEPSA"/>
    <s v="GÜEPSA"/>
    <n v="68327"/>
    <s v="2025-11-28"/>
    <m/>
    <m/>
    <m/>
    <m/>
    <n v="4"/>
    <s v="BUCARAMANGA"/>
    <x v="2"/>
    <n v="37313"/>
    <n v="149252"/>
  </r>
  <r>
    <n v="78878"/>
    <s v="BARRIO CHUCHURUBI MONTERIA 6"/>
    <n v="71634504"/>
    <s v="3209596264"/>
    <s v="3209596264"/>
    <s v="3209596264"/>
    <s v="CR 6 3 15,CENTRO"/>
    <s v="6.0243435"/>
    <s v="-73.5733767"/>
    <s v="SANTANDER"/>
    <s v="GÜEPSA"/>
    <s v="GÜEPSA"/>
    <n v="68327"/>
    <s v="2025-11-28"/>
    <m/>
    <m/>
    <m/>
    <m/>
    <n v="3"/>
    <s v="BUCARAMANGA"/>
    <x v="2"/>
    <n v="37313"/>
    <n v="111939"/>
  </r>
  <r>
    <n v="66792"/>
    <s v="BARRIO SAN EDUARDO POPAYAN 3"/>
    <n v="4472369"/>
    <s v="3103331058"/>
    <s v="3103331058"/>
    <s v="3103331058"/>
    <s v="CL 4 6 12,BRR CENTRO"/>
    <s v="6.0251240"/>
    <s v="-73.5740580"/>
    <s v="SANTANDER"/>
    <s v="GÜEPSA"/>
    <s v="GÜEPSA"/>
    <n v="68327"/>
    <s v="2025-11-28"/>
    <m/>
    <m/>
    <m/>
    <m/>
    <n v="1"/>
    <s v="BUCARAMANGA"/>
    <x v="2"/>
    <n v="37313"/>
    <n v="37313"/>
  </r>
  <r>
    <n v="63865"/>
    <s v="BARRIO LA PAMBA POPAYAN 1"/>
    <n v="900490352"/>
    <s v="7297123"/>
    <s v="3183483731"/>
    <s v="3183483731"/>
    <s v=" VRD SANTA ROSA"/>
    <s v="6.000278"/>
    <s v="-73.591667"/>
    <s v="SANTANDER"/>
    <s v="GÜEPSA"/>
    <s v="GÜEPSA"/>
    <n v="68327"/>
    <s v="2025-11-28"/>
    <m/>
    <m/>
    <m/>
    <m/>
    <n v="1"/>
    <s v="BUCARAMANGA"/>
    <x v="2"/>
    <n v="37313"/>
    <n v="37313"/>
  </r>
  <r>
    <n v="66881"/>
    <s v="BARRIO VILLA DEL BOSQUE POPAYAN 1"/>
    <n v="901615052"/>
    <s v="8280793"/>
    <s v="3213639678"/>
    <s v="3213639678"/>
    <s v=" CL 4  3-28"/>
    <s v="6.4168065"/>
    <s v="-73.1693663"/>
    <s v="SANTANDER"/>
    <s v="PÁRAMO"/>
    <s v="PÁRAMO"/>
    <n v="68533"/>
    <s v="2025-11-19"/>
    <m/>
    <m/>
    <m/>
    <m/>
    <n v="1"/>
    <s v="BUCARAMANGA"/>
    <x v="2"/>
    <n v="37313"/>
    <n v="37313"/>
  </r>
  <r>
    <n v="41315"/>
    <s v="BARRIO CENTRO POPAYAN 16"/>
    <n v="901148765"/>
    <s v="3115508873"/>
    <s v="3115508873"/>
    <s v="3115508873"/>
    <s v="CR 6 2 29 BRR SAGRADO CORAZON"/>
    <s v="6.4159280"/>
    <s v="-73.1711280"/>
    <s v="SANTANDER"/>
    <s v="PÁRAMO"/>
    <s v="PÁRAMO"/>
    <n v="68533"/>
    <s v="2025-11-19"/>
    <m/>
    <m/>
    <m/>
    <m/>
    <n v="1"/>
    <s v="BUCARAMANGA"/>
    <x v="2"/>
    <n v="37313"/>
    <n v="37313"/>
  </r>
  <r>
    <n v="36823"/>
    <s v="BARRIO VALENCIA POPAYAN 1"/>
    <n v="900958988"/>
    <s v="3123348984"/>
    <s v="3123348984"/>
    <m/>
    <s v="CR 4 5 32,CENTRO"/>
    <s v="5.7142236"/>
    <s v="-73.6024685"/>
    <s v="BOYACÁ"/>
    <s v="SANTA SOFÍA"/>
    <s v="SANTA SOFÍA"/>
    <n v="15696"/>
    <s v="2025-11-25"/>
    <m/>
    <m/>
    <m/>
    <m/>
    <n v="1"/>
    <s v="TUNJA"/>
    <x v="2"/>
    <n v="49671.7"/>
    <n v="49671.7"/>
  </r>
  <r>
    <n v="38864"/>
    <s v="BARRIO CENTRO POPAYAN 8"/>
    <n v="900595830"/>
    <s v="2753089"/>
    <s v="3155069094"/>
    <s v="3155069094"/>
    <s v=" SALIDA JENESA  SEC TIERRA NEGRA"/>
    <s v="5.4244643"/>
    <s v="-73.4506610"/>
    <s v="BOYACÁ"/>
    <s v="VENTAQUEMADA"/>
    <s v="VENTAQUEMADA"/>
    <n v="15861"/>
    <s v="2025-11-21"/>
    <m/>
    <m/>
    <m/>
    <m/>
    <n v="1"/>
    <s v="TUNJA"/>
    <x v="2"/>
    <n v="49671.7"/>
    <n v="49671.7"/>
  </r>
  <r>
    <n v="52284"/>
    <s v="BARRIO CENTRO MEDELLIN SECTOR HUECO MEDELLIN"/>
    <n v="70826023"/>
    <s v="4363674"/>
    <s v="3183475910"/>
    <s v="3183475910"/>
    <s v=" VRD PUENTE DE BOYACA SEC TIERRA NEGRA"/>
    <s v="5.422190"/>
    <s v="-73.457244"/>
    <s v="BOYACÁ"/>
    <s v="VENTAQUEMADA"/>
    <s v="VENTAQUEMADA"/>
    <n v="15861"/>
    <s v="2025-11-21"/>
    <m/>
    <m/>
    <m/>
    <m/>
    <n v="2"/>
    <s v="TUNJA"/>
    <x v="2"/>
    <n v="49671.7"/>
    <n v="99343.4"/>
  </r>
  <r>
    <n v="77904"/>
    <s v="BARRIO MOGAMBO MONTERIA 11"/>
    <n v="1067940364"/>
    <s v="3138296967"/>
    <s v="3138296967"/>
    <s v="3138296967"/>
    <s v="VRD PUENTE DE BOYACA,VEREDA TIERRA NEGRA"/>
    <s v="5.42325638"/>
    <s v="-73.45146393"/>
    <s v="BOYACÁ"/>
    <s v="VENTAQUEMADA"/>
    <s v="VENTAQUEMADA"/>
    <n v="15861"/>
    <s v="2025-11-21"/>
    <m/>
    <m/>
    <m/>
    <m/>
    <n v="2"/>
    <s v="TUNJA"/>
    <x v="2"/>
    <n v="49671.7"/>
    <n v="99343.4"/>
  </r>
  <r>
    <n v="77682"/>
    <s v="BARRIO VALLEJO MONTERIA  3"/>
    <n v="37275797"/>
    <s v="3228835843"/>
    <s v="3228835843"/>
    <s v="3228835843"/>
    <s v="VRD PUENTE DE BOYACÁ,KM 15 VIA TUNJA BOGOTÁ,VEREDA PUENTE DE BOYACA"/>
    <s v="5.4438049"/>
    <s v="-73.43659486"/>
    <s v="BOYACÁ"/>
    <s v="VENTAQUEMADA"/>
    <s v="VENTAQUEMADA"/>
    <n v="15861"/>
    <s v="2025-11-21"/>
    <m/>
    <m/>
    <m/>
    <m/>
    <n v="2"/>
    <s v="TUNJA"/>
    <x v="2"/>
    <n v="49671.7"/>
    <n v="99343.4"/>
  </r>
  <r>
    <n v="77931"/>
    <s v="BARRIO CANTACLARO MONTERIA 9"/>
    <n v="1067852833"/>
    <s v="4363674"/>
    <s v="3158950412"/>
    <s v="3158950412"/>
    <s v=" VRD PUENTE DE BOYACA"/>
    <s v="5.446410"/>
    <s v="-73.434201"/>
    <s v="BOYACÁ"/>
    <s v="VENTAQUEMADA"/>
    <s v="VENTAQUEMADA"/>
    <n v="15861"/>
    <s v="2025-11-21"/>
    <m/>
    <m/>
    <m/>
    <m/>
    <n v="2"/>
    <s v="TUNJA"/>
    <x v="2"/>
    <n v="49671.7"/>
    <n v="99343.4"/>
  </r>
  <r>
    <n v="77932"/>
    <s v="BARRIO _x0009_CGT EL SABANAL MONTERIA"/>
    <n v="1067930375"/>
    <s v="0"/>
    <s v="3117312577"/>
    <s v="3117312577"/>
    <s v="CR 4 13 28 - CENTRO"/>
    <s v="5.233527"/>
    <s v="-75.786207"/>
    <s v="CALDAS"/>
    <s v="ANSERMA"/>
    <s v="ANSERMA"/>
    <n v="17042"/>
    <s v="2025-11-24"/>
    <m/>
    <m/>
    <m/>
    <m/>
    <n v="1"/>
    <s v="MANIZALES"/>
    <x v="6"/>
    <n v="49671.7"/>
    <n v="49671.7"/>
  </r>
  <r>
    <n v="78089"/>
    <s v="BARRIO LOS LAURELES MONTERIA 4"/>
    <n v="1047464518"/>
    <s v="3104891085"/>
    <s v="3104891085"/>
    <s v="3137797129"/>
    <s v="CR 5 # 23- 12 - LA AVENIDA,LA AVENIDA"/>
    <s v="5.240205"/>
    <s v="-75.784701"/>
    <s v="CALDAS"/>
    <s v="ANSERMA"/>
    <s v="ANSERMA"/>
    <n v="17042"/>
    <s v="2025-11-13"/>
    <m/>
    <m/>
    <m/>
    <m/>
    <n v="2"/>
    <s v="MANIZALES"/>
    <x v="6"/>
    <n v="49671.7"/>
    <n v="99343.4"/>
  </r>
  <r>
    <n v="77464"/>
    <s v="BARRIO CAMILO TORRES MONTERIA 1"/>
    <n v="78115134"/>
    <s v="3134785390"/>
    <s v="3103850454"/>
    <s v="3103850454"/>
    <s v="CR 4 #17- 09 - EL CARMEN,EL CARMEN"/>
    <s v="5.2359066"/>
    <s v="-75.7855687"/>
    <s v="CALDAS"/>
    <s v="ANSERMA"/>
    <s v="ANSERMA"/>
    <n v="17042"/>
    <s v="2025-11-13"/>
    <m/>
    <m/>
    <m/>
    <m/>
    <n v="1"/>
    <s v="MANIZALES"/>
    <x v="6"/>
    <n v="49671.7"/>
    <n v="49671.7"/>
  </r>
  <r>
    <n v="76317"/>
    <s v="BARRIO LA GRANJA MONTERIA 24"/>
    <n v="25894834"/>
    <s v="4492577"/>
    <s v="3204317271"/>
    <s v="3204317271"/>
    <s v=" CR 3 3 05"/>
    <s v="5.11721793"/>
    <s v="-74.48001699"/>
    <s v="CUNDINAMARCA"/>
    <s v="QUEBRADANEGRA"/>
    <s v="QUEBRADANEGRA"/>
    <n v="25592"/>
    <s v="2025-11-27"/>
    <m/>
    <m/>
    <m/>
    <m/>
    <n v="2"/>
    <s v="BOGOTA"/>
    <x v="4"/>
    <n v="37313"/>
    <n v="74626"/>
  </r>
  <r>
    <n v="75645"/>
    <s v="BARRIO SANTANDER MONTERIA 1"/>
    <n v="45447332"/>
    <s v="3105546"/>
    <s v="3105546437"/>
    <s v="3105546437"/>
    <s v=" CR 3 3 78"/>
    <s v="5.1171444"/>
    <s v="-74.4786356"/>
    <s v="CUNDINAMARCA"/>
    <s v="QUEBRADANEGRA"/>
    <s v="QUEBRADANEGRA"/>
    <n v="25592"/>
    <s v="2025-11-27"/>
    <m/>
    <m/>
    <m/>
    <m/>
    <n v="2"/>
    <s v="BOGOTA"/>
    <x v="4"/>
    <n v="37313"/>
    <n v="74626"/>
  </r>
  <r>
    <n v="74578"/>
    <s v="BARRIO LA FLORESTA MONTERIA 6"/>
    <n v="98512551"/>
    <m/>
    <s v="3212081405"/>
    <s v="3212081405"/>
    <s v="CL 4 6 32,INSPECCION LA MAGDALENA"/>
    <s v="5.079950"/>
    <s v="-74.488740"/>
    <s v="CUNDINAMARCA"/>
    <s v="QUEBRADANEGRA"/>
    <s v="QUEBRADANEGRA"/>
    <n v="25592"/>
    <s v="2025-11-26"/>
    <m/>
    <m/>
    <m/>
    <m/>
    <n v="2"/>
    <s v="BOGOTA"/>
    <x v="4"/>
    <n v="37313"/>
    <n v="74626"/>
  </r>
  <r>
    <n v="50575"/>
    <s v="BARRIO PABLO ESCOBAR MEDELLIN"/>
    <n v="901234354"/>
    <s v="3138107445"/>
    <s v="3204351002"/>
    <s v="3204351002"/>
    <s v="CL 4 5 31 INSPECCION LA MAGDALENA,INSPECCIÓN LA MAGDALENA"/>
    <s v="5.0800040"/>
    <s v="-74.4883964"/>
    <s v="CUNDINAMARCA"/>
    <s v="QUEBRADANEGRA"/>
    <s v="QUEBRADANEGRA"/>
    <n v="25592"/>
    <s v="2025-11-26"/>
    <m/>
    <m/>
    <m/>
    <m/>
    <n v="1"/>
    <s v="BOGOTA"/>
    <x v="4"/>
    <n v="37313"/>
    <n v="37313"/>
  </r>
  <r>
    <n v="57687"/>
    <s v="BARRIO CENTRO PUERTO TEJADA 6"/>
    <n v="1130950794"/>
    <s v="3227041547"/>
    <s v="3227041547"/>
    <s v="3227041547"/>
    <s v="CR 3 3 65 INSPECCION LA MAGDALENA ,CENTRO"/>
    <s v="5.0799717"/>
    <s v="-74.4871167"/>
    <s v="CUNDINAMARCA"/>
    <s v="QUEBRADANEGRA"/>
    <s v="QUEBRADANEGRA"/>
    <n v="25592"/>
    <s v="2025-11-26"/>
    <m/>
    <m/>
    <m/>
    <m/>
    <n v="1"/>
    <s v="BOGOTA"/>
    <x v="4"/>
    <n v="37313"/>
    <n v="37313"/>
  </r>
  <r>
    <n v="74955"/>
    <s v="BARRIO URBANIZACION ELMORA MONTERIA"/>
    <n v="25857146"/>
    <s v="8680272"/>
    <s v="3134100183"/>
    <s v="3134100183"/>
    <s v=" CL 5 6  4-18 22 CC O Y C LC-3"/>
    <s v="4.17849466"/>
    <s v="-74.42356094"/>
    <s v="CUNDINAMARCA"/>
    <s v="SAN BERNARDO"/>
    <s v="SAN BERNARDO"/>
    <n v="25649"/>
    <s v="2025-11-11"/>
    <m/>
    <m/>
    <m/>
    <m/>
    <n v="2"/>
    <s v="BOGOTA"/>
    <x v="4"/>
    <n v="37313"/>
    <n v="74626"/>
  </r>
  <r>
    <n v="73043"/>
    <s v="BARRIO CENTRO MONTERIA 51"/>
    <n v="1067945268"/>
    <s v="3202351692"/>
    <s v="3202351692"/>
    <s v="3202351692"/>
    <s v="CR 5 5 14—18,CENTRO"/>
    <s v="4.1786722"/>
    <s v="-74.42165"/>
    <s v="CUNDINAMARCA"/>
    <s v="SAN BERNARDO"/>
    <s v="SAN BERNARDO"/>
    <n v="25649"/>
    <s v="2025-11-11"/>
    <m/>
    <m/>
    <m/>
    <m/>
    <n v="2"/>
    <s v="BOGOTA"/>
    <x v="4"/>
    <n v="37313"/>
    <n v="74626"/>
  </r>
  <r>
    <n v="72143"/>
    <s v="CORDOBA MONTERIA"/>
    <n v="1131108725"/>
    <s v="3115703267"/>
    <s v="3115703267"/>
    <m/>
    <s v="CL 6 3 44,LA ASENCION"/>
    <s v="4.1789529"/>
    <s v="-74.4221554"/>
    <s v="CUNDINAMARCA"/>
    <s v="SAN BERNARDO"/>
    <s v="SAN BERNARDO"/>
    <n v="25649"/>
    <s v="2025-11-11"/>
    <m/>
    <m/>
    <m/>
    <m/>
    <n v="1"/>
    <s v="BOGOTA"/>
    <x v="4"/>
    <n v="37313"/>
    <n v="37313"/>
  </r>
  <r>
    <n v="72144"/>
    <s v="MONTERIA VEREDA AGUAS NEGRAS"/>
    <n v="1131108725"/>
    <s v="3112391359"/>
    <s v="3112391359"/>
    <s v="3018207990"/>
    <s v="CL 7 3 - 54,SANTA TERESA"/>
    <s v="4.1786359"/>
    <s v="-74.4226638"/>
    <s v="CUNDINAMARCA"/>
    <s v="SAN BERNARDO"/>
    <s v="SAN BERNARDO"/>
    <n v="25649"/>
    <s v="2025-11-11"/>
    <m/>
    <m/>
    <m/>
    <m/>
    <n v="1"/>
    <s v="BOGOTA"/>
    <x v="4"/>
    <n v="37313"/>
    <n v="37313"/>
  </r>
  <r>
    <n v="70481"/>
    <s v="BARRIO URBANIZACION PORTAL DE ALMERIA MONTERIA"/>
    <n v="43045431"/>
    <s v="8465619"/>
    <s v="3025838317"/>
    <s v="3025838317"/>
    <s v="CL 5A  N 5 09"/>
    <s v="4.8472464"/>
    <s v="-74.6216062"/>
    <s v="CUNDINAMARCA"/>
    <s v="SAN JUAN DE RIOSECO"/>
    <s v="SAN JUAN DE RIOSECO"/>
    <n v="25662"/>
    <s v="2025-11-05"/>
    <m/>
    <m/>
    <m/>
    <m/>
    <n v="2"/>
    <s v="BOGOTA"/>
    <x v="4"/>
    <n v="37313"/>
    <n v="74626"/>
  </r>
  <r>
    <n v="68962"/>
    <s v="BARRIO LA JULIA MONTERIA 1"/>
    <n v="34994459"/>
    <s v="4944263"/>
    <s v="3194730422"/>
    <s v="3194730422"/>
    <s v="CR 6 3 68"/>
    <s v="4.845731"/>
    <s v="-74.6221644"/>
    <s v="CUNDINAMARCA"/>
    <s v="SAN JUAN DE RIOSECO"/>
    <s v="SAN JUAN DE RIOSECO"/>
    <n v="25662"/>
    <s v="2025-11-06"/>
    <m/>
    <m/>
    <m/>
    <m/>
    <n v="2"/>
    <s v="BOGOTA"/>
    <x v="4"/>
    <n v="37313"/>
    <n v="74626"/>
  </r>
  <r>
    <n v="69036"/>
    <s v="LOS LAURELES MONTERIA 4"/>
    <n v="34996196"/>
    <m/>
    <s v="3236410575"/>
    <s v="3203672793"/>
    <s v="SAN JUAN DE RIO SECO SAN AGUSTIN,CENTRO"/>
    <s v="4.8470898"/>
    <s v="-74.6212222"/>
    <s v="CUNDINAMARCA"/>
    <s v="SAN JUAN DE RIOSECO"/>
    <s v="SAN JUAN DE RIOSECO"/>
    <n v="25662"/>
    <s v="2025-11-05"/>
    <m/>
    <m/>
    <m/>
    <m/>
    <n v="2"/>
    <s v="BOGOTA"/>
    <x v="4"/>
    <n v="37313"/>
    <n v="74626"/>
  </r>
  <r>
    <n v="68357"/>
    <s v="BARRIO JUAN XXIII MONTERIA 6"/>
    <n v="15077605"/>
    <m/>
    <s v="3114927436"/>
    <s v="3104746738"/>
    <s v="CR 6 4 46,SAN JUAN RIOSECO"/>
    <s v="4.846253"/>
    <s v="-74.622123"/>
    <s v="CUNDINAMARCA"/>
    <s v="SAN JUAN DE RIOSECO"/>
    <s v="SAN JUAN DE RIOSECO"/>
    <n v="25662"/>
    <s v="2025-11-05"/>
    <m/>
    <m/>
    <m/>
    <m/>
    <n v="4"/>
    <s v="BOGOTA"/>
    <x v="4"/>
    <n v="37313"/>
    <n v="149252"/>
  </r>
  <r>
    <n v="66406"/>
    <s v="BARRIO CANTA CLARO MONTERIA 3"/>
    <n v="1067845530"/>
    <s v="0"/>
    <s v="3115014050"/>
    <s v="3115014050"/>
    <s v="cra 4 #5 -02"/>
    <s v="4.8468482"/>
    <s v="-74.6213786"/>
    <s v="CUNDINAMARCA"/>
    <s v="SAN JUAN DE RIOSECO"/>
    <s v="SAN JUAN DE RIOSECO"/>
    <n v="25662"/>
    <s v="2025-11-05"/>
    <m/>
    <m/>
    <m/>
    <m/>
    <n v="1"/>
    <s v="BOGOTA"/>
    <x v="4"/>
    <n v="37313"/>
    <n v="37313"/>
  </r>
  <r>
    <n v="67801"/>
    <s v="BARRIO VILLA ROCIO MONTERIA"/>
    <n v="1067965085"/>
    <s v="3203469411"/>
    <s v="3203469411"/>
    <s v="3203469411"/>
    <s v="CRR 7  3 49"/>
    <s v="4.8447638"/>
    <s v="-74.6228160"/>
    <s v="CUNDINAMARCA"/>
    <s v="SAN JUAN DE RIOSECO"/>
    <s v="SAN JUAN DE RIOSECO"/>
    <n v="25662"/>
    <s v="2025-11-06"/>
    <m/>
    <m/>
    <m/>
    <m/>
    <n v="2"/>
    <s v="BOGOTA"/>
    <x v="4"/>
    <n v="37313"/>
    <n v="74626"/>
  </r>
  <r>
    <n v="65136"/>
    <s v="BARRIO NUEVA ESPERANZA MONTERIA 1"/>
    <n v="25799836"/>
    <s v="3112579307"/>
    <s v="3112579307"/>
    <s v="3112579307"/>
    <s v="VRD KM 63 VIA VILLETA VEREDA SANTA INES. PREDIO EL CARMELO"/>
    <s v="4.9134464"/>
    <s v="-74.4192198"/>
    <s v="CUNDINAMARCA"/>
    <s v="SASAIMA"/>
    <s v="SASAIMA"/>
    <n v="25718"/>
    <s v="2025-11-21"/>
    <m/>
    <m/>
    <m/>
    <m/>
    <n v="3"/>
    <s v="BOGOTA"/>
    <x v="4"/>
    <n v="37313"/>
    <n v="111939"/>
  </r>
  <r>
    <n v="45965"/>
    <s v="BARRIO ARANJUEZ MEDELLIN 9"/>
    <n v="43620095"/>
    <s v="3123103799"/>
    <s v="3156682745"/>
    <s v="3123103799"/>
    <s v="CR 7 #3N - 03,SANTANDER"/>
    <s v="7.8394338"/>
    <s v="-72.4704909"/>
    <s v="NORTE DE SANTANDER"/>
    <s v="VILLA DEL ROSARIO"/>
    <s v="VILLA DEL ROSARIO"/>
    <n v="54874"/>
    <s v="2025-11-24"/>
    <m/>
    <m/>
    <m/>
    <m/>
    <n v="2"/>
    <s v="CUCUTA"/>
    <x v="2"/>
    <n v="49671.7"/>
    <n v="99343.4"/>
  </r>
  <r>
    <n v="45399"/>
    <s v="BARRIO GUAYABAL MEDELLIN 5"/>
    <n v="900873271"/>
    <s v="0"/>
    <s v="3246256334"/>
    <s v="3246256334"/>
    <s v="CR 12 6 A - 82,ANTONIO NARIÑO"/>
    <s v="7.8432816"/>
    <s v="-72.4738852"/>
    <s v="NORTE DE SANTANDER"/>
    <s v="VILLA DEL ROSARIO"/>
    <s v="VILLA DEL ROSARIO"/>
    <n v="54874"/>
    <s v="2025-11-25"/>
    <m/>
    <m/>
    <m/>
    <m/>
    <n v="2"/>
    <s v="CUCUTA"/>
    <x v="2"/>
    <n v="49671.7"/>
    <n v="99343.4"/>
  </r>
  <r>
    <n v="10030"/>
    <s v="GENOVA - QUINDIO"/>
    <n v="9800568"/>
    <s v="3157975879"/>
    <s v="0"/>
    <s v="3006780355"/>
    <s v="CRA 1 NRO 9 - 36,BRR VILLA ANTIGUA"/>
    <s v="7.82888943"/>
    <s v="-72.46330688"/>
    <s v="NORTE DE SANTANDER"/>
    <s v="VILLA DEL ROSARIO"/>
    <s v="VILLA DEL ROSARIO"/>
    <n v="54874"/>
    <s v="2025-11-24"/>
    <m/>
    <m/>
    <m/>
    <m/>
    <n v="2"/>
    <s v="CUCUTA"/>
    <x v="2"/>
    <n v="49671.7"/>
    <n v="99343.4"/>
  </r>
  <r>
    <n v="73624"/>
    <s v="BARRIO QUIMBAYA QUIMBAYA"/>
    <n v="901524537"/>
    <s v="3132702531"/>
    <s v="3132702531"/>
    <s v="3208458324"/>
    <s v="CL 2 5 44,SAGRADO CORAZON"/>
    <s v="6.4156820"/>
    <s v="-73.1708584"/>
    <s v="SANTANDER"/>
    <s v="PÁRAMO"/>
    <s v="PÁRAMO"/>
    <n v="68533"/>
    <s v="2025-11-19"/>
    <m/>
    <m/>
    <m/>
    <m/>
    <n v="1"/>
    <s v="BUCARAMANGA"/>
    <x v="2"/>
    <n v="37313"/>
    <n v="37313"/>
  </r>
  <r>
    <n v="59635"/>
    <s v="BARRIO LA CASTELLANA MONTERIA 8"/>
    <n v="900312766"/>
    <s v="3016846485"/>
    <s v="3016846485"/>
    <m/>
    <s v="CR 12 # 3 - 91 BRR VILLANUEVA PIEDECUESTA,VILLANUEVA"/>
    <s v="6.9924167"/>
    <s v="-73.0482500"/>
    <s v="SANTANDER"/>
    <s v="PIEDECUESTA"/>
    <s v="PIEDECUESTA"/>
    <n v="68547"/>
    <s v="2025-11-13"/>
    <m/>
    <m/>
    <m/>
    <m/>
    <n v="3"/>
    <s v="BUCARAMANGA"/>
    <x v="2"/>
    <n v="37313"/>
    <n v="111939"/>
  </r>
  <r>
    <n v="60721"/>
    <s v="BARRIO PANZENU MONTERIA 1"/>
    <n v="25799771"/>
    <s v="3118313651"/>
    <s v="3118313651"/>
    <s v="3118313651"/>
    <s v="VRD TABACAL FINCA VILLA EVA,PIEDECUESTA"/>
    <s v="6.8928800"/>
    <s v="-73.0391917"/>
    <s v="SANTANDER"/>
    <s v="PIEDECUESTA"/>
    <s v="PIEDECUESTA"/>
    <n v="68547"/>
    <s v="2025-11-21"/>
    <m/>
    <m/>
    <m/>
    <m/>
    <n v="1"/>
    <s v="BUCARAMANGA"/>
    <x v="2"/>
    <n v="37313"/>
    <n v="37313"/>
  </r>
  <r>
    <n v="54245"/>
    <s v="BARRIO RANCHO GRANDE MONTERIA 4"/>
    <n v="1067901073"/>
    <s v="3222712350"/>
    <s v="3222712350"/>
    <s v="3222712350"/>
    <s v="CL 1 N # 1 W - 04 BRR EL REFUJIO PIEDECUESTA,EL REFUJIO"/>
    <s v="6.9928160"/>
    <s v="-73.0623574"/>
    <s v="SANTANDER"/>
    <s v="PIEDECUESTA"/>
    <s v="PIEDECUESTA"/>
    <n v="68547"/>
    <s v="2025-11-13"/>
    <m/>
    <m/>
    <m/>
    <m/>
    <n v="2"/>
    <s v="BUCARAMANGA"/>
    <x v="2"/>
    <n v="37313"/>
    <n v="74626"/>
  </r>
  <r>
    <n v="57788"/>
    <s v="BARRIO CANTACLARO MONTERIA 3"/>
    <n v="1067845530"/>
    <s v="3205677521"/>
    <s v="3205677521"/>
    <m/>
    <s v="CA 15 D BRR EL EDEN PIEDECUESTA,BRR EL EDEN PIEDECUESTA"/>
    <s v="6.9963715"/>
    <s v="-73.0799766"/>
    <s v="SANTANDER"/>
    <s v="PIEDECUESTA"/>
    <s v="PIEDECUESTA"/>
    <n v="68547"/>
    <s v="2025-11-04"/>
    <m/>
    <m/>
    <m/>
    <m/>
    <n v="1"/>
    <s v="BUCARAMANGA"/>
    <x v="2"/>
    <n v="37313"/>
    <n v="37313"/>
  </r>
  <r>
    <n v="51592"/>
    <s v="BARRIO NUEVO HORIZONTE MONTERIA"/>
    <n v="6890589"/>
    <s v="3014315435"/>
    <s v="3014315435"/>
    <s v="3014315435"/>
    <s v="VRD 1 FINCA EL MIRADOR,FINCA EL MIRADOR"/>
    <s v="7.0203540"/>
    <s v="-73.0977720"/>
    <s v="SANTANDER"/>
    <s v="PIEDECUESTA"/>
    <s v="PIEDECUESTA"/>
    <n v="68547"/>
    <s v="2025-11-13"/>
    <m/>
    <m/>
    <m/>
    <m/>
    <n v="2"/>
    <s v="BUCARAMANGA"/>
    <x v="2"/>
    <n v="37313"/>
    <n v="74626"/>
  </r>
  <r>
    <n v="49766"/>
    <s v="BARRIO EL PORTAL MONTERIA"/>
    <n v="10775736"/>
    <s v="3102280881"/>
    <s v="3102280881"/>
    <s v="3102280881"/>
    <s v="CL 6 # 15 D - 06 BRR CABECERA PIEDECUESTA,CABECERA 2 PIEDECUESTA"/>
    <s v="6.9917941"/>
    <s v="-73.0444343"/>
    <s v="SANTANDER"/>
    <s v="PIEDECUESTA"/>
    <s v="PIEDECUESTA"/>
    <n v="68547"/>
    <s v="2025-11-13"/>
    <m/>
    <m/>
    <m/>
    <m/>
    <n v="2"/>
    <s v="BUCARAMANGA"/>
    <x v="2"/>
    <n v="37313"/>
    <n v="74626"/>
  </r>
  <r>
    <n v="38746"/>
    <s v="BARRIO CENTRO MEDELLIN 35"/>
    <n v="98761464"/>
    <s v="3118358795"/>
    <s v="3118358795"/>
    <m/>
    <s v="CR 15 A # 1 N - 03 BRR SAN CARLOS PIEDECUESTA,SAN CARLOS"/>
    <s v="6.9993157"/>
    <s v="-73.0518873"/>
    <s v="SANTANDER"/>
    <s v="PIEDECUESTA"/>
    <s v="PIEDECUESTA"/>
    <n v="68547"/>
    <s v="2025-11-13"/>
    <m/>
    <m/>
    <m/>
    <m/>
    <n v="2"/>
    <s v="BUCARAMANGA"/>
    <x v="2"/>
    <n v="37313"/>
    <n v="74626"/>
  </r>
  <r>
    <n v="43642"/>
    <s v="BARRIO ENCISO MEDELLIN 8"/>
    <n v="44000656"/>
    <s v="3172782414"/>
    <s v="3002239187"/>
    <s v="3002239187"/>
    <s v="CL 12 # 11-23 SAN ANTONIO PIEDECUESTA,SAN ANTONIO PIEDECUESTA"/>
    <s v="6.9859840"/>
    <s v="-73.0461320"/>
    <s v="SANTANDER"/>
    <s v="PIEDECUESTA"/>
    <s v="PIEDECUESTA"/>
    <n v="68547"/>
    <s v="2025-11-24"/>
    <m/>
    <m/>
    <m/>
    <m/>
    <n v="2"/>
    <s v="BUCARAMANGA"/>
    <x v="2"/>
    <n v="37313"/>
    <n v="74626"/>
  </r>
  <r>
    <n v="36213"/>
    <s v="BARRIO BELEN PARQUE MEDELLIN"/>
    <n v="900324648"/>
    <s v="3116761905"/>
    <s v="3166890088"/>
    <s v="3116761905"/>
    <s v="CR 5 B 22 40,PASEO DEL PUENTE 2"/>
    <s v="6.98344922"/>
    <s v="-73.4918198"/>
    <s v="SANTANDER"/>
    <s v="PIEDECUESTA"/>
    <s v="PIEDECUESTA"/>
    <n v="68547"/>
    <s v="2025-11-04"/>
    <m/>
    <m/>
    <m/>
    <m/>
    <n v="2"/>
    <s v="BUCARAMANGA"/>
    <x v="2"/>
    <n v="37313"/>
    <n v="74626"/>
  </r>
  <r>
    <n v="43550"/>
    <s v="BARRIO CAMPO ALEGRE MONTERIA 1"/>
    <n v="10933021"/>
    <s v="0"/>
    <s v="3142276466"/>
    <s v="3142276466"/>
    <s v="CR 2 3 38 PRIMER SEC - BR LIBERTAD"/>
    <s v="1.20735843"/>
    <s v="-77.46237664"/>
    <s v="NARIÑO"/>
    <s v="CONSACÁ"/>
    <s v="CONSACÁ"/>
    <n v="52207"/>
    <s v="2025-11-25"/>
    <m/>
    <m/>
    <m/>
    <m/>
    <n v="2"/>
    <s v="PASTO"/>
    <x v="5"/>
    <n v="49671.7"/>
    <n v="99343.4"/>
  </r>
  <r>
    <n v="48514"/>
    <s v="BARRIO VILLA MELISA MONTERIA"/>
    <n v="10772008"/>
    <s v="3167721921"/>
    <s v="3167721921"/>
    <m/>
    <s v="BRR LIBERTAD SEC 2,LIBERTAD"/>
    <s v="1.2071527"/>
    <s v="-77.4634691"/>
    <s v="NARIÑO"/>
    <s v="CONSACÁ"/>
    <s v="CONSACÁ"/>
    <n v="52207"/>
    <s v="2025-11-06"/>
    <m/>
    <m/>
    <m/>
    <m/>
    <n v="1"/>
    <s v="PASTO"/>
    <x v="5"/>
    <n v="49671.7"/>
    <n v="49671.7"/>
  </r>
  <r>
    <n v="13849"/>
    <s v="BARRIO TIMANCO NEIVA"/>
    <n v="36312190"/>
    <s v="5775777"/>
    <s v="3209448155"/>
    <s v="3209448155"/>
    <s v=" CL 17 17 02"/>
    <s v="7.8859941"/>
    <s v="-72.4724104"/>
    <s v="NORTE DE SANTANDER"/>
    <s v="CÚCUTA"/>
    <s v="CÚCUTA"/>
    <n v="54001"/>
    <s v="2025-11-28"/>
    <m/>
    <m/>
    <m/>
    <m/>
    <n v="2"/>
    <s v="CUCUTA"/>
    <x v="2"/>
    <n v="49671.7"/>
    <n v="99343.4"/>
  </r>
  <r>
    <n v="31447"/>
    <s v="BARRIO AGUACATALA 3"/>
    <n v="21894255"/>
    <s v="3202970158"/>
    <s v="3202970158"/>
    <m/>
    <s v="CL 7 NRO 0-83,LATINO"/>
    <s v="7.8907909"/>
    <s v="-72.5000193"/>
    <s v="NORTE DE SANTANDER"/>
    <s v="CÚCUTA"/>
    <s v="CÚCUTA"/>
    <n v="54001"/>
    <s v="2025-11-14"/>
    <m/>
    <m/>
    <m/>
    <m/>
    <n v="2"/>
    <s v="CUCUTA"/>
    <x v="2"/>
    <n v="49671.7"/>
    <n v="99343.4"/>
  </r>
  <r>
    <n v="27988"/>
    <s v="BARRIO CENTRO 3 MEDELLIN"/>
    <n v="900411976"/>
    <s v="3016505071"/>
    <s v="3016505071"/>
    <m/>
    <s v="AV 7 NRO 20-13 KDX 199 2,EL SALADO"/>
    <s v="7.9363602"/>
    <s v="-72.4955636"/>
    <s v="NORTE DE SANTANDER"/>
    <s v="CÚCUTA"/>
    <s v="CÚCUTA"/>
    <n v="54001"/>
    <s v="2025-11-13"/>
    <m/>
    <m/>
    <m/>
    <m/>
    <n v="1"/>
    <s v="CUCUTA"/>
    <x v="2"/>
    <n v="49671.7"/>
    <n v="49671.7"/>
  </r>
  <r>
    <n v="30195"/>
    <s v="BARRIO MANRIQUE 18 - MEDELLÍN "/>
    <n v="98668669"/>
    <s v="3213601613"/>
    <s v="3213601613"/>
    <m/>
    <s v="MZ B LT 3 URB LAS TERRAZAS VRD BUENA ESPERANZA ,VRD BUENA ESPERANZA"/>
    <s v="8.1618690"/>
    <s v="-72.4609938"/>
    <s v="NORTE DE SANTANDER"/>
    <s v="CÚCUTA"/>
    <s v="CÚCUTA"/>
    <n v="54001"/>
    <s v="2025-11-24"/>
    <m/>
    <m/>
    <m/>
    <m/>
    <n v="2"/>
    <s v="CUCUTA"/>
    <x v="2"/>
    <n v="49671.7"/>
    <n v="99343.4"/>
  </r>
  <r>
    <n v="39687"/>
    <s v="BARRIO CENTRO YUMBO 1"/>
    <n v="890306372"/>
    <s v="3057071050"/>
    <s v="3057071050"/>
    <m/>
    <s v="MZ 10 CS 1 LC 102 ,TRIGAL DEL NORTE"/>
    <s v="7.9457745"/>
    <s v="-72.5034244"/>
    <s v="NORTE DE SANTANDER"/>
    <s v="CÚCUTA"/>
    <s v="CÚCUTA"/>
    <n v="54001"/>
    <s v="2025-11-24"/>
    <m/>
    <m/>
    <m/>
    <m/>
    <n v="1"/>
    <s v="CUCUTA"/>
    <x v="2"/>
    <n v="49671.7"/>
    <n v="49671.7"/>
  </r>
  <r>
    <n v="68947"/>
    <s v="BARRIO CENTRO NEIVA 32"/>
    <n v="801002644"/>
    <s v="3132823223"/>
    <s v="3132823223"/>
    <m/>
    <s v="CL 18 NRO 1E-35,CAOBOS"/>
    <s v="7.8798843"/>
    <s v="-72.4960944"/>
    <s v="NORTE DE SANTANDER"/>
    <s v="CÚCUTA"/>
    <s v="CÚCUTA"/>
    <n v="54001"/>
    <s v="2025-11-13"/>
    <m/>
    <m/>
    <m/>
    <m/>
    <n v="1"/>
    <s v="CUCUTA"/>
    <x v="2"/>
    <n v="49671.7"/>
    <n v="49671.7"/>
  </r>
  <r>
    <n v="70058"/>
    <s v="BARRIO QUIRINAL NEIVA 4"/>
    <n v="1075308669"/>
    <s v="3228738763"/>
    <s v="3228738763"/>
    <m/>
    <s v="KDX 19 11,VDA MATECAÑA"/>
    <s v="8.1933730"/>
    <s v="-72.4907615"/>
    <s v="NORTE DE SANTANDER"/>
    <s v="CÚCUTA"/>
    <s v="CÚCUTA"/>
    <n v="54001"/>
    <s v="2025-11-05"/>
    <m/>
    <m/>
    <m/>
    <m/>
    <n v="2"/>
    <s v="CUCUTA"/>
    <x v="2"/>
    <n v="49671.7"/>
    <n v="99343.4"/>
  </r>
  <r>
    <n v="67890"/>
    <s v="BARRIO TEJARES DEL SUR NEIVA"/>
    <n v="36347643"/>
    <s v="3112733886"/>
    <s v="3112733886"/>
    <m/>
    <s v="AV 3 19 97 LC 2,SAN LUIS"/>
    <s v="7.8868475"/>
    <s v="-72.4845113"/>
    <s v="NORTE DE SANTANDER"/>
    <s v="CÚCUTA"/>
    <s v="CÚCUTA"/>
    <n v="54001"/>
    <s v="2025-11-24"/>
    <m/>
    <m/>
    <m/>
    <m/>
    <n v="2"/>
    <s v="CUCUTA"/>
    <x v="2"/>
    <n v="49671.7"/>
    <n v="99343.4"/>
  </r>
  <r>
    <n v="67804"/>
    <s v="BARRIO NORTE NEIVA"/>
    <n v="900397839"/>
    <s v="3116787288"/>
    <s v="3116787288"/>
    <m/>
    <s v="AV 1 CL 3 LC 5,TRIGAL DEL NORTE"/>
    <s v="7.9449659"/>
    <s v="-72.5033777"/>
    <s v="NORTE DE SANTANDER"/>
    <s v="CÚCUTA"/>
    <s v="CÚCUTA"/>
    <n v="54001"/>
    <s v="2025-11-24"/>
    <m/>
    <m/>
    <m/>
    <m/>
    <n v="1"/>
    <s v="CUCUTA"/>
    <x v="2"/>
    <n v="49671.7"/>
    <n v="49671.7"/>
  </r>
  <r>
    <n v="64277"/>
    <s v="BARRIO CENTRO NEIVA 30"/>
    <n v="36346152"/>
    <s v="6419838"/>
    <s v="3114408967"/>
    <s v="3114408967"/>
    <s v=" CR 4 3 70"/>
    <s v="6.1374420"/>
    <s v="-73.0989010"/>
    <s v="SANTANDER"/>
    <s v="ENCINO"/>
    <s v="ENCINO"/>
    <n v="68264"/>
    <s v="2025-11-18"/>
    <m/>
    <m/>
    <m/>
    <m/>
    <n v="4"/>
    <s v="BUCARAMANGA"/>
    <x v="2"/>
    <n v="37313"/>
    <n v="149252"/>
  </r>
  <r>
    <n v="56762"/>
    <s v="BARRIO CENTRO NEIVA 29"/>
    <n v="900651102"/>
    <s v="3142055811"/>
    <s v="0"/>
    <s v="3142055811"/>
    <s v="CR 6 3 16,CENTRO"/>
    <s v="6.8750860"/>
    <s v="-72.8560610"/>
    <s v="SANTANDER"/>
    <s v="GUACA"/>
    <s v="GUACA"/>
    <n v="68318"/>
    <s v="2025-11-10"/>
    <m/>
    <m/>
    <m/>
    <m/>
    <n v="2"/>
    <s v="BUCARAMANGA"/>
    <x v="2"/>
    <n v="37313"/>
    <n v="74626"/>
  </r>
  <r>
    <n v="28357"/>
    <s v="BARRIO ENCISO MEDELLIN"/>
    <n v="1035427036"/>
    <s v="2876262"/>
    <s v="3154704983"/>
    <s v="3154704983"/>
    <s v=" CR 30  36-12 PALMIRA"/>
    <s v="3.5332108"/>
    <s v="-76.2997198"/>
    <s v="VALLE DEL CAUCA"/>
    <s v="PALMIRA"/>
    <s v="PALMIRA"/>
    <n v="76520"/>
    <s v="2025-11-28"/>
    <m/>
    <m/>
    <m/>
    <m/>
    <n v="2"/>
    <s v="CALI"/>
    <x v="5"/>
    <n v="37313"/>
    <n v="74626"/>
  </r>
  <r>
    <n v="18323"/>
    <s v="LAS CABAÑAS III BELLO"/>
    <n v="900470242"/>
    <s v="3017748763"/>
    <s v="3014849958"/>
    <s v="3017748763"/>
    <s v="KM 6 VIA CENCAR AER BONILLA ARAGON LC EXTERNO PQ 1 LC 01,ZONA FRANCA"/>
    <s v="3.5604811"/>
    <s v="-76.4495133"/>
    <s v="VALLE DEL CAUCA"/>
    <s v="PALMIRA"/>
    <s v="PALMIRA"/>
    <n v="76520"/>
    <s v="2025-11-20"/>
    <m/>
    <m/>
    <m/>
    <m/>
    <n v="2"/>
    <s v="CALI"/>
    <x v="5"/>
    <n v="37313"/>
    <n v="74626"/>
  </r>
  <r>
    <n v="57051"/>
    <s v="BARRIO LUIS IGNACIO ANDRADE NEIVA "/>
    <n v="1075311341"/>
    <s v="3147399595"/>
    <s v="3143995950"/>
    <s v="3147399595"/>
    <s v="CR 42 47 A 3 PORTAL DE LAS PALMAS,PORTAL DE LAS PALMAS"/>
    <s v="3.5428576"/>
    <s v="-76.3131198"/>
    <s v="VALLE DEL CAUCA"/>
    <s v="PALMIRA"/>
    <s v="PALMIRA"/>
    <n v="76520"/>
    <s v="2025-11-14"/>
    <m/>
    <m/>
    <m/>
    <m/>
    <n v="2"/>
    <s v="CALI"/>
    <x v="5"/>
    <n v="37313"/>
    <n v="74626"/>
  </r>
  <r>
    <n v="58404"/>
    <s v="BARRIO EL CENTRO NEIVA 7"/>
    <n v="17655564"/>
    <m/>
    <s v="3014128985"/>
    <s v="3014128985"/>
    <s v=" CR 12 CALLE 9 23 CENTRO"/>
    <s v="9.24469472"/>
    <s v="-75.1464833"/>
    <s v="SUCRE"/>
    <s v="SAN LUIS DE SINCÉ"/>
    <s v="SINCÉ"/>
    <n v="70742"/>
    <s v="2025-11-13"/>
    <m/>
    <m/>
    <m/>
    <m/>
    <n v="2"/>
    <s v="SINCELEJO"/>
    <x v="1"/>
    <n v="49671.7"/>
    <n v="99343.4"/>
  </r>
  <r>
    <n v="53374"/>
    <s v="BARRIO EDUARDO SANTOS NEIVA"/>
    <n v="36183212"/>
    <s v="3012537796"/>
    <s v="3012537796"/>
    <m/>
    <s v="CR 2 18 12 AP 101,EL ARROYITO"/>
    <s v="9.5264112"/>
    <s v="-75.5836952"/>
    <s v="SUCRE"/>
    <s v="SANTIAGO DE TOLÚ"/>
    <s v="SANTIAGO DE TOLÚ"/>
    <n v="70820"/>
    <s v="2025-11-19"/>
    <m/>
    <m/>
    <m/>
    <m/>
    <n v="4"/>
    <s v="SINCELEJO"/>
    <x v="1"/>
    <n v="49671.7"/>
    <n v="198686.8"/>
  </r>
  <r>
    <n v="50490"/>
    <s v="BARRIO LUIS CARLOS GALAN NEIVA 1"/>
    <n v="1088294525"/>
    <s v="3113742262"/>
    <s v="3113742265"/>
    <s v="3113742265"/>
    <s v="CL 4 CR 4 – 65, CGTO VARSOVIA"/>
    <s v="9.4059121"/>
    <s v="-75.4937751"/>
    <s v="SUCRE"/>
    <s v="TOLÚ VIEJO"/>
    <s v="TOLÚ VIEJO"/>
    <n v="70823"/>
    <s v="2025-11-19"/>
    <m/>
    <m/>
    <m/>
    <m/>
    <n v="2"/>
    <s v="SINCELEJO"/>
    <x v="1"/>
    <n v="49671.7"/>
    <n v="99343.4"/>
  </r>
  <r>
    <n v="39911"/>
    <s v="BARRIO LUIS CARLOS GALAN 1 ETAPA NEIVA"/>
    <n v="7687030"/>
    <m/>
    <s v="3007473078"/>
    <s v="3007473078"/>
    <s v=" DG 2 TR 4 16 P1"/>
    <s v="9.4512670"/>
    <s v="-75.4383380"/>
    <s v="SUCRE"/>
    <s v="TOLÚ VIEJO"/>
    <s v="TOLÚ VIEJO"/>
    <n v="70823"/>
    <s v="2025-11-19"/>
    <m/>
    <m/>
    <m/>
    <m/>
    <n v="2"/>
    <s v="SINCELEJO"/>
    <x v="1"/>
    <n v="49671.7"/>
    <n v="99343.4"/>
  </r>
  <r>
    <n v="36993"/>
    <s v="BARRIO NEIVA HUILA 2"/>
    <n v="7718323"/>
    <s v="3157208501"/>
    <s v="3177895728"/>
    <s v="3157208501"/>
    <s v="CR 10 1 189 BRR PILOTO"/>
    <s v="3.2577971"/>
    <s v="-76.5447847"/>
    <s v="VALLE DEL CAUCA"/>
    <s v="JAMUNDÍ"/>
    <s v="JAMUNDÍ"/>
    <n v="76364"/>
    <s v="2025-11-18"/>
    <m/>
    <m/>
    <m/>
    <m/>
    <n v="2"/>
    <s v="CALI"/>
    <x v="5"/>
    <n v="37313"/>
    <n v="74626"/>
  </r>
  <r>
    <n v="37409"/>
    <s v="BARRIO MINUTO DE DIOS 4 ETAPA NEIVA"/>
    <n v="1075270403"/>
    <s v="3105028295"/>
    <s v="3105028295"/>
    <m/>
    <s v="CR 18 12 05 LC 01 BRR SACHAMATE,SACHAMATE"/>
    <s v="3.2665904"/>
    <s v="-76.5444925"/>
    <s v="VALLE DEL CAUCA"/>
    <s v="JAMUNDÍ"/>
    <s v="JAMUNDÍ"/>
    <n v="76364"/>
    <s v="2025-11-18"/>
    <m/>
    <m/>
    <m/>
    <m/>
    <n v="4"/>
    <s v="CALI"/>
    <x v="5"/>
    <n v="37313"/>
    <n v="149252"/>
  </r>
  <r>
    <n v="16748"/>
    <s v="MATERIALES EMO - MEDELLIN"/>
    <n v="801002644"/>
    <s v="3148161859"/>
    <s v="3148161859"/>
    <s v="3148161859"/>
    <s v="CR 7 16B 42 BRR CIUDAD SUR LC 2,BELLO HORIZONTE"/>
    <s v="3.2654400"/>
    <s v="-76.5346713"/>
    <s v="VALLE DEL CAUCA"/>
    <s v="JAMUNDÍ"/>
    <s v="JAMUNDÍ"/>
    <n v="76364"/>
    <s v="2025-11-18"/>
    <m/>
    <m/>
    <m/>
    <m/>
    <n v="2"/>
    <s v="CALI"/>
    <x v="5"/>
    <n v="37313"/>
    <n v="74626"/>
  </r>
  <r>
    <n v="35096"/>
    <s v="BARRIO JARDIN  1 NEIVA"/>
    <n v="1075224615"/>
    <s v="628933621"/>
    <s v="3104542238"/>
    <s v="3104542238"/>
    <s v="CORREGIMIENTO DE BITACO, MUNICIPIO DE LA CUMBRE-VALLE"/>
    <s v="3.6105593"/>
    <s v="-76.5993600"/>
    <s v="VALLE DEL CAUCA"/>
    <s v="LA CUMBRE"/>
    <s v="LA CUMBRE"/>
    <n v="76377"/>
    <s v="2025-11-25"/>
    <m/>
    <m/>
    <m/>
    <m/>
    <n v="2"/>
    <s v="CALI"/>
    <x v="5"/>
    <n v="37313"/>
    <n v="74626"/>
  </r>
  <r>
    <n v="27156"/>
    <s v="BARRIO CENTRO 2  NEIVA"/>
    <n v="83224064"/>
    <s v="5614971"/>
    <s v="3236124013"/>
    <s v="3236124013"/>
    <s v=" TV 20 A 54 A 11"/>
    <s v="6.1271000"/>
    <s v="-75.3790996"/>
    <s v="ANTIOQUIA"/>
    <s v="RIONEGRO"/>
    <s v="RIONEGRO"/>
    <n v="5615"/>
    <s v="2025-11-10"/>
    <m/>
    <m/>
    <m/>
    <m/>
    <n v="1"/>
    <s v="MEDELLIN"/>
    <x v="0"/>
    <n v="37313"/>
    <n v="37313"/>
  </r>
  <r>
    <n v="25614"/>
    <s v="BARRIO GRANJAS IX - NEIVA"/>
    <n v="55063537"/>
    <s v="5610035"/>
    <s v="3127318772"/>
    <s v="3127318772"/>
    <s v=" CR 46 49 75 RIONEGRO ANTIOQUIA"/>
    <s v="6.1538553"/>
    <s v="-75.3707991"/>
    <s v="ANTIOQUIA"/>
    <s v="RIONEGRO"/>
    <s v="RIONEGRO"/>
    <n v="5615"/>
    <s v="2025-11-06"/>
    <m/>
    <m/>
    <m/>
    <m/>
    <n v="2"/>
    <s v="MEDELLIN"/>
    <x v="0"/>
    <n v="37313"/>
    <n v="74626"/>
  </r>
  <r>
    <n v="18978"/>
    <s v="BARRIO TIMANCO 1 NEIVA"/>
    <n v="55162620"/>
    <s v="5619323"/>
    <s v="3116143383"/>
    <s v="3116143383"/>
    <s v=" CR 54 A  24-59"/>
    <s v="6.1307600"/>
    <s v="-75.3791067"/>
    <s v="ANTIOQUIA"/>
    <s v="RIONEGRO"/>
    <s v="RIONEGRO"/>
    <n v="5615"/>
    <s v="2025-11-10"/>
    <m/>
    <m/>
    <m/>
    <m/>
    <n v="4"/>
    <s v="MEDELLIN"/>
    <x v="0"/>
    <n v="37313"/>
    <n v="149252"/>
  </r>
  <r>
    <n v="14661"/>
    <s v="BARRIO GUAYABAL III MEDELLIN"/>
    <n v="900020155"/>
    <s v="5613241"/>
    <s v="3117209350"/>
    <s v="3117209350"/>
    <s v=" CR 47 54 24"/>
    <s v="6.1566480"/>
    <s v="-75.3708032"/>
    <s v="ANTIOQUIA"/>
    <s v="RIONEGRO"/>
    <s v="RIONEGRO"/>
    <n v="5615"/>
    <s v="2025-11-06"/>
    <m/>
    <m/>
    <m/>
    <m/>
    <n v="2"/>
    <s v="MEDELLIN"/>
    <x v="0"/>
    <n v="37313"/>
    <n v="74626"/>
  </r>
  <r>
    <n v="63001"/>
    <s v="BARRIO CENTRO MADRID 4"/>
    <n v="900912012"/>
    <s v="3138962577"/>
    <s v="3138962577"/>
    <m/>
    <s v="KDX 217 1,VDA AGUA CLARA"/>
    <s v="8.2377626"/>
    <s v="-72.4266507"/>
    <s v="NORTE DE SANTANDER"/>
    <s v="CÚCUTA"/>
    <s v="CÚCUTA"/>
    <n v="54001"/>
    <s v="2025-11-24"/>
    <m/>
    <m/>
    <m/>
    <m/>
    <n v="1"/>
    <s v="CUCUTA"/>
    <x v="2"/>
    <n v="49671.7"/>
    <n v="49671.7"/>
  </r>
  <r>
    <n v="79152"/>
    <s v="BARRIO LAS DELICIAS VALLEDUPAR 2"/>
    <n v="1065598928"/>
    <s v="3145939910"/>
    <s v="3019724337"/>
    <s v="3019724337"/>
    <s v="CL 9 6-54 CEN CC ATLANTIS LC 35 ,CENTRO"/>
    <s v="7.8879378"/>
    <s v="-72.5057209"/>
    <s v="NORTE DE SANTANDER"/>
    <s v="CÚCUTA"/>
    <s v="CÚCUTA"/>
    <n v="54001"/>
    <s v="2025-11-14"/>
    <m/>
    <m/>
    <m/>
    <m/>
    <n v="3"/>
    <s v="CUCUTA"/>
    <x v="2"/>
    <n v="49671.7"/>
    <n v="149015.09999999998"/>
  </r>
  <r>
    <n v="76396"/>
    <s v="BARRIO EL LIMONAR VALLEDUPAR"/>
    <n v="901014521"/>
    <s v="3163509818"/>
    <s v="3163509818"/>
    <s v="3163509818"/>
    <s v="MZ 11 LT 27 LC 1 PISO 1 CLARET,CLARET"/>
    <s v="7.9146483"/>
    <s v="-72.5297436"/>
    <s v="NORTE DE SANTANDER"/>
    <s v="CÚCUTA"/>
    <s v="CÚCUTA"/>
    <n v="54001"/>
    <s v="2025-11-24"/>
    <m/>
    <m/>
    <m/>
    <m/>
    <n v="2"/>
    <s v="CUCUTA"/>
    <x v="2"/>
    <n v="49671.7"/>
    <n v="99343.4"/>
  </r>
  <r>
    <n v="78444"/>
    <s v="BARRIO ENRIQUE PUPO VALLEDUPAR 1"/>
    <n v="1098200028"/>
    <s v="3246256334"/>
    <s v="3246256334"/>
    <m/>
    <s v="BIS NOA GALPON B LC 338 CENABASTOS,TASAJERO"/>
    <s v="7.9283593"/>
    <s v="-72.4938444"/>
    <s v="NORTE DE SANTANDER"/>
    <s v="CÚCUTA"/>
    <s v="CÚCUTA"/>
    <n v="54001"/>
    <s v="2025-11-24"/>
    <m/>
    <m/>
    <m/>
    <m/>
    <n v="3"/>
    <s v="CUCUTA"/>
    <x v="2"/>
    <n v="49671.7"/>
    <n v="149015.09999999998"/>
  </r>
  <r>
    <n v="77715"/>
    <s v="BARRIO SANTANA VALLEDUPAR"/>
    <n v="49609355"/>
    <s v="3166482510"/>
    <s v="3166482510"/>
    <m/>
    <s v="CL 13 A 13-21 LC 2,TOLEDO PLATA"/>
    <s v="7.9400932"/>
    <s v="-72.5139743"/>
    <s v="NORTE DE SANTANDER"/>
    <s v="CÚCUTA"/>
    <s v="CÚCUTA"/>
    <n v="54001"/>
    <s v="2025-11-24"/>
    <m/>
    <m/>
    <m/>
    <m/>
    <n v="2"/>
    <s v="CUCUTA"/>
    <x v="2"/>
    <n v="49671.7"/>
    <n v="99343.4"/>
  </r>
  <r>
    <n v="66013"/>
    <s v="BARRIO NIQUIA BELLO 16"/>
    <n v="901154313"/>
    <s v="3214916206"/>
    <s v="3214916206"/>
    <s v="3214916206"/>
    <s v="AV 8 7-93,EL CENTRO"/>
    <s v="7.8884129"/>
    <s v="-72.5073619"/>
    <s v="NORTE DE SANTANDER"/>
    <s v="CÚCUTA"/>
    <s v="CÚCUTA"/>
    <n v="54001"/>
    <s v="2025-11-14"/>
    <m/>
    <m/>
    <m/>
    <m/>
    <n v="3"/>
    <s v="CUCUTA"/>
    <x v="2"/>
    <n v="49671.7"/>
    <n v="149015.09999999998"/>
  </r>
  <r>
    <n v="59108"/>
    <s v="BARRIO LA SELVA BELLO 2"/>
    <n v="71229268"/>
    <s v="3057071050"/>
    <s v="3057071050"/>
    <s v="3057071050"/>
    <s v="CL 8 B N NRO 15E-08 MZ 22 LT 8 ,CIUDAD JARDIN"/>
    <s v="7.9092611"/>
    <s v="-72.4883465"/>
    <s v="NORTE DE SANTANDER"/>
    <s v="CÚCUTA"/>
    <s v="CÚCUTA"/>
    <n v="54001"/>
    <s v="2025-11-27"/>
    <m/>
    <m/>
    <m/>
    <m/>
    <n v="3"/>
    <s v="CUCUTA"/>
    <x v="2"/>
    <n v="49671.7"/>
    <n v="149015.09999999998"/>
  </r>
  <r>
    <n v="61400"/>
    <s v="BARRIO PARQUE PRINCIPAL BELLO 1"/>
    <n v="1152439346"/>
    <s v="3182471805"/>
    <s v="3177770680"/>
    <s v="3182471805"/>
    <s v="CL 35 NRO. 2 E- 66 PORTAL DE BUENOS AIRES,PORTAL DE BUENOS AIRES"/>
    <s v="3.5313219"/>
    <s v="-76.2754247"/>
    <s v="VALLE DEL CAUCA"/>
    <s v="PALMIRA"/>
    <s v="PALMIRA"/>
    <n v="76520"/>
    <s v="2025-11-19"/>
    <m/>
    <m/>
    <m/>
    <m/>
    <n v="1"/>
    <s v="CALI"/>
    <x v="5"/>
    <n v="37313"/>
    <n v="37313"/>
  </r>
  <r>
    <n v="56825"/>
    <s v="BARRIO ARAUCARIAS 1 BELLO"/>
    <n v="71758980"/>
    <s v="3182800773"/>
    <s v="3182800773"/>
    <s v="3182800773"/>
    <s v="CL 31 NRO 26-36,CENTRO"/>
    <s v="3.5278093"/>
    <s v="-76.2974908"/>
    <s v="VALLE DEL CAUCA"/>
    <s v="PALMIRA"/>
    <s v="PALMIRA"/>
    <n v="76520"/>
    <s v="2025-11-14"/>
    <m/>
    <m/>
    <m/>
    <m/>
    <n v="3"/>
    <s v="CALI"/>
    <x v="5"/>
    <n v="37313"/>
    <n v="111939"/>
  </r>
  <r>
    <n v="58468"/>
    <s v="BARRIO CABAÑAS BELLO 8"/>
    <n v="901038123"/>
    <s v="0"/>
    <s v="3205725493"/>
    <s v="3205725493"/>
    <s v="CR 25 A  46-08-ALTAMIRA"/>
    <s v="3.5414"/>
    <s v="-76.29414"/>
    <s v="VALLE DEL CAUCA"/>
    <s v="PALMIRA"/>
    <s v="PALMIRA"/>
    <n v="76520"/>
    <s v="2025-11-20"/>
    <m/>
    <m/>
    <m/>
    <m/>
    <n v="2"/>
    <s v="CALI"/>
    <x v="5"/>
    <n v="37313"/>
    <n v="74626"/>
  </r>
  <r>
    <n v="58469"/>
    <s v="BARRIO NIQUIA BELLO 12"/>
    <n v="901038123"/>
    <s v="2765381"/>
    <s v="3147980314"/>
    <s v="3107405348"/>
    <s v="CR 5 E 33 C 39 MARÍA CANO,BUENOS AIRES"/>
    <s v="3.5299651"/>
    <s v="-76.2751035"/>
    <s v="VALLE DEL CAUCA"/>
    <s v="PALMIRA"/>
    <s v="PALMIRA"/>
    <n v="76520"/>
    <s v="2025-11-19"/>
    <m/>
    <m/>
    <m/>
    <m/>
    <n v="2"/>
    <s v="CALI"/>
    <x v="5"/>
    <n v="37313"/>
    <n v="74626"/>
  </r>
  <r>
    <n v="75060"/>
    <s v="BARRIO BELLA VISTA VALLEDUPAR 2"/>
    <n v="1064116488"/>
    <s v="3103283822"/>
    <s v="3127800112"/>
    <s v="3103283822"/>
    <s v="CR 48 N 51-15,SAN FRANCISCO"/>
    <s v="6.1545410"/>
    <s v="-75.3724059"/>
    <s v="ANTIOQUIA"/>
    <s v="RIONEGRO"/>
    <s v="RIONEGRO"/>
    <n v="5615"/>
    <s v="2025-11-06"/>
    <m/>
    <m/>
    <m/>
    <m/>
    <n v="2"/>
    <s v="MEDELLIN"/>
    <x v="0"/>
    <n v="37313"/>
    <n v="74626"/>
  </r>
  <r>
    <n v="77093"/>
    <s v="BARRIO KENNEDY VALLEDUPAR 1"/>
    <n v="1065589072"/>
    <s v="3232912901"/>
    <s v="3174010325"/>
    <s v="3232912901"/>
    <s v="KM 3 VIA LLANOGRANDE SEC LA AMALITA TRANSVERSAL"/>
    <s v="6.1319933"/>
    <s v="-75.4006877"/>
    <s v="ANTIOQUIA"/>
    <s v="RIONEGRO"/>
    <s v="RIONEGRO"/>
    <n v="5615"/>
    <s v="2025-11-10"/>
    <m/>
    <m/>
    <m/>
    <m/>
    <n v="2"/>
    <s v="MEDELLIN"/>
    <x v="0"/>
    <n v="37313"/>
    <n v="74626"/>
  </r>
  <r>
    <n v="75424"/>
    <s v="BARRIO URBANIZACION MARIA VALERIA VALLEDUPAR"/>
    <n v="49718237"/>
    <s v="3861477"/>
    <s v="3192609779"/>
    <s v="3192609779"/>
    <s v=" CR 46 52 54 CE RIONEGRO PLAZA"/>
    <s v="6.1558779"/>
    <s v="-75.3705685"/>
    <s v="ANTIOQUIA"/>
    <s v="RIONEGRO"/>
    <s v="RIONEGRO"/>
    <n v="5615"/>
    <s v="2025-11-06"/>
    <m/>
    <m/>
    <m/>
    <m/>
    <n v="3"/>
    <s v="MEDELLIN"/>
    <x v="0"/>
    <n v="37313"/>
    <n v="111939"/>
  </r>
  <r>
    <n v="76687"/>
    <s v="BRR VILLA MIRIAN VALLEDUPAR"/>
    <n v="1065656417"/>
    <s v="6151541"/>
    <s v="3008184814"/>
    <s v="3008875464"/>
    <s v="CL 23 55 D 14,SAN ANTONIO DE PEREIRA"/>
    <s v="6.1302312"/>
    <s v="-75.3818086"/>
    <s v="ANTIOQUIA"/>
    <s v="RIONEGRO"/>
    <s v="RIONEGRO"/>
    <n v="5615"/>
    <s v="2025-11-10"/>
    <m/>
    <m/>
    <m/>
    <m/>
    <n v="2"/>
    <s v="MEDELLIN"/>
    <x v="0"/>
    <n v="37313"/>
    <n v="74626"/>
  </r>
  <r>
    <n v="75059"/>
    <s v="BARRIO FRANCISCO DE PAULA SANTANDER VALLEDUPAR"/>
    <n v="1067594516"/>
    <s v="3017243958"/>
    <s v="3017243958"/>
    <s v="3017243958"/>
    <s v="CR 47 75 SUR 12"/>
    <s v="6.151825"/>
    <s v="-75.620819"/>
    <s v="ANTIOQUIA"/>
    <s v="SABANETA"/>
    <s v="SABANETA"/>
    <n v="5631"/>
    <s v="2025-11-05"/>
    <m/>
    <m/>
    <m/>
    <m/>
    <n v="2"/>
    <s v="MEDELLIN"/>
    <x v="0"/>
    <n v="37313"/>
    <n v="74626"/>
  </r>
  <r>
    <n v="72957"/>
    <s v="BARRIO DON CARMELO VALLEDUPAR 5"/>
    <n v="72260553"/>
    <m/>
    <s v="3160517478"/>
    <s v="3163688785"/>
    <s v="CL 10 14 A 141,ENTRADA ROZO"/>
    <s v="3.6151166"/>
    <s v="-76.3923362"/>
    <s v="VALLE DEL CAUCA"/>
    <s v="PALMIRA"/>
    <s v="PALMIRA"/>
    <n v="76520"/>
    <s v="2025-11-18"/>
    <m/>
    <m/>
    <m/>
    <m/>
    <n v="2"/>
    <s v="CALI"/>
    <x v="5"/>
    <n v="37313"/>
    <n v="74626"/>
  </r>
  <r>
    <n v="72573"/>
    <s v="BARRIO DONGOND VALLEDUPAR"/>
    <n v="1066291207"/>
    <s v="2836136"/>
    <s v="3196507112"/>
    <s v="3103749925"/>
    <s v="CL 47 # 28 A - 04,URB. LOS SAMANES"/>
    <s v="3.5423199"/>
    <s v="-76.2970192"/>
    <s v="VALLE DEL CAUCA"/>
    <s v="PALMIRA"/>
    <s v="PALMIRA"/>
    <n v="76520"/>
    <s v="2025-11-14"/>
    <m/>
    <m/>
    <m/>
    <m/>
    <n v="2"/>
    <s v="CALI"/>
    <x v="5"/>
    <n v="37313"/>
    <n v="74626"/>
  </r>
  <r>
    <n v="66078"/>
    <s v="BARRIO LAS DELICIAS VALLEDUPAR 1"/>
    <n v="1065635801"/>
    <s v="2738718"/>
    <s v="3116127948"/>
    <s v="3116127948"/>
    <s v=" CL 57 38 03"/>
    <s v="3.5474904"/>
    <s v="-76.3102193"/>
    <s v="VALLE DEL CAUCA"/>
    <s v="PALMIRA"/>
    <s v="PALMIRA"/>
    <n v="76520"/>
    <s v="2025-11-14"/>
    <m/>
    <m/>
    <m/>
    <m/>
    <n v="2"/>
    <s v="CALI"/>
    <x v="5"/>
    <n v="37313"/>
    <n v="74626"/>
  </r>
  <r>
    <n v="67359"/>
    <s v="BARRIO LA ESPERANZA VALLEDUPAR 7"/>
    <n v="1065639200"/>
    <s v="2859849"/>
    <s v="3183938842"/>
    <s v="3128602063"/>
    <s v=" CR 41 35 38"/>
    <s v="3.5326943"/>
    <s v="-76.3112418"/>
    <s v="VALLE DEL CAUCA"/>
    <s v="PALMIRA"/>
    <s v="PALMIRA"/>
    <n v="76520"/>
    <s v="2025-11-18"/>
    <m/>
    <m/>
    <m/>
    <m/>
    <n v="2"/>
    <s v="CALI"/>
    <x v="5"/>
    <n v="37313"/>
    <n v="74626"/>
  </r>
  <r>
    <n v="68355"/>
    <s v="NUEVA ESPERANZA 2"/>
    <n v="1121300546"/>
    <s v="8212625"/>
    <s v="3004042527"/>
    <s v="3004042527"/>
    <s v=" CL PRINCIPAL"/>
    <s v="8.7579683"/>
    <s v="-76.5301993"/>
    <s v="ANTIOQUIA"/>
    <s v="SAN JUAN DE URABÁ"/>
    <s v="SAN JUAN DE URABÁ"/>
    <n v="5659"/>
    <s v="2025-11-24"/>
    <m/>
    <m/>
    <m/>
    <m/>
    <n v="2"/>
    <s v="MONTERIA"/>
    <x v="1"/>
    <n v="37313"/>
    <n v="74626"/>
  </r>
  <r>
    <n v="41093"/>
    <s v="BARRIO LAS GRANJAS BELLO"/>
    <n v="98645876"/>
    <s v="6450054"/>
    <s v="3203039211"/>
    <s v="3203039211"/>
    <s v=" CR 3 2 35  CENTRO"/>
    <s v="5.56600500"/>
    <s v="-73.45120000"/>
    <s v="BOYACÁ"/>
    <s v="SORA"/>
    <s v="SORA"/>
    <n v="15762"/>
    <s v="2025-11-14"/>
    <m/>
    <m/>
    <m/>
    <m/>
    <n v="2"/>
    <s v="TUNJA"/>
    <x v="2"/>
    <n v="49671.7"/>
    <n v="99343.4"/>
  </r>
  <r>
    <n v="40187"/>
    <s v="BARRIO CABAÑAS BELLO 4"/>
    <n v="94503783"/>
    <m/>
    <s v="3115299611"/>
    <s v="3115299611"/>
    <s v=" CR 3 4 07  CENTRO"/>
    <s v="5.9378098"/>
    <s v="-73.5126417"/>
    <s v="BOYACÁ"/>
    <s v="TOGÜÍ"/>
    <s v="TOGÜÍ"/>
    <n v="15816"/>
    <s v="2025-11-06"/>
    <m/>
    <m/>
    <m/>
    <m/>
    <n v="2"/>
    <s v="TUNJA"/>
    <x v="2"/>
    <n v="49671.7"/>
    <n v="99343.4"/>
  </r>
  <r>
    <n v="45938"/>
    <s v="BARRIO CALLE PRINCIPAL BELLO 3"/>
    <n v="901246235"/>
    <s v="3108848215"/>
    <s v="3108848215"/>
    <s v="3108848215"/>
    <s v="CR 2 4 21 PISO 2,CENTRO"/>
    <s v="5.93757922"/>
    <s v="-73.51173628"/>
    <s v="BOYACÁ"/>
    <s v="TOGÜÍ"/>
    <s v="TOGÜÍ"/>
    <n v="15816"/>
    <s v="2025-11-06"/>
    <m/>
    <m/>
    <m/>
    <m/>
    <n v="2"/>
    <s v="TUNJA"/>
    <x v="2"/>
    <n v="49671.7"/>
    <n v="99343.4"/>
  </r>
  <r>
    <n v="51699"/>
    <s v="BARRIO LOS FUNDADORES VALLEDUPAR 4"/>
    <n v="80111622"/>
    <s v="3208663573"/>
    <s v="3208663573"/>
    <s v="3208663573"/>
    <s v="CR 3 3 56 ,CENTRO"/>
    <s v="5.93792558"/>
    <s v="-73.51361323"/>
    <s v="BOYACÁ"/>
    <s v="TOGÜÍ"/>
    <s v="TOGÜÍ"/>
    <n v="15816"/>
    <s v="2025-11-25"/>
    <m/>
    <m/>
    <m/>
    <m/>
    <n v="4"/>
    <s v="TUNJA"/>
    <x v="2"/>
    <n v="49671.7"/>
    <n v="198686.8"/>
  </r>
  <r>
    <n v="51038"/>
    <s v="BARRIO CENTRO VALLEDUPAR 24"/>
    <n v="900220829"/>
    <s v="3144918728"/>
    <s v="3144918728"/>
    <s v="3102828935"/>
    <s v="CR 3 NO.4-65,CENTRO"/>
    <s v="5.4361017"/>
    <s v="-73.2953529"/>
    <s v="BOYACÁ"/>
    <s v="VIRACACHÁ"/>
    <s v="VIRACACHÁ"/>
    <n v="15879"/>
    <s v="2025-11-13"/>
    <m/>
    <m/>
    <m/>
    <m/>
    <n v="2"/>
    <s v="TUNJA"/>
    <x v="2"/>
    <n v="49671.7"/>
    <n v="99343.4"/>
  </r>
  <r>
    <n v="38670"/>
    <s v=" BARRIO CENTRO VALLEDUPAR   20"/>
    <n v="806013052"/>
    <s v="3147269349"/>
    <s v="3147269349"/>
    <s v="3147269349"/>
    <s v="VRD ALEGRIAS FINCA LA TOMASITA - VDA ALEGRIAS,VDA ALEGRIAS"/>
    <s v="5.3069218"/>
    <s v="-75.4951145"/>
    <s v="CALDAS"/>
    <s v="ARANZAZU"/>
    <s v="ARANZAZU"/>
    <n v="17050"/>
    <s v="2025-11-20"/>
    <m/>
    <m/>
    <m/>
    <m/>
    <n v="2"/>
    <s v="MANIZALES"/>
    <x v="6"/>
    <n v="49671.7"/>
    <n v="99343.4"/>
  </r>
  <r>
    <n v="43270"/>
    <s v="BARRIO DON ALBERTO VALLEDUPAR"/>
    <n v="66862923"/>
    <s v="6666775"/>
    <s v="3117108230"/>
    <s v="3104064344"/>
    <s v="CR 4 N  14 25"/>
    <s v="4.99326067"/>
    <s v="-75.8127576"/>
    <s v="CALDAS"/>
    <s v="BELALCÁZAR"/>
    <s v="BELALCÁZAR"/>
    <n v="17088"/>
    <s v="2025-11-10"/>
    <m/>
    <m/>
    <m/>
    <m/>
    <n v="2"/>
    <s v="MANIZALES"/>
    <x v="6"/>
    <n v="49671.7"/>
    <n v="99343.4"/>
  </r>
  <r>
    <n v="43271"/>
    <s v="BARRIO LA GRANJA VALLEDUPAR 4"/>
    <n v="16212279"/>
    <m/>
    <s v="3218442632"/>
    <s v="3122904092"/>
    <s v=" CR 5 # 11 - 27"/>
    <s v="4.9930789"/>
    <s v="-75.8127991"/>
    <s v="CALDAS"/>
    <s v="BELALCÁZAR"/>
    <s v="BELALCÁZAR"/>
    <n v="17088"/>
    <s v="2025-11-10"/>
    <m/>
    <m/>
    <m/>
    <m/>
    <n v="2"/>
    <s v="MANIZALES"/>
    <x v="6"/>
    <n v="49671.7"/>
    <n v="99343.4"/>
  </r>
  <r>
    <n v="24759"/>
    <s v="BARRIO OBRERO III - VALLEDUPAR"/>
    <n v="93437085"/>
    <s v="3226370152"/>
    <s v="3226370152"/>
    <s v="3206424918"/>
    <s v="CORR HUISITO,HUISITO"/>
    <s v="2.5088820"/>
    <s v="-77.0632702"/>
    <s v="CAUCA"/>
    <s v="EL TAMBO"/>
    <s v="EL TAMBO"/>
    <n v="19256"/>
    <s v="2025-11-19"/>
    <m/>
    <m/>
    <m/>
    <m/>
    <n v="2"/>
    <s v="CALI"/>
    <x v="5"/>
    <n v="37313"/>
    <n v="74626"/>
  </r>
  <r>
    <n v="62622"/>
    <s v="BARRIO LAS PALMAS NADRID MADRID"/>
    <n v="900078103"/>
    <s v="3107919571"/>
    <s v="3107919571"/>
    <s v="3135451495"/>
    <s v="CGT HUISITO,HUISITO"/>
    <s v="2.5084243"/>
    <s v="-77.0642633"/>
    <s v="CAUCA"/>
    <s v="EL TAMBO"/>
    <s v="EL TAMBO"/>
    <n v="19256"/>
    <s v="2025-11-19"/>
    <m/>
    <m/>
    <m/>
    <m/>
    <n v="1"/>
    <s v="CALI"/>
    <x v="5"/>
    <n v="37313"/>
    <n v="37313"/>
  </r>
  <r>
    <n v="64784"/>
    <s v="BARRIO INSP SAN JUAN DEL LOZADA LA MACARENA"/>
    <n v="1075282651"/>
    <s v="3206057277"/>
    <s v="3017812835"/>
    <s v="3185186982"/>
    <s v="PIAGUA TAMBO,PIAGUA CORREGIMIENTO PIAGIA"/>
    <s v="2.4375919"/>
    <s v="-76.7738516"/>
    <s v="CAUCA"/>
    <s v="EL TAMBO"/>
    <s v="EL TAMBO"/>
    <n v="19256"/>
    <s v="2025-11-19"/>
    <m/>
    <m/>
    <m/>
    <m/>
    <n v="1"/>
    <s v="CALI"/>
    <x v="5"/>
    <n v="37313"/>
    <n v="37313"/>
  </r>
  <r>
    <n v="29998"/>
    <s v="BARRIO BELLO LA 2000 "/>
    <n v="901038123"/>
    <s v="3124039040"/>
    <s v="3124039040"/>
    <s v="3124039040"/>
    <s v="AV 4 NRO 10N-231 LT 2B,EL BOSQUE"/>
    <s v="7.9115108"/>
    <s v="-72.4988920"/>
    <s v="NORTE DE SANTANDER"/>
    <s v="CÚCUTA"/>
    <s v="CÚCUTA"/>
    <n v="54001"/>
    <s v="2025-11-21"/>
    <m/>
    <m/>
    <m/>
    <m/>
    <n v="3"/>
    <s v="CUCUTA"/>
    <x v="2"/>
    <n v="49671.7"/>
    <n v="149015.09999999998"/>
  </r>
  <r>
    <n v="13676"/>
    <s v="BARRIO VILLA DEL SOL BELLO"/>
    <n v="27978881"/>
    <s v="3218964932"/>
    <s v="3218964932"/>
    <s v="3218964632"/>
    <s v="CL 8 NRO 5-60 CC COOSACUT LOCAL 70 Y 72,EL CENTRO"/>
    <s v="7.8889570"/>
    <s v="-72.5050141"/>
    <s v="NORTE DE SANTANDER"/>
    <s v="CÚCUTA"/>
    <s v="CÚCUTA"/>
    <n v="54001"/>
    <s v="2025-11-27"/>
    <m/>
    <m/>
    <m/>
    <m/>
    <n v="4"/>
    <s v="CUCUTA"/>
    <x v="2"/>
    <n v="49671.7"/>
    <n v="198686.8"/>
  </r>
  <r>
    <n v="21147"/>
    <s v="BARRIO VALLE MESA - VALLEDUPAR"/>
    <n v="20803840"/>
    <s v="3107637314"/>
    <s v="3107637314"/>
    <s v="3107637314"/>
    <s v="KDX 1 A 3 MZ H LT 16,VALLES DE GIRON"/>
    <s v="7.8861876"/>
    <s v="-72.5432371"/>
    <s v="NORTE DE SANTANDER"/>
    <s v="CÚCUTA"/>
    <s v="CÚCUTA"/>
    <n v="54001"/>
    <s v="2025-11-21"/>
    <m/>
    <m/>
    <m/>
    <m/>
    <n v="2"/>
    <s v="CUCUTA"/>
    <x v="2"/>
    <n v="49671.7"/>
    <n v="99343.4"/>
  </r>
  <r>
    <n v="20581"/>
    <s v="BARRIO FUNDADORES IV VALLEDUPAR"/>
    <n v="49722200"/>
    <s v="3112489434"/>
    <s v="3112489434"/>
    <s v="3112489434"/>
    <s v="CL 9 7-97,EL CENTRO"/>
    <s v="7.8874362"/>
    <s v="-72.5071229"/>
    <s v="NORTE DE SANTANDER"/>
    <s v="CÚCUTA"/>
    <s v="CÚCUTA"/>
    <n v="54001"/>
    <s v="2025-11-20"/>
    <m/>
    <m/>
    <m/>
    <m/>
    <n v="3"/>
    <s v="CUCUTA"/>
    <x v="2"/>
    <n v="49671.7"/>
    <n v="149015.09999999998"/>
  </r>
  <r>
    <n v="14655"/>
    <s v="RISARALDA III - CALDAS"/>
    <n v="33945042"/>
    <s v="3114891992"/>
    <s v="3114891992"/>
    <s v="3114891992"/>
    <s v="AV 3 NRO 8 07,SAN LUIS"/>
    <s v="7.907245"/>
    <s v="-72.469535"/>
    <s v="NORTE DE SANTANDER"/>
    <s v="CÚCUTA"/>
    <s v="CÚCUTA"/>
    <n v="54001"/>
    <s v="2025-11-28"/>
    <m/>
    <m/>
    <m/>
    <m/>
    <n v="1"/>
    <s v="CUCUTA"/>
    <x v="2"/>
    <n v="49671.7"/>
    <n v="49671.7"/>
  </r>
  <r>
    <n v="50417"/>
    <s v="BARRIO CALLE PRINCIPAL RISARALDA"/>
    <n v="33945042"/>
    <s v="3209310273"/>
    <s v="3209310273"/>
    <s v="3112489434"/>
    <s v="CL 2 NRO 5-03,DOÑA CECI"/>
    <s v="7.8978950"/>
    <s v="-72.5270566"/>
    <s v="NORTE DE SANTANDER"/>
    <s v="CÚCUTA"/>
    <s v="CÚCUTA"/>
    <n v="54001"/>
    <s v="2025-11-24"/>
    <m/>
    <m/>
    <m/>
    <m/>
    <n v="1"/>
    <s v="CUCUTA"/>
    <x v="2"/>
    <n v="49671.7"/>
    <n v="49671.7"/>
  </r>
  <r>
    <n v="19652"/>
    <s v="BARRIO CENTRO IV VILLAMARIA"/>
    <n v="34000929"/>
    <s v="3702440"/>
    <s v="3004417355"/>
    <s v="3004417355"/>
    <s v=" CR 3B  3-75"/>
    <s v="9.2325073"/>
    <s v="-74.7438508"/>
    <s v="BOLÍVAR"/>
    <s v="MAGANGUÉ"/>
    <s v="MAGANGUÉ"/>
    <n v="13430"/>
    <s v="2025-11-26"/>
    <m/>
    <m/>
    <m/>
    <m/>
    <n v="1"/>
    <s v="CARTAGENA"/>
    <x v="1"/>
    <n v="49671.7"/>
    <n v="49671.7"/>
  </r>
  <r>
    <n v="32319"/>
    <s v="BARRIO LA PRADERA VILLAMARIA CALDAS"/>
    <n v="93383230"/>
    <s v="6877080"/>
    <s v="3013716949"/>
    <s v="3013716949"/>
    <s v=" CR 3  14 A-47 "/>
    <s v="9.2347657"/>
    <s v="-74.7444914"/>
    <s v="BOLÍVAR"/>
    <s v="MAGANGUÉ"/>
    <s v="MAGANGUÉ"/>
    <n v="13430"/>
    <s v="2025-11-26"/>
    <m/>
    <m/>
    <m/>
    <m/>
    <n v="1"/>
    <s v="CARTAGENA"/>
    <x v="1"/>
    <n v="49671.7"/>
    <n v="49671.7"/>
  </r>
  <r>
    <n v="30509"/>
    <s v="BARRIO VILLA DIANA FUNZA"/>
    <n v="52257154"/>
    <s v="3012344865"/>
    <s v="3012344865"/>
    <s v="3012344865"/>
    <s v="CR 4 14 87 P 2 AP 1,CENTRO"/>
    <s v="9.2346284"/>
    <s v="-74.7448498"/>
    <s v="BOLÍVAR"/>
    <s v="MAGANGUÉ"/>
    <s v="MAGANGUÉ"/>
    <n v="13430"/>
    <s v="2025-11-26"/>
    <m/>
    <m/>
    <m/>
    <m/>
    <n v="1"/>
    <s v="CARTAGENA"/>
    <x v="1"/>
    <n v="49671.7"/>
    <n v="49671.7"/>
  </r>
  <r>
    <n v="34733"/>
    <s v="BARRIO FUNZA FUNZA 2"/>
    <n v="79854361"/>
    <s v="7706321"/>
    <s v="3114845759"/>
    <s v="3114845759"/>
    <s v=" CL 11 B 17 73"/>
    <s v="5.7196316"/>
    <s v="-72.9333903"/>
    <s v="BOYACÁ"/>
    <s v="SOGAMOSO"/>
    <s v="SOGAMOSO"/>
    <n v="15759"/>
    <s v="2025-11-20"/>
    <m/>
    <m/>
    <m/>
    <m/>
    <n v="1"/>
    <s v="TUNJA"/>
    <x v="2"/>
    <n v="49671.7"/>
    <n v="49671.7"/>
  </r>
  <r>
    <n v="34442"/>
    <s v="BARRIO PROVIVIENDA FUNZA"/>
    <n v="79854361"/>
    <s v="7714089"/>
    <s v="3114845759"/>
    <s v="3114845759"/>
    <s v=" CR 11 7 64"/>
    <s v="5.7112"/>
    <s v="-72.933"/>
    <s v="BOYACÁ"/>
    <s v="SOGAMOSO"/>
    <s v="SOGAMOSO"/>
    <n v="15759"/>
    <s v="2025-11-20"/>
    <m/>
    <m/>
    <m/>
    <m/>
    <n v="1"/>
    <s v="TUNJA"/>
    <x v="2"/>
    <n v="49671.7"/>
    <n v="49671.7"/>
  </r>
  <r>
    <n v="34443"/>
    <s v="BARRIO FUNZA FUNZA 1"/>
    <n v="860090873"/>
    <s v="6495647"/>
    <s v="3114960922"/>
    <s v="3114960922"/>
    <s v="CR 14 # 6 -33"/>
    <s v="5.7120256"/>
    <s v="-72.9343568"/>
    <s v="BOYACÁ"/>
    <s v="SOGAMOSO"/>
    <s v="SOGAMOSO"/>
    <n v="15759"/>
    <s v="2025-11-12"/>
    <m/>
    <m/>
    <m/>
    <m/>
    <n v="1"/>
    <s v="TUNJA"/>
    <x v="2"/>
    <n v="49671.7"/>
    <n v="49671.7"/>
  </r>
  <r>
    <n v="80922"/>
    <s v="BARRIO CENTRO VILLA RICA 5"/>
    <n v="1007616390"/>
    <s v="3134039296"/>
    <s v="3103144794"/>
    <s v="3134039296"/>
    <s v="CL PRINCIPAL HUISITO,CL PRINCIPAL HUISITO"/>
    <s v="2.5084724"/>
    <s v="-77.0635772"/>
    <s v="CAUCA"/>
    <s v="EL TAMBO"/>
    <s v="EL TAMBO"/>
    <n v="19256"/>
    <s v="2025-11-19"/>
    <m/>
    <m/>
    <m/>
    <m/>
    <n v="1"/>
    <s v="CALI"/>
    <x v="5"/>
    <n v="37313"/>
    <n v="37313"/>
  </r>
  <r>
    <n v="35743"/>
    <s v="BARRIO CENTRO LA MESA 2"/>
    <n v="20865643"/>
    <s v="0"/>
    <s v="3152305754"/>
    <s v="3152305754"/>
    <s v="CR 2 NRO. 12 - 62 LOCAL 1"/>
    <s v="2.613051388"/>
    <s v="-76.3764505"/>
    <s v="CAUCA"/>
    <s v="SILVIA"/>
    <s v="SILVIA"/>
    <n v="19743"/>
    <s v="2025-11-07"/>
    <m/>
    <m/>
    <m/>
    <m/>
    <n v="1"/>
    <s v="CALI"/>
    <x v="5"/>
    <n v="37313"/>
    <n v="37313"/>
  </r>
  <r>
    <n v="77605"/>
    <s v="BARRIO VILLAS DEL NUEVO SIGLO LA MESA"/>
    <n v="20989428"/>
    <s v="3155219270"/>
    <s v="3155219270"/>
    <s v="3155219270"/>
    <s v="VRD PITAYO,VRD PITAYO"/>
    <s v="2.7135014"/>
    <s v="-76.3245340"/>
    <s v="CAUCA"/>
    <s v="SILVIA"/>
    <s v="SILVIA"/>
    <n v="19743"/>
    <s v="2025-11-07"/>
    <m/>
    <m/>
    <m/>
    <m/>
    <n v="1"/>
    <s v="CALI"/>
    <x v="5"/>
    <n v="37313"/>
    <n v="37313"/>
  </r>
  <r>
    <n v="32380"/>
    <s v="VEREDA SANTA ROSA 2 GUEPSA"/>
    <n v="901166630"/>
    <s v="8278093"/>
    <s v="3209864171"/>
    <s v="3217346704"/>
    <s v=" CR  18   16   53"/>
    <s v="2.3524055"/>
    <s v="-76.6834651"/>
    <s v="CAUCA"/>
    <s v="TIMBÍO"/>
    <s v="TIMBÍO"/>
    <n v="19807"/>
    <s v="2025-11-10"/>
    <m/>
    <m/>
    <m/>
    <m/>
    <n v="1"/>
    <s v="CALI"/>
    <x v="5"/>
    <n v="37313"/>
    <n v="37313"/>
  </r>
  <r>
    <n v="53986"/>
    <s v="BARRIO CENTRO PIEDECUESTA 5"/>
    <n v="91496409"/>
    <s v="0"/>
    <s v="3234476644"/>
    <s v="3234771137"/>
    <s v="CR 20 NO 18 - 71 BRR OSPINA PEREZ,OSPINA PEREZ"/>
    <s v="2.3544706"/>
    <s v="-76.6844575"/>
    <s v="CAUCA"/>
    <s v="TIMBÍO"/>
    <s v="TIMBÍO"/>
    <n v="19807"/>
    <s v="2025-11-10"/>
    <m/>
    <m/>
    <m/>
    <m/>
    <n v="1"/>
    <s v="CALI"/>
    <x v="5"/>
    <n v="37313"/>
    <n v="37313"/>
  </r>
  <r>
    <n v="53987"/>
    <s v="BARRIO SAN RAFAEL PIEDECUESTA 3"/>
    <n v="91496409"/>
    <s v="5840832"/>
    <s v="3215393403"/>
    <s v="3215393403"/>
    <s v="TRANSVERSAL 9 10A 34 APARTAMENTO 01 BARRIO SANTA CLARA"/>
    <s v="8.88694029"/>
    <s v="-75.79063056"/>
    <s v="CÓRDOBA"/>
    <s v="CERETÉ"/>
    <s v="CERETÉ"/>
    <n v="23162"/>
    <s v="2025-11-12"/>
    <m/>
    <m/>
    <m/>
    <m/>
    <n v="1"/>
    <s v="MONTERIA"/>
    <x v="1"/>
    <n v="37313"/>
    <n v="37313"/>
  </r>
  <r>
    <n v="53988"/>
    <s v="BARRIO HOYO GRANDE PIEDECUESTA"/>
    <n v="91496409"/>
    <s v="7641234"/>
    <s v="3126695038"/>
    <s v="3126695038"/>
    <s v=" CR 14 13 20"/>
    <s v="8.88694029"/>
    <s v="-75.79063056"/>
    <s v="CÓRDOBA"/>
    <s v="CERETÉ"/>
    <s v="CERETÉ"/>
    <n v="23162"/>
    <s v="2025-11-24"/>
    <m/>
    <m/>
    <m/>
    <m/>
    <n v="1"/>
    <s v="MONTERIA"/>
    <x v="1"/>
    <n v="37313"/>
    <n v="37313"/>
  </r>
  <r>
    <n v="53989"/>
    <s v="BARRIO PINARES DE GRANADA PIEDECUESTA"/>
    <n v="91496409"/>
    <s v="7744017"/>
    <s v="3107190368"/>
    <s v="3107190368"/>
    <s v=" CL 14 15 13"/>
    <s v="8.8881047"/>
    <s v="-75.7920633"/>
    <s v="CÓRDOBA"/>
    <s v="CERETÉ"/>
    <s v="CERETÉ"/>
    <n v="23162"/>
    <s v="2025-11-12"/>
    <m/>
    <m/>
    <m/>
    <m/>
    <n v="1"/>
    <s v="MONTERIA"/>
    <x v="1"/>
    <n v="37313"/>
    <n v="37313"/>
  </r>
  <r>
    <n v="77022"/>
    <s v="BARRIO OBRERO LA UNIO"/>
    <n v="1085304724"/>
    <s v="3126231555"/>
    <s v="3126231555"/>
    <s v="3145243021"/>
    <s v="CL 9A 14 - 92 BRR LA ESPERANZA"/>
    <s v="8.8824914"/>
    <s v="-75.7902830"/>
    <s v="CÓRDOBA"/>
    <s v="CERETÉ"/>
    <s v="CERETÉ"/>
    <n v="23162"/>
    <s v="2025-11-20"/>
    <m/>
    <m/>
    <m/>
    <m/>
    <n v="1"/>
    <s v="MONTERIA"/>
    <x v="1"/>
    <n v="37313"/>
    <n v="37313"/>
  </r>
  <r>
    <n v="71552"/>
    <s v="BARRIO VEREDA PLANADAS FINCA CAMPO VERDE PIEDECUESTA"/>
    <n v="1102359107"/>
    <s v="3002659903"/>
    <s v="3002659903"/>
    <s v="3002659903"/>
    <s v="CL 14 12 52,CENTRO"/>
    <s v="8.8885035"/>
    <s v="-75.7902537"/>
    <s v="CÓRDOBA"/>
    <s v="CERETÉ"/>
    <s v="CERETÉ"/>
    <n v="23162"/>
    <s v="2025-11-21"/>
    <m/>
    <m/>
    <m/>
    <m/>
    <n v="1"/>
    <s v="MONTERIA"/>
    <x v="1"/>
    <n v="37313"/>
    <n v="37313"/>
  </r>
  <r>
    <n v="13126"/>
    <s v="BARRIO SANTA ISABEL - PALMIRA "/>
    <n v="94319765"/>
    <s v="3234385083"/>
    <s v="3234385083"/>
    <s v="3234385083"/>
    <s v="CR 11 A 15 24 LOC 2,SANTA CLARA"/>
    <s v="8.889278"/>
    <s v="-75.789337"/>
    <s v="CÓRDOBA"/>
    <s v="CERETÉ"/>
    <s v="CERETÉ"/>
    <n v="23162"/>
    <s v="2025-11-24"/>
    <m/>
    <m/>
    <m/>
    <m/>
    <n v="4"/>
    <s v="MONTERIA"/>
    <x v="1"/>
    <n v="37313"/>
    <n v="149252"/>
  </r>
  <r>
    <n v="80952"/>
    <s v="BARRIO ALTAMIRA PALMIRA 3"/>
    <n v="1113628789"/>
    <s v="3008142879"/>
    <s v="3008142879"/>
    <s v="3008142879"/>
    <s v="CR 15 CL 10 62 LC 3,LA ESPERANZA"/>
    <s v="8.884695"/>
    <s v="-75.790536"/>
    <s v="CÓRDOBA"/>
    <s v="CERETÉ"/>
    <s v="CERETÉ"/>
    <n v="23162"/>
    <s v="2025-11-20"/>
    <m/>
    <m/>
    <m/>
    <m/>
    <n v="3"/>
    <s v="MONTERIA"/>
    <x v="1"/>
    <n v="37313"/>
    <n v="111939"/>
  </r>
  <r>
    <n v="71966"/>
    <s v="PALMIRA EL RECREO"/>
    <n v="1113695474"/>
    <s v="3104166537"/>
    <s v="3022105311"/>
    <s v="3104166537"/>
    <s v="CL 6 A SUR KR 10 43 BRR ORO BLANCO,CORREGIMIENTO EL CAÑITO"/>
    <s v="8.8701114"/>
    <s v="-75.8178440"/>
    <s v="CÓRDOBA"/>
    <s v="CERETÉ"/>
    <s v="CERETÉ"/>
    <n v="23162"/>
    <s v="2025-11-20"/>
    <m/>
    <m/>
    <m/>
    <m/>
    <n v="2"/>
    <s v="MONTERIA"/>
    <x v="1"/>
    <n v="37313"/>
    <n v="74626"/>
  </r>
  <r>
    <n v="69068"/>
    <s v="BARRIO LA ESPERANZA PALMIRA 1"/>
    <n v="1113682948"/>
    <s v="3114153873"/>
    <s v="3114153873"/>
    <s v="3114153873"/>
    <s v="CR 2 A 1C 195,VEREDA EL ZAPAL"/>
    <s v="8.9269212"/>
    <s v="-75.7663698"/>
    <s v="CÓRDOBA"/>
    <s v="CERETÉ"/>
    <s v="CERETÉ"/>
    <n v="23162"/>
    <s v="2025-11-04"/>
    <m/>
    <m/>
    <m/>
    <m/>
    <n v="2"/>
    <s v="MONTERIA"/>
    <x v="1"/>
    <n v="37313"/>
    <n v="74626"/>
  </r>
  <r>
    <n v="60371"/>
    <s v="BARRIO NUEVO PALMIRA 1"/>
    <n v="1114873804"/>
    <s v="3014396700"/>
    <s v="3014396700"/>
    <s v="3014396700"/>
    <s v="CR 14 9A 4,LA ESPERANZA"/>
    <s v="8.8822459"/>
    <s v="-75.7894973"/>
    <s v="CÓRDOBA"/>
    <s v="CERETÉ"/>
    <s v="CERETÉ"/>
    <n v="23162"/>
    <s v="2025-11-24"/>
    <m/>
    <m/>
    <m/>
    <m/>
    <n v="2"/>
    <s v="MONTERIA"/>
    <x v="1"/>
    <n v="37313"/>
    <n v="74626"/>
  </r>
  <r>
    <n v="52649"/>
    <s v="BARRIO BARRIO EL RECREO PALMIRA"/>
    <n v="32754406"/>
    <s v="3108681851"/>
    <s v="3108681851"/>
    <s v="3108681851"/>
    <s v="CL 17A NRO 25 98,GAITAN"/>
    <s v="7.8799267"/>
    <s v="-72.5251109"/>
    <s v="NORTE DE SANTANDER"/>
    <s v="CÚCUTA"/>
    <s v="CÚCUTA"/>
    <n v="54001"/>
    <s v="2025-11-21"/>
    <m/>
    <m/>
    <m/>
    <m/>
    <n v="2"/>
    <s v="CUCUTA"/>
    <x v="2"/>
    <n v="49671.7"/>
    <n v="99343.4"/>
  </r>
  <r>
    <n v="40667"/>
    <s v="BARRIO LAS AMERICAS PALMIRA"/>
    <n v="66776045"/>
    <s v="3112267474"/>
    <s v="3112267474"/>
    <s v="3112267474"/>
    <s v="MZ D1 CASA 26,URB TORCOROMA 3"/>
    <s v="7.890130"/>
    <s v="-72.472229"/>
    <s v="NORTE DE SANTANDER"/>
    <s v="CÚCUTA"/>
    <s v="CÚCUTA"/>
    <n v="54001"/>
    <s v="2025-11-27"/>
    <m/>
    <m/>
    <m/>
    <m/>
    <n v="2"/>
    <s v="CUCUTA"/>
    <x v="2"/>
    <n v="49671.7"/>
    <n v="99343.4"/>
  </r>
  <r>
    <n v="39487"/>
    <s v="BARRIO CENTRO SANTANDER DE QUILICHAO 6"/>
    <n v="890306372"/>
    <s v="3125777194"/>
    <s v="3125777194"/>
    <s v="3125777194"/>
    <s v="CL 17 NRO 19 159,VALLESTER"/>
    <s v="7.885025"/>
    <s v="-72.469420"/>
    <s v="NORTE DE SANTANDER"/>
    <s v="CÚCUTA"/>
    <s v="CÚCUTA"/>
    <n v="54001"/>
    <s v="2025-11-21"/>
    <m/>
    <m/>
    <m/>
    <m/>
    <n v="1"/>
    <s v="CUCUTA"/>
    <x v="2"/>
    <n v="49671.7"/>
    <n v="49671.7"/>
  </r>
  <r>
    <n v="41420"/>
    <s v="BARRIO CENTRO SANTNADER DE QUILICHAO"/>
    <n v="901148765"/>
    <s v="3107877898"/>
    <s v="3107877898"/>
    <s v="3105679817"/>
    <s v="CL 17 NRO 15 57,LA LIBERTAD"/>
    <s v="7.886251"/>
    <s v="-72.4737540"/>
    <s v="NORTE DE SANTANDER"/>
    <s v="CÚCUTA"/>
    <s v="CÚCUTA"/>
    <n v="54001"/>
    <s v="2025-11-21"/>
    <m/>
    <m/>
    <m/>
    <m/>
    <n v="1"/>
    <s v="CUCUTA"/>
    <x v="2"/>
    <n v="49671.7"/>
    <n v="49671.7"/>
  </r>
  <r>
    <n v="65767"/>
    <s v="BARRIO LA MAGDALENA CORREGIMIENTO CASTILLA COYAIMA"/>
    <n v="1109492676"/>
    <s v="3204264500"/>
    <s v="3204264500"/>
    <s v="3204264500"/>
    <s v="CR 12 55 12,GUSTAVO JIMÉNEZ"/>
    <s v="5.7550110"/>
    <s v="-72.9081850"/>
    <s v="BOYACÁ"/>
    <s v="SOGAMOSO"/>
    <s v="SOGAMOSO"/>
    <n v="15759"/>
    <s v="2025-11-18"/>
    <m/>
    <m/>
    <m/>
    <m/>
    <n v="1"/>
    <s v="TUNJA"/>
    <x v="2"/>
    <n v="49671.7"/>
    <n v="49671.7"/>
  </r>
  <r>
    <n v="77431"/>
    <s v="BARRIO VILLA LUCIA YOPAL 3"/>
    <n v="1118554266"/>
    <s v="3202334107"/>
    <s v="3107694581"/>
    <s v="3202334107"/>
    <s v="CR 26 16 08,EL CARMEN"/>
    <s v="5.725"/>
    <s v="-72.939"/>
    <s v="BOYACÁ"/>
    <s v="SOGAMOSO"/>
    <s v="SOGAMOSO"/>
    <n v="15759"/>
    <s v="2025-11-18"/>
    <m/>
    <m/>
    <m/>
    <m/>
    <n v="2"/>
    <s v="TUNJA"/>
    <x v="2"/>
    <n v="49671.7"/>
    <n v="99343.4"/>
  </r>
  <r>
    <n v="74556"/>
    <s v="BARRIO CORREGIMIENTO 1 LA CHAPARRERA YOPAL"/>
    <n v="47440525"/>
    <s v="3214227877"/>
    <s v="3214227877"/>
    <s v="3214227877"/>
    <s v="CR 17 NO.2-99,LOS ARRAYANES"/>
    <s v="5.7102"/>
    <s v="-72.938"/>
    <s v="BOYACÁ"/>
    <s v="SOGAMOSO"/>
    <s v="SOGAMOSO"/>
    <n v="15759"/>
    <s v="2025-11-21"/>
    <m/>
    <m/>
    <m/>
    <m/>
    <n v="1"/>
    <s v="TUNJA"/>
    <x v="2"/>
    <n v="49671.7"/>
    <n v="49671.7"/>
  </r>
  <r>
    <n v="34137"/>
    <s v="BARRIO NUEVO HABITAT II YOPAL"/>
    <n v="1121823729"/>
    <s v="3173793909"/>
    <s v="3015068183"/>
    <s v="3008668042"/>
    <s v="CR 15 A 8-9 ,EL SOCORRO"/>
    <s v="8.8801461"/>
    <s v="-75.7918971"/>
    <s v="CÓRDOBA"/>
    <s v="CERETÉ"/>
    <s v="CERETÉ"/>
    <n v="23162"/>
    <s v="2025-11-24"/>
    <m/>
    <m/>
    <m/>
    <m/>
    <n v="2"/>
    <s v="MONTERIA"/>
    <x v="1"/>
    <n v="37313"/>
    <n v="74626"/>
  </r>
  <r>
    <n v="37695"/>
    <s v="BARRIO EL CENTRO YOPAL 1"/>
    <n v="9431245"/>
    <s v="3241258074"/>
    <s v="3022105311"/>
    <s v="3104166537"/>
    <s v="CR 27 2-97 C EL QUEMADO CORREGIMIENTO EL QUEMAO"/>
    <s v="8.8698886"/>
    <s v="-75.8180063"/>
    <s v="CÓRDOBA"/>
    <s v="CERETÉ"/>
    <s v="CERETÉ"/>
    <n v="23162"/>
    <s v="2025-11-24"/>
    <m/>
    <m/>
    <m/>
    <m/>
    <n v="1"/>
    <s v="MONTERIA"/>
    <x v="1"/>
    <n v="37313"/>
    <n v="37313"/>
  </r>
  <r>
    <n v="37184"/>
    <s v="BARRIO PROVIVIENDA YOPAL"/>
    <n v="41329247"/>
    <s v="7685047"/>
    <s v="3205722517"/>
    <s v="3205722517"/>
    <s v=" CL 11  16-05"/>
    <s v="8.1722085"/>
    <s v="-76.0591918"/>
    <s v="CÓRDOBA"/>
    <s v="TIERRALTA"/>
    <s v="TIERRALTA"/>
    <n v="23807"/>
    <s v="2025-11-07"/>
    <m/>
    <m/>
    <m/>
    <m/>
    <n v="2"/>
    <s v="MONTERIA"/>
    <x v="1"/>
    <n v="37313"/>
    <n v="74626"/>
  </r>
  <r>
    <n v="33768"/>
    <s v="BARRIO CASIMENA I YOPAL"/>
    <n v="88177710"/>
    <s v="3004559451"/>
    <s v="3004559451"/>
    <s v="3004559451"/>
    <s v="CR 16 18 46,BRR ESCOLAR"/>
    <s v="8.1710144"/>
    <s v="-76.0571019"/>
    <s v="CÓRDOBA"/>
    <s v="TIERRALTA"/>
    <s v="TIERRALTA"/>
    <n v="23807"/>
    <s v="2025-11-06"/>
    <m/>
    <m/>
    <m/>
    <m/>
    <n v="2"/>
    <s v="MONTERIA"/>
    <x v="1"/>
    <n v="37313"/>
    <n v="74626"/>
  </r>
  <r>
    <n v="22910"/>
    <s v="BARRIO CENTRO - BITUIMA"/>
    <n v="20398498"/>
    <s v="3126501395"/>
    <s v="3126501395"/>
    <s v="3126501395"/>
    <s v="CL 19 19 E 12,SAN CARLOS"/>
    <s v="8.1639650"/>
    <s v="-76.0610517"/>
    <s v="CÓRDOBA"/>
    <s v="TIERRALTA"/>
    <s v="TIERRALTA"/>
    <n v="23807"/>
    <s v="2025-11-06"/>
    <m/>
    <m/>
    <m/>
    <m/>
    <n v="1"/>
    <s v="MONTERIA"/>
    <x v="1"/>
    <n v="37313"/>
    <n v="37313"/>
  </r>
  <r>
    <n v="43552"/>
    <s v="BARRIO ESQUINA PARROQUIA BITUIMA"/>
    <n v="11442555"/>
    <s v="3116827436"/>
    <s v="3116827436"/>
    <m/>
    <s v="CL 10 17 - 51,19 DE MARZO"/>
    <s v="8.1719130"/>
    <s v="-76.0611182"/>
    <s v="CÓRDOBA"/>
    <s v="TIERRALTA"/>
    <s v="TIERRALTA"/>
    <n v="23807"/>
    <s v="2025-11-06"/>
    <m/>
    <m/>
    <m/>
    <m/>
    <n v="1"/>
    <s v="MONTERIA"/>
    <x v="1"/>
    <n v="37313"/>
    <n v="37313"/>
  </r>
  <r>
    <n v="32607"/>
    <s v="BARRIO CENTRO COGUA 1"/>
    <n v="80550629"/>
    <s v="3204633648"/>
    <s v="3204633648"/>
    <s v="3204633648"/>
    <s v="CL 10 CR 43 - 10 SBN,LAS BALSAS"/>
    <s v="8.1622709"/>
    <s v="-76.0718593"/>
    <s v="CÓRDOBA"/>
    <s v="TIERRALTA"/>
    <s v="TIERRALTA"/>
    <n v="23807"/>
    <s v="2025-11-06"/>
    <m/>
    <m/>
    <m/>
    <m/>
    <n v="1"/>
    <s v="MONTERIA"/>
    <x v="1"/>
    <n v="37313"/>
    <n v="37313"/>
  </r>
  <r>
    <n v="74258"/>
    <s v="BARRIO SUTATAUSA VRD PENAS DE BOQUERON"/>
    <n v="1076667973"/>
    <s v="3112325433"/>
    <s v="3134717439"/>
    <s v="3134717439"/>
    <s v="AV 3 NRO 12-36,MOTILONES"/>
    <s v="7.9205899"/>
    <s v="-72.5220595"/>
    <s v="NORTE DE SANTANDER"/>
    <s v="CÚCUTA"/>
    <s v="CÚCUTA"/>
    <n v="54001"/>
    <s v="2025-11-21"/>
    <m/>
    <m/>
    <m/>
    <m/>
    <n v="1"/>
    <s v="CUCUTA"/>
    <x v="2"/>
    <n v="49671.7"/>
    <n v="49671.7"/>
  </r>
  <r>
    <n v="11088"/>
    <s v="SANTA ROSA DE VITERBO - BOYACA"/>
    <n v="46456606"/>
    <s v="3214575984"/>
    <s v="3214575984"/>
    <s v="3214575984"/>
    <s v="AV 7 NRO 2N 26,SEVILLA"/>
    <s v="7.9008863"/>
    <s v="-72.5074553"/>
    <s v="NORTE DE SANTANDER"/>
    <s v="CÚCUTA"/>
    <s v="CÚCUTA"/>
    <n v="54001"/>
    <s v="2025-11-24"/>
    <m/>
    <m/>
    <m/>
    <m/>
    <n v="1"/>
    <s v="CUCUTA"/>
    <x v="2"/>
    <n v="49671.7"/>
    <n v="49671.7"/>
  </r>
  <r>
    <n v="48358"/>
    <s v="BARRIO CENTRO SANTA ROSA DE VITERBO 4"/>
    <n v="901379238"/>
    <s v="3204262072"/>
    <s v="3232371506"/>
    <s v="3204262072"/>
    <s v="AV 25 NRO 22 97,GAITAN"/>
    <s v="7.8767715"/>
    <s v="-72.5246500"/>
    <s v="NORTE DE SANTANDER"/>
    <s v="CÚCUTA"/>
    <s v="CÚCUTA"/>
    <n v="54001"/>
    <s v="2025-11-21"/>
    <m/>
    <m/>
    <m/>
    <m/>
    <n v="1"/>
    <s v="CUCUTA"/>
    <x v="2"/>
    <n v="49671.7"/>
    <n v="49671.7"/>
  </r>
  <r>
    <n v="50336"/>
    <s v="BARRIO LA UNION SANTA ROSA DE VITERBO"/>
    <n v="74301286"/>
    <s v="3214227877"/>
    <s v="3214227877"/>
    <s v="3214227877"/>
    <s v="CL 11 NO.26-05, BR VALDES TABERA"/>
    <s v="5.721"/>
    <s v="-72.939"/>
    <s v="BOYACÁ"/>
    <s v="SOGAMOSO"/>
    <s v="SOGAMOSO"/>
    <n v="15759"/>
    <s v="2025-11-21"/>
    <m/>
    <m/>
    <m/>
    <m/>
    <n v="1"/>
    <s v="TUNJA"/>
    <x v="2"/>
    <n v="49671.7"/>
    <n v="49671.7"/>
  </r>
  <r>
    <n v="53819"/>
    <s v="BARRIO CENTRO SANTA ROSA DE VITERBO 6"/>
    <n v="74301286"/>
    <s v="7752509"/>
    <s v="3185496771"/>
    <s v="3226425027"/>
    <s v=" CL 22 11 2 BIS 20  EL LAGUITO"/>
    <s v="5.7247820"/>
    <s v="-72.9236890"/>
    <s v="BOYACÁ"/>
    <s v="SOGAMOSO"/>
    <s v="SOGAMOSO"/>
    <n v="15759"/>
    <s v="2025-11-18"/>
    <m/>
    <m/>
    <m/>
    <m/>
    <n v="1"/>
    <s v="TUNJA"/>
    <x v="2"/>
    <n v="49671.7"/>
    <n v="49671.7"/>
  </r>
  <r>
    <n v="74576"/>
    <s v="BARRIO CENTRO SANTA ROSA DE VITERBO 9"/>
    <n v="1052400758"/>
    <s v="7712618"/>
    <s v="3213858112"/>
    <s v="3213858112"/>
    <s v=" CR 23 2 110"/>
    <s v="5.7094"/>
    <s v="-72.940"/>
    <s v="BOYACÁ"/>
    <s v="SOGAMOSO"/>
    <s v="SOGAMOSO"/>
    <n v="15759"/>
    <s v="2025-11-20"/>
    <m/>
    <m/>
    <m/>
    <m/>
    <n v="1"/>
    <s v="TUNJA"/>
    <x v="2"/>
    <n v="49671.7"/>
    <n v="49671.7"/>
  </r>
  <r>
    <n v="72679"/>
    <s v="SOTAQUIRA EL RECUERDO"/>
    <n v="1026254765"/>
    <s v="7701978"/>
    <s v="3133868803"/>
    <s v="3133868803"/>
    <s v=" CR 14 14 01"/>
    <s v="5.7188"/>
    <s v="-72.9293"/>
    <s v="BOYACÁ"/>
    <s v="SOGAMOSO"/>
    <s v="SOGAMOSO"/>
    <n v="15759"/>
    <s v="2025-11-20"/>
    <m/>
    <m/>
    <m/>
    <m/>
    <n v="1"/>
    <s v="TUNJA"/>
    <x v="2"/>
    <n v="49671.7"/>
    <n v="49671.7"/>
  </r>
  <r>
    <n v="78814"/>
    <s v="BARRIO VEREDA BOSIGAS SOTAQUIRÁ"/>
    <n v="24124969"/>
    <s v="7740687"/>
    <s v="3114845759"/>
    <s v="3114845759"/>
    <s v=" CR 18 9 19"/>
    <s v="5.71"/>
    <s v="-72.93"/>
    <s v="BOYACÁ"/>
    <s v="SOGAMOSO"/>
    <s v="SOGAMOSO"/>
    <n v="15759"/>
    <s v="2025-11-21"/>
    <m/>
    <m/>
    <m/>
    <m/>
    <n v="1"/>
    <s v="TUNJA"/>
    <x v="2"/>
    <n v="49671.7"/>
    <n v="49671.7"/>
  </r>
  <r>
    <n v="53962"/>
    <s v="BARRIO COMPRORIENTE TIBASOSA"/>
    <n v="74326787"/>
    <s v="7732815"/>
    <s v="3103406407"/>
    <s v="3103406407"/>
    <s v=" CL 4 7 03"/>
    <s v="5.5018876"/>
    <s v="-73.3348425"/>
    <s v="BOYACÁ"/>
    <s v="SORACÁ"/>
    <s v="SORACÁ"/>
    <n v="15764"/>
    <s v="2025-11-24"/>
    <m/>
    <m/>
    <m/>
    <m/>
    <n v="1"/>
    <s v="TUNJA"/>
    <x v="2"/>
    <n v="49671.7"/>
    <n v="49671.7"/>
  </r>
  <r>
    <n v="55441"/>
    <s v="BARRIO COOMPRORIENTE TIBASOSA"/>
    <n v="74301286"/>
    <s v="3114086668"/>
    <s v="3145861145"/>
    <s v="3114086668"/>
    <s v="CR 23 10 55,BRR 19 DE MARZO"/>
    <s v="8.1694109"/>
    <s v="-76.063424"/>
    <s v="CÓRDOBA"/>
    <s v="TIERRALTA"/>
    <s v="TIERRALTA"/>
    <n v="23807"/>
    <s v="2025-11-06"/>
    <m/>
    <m/>
    <m/>
    <m/>
    <n v="1"/>
    <s v="MONTERIA"/>
    <x v="1"/>
    <n v="37313"/>
    <n v="37313"/>
  </r>
  <r>
    <n v="72255"/>
    <s v="TIBASOSA VEREDA SANTA TERESA"/>
    <n v="901123631"/>
    <s v="3196338275"/>
    <s v="3196338275"/>
    <s v="3196338275"/>
    <s v="CR 17 #9 F-21 BRR EL POBLADO"/>
    <s v="4.721773"/>
    <s v="-74.229827"/>
    <s v="CUNDINAMARCA"/>
    <s v="MOSQUERA"/>
    <s v="MOSQUERA"/>
    <n v="25473"/>
    <s v="2025-11-11"/>
    <m/>
    <m/>
    <m/>
    <m/>
    <n v="1"/>
    <s v="BOGOTA"/>
    <x v="4"/>
    <n v="37313"/>
    <n v="37313"/>
  </r>
  <r>
    <n v="80380"/>
    <s v="BARRIO EL PARAISO ALFEREZ REAL MANIZALES"/>
    <n v="30334379"/>
    <s v="0"/>
    <s v="3197196557"/>
    <s v="3197196557"/>
    <s v="CR 3 13 12 C.C EL TREBOL LC 54,CC EL TREBOL"/>
    <s v="4.7111342"/>
    <s v="-74.2225731"/>
    <s v="CUNDINAMARCA"/>
    <s v="MOSQUERA"/>
    <s v="MOSQUERA"/>
    <n v="25473"/>
    <s v="2025-11-28"/>
    <m/>
    <m/>
    <m/>
    <m/>
    <n v="1"/>
    <s v="BOGOTA"/>
    <x v="4"/>
    <n v="37313"/>
    <n v="37313"/>
  </r>
  <r>
    <n v="73808"/>
    <s v="BARRIO ENEA MANIZALES 5"/>
    <n v="34000628"/>
    <s v="3227606722"/>
    <s v="3227606722"/>
    <s v="3227606722"/>
    <s v="CR 3 21 24 LC 2 BRR EL CABRERO"/>
    <s v="4.7133989"/>
    <s v="-74.2186155"/>
    <s v="CUNDINAMARCA"/>
    <s v="MOSQUERA"/>
    <s v="MOSQUERA"/>
    <n v="25473"/>
    <s v="2025-11-20"/>
    <m/>
    <m/>
    <m/>
    <m/>
    <n v="2"/>
    <s v="BOGOTA"/>
    <x v="4"/>
    <n v="37313"/>
    <n v="74626"/>
  </r>
  <r>
    <n v="64755"/>
    <s v="BARRIO FATIMA MANIZALES 6"/>
    <n v="1053810080"/>
    <s v="3166881824"/>
    <s v="3166881824"/>
    <s v="3166881824"/>
    <s v="CL 17 10 B 41 IN 2 BRR SANTELMO.SANTELMO"/>
    <s v="4.7174756"/>
    <s v="-74.2241565"/>
    <s v="CUNDINAMARCA"/>
    <s v="MOSQUERA"/>
    <s v="MOSQUERA"/>
    <n v="25473"/>
    <s v="2025-11-24"/>
    <m/>
    <m/>
    <m/>
    <m/>
    <n v="1"/>
    <s v="BOGOTA"/>
    <x v="4"/>
    <n v="37313"/>
    <n v="37313"/>
  </r>
  <r>
    <n v="67736"/>
    <s v="BARRIO CHAPINERO MANIZALES"/>
    <n v="1053813691"/>
    <s v="3017065954"/>
    <s v="3017065954"/>
    <s v="3017065954"/>
    <s v="CL 11 A 12 04 LOCAL 3"/>
    <s v="4.6903431"/>
    <s v="-74.1712793"/>
    <s v="CUNDINAMARCA"/>
    <s v="MOSQUERA"/>
    <s v="MOSQUERA"/>
    <n v="25473"/>
    <s v="2025-11-14"/>
    <m/>
    <m/>
    <m/>
    <m/>
    <n v="1"/>
    <s v="BOGOTA"/>
    <x v="4"/>
    <n v="37313"/>
    <n v="37313"/>
  </r>
  <r>
    <n v="51031"/>
    <s v="BARRIO BOSQUE MANIZALES"/>
    <n v="75084799"/>
    <s v="3206852307"/>
    <s v="3206852307"/>
    <s v="3206852307"/>
    <s v="CR 8 A 17 A 18,VILLA MARIA ET 4"/>
    <s v="4.7159289"/>
    <s v="-74.2225642"/>
    <s v="CUNDINAMARCA"/>
    <s v="MOSQUERA"/>
    <s v="MOSQUERA"/>
    <n v="25473"/>
    <s v="2025-11-24"/>
    <m/>
    <m/>
    <m/>
    <m/>
    <n v="1"/>
    <s v="BOGOTA"/>
    <x v="4"/>
    <n v="37313"/>
    <n v="37313"/>
  </r>
  <r>
    <n v="46202"/>
    <s v="BARRIO ALTA SUIZA"/>
    <n v="1019021882"/>
    <s v="3225129622"/>
    <s v="3225129622"/>
    <s v="3225129622"/>
    <s v="CL 14 NRO 17 38,SAN JOSE"/>
    <s v="7.8807525"/>
    <s v="-72.5159835"/>
    <s v="NORTE DE SANTANDER"/>
    <s v="CÚCUTA"/>
    <s v="CÚCUTA"/>
    <n v="54001"/>
    <s v="2025-11-20"/>
    <m/>
    <m/>
    <m/>
    <m/>
    <n v="1"/>
    <s v="CUCUTA"/>
    <x v="2"/>
    <n v="49671.7"/>
    <n v="49671.7"/>
  </r>
  <r>
    <n v="36361"/>
    <s v="BARRIO AGUSTINOS MANIZALES"/>
    <n v="75088769"/>
    <s v="3133397427"/>
    <s v="3133397427"/>
    <s v="3133397427"/>
    <s v="AV 11 10 28,EL LLANO"/>
    <s v="7.8855004"/>
    <s v="-72.5100005"/>
    <s v="NORTE DE SANTANDER"/>
    <s v="CÚCUTA"/>
    <s v="CÚCUTA"/>
    <n v="54001"/>
    <s v="2025-11-20"/>
    <m/>
    <m/>
    <m/>
    <m/>
    <n v="1"/>
    <s v="CUCUTA"/>
    <x v="2"/>
    <n v="49671.7"/>
    <n v="49671.7"/>
  </r>
  <r>
    <n v="36667"/>
    <s v="BARRIO CENTRO MANIZALES 3"/>
    <n v="75088769"/>
    <s v="3123780109"/>
    <s v="3123780109"/>
    <s v="3123780109"/>
    <s v="CL 10B #12B - 23 URB ANIVERSARIO 1"/>
    <s v="7.8914389"/>
    <s v="-72.4763404"/>
    <s v="NORTE DE SANTANDER"/>
    <s v="CÚCUTA"/>
    <s v="CÚCUTA"/>
    <n v="54001"/>
    <s v="2025-11-20"/>
    <m/>
    <m/>
    <m/>
    <m/>
    <n v="1"/>
    <s v="CUCUTA"/>
    <x v="2"/>
    <n v="49671.7"/>
    <n v="49671.7"/>
  </r>
  <r>
    <n v="25757"/>
    <s v="BARRIO FATIMA MANIZALES"/>
    <n v="25158336"/>
    <s v="3143706323"/>
    <s v="3232042878"/>
    <s v="3232042878"/>
    <s v="CL 9 NRO 6-43 LC 116,CENTRO"/>
    <s v="7.8873658"/>
    <s v="-72.5056657"/>
    <s v="NORTE DE SANTANDER"/>
    <s v="CÚCUTA"/>
    <s v="CÚCUTA"/>
    <n v="54001"/>
    <s v="2025-11-25"/>
    <m/>
    <m/>
    <m/>
    <m/>
    <n v="1"/>
    <s v="CUCUTA"/>
    <x v="2"/>
    <n v="49671.7"/>
    <n v="49671.7"/>
  </r>
  <r>
    <n v="15094"/>
    <s v="BARRIO BLOQUES DE NORTE MANIZALES"/>
    <n v="15987417"/>
    <s v="3059380919"/>
    <s v="3059380919"/>
    <s v="3183971797"/>
    <s v="MZ A LOTE 10 LOCAL 2 URB PLENO SOL SABANA VERDE,URB PLENO SOL"/>
    <s v="7.8994881"/>
    <s v="-72.5459852"/>
    <s v="NORTE DE SANTANDER"/>
    <s v="CÚCUTA"/>
    <s v="CÚCUTA"/>
    <n v="54001"/>
    <s v="2025-11-24"/>
    <m/>
    <m/>
    <m/>
    <m/>
    <n v="5"/>
    <s v="CUCUTA"/>
    <x v="2"/>
    <n v="49671.7"/>
    <n v="248358.5"/>
  </r>
  <r>
    <n v="15643"/>
    <s v="BARRIO EL CAMPIN II MANIZALES"/>
    <n v="10260031"/>
    <s v="3204041988"/>
    <s v="3204041988"/>
    <s v="3204041988"/>
    <s v="CL 16 NRO 5-94,BENJAMIN HERRERA"/>
    <s v="7.914693"/>
    <s v="-72.500999"/>
    <s v="NORTE DE SANTANDER"/>
    <s v="CÚCUTA"/>
    <s v="CÚCUTA"/>
    <n v="54001"/>
    <s v="2025-11-20"/>
    <m/>
    <m/>
    <m/>
    <m/>
    <n v="1"/>
    <s v="CUCUTA"/>
    <x v="2"/>
    <n v="49671.7"/>
    <n v="49671.7"/>
  </r>
  <r>
    <n v="79134"/>
    <s v="BARRIO SAN JUAN DEL LOSADA SAN VICENTE DEL CAGUAN"/>
    <n v="1110485794"/>
    <s v="3115896868"/>
    <s v="3115896868"/>
    <s v="3115896868"/>
    <s v="AV 3 NRO 9 -82 BR SAN LUIS LOCAL 2,SAN LUIS"/>
    <s v="7.8955426"/>
    <s v="-72.4824312"/>
    <s v="NORTE DE SANTANDER"/>
    <s v="CÚCUTA"/>
    <s v="CÚCUTA"/>
    <n v="54001"/>
    <s v="2025-11-28"/>
    <m/>
    <m/>
    <m/>
    <m/>
    <n v="1"/>
    <s v="CUCUTA"/>
    <x v="2"/>
    <n v="49671.7"/>
    <n v="49671.7"/>
  </r>
  <r>
    <n v="79132"/>
    <s v="BARRIO SAN JUAN DE LOZADA SAN VICENTE DEL CAGUAN"/>
    <n v="1083928675"/>
    <s v="3102247957"/>
    <s v="3102247957"/>
    <s v="3245720094"/>
    <s v="CL 5 NRO 4-58,LA VICTORIA"/>
    <s v="7.9099099"/>
    <s v="-72.5278917"/>
    <s v="NORTE DE SANTANDER"/>
    <s v="CÚCUTA"/>
    <s v="CÚCUTA"/>
    <n v="54001"/>
    <s v="2025-11-24"/>
    <m/>
    <m/>
    <m/>
    <m/>
    <n v="1"/>
    <s v="CUCUTA"/>
    <x v="2"/>
    <n v="49671.7"/>
    <n v="49671.7"/>
  </r>
  <r>
    <n v="61419"/>
    <s v="BARRIO SAN JUAN DEL LOZADA SAN VICENTE DEL CAGUAN"/>
    <n v="96355845"/>
    <s v="3044229226"/>
    <s v="3205422849"/>
    <s v="3205422849"/>
    <s v="CL 12 6 44 CENTRO,CENTRO"/>
    <s v="4.9848380"/>
    <s v="-75.6060826"/>
    <s v="CALDAS"/>
    <s v="CHINCHINÁ"/>
    <s v="CHINCHINÁ"/>
    <n v="17174"/>
    <s v="2025-11-10"/>
    <m/>
    <m/>
    <m/>
    <m/>
    <n v="1"/>
    <s v="MANIZALES"/>
    <x v="6"/>
    <n v="49671.7"/>
    <n v="49671.7"/>
  </r>
  <r>
    <n v="16270"/>
    <s v="BARRIO SAN MARCOS"/>
    <n v="42132201"/>
    <s v="7566443"/>
    <s v="3128514153"/>
    <s v="3128514153"/>
    <s v=" CL 7  10-32 CENTRO"/>
    <s v="3.1738889"/>
    <s v="-76.26122673"/>
    <s v="CAUCA"/>
    <s v="CORINTO"/>
    <s v="CORINTO"/>
    <n v="19212"/>
    <s v="2025-11-06"/>
    <m/>
    <m/>
    <m/>
    <m/>
    <n v="1"/>
    <s v="CALI"/>
    <x v="5"/>
    <n v="37313"/>
    <n v="37313"/>
  </r>
  <r>
    <n v="80388"/>
    <s v="BARRIO TINAJAS PEREIRA"/>
    <n v="1005286945"/>
    <s v="8270154"/>
    <s v="3137676572"/>
    <s v="3137676572"/>
    <s v=" CL 7 9 59"/>
    <s v="3.1744269"/>
    <s v="-76.2624542"/>
    <s v="CAUCA"/>
    <s v="CORINTO"/>
    <s v="CORINTO"/>
    <n v="19212"/>
    <s v="2025-11-06"/>
    <m/>
    <m/>
    <m/>
    <m/>
    <n v="1"/>
    <s v="CALI"/>
    <x v="5"/>
    <n v="37313"/>
    <n v="37313"/>
  </r>
  <r>
    <n v="80959"/>
    <s v="BARRIO CENTRO PEREIRA 54"/>
    <n v="901403130"/>
    <s v="0"/>
    <s v="3218287584"/>
    <s v="3218287584"/>
    <s v="CL 6 11 39"/>
    <s v="3.1738658"/>
    <s v="-76.2595435"/>
    <s v="CAUCA"/>
    <s v="CORINTO"/>
    <s v="CORINTO"/>
    <n v="19212"/>
    <s v="2025-11-06"/>
    <m/>
    <m/>
    <m/>
    <m/>
    <n v="1"/>
    <s v="CALI"/>
    <x v="5"/>
    <n v="37313"/>
    <n v="37313"/>
  </r>
  <r>
    <n v="79648"/>
    <s v="BARRIO CUBA PEREIRA 12"/>
    <n v="900381458"/>
    <s v="3107886197"/>
    <s v="3107886197"/>
    <s v="3107886197"/>
    <s v="CR 10 10 09,20 DE AGOSTO"/>
    <s v="3.1723771"/>
    <s v="-76.2634235"/>
    <s v="CAUCA"/>
    <s v="CORINTO"/>
    <s v="CORINTO"/>
    <n v="19212"/>
    <s v="2025-11-06"/>
    <m/>
    <m/>
    <m/>
    <m/>
    <n v="1"/>
    <s v="CALI"/>
    <x v="5"/>
    <n v="37313"/>
    <n v="37313"/>
  </r>
  <r>
    <n v="79195"/>
    <s v="BARRIO CUBA PEREIRA 11"/>
    <n v="1088261920"/>
    <s v="3007727118"/>
    <s v="3007727118"/>
    <s v="3007727118"/>
    <s v="CR 10 3 54 BRR LA PLAYA,LA PLAYA"/>
    <s v="3.1757677"/>
    <s v="-76.2591691"/>
    <s v="CAUCA"/>
    <s v="CORINTO"/>
    <s v="CORINTO"/>
    <n v="19212"/>
    <s v="2025-11-06"/>
    <m/>
    <m/>
    <m/>
    <m/>
    <n v="1"/>
    <s v="CALI"/>
    <x v="5"/>
    <n v="37313"/>
    <n v="37313"/>
  </r>
  <r>
    <n v="75477"/>
    <s v="BARRIO CENTRO PEREIRA  49"/>
    <n v="901608925"/>
    <s v="3145639249"/>
    <s v="3145639249"/>
    <s v="3145639249"/>
    <s v="CL 9 4-26,CENTRO"/>
    <s v="8.18530928"/>
    <s v="-75.08225204"/>
    <s v="CÓRDOBA"/>
    <s v="AYAPEL"/>
    <s v="AYAPEL"/>
    <n v="23068"/>
    <s v="2025-11-11"/>
    <m/>
    <m/>
    <m/>
    <m/>
    <n v="1"/>
    <s v="MONTERIA"/>
    <x v="1"/>
    <n v="37313"/>
    <n v="37313"/>
  </r>
  <r>
    <n v="71028"/>
    <s v="BARRIO CENTRO PEREIRA 46"/>
    <n v="901403130"/>
    <s v="3106307554"/>
    <s v="3106307554"/>
    <s v="3226010228"/>
    <s v="AV 6 10-75,OTRO"/>
    <s v="8.3140284"/>
    <s v="-75.1419004"/>
    <s v="CÓRDOBA"/>
    <s v="AYAPEL"/>
    <s v="AYAPEL"/>
    <n v="23068"/>
    <s v="2025-11-11"/>
    <m/>
    <m/>
    <m/>
    <m/>
    <n v="1"/>
    <s v="MONTERIA"/>
    <x v="1"/>
    <n v="37313"/>
    <n v="37313"/>
  </r>
  <r>
    <n v="60598"/>
    <s v="BARRIO CENTRO PEREIRA 36"/>
    <n v="4415330"/>
    <s v="3012796370"/>
    <s v="3012796370"/>
    <s v="3012796370"/>
    <s v="CR 7 25 127,OSPINA PEREZ"/>
    <s v="8.3085445"/>
    <s v="-75.1452700"/>
    <s v="CÓRDOBA"/>
    <s v="AYAPEL"/>
    <s v="AYAPEL"/>
    <n v="23068"/>
    <s v="2025-11-11"/>
    <m/>
    <m/>
    <m/>
    <m/>
    <n v="1"/>
    <s v="MONTERIA"/>
    <x v="1"/>
    <n v="37313"/>
    <n v="37313"/>
  </r>
  <r>
    <n v="33895"/>
    <s v="BARRIO CENTRO PEREIRA 4"/>
    <n v="901042503"/>
    <s v="3128991589"/>
    <s v="3128991589"/>
    <s v="3128991589"/>
    <s v="CL 11 8 56,LLERAS CAMARGO"/>
    <s v="8.313448"/>
    <s v="-75.143987"/>
    <s v="CÓRDOBA"/>
    <s v="AYAPEL"/>
    <s v="AYAPEL"/>
    <n v="23068"/>
    <s v="2025-11-11"/>
    <m/>
    <m/>
    <m/>
    <m/>
    <n v="1"/>
    <s v="MONTERIA"/>
    <x v="1"/>
    <n v="37313"/>
    <n v="37313"/>
  </r>
  <r>
    <n v="26919"/>
    <s v="BARRIO SAN JORGE PEREIRA"/>
    <n v="11294043"/>
    <s v="0"/>
    <s v="3123339751"/>
    <s v="3123339751"/>
    <s v="CL 2 NO. 3 69,CENTRO"/>
    <s v="5.066969"/>
    <s v="-73.880696"/>
    <s v="CUNDINAMARCA"/>
    <s v="NEMOCÓN"/>
    <s v="NEMOCÓN"/>
    <n v="25486"/>
    <s v="2025-11-24"/>
    <m/>
    <m/>
    <m/>
    <m/>
    <n v="1"/>
    <s v="BOGOTA"/>
    <x v="4"/>
    <n v="37313"/>
    <n v="37313"/>
  </r>
  <r>
    <n v="78886"/>
    <s v="BARRIO LOS COMUNEROS PUENTE NACIONAL"/>
    <n v="13617959"/>
    <s v="3138084212"/>
    <s v="3107593248"/>
    <s v="3107593248"/>
    <s v="CR 6 1 07 SUR,CENTRO"/>
    <s v="5.0673199"/>
    <s v="-73.8805052"/>
    <s v="CUNDINAMARCA"/>
    <s v="NEMOCÓN"/>
    <s v="NEMOCÓN"/>
    <n v="25486"/>
    <s v="2025-11-24"/>
    <m/>
    <m/>
    <m/>
    <m/>
    <n v="1"/>
    <s v="BOGOTA"/>
    <x v="4"/>
    <n v="37313"/>
    <n v="37313"/>
  </r>
  <r>
    <n v="75853"/>
    <s v="BARRIO CENTRO PUENTE NACIONAL 4"/>
    <n v="1101176439"/>
    <s v="0"/>
    <s v="3143954177"/>
    <s v="3133983775"/>
    <s v="CR 6 7 11,NOCAIMA"/>
    <s v="5.0703267"/>
    <s v="-74.3773050"/>
    <s v="CUNDINAMARCA"/>
    <s v="NOCAIMA"/>
    <s v="NOCAIMA"/>
    <n v="25491"/>
    <s v="2025-11-24"/>
    <m/>
    <m/>
    <m/>
    <m/>
    <n v="1"/>
    <s v="BOGOTA"/>
    <x v="4"/>
    <n v="37313"/>
    <n v="37313"/>
  </r>
  <r>
    <n v="37010"/>
    <s v="BARRIO CENTRO PUENTE NACIONAL 1"/>
    <n v="28307566"/>
    <s v="0"/>
    <s v="3124430217"/>
    <s v="3124430217"/>
    <s v="CL 6 8 04,EL RETIRO"/>
    <s v="5.0700085"/>
    <s v="-74.3794422"/>
    <s v="CUNDINAMARCA"/>
    <s v="NOCAIMA"/>
    <s v="NOCAIMA"/>
    <n v="25491"/>
    <s v="2025-11-24"/>
    <m/>
    <m/>
    <m/>
    <m/>
    <n v="1"/>
    <s v="BOGOTA"/>
    <x v="4"/>
    <n v="37313"/>
    <n v="37313"/>
  </r>
  <r>
    <n v="18344"/>
    <s v="BARRIO CENTRO XX SINCELEJO"/>
    <n v="800253616"/>
    <s v="3112599866"/>
    <s v="3112599866"/>
    <s v="3112599866"/>
    <s v="cra 4 # 6-14 centro"/>
    <s v="5.0692246"/>
    <s v="-74.3773688"/>
    <s v="CUNDINAMARCA"/>
    <s v="NOCAIMA"/>
    <s v="NOCAIMA"/>
    <n v="25491"/>
    <s v="2025-11-25"/>
    <m/>
    <m/>
    <m/>
    <m/>
    <n v="1"/>
    <s v="BOGOTA"/>
    <x v="4"/>
    <n v="37313"/>
    <n v="37313"/>
  </r>
  <r>
    <n v="77186"/>
    <s v="BARRIO SAN CARLOS SINCELEJOS"/>
    <n v="9192909"/>
    <s v="0"/>
    <s v="3125133842"/>
    <s v="3125133842"/>
    <s v="CRA 7 NRO 6 - 52 CENTRO,EL RETIRO"/>
    <s v="5.0701845"/>
    <s v="-74.3782435"/>
    <s v="CUNDINAMARCA"/>
    <s v="NOCAIMA"/>
    <s v="NOCAIMA"/>
    <n v="25491"/>
    <s v="2025-11-24"/>
    <m/>
    <m/>
    <m/>
    <m/>
    <n v="1"/>
    <s v="BOGOTA"/>
    <x v="4"/>
    <n v="37313"/>
    <n v="37313"/>
  </r>
  <r>
    <n v="77808"/>
    <s v="BARRIO AVENIDA OKALA SINCELEJO 1"/>
    <n v="43740682"/>
    <s v="3134053020"/>
    <s v="3118996971"/>
    <s v="3118996971"/>
    <s v="CL 7 7 25 BRR LAGUNITAS,LAGUNITAS"/>
    <s v="4.6824827"/>
    <s v="-74.7155370"/>
    <s v="CUNDINAMARCA"/>
    <s v="PULÍ"/>
    <s v="PULÍ"/>
    <n v="25580"/>
    <s v="2025-11-25"/>
    <m/>
    <m/>
    <m/>
    <m/>
    <n v="1"/>
    <s v="BOGOTA"/>
    <x v="4"/>
    <n v="37313"/>
    <n v="37313"/>
  </r>
  <r>
    <n v="76748"/>
    <s v="BARRIO AV ARGELIA SINCELEJO"/>
    <n v="92510386"/>
    <s v="3112274721"/>
    <s v="3114601664"/>
    <s v="3114601664"/>
    <s v="AV 2 1 31 B CENTRO QUIPILE,CENTRO"/>
    <s v="4.7413740"/>
    <s v="-74.5339549"/>
    <s v="CUNDINAMARCA"/>
    <s v="QUIPILE"/>
    <s v="QUIPILE"/>
    <n v="25596"/>
    <s v="2025-11-24"/>
    <m/>
    <m/>
    <m/>
    <m/>
    <n v="2"/>
    <s v="BOGOTA"/>
    <x v="4"/>
    <n v="37313"/>
    <n v="74626"/>
  </r>
  <r>
    <n v="72306"/>
    <s v="SINCELEJO CUATRO VIENTOS"/>
    <n v="64919335"/>
    <s v="3227434051"/>
    <s v="3227434051"/>
    <s v="3015406150"/>
    <s v="CL PRINCIPAL 4 33 IPM LA SIERRA.IPM LA SIERRA"/>
    <s v="4.7901014"/>
    <s v="-74.551646"/>
    <s v="CUNDINAMARCA"/>
    <s v="QUIPILE"/>
    <s v="QUIPILE"/>
    <n v="25596"/>
    <s v="2025-11-24"/>
    <m/>
    <m/>
    <m/>
    <m/>
    <n v="2"/>
    <s v="BOGOTA"/>
    <x v="4"/>
    <n v="37313"/>
    <n v="74626"/>
  </r>
  <r>
    <n v="65311"/>
    <s v="BARRIO CENTRO SINCELEJO 21"/>
    <n v="64581471"/>
    <s v="3138222742"/>
    <s v="3138222742"/>
    <s v="3183554376"/>
    <s v="CL 3 3 - 35 BRR CENTRO INSPECCION LA VIRGEN .INSPECCION LA VIRGEN"/>
    <s v="4.6517999"/>
    <s v="-74.5685414"/>
    <s v="CUNDINAMARCA"/>
    <s v="QUIPILE"/>
    <s v="QUIPILE"/>
    <n v="25596"/>
    <s v="2025-11-24"/>
    <m/>
    <m/>
    <m/>
    <m/>
    <n v="2"/>
    <s v="BOGOTA"/>
    <x v="4"/>
    <n v="37313"/>
    <n v="74626"/>
  </r>
  <r>
    <n v="40167"/>
    <s v="BARRIO CENTRO SINCELEJO 10"/>
    <n v="64581899"/>
    <s v="8282758"/>
    <s v="3105702932"/>
    <s v="3105702932"/>
    <s v=" CR 6 3 91"/>
    <s v="5.04320635"/>
    <s v="-73.79771705"/>
    <s v="CUNDINAMARCA"/>
    <s v="SESQUILÉ"/>
    <s v="SESQUILÉ"/>
    <n v="25736"/>
    <s v="2025-11-07"/>
    <m/>
    <m/>
    <m/>
    <m/>
    <n v="1"/>
    <s v="BOGOTA"/>
    <x v="4"/>
    <n v="37313"/>
    <n v="37313"/>
  </r>
  <r>
    <n v="35260"/>
    <s v="BARRIO BOSTON SINCELEJO"/>
    <n v="900638635"/>
    <s v="6050962"/>
    <s v="3227335991"/>
    <s v="3125553586"/>
    <s v=" VRD BOITA"/>
    <s v="5.0538673"/>
    <s v="-73.8072795"/>
    <s v="CUNDINAMARCA"/>
    <s v="SESQUILÉ"/>
    <s v="SESQUILÉ"/>
    <n v="25736"/>
    <s v="2025-11-24"/>
    <m/>
    <m/>
    <m/>
    <m/>
    <n v="1"/>
    <s v="BOGOTA"/>
    <x v="4"/>
    <n v="37313"/>
    <n v="37313"/>
  </r>
  <r>
    <n v="38719"/>
    <s v="BARRIO EL CORTIJO SINCELEJO"/>
    <n v="92533159"/>
    <m/>
    <s v="3118355857"/>
    <s v="3118355859"/>
    <s v="cra 8 no 6-39 segundo piso"/>
    <s v="5.0464838"/>
    <s v="-73.798324"/>
    <s v="CUNDINAMARCA"/>
    <s v="SESQUILÉ"/>
    <s v="SESQUILÉ"/>
    <n v="25736"/>
    <s v="2025-11-24"/>
    <m/>
    <m/>
    <m/>
    <m/>
    <n v="3"/>
    <s v="BOGOTA"/>
    <x v="4"/>
    <n v="37313"/>
    <n v="111939"/>
  </r>
  <r>
    <n v="39870"/>
    <s v="BARRIO BOSTON SINCELEJO 1"/>
    <n v="800253616"/>
    <s v="1"/>
    <s v="3123399185"/>
    <s v="3123399185"/>
    <s v="VDA BOITA,VEREDA BOITA"/>
    <s v="5.0531544"/>
    <s v="-73.8076218"/>
    <s v="CUNDINAMARCA"/>
    <s v="SESQUILÉ"/>
    <s v="SESQUILÉ"/>
    <n v="25736"/>
    <s v="2025-11-24"/>
    <m/>
    <m/>
    <m/>
    <m/>
    <n v="1"/>
    <s v="BOGOTA"/>
    <x v="4"/>
    <n v="37313"/>
    <n v="37313"/>
  </r>
  <r>
    <n v="33522"/>
    <s v="BARRIO LA PALMA SINCELEJO"/>
    <n v="1143337129"/>
    <s v="0"/>
    <s v="3143752623"/>
    <s v="3143752623"/>
    <s v="CR 8 #6 -12"/>
    <s v="5.046327"/>
    <s v="-73.7988150"/>
    <s v="CUNDINAMARCA"/>
    <s v="SESQUILÉ"/>
    <s v="SESQUILÉ"/>
    <n v="25736"/>
    <s v="2025-11-07"/>
    <m/>
    <m/>
    <m/>
    <m/>
    <n v="2"/>
    <s v="BOGOTA"/>
    <x v="4"/>
    <n v="37313"/>
    <n v="74626"/>
  </r>
  <r>
    <n v="24567"/>
    <s v="BARRIO AVENIDA OCALA - SINCELEJO"/>
    <n v="900925006"/>
    <s v="3112638344"/>
    <s v="3112638344"/>
    <s v="3214165581"/>
    <s v="CR 6 4 49,SESQUILE"/>
    <s v="5.0441217"/>
    <s v="-73.7970283"/>
    <s v="CUNDINAMARCA"/>
    <s v="SESQUILÉ"/>
    <s v="SESQUILÉ"/>
    <n v="25736"/>
    <s v="2025-11-07"/>
    <m/>
    <m/>
    <m/>
    <m/>
    <n v="1"/>
    <s v="BOGOTA"/>
    <x v="4"/>
    <n v="37313"/>
    <n v="37313"/>
  </r>
  <r>
    <n v="17271"/>
    <s v="BARRIO LA GRANJA IBAGUE"/>
    <n v="5937128"/>
    <s v="3105818330"/>
    <s v="3105818330"/>
    <s v="3208884812"/>
    <s v="CL 5 6 - 78 LC 2,SESQUILE"/>
    <s v="5.0448896"/>
    <s v="-73.7974855"/>
    <s v="CUNDINAMARCA"/>
    <s v="SESQUILÉ"/>
    <s v="SESQUILÉ"/>
    <n v="25736"/>
    <s v="2025-11-24"/>
    <m/>
    <m/>
    <m/>
    <m/>
    <n v="2"/>
    <s v="BOGOTA"/>
    <x v="4"/>
    <n v="37313"/>
    <n v="74626"/>
  </r>
  <r>
    <n v="16255"/>
    <s v="BARRIO VARSOVIA II IBAGUE"/>
    <n v="93366285"/>
    <s v="7228945"/>
    <s v="3138453642"/>
    <s v="3138453642"/>
    <s v="CL 18 SUR 11 B 44"/>
    <s v="4.5688753"/>
    <s v="-74.2372564"/>
    <s v="CUNDINAMARCA"/>
    <s v="SOACHA"/>
    <s v="SOACHA"/>
    <n v="25754"/>
    <s v="2025-11-12"/>
    <m/>
    <m/>
    <m/>
    <m/>
    <n v="2"/>
    <s v="BOGOTA"/>
    <x v="4"/>
    <n v="37313"/>
    <n v="74626"/>
  </r>
  <r>
    <n v="78083"/>
    <s v="BARRIO NUEVA CASTILLA SUPER IBAGUE"/>
    <n v="1110518655"/>
    <s v="7816445"/>
    <s v="3164650650"/>
    <s v="3103148237"/>
    <s v=" CL 14  7-93"/>
    <s v="4.5828302"/>
    <s v="-74.2184271"/>
    <s v="CUNDINAMARCA"/>
    <s v="SOACHA"/>
    <s v="SOACHA"/>
    <n v="25754"/>
    <s v="2025-11-12"/>
    <m/>
    <m/>
    <m/>
    <m/>
    <n v="1"/>
    <s v="BOGOTA"/>
    <x v="4"/>
    <n v="37313"/>
    <n v="37313"/>
  </r>
  <r>
    <n v="78528"/>
    <s v="BARRIO JARDIN SANTANDER IBAGUE  1"/>
    <n v="1104706033"/>
    <s v="3014962272"/>
    <s v="3014962272"/>
    <m/>
    <s v="CL 13 30 - 242 LC 2 CON FEIJOA CIUDAD VERDE,CONJUNTO FEIJOA CIUDAD VERDE/ SOACHA"/>
    <s v="4.5993453"/>
    <s v="-74.2219498"/>
    <s v="CUNDINAMARCA"/>
    <s v="SOACHA"/>
    <s v="SOACHA"/>
    <n v="25754"/>
    <s v="2025-11-04"/>
    <m/>
    <m/>
    <m/>
    <m/>
    <n v="2"/>
    <s v="BOGOTA"/>
    <x v="4"/>
    <n v="37313"/>
    <n v="74626"/>
  </r>
  <r>
    <n v="78382"/>
    <s v="BARRIO LA SAMARIA IBAGUE"/>
    <n v="1088026850"/>
    <s v="3157623555"/>
    <s v="3112790362"/>
    <s v="3157623555"/>
    <s v="BIS KM 36 KDX 4 1 CORR AGUA CLARA VIA AL PUERTO,VDA LA JARRA"/>
    <s v="8.2112296"/>
    <s v="-72.4265658"/>
    <s v="NORTE DE SANTANDER"/>
    <s v="CÚCUTA"/>
    <s v="CÚCUTA"/>
    <n v="54001"/>
    <s v="2025-11-24"/>
    <m/>
    <m/>
    <m/>
    <m/>
    <n v="3"/>
    <s v="CUCUTA"/>
    <x v="2"/>
    <n v="49671.7"/>
    <n v="149015.09999999998"/>
  </r>
  <r>
    <n v="77676"/>
    <s v="BARRIO FRANCIA IBAGUE"/>
    <n v="19363882"/>
    <m/>
    <s v="3007685812"/>
    <s v="3245250297"/>
    <s v="CL 21 # 13 - 04,BARRIO ALFONSO LÓPEZ"/>
    <s v="7.876618"/>
    <s v="-72.509980"/>
    <s v="NORTE DE SANTANDER"/>
    <s v="CÚCUTA"/>
    <s v="CÚCUTA"/>
    <n v="54001"/>
    <s v="2025-11-28"/>
    <m/>
    <m/>
    <m/>
    <m/>
    <n v="1"/>
    <s v="CUCUTA"/>
    <x v="2"/>
    <n v="49671.7"/>
    <n v="49671.7"/>
  </r>
  <r>
    <n v="78381"/>
    <s v="BARRIO GRANDA IBAGUE"/>
    <n v="1110461982"/>
    <s v="3163550909"/>
    <s v="3115986804"/>
    <s v="3115986804"/>
    <s v="AV 5 A # 0 - 49 LC 1,LA MERCED"/>
    <s v="7.8970071"/>
    <s v="-72.5052609"/>
    <s v="NORTE DE SANTANDER"/>
    <s v="CÚCUTA"/>
    <s v="CÚCUTA"/>
    <n v="54001"/>
    <s v="2025-11-25"/>
    <m/>
    <m/>
    <m/>
    <m/>
    <n v="1"/>
    <s v="CUCUTA"/>
    <x v="2"/>
    <n v="49671.7"/>
    <n v="49671.7"/>
  </r>
  <r>
    <n v="75410"/>
    <s v="BARRIO RICAURTE PARTE ALTA IBAGUE 2"/>
    <n v="46450200"/>
    <s v="0"/>
    <s v="3108921487"/>
    <s v="3108921487"/>
    <s v="MZ D21 LOTE 13,URB TORCOROMA II"/>
    <s v="7.895356"/>
    <s v="-72.470902"/>
    <s v="NORTE DE SANTANDER"/>
    <s v="CÚCUTA"/>
    <s v="CÚCUTA"/>
    <n v="54001"/>
    <s v="2025-11-24"/>
    <m/>
    <m/>
    <m/>
    <m/>
    <n v="1"/>
    <s v="CUCUTA"/>
    <x v="2"/>
    <n v="49671.7"/>
    <n v="49671.7"/>
  </r>
  <r>
    <n v="73076"/>
    <s v="BARRIO CENTRO IBAGUE 47"/>
    <n v="80111905"/>
    <s v="0"/>
    <s v="3114519214"/>
    <s v="3114519214"/>
    <s v="AV 17 5A 23,URB TORCOROMA SIGLO XXI"/>
    <s v="7.8965827"/>
    <s v="-72.4713106"/>
    <s v="NORTE DE SANTANDER"/>
    <s v="CÚCUTA"/>
    <s v="CÚCUTA"/>
    <n v="54001"/>
    <s v="2025-11-28"/>
    <m/>
    <m/>
    <m/>
    <m/>
    <n v="1"/>
    <s v="CUCUTA"/>
    <x v="2"/>
    <n v="49671.7"/>
    <n v="49671.7"/>
  </r>
  <r>
    <n v="70850"/>
    <s v="BARRIO CENTRO IBAGUE 46"/>
    <n v="1110448327"/>
    <s v="3115233002"/>
    <s v="3143869024"/>
    <s v="3143869024"/>
    <s v="CL 0 NRO. 6 - 24 LC 2,LA MERCED"/>
    <s v="7.9099099"/>
    <s v="-72.4915095"/>
    <s v="NORTE DE SANTANDER"/>
    <s v="CÚCUTA"/>
    <s v="CÚCUTA"/>
    <n v="54001"/>
    <s v="2025-11-25"/>
    <m/>
    <m/>
    <m/>
    <m/>
    <n v="2"/>
    <s v="CUCUTA"/>
    <x v="2"/>
    <n v="49671.7"/>
    <n v="99343.4"/>
  </r>
  <r>
    <n v="67622"/>
    <s v="BARRIO SAN ANTONIO IBAGUE 1"/>
    <n v="65763427"/>
    <s v="3004940299"/>
    <s v="3004940299"/>
    <s v="3004940299"/>
    <s v="CL 9 5 A 15,CENTRO"/>
    <s v="8.3148891"/>
    <s v="-75.1413865"/>
    <s v="CÓRDOBA"/>
    <s v="AYAPEL"/>
    <s v="AYAPEL"/>
    <n v="23068"/>
    <s v="2025-11-11"/>
    <m/>
    <m/>
    <m/>
    <m/>
    <n v="2"/>
    <s v="MONTERIA"/>
    <x v="1"/>
    <n v="37313"/>
    <n v="74626"/>
  </r>
  <r>
    <n v="67380"/>
    <s v="BARRIO LOS MARTIRES IBAGUE 4"/>
    <n v="1110492992"/>
    <s v="7799766"/>
    <s v="3105621245"/>
    <s v="3105621245"/>
    <s v=" FRENTE AL PALACIO MUNICIPAL SAN ANDRES DE SOTAVENTO CORDOBA"/>
    <s v="9.1452805"/>
    <s v="-75.5091796"/>
    <s v="CÓRDOBA"/>
    <s v="SAN ANDRÉS DE SOTAVENTO"/>
    <s v="SAN ANDRÉS DE SOTAVENTO"/>
    <n v="23670"/>
    <s v="2025-11-19"/>
    <m/>
    <m/>
    <m/>
    <m/>
    <n v="2"/>
    <s v="MONTERIA"/>
    <x v="1"/>
    <n v="37313"/>
    <n v="74626"/>
  </r>
  <r>
    <n v="65316"/>
    <s v="BARRIO URB VASCONIA IBAGUE"/>
    <n v="6030761"/>
    <s v="3147019286"/>
    <s v="3147019286"/>
    <s v="3147019286"/>
    <s v="CR 7 E CL 9-192 LC 01,LAS FLORES"/>
    <s v="9.1458672"/>
    <s v="-75.5096154"/>
    <s v="CÓRDOBA"/>
    <s v="SAN ANDRÉS DE SOTAVENTO"/>
    <s v="SAN ANDRÉS DE SOTAVENTO"/>
    <n v="23670"/>
    <s v="2025-11-19"/>
    <m/>
    <m/>
    <m/>
    <m/>
    <n v="2"/>
    <s v="MONTERIA"/>
    <x v="1"/>
    <n v="37313"/>
    <n v="74626"/>
  </r>
  <r>
    <n v="63485"/>
    <s v="BARRIO PRADERAS DE SANTA RITA IBAGUE 1"/>
    <n v="80111905"/>
    <s v="7730072"/>
    <s v="3008190156"/>
    <s v="3008190156"/>
    <s v="CR 14 12B 11  local 2"/>
    <s v="9.37380381"/>
    <s v="-75.75948523"/>
    <s v="CÓRDOBA"/>
    <s v="SAN ANTERO"/>
    <s v="SAN ANTERO"/>
    <n v="23672"/>
    <s v="2025-11-06"/>
    <m/>
    <m/>
    <m/>
    <m/>
    <n v="2"/>
    <s v="MONTERIA"/>
    <x v="1"/>
    <n v="37313"/>
    <n v="74626"/>
  </r>
  <r>
    <n v="64973"/>
    <s v="BARRIO AMBALA IBAGUE 11"/>
    <n v="65553424"/>
    <s v="3002569806"/>
    <s v="3013313660"/>
    <s v="3013313660"/>
    <s v="CR 14 13 A -52,OTRO"/>
    <s v="9.3754531"/>
    <s v="-75.7591629"/>
    <s v="CÓRDOBA"/>
    <s v="SAN ANTERO"/>
    <s v="SAN ANTERO"/>
    <n v="23672"/>
    <s v="2025-11-06"/>
    <m/>
    <m/>
    <m/>
    <m/>
    <n v="1"/>
    <s v="MONTERIA"/>
    <x v="1"/>
    <n v="37313"/>
    <n v="37313"/>
  </r>
  <r>
    <n v="65322"/>
    <s v="BARRIO GALAN IBAGUE 1"/>
    <n v="65732523"/>
    <s v="0"/>
    <s v="3124746391"/>
    <s v="3144166930"/>
    <s v="CL 7 21 122 BRR LA CRINOLINA,LA CRINOLINA"/>
    <s v="5.1357177"/>
    <s v="-74.1570312"/>
    <s v="CUNDINAMARCA"/>
    <s v="PACHO"/>
    <s v="PACHO"/>
    <n v="25513"/>
    <s v="2025-11-18"/>
    <m/>
    <m/>
    <m/>
    <m/>
    <n v="1"/>
    <s v="BOGOTA"/>
    <x v="4"/>
    <n v="37313"/>
    <n v="37313"/>
  </r>
  <r>
    <n v="18095"/>
    <s v="BARRIO KENNEDY IBAGUE"/>
    <n v="14234425"/>
    <s v="0"/>
    <s v="3223057969"/>
    <s v="3223057969"/>
    <s v="CL 8 27 181"/>
    <s v="5.1418421"/>
    <s v="-74.1579459"/>
    <s v="CUNDINAMARCA"/>
    <s v="PACHO"/>
    <s v="PACHO"/>
    <n v="25513"/>
    <s v="2025-11-19"/>
    <m/>
    <m/>
    <m/>
    <m/>
    <n v="6"/>
    <s v="BOGOTA"/>
    <x v="4"/>
    <n v="37313"/>
    <n v="223878"/>
  </r>
  <r>
    <n v="64175"/>
    <s v="BARRIO EL CARMEN IBAGUE 11"/>
    <n v="28936832"/>
    <s v="0"/>
    <s v="3213679546"/>
    <s v="3213679546"/>
    <s v="CL 8 14 19 CEN,CENTRO"/>
    <s v="5.1286978"/>
    <s v="-74.1594132"/>
    <s v="CUNDINAMARCA"/>
    <s v="PACHO"/>
    <s v="PACHO"/>
    <n v="25513"/>
    <s v="2025-11-19"/>
    <m/>
    <m/>
    <m/>
    <m/>
    <n v="2"/>
    <s v="BOGOTA"/>
    <x v="4"/>
    <n v="37313"/>
    <n v="74626"/>
  </r>
  <r>
    <n v="61235"/>
    <s v="BARRIO CENTRO IBAGUE 34"/>
    <n v="1110547024"/>
    <s v="3123088895"/>
    <s v="3123088895"/>
    <s v="3123088895"/>
    <s v="CLL 8 Nº 12-18 BRR KENNEDY"/>
    <s v="5.1274285"/>
    <s v="-74.1602800"/>
    <s v="CUNDINAMARCA"/>
    <s v="PACHO"/>
    <s v="PACHO"/>
    <n v="25513"/>
    <s v="2025-11-19"/>
    <m/>
    <m/>
    <m/>
    <m/>
    <n v="2"/>
    <s v="BOGOTA"/>
    <x v="4"/>
    <n v="37313"/>
    <n v="74626"/>
  </r>
  <r>
    <n v="61606"/>
    <s v="BARRIO MODELIA I IBAGUE 1"/>
    <n v="1006124226"/>
    <s v="8450086"/>
    <s v="3115380315"/>
    <s v="3115380315"/>
    <s v=" CL 3  4-01"/>
    <s v="4.6162167"/>
    <s v="-74.3517442"/>
    <s v="CUNDINAMARCA"/>
    <s v="SAN ANTONIO DEL TEQUENDAMA"/>
    <s v="SAN ANTONIO DEL TEQUENDAMA"/>
    <n v="25645"/>
    <s v="2025-11-10"/>
    <m/>
    <m/>
    <m/>
    <m/>
    <n v="2"/>
    <s v="BOGOTA"/>
    <x v="4"/>
    <n v="37313"/>
    <n v="74626"/>
  </r>
  <r>
    <n v="60996"/>
    <s v="BARRIO EL SALADO IBAGUE 8"/>
    <n v="1005703282"/>
    <s v="3132233010"/>
    <s v="3132233010"/>
    <s v="3132233010"/>
    <s v="KM 19 VIA BOGOTA / MESITAS VDA VANCOUVER.SECTOR BELLAVISTA"/>
    <s v="4.5887218"/>
    <s v="-74.3502209"/>
    <s v="CUNDINAMARCA"/>
    <s v="SAN ANTONIO DEL TEQUENDAMA"/>
    <s v="SAN ANTONIO DEL TEQUENDAMA"/>
    <n v="25645"/>
    <s v="2025-11-10"/>
    <m/>
    <m/>
    <m/>
    <m/>
    <n v="2"/>
    <s v="BOGOTA"/>
    <x v="4"/>
    <n v="37313"/>
    <n v="74626"/>
  </r>
  <r>
    <n v="59249"/>
    <s v="BARRIO LOS CEDROS"/>
    <n v="38140611"/>
    <s v="3143043253"/>
    <s v="3204640506"/>
    <s v="3132971817"/>
    <s v="URB VILLA GLORIA LAS MERCEDES LT 1 ET 4 LC 2,URB. VILLA GLORIA"/>
    <s v="4.9682428"/>
    <s v="-74.2884633"/>
    <s v="CUNDINAMARCA"/>
    <s v="SAN FRANCISCO"/>
    <s v="SAN FRANCISCO"/>
    <n v="25658"/>
    <s v="2025-11-07"/>
    <m/>
    <m/>
    <m/>
    <m/>
    <n v="2"/>
    <s v="BOGOTA"/>
    <x v="4"/>
    <n v="37313"/>
    <n v="74626"/>
  </r>
  <r>
    <n v="58685"/>
    <s v="BARRIO LAS FERIAS IBAGUE 1"/>
    <n v="65808373"/>
    <s v="0"/>
    <s v="3118127555"/>
    <s v="3118127555"/>
    <s v="CR 2 2 01,VILLA CARMENZA"/>
    <s v="4.9686720"/>
    <s v="-74.2878982"/>
    <s v="CUNDINAMARCA"/>
    <s v="SAN FRANCISCO"/>
    <s v="SAN FRANCISCO"/>
    <n v="25658"/>
    <s v="2025-11-07"/>
    <m/>
    <m/>
    <m/>
    <m/>
    <n v="2"/>
    <s v="BOGOTA"/>
    <x v="4"/>
    <n v="37313"/>
    <n v="74626"/>
  </r>
  <r>
    <n v="60123"/>
    <s v="BARRIO ANCON IBAGUE 3"/>
    <n v="28815896"/>
    <s v="3102649666"/>
    <s v="3102649666"/>
    <m/>
    <s v="DG 32 10 20 BALCONES DE MERCURIO II PISO 2,&quot;RINCÓN DE SANTA FE CONJUNTO BALCONES DE MERCURIO"/>
    <s v="4.5904367"/>
    <s v="-74.2062183"/>
    <s v="CUNDINAMARCA"/>
    <s v="SOACHA"/>
    <s v="SOACHA"/>
    <n v="25754"/>
    <s v="2025-11-04"/>
    <m/>
    <m/>
    <m/>
    <m/>
    <n v="2"/>
    <s v="BOGOTA"/>
    <x v="4"/>
    <n v="37313"/>
    <n v="74626"/>
  </r>
  <r>
    <n v="55942"/>
    <s v="BARRIO JORDAN III ETAPA IBAGUE"/>
    <n v="1005715081"/>
    <s v="3204309382"/>
    <s v="3204309382"/>
    <m/>
    <s v="CL 22 B 7A 56,CAMILO TORRES SOACHA"/>
    <s v="4.5844990"/>
    <s v="-74.2117600"/>
    <s v="CUNDINAMARCA"/>
    <s v="SOACHA"/>
    <s v="SOACHA"/>
    <n v="25754"/>
    <s v="2025-11-25"/>
    <m/>
    <m/>
    <m/>
    <m/>
    <n v="2"/>
    <s v="BOGOTA"/>
    <x v="4"/>
    <n v="37313"/>
    <n v="74626"/>
  </r>
  <r>
    <n v="55066"/>
    <s v="BARRIO HIPODROMO IBAGUE 6"/>
    <n v="1105613162"/>
    <s v="3212356827"/>
    <s v="3105693310"/>
    <s v="3105693310"/>
    <s v="TV 4D 5 30 SUR CA 84,QUINTAS DE LA LAGUNA"/>
    <s v="4.5726348"/>
    <s v="-74.2276658"/>
    <s v="CUNDINAMARCA"/>
    <s v="SOACHA"/>
    <s v="SOACHA"/>
    <n v="25754"/>
    <s v="2025-11-10"/>
    <m/>
    <m/>
    <m/>
    <m/>
    <n v="1"/>
    <s v="BOGOTA"/>
    <x v="4"/>
    <n v="37313"/>
    <n v="37313"/>
  </r>
  <r>
    <n v="54100"/>
    <s v="BARRIO AMBALA IBAGUE 7"/>
    <n v="65553424"/>
    <s v="3118731616"/>
    <s v="3118731616"/>
    <m/>
    <s v="CR 5 ESTE 24 61,RICAURTE"/>
    <s v="4.5781325"/>
    <s v="-74.2077067"/>
    <s v="CUNDINAMARCA"/>
    <s v="SOACHA"/>
    <s v="SOACHA"/>
    <n v="25754"/>
    <s v="2025-11-20"/>
    <m/>
    <m/>
    <m/>
    <m/>
    <n v="1"/>
    <s v="BOGOTA"/>
    <x v="4"/>
    <n v="37313"/>
    <n v="37313"/>
  </r>
  <r>
    <n v="53378"/>
    <s v="BARIO PICALEÑA IBAGUE"/>
    <n v="65766868"/>
    <s v="3186940845"/>
    <s v="3186940845"/>
    <s v="3168239966"/>
    <s v="CL 1 4 F 32,LAGOS DE MALIBÚ"/>
    <s v="4.5754878"/>
    <s v="-74.2258448"/>
    <s v="CUNDINAMARCA"/>
    <s v="SOACHA"/>
    <s v="SOACHA"/>
    <n v="25754"/>
    <s v="2025-11-24"/>
    <m/>
    <m/>
    <m/>
    <m/>
    <n v="2"/>
    <s v="BOGOTA"/>
    <x v="4"/>
    <n v="37313"/>
    <n v="74626"/>
  </r>
  <r>
    <n v="54471"/>
    <s v="BARRIO RICAURTE PARTE BAJA IBAGUE 1"/>
    <n v="1110573514"/>
    <s v="3114630996"/>
    <s v="3114630996"/>
    <s v="3114630996"/>
    <s v="CL 30 A 6 G 46 ESTE,SAN MATEO"/>
    <s v="4.5795104"/>
    <s v="-74.2009268"/>
    <s v="CUNDINAMARCA"/>
    <s v="SOACHA"/>
    <s v="SOACHA"/>
    <n v="25754"/>
    <s v="2025-11-26"/>
    <m/>
    <m/>
    <m/>
    <m/>
    <n v="3"/>
    <s v="BOGOTA"/>
    <x v="4"/>
    <n v="37313"/>
    <n v="111939"/>
  </r>
  <r>
    <n v="49350"/>
    <s v="BARRIO URBANIZACION SANTA ANA IBAGUE"/>
    <n v="65553424"/>
    <s v="3187369105"/>
    <s v="3187369105"/>
    <s v="3212047655"/>
    <s v="CR 7 32 35 LC 211,SAN MATEO SOACHA"/>
    <s v="4.588177"/>
    <s v="-74.204596"/>
    <s v="CUNDINAMARCA"/>
    <s v="SOACHA"/>
    <s v="SOACHA"/>
    <n v="25754"/>
    <s v="2025-11-20"/>
    <m/>
    <m/>
    <m/>
    <m/>
    <n v="1"/>
    <s v="BOGOTA"/>
    <x v="4"/>
    <n v="37313"/>
    <n v="37313"/>
  </r>
  <r>
    <n v="50893"/>
    <s v="BARRIO AVENIDA PEDRO TAFUR IBAGUE"/>
    <n v="1030641597"/>
    <s v="3115647886"/>
    <s v="3133793107"/>
    <s v="3133793107"/>
    <s v="TV 12A 38C 53,LEON X111"/>
    <s v="4.5921033"/>
    <s v="-74.1993750"/>
    <s v="CUNDINAMARCA"/>
    <s v="SOACHA"/>
    <s v="SOACHA"/>
    <n v="25754"/>
    <s v="2025-11-24"/>
    <m/>
    <m/>
    <m/>
    <m/>
    <n v="2"/>
    <s v="BOGOTA"/>
    <x v="4"/>
    <n v="37313"/>
    <n v="74626"/>
  </r>
  <r>
    <n v="46763"/>
    <s v="BARRIO LA POLA IBAGUE 4"/>
    <n v="80111905"/>
    <s v="3022731103"/>
    <s v="3022731103"/>
    <s v="3505831388"/>
    <s v="AV 6 NRO 8-72 CENTRO COMERCIAL FANTASTICO LOCAL 108 BR EL CENTRO"/>
    <s v="7.887967"/>
    <s v="-72.505241"/>
    <s v="NORTE DE SANTANDER"/>
    <s v="CÚCUTA"/>
    <s v="CÚCUTA"/>
    <n v="54001"/>
    <s v="2025-11-27"/>
    <m/>
    <m/>
    <m/>
    <m/>
    <n v="3"/>
    <s v="CUCUTA"/>
    <x v="2"/>
    <n v="49671.7"/>
    <n v="149015.09999999998"/>
  </r>
  <r>
    <n v="43949"/>
    <s v="BARRIO EL BUNDE IV IBAGUE"/>
    <n v="1110535285"/>
    <s v="3108720932"/>
    <s v="0"/>
    <s v="3124857645"/>
    <s v="AV 7 NRO 5-55 LC 239 CC LAS MERCEDES,CALLEJON"/>
    <s v="7.8913012"/>
    <s v="-72.5065001"/>
    <s v="NORTE DE SANTANDER"/>
    <s v="CÚCUTA"/>
    <s v="CÚCUTA"/>
    <n v="54001"/>
    <s v="2025-11-24"/>
    <m/>
    <m/>
    <m/>
    <m/>
    <n v="3"/>
    <s v="CUCUTA"/>
    <x v="2"/>
    <n v="49671.7"/>
    <n v="149015.09999999998"/>
  </r>
  <r>
    <n v="43218"/>
    <s v="BARRIO INTERLAKEN IBAGUE 2"/>
    <n v="1110527349"/>
    <s v="0"/>
    <s v="3223531577"/>
    <s v="3224647950"/>
    <s v="Avenida 9e #6n-95 santa lucia"/>
    <s v="7.8947667"/>
    <s v="-72.4724133"/>
    <s v="NORTE DE SANTANDER"/>
    <s v="CÚCUTA"/>
    <s v="CÚCUTA"/>
    <n v="54001"/>
    <s v="2025-11-24"/>
    <m/>
    <m/>
    <m/>
    <m/>
    <n v="3"/>
    <s v="CUCUTA"/>
    <x v="2"/>
    <n v="49671.7"/>
    <n v="149015.09999999998"/>
  </r>
  <r>
    <n v="40034"/>
    <s v="BARRIO VILLA MARLEN 2 IBAGUE"/>
    <n v="1110539404"/>
    <s v="3007201258"/>
    <s v="3007201258"/>
    <s v="3136570964"/>
    <s v="CL 8 NRO 6-65 LOC 24-034 A PS.2 CC ALEJANDRIA BR EL CENTRO"/>
    <s v="7.888593"/>
    <s v="-72.505879"/>
    <s v="NORTE DE SANTANDER"/>
    <s v="CÚCUTA"/>
    <s v="CÚCUTA"/>
    <n v="54001"/>
    <s v="2025-11-27"/>
    <m/>
    <m/>
    <m/>
    <m/>
    <n v="2"/>
    <s v="CUCUTA"/>
    <x v="2"/>
    <n v="49671.7"/>
    <n v="99343.4"/>
  </r>
  <r>
    <n v="29051"/>
    <s v="BARRIO EL PAYASO IBAGUÉ"/>
    <n v="822000897"/>
    <s v="5781820"/>
    <s v="5781820"/>
    <s v="3102127135"/>
    <s v="CL 12 12 12 BRR EL CONTENTO"/>
    <s v="7.883389"/>
    <s v="-72.510738"/>
    <s v="NORTE DE SANTANDER"/>
    <s v="CÚCUTA"/>
    <s v="CÚCUTA"/>
    <n v="54001"/>
    <s v="2025-11-24"/>
    <m/>
    <m/>
    <m/>
    <m/>
    <n v="1"/>
    <s v="CUCUTA"/>
    <x v="2"/>
    <n v="49671.7"/>
    <n v="49671.7"/>
  </r>
  <r>
    <n v="17385"/>
    <s v="BARRIO AMBALA II IBAGUE"/>
    <n v="5937128"/>
    <s v="0"/>
    <s v="3208709455"/>
    <s v="3208709455"/>
    <s v="TV 17 0-23,PUEBLO NUEVO"/>
    <s v="7.8918919"/>
    <s v="-72.5247265"/>
    <s v="NORTE DE SANTANDER"/>
    <s v="CÚCUTA"/>
    <s v="CÚCUTA"/>
    <n v="54001"/>
    <s v="2025-11-27"/>
    <m/>
    <m/>
    <m/>
    <m/>
    <n v="1"/>
    <s v="CUCUTA"/>
    <x v="2"/>
    <n v="49671.7"/>
    <n v="49671.7"/>
  </r>
  <r>
    <n v="17384"/>
    <s v="BARRIO URB PIEDRA PINTADA IBAGUE"/>
    <n v="5937128"/>
    <s v="3136394465"/>
    <s v="3177774006"/>
    <s v="3177774006"/>
    <s v="CALLE PRINCIPAL BARRIO CENTRO"/>
    <s v="1.6280011"/>
    <s v="-77.45857"/>
    <s v="NARIÑO"/>
    <s v="POLICARPA"/>
    <s v="POLICARPA"/>
    <n v="52540"/>
    <s v="2025-11-05"/>
    <m/>
    <m/>
    <m/>
    <m/>
    <n v="1"/>
    <s v="PASTO"/>
    <x v="5"/>
    <n v="49671.7"/>
    <n v="49671.7"/>
  </r>
  <r>
    <n v="16749"/>
    <s v="MATERIALES EMO - IBAGUE"/>
    <n v="801002644"/>
    <s v="3136394465"/>
    <s v="3177774006"/>
    <s v="3177774006"/>
    <s v="EN CORREGIMIENTO MADRIGAL,CORREGIMIENTO MADRIGAL"/>
    <s v="1.7492855"/>
    <s v="-77.509080"/>
    <s v="NARIÑO"/>
    <s v="POLICARPA"/>
    <s v="POLICARPA"/>
    <n v="52540"/>
    <s v="2025-11-06"/>
    <m/>
    <m/>
    <m/>
    <m/>
    <n v="2"/>
    <s v="PASTO"/>
    <x v="5"/>
    <n v="49671.7"/>
    <n v="99343.4"/>
  </r>
  <r>
    <n v="17466"/>
    <s v="BARRIO JAZMIN TOLIMA"/>
    <n v="93409662"/>
    <s v="3132291710"/>
    <s v="3123677656"/>
    <s v="3123677656"/>
    <s v="CORREGIMIENTO DE SANTACRUZ"/>
    <s v="1.826870"/>
    <s v="-77.548460"/>
    <s v="NARIÑO"/>
    <s v="POLICARPA"/>
    <s v="POLICARPA"/>
    <n v="52540"/>
    <s v="2025-11-06"/>
    <m/>
    <m/>
    <m/>
    <m/>
    <n v="2"/>
    <s v="PASTO"/>
    <x v="5"/>
    <n v="49671.7"/>
    <n v="99343.4"/>
  </r>
  <r>
    <n v="64431"/>
    <s v="BARRIO OTRO LOS CORDOBAS"/>
    <n v="901523817"/>
    <s v="0"/>
    <s v="3206578579"/>
    <s v="3104691254"/>
    <s v="VEREDA SANTA ROSA,VEREDA SANTA ROSA"/>
    <s v="1.855818333"/>
    <s v="-77.5604683333"/>
    <s v="NARIÑO"/>
    <s v="POLICARPA"/>
    <s v="POLICARPA"/>
    <n v="52540"/>
    <s v="2025-11-06"/>
    <m/>
    <m/>
    <m/>
    <m/>
    <n v="1"/>
    <s v="PASTO"/>
    <x v="5"/>
    <n v="49671.7"/>
    <n v="49671.7"/>
  </r>
  <r>
    <n v="75801"/>
    <s v="BARRIO VEREDA GALILEA COMUNIDAD 10"/>
    <n v="1102797894"/>
    <s v="3188958667"/>
    <s v="3187254990"/>
    <s v="3187254990"/>
    <s v="CORREGIMIENTO EL EJIDO POLICARPA,CORREGIMIENTO EL EJIDO"/>
    <s v="1.716995"/>
    <s v="-77.512102"/>
    <s v="NARIÑO"/>
    <s v="POLICARPA"/>
    <s v="POLICARPA"/>
    <n v="52540"/>
    <s v="2025-11-07"/>
    <m/>
    <m/>
    <m/>
    <m/>
    <n v="1"/>
    <s v="PASTO"/>
    <x v="5"/>
    <n v="49671.7"/>
    <n v="49671.7"/>
  </r>
  <r>
    <n v="79791"/>
    <s v="BARRIO PLAYA SALGUERO SANTA MARTA"/>
    <n v="85468980"/>
    <s v="3205642348"/>
    <s v="3205642348"/>
    <s v="3205642348"/>
    <s v="CR 8 6 34 BARRIO SHUMACHER,SHUMACHER"/>
    <s v="1.334546"/>
    <s v="-77.593959"/>
    <s v="NARIÑO"/>
    <s v="SAMANIEGO"/>
    <s v="SAMANIEGO"/>
    <n v="52678"/>
    <s v="2025-11-18"/>
    <m/>
    <m/>
    <m/>
    <m/>
    <n v="1"/>
    <s v="PASTO"/>
    <x v="5"/>
    <n v="49671.7"/>
    <n v="49671.7"/>
  </r>
  <r>
    <n v="80623"/>
    <s v="BARRIO LOS LAURELES SANTA MARTA 1"/>
    <n v="55240430"/>
    <s v="3104142980"/>
    <s v="3104142980"/>
    <s v="3104142980"/>
    <s v="CR 5 6 08 ESQ BRR INDUSTRIAL,INDUSTRIAL"/>
    <s v="1.3369908"/>
    <s v="-77.5929864"/>
    <s v="NARIÑO"/>
    <s v="SAMANIEGO"/>
    <s v="SAMANIEGO"/>
    <n v="52678"/>
    <s v="2025-11-19"/>
    <m/>
    <m/>
    <m/>
    <m/>
    <n v="1"/>
    <s v="PASTO"/>
    <x v="5"/>
    <n v="49671.7"/>
    <n v="49671.7"/>
  </r>
  <r>
    <n v="76165"/>
    <s v="BARRIO MARIA EUGENIA SANTA MARTA  3"/>
    <n v="1082977459"/>
    <s v="3162950448"/>
    <s v="3162950448"/>
    <s v="3188903068"/>
    <s v="CL 1 CR 4 43 DIV 2 BRR SUCRE,EL PROGRESO"/>
    <s v="1.3391715"/>
    <s v="-77.5943070"/>
    <s v="NARIÑO"/>
    <s v="SAMANIEGO"/>
    <s v="SAMANIEGO"/>
    <n v="52678"/>
    <s v="2025-11-19"/>
    <m/>
    <m/>
    <m/>
    <m/>
    <n v="1"/>
    <s v="PASTO"/>
    <x v="5"/>
    <n v="49671.7"/>
    <n v="49671.7"/>
  </r>
  <r>
    <n v="61372"/>
    <s v="BARRIO CIUDAD EQUIDAD SANTA MARTA 1"/>
    <n v="1082972451"/>
    <s v="5781820"/>
    <s v="3102127135"/>
    <s v="3102127135"/>
    <s v="MZ A LOTE 4 CONJUNTO CAMPESTRE SAN CRISTOBAL,SAN CRISTOBAL"/>
    <s v="7.5971603"/>
    <s v="-72.6017712"/>
    <s v="NORTE DE SANTANDER"/>
    <s v="CHINÁCOTA"/>
    <s v="CHINÁCOTA"/>
    <n v="54172"/>
    <s v="2025-11-19"/>
    <m/>
    <m/>
    <m/>
    <m/>
    <n v="1"/>
    <s v="CUCUTA"/>
    <x v="2"/>
    <n v="49671.7"/>
    <n v="49671.7"/>
  </r>
  <r>
    <n v="58669"/>
    <s v="BARRIO ALTOS DE SANTA MARTA SANTA MARTA 1"/>
    <n v="1128225240"/>
    <s v="3205319355"/>
    <s v="3205319355"/>
    <s v="3205319355"/>
    <s v="CR 4 7-77,CENTRO"/>
    <s v="7.6216216"/>
    <s v="-72.5872133"/>
    <s v="NORTE DE SANTANDER"/>
    <s v="CHINÁCOTA"/>
    <s v="CHINÁCOTA"/>
    <n v="54172"/>
    <s v="2025-11-19"/>
    <m/>
    <m/>
    <m/>
    <m/>
    <n v="4"/>
    <s v="CUCUTA"/>
    <x v="2"/>
    <n v="49671.7"/>
    <n v="198686.8"/>
  </r>
  <r>
    <n v="51576"/>
    <s v="BARRIO CENTRO SANTA MARTA 17"/>
    <n v="7633128"/>
    <s v="3202883562"/>
    <s v="3202883562"/>
    <s v="3202883562"/>
    <s v="CR 10 A 6A 21 SUR,VALLE SANTA ANA"/>
    <s v="4.5662293"/>
    <s v="-74.2308454"/>
    <s v="CUNDINAMARCA"/>
    <s v="SOACHA"/>
    <s v="SOACHA"/>
    <n v="25754"/>
    <s v="2025-11-24"/>
    <m/>
    <m/>
    <m/>
    <m/>
    <n v="1"/>
    <s v="BOGOTA"/>
    <x v="4"/>
    <n v="37313"/>
    <n v="37313"/>
  </r>
  <r>
    <n v="47287"/>
    <s v="BARRIO LIBANO 2000 SANTA MARTA"/>
    <n v="1124054560"/>
    <s v="3046020519"/>
    <s v="3046020519"/>
    <s v="3046020519"/>
    <s v="CL 32 SUR 15 C 54,CIUDAD LATINA"/>
    <s v="4.575401"/>
    <s v="-74.243774"/>
    <s v="CUNDINAMARCA"/>
    <s v="SOACHA"/>
    <s v="SOACHA"/>
    <n v="25754"/>
    <s v="2025-11-27"/>
    <m/>
    <m/>
    <m/>
    <m/>
    <n v="2"/>
    <s v="BOGOTA"/>
    <x v="4"/>
    <n v="37313"/>
    <n v="74626"/>
  </r>
  <r>
    <n v="35236"/>
    <s v="BARRIO URBANIZACION ANDREA CAROLINA"/>
    <n v="1073979411"/>
    <s v="3208425592"/>
    <s v="3208425592"/>
    <s v="3208425592"/>
    <s v="CALLE 53 NO 10 - 33,LEON XIII"/>
    <s v="4.5961379"/>
    <s v="-74.1911335"/>
    <s v="CUNDINAMARCA"/>
    <s v="SOACHA"/>
    <s v="SOACHA"/>
    <n v="25754"/>
    <s v="2025-11-24"/>
    <m/>
    <m/>
    <m/>
    <m/>
    <n v="2"/>
    <s v="BOGOTA"/>
    <x v="4"/>
    <n v="37313"/>
    <n v="74626"/>
  </r>
  <r>
    <n v="78552"/>
    <s v="BARRIO EL DORADO PASTO"/>
    <n v="98343083"/>
    <s v="3203119503"/>
    <s v="3045328223"/>
    <s v="3045328223"/>
    <s v="CR 17 19 A SUR 112,INDUMIL"/>
    <s v="4.5809551"/>
    <s v="-74.2416241"/>
    <s v="CUNDINAMARCA"/>
    <s v="SOACHA"/>
    <s v="SOACHA"/>
    <n v="25754"/>
    <s v="2025-11-24"/>
    <m/>
    <m/>
    <m/>
    <m/>
    <n v="1"/>
    <s v="BOGOTA"/>
    <x v="4"/>
    <n v="37313"/>
    <n v="37313"/>
  </r>
  <r>
    <n v="11043"/>
    <s v="BARRIO VILLA DEL SOL"/>
    <n v="4486102"/>
    <s v="3232232476"/>
    <s v="3232293153"/>
    <s v="3232232476"/>
    <s v="CR 3 12B - 04,UBATE SOACHA"/>
    <s v="4.5772351"/>
    <s v="-74.2180057"/>
    <s v="CUNDINAMARCA"/>
    <s v="SOACHA"/>
    <s v="SOACHA"/>
    <n v="25754"/>
    <s v="2025-11-27"/>
    <m/>
    <m/>
    <m/>
    <m/>
    <n v="1"/>
    <s v="BOGOTA"/>
    <x v="4"/>
    <n v="37313"/>
    <n v="37313"/>
  </r>
  <r>
    <n v="15601"/>
    <s v="BARRIO PATIO BONITO II"/>
    <n v="900113903"/>
    <s v="0"/>
    <s v="0"/>
    <s v="3197797174"/>
    <s v="CR 5 ESTE 29 C 50,SAN MATEO"/>
    <s v="4.580607"/>
    <s v="-74.2041581"/>
    <s v="CUNDINAMARCA"/>
    <s v="SOACHA"/>
    <s v="SOACHA"/>
    <n v="25754"/>
    <s v="2025-11-26"/>
    <m/>
    <m/>
    <m/>
    <m/>
    <n v="4"/>
    <s v="BOGOTA"/>
    <x v="4"/>
    <n v="37313"/>
    <n v="149252"/>
  </r>
  <r>
    <n v="17046"/>
    <s v="BARRIO FONTIBON VII BOGOTA"/>
    <n v="3082327"/>
    <m/>
    <s v="3116043590"/>
    <s v="3125067284"/>
    <s v="TV 19 39 C - 105 LC 1, POTRERO GRANDE SOACHA"/>
    <s v="4.5953719"/>
    <s v="-74.205377"/>
    <s v="CUNDINAMARCA"/>
    <s v="SOACHA"/>
    <s v="SOACHA"/>
    <n v="25754"/>
    <s v="2025-11-04"/>
    <m/>
    <m/>
    <m/>
    <m/>
    <n v="1"/>
    <s v="BOGOTA"/>
    <x v="4"/>
    <n v="37313"/>
    <n v="37313"/>
  </r>
  <r>
    <n v="17236"/>
    <s v="BARRIO NORMANDIA XI BOGOTA"/>
    <n v="1019033081"/>
    <s v="0"/>
    <s v="3156103183"/>
    <s v="3156103183"/>
    <s v="CL 1 5 B 06,QUINTAS DE LA LAGUNA"/>
    <s v="4.5800664"/>
    <s v="-74.2258461"/>
    <s v="CUNDINAMARCA"/>
    <s v="SOACHA"/>
    <s v="SOACHA"/>
    <n v="25754"/>
    <s v="2025-11-24"/>
    <m/>
    <m/>
    <m/>
    <m/>
    <n v="1"/>
    <s v="BOGOTA"/>
    <x v="4"/>
    <n v="37313"/>
    <n v="37313"/>
  </r>
  <r>
    <n v="20628"/>
    <s v="BARRIO MOLINOS IV BOGOTA"/>
    <n v="79640367"/>
    <s v="3123785446"/>
    <s v="3123785446"/>
    <s v="3112175689"/>
    <s v="CL 10 NRO 14 111 LC 4Y5,BR SAN MIGUEL"/>
    <s v="7.884906651084266"/>
    <s v="-72.51421798833027"/>
    <s v="NORTE DE SANTANDER"/>
    <s v="CÚCUTA"/>
    <s v="CÚCUTA"/>
    <n v="54001"/>
    <s v="2025-11-27"/>
    <m/>
    <m/>
    <m/>
    <m/>
    <n v="6"/>
    <s v="CUCUTA"/>
    <x v="2"/>
    <n v="49671.7"/>
    <n v="298030.19999999995"/>
  </r>
  <r>
    <n v="16746"/>
    <s v="MATERIALES EMO II CALI"/>
    <n v="801002644"/>
    <s v="3219495425"/>
    <s v="3219495425"/>
    <s v="3219495425"/>
    <s v="MZ 32 - 5,BR PALMERAS PARTE ALTA"/>
    <s v="7.905714"/>
    <s v="-72.529599"/>
    <s v="NORTE DE SANTANDER"/>
    <s v="CÚCUTA"/>
    <s v="CÚCUTA"/>
    <n v="54001"/>
    <s v="2025-11-21"/>
    <m/>
    <m/>
    <m/>
    <m/>
    <n v="1"/>
    <s v="CUCUTA"/>
    <x v="2"/>
    <n v="49671.7"/>
    <n v="49671.7"/>
  </r>
  <r>
    <n v="17978"/>
    <s v="BARRIO LA GLORIA VICTORIA BOGOTA"/>
    <n v="1032357568"/>
    <s v="0"/>
    <s v="3015012755"/>
    <s v="3015012755"/>
    <s v="AV 6 CL 26 LC 1 BRR BUENOS AIRES"/>
    <s v="7.9286603"/>
    <s v="-72.5193356"/>
    <s v="NORTE DE SANTANDER"/>
    <s v="CÚCUTA"/>
    <s v="CÚCUTA"/>
    <n v="54001"/>
    <s v="2025-11-28"/>
    <m/>
    <m/>
    <m/>
    <m/>
    <n v="2"/>
    <s v="CUCUTA"/>
    <x v="2"/>
    <n v="49671.7"/>
    <n v="99343.4"/>
  </r>
  <r>
    <n v="21493"/>
    <s v="BARRIO MUNICIPAL - CALI"/>
    <n v="16667817"/>
    <s v="3204437646"/>
    <s v="3208903206"/>
    <s v="3204437646"/>
    <s v="CALLE 30 #1-81 LOCAL15,SAN MATEO"/>
    <s v="4.5833230"/>
    <s v="-74.2050433"/>
    <s v="CUNDINAMARCA"/>
    <s v="SOACHA"/>
    <s v="SOACHA"/>
    <n v="25754"/>
    <s v="2025-11-24"/>
    <m/>
    <m/>
    <m/>
    <m/>
    <n v="2"/>
    <s v="BOGOTA"/>
    <x v="4"/>
    <n v="37313"/>
    <n v="74626"/>
  </r>
  <r>
    <n v="17567"/>
    <s v="BARRIO LAGOS DE SUBA III BOGOTA"/>
    <n v="35510963"/>
    <s v="3214243579"/>
    <s v="3165669317"/>
    <s v="3204924701"/>
    <s v="CR 9 10 22 S,NEMESIS"/>
    <s v="4.564492"/>
    <s v="-74.232105"/>
    <s v="CUNDINAMARCA"/>
    <s v="SOACHA"/>
    <s v="SOACHA"/>
    <n v="25754"/>
    <s v="2025-11-20"/>
    <m/>
    <m/>
    <m/>
    <m/>
    <n v="2"/>
    <s v="BOGOTA"/>
    <x v="4"/>
    <n v="37313"/>
    <n v="74626"/>
  </r>
  <r>
    <n v="22822"/>
    <s v="BARRIO AURES - BOGOTÁ"/>
    <n v="41320027"/>
    <s v="3206245902"/>
    <s v="3206245902"/>
    <s v="3206245902"/>
    <s v="CL 42 ESTE 43-24"/>
    <s v="4.5742338"/>
    <s v="-74.177683"/>
    <s v="CUNDINAMARCA"/>
    <s v="SOACHA"/>
    <s v="SOACHA"/>
    <n v="25754"/>
    <s v="2025-11-20"/>
    <m/>
    <m/>
    <m/>
    <m/>
    <n v="3"/>
    <s v="BOGOTA"/>
    <x v="4"/>
    <n v="37313"/>
    <n v="111939"/>
  </r>
  <r>
    <n v="21792"/>
    <s v="BARRIO SUBA XVII - BOGOTÁ"/>
    <n v="53063313"/>
    <s v="3158130148"/>
    <s v="3158130148"/>
    <s v="3112291888"/>
    <s v="CL 27 SUR #15G - 60 "/>
    <s v="4.5759733"/>
    <s v="-74.2416533"/>
    <s v="CUNDINAMARCA"/>
    <s v="SOACHA"/>
    <s v="SOACHA"/>
    <n v="25754"/>
    <s v="2025-11-04"/>
    <m/>
    <m/>
    <m/>
    <m/>
    <n v="2"/>
    <s v="BOGOTA"/>
    <x v="4"/>
    <n v="37313"/>
    <n v="74626"/>
  </r>
  <r>
    <n v="22540"/>
    <s v="BARRIO QUINTA PAREDES IV - BOGOTÁ"/>
    <n v="900364915"/>
    <s v="3118606637"/>
    <s v="3118606637"/>
    <s v="3232503818"/>
    <s v="CL 34 ESTE 14-00 BL 24 CA 21 BOSQUES DE TIBANICA,SOACHA"/>
    <s v="4.57814"/>
    <s v="-74.195057"/>
    <s v="CUNDINAMARCA"/>
    <s v="SOACHA"/>
    <s v="SOACHA"/>
    <n v="25754"/>
    <s v="2025-11-04"/>
    <m/>
    <m/>
    <m/>
    <m/>
    <n v="1"/>
    <s v="BOGOTA"/>
    <x v="4"/>
    <n v="37313"/>
    <n v="37313"/>
  </r>
  <r>
    <n v="24244"/>
    <s v="BARRIO LA FELICIDAD - BOGOTÁ"/>
    <n v="79136311"/>
    <s v="0"/>
    <s v="3142143013"/>
    <s v="3142143013"/>
    <s v="CALLE 30 NO 1 - 140,SAN MATEO"/>
    <s v="4.5842339"/>
    <s v="-74.2051463"/>
    <s v="CUNDINAMARCA"/>
    <s v="SOACHA"/>
    <s v="SOACHA"/>
    <n v="25754"/>
    <s v="2025-11-26"/>
    <m/>
    <m/>
    <m/>
    <m/>
    <n v="1"/>
    <s v="BOGOTA"/>
    <x v="4"/>
    <n v="37313"/>
    <n v="37313"/>
  </r>
  <r>
    <n v="24510"/>
    <s v="BARRIO SUBA XX - BOGOTÁ"/>
    <n v="80187741"/>
    <s v="0"/>
    <s v="3112907216"/>
    <s v="3112907216"/>
    <s v="CR 4 28 - 04"/>
    <s v="4.584904"/>
    <s v="-74.206996"/>
    <s v="CUNDINAMARCA"/>
    <s v="SOACHA"/>
    <s v="SOACHA"/>
    <n v="25754"/>
    <s v="2025-11-24"/>
    <m/>
    <m/>
    <m/>
    <m/>
    <n v="3"/>
    <s v="BOGOTA"/>
    <x v="4"/>
    <n v="37313"/>
    <n v="111939"/>
  </r>
  <r>
    <n v="25708"/>
    <s v="CANDELARIA LA NUEVA BOGOTÁ - CUNDINAMARCA"/>
    <n v="52236739"/>
    <s v="3125583296"/>
    <s v="3125583296"/>
    <s v="3209969707"/>
    <s v="CR 14 ESTE # 32 A - 90,SOACHA TERREROS"/>
    <s v="4.5778786"/>
    <s v="-74.1962066"/>
    <s v="CUNDINAMARCA"/>
    <s v="SOACHA"/>
    <s v="SOACHA"/>
    <n v="25754"/>
    <s v="2025-11-20"/>
    <m/>
    <m/>
    <m/>
    <m/>
    <n v="1"/>
    <s v="BOGOTA"/>
    <x v="4"/>
    <n v="37313"/>
    <n v="37313"/>
  </r>
  <r>
    <n v="25527"/>
    <s v="SAN JOSÉ BOGOTÁ - CUNDINAMARCA"/>
    <n v="1013579237"/>
    <s v="3539261"/>
    <s v="3153834689"/>
    <s v="3153834689"/>
    <s v=" CR 4  4-30"/>
    <s v="5.31445424"/>
    <s v="-75.80114524"/>
    <s v="RISARALDA"/>
    <s v="GUÁTICA"/>
    <s v="GUÁTICA"/>
    <n v="66318"/>
    <s v="2025-11-13"/>
    <m/>
    <m/>
    <m/>
    <m/>
    <n v="3"/>
    <s v="PEREIRA"/>
    <x v="6"/>
    <n v="37313"/>
    <n v="111939"/>
  </r>
  <r>
    <n v="26847"/>
    <s v="BARRIO SUBA LISBOA BOGOTA"/>
    <n v="1019018018"/>
    <s v="3117312577"/>
    <s v="3117312577"/>
    <s v="3117312577"/>
    <s v="CR 5 12 32 40,CENTRO"/>
    <s v="5.3155780"/>
    <s v="-75.7981176"/>
    <s v="RISARALDA"/>
    <s v="GUÁTICA"/>
    <s v="GUÁTICA"/>
    <n v="66318"/>
    <s v="2025-11-27"/>
    <m/>
    <m/>
    <m/>
    <m/>
    <n v="2"/>
    <s v="PEREIRA"/>
    <x v="6"/>
    <n v="37313"/>
    <n v="74626"/>
  </r>
  <r>
    <n v="28697"/>
    <s v="BARRIO PATIO BONITO 13 BOGOTÁ"/>
    <n v="1030674988"/>
    <s v="3122228320"/>
    <s v="3122228320"/>
    <m/>
    <s v="CR 7 11 56 LC 1,EL JARDIN"/>
    <s v="5.3170577"/>
    <s v="-75.7989987"/>
    <s v="RISARALDA"/>
    <s v="GUÁTICA"/>
    <s v="GUÁTICA"/>
    <n v="66318"/>
    <s v="2025-11-13"/>
    <m/>
    <m/>
    <m/>
    <m/>
    <n v="2"/>
    <s v="PEREIRA"/>
    <x v="6"/>
    <n v="37313"/>
    <n v="74626"/>
  </r>
  <r>
    <n v="26396"/>
    <s v="BARRIO SAN NICOLAS VII - CALI"/>
    <n v="805029815"/>
    <s v="3655672"/>
    <s v="3148128310"/>
    <s v="3148128310"/>
    <s v="CL 16  14 - 26 CENTRO "/>
    <s v="4.8680410"/>
    <s v="-75.6219756"/>
    <s v="RISARALDA"/>
    <s v="SANTA ROSA DE CABAL"/>
    <s v="SANTA ROSA DE CABAL"/>
    <n v="66682"/>
    <s v="2025-11-13"/>
    <m/>
    <m/>
    <m/>
    <m/>
    <n v="2"/>
    <s v="PEREIRA"/>
    <x v="6"/>
    <n v="37313"/>
    <n v="74626"/>
  </r>
  <r>
    <n v="26399"/>
    <s v="BARRIO CALIMA VIII- CALI"/>
    <n v="900627646"/>
    <s v="3650257"/>
    <s v="3003550208"/>
    <s v="3003550208"/>
    <s v=" CL 12 9 89"/>
    <s v="4.8657664"/>
    <s v="-75.6169915"/>
    <s v="RISARALDA"/>
    <s v="SANTA ROSA DE CABAL"/>
    <s v="SANTA ROSA DE CABAL"/>
    <n v="66682"/>
    <s v="2025-11-13"/>
    <m/>
    <m/>
    <m/>
    <m/>
    <n v="2"/>
    <s v="PEREIRA"/>
    <x v="6"/>
    <n v="37313"/>
    <n v="74626"/>
  </r>
  <r>
    <n v="27456"/>
    <s v="BARRIO CENTENARIO BOGOTA"/>
    <n v="31324852"/>
    <s v="3653096"/>
    <s v="3104998310"/>
    <s v="3104998310"/>
    <s v=" CR 10 B 30 A 06 TORRE 1 APTO 103 A PORTAL DE LAS ARAUCARIAS"/>
    <s v="4.8812574"/>
    <s v="-75.6219682"/>
    <s v="RISARALDA"/>
    <s v="SANTA ROSA DE CABAL"/>
    <s v="SANTA ROSA DE CABAL"/>
    <n v="66682"/>
    <s v="2025-11-13"/>
    <m/>
    <m/>
    <m/>
    <m/>
    <n v="2"/>
    <s v="PEREIRA"/>
    <x v="6"/>
    <n v="37313"/>
    <n v="74626"/>
  </r>
  <r>
    <n v="31830"/>
    <s v="BARRIO SANTA HELENITA 3 BOGOTA"/>
    <n v="1019033081"/>
    <s v="0"/>
    <s v="3024135494"/>
    <s v="3024135494"/>
    <s v="KR 11 13 - 70,CENTRO"/>
    <s v="4.8670405"/>
    <s v="-75.6185710"/>
    <s v="RISARALDA"/>
    <s v="SANTA ROSA DE CABAL"/>
    <s v="SANTA ROSA DE CABAL"/>
    <n v="66682"/>
    <s v="2025-11-20"/>
    <m/>
    <m/>
    <m/>
    <m/>
    <n v="1"/>
    <s v="PEREIRA"/>
    <x v="6"/>
    <n v="37313"/>
    <n v="37313"/>
  </r>
  <r>
    <n v="33186"/>
    <s v="BARRIO SUBA GAITANA BOGOTA 1"/>
    <n v="13513844"/>
    <m/>
    <s v="3137605833"/>
    <s v="3137605833"/>
    <s v="CRA 14# 18-14 centro"/>
    <s v="4.8699557"/>
    <s v="-75.6222946"/>
    <s v="RISARALDA"/>
    <s v="SANTA ROSA DE CABAL"/>
    <s v="SANTA ROSA DE CABAL"/>
    <n v="66682"/>
    <s v="2025-11-20"/>
    <m/>
    <m/>
    <m/>
    <m/>
    <n v="2"/>
    <s v="PEREIRA"/>
    <x v="6"/>
    <n v="37313"/>
    <n v="74626"/>
  </r>
  <r>
    <n v="33563"/>
    <s v="BARRIO SUBA LOMBARDIA BOGOTA 1"/>
    <n v="35510717"/>
    <s v="3172902553"/>
    <s v="3172902553"/>
    <s v="3172902553"/>
    <s v="KR 10 BIS N 9B - 45 BRR BOLIVAR, BOLIVAR"/>
    <s v="4.8635043"/>
    <s v="-75.6191720"/>
    <s v="RISARALDA"/>
    <s v="SANTA ROSA DE CABAL"/>
    <s v="SANTA ROSA DE CABAL"/>
    <n v="66682"/>
    <s v="2025-11-20"/>
    <m/>
    <m/>
    <m/>
    <m/>
    <n v="2"/>
    <s v="PEREIRA"/>
    <x v="6"/>
    <n v="37313"/>
    <n v="74626"/>
  </r>
  <r>
    <n v="29218"/>
    <s v="BARRIO LA ESTANCIA 2 BOGOTÁ"/>
    <n v="79581644"/>
    <s v="3216871486"/>
    <s v="3216871486"/>
    <s v="3216871486"/>
    <s v="CL 45 13 03 MZ 3 CA 52 BRR LOS CRISTALES,LOS CRISTALES"/>
    <s v="4.8923411"/>
    <s v="-75.6263721"/>
    <s v="RISARALDA"/>
    <s v="SANTA ROSA DE CABAL"/>
    <s v="SANTA ROSA DE CABAL"/>
    <n v="66682"/>
    <s v="2025-11-13"/>
    <m/>
    <m/>
    <m/>
    <m/>
    <n v="1"/>
    <s v="PEREIRA"/>
    <x v="6"/>
    <n v="37313"/>
    <n v="37313"/>
  </r>
  <r>
    <n v="32122"/>
    <s v="BARRIO 7 DE AGOSTO 10 BOGOTÁ"/>
    <n v="51834939"/>
    <s v="3058529112"/>
    <s v="3058529112"/>
    <s v="3045986489"/>
    <s v="CR 23 23 02,LA HERMOSA"/>
    <s v="4.8730042"/>
    <s v="-75.6288867"/>
    <s v="RISARALDA"/>
    <s v="SANTA ROSA DE CABAL"/>
    <s v="SANTA ROSA DE CABAL"/>
    <n v="66682"/>
    <s v="2025-11-20"/>
    <m/>
    <m/>
    <m/>
    <m/>
    <n v="2"/>
    <s v="PEREIRA"/>
    <x v="6"/>
    <n v="37313"/>
    <n v="74626"/>
  </r>
  <r>
    <n v="32052"/>
    <s v="BARRIO SUBA ALCAPARROS  BOGOTÁ"/>
    <n v="1032407373"/>
    <s v="3104751949"/>
    <s v="3104751949"/>
    <s v="3104751949"/>
    <s v="CR 14 15 17 ,CENTRO"/>
    <s v="4.8674479"/>
    <s v="-75.6214866"/>
    <s v="RISARALDA"/>
    <s v="SANTA ROSA DE CABAL"/>
    <s v="SANTA ROSA DE CABAL"/>
    <n v="66682"/>
    <s v="2025-11-20"/>
    <m/>
    <m/>
    <m/>
    <m/>
    <n v="2"/>
    <s v="PEREIRA"/>
    <x v="6"/>
    <n v="37313"/>
    <n v="74626"/>
  </r>
  <r>
    <n v="32415"/>
    <s v="BARRIO CENTRO SAN NICOLAS CALI"/>
    <n v="1144128226"/>
    <s v="3204160791"/>
    <s v="3204160791"/>
    <s v="3204160791"/>
    <s v="VRD 0 0 0 KM 10 VIA SANGIL BARICHARA VEREDA EL GUAYABAL,VEREDA EL GUAYABAL"/>
    <s v="6.6064792"/>
    <s v="-73.2375133"/>
    <s v="SANTANDER"/>
    <s v="BARICHARA"/>
    <s v="BARICHARA"/>
    <n v="68079"/>
    <s v="2025-11-19"/>
    <m/>
    <m/>
    <m/>
    <m/>
    <n v="2"/>
    <s v="BUCARAMANGA"/>
    <x v="2"/>
    <n v="37313"/>
    <n v="74626"/>
  </r>
  <r>
    <n v="33918"/>
    <s v="BARRIO CENTRO CALI 7"/>
    <n v="900835258"/>
    <s v="6229758"/>
    <s v="3206679525"/>
    <s v="3206679525"/>
    <s v=" CR 17  47-44"/>
    <s v="7.5801354"/>
    <s v="-73.86017434"/>
    <s v="SANTANDER"/>
    <s v="BARRANCABERMEJA"/>
    <s v="BARRANCABERMEJA"/>
    <n v="68081"/>
    <s v="2025-11-27"/>
    <m/>
    <m/>
    <m/>
    <m/>
    <n v="2"/>
    <s v="BUCARAMANGA"/>
    <x v="2"/>
    <n v="37313"/>
    <n v="74626"/>
  </r>
  <r>
    <n v="34158"/>
    <s v="BARRIO PERDOMO BOGOTA 6"/>
    <n v="1010198889"/>
    <s v="6200176"/>
    <s v="3002873915"/>
    <s v="3002873915"/>
    <s v=" CR 8 50 17 CPC FASE II LC 169"/>
    <s v="7.0610847"/>
    <s v="-73.8689389"/>
    <s v="SANTANDER"/>
    <s v="BARRANCABERMEJA"/>
    <s v="BARRANCABERMEJA"/>
    <n v="68081"/>
    <s v="2025-11-27"/>
    <m/>
    <m/>
    <m/>
    <m/>
    <n v="4"/>
    <s v="BUCARAMANGA"/>
    <x v="2"/>
    <n v="37313"/>
    <n v="149252"/>
  </r>
  <r>
    <n v="35053"/>
    <s v="BARRIO PATIO BONITO BOGOTA 2"/>
    <n v="53115070"/>
    <m/>
    <s v="3118242969"/>
    <s v="3223283168"/>
    <s v="CL 45 35 A 06,SIMON BOLIVAR"/>
    <s v="7.056753"/>
    <s v="-73.843971"/>
    <s v="SANTANDER"/>
    <s v="BARRANCABERMEJA"/>
    <s v="BARRANCABERMEJA"/>
    <n v="68081"/>
    <s v="2025-11-27"/>
    <m/>
    <m/>
    <m/>
    <m/>
    <n v="1"/>
    <s v="BUCARAMANGA"/>
    <x v="2"/>
    <n v="37313"/>
    <n v="37313"/>
  </r>
  <r>
    <n v="34769"/>
    <s v="BARRIO MARROQUIN 2 CALI"/>
    <n v="94514551"/>
    <s v="311 8242969"/>
    <s v="3118242969"/>
    <s v="3162678137"/>
    <s v="AV 52 A 35 B 17 PRIMERO DE MAYO,SIMON BOLIVAR"/>
    <s v="7.06261000"/>
    <s v="-73.841529"/>
    <s v="SANTANDER"/>
    <s v="BARRANCABERMEJA"/>
    <s v="BARRANCABERMEJA"/>
    <n v="68081"/>
    <s v="2025-11-28"/>
    <m/>
    <m/>
    <m/>
    <m/>
    <n v="2"/>
    <s v="BUCARAMANGA"/>
    <x v="2"/>
    <n v="37313"/>
    <n v="74626"/>
  </r>
  <r>
    <n v="34821"/>
    <s v="BARRIO LAS PALMITAS BOGOTA"/>
    <n v="53115070"/>
    <s v="0"/>
    <s v="3226836079"/>
    <s v="3226836079"/>
    <s v="AV 1E 12-39,BRR CAOBOS"/>
    <s v="7.8851621"/>
    <s v="-72.4973821"/>
    <s v="NORTE DE SANTANDER"/>
    <s v="CÚCUTA"/>
    <s v="CÚCUTA"/>
    <n v="54001"/>
    <s v="2025-11-20"/>
    <m/>
    <m/>
    <m/>
    <m/>
    <n v="2"/>
    <s v="CUCUTA"/>
    <x v="2"/>
    <n v="49671.7"/>
    <n v="99343.4"/>
  </r>
  <r>
    <n v="35879"/>
    <s v="BARRIO PATIO BONITO BOGOTA 3"/>
    <n v="39689554"/>
    <s v="0"/>
    <s v="3226836079"/>
    <s v="3226836079"/>
    <s v="AV 0 11-165 LC 1,BRR CAOBOS"/>
    <s v="7.88532200"/>
    <s v="-72.4979199"/>
    <s v="NORTE DE SANTANDER"/>
    <s v="CÚCUTA"/>
    <s v="CÚCUTA"/>
    <n v="54001"/>
    <s v="2025-11-20"/>
    <m/>
    <m/>
    <m/>
    <m/>
    <n v="2"/>
    <s v="CUCUTA"/>
    <x v="2"/>
    <n v="49671.7"/>
    <n v="99343.4"/>
  </r>
  <r>
    <n v="37034"/>
    <s v="BARRIO SAN PABLO BOGOTA"/>
    <n v="80489945"/>
    <s v="3143149820"/>
    <s v="3143149820"/>
    <s v="3143149820"/>
    <s v="AV 7 NRO 0-69 LOCAL M1-39,BRR CALLEJON"/>
    <s v="7.8918919"/>
    <s v="-72.5065362"/>
    <s v="NORTE DE SANTANDER"/>
    <s v="CÚCUTA"/>
    <s v="CÚCUTA"/>
    <n v="54001"/>
    <s v="2025-11-24"/>
    <m/>
    <m/>
    <m/>
    <m/>
    <n v="2"/>
    <s v="CUCUTA"/>
    <x v="2"/>
    <n v="49671.7"/>
    <n v="99343.4"/>
  </r>
  <r>
    <n v="34309"/>
    <s v="BARRIO SANTO DOMINGO CALI"/>
    <n v="42089414"/>
    <s v="0"/>
    <s v="3208014971"/>
    <s v="3208014971"/>
    <s v="CL 7 2-95,LATINO"/>
    <s v="7.890385166"/>
    <s v="-72.502136222"/>
    <s v="NORTE DE SANTANDER"/>
    <s v="CÚCUTA"/>
    <s v="CÚCUTA"/>
    <n v="54001"/>
    <s v="2025-11-24"/>
    <m/>
    <m/>
    <m/>
    <m/>
    <n v="3"/>
    <s v="CUCUTA"/>
    <x v="2"/>
    <n v="49671.7"/>
    <n v="149015.09999999998"/>
  </r>
  <r>
    <n v="35653"/>
    <s v="BARRIO PRADOS DEL NORTE CALI 1"/>
    <n v="1118299396"/>
    <s v="3214581649"/>
    <s v="3214581649"/>
    <s v="3214581649"/>
    <s v="CC ALEJANDRIA LOC 34 - 043/34-044 EL CENTRO,"/>
    <s v="7.8885719722"/>
    <s v="-72.5056960"/>
    <s v="NORTE DE SANTANDER"/>
    <s v="CÚCUTA"/>
    <s v="CÚCUTA"/>
    <n v="54001"/>
    <s v="2025-11-20"/>
    <m/>
    <m/>
    <m/>
    <m/>
    <n v="1"/>
    <s v="CUCUTA"/>
    <x v="2"/>
    <n v="49671.7"/>
    <n v="49671.7"/>
  </r>
  <r>
    <n v="38327"/>
    <s v="BARRIO EL SALITRE BOGOTA"/>
    <n v="4159131"/>
    <s v="0"/>
    <s v="3107355344"/>
    <s v="3107355644"/>
    <s v="CL 18A 7-78,BRR LA LIBERTAD"/>
    <s v="7.887455"/>
    <s v="-72.481408"/>
    <s v="NORTE DE SANTANDER"/>
    <s v="CÚCUTA"/>
    <s v="CÚCUTA"/>
    <n v="54001"/>
    <s v="2025-11-27"/>
    <m/>
    <m/>
    <m/>
    <m/>
    <n v="2"/>
    <s v="CUCUTA"/>
    <x v="2"/>
    <n v="49671.7"/>
    <n v="99343.4"/>
  </r>
  <r>
    <n v="40458"/>
    <s v="BARRIO BETANIA BOGOTA 1"/>
    <n v="1032369298"/>
    <s v="3002012150"/>
    <s v="3002012150"/>
    <s v="3002012150"/>
    <s v="CL 5 N 8-81 - CALLEJON"/>
    <s v="7.891091777"/>
    <s v="-72.50891875"/>
    <s v="NORTE DE SANTANDER"/>
    <s v="CÚCUTA"/>
    <s v="CÚCUTA"/>
    <n v="54001"/>
    <s v="2025-11-25"/>
    <m/>
    <m/>
    <m/>
    <m/>
    <n v="1"/>
    <s v="CUCUTA"/>
    <x v="2"/>
    <n v="49671.7"/>
    <n v="49671.7"/>
  </r>
  <r>
    <n v="39488"/>
    <s v="BARRIO CENTRO CALI 19"/>
    <n v="890306372"/>
    <m/>
    <s v="3004725680"/>
    <s v="3004725680"/>
    <s v="CL 9 4-42 LOC 79 Y 80 CC EL PALACIO,EL CENTRO"/>
    <s v="7.888283000"/>
    <s v="-72.50335497"/>
    <s v="NORTE DE SANTANDER"/>
    <s v="CÚCUTA"/>
    <s v="CÚCUTA"/>
    <n v="54001"/>
    <s v="2025-11-27"/>
    <m/>
    <m/>
    <m/>
    <m/>
    <n v="1"/>
    <s v="CUCUTA"/>
    <x v="2"/>
    <n v="49671.7"/>
    <n v="49671.7"/>
  </r>
  <r>
    <n v="41145"/>
    <s v="BARRIO SALOMIA CALI 3"/>
    <n v="1144189178"/>
    <s v="0"/>
    <s v="3136617621"/>
    <s v="3136617621"/>
    <s v="AV 7 0-61 LC N1 86 MUELLE 1,CALLEJON"/>
    <s v="7.8959599722"/>
    <s v="-72.5079209722"/>
    <s v="NORTE DE SANTANDER"/>
    <s v="CÚCUTA"/>
    <s v="CÚCUTA"/>
    <n v="54001"/>
    <s v="2025-11-24"/>
    <m/>
    <m/>
    <m/>
    <m/>
    <n v="2"/>
    <s v="CUCUTA"/>
    <x v="2"/>
    <n v="49671.7"/>
    <n v="99343.4"/>
  </r>
  <r>
    <n v="77340"/>
    <s v="BARRIO LA PRIMAVERA CALI  1"/>
    <n v="66981567"/>
    <s v="3017754759"/>
    <s v="3017754759"/>
    <s v="3017754759"/>
    <s v="CL 6 NRO 13-36,COMUNEROS"/>
    <s v="7.9128332"/>
    <s v="-72.5255081"/>
    <s v="NORTE DE SANTANDER"/>
    <s v="CÚCUTA"/>
    <s v="CÚCUTA"/>
    <n v="54001"/>
    <s v="2025-11-28"/>
    <m/>
    <m/>
    <m/>
    <m/>
    <n v="2"/>
    <s v="CUCUTA"/>
    <x v="2"/>
    <n v="49671.7"/>
    <n v="99343.4"/>
  </r>
  <r>
    <n v="78068"/>
    <s v="BARRIO CONDADO DE CASTILLA BOGOTA"/>
    <n v="91493829"/>
    <s v="7797945"/>
    <s v="3134794656"/>
    <s v="3134794656"/>
    <s v="CL 48 12 09E JULIO RINCON SOACHA"/>
    <s v="4.5864764"/>
    <s v="-74.1887242"/>
    <s v="CUNDINAMARCA"/>
    <s v="SOACHA"/>
    <s v="SOACHA"/>
    <n v="25754"/>
    <s v="2025-11-24"/>
    <m/>
    <m/>
    <m/>
    <m/>
    <n v="3"/>
    <s v="BOGOTA"/>
    <x v="4"/>
    <n v="37313"/>
    <n v="111939"/>
  </r>
  <r>
    <n v="78240"/>
    <s v="BARRIO BOSA PIAMONTE BOGOTA 4"/>
    <n v="1012425308"/>
    <s v="3134421549"/>
    <s v="3134421549"/>
    <s v="3134421549"/>
    <s v="TV 18 J # 10-20,DANUBIO SOACHA"/>
    <s v="4.5892137"/>
    <s v="-74.2239448"/>
    <s v="CUNDINAMARCA"/>
    <s v="SOACHA"/>
    <s v="SOACHA"/>
    <n v="25754"/>
    <s v="2025-11-26"/>
    <m/>
    <m/>
    <m/>
    <m/>
    <n v="2"/>
    <s v="BOGOTA"/>
    <x v="4"/>
    <n v="37313"/>
    <n v="74626"/>
  </r>
  <r>
    <n v="78241"/>
    <s v="BARRIO MONTE BLANCO BOGOTA  2"/>
    <n v="1080187193"/>
    <s v="9003134"/>
    <s v="3132602711"/>
    <s v="3132602711"/>
    <s v="CL 26 SUR 12 C 7 COMPARTIR"/>
    <s v="4.5706617"/>
    <s v="-74.2392233"/>
    <s v="CUNDINAMARCA"/>
    <s v="SOACHA"/>
    <s v="SOACHA"/>
    <n v="25754"/>
    <s v="2025-11-24"/>
    <m/>
    <m/>
    <m/>
    <m/>
    <n v="3"/>
    <s v="BOGOTA"/>
    <x v="4"/>
    <n v="37313"/>
    <n v="111939"/>
  </r>
  <r>
    <n v="79288"/>
    <s v="BARRIO CHARCO AZUL CALI"/>
    <n v="16706827"/>
    <s v="9016475"/>
    <s v="3142356726"/>
    <s v="3102203883"/>
    <s v="CR 9A 16A - 105 SUR TO 4 AP 102,"/>
    <s v="4.579474"/>
    <s v="-74.234707"/>
    <s v="CUNDINAMARCA"/>
    <s v="SOACHA"/>
    <s v="SOACHA"/>
    <n v="25754"/>
    <s v="2025-11-12"/>
    <m/>
    <m/>
    <m/>
    <m/>
    <n v="3"/>
    <s v="BOGOTA"/>
    <x v="4"/>
    <n v="37313"/>
    <n v="111939"/>
  </r>
  <r>
    <n v="79656"/>
    <s v="BARRIO VEREDA CASICASGO SUESCA"/>
    <n v="901407185"/>
    <s v="9041876"/>
    <s v="3223650121"/>
    <s v="3223650121"/>
    <s v="TV 12 45 - 105"/>
    <s v="4.5977224"/>
    <s v="-74.1913118"/>
    <s v="CUNDINAMARCA"/>
    <s v="SOACHA"/>
    <s v="SOACHA"/>
    <n v="25754"/>
    <s v="2025-11-24"/>
    <m/>
    <m/>
    <m/>
    <m/>
    <n v="1"/>
    <s v="BOGOTA"/>
    <x v="4"/>
    <n v="37313"/>
    <n v="37313"/>
  </r>
  <r>
    <n v="80244"/>
    <s v="BARRIO BAVARIA PRIMER SECTOR BOGOTA"/>
    <n v="79902110"/>
    <s v="7622324"/>
    <s v="3143428069"/>
    <s v="3143428069"/>
    <s v=" TV 13  36 06"/>
    <s v="4.5903402"/>
    <s v="-74.2003543"/>
    <s v="CUNDINAMARCA"/>
    <s v="SOACHA"/>
    <s v="SOACHA"/>
    <n v="25754"/>
    <s v="2025-11-25"/>
    <m/>
    <m/>
    <m/>
    <m/>
    <n v="3"/>
    <s v="BOGOTA"/>
    <x v="4"/>
    <n v="37313"/>
    <n v="111939"/>
  </r>
  <r>
    <n v="80115"/>
    <s v="BARRIO MARIA PAZ BOGOTA 7"/>
    <n v="12206322"/>
    <s v="3666417"/>
    <s v="3125660490"/>
    <s v="3125660490"/>
    <s v="TV 7 4B 06"/>
    <s v="4.5826202"/>
    <s v="-74.2238858"/>
    <s v="CUNDINAMARCA"/>
    <s v="SOACHA"/>
    <s v="SOACHA"/>
    <n v="25754"/>
    <s v="2025-11-12"/>
    <m/>
    <m/>
    <m/>
    <m/>
    <n v="1"/>
    <s v="BOGOTA"/>
    <x v="4"/>
    <n v="37313"/>
    <n v="37313"/>
  </r>
  <r>
    <n v="80651"/>
    <s v="BARRIO BOSA PIAMONTE BOGOTA 5"/>
    <n v="28053959"/>
    <s v="9021863"/>
    <s v="3134919803"/>
    <s v="3106296568"/>
    <s v=" CR 15 F  32 67"/>
    <s v="4.5753914"/>
    <s v="-74.2442273"/>
    <s v="CUNDINAMARCA"/>
    <s v="SOACHA"/>
    <s v="SOACHA"/>
    <n v="25754"/>
    <s v="2025-11-25"/>
    <m/>
    <m/>
    <m/>
    <m/>
    <n v="3"/>
    <s v="BOGOTA"/>
    <x v="4"/>
    <n v="37313"/>
    <n v="111939"/>
  </r>
  <r>
    <n v="80431"/>
    <s v="BARRIO RIO NEGRO BOGOTA 4"/>
    <n v="901830353"/>
    <s v="8284868"/>
    <s v="3017495569"/>
    <s v="3154041340"/>
    <s v=" CR 2C  26 05 LC 101"/>
    <s v="4.583291"/>
    <s v="-74.2084915"/>
    <s v="CUNDINAMARCA"/>
    <s v="SOACHA"/>
    <s v="SOACHA"/>
    <n v="25754"/>
    <s v="2025-11-25"/>
    <m/>
    <m/>
    <m/>
    <m/>
    <n v="1"/>
    <s v="BOGOTA"/>
    <x v="4"/>
    <n v="37313"/>
    <n v="37313"/>
  </r>
  <r>
    <n v="42327"/>
    <s v="BARRIO BOSA BOGOTA 6"/>
    <n v="1012433757"/>
    <s v="0"/>
    <s v="3113797153"/>
    <s v="3113797153"/>
    <s v="CR 3  3 - 10 BRR PIEDRA DE BOLIVAR CABECERA MUNCIPAL DE BERRUECOS"/>
    <s v="1.50327"/>
    <s v="-77.135802"/>
    <s v="NARIÑO"/>
    <s v="ARBOLEDA"/>
    <s v="BERRUECOS"/>
    <n v="52051"/>
    <s v="2025-11-10"/>
    <m/>
    <m/>
    <m/>
    <m/>
    <n v="6"/>
    <s v="PASTO"/>
    <x v="5"/>
    <n v="49671.7"/>
    <n v="298030.19999999995"/>
  </r>
  <r>
    <n v="42329"/>
    <s v="BARRIO BOSA BOGOTA 7"/>
    <n v="1022408241"/>
    <s v="318 8895881"/>
    <s v="3188895881"/>
    <s v="3209780387"/>
    <s v="CC C.P.C FASE 1 LOCAL 156 SECTOR COMERCIAL,BARRANCABERMEJA"/>
    <s v="7.0610928"/>
    <s v="-73.8689381"/>
    <s v="SANTANDER"/>
    <s v="BARRANCABERMEJA"/>
    <s v="BARRANCABERMEJA"/>
    <n v="68081"/>
    <s v="2025-11-28"/>
    <m/>
    <m/>
    <m/>
    <m/>
    <n v="2"/>
    <s v="BUCARAMANGA"/>
    <x v="2"/>
    <n v="37313"/>
    <n v="74626"/>
  </r>
  <r>
    <n v="42417"/>
    <s v="BARRIO CENTRO CALI 23"/>
    <n v="890306372"/>
    <s v="3124542809"/>
    <s v="3166740291"/>
    <s v="3166740291"/>
    <s v="CR 21 54 38 LOCAL 2,TORCOROMA"/>
    <s v="7.6455449"/>
    <s v="-73.85621191"/>
    <s v="SANTANDER"/>
    <s v="BARRANCABERMEJA"/>
    <s v="BARRANCABERMEJA"/>
    <n v="68081"/>
    <s v="2025-11-13"/>
    <m/>
    <m/>
    <m/>
    <m/>
    <n v="1"/>
    <s v="BUCARAMANGA"/>
    <x v="2"/>
    <n v="37313"/>
    <n v="37313"/>
  </r>
  <r>
    <n v="42663"/>
    <s v="BARRIO BOSA PORVENIR BOGOTA 2"/>
    <n v="14274460"/>
    <s v="3102441621"/>
    <s v="3102441621"/>
    <s v="3102441621"/>
    <s v="CL 9 4 34,BRR SAN ANTONIO"/>
    <s v="5.9896741"/>
    <s v="-73.7711300"/>
    <s v="SANTANDER"/>
    <s v="BOLÍVAR"/>
    <s v="BOLÍVAR"/>
    <n v="68101"/>
    <s v="2025-11-06"/>
    <m/>
    <m/>
    <m/>
    <m/>
    <n v="2"/>
    <s v="TUNJA"/>
    <x v="2"/>
    <n v="49671.7"/>
    <n v="99343.4"/>
  </r>
  <r>
    <n v="43766"/>
    <s v="BARRIO BOSA CARLOS ALBAN BOGOTA 1"/>
    <n v="52755576"/>
    <s v="3115068900"/>
    <s v="0"/>
    <s v="3115068900"/>
    <s v="CR 4 9 45,NUEVO PORTAL"/>
    <s v="5.9900675"/>
    <s v="-73.7707332"/>
    <s v="SANTANDER"/>
    <s v="BOLÍVAR"/>
    <s v="BOLÍVAR"/>
    <n v="68101"/>
    <s v="2025-11-06"/>
    <m/>
    <m/>
    <m/>
    <m/>
    <n v="2"/>
    <s v="TUNJA"/>
    <x v="2"/>
    <n v="49671.7"/>
    <n v="99343.4"/>
  </r>
  <r>
    <n v="44033"/>
    <s v="BARRIO LAS GRANJAS BOGOTA"/>
    <n v="53049846"/>
    <s v="6600050"/>
    <s v="3132630189"/>
    <s v="3132630189"/>
    <s v=" CR 4  3-91"/>
    <s v="6.5295383"/>
    <s v="-72.6968520"/>
    <s v="SANTANDER"/>
    <s v="CAPITANEJO"/>
    <s v="CAPITANEJO"/>
    <n v="68147"/>
    <s v="2025-11-27"/>
    <m/>
    <m/>
    <m/>
    <m/>
    <n v="2"/>
    <s v="BUCARAMANGA"/>
    <x v="2"/>
    <n v="37313"/>
    <n v="74626"/>
  </r>
  <r>
    <n v="46195"/>
    <s v="BARRIO PRADOS DE SANTA BARBARA BOGOTA"/>
    <n v="51932280"/>
    <s v="3102178805"/>
    <s v="3102178805"/>
    <s v="3102178805"/>
    <s v="CR 4 NO.1-11,LIBERTADORES"/>
    <s v="7.1137912"/>
    <s v="-73.1081034"/>
    <s v="SANTANDER"/>
    <s v="CAPITANEJO"/>
    <s v="CAPITANEJO"/>
    <n v="68147"/>
    <s v="2025-11-27"/>
    <m/>
    <m/>
    <m/>
    <m/>
    <n v="2"/>
    <s v="BUCARAMANGA"/>
    <x v="2"/>
    <n v="37313"/>
    <n v="74626"/>
  </r>
  <r>
    <n v="43591"/>
    <s v="BARRIO AURES II BOGOTA 1"/>
    <n v="901165287"/>
    <s v="2798260"/>
    <s v="3125722106"/>
    <s v="3125722106"/>
    <s v=" CR 14  24-30"/>
    <s v="6.2879694"/>
    <s v="-73.1461369"/>
    <s v="SANTANDER"/>
    <s v="CHARALÁ"/>
    <s v="CHARALÁ"/>
    <n v="68167"/>
    <s v="2025-11-18"/>
    <m/>
    <m/>
    <m/>
    <m/>
    <n v="2"/>
    <s v="BUCARAMANGA"/>
    <x v="2"/>
    <n v="37313"/>
    <n v="74626"/>
  </r>
  <r>
    <n v="43595"/>
    <s v="BARRIO AMERICAS BOGOTA 4"/>
    <n v="1034518"/>
    <s v="3142142552"/>
    <s v="3142142552"/>
    <s v="3142142552"/>
    <s v="CR 14 A #22-75 BRR José Antonio Galán"/>
    <s v="6.28626664"/>
    <s v="-73.14632268"/>
    <s v="SANTANDER"/>
    <s v="CHARALÁ"/>
    <s v="CHARALÁ"/>
    <n v="68167"/>
    <s v="2025-11-18"/>
    <m/>
    <m/>
    <m/>
    <m/>
    <n v="2"/>
    <s v="BUCARAMANGA"/>
    <x v="2"/>
    <n v="37313"/>
    <n v="74626"/>
  </r>
  <r>
    <n v="47605"/>
    <s v="BARRIO MONTERREY BOGOTA"/>
    <n v="52316901"/>
    <s v="3123507006"/>
    <s v="3123507006"/>
    <s v="3123507006"/>
    <s v="CL 24 14 A 41"/>
    <s v="6.2876965"/>
    <s v="-73.1467676"/>
    <s v="SANTANDER"/>
    <s v="CHARALÁ"/>
    <s v="CHARALÁ"/>
    <n v="68167"/>
    <s v="2025-11-18"/>
    <m/>
    <m/>
    <m/>
    <m/>
    <n v="1"/>
    <s v="BUCARAMANGA"/>
    <x v="2"/>
    <n v="37313"/>
    <n v="37313"/>
  </r>
  <r>
    <n v="47175"/>
    <s v="BARRIO SANTA LIBRADA BOGOTA 6"/>
    <n v="1071302150"/>
    <s v="3003964105"/>
    <s v="3003964105"/>
    <s v="3003964105"/>
    <s v="CR 26 NRO 32 - 55 LC 02,CENTRO"/>
    <s v="9.3174814"/>
    <s v="-75.2927621"/>
    <s v="SUCRE"/>
    <s v="COROZAL"/>
    <s v="COROZAL"/>
    <n v="70215"/>
    <s v="2025-11-18"/>
    <m/>
    <m/>
    <m/>
    <m/>
    <n v="2"/>
    <s v="SINCELEJO"/>
    <x v="1"/>
    <n v="49671.7"/>
    <n v="99343.4"/>
  </r>
  <r>
    <n v="46824"/>
    <s v="BARRIO FONTIBON ARABIA BOGOTA"/>
    <n v="39745060"/>
    <s v="3105521945"/>
    <s v="3145243646"/>
    <s v="3145243646"/>
    <s v=" CR 12 CALLE 11 2 APTO 01 CENTRO"/>
    <s v="9.1609305"/>
    <s v="-75.04783"/>
    <s v="SUCRE"/>
    <s v="GALERAS"/>
    <s v="GALERAS"/>
    <n v="70235"/>
    <s v="2025-11-13"/>
    <m/>
    <m/>
    <m/>
    <m/>
    <n v="1"/>
    <s v="SINCELEJO"/>
    <x v="1"/>
    <n v="49671.7"/>
    <n v="49671.7"/>
  </r>
  <r>
    <n v="46887"/>
    <s v="BARRIO PATIO BONITO BOGOTA 9"/>
    <n v="79826217"/>
    <s v="3218318780"/>
    <s v="3218318780"/>
    <s v="3218318780"/>
    <s v="CR 12 CALLE 13 3,CENTRO"/>
    <s v="9.1620917"/>
    <s v="-75.0476256"/>
    <s v="SUCRE"/>
    <s v="GALERAS"/>
    <s v="GALERAS"/>
    <n v="70235"/>
    <s v="2025-11-13"/>
    <m/>
    <m/>
    <m/>
    <m/>
    <n v="2"/>
    <s v="SINCELEJO"/>
    <x v="1"/>
    <n v="49671.7"/>
    <n v="99343.4"/>
  </r>
  <r>
    <n v="47023"/>
    <s v="BARRIO NUEVA ZELANDIA BOGOTA 3"/>
    <n v="52696226"/>
    <s v="5968635"/>
    <s v="3154540720"/>
    <s v="3154540720"/>
    <s v="CL 20 18-01,AGUAS CALIENTES"/>
    <s v="7.8832365"/>
    <s v="-72.4723828"/>
    <s v="NORTE DE SANTANDER"/>
    <s v="CÚCUTA"/>
    <s v="CÚCUTA"/>
    <n v="54001"/>
    <s v="2025-11-26"/>
    <m/>
    <m/>
    <m/>
    <m/>
    <n v="2"/>
    <s v="CUCUTA"/>
    <x v="2"/>
    <n v="49671.7"/>
    <n v="99343.4"/>
  </r>
  <r>
    <n v="47025"/>
    <s v="BARRIO DINDALITO BOGOTA 9"/>
    <n v="53115070"/>
    <s v="0"/>
    <s v="3187951960"/>
    <s v="3187951960"/>
    <s v="calle 9#2-83"/>
    <s v="7.8962267"/>
    <s v="-72.4824317"/>
    <s v="NORTE DE SANTANDER"/>
    <s v="CÚCUTA"/>
    <s v="CÚCUTA"/>
    <n v="54001"/>
    <s v="2025-11-28"/>
    <m/>
    <m/>
    <m/>
    <m/>
    <n v="2"/>
    <s v="CUCUTA"/>
    <x v="2"/>
    <n v="49671.7"/>
    <n v="99343.4"/>
  </r>
  <r>
    <n v="48078"/>
    <s v="BARRIO CORUÑA BOGOTA 1"/>
    <n v="52236739"/>
    <s v="0"/>
    <s v="3125267587"/>
    <s v="3044694729"/>
    <s v=" LOCAL 6 URBANIZACIÓN NATURA PARQUE CENTRAL,BRR PARQUE CENTRAL NATURA"/>
    <s v="7.8780447"/>
    <s v="-72.4682007"/>
    <s v="NORTE DE SANTANDER"/>
    <s v="CÚCUTA"/>
    <s v="CÚCUTA"/>
    <n v="54001"/>
    <s v="2025-11-27"/>
    <m/>
    <m/>
    <m/>
    <m/>
    <n v="2"/>
    <s v="CUCUTA"/>
    <x v="2"/>
    <n v="49671.7"/>
    <n v="99343.4"/>
  </r>
  <r>
    <n v="47416"/>
    <s v="BARRIO SUBA BOGOTA 11"/>
    <n v="900582515"/>
    <s v="5909178"/>
    <s v="3202744973"/>
    <s v="3202744973"/>
    <s v="CL 5N 3 E 161 VILLAS DE LA CANDELARIA BARRIO CEIBA II"/>
    <s v="7.9026830"/>
    <s v="-72.4953873"/>
    <s v="NORTE DE SANTANDER"/>
    <s v="CÚCUTA"/>
    <s v="CÚCUTA"/>
    <n v="54001"/>
    <s v="2025-11-13"/>
    <m/>
    <m/>
    <m/>
    <m/>
    <n v="4"/>
    <s v="CUCUTA"/>
    <x v="2"/>
    <n v="49671.7"/>
    <n v="198686.8"/>
  </r>
  <r>
    <n v="49817"/>
    <s v="BARRIO ENGATIVA BOGOTA 5"/>
    <n v="66837815"/>
    <s v="0"/>
    <s v="3245577838"/>
    <s v="3115233002"/>
    <s v="AV 6 NRO 8-45 LOCAL 1-602 CC ALEJANDRIA,EL CENTRO"/>
    <s v="7.8878920"/>
    <s v="-72.5055940"/>
    <s v="NORTE DE SANTANDER"/>
    <s v="CÚCUTA"/>
    <s v="CÚCUTA"/>
    <n v="54001"/>
    <s v="2025-11-27"/>
    <m/>
    <m/>
    <m/>
    <m/>
    <n v="1"/>
    <s v="CUCUTA"/>
    <x v="2"/>
    <n v="49671.7"/>
    <n v="49671.7"/>
  </r>
  <r>
    <n v="48848"/>
    <s v="BARRIO SAMPER MENDOZA BOGOTA"/>
    <n v="51987636"/>
    <s v="5920543"/>
    <s v="3108824053"/>
    <s v="3108824053"/>
    <s v="AV 11 6-67,URB TORCOROMA I"/>
    <s v="7.8952751"/>
    <s v="-72.4755185"/>
    <s v="NORTE DE SANTANDER"/>
    <s v="CÚCUTA"/>
    <s v="CÚCUTA"/>
    <n v="54001"/>
    <s v="2025-11-27"/>
    <m/>
    <m/>
    <m/>
    <m/>
    <n v="2"/>
    <s v="CUCUTA"/>
    <x v="2"/>
    <n v="49671.7"/>
    <n v="99343.4"/>
  </r>
  <r>
    <n v="48858"/>
    <s v="BARRIO CENTRO CALI 28"/>
    <n v="890306372"/>
    <s v="5727617"/>
    <s v="3138787336"/>
    <s v="3138787336"/>
    <s v="AV 10 9 71 - EL LLANO"/>
    <s v="7.8863189"/>
    <s v="-72.5091310"/>
    <s v="NORTE DE SANTANDER"/>
    <s v="CÚCUTA"/>
    <s v="CÚCUTA"/>
    <n v="54001"/>
    <s v="2025-11-20"/>
    <m/>
    <m/>
    <m/>
    <m/>
    <n v="1"/>
    <s v="CUCUTA"/>
    <x v="2"/>
    <n v="49671.7"/>
    <n v="49671.7"/>
  </r>
  <r>
    <n v="49980"/>
    <s v="BARRIO SAN PEDRO LOS ROBLES FONTIBON BOGOTA"/>
    <n v="52984616"/>
    <s v="5922939"/>
    <s v="3138787336"/>
    <s v="3143759668"/>
    <s v="CL 10 NRO 9-96,EL LLANO"/>
    <s v="7.8861243"/>
    <s v="-72.509101"/>
    <s v="NORTE DE SANTANDER"/>
    <s v="CÚCUTA"/>
    <s v="CÚCUTA"/>
    <n v="54001"/>
    <s v="2025-11-20"/>
    <m/>
    <m/>
    <m/>
    <m/>
    <n v="2"/>
    <s v="CUCUTA"/>
    <x v="2"/>
    <n v="49671.7"/>
    <n v="99343.4"/>
  </r>
  <r>
    <n v="49567"/>
    <s v="BARRIO BOSA SANTA FE BOGOTA 3"/>
    <n v="80826314"/>
    <m/>
    <s v="3219495425"/>
    <s v="3219495425"/>
    <s v="AV 11 E NRO 0-22,QUINTA ORIENTAL"/>
    <s v="7.8988791"/>
    <s v="-72.4908985"/>
    <s v="NORTE DE SANTANDER"/>
    <s v="CÚCUTA"/>
    <s v="CÚCUTA"/>
    <n v="54001"/>
    <s v="2025-11-21"/>
    <m/>
    <m/>
    <m/>
    <m/>
    <n v="2"/>
    <s v="CUCUTA"/>
    <x v="2"/>
    <n v="49671.7"/>
    <n v="99343.4"/>
  </r>
  <r>
    <n v="51640"/>
    <s v="BARRIO BOSA SAN MARTIN BOGOTA"/>
    <n v="28964121"/>
    <s v="0"/>
    <s v="3214581649"/>
    <s v="3214581649"/>
    <s v="CL 7A  0N - 64"/>
    <s v="7.8918919"/>
    <s v="-72.4701556"/>
    <s v="NORTE DE SANTANDER"/>
    <s v="CÚCUTA"/>
    <s v="CÚCUTA"/>
    <n v="54001"/>
    <s v="2025-11-24"/>
    <m/>
    <m/>
    <m/>
    <m/>
    <n v="2"/>
    <s v="CUCUTA"/>
    <x v="2"/>
    <n v="49671.7"/>
    <n v="99343.4"/>
  </r>
  <r>
    <n v="50209"/>
    <s v="BARRIO SAN CIPRIANO BOGOTA 1"/>
    <n v="51911277"/>
    <s v="3158323629"/>
    <s v="3158323629"/>
    <s v="3158323629"/>
    <s v="CR 3 CL 3SUR 80 BRR LA LOMA,LA LOMA"/>
    <s v="1.3961895"/>
    <s v="-77.1517104"/>
    <s v="NARIÑO"/>
    <s v="BUESACO"/>
    <s v="BUESACO"/>
    <n v="52110"/>
    <s v="2025-11-05"/>
    <m/>
    <m/>
    <m/>
    <m/>
    <n v="2"/>
    <s v="PASTO"/>
    <x v="5"/>
    <n v="49671.7"/>
    <n v="99343.4"/>
  </r>
  <r>
    <n v="50411"/>
    <s v="BARRIO SAN ISIDRO BOGOTA 1"/>
    <n v="52446199"/>
    <s v="3145140206"/>
    <s v="3145140206"/>
    <s v="3184533724"/>
    <s v="MZ A CA 3 PORTAL DE VERACRUZ,PORTAL DE VERACRUZ"/>
    <s v="1.3711200"/>
    <s v="-77.1597603"/>
    <s v="NARIÑO"/>
    <s v="BUESACO"/>
    <s v="BUESACO"/>
    <n v="52110"/>
    <s v="2025-11-14"/>
    <m/>
    <m/>
    <m/>
    <m/>
    <n v="2"/>
    <s v="PASTO"/>
    <x v="5"/>
    <n v="49671.7"/>
    <n v="99343.4"/>
  </r>
  <r>
    <n v="50846"/>
    <s v="BARRIO BOSA RECREO BOGOTA 4"/>
    <n v="51647614"/>
    <s v="3122976260"/>
    <s v="3122976260"/>
    <s v="3122976260"/>
    <s v="CR 3 NO. 1 - 144 BARRIO SAN ANTONIO,SAN ANTONIO"/>
    <s v="1.3882375"/>
    <s v="-77.1562797"/>
    <s v="NARIÑO"/>
    <s v="BUESACO"/>
    <s v="BUESACO"/>
    <n v="52110"/>
    <s v="2025-11-14"/>
    <m/>
    <m/>
    <m/>
    <m/>
    <n v="1"/>
    <s v="PASTO"/>
    <x v="5"/>
    <n v="49671.7"/>
    <n v="49671.7"/>
  </r>
  <r>
    <n v="50060"/>
    <s v="BARRIO BOSA CHICO BOGOTA"/>
    <n v="1033736872"/>
    <s v="7732304"/>
    <s v="3173601482"/>
    <s v="3173601482"/>
    <s v=" CR 4 PAR BOLIVAR DE POTOSI"/>
    <s v="0.8076661"/>
    <s v="-77.5723504"/>
    <s v="NARIÑO"/>
    <s v="POTOSÍ"/>
    <s v="POTOSÍ"/>
    <n v="52560"/>
    <s v="2025-11-12"/>
    <m/>
    <m/>
    <m/>
    <m/>
    <n v="2"/>
    <s v="PASTO"/>
    <x v="5"/>
    <n v="49671.7"/>
    <n v="99343.4"/>
  </r>
  <r>
    <n v="52737"/>
    <s v="BARRIO ISMAEL PERDOMO BOGOTA"/>
    <n v="80164040"/>
    <s v="5662656"/>
    <s v="3104260606"/>
    <s v="3104260606"/>
    <s v=" EL COMERCIO RICAURTE"/>
    <s v="1.2108187"/>
    <s v="-77.9944521"/>
    <s v="NARIÑO"/>
    <s v="RICAURTE"/>
    <s v="RICAURTE"/>
    <n v="52612"/>
    <s v="2025-11-28"/>
    <m/>
    <m/>
    <m/>
    <m/>
    <n v="2"/>
    <s v="PASTO"/>
    <x v="5"/>
    <n v="49671.7"/>
    <n v="99343.4"/>
  </r>
  <r>
    <n v="53867"/>
    <s v="BARRIO SAN PASCUAL CALI 1"/>
    <n v="31958119"/>
    <s v="3185357"/>
    <s v="3117927234"/>
    <s v="3117927234"/>
    <s v=" CR 3  4 35  EL COMERCIO"/>
    <s v="1.2108681"/>
    <s v="-77.9947082"/>
    <s v="NARIÑO"/>
    <s v="RICAURTE"/>
    <s v="RICAURTE"/>
    <n v="52612"/>
    <s v="2025-11-28"/>
    <m/>
    <m/>
    <m/>
    <m/>
    <n v="1"/>
    <s v="PASTO"/>
    <x v="5"/>
    <n v="49671.7"/>
    <n v="49671.7"/>
  </r>
  <r>
    <n v="53070"/>
    <s v="BARRIO CIUDAD JARDIN BOGOTA 2"/>
    <n v="24230645"/>
    <s v="3235166182"/>
    <s v="3225236292"/>
    <s v="3225236292"/>
    <s v="CGT EL PALMAR DE IMBI LA BENDICION,EL PALMAR DE IMBILI LA BENDICION"/>
    <s v="1.2168525"/>
    <s v="-78.0407858"/>
    <s v="NARIÑO"/>
    <s v="RICAURTE"/>
    <s v="RICAURTE"/>
    <n v="52612"/>
    <s v="2025-11-28"/>
    <m/>
    <m/>
    <m/>
    <m/>
    <n v="2"/>
    <s v="PASTO"/>
    <x v="5"/>
    <n v="49671.7"/>
    <n v="99343.4"/>
  </r>
  <r>
    <n v="54560"/>
    <s v="BARRIO VILLA DE CASALOMA SOACHA SUESCA"/>
    <n v="901407185"/>
    <m/>
    <s v="3202336728"/>
    <s v="3202336728"/>
    <s v=" CR 5  7 02"/>
    <s v="4.177134166"/>
    <s v="-74.5327736"/>
    <s v="TOLIMA"/>
    <s v="ICONONZO"/>
    <s v="ICONONZO"/>
    <n v="73352"/>
    <s v="2025-11-27"/>
    <m/>
    <m/>
    <m/>
    <m/>
    <n v="1"/>
    <s v="IBAGUE"/>
    <x v="3"/>
    <n v="49671.7"/>
    <n v="49671.7"/>
  </r>
  <r>
    <n v="55789"/>
    <s v="BARRIO BILBAO BOGOTA 1"/>
    <n v="37796762"/>
    <s v="3154184558"/>
    <s v="3154184558"/>
    <s v="3154184558"/>
    <s v="CR 4 6 25,CENTRO"/>
    <s v="4.1769817"/>
    <s v="-74.5331094"/>
    <s v="TOLIMA"/>
    <s v="ICONONZO"/>
    <s v="ICONONZO"/>
    <n v="73352"/>
    <s v="2025-11-27"/>
    <m/>
    <m/>
    <m/>
    <m/>
    <n v="2"/>
    <s v="IBAGUE"/>
    <x v="3"/>
    <n v="49671.7"/>
    <n v="99343.4"/>
  </r>
  <r>
    <n v="55686"/>
    <s v="BARRIO JORDAN 1 BOGOTA"/>
    <n v="1019023514"/>
    <s v="3108676080"/>
    <s v="3108676080"/>
    <s v="3108676080"/>
    <s v="CR 6 5 29,CENTRO"/>
    <s v="4.1782950"/>
    <s v="-74.5336746"/>
    <s v="TOLIMA"/>
    <s v="ICONONZO"/>
    <s v="ICONONZO"/>
    <n v="73352"/>
    <s v="2025-11-27"/>
    <m/>
    <m/>
    <m/>
    <m/>
    <n v="2"/>
    <s v="IBAGUE"/>
    <x v="3"/>
    <n v="49671.7"/>
    <n v="99343.4"/>
  </r>
  <r>
    <n v="58582"/>
    <s v="BARRIO CHICO NORTE BOGOTA 3"/>
    <n v="80100968"/>
    <s v="3118684243"/>
    <s v="3118684243"/>
    <s v="3118684243"/>
    <s v="CL 7 5 38,CENTRO"/>
    <s v="4.1774610"/>
    <s v="-74.5325517"/>
    <s v="TOLIMA"/>
    <s v="ICONONZO"/>
    <s v="ICONONZO"/>
    <n v="73352"/>
    <s v="2025-11-27"/>
    <m/>
    <m/>
    <m/>
    <m/>
    <n v="2"/>
    <s v="IBAGUE"/>
    <x v="3"/>
    <n v="49671.7"/>
    <n v="99343.4"/>
  </r>
  <r>
    <n v="53675"/>
    <s v="BARRIO LAGOS DE CASTILLA BOGOTA"/>
    <n v="1019054697"/>
    <s v="0"/>
    <s v="3103358779"/>
    <s v="3103358779"/>
    <s v="CL 7 # 1-97,DIVINO NIÑO"/>
    <s v="5.1963317"/>
    <s v="-74.8987833"/>
    <s v="TOLIMA"/>
    <s v="SAN SEBASTIÁN DE MARIQUITA"/>
    <s v="SAN SEBASTIÁN DE MARIQUITA"/>
    <n v="73443"/>
    <s v="2025-11-21"/>
    <m/>
    <m/>
    <m/>
    <m/>
    <n v="2"/>
    <s v="IBAGUE"/>
    <x v="3"/>
    <n v="49671.7"/>
    <n v="99343.4"/>
  </r>
  <r>
    <n v="57626"/>
    <s v="BARRIO CASTILLA BOGOTA 15"/>
    <n v="901456623"/>
    <s v="3138724579"/>
    <s v="3138724579"/>
    <s v="3138724579"/>
    <s v="CL13 NO.   5 - 34  LA CONCORDIA"/>
    <s v="5.192433"/>
    <s v="-74.892521 "/>
    <s v="TOLIMA"/>
    <s v="SAN SEBASTIÁN DE MARIQUITA"/>
    <s v="SAN SEBASTIÁN DE MARIQUITA"/>
    <n v="73443"/>
    <s v="2025-11-21"/>
    <m/>
    <m/>
    <m/>
    <m/>
    <n v="3"/>
    <s v="IBAGUE"/>
    <x v="3"/>
    <n v="49671.7"/>
    <n v="149015.09999999998"/>
  </r>
  <r>
    <n v="57628"/>
    <s v="BARRIO PUERTO RICO BOGOTA"/>
    <n v="1032390597"/>
    <s v="3102784779"/>
    <s v="3102784779"/>
    <s v="3102784779"/>
    <s v="CR 9 10 74 / 78,EL CARMEN"/>
    <s v="5.195806"/>
    <s v="-74.889372"/>
    <s v="TOLIMA"/>
    <s v="SAN SEBASTIÁN DE MARIQUITA"/>
    <s v="SAN SEBASTIÁN DE MARIQUITA"/>
    <n v="73443"/>
    <s v="2025-11-21"/>
    <m/>
    <m/>
    <m/>
    <m/>
    <n v="4"/>
    <s v="IBAGUE"/>
    <x v="3"/>
    <n v="49671.7"/>
    <n v="198686.8"/>
  </r>
  <r>
    <n v="57734"/>
    <s v="BARRIO BOSA BOGOTA 14"/>
    <n v="79618120"/>
    <s v="3208274820"/>
    <s v="3208274820"/>
    <s v="3197845440"/>
    <s v="CL 7 5 39,CENTRO"/>
    <s v="5.1978318"/>
    <s v="-74.8942631"/>
    <s v="TOLIMA"/>
    <s v="SAN SEBASTIÁN DE MARIQUITA"/>
    <s v="SAN SEBASTIÁN DE MARIQUITA"/>
    <n v="73443"/>
    <s v="2025-11-21"/>
    <m/>
    <m/>
    <m/>
    <m/>
    <n v="2"/>
    <s v="IBAGUE"/>
    <x v="3"/>
    <n v="49671.7"/>
    <n v="99343.4"/>
  </r>
  <r>
    <n v="59396"/>
    <s v="BARRIO BOSA EL CORZO BOGOTA"/>
    <n v="1013603673"/>
    <s v="2160491"/>
    <s v="3108949963"/>
    <s v="3108949963"/>
    <s v=" CL 6  13-25"/>
    <s v="4.3301940"/>
    <s v="-75.8271110"/>
    <s v="VALLE DEL CAUCA"/>
    <s v="CAICEDONIA"/>
    <s v="CAICEDONIA"/>
    <n v="76122"/>
    <s v="2025-11-05"/>
    <m/>
    <m/>
    <m/>
    <m/>
    <n v="2"/>
    <s v="PEREIRA"/>
    <x v="6"/>
    <n v="37313"/>
    <n v="74626"/>
  </r>
  <r>
    <n v="59293"/>
    <s v="BARRIO GARCES NAVAS BOGOTA 1"/>
    <n v="1014281611"/>
    <s v="2160371"/>
    <s v="3105289189"/>
    <s v="3105289189"/>
    <s v=" CR 15  10-09 CENTRO CAICEDONIA VALLE"/>
    <s v="4.3330885"/>
    <s v="-75.8289807"/>
    <s v="VALLE DEL CAUCA"/>
    <s v="CAICEDONIA"/>
    <s v="CAICEDONIA"/>
    <n v="76122"/>
    <s v="2025-11-05"/>
    <m/>
    <m/>
    <m/>
    <m/>
    <n v="1"/>
    <s v="PEREIRA"/>
    <x v="6"/>
    <n v="37313"/>
    <n v="37313"/>
  </r>
  <r>
    <n v="77688"/>
    <s v="BARRIO LUIS CARLOS GALAN PASTO"/>
    <n v="1085339353"/>
    <s v="2160169"/>
    <s v="3113726757"/>
    <s v="3113726757"/>
    <s v=" CR 16 13 05 CENTRO"/>
    <s v="4.3352886"/>
    <s v="-75.8301581"/>
    <s v="VALLE DEL CAUCA"/>
    <s v="CAICEDONIA"/>
    <s v="CAICEDONIA"/>
    <n v="76122"/>
    <s v="2025-11-05"/>
    <m/>
    <m/>
    <m/>
    <m/>
    <n v="1"/>
    <s v="PEREIRA"/>
    <x v="6"/>
    <n v="37313"/>
    <n v="37313"/>
  </r>
  <r>
    <n v="76903"/>
    <s v="BARRIO TERRAZAS DE CHAPAL PASTO"/>
    <n v="1089848067"/>
    <s v="2161105"/>
    <s v="3026940770"/>
    <s v="3026940770"/>
    <s v="CR 15  4 - 07 ESQUINA B/ LA INMACULADA"/>
    <s v="4.328585"/>
    <s v="-75.828055"/>
    <s v="VALLE DEL CAUCA"/>
    <s v="CAICEDONIA"/>
    <s v="CAICEDONIA"/>
    <n v="76122"/>
    <s v="2025-11-05"/>
    <m/>
    <m/>
    <m/>
    <m/>
    <n v="2"/>
    <s v="PEREIRA"/>
    <x v="6"/>
    <n v="37313"/>
    <n v="74626"/>
  </r>
  <r>
    <n v="74770"/>
    <s v="BARRIO AQUINE 1 PASTO"/>
    <n v="901356173"/>
    <s v="3146808294"/>
    <s v="0"/>
    <s v="3146808294"/>
    <s v="CL 6 10 16,CENTRO"/>
    <s v="4.330736"/>
    <s v="-75.824761"/>
    <s v="VALLE DEL CAUCA"/>
    <s v="CAICEDONIA"/>
    <s v="CAICEDONIA"/>
    <n v="76122"/>
    <s v="2025-11-06"/>
    <m/>
    <m/>
    <m/>
    <m/>
    <n v="1"/>
    <s v="PEREIRA"/>
    <x v="6"/>
    <n v="37313"/>
    <n v="37313"/>
  </r>
  <r>
    <n v="74771"/>
    <s v="BARRIO CENTRO PASTO 30"/>
    <n v="901356173"/>
    <s v="0"/>
    <s v="3218873915"/>
    <s v="3218873915"/>
    <s v="CALLE 10 NO. 15 - 52,CENTRO"/>
    <s v="4.3331575"/>
    <s v="-75.8293915"/>
    <s v="VALLE DEL CAUCA"/>
    <s v="CAICEDONIA"/>
    <s v="CAICEDONIA"/>
    <n v="76122"/>
    <s v="2025-11-06"/>
    <m/>
    <m/>
    <m/>
    <m/>
    <n v="1"/>
    <s v="PEREIRA"/>
    <x v="6"/>
    <n v="37313"/>
    <n v="37313"/>
  </r>
  <r>
    <n v="68830"/>
    <s v="SAN JUAN BOSCO 1 "/>
    <n v="1085263077"/>
    <s v="3122342051"/>
    <s v="3006570673"/>
    <s v="3122342051"/>
    <s v="CL 15 15 - 42,CENTRO"/>
    <s v="4.3368908"/>
    <s v="-75.8299669"/>
    <s v="VALLE DEL CAUCA"/>
    <s v="CAICEDONIA"/>
    <s v="CAICEDONIA"/>
    <n v="76122"/>
    <s v="2025-11-21"/>
    <m/>
    <m/>
    <m/>
    <m/>
    <n v="2"/>
    <s v="PEREIRA"/>
    <x v="6"/>
    <n v="37313"/>
    <n v="74626"/>
  </r>
  <r>
    <n v="69325"/>
    <s v="BARRIO EL PILAR PASTO 3"/>
    <n v="12972361"/>
    <s v="3147509308"/>
    <s v="3147509308"/>
    <s v="3147509308"/>
    <s v="CL 2 13 14 LC 107 TORRES DEL SURCO,TORRES DEL SURCO"/>
    <s v="4.3272519"/>
    <s v="-75.8264397"/>
    <s v="VALLE DEL CAUCA"/>
    <s v="CAICEDONIA"/>
    <s v="CAICEDONIA"/>
    <n v="76122"/>
    <s v="2025-11-06"/>
    <m/>
    <m/>
    <m/>
    <m/>
    <n v="1"/>
    <s v="PEREIRA"/>
    <x v="6"/>
    <n v="37313"/>
    <n v="37313"/>
  </r>
  <r>
    <n v="67437"/>
    <s v="BARRIO MORASURCO PASTO 1"/>
    <n v="5206909"/>
    <s v="3108250051"/>
    <s v="3108250051"/>
    <m/>
    <s v="CL 9 27 03 ESQUINA,LA ESPERANZA"/>
    <s v="3.3282877"/>
    <s v="-76.2425016"/>
    <s v="VALLE DEL CAUCA"/>
    <s v="FLORIDA"/>
    <s v="FLORIDA"/>
    <n v="76275"/>
    <s v="2025-11-05"/>
    <m/>
    <m/>
    <m/>
    <m/>
    <n v="2"/>
    <s v="CALI"/>
    <x v="5"/>
    <n v="37313"/>
    <n v="74626"/>
  </r>
  <r>
    <n v="60484"/>
    <s v="BARRIO SANTA MONICA PASTO 2"/>
    <n v="901447446"/>
    <s v="5832270"/>
    <s v="3103168624"/>
    <s v="3103168624"/>
    <s v="AV 5 8 85 CC RIVER PLAZA OF 204,EL CENTRO"/>
    <s v="7.8918919"/>
    <s v="-72.5065362"/>
    <s v="NORTE DE SANTANDER"/>
    <s v="CÚCUTA"/>
    <s v="CÚCUTA"/>
    <n v="54001"/>
    <s v="2025-11-20"/>
    <m/>
    <m/>
    <m/>
    <m/>
    <n v="1"/>
    <s v="CUCUTA"/>
    <x v="2"/>
    <n v="49671.7"/>
    <n v="49671.7"/>
  </r>
  <r>
    <n v="60485"/>
    <s v="BARRIO LA AURORA PASTO 2"/>
    <n v="901447446"/>
    <s v="3045475673"/>
    <s v="3105866803"/>
    <s v="3045351757"/>
    <s v=" CL 15 A 12 74 LC 3 LA LIBERTAD"/>
    <s v="7.8883116"/>
    <s v="-72.4755392"/>
    <s v="NORTE DE SANTANDER"/>
    <s v="CÚCUTA"/>
    <s v="CÚCUTA"/>
    <n v="54001"/>
    <s v="2025-11-27"/>
    <m/>
    <m/>
    <m/>
    <m/>
    <n v="1"/>
    <s v="CUCUTA"/>
    <x v="2"/>
    <n v="49671.7"/>
    <n v="49671.7"/>
  </r>
  <r>
    <n v="62838"/>
    <s v="BARRIO AGUALONGO PASTO"/>
    <n v="27141737"/>
    <m/>
    <s v="3123139079"/>
    <s v="3123139079"/>
    <s v="AV 9 E NRO. 2-66,QUINTA ORIENTAL"/>
    <s v="7.9163936"/>
    <s v="-72.5061784"/>
    <s v="NORTE DE SANTANDER"/>
    <s v="CÚCUTA"/>
    <s v="CÚCUTA"/>
    <n v="54001"/>
    <s v="2025-11-27"/>
    <m/>
    <m/>
    <m/>
    <m/>
    <n v="2"/>
    <s v="CUCUTA"/>
    <x v="2"/>
    <n v="49671.7"/>
    <n v="99343.4"/>
  </r>
  <r>
    <n v="46135"/>
    <s v="BARRIO PARQUE INFANTIL PASTO 1"/>
    <n v="1085251982"/>
    <m/>
    <s v="3123567967"/>
    <s v="3123567967"/>
    <s v="AV 2 12-02 LC 02,AEROPUERTO"/>
    <s v="7.895813"/>
    <s v="-72.5205229"/>
    <s v="NORTE DE SANTANDER"/>
    <s v="CÚCUTA"/>
    <s v="CÚCUTA"/>
    <n v="54001"/>
    <s v="2025-11-28"/>
    <m/>
    <m/>
    <m/>
    <m/>
    <n v="4"/>
    <s v="CUCUTA"/>
    <x v="2"/>
    <n v="49671.7"/>
    <n v="198686.8"/>
  </r>
  <r>
    <n v="29031"/>
    <s v="BARRIO CENTRO 59 PASTO"/>
    <n v="900779107"/>
    <s v="5781870"/>
    <s v="3108629626"/>
    <s v="3108629626"/>
    <s v=" AV 7 19  50 NUCLEO 2 BG 8 PAR INDUSTRIAL"/>
    <s v="7.9193391"/>
    <s v="-72.5031752"/>
    <s v="NORTE DE SANTANDER"/>
    <s v="CÚCUTA"/>
    <s v="CÚCUTA"/>
    <n v="54001"/>
    <s v="2025-11-24"/>
    <m/>
    <m/>
    <m/>
    <m/>
    <n v="1"/>
    <s v="CUCUTA"/>
    <x v="2"/>
    <n v="49671.7"/>
    <n v="49671.7"/>
  </r>
  <r>
    <n v="28302"/>
    <s v="BARRIO LAS VIOLETAS PASTO   "/>
    <n v="1085278071"/>
    <m/>
    <s v="3116459730"/>
    <s v="3116459730"/>
    <s v="AV 4  20 17 BRR  TASAJERO LOS PATIOS"/>
    <s v="7.828296060894342"/>
    <s v=" -72.50642432522538"/>
    <s v="NORTE DE SANTANDER"/>
    <s v="CÚCUTA"/>
    <s v="CÚCUTA"/>
    <n v="54001"/>
    <s v="2025-11-25"/>
    <m/>
    <m/>
    <m/>
    <m/>
    <n v="2"/>
    <s v="CUCUTA"/>
    <x v="2"/>
    <n v="49671.7"/>
    <n v="99343.4"/>
  </r>
  <r>
    <n v="29176"/>
    <s v="BARRIO CENTENARIO 3 PASTO"/>
    <n v="94489262"/>
    <s v="5891448"/>
    <s v="3112333700"/>
    <s v="3112333700"/>
    <s v=" CL 11 4 39 CC LECS LC 137"/>
    <s v="7.8858505"/>
    <s v="-72.5031230"/>
    <s v="NORTE DE SANTANDER"/>
    <s v="CÚCUTA"/>
    <s v="CÚCUTA"/>
    <n v="54001"/>
    <s v="2025-11-25"/>
    <m/>
    <m/>
    <m/>
    <m/>
    <n v="1"/>
    <s v="CUCUTA"/>
    <x v="2"/>
    <n v="49671.7"/>
    <n v="49671.7"/>
  </r>
  <r>
    <n v="11012"/>
    <s v="BARRIO GRANADA"/>
    <n v="30743986"/>
    <s v="6602348"/>
    <s v="3106284993"/>
    <s v="3106284993"/>
    <s v="CRA  5    5 - 53"/>
    <s v="6.84257971"/>
    <s v="-72.69428188"/>
    <s v="SANTANDER"/>
    <s v="CERRITO"/>
    <s v="CERRITO"/>
    <n v="68162"/>
    <s v="2025-11-18"/>
    <m/>
    <m/>
    <m/>
    <m/>
    <n v="3"/>
    <s v="BUCARAMANGA"/>
    <x v="2"/>
    <n v="37313"/>
    <n v="111939"/>
  </r>
  <r>
    <n v="14065"/>
    <s v="BARRIO AVENIDA BOYACA PASTO"/>
    <n v="94486745"/>
    <s v="4326604"/>
    <s v="3144518899"/>
    <s v="3144518899"/>
    <s v="CR 6  LC 2 BRR SANTANDER ED MARIA HELENA"/>
    <s v="6.8429007"/>
    <s v="-72.6940727"/>
    <s v="SANTANDER"/>
    <s v="CERRITO"/>
    <s v="CERRITO"/>
    <n v="68162"/>
    <s v="2025-11-18"/>
    <m/>
    <m/>
    <m/>
    <m/>
    <n v="4"/>
    <s v="BUCARAMANGA"/>
    <x v="2"/>
    <n v="37313"/>
    <n v="149252"/>
  </r>
  <r>
    <n v="74776"/>
    <s v="BARRIO PANAN IPIALES"/>
    <n v="901356173"/>
    <s v="3103340952"/>
    <s v="3103296975"/>
    <s v="3209127380"/>
    <s v="SALIDA MALAGA-CERRITO,ARENALES"/>
    <s v="6.832768"/>
    <s v="-72.697218"/>
    <s v="SANTANDER"/>
    <s v="CERRITO"/>
    <s v="CERRITO"/>
    <n v="68162"/>
    <s v="2025-11-18"/>
    <m/>
    <m/>
    <m/>
    <m/>
    <n v="1"/>
    <s v="BUCARAMANGA"/>
    <x v="2"/>
    <n v="37313"/>
    <n v="37313"/>
  </r>
  <r>
    <n v="45669"/>
    <s v="BARRIO CENTRO IPIALES 7"/>
    <n v="901295781"/>
    <s v="3223770219"/>
    <s v="3223770219"/>
    <s v="3223770219"/>
    <s v="DG 8 NO.6-04,LA ESMERALDA"/>
    <s v="6.8437008"/>
    <s v="-72.6934452"/>
    <s v="SANTANDER"/>
    <s v="CERRITO"/>
    <s v="CERRITO"/>
    <n v="68162"/>
    <s v="2025-11-18"/>
    <m/>
    <m/>
    <m/>
    <m/>
    <n v="1"/>
    <s v="BUCARAMANGA"/>
    <x v="2"/>
    <n v="37313"/>
    <n v="37313"/>
  </r>
  <r>
    <n v="45668"/>
    <s v="BARRIO CENTRO IPIALES 6"/>
    <n v="901295781"/>
    <s v="3219770350"/>
    <s v="3219770350"/>
    <s v="3106746240"/>
    <s v="CR 5 NO.8-19,BELEN"/>
    <s v="6.8441149"/>
    <s v="-72.6939748"/>
    <s v="SANTANDER"/>
    <s v="CERRITO"/>
    <s v="CERRITO"/>
    <n v="68162"/>
    <s v="2025-11-18"/>
    <m/>
    <m/>
    <m/>
    <m/>
    <n v="1"/>
    <s v="BUCARAMANGA"/>
    <x v="2"/>
    <n v="37313"/>
    <n v="37313"/>
  </r>
  <r>
    <n v="13140"/>
    <s v="EXXON BARRIO ALTOS DE ROSALES FLORIDABLANCA"/>
    <n v="890201571"/>
    <s v="3144077388"/>
    <s v="3124349443"/>
    <s v="3124349443"/>
    <s v="CR 5 5 87,CENTRO"/>
    <s v="4.1470003"/>
    <s v="-74.7230520"/>
    <s v="TOLIMA"/>
    <s v="CARMEN DE APICALÁ"/>
    <s v="CARMEN DE APICALÁ"/>
    <n v="73148"/>
    <s v="2025-11-12"/>
    <m/>
    <m/>
    <m/>
    <m/>
    <n v="2"/>
    <s v="BOGOTA"/>
    <x v="4"/>
    <n v="37313"/>
    <n v="74626"/>
  </r>
  <r>
    <n v="17084"/>
    <s v="BARRIO HACIENDA SAN JUAN FLORIDABLANCA"/>
    <n v="63325940"/>
    <s v="3115965210"/>
    <s v="3142855227"/>
    <s v="3208923893"/>
    <s v="CL 1 12 35,CENTRO"/>
    <s v="4.1511685"/>
    <s v="-74.7154113"/>
    <s v="TOLIMA"/>
    <s v="CARMEN DE APICALÁ"/>
    <s v="CARMEN DE APICALÁ"/>
    <n v="73148"/>
    <s v="2025-11-12"/>
    <m/>
    <m/>
    <m/>
    <m/>
    <n v="2"/>
    <s v="BOGOTA"/>
    <x v="4"/>
    <n v="37313"/>
    <n v="74626"/>
  </r>
  <r>
    <n v="14461"/>
    <s v="BARRIO LAGOS IV FLORIDABLANCA"/>
    <n v="91264647"/>
    <s v="2564213"/>
    <s v="3015505467"/>
    <s v="3015505467"/>
    <s v=" CR 11  4-75"/>
    <s v="4.9232688"/>
    <s v="-75.0651976"/>
    <s v="TOLIMA"/>
    <s v="LÍBANO"/>
    <s v="LÍBANO"/>
    <n v="73411"/>
    <s v="2025-11-10"/>
    <m/>
    <m/>
    <m/>
    <m/>
    <n v="3"/>
    <s v="IBAGUE"/>
    <x v="3"/>
    <n v="49671.7"/>
    <n v="149015.09999999998"/>
  </r>
  <r>
    <n v="78525"/>
    <s v="BARRIO CONJUNTO ALATAMIRA  3 FLORIDABLANCA"/>
    <n v="1095820348"/>
    <s v="2561491"/>
    <s v="3132882299"/>
    <s v="3132882299"/>
    <s v=" CL 2 4 37"/>
    <s v="4.919998"/>
    <s v="-75.059701"/>
    <s v="TOLIMA"/>
    <s v="LÍBANO"/>
    <s v="LÍBANO"/>
    <n v="73411"/>
    <s v="2025-11-10"/>
    <m/>
    <m/>
    <m/>
    <m/>
    <n v="1"/>
    <s v="IBAGUE"/>
    <x v="3"/>
    <n v="49671.7"/>
    <n v="49671.7"/>
  </r>
  <r>
    <n v="74166"/>
    <s v="BARRIO URBANIZACION VILLA CAMPESTRE FLORIDABLANCA"/>
    <n v="1095828132"/>
    <s v="2562745"/>
    <s v="3125853562"/>
    <s v="3125853562"/>
    <s v=" CL 4 8/12 CENTRO"/>
    <s v="4.9222915"/>
    <s v="-75.0623878"/>
    <s v="TOLIMA"/>
    <s v="LÍBANO"/>
    <s v="LÍBANO"/>
    <n v="73411"/>
    <s v="2025-11-10"/>
    <m/>
    <m/>
    <m/>
    <m/>
    <n v="1"/>
    <s v="IBAGUE"/>
    <x v="3"/>
    <n v="49671.7"/>
    <n v="49671.7"/>
  </r>
  <r>
    <n v="74054"/>
    <s v="BARRIO CAÑAVERAL FLORIDABLANCA 6"/>
    <n v="93400268"/>
    <s v="0"/>
    <s v="3204231935"/>
    <s v="3204231935"/>
    <s v="MZ 13 CASA 16,BRR PROTECHO"/>
    <s v="4.9224602"/>
    <s v="-75.0642244"/>
    <s v="TOLIMA"/>
    <s v="LÍBANO"/>
    <s v="LÍBANO"/>
    <n v="73411"/>
    <s v="2025-11-10"/>
    <m/>
    <m/>
    <m/>
    <m/>
    <n v="2"/>
    <s v="IBAGUE"/>
    <x v="3"/>
    <n v="49671.7"/>
    <n v="99343.4"/>
  </r>
  <r>
    <n v="67350"/>
    <s v="BARRIO LA CUMBRE FLORIDABLANCA 7"/>
    <n v="1093779674"/>
    <s v="0"/>
    <s v="3223755718"/>
    <s v="3223755718"/>
    <s v="CR 11 # 2-17,LAS BRISAS"/>
    <s v="4.920687"/>
    <s v="-75.065458"/>
    <s v="TOLIMA"/>
    <s v="LÍBANO"/>
    <s v="LÍBANO"/>
    <n v="73411"/>
    <s v="2025-11-11"/>
    <m/>
    <m/>
    <m/>
    <m/>
    <n v="1"/>
    <s v="IBAGUE"/>
    <x v="3"/>
    <n v="49671.7"/>
    <n v="49671.7"/>
  </r>
  <r>
    <n v="45683"/>
    <s v="BARRIO OASIS FLORIDABLANCA 1"/>
    <n v="63451250"/>
    <s v="2560155"/>
    <s v="3112622833"/>
    <s v="3112622833"/>
    <s v=" CR 5  2A 65"/>
    <s v="4.921322"/>
    <s v="-75.060144"/>
    <s v="TOLIMA"/>
    <s v="LÍBANO"/>
    <s v="LÍBANO"/>
    <n v="73411"/>
    <s v="2025-11-10"/>
    <m/>
    <m/>
    <m/>
    <m/>
    <n v="3"/>
    <s v="IBAGUE"/>
    <x v="3"/>
    <n v="49671.7"/>
    <n v="149015.09999999998"/>
  </r>
  <r>
    <n v="36258"/>
    <s v="BARRIO ALARES FLORIDABLANCA 1"/>
    <n v="1093779674"/>
    <s v="3204361404"/>
    <s v="3204361404"/>
    <s v="3204361404"/>
    <s v="CR 22 6 60,CENTRO"/>
    <s v="4.2057650"/>
    <s v="-74.6409983"/>
    <s v="TOLIMA"/>
    <s v="MELGAR"/>
    <s v="MELGAR"/>
    <n v="73449"/>
    <s v="2025-11-26"/>
    <m/>
    <m/>
    <m/>
    <m/>
    <n v="1"/>
    <s v="BOGOTA"/>
    <x v="4"/>
    <n v="37313"/>
    <n v="37313"/>
  </r>
  <r>
    <n v="39812"/>
    <s v="BARRIO CERROS DEL CAMPESTRE FLORIDABLANCA 1"/>
    <n v="79119751"/>
    <s v="3209482690"/>
    <s v="0"/>
    <s v="3209482690"/>
    <s v="CL 1 CARRERA 28 A 09,CENTRO"/>
    <s v="4.204151"/>
    <s v="-74.647925"/>
    <s v="TOLIMA"/>
    <s v="MELGAR"/>
    <s v="MELGAR"/>
    <n v="73449"/>
    <s v="2025-11-26"/>
    <m/>
    <m/>
    <m/>
    <m/>
    <n v="3"/>
    <s v="BOGOTA"/>
    <x v="4"/>
    <n v="37313"/>
    <n v="111939"/>
  </r>
  <r>
    <n v="60871"/>
    <s v="BARRIO BOSA NOVA BOGOTA 2"/>
    <n v="52759529"/>
    <s v="3203656977"/>
    <s v="3203656977"/>
    <s v="3203656977"/>
    <s v="AV KM3 VÍA MELGAR - BOGOTÁ LOCAL 9,VEREDA SAN JOSE DE LA COLORADA"/>
    <s v="4.2281996"/>
    <s v="-74.6207214"/>
    <s v="TOLIMA"/>
    <s v="MELGAR"/>
    <s v="MELGAR"/>
    <n v="73449"/>
    <s v="2025-11-26"/>
    <m/>
    <m/>
    <m/>
    <m/>
    <n v="2"/>
    <s v="BOGOTA"/>
    <x v="4"/>
    <n v="37313"/>
    <n v="74626"/>
  </r>
  <r>
    <n v="60881"/>
    <s v="BARRIO AURES BOGOTA 2"/>
    <n v="1092385991"/>
    <s v="3164187967"/>
    <s v="0"/>
    <s v="3164187967"/>
    <s v="CL 7 51 105 LC 2,CENTRO"/>
    <s v="4.1962339"/>
    <s v="-74.6544059"/>
    <s v="TOLIMA"/>
    <s v="MELGAR"/>
    <s v="MELGAR"/>
    <n v="73449"/>
    <s v="2025-11-26"/>
    <m/>
    <m/>
    <m/>
    <m/>
    <n v="2"/>
    <s v="BOGOTA"/>
    <x v="4"/>
    <n v="37313"/>
    <n v="74626"/>
  </r>
  <r>
    <n v="60126"/>
    <s v="BARRIO PANAMERICANO CALI"/>
    <n v="38943721"/>
    <s v="3214801091"/>
    <s v="3214801091"/>
    <s v="3214801091"/>
    <s v="CL 12 12 A 116,ICACAL"/>
    <s v="4.2050535"/>
    <s v="-74.6305718"/>
    <s v="TOLIMA"/>
    <s v="MELGAR"/>
    <s v="MELGAR"/>
    <n v="73449"/>
    <s v="2025-11-26"/>
    <m/>
    <m/>
    <m/>
    <m/>
    <n v="2"/>
    <s v="BOGOTA"/>
    <x v="4"/>
    <n v="37313"/>
    <n v="74626"/>
  </r>
  <r>
    <n v="60148"/>
    <s v="BARRIO PERDOMO BOGOTA 11"/>
    <n v="80894393"/>
    <s v="6050962"/>
    <s v="3208120512"/>
    <s v="3208120512"/>
    <s v=" CR 2 2 69 DOIMA"/>
    <s v="4.538376"/>
    <s v="-74.880725 "/>
    <s v="TOLIMA"/>
    <s v="PIEDRAS"/>
    <s v="PIEDRAS"/>
    <n v="73547"/>
    <s v="2025-11-14"/>
    <m/>
    <m/>
    <m/>
    <m/>
    <n v="4"/>
    <s v="IBAGUE"/>
    <x v="3"/>
    <n v="49671.7"/>
    <n v="198686.8"/>
  </r>
  <r>
    <n v="60507"/>
    <s v="BARRIO BRITALIA NORTE BOGOTA 2"/>
    <n v="1026259444"/>
    <s v="3127247900"/>
    <s v="3217247900"/>
    <s v="3217247900"/>
    <s v="CR 5  12 - 35 ESQUINA CGT COSTA RICA"/>
    <s v="3.75292"/>
    <s v="-76.23257"/>
    <s v="VALLE DEL CAUCA"/>
    <s v="GINEBRA"/>
    <s v="GINEBRA"/>
    <n v="76306"/>
    <s v="2025-11-20"/>
    <m/>
    <m/>
    <m/>
    <m/>
    <n v="2"/>
    <s v="CALI"/>
    <x v="5"/>
    <n v="37313"/>
    <n v="74626"/>
  </r>
  <r>
    <n v="60681"/>
    <s v="BARRIO VILLA MAYOR BOGOTA 2"/>
    <n v="900242173"/>
    <s v="3104623009"/>
    <s v="3104623009"/>
    <s v="3148277681"/>
    <s v="CL 7 NRO. 2 - 29,CENTRO"/>
    <s v="3.7249602934045174"/>
    <s v="-76.26735556913701"/>
    <s v="VALLE DEL CAUCA"/>
    <s v="GINEBRA"/>
    <s v="GINEBRA"/>
    <n v="76306"/>
    <s v="2025-11-20"/>
    <m/>
    <m/>
    <m/>
    <m/>
    <n v="2"/>
    <s v="CALI"/>
    <x v="5"/>
    <n v="37313"/>
    <n v="74626"/>
  </r>
  <r>
    <n v="58951"/>
    <s v="BARRIO CENTRO CALI 34"/>
    <n v="1143871872"/>
    <s v="3003142098"/>
    <s v="3003142098"/>
    <s v="3003142098"/>
    <s v="CL 20E 73 48 BELLO,PARÍS BELLO"/>
    <s v="6.3116137"/>
    <s v="-75.5798734"/>
    <s v="ANTIOQUIA"/>
    <s v="BELLO"/>
    <s v="BELLO"/>
    <n v="5088"/>
    <s v="2025-11-11"/>
    <m/>
    <m/>
    <m/>
    <m/>
    <n v="1"/>
    <s v="MEDELLIN"/>
    <x v="0"/>
    <n v="37313"/>
    <n v="37313"/>
  </r>
  <r>
    <n v="59062"/>
    <s v="BARRIO SAN LUIS I CALI 2"/>
    <n v="9867832"/>
    <s v="5847888"/>
    <s v="3102331115"/>
    <s v="3102331115"/>
    <s v="AV 7   # 5 - 05"/>
    <s v="7.9107157"/>
    <s v="-72.4755304"/>
    <s v="NORTE DE SANTANDER"/>
    <s v="CÚCUTA"/>
    <s v="CÚCUTA"/>
    <n v="54001"/>
    <s v="2025-11-27"/>
    <m/>
    <m/>
    <m/>
    <m/>
    <n v="2"/>
    <s v="CUCUTA"/>
    <x v="2"/>
    <n v="49671.7"/>
    <n v="99343.4"/>
  </r>
  <r>
    <n v="61293"/>
    <s v="BARRIO DANUBIO AZUL BOGOTA 4"/>
    <n v="1033739678"/>
    <s v="5946671"/>
    <s v="3123894541"/>
    <s v="3123894541"/>
    <s v="CL 21 BN 4 07,TASAJERO"/>
    <s v="7.92008372"/>
    <s v="-72.49255652"/>
    <s v="NORTE DE SANTANDER"/>
    <s v="CÚCUTA"/>
    <s v="CÚCUTA"/>
    <n v="54001"/>
    <s v="2025-11-27"/>
    <m/>
    <m/>
    <m/>
    <m/>
    <n v="2"/>
    <s v="CUCUTA"/>
    <x v="2"/>
    <n v="49671.7"/>
    <n v="99343.4"/>
  </r>
  <r>
    <n v="62211"/>
    <s v="BARRIO AURES BOGOTA 3"/>
    <n v="53115973"/>
    <s v="5493832"/>
    <s v="3026879065"/>
    <s v="3232931679"/>
    <s v=" CL 9 B NORTE 15 E 07 PROCERES"/>
    <s v="7.910404"/>
    <s v="-72.487098"/>
    <s v="NORTE DE SANTANDER"/>
    <s v="CÚCUTA"/>
    <s v="CÚCUTA"/>
    <n v="54001"/>
    <s v="2025-11-27"/>
    <m/>
    <m/>
    <m/>
    <m/>
    <n v="2"/>
    <s v="CUCUTA"/>
    <x v="2"/>
    <n v="49671.7"/>
    <n v="99343.4"/>
  </r>
  <r>
    <n v="62351"/>
    <s v="BARRIO BOSA PORVENIR BOGOTA 7"/>
    <n v="51725221"/>
    <s v="6050962"/>
    <s v="3144323583"/>
    <s v="3214558645"/>
    <s v=" AV 2 35 A 30 LT 14 LC 2"/>
    <s v="7.947274"/>
    <s v="-72.501731"/>
    <s v="NORTE DE SANTANDER"/>
    <s v="CÚCUTA"/>
    <s v="CÚCUTA"/>
    <n v="54001"/>
    <s v="2025-11-27"/>
    <m/>
    <m/>
    <m/>
    <m/>
    <n v="2"/>
    <s v="CUCUTA"/>
    <x v="2"/>
    <n v="49671.7"/>
    <n v="99343.4"/>
  </r>
  <r>
    <n v="62354"/>
    <s v="BARRIO SIMON BOLIVAR BOGOTA 5"/>
    <n v="52474592"/>
    <s v="5782273"/>
    <s v="3182446289"/>
    <s v="3024589754"/>
    <s v="AV 5      5 A N 37 local 1 Barrio colpet"/>
    <s v="7.9043448"/>
    <s v="-72.5028915"/>
    <s v="NORTE DE SANTANDER"/>
    <s v="CÚCUTA"/>
    <s v="CÚCUTA"/>
    <n v="54001"/>
    <s v="2025-11-26"/>
    <m/>
    <m/>
    <m/>
    <m/>
    <n v="4"/>
    <s v="CUCUTA"/>
    <x v="2"/>
    <n v="49671.7"/>
    <n v="198686.8"/>
  </r>
  <r>
    <n v="62364"/>
    <s v="BARRIO RINCON BOGOTA 5"/>
    <n v="1127341880"/>
    <s v="4239530"/>
    <s v="3123785446"/>
    <s v="3123785446"/>
    <s v=" CL 1 1  04"/>
    <s v="7.947240"/>
    <s v="-72.505340"/>
    <s v="NORTE DE SANTANDER"/>
    <s v="CÚCUTA"/>
    <s v="CÚCUTA"/>
    <n v="54001"/>
    <s v="2025-11-24"/>
    <m/>
    <m/>
    <m/>
    <m/>
    <n v="2"/>
    <s v="CUCUTA"/>
    <x v="2"/>
    <n v="49671.7"/>
    <n v="99343.4"/>
  </r>
  <r>
    <n v="63161"/>
    <s v="BARRIO SALOMIA CALI 5"/>
    <n v="66977059"/>
    <s v="5710905"/>
    <s v="3166735198"/>
    <s v="3166735198"/>
    <s v=" AV 6 9 72 CE MAEACAY LC 37"/>
    <s v="7.8869282"/>
    <s v="-72.5052398"/>
    <s v="NORTE DE SANTANDER"/>
    <s v="CÚCUTA"/>
    <s v="CÚCUTA"/>
    <n v="54001"/>
    <s v="2025-11-26"/>
    <m/>
    <m/>
    <m/>
    <m/>
    <n v="2"/>
    <s v="CUCUTA"/>
    <x v="2"/>
    <n v="49671.7"/>
    <n v="99343.4"/>
  </r>
  <r>
    <n v="63474"/>
    <s v="BARRIO BOSA ATALAYAS BOGOTA 3"/>
    <n v="26586322"/>
    <m/>
    <s v="3013739987"/>
    <s v="3013739987"/>
    <s v=" AV 5 8 89 CE RIVER PLAZA II OF 254"/>
    <s v="7.8882188"/>
    <s v="-72.5038491"/>
    <s v="NORTE DE SANTANDER"/>
    <s v="CÚCUTA"/>
    <s v="CÚCUTA"/>
    <n v="54001"/>
    <s v="2025-11-25"/>
    <m/>
    <m/>
    <m/>
    <m/>
    <n v="2"/>
    <s v="CUCUTA"/>
    <x v="2"/>
    <n v="49671.7"/>
    <n v="99343.4"/>
  </r>
  <r>
    <n v="63569"/>
    <s v="BARRIO ALIRIO MORA BELTRAN CALI 1"/>
    <n v="1143934897"/>
    <s v="5834901"/>
    <s v="3023557239"/>
    <s v="3023557239"/>
    <s v=" CL 9 A 52 CE RIVER PLAZA"/>
    <s v="7.8882246"/>
    <s v="-72.5038611"/>
    <s v="NORTE DE SANTANDER"/>
    <s v="CÚCUTA"/>
    <s v="CÚCUTA"/>
    <n v="54001"/>
    <s v="2025-11-25"/>
    <m/>
    <m/>
    <m/>
    <m/>
    <n v="2"/>
    <s v="CUCUTA"/>
    <x v="2"/>
    <n v="49671.7"/>
    <n v="99343.4"/>
  </r>
  <r>
    <n v="64801"/>
    <s v="BARRIO CRISTOBAL COLON CALI 3"/>
    <n v="14473678"/>
    <s v="5764082"/>
    <s v="3103381153"/>
    <s v="3103381153"/>
    <s v=" CL 13 18 34"/>
    <s v="7.8875580"/>
    <s v="-72.4702897"/>
    <s v="NORTE DE SANTANDER"/>
    <s v="CÚCUTA"/>
    <s v="CÚCUTA"/>
    <n v="54001"/>
    <s v="2025-11-27"/>
    <m/>
    <m/>
    <m/>
    <m/>
    <n v="1"/>
    <s v="CUCUTA"/>
    <x v="2"/>
    <n v="49671.7"/>
    <n v="49671.7"/>
  </r>
  <r>
    <n v="64806"/>
    <s v="BARRIO SAN CAYETANO CALI 2"/>
    <n v="1010091940"/>
    <s v="5747179"/>
    <s v="3183895375"/>
    <s v="3183895375"/>
    <s v="AV 11 E  10N- 95 LC 1 GUAIMARAL"/>
    <s v="7.910597"/>
    <s v="-72.492782"/>
    <s v="NORTE DE SANTANDER"/>
    <s v="CÚCUTA"/>
    <s v="CÚCUTA"/>
    <n v="54001"/>
    <s v="2025-11-21"/>
    <m/>
    <m/>
    <m/>
    <m/>
    <n v="1"/>
    <s v="CUCUTA"/>
    <x v="2"/>
    <n v="49671.7"/>
    <n v="49671.7"/>
  </r>
  <r>
    <n v="62963"/>
    <s v="BARRIO BOSA CENTRO BOGOTA 4"/>
    <n v="52448844"/>
    <s v="5874646"/>
    <s v="3143436223"/>
    <s v="3125255044"/>
    <s v=" AV 7 A 17  24 KDX 2 2 1"/>
    <s v="7.9168824"/>
    <s v="-72.5030388"/>
    <s v="NORTE DE SANTANDER"/>
    <s v="CÚCUTA"/>
    <s v="CÚCUTA"/>
    <n v="54001"/>
    <s v="2025-11-27"/>
    <m/>
    <m/>
    <m/>
    <m/>
    <n v="2"/>
    <s v="CUCUTA"/>
    <x v="2"/>
    <n v="49671.7"/>
    <n v="99343.4"/>
  </r>
  <r>
    <n v="68406"/>
    <s v="BARRIO ORQUIDEAS CALI"/>
    <n v="1143924441"/>
    <s v="0"/>
    <s v="3058212494"/>
    <s v="3058122494"/>
    <s v="CR 5 # 7 - 28,CENTRO"/>
    <s v="4.543823"/>
    <s v="-74.879816"/>
    <s v="TOLIMA"/>
    <s v="PIEDRAS"/>
    <s v="PIEDRAS"/>
    <n v="73547"/>
    <s v="2025-11-14"/>
    <m/>
    <m/>
    <m/>
    <m/>
    <n v="3"/>
    <s v="IBAGUE"/>
    <x v="3"/>
    <n v="49671.7"/>
    <n v="149015.09999999998"/>
  </r>
  <r>
    <n v="68304"/>
    <s v="BARRIO SAN VICENTE CALI  8"/>
    <n v="66950308"/>
    <s v="0"/>
    <s v="3185470186"/>
    <s v="3185470186"/>
    <s v="VRD PARADERO CHIPALO,MUNICIPIO DE PIEDRAS"/>
    <s v="4.488728"/>
    <s v="-74.974800"/>
    <s v="TOLIMA"/>
    <s v="PIEDRAS"/>
    <s v="PIEDRAS"/>
    <n v="73547"/>
    <s v="2025-11-14"/>
    <m/>
    <m/>
    <m/>
    <m/>
    <n v="3"/>
    <s v="IBAGUE"/>
    <x v="3"/>
    <n v="49671.7"/>
    <n v="149015.09999999998"/>
  </r>
  <r>
    <n v="66110"/>
    <s v="BARRIO BILBAO BOGOTA 5"/>
    <n v="1127576490"/>
    <s v="0"/>
    <s v="3007832548"/>
    <s v="3007832548"/>
    <s v="CR 3 ENTRE CALLE 9 Y 10 ENTREDA,PEDREGAL"/>
    <s v="4.5439380"/>
    <s v="-74.8775338"/>
    <s v="TOLIMA"/>
    <s v="PIEDRAS"/>
    <s v="PIEDRAS"/>
    <n v="73547"/>
    <s v="2025-11-14"/>
    <m/>
    <m/>
    <m/>
    <m/>
    <n v="2"/>
    <s v="IBAGUE"/>
    <x v="3"/>
    <n v="49671.7"/>
    <n v="99343.4"/>
  </r>
  <r>
    <n v="66111"/>
    <s v="BARRIO SUBA RINCON BOGOTA 14"/>
    <n v="1018479482"/>
    <s v="2237924"/>
    <s v="3173188264"/>
    <s v="3173188264"/>
    <s v=" CR 12 5 01"/>
    <s v="3.6825763"/>
    <s v="-76.3129815"/>
    <s v="VALLE DEL CAUCA"/>
    <s v="EL CERRITO"/>
    <s v="EL CERRITO"/>
    <n v="76248"/>
    <s v="2025-11-13"/>
    <m/>
    <m/>
    <m/>
    <m/>
    <n v="2"/>
    <s v="CALI"/>
    <x v="5"/>
    <n v="37313"/>
    <n v="74626"/>
  </r>
  <r>
    <n v="66163"/>
    <s v="BARRIO LLERAS RESTREPO CALI"/>
    <n v="901458726"/>
    <s v="3163190176"/>
    <s v="3163190176"/>
    <s v="3163190176"/>
    <s v="CR 12 7 27,CENTRO"/>
    <s v="3.6846653"/>
    <s v="-76.3130816"/>
    <s v="VALLE DEL CAUCA"/>
    <s v="EL CERRITO"/>
    <s v="EL CERRITO"/>
    <n v="76248"/>
    <s v="2025-11-13"/>
    <m/>
    <m/>
    <m/>
    <m/>
    <n v="3"/>
    <s v="CALI"/>
    <x v="5"/>
    <n v="37313"/>
    <n v="111939"/>
  </r>
  <r>
    <n v="67387"/>
    <s v="BARRIO BILBAO BOGOTA 6"/>
    <n v="1019055530"/>
    <s v="3229066042"/>
    <s v="3229066042"/>
    <m/>
    <s v="CL 4 C SUR 5 21 URB EL PORVENIR ,EL PORVENIR"/>
    <s v="3.6768690"/>
    <s v="-76.3073248"/>
    <s v="VALLE DEL CAUCA"/>
    <s v="EL CERRITO"/>
    <s v="EL CERRITO"/>
    <n v="76248"/>
    <s v="2025-11-20"/>
    <m/>
    <m/>
    <m/>
    <m/>
    <n v="2"/>
    <s v="CALI"/>
    <x v="5"/>
    <n v="37313"/>
    <n v="74626"/>
  </r>
  <r>
    <n v="67688"/>
    <s v="BARRIO EL LISTON BOGOTA"/>
    <n v="901461662"/>
    <s v="3165383717"/>
    <s v="3165383717"/>
    <s v="3165383717"/>
    <s v="CR 16 N 4 A -14"/>
    <s v="4.7882909"/>
    <s v="-71.3426823"/>
    <s v="CASANARE"/>
    <s v="OROCUÉ"/>
    <s v="OROCUÉ"/>
    <n v="85230"/>
    <s v="2025-11-24"/>
    <m/>
    <m/>
    <m/>
    <m/>
    <n v="2"/>
    <s v="YOPAL"/>
    <x v="3"/>
    <n v="49671.7"/>
    <n v="99343.4"/>
  </r>
  <r>
    <n v="66607"/>
    <s v="BARRIO POLICARPA BOGOTA 4"/>
    <n v="1006596623"/>
    <s v="0"/>
    <s v="3214889082"/>
    <s v="3214889082"/>
    <s v="CR 11 3 49"/>
    <s v="4.7907529"/>
    <s v="-71.3378834"/>
    <s v="CASANARE"/>
    <s v="OROCUÉ"/>
    <s v="OROCUÉ"/>
    <n v="85230"/>
    <s v="2025-11-24"/>
    <m/>
    <m/>
    <m/>
    <m/>
    <n v="2"/>
    <s v="YOPAL"/>
    <x v="3"/>
    <n v="49671.7"/>
    <n v="99343.4"/>
  </r>
  <r>
    <n v="68570"/>
    <s v="BARRIO PORVENIR CALI"/>
    <n v="1143844042"/>
    <s v="0"/>
    <s v="3142386913"/>
    <s v="3142386913"/>
    <s v="CL 4 H 10 - 04"/>
    <s v="4.7907980"/>
    <s v="-71.3453481"/>
    <s v="CASANARE"/>
    <s v="OROCUÉ"/>
    <s v="OROCUÉ"/>
    <n v="85230"/>
    <s v="2025-11-24"/>
    <m/>
    <m/>
    <m/>
    <m/>
    <n v="5"/>
    <s v="YOPAL"/>
    <x v="3"/>
    <n v="49671.7"/>
    <n v="248358.5"/>
  </r>
  <r>
    <n v="68417"/>
    <s v="BOSA CARBONEL BOGOTA 1"/>
    <n v="1012431163"/>
    <s v="0"/>
    <s v="3204487227"/>
    <s v="3204487227"/>
    <s v="VRD ALGARROBO - CALLE PRINCIPAL FRENTE AL COLEGIO,CRR ALGARROBO"/>
    <s v="4.9989403"/>
    <s v="-71.8860472"/>
    <s v="CASANARE"/>
    <s v="OROCUÉ"/>
    <s v="OROCUÉ"/>
    <n v="85230"/>
    <s v="2025-11-25"/>
    <m/>
    <m/>
    <m/>
    <m/>
    <n v="2"/>
    <s v="YOPAL"/>
    <x v="3"/>
    <n v="49671.7"/>
    <n v="99343.4"/>
  </r>
  <r>
    <n v="69277"/>
    <s v="BARRIO PATIO BONITO TIERRA BUENA BOGOTA"/>
    <n v="52118036"/>
    <s v="0"/>
    <s v="3165350927"/>
    <s v="3165350927"/>
    <s v="CR 18 # 03,"/>
    <s v="4.7851294"/>
    <s v="-71.3436242"/>
    <s v="CASANARE"/>
    <s v="OROCUÉ"/>
    <s v="OROCUÉ"/>
    <n v="85230"/>
    <s v="2025-11-25"/>
    <m/>
    <m/>
    <m/>
    <m/>
    <n v="2"/>
    <s v="YOPAL"/>
    <x v="3"/>
    <n v="49671.7"/>
    <n v="99343.4"/>
  </r>
  <r>
    <n v="69060"/>
    <s v="ALIRIO MORA CALI"/>
    <n v="6100516"/>
    <s v="0"/>
    <s v="0"/>
    <s v="3213728354"/>
    <s v="DG 4 18 10,SAN GREGORIO"/>
    <s v="4.7879299"/>
    <s v="-71.3449457"/>
    <s v="CASANARE"/>
    <s v="OROCUÉ"/>
    <s v="OROCUÉ"/>
    <n v="85230"/>
    <s v="2025-11-25"/>
    <m/>
    <m/>
    <m/>
    <m/>
    <n v="3"/>
    <s v="YOPAL"/>
    <x v="3"/>
    <n v="49671.7"/>
    <n v="149015.09999999998"/>
  </r>
  <r>
    <n v="68833"/>
    <s v="BARRIO EL PARAISO CALI"/>
    <n v="1144202340"/>
    <s v="3022107763"/>
    <s v="3022107763"/>
    <s v="3022107763"/>
    <s v="CR 55C 51 10,BELLO"/>
    <s v="6.3349392"/>
    <s v="-75.5625377"/>
    <s v="ANTIOQUIA"/>
    <s v="BELLO"/>
    <s v="BELLO"/>
    <n v="5088"/>
    <s v="2025-11-20"/>
    <m/>
    <m/>
    <m/>
    <m/>
    <n v="2"/>
    <s v="MEDELLIN"/>
    <x v="0"/>
    <n v="37313"/>
    <n v="74626"/>
  </r>
  <r>
    <n v="71233"/>
    <s v="BARRIO OMAR TORRIJOS CALI 1"/>
    <n v="31840955"/>
    <s v="3148658891"/>
    <s v="3146231211"/>
    <s v="3148658891"/>
    <s v="CL 50 50 54 LC 201,BELLO CENTRO"/>
    <s v="6.3343399"/>
    <s v="-75.5591372"/>
    <s v="ANTIOQUIA"/>
    <s v="BELLO"/>
    <s v="BELLO"/>
    <n v="5088"/>
    <s v="2025-11-24"/>
    <m/>
    <m/>
    <m/>
    <m/>
    <n v="2"/>
    <s v="MEDELLIN"/>
    <x v="0"/>
    <n v="37313"/>
    <n v="74626"/>
  </r>
  <r>
    <n v="70870"/>
    <s v="BARRIO USAQUEN BOGOTA 4"/>
    <n v="38141185"/>
    <s v="3113422262"/>
    <s v="3113422262"/>
    <m/>
    <s v="KM 7 VIA ANTIGUA A GUARNE ,EL PINAR"/>
    <s v="6.3001703"/>
    <s v="-75.5345878"/>
    <s v="ANTIOQUIA"/>
    <s v="BELLO"/>
    <s v="BELLO"/>
    <n v="5088"/>
    <s v="2025-11-20"/>
    <m/>
    <m/>
    <m/>
    <m/>
    <n v="1"/>
    <s v="MEDELLIN"/>
    <x v="0"/>
    <n v="37313"/>
    <n v="37313"/>
  </r>
  <r>
    <n v="71431"/>
    <s v="BARRRIO BONANZA BOGOTA "/>
    <n v="1094885321"/>
    <s v="3208982165"/>
    <s v="3242268778"/>
    <s v="3208982165"/>
    <s v="CR 50 49 38,CENTRO"/>
    <s v="6.3341091"/>
    <s v="-75.5584223"/>
    <s v="ANTIOQUIA"/>
    <s v="BELLO"/>
    <s v="BELLO"/>
    <n v="5088"/>
    <s v="2025-11-24"/>
    <m/>
    <m/>
    <m/>
    <m/>
    <n v="2"/>
    <s v="MEDELLIN"/>
    <x v="0"/>
    <n v="37313"/>
    <n v="74626"/>
  </r>
  <r>
    <n v="70872"/>
    <s v="BARRIO LA ESMERALDA BOGOTA 6"/>
    <n v="52541206"/>
    <s v="3015918923"/>
    <s v="3015918923"/>
    <s v="3015918923"/>
    <s v="VRD LA CHINA CGT SAN FELIX,VEREDA LA CHINA ,CORREGIMIENTO SAN FÉLIX BELLO ANT"/>
    <s v="6.3992554"/>
    <s v="-75.6150391"/>
    <s v="ANTIOQUIA"/>
    <s v="BELLO"/>
    <s v="BELLO"/>
    <n v="5088"/>
    <s v="2025-11-20"/>
    <m/>
    <m/>
    <m/>
    <m/>
    <n v="2"/>
    <s v="MEDELLIN"/>
    <x v="0"/>
    <n v="37313"/>
    <n v="74626"/>
  </r>
  <r>
    <n v="70861"/>
    <s v="BARRIO VERSALLES CALI 6"/>
    <n v="9846799"/>
    <s v="3045749817"/>
    <s v="3045749817"/>
    <s v="3045749817"/>
    <s v="AV 42 B 52 22,NIQUIA"/>
    <s v="6.3375362"/>
    <s v="-75.5497294"/>
    <s v="ANTIOQUIA"/>
    <s v="BELLO"/>
    <s v="BELLO"/>
    <n v="5088"/>
    <s v="2025-11-21"/>
    <m/>
    <m/>
    <m/>
    <m/>
    <n v="2"/>
    <s v="MEDELLIN"/>
    <x v="0"/>
    <n v="37313"/>
    <n v="74626"/>
  </r>
  <r>
    <n v="71167"/>
    <s v="BARRIO PATIO BONITO BOGOTA  24"/>
    <n v="80072824"/>
    <s v="3113118467"/>
    <s v="3026941995"/>
    <s v="3026941995"/>
    <s v="CL 53 # 50 41,BELLO"/>
    <s v="6.336826"/>
    <s v="-75.559227"/>
    <s v="ANTIOQUIA"/>
    <s v="BELLO"/>
    <s v="BELLO"/>
    <n v="5088"/>
    <s v="2025-11-11"/>
    <m/>
    <m/>
    <m/>
    <m/>
    <n v="2"/>
    <s v="MEDELLIN"/>
    <x v="0"/>
    <n v="37313"/>
    <n v="74626"/>
  </r>
  <r>
    <n v="71780"/>
    <s v="BARRIO PUENTE GRANDE FONTIBON"/>
    <n v="51591048"/>
    <s v="3054675083"/>
    <s v="3054675083"/>
    <s v="3167692442"/>
    <s v="CR 63 A 56 A 11,BELLO"/>
    <s v="6.340732"/>
    <s v="-75.568634"/>
    <s v="ANTIOQUIA"/>
    <s v="BELLO"/>
    <s v="BELLO"/>
    <n v="5088"/>
    <s v="2025-11-11"/>
    <m/>
    <m/>
    <m/>
    <m/>
    <n v="1"/>
    <s v="MEDELLIN"/>
    <x v="0"/>
    <n v="37313"/>
    <n v="37313"/>
  </r>
  <r>
    <n v="71765"/>
    <s v="CALI OBRERO"/>
    <n v="1107064177"/>
    <s v="6044582484"/>
    <s v="3147308544"/>
    <s v="3052148224"/>
    <s v="DIAGONAL 67 31 150,BELLO"/>
    <s v="6.3486164"/>
    <s v="-75.5403286"/>
    <s v="ANTIOQUIA"/>
    <s v="BELLO"/>
    <s v="BELLO"/>
    <n v="5088"/>
    <s v="2025-11-20"/>
    <m/>
    <m/>
    <m/>
    <m/>
    <n v="2"/>
    <s v="MEDELLIN"/>
    <x v="0"/>
    <n v="37313"/>
    <n v="74626"/>
  </r>
  <r>
    <n v="72539"/>
    <s v="CENTRO BOGOTA CUNDINAMARCA"/>
    <n v="1094165025"/>
    <s v="7280136"/>
    <s v="3016106410"/>
    <s v="3016106410"/>
    <s v=" AV 11 E 7 B  09"/>
    <s v="7.907083"/>
    <s v="-72.492138"/>
    <s v="NORTE DE SANTANDER"/>
    <s v="CÚCUTA"/>
    <s v="CÚCUTA"/>
    <n v="54001"/>
    <s v="2025-11-24"/>
    <m/>
    <m/>
    <m/>
    <m/>
    <n v="2"/>
    <s v="CUCUTA"/>
    <x v="2"/>
    <n v="49671.7"/>
    <n v="99343.4"/>
  </r>
  <r>
    <n v="72176"/>
    <s v="VALLE DEL CAUCA CALI"/>
    <n v="1059604126"/>
    <s v="5877877"/>
    <s v="3204535448"/>
    <s v="3023803376"/>
    <s v=" URB TASAJERO LC T 118 A CUCUTA CUCUTA NORTE DE SANTANDER"/>
    <s v="7.9256105"/>
    <s v="-72.4932978"/>
    <s v="NORTE DE SANTANDER"/>
    <s v="CÚCUTA"/>
    <s v="CÚCUTA"/>
    <n v="54001"/>
    <s v="2025-11-25"/>
    <m/>
    <m/>
    <m/>
    <m/>
    <n v="2"/>
    <s v="CUCUTA"/>
    <x v="2"/>
    <n v="49671.7"/>
    <n v="99343.4"/>
  </r>
  <r>
    <n v="72177"/>
    <s v="BARRIO CRISTOBAL COLON CALI  4"/>
    <n v="31970507"/>
    <s v="5719904"/>
    <s v="3164652724"/>
    <s v="3164652724"/>
    <s v=" AV 8 8 73"/>
    <s v="7.8876863"/>
    <s v="-72.5072762"/>
    <s v="NORTE DE SANTANDER"/>
    <s v="CÚCUTA"/>
    <s v="CÚCUTA"/>
    <n v="54001"/>
    <s v="2025-11-24"/>
    <m/>
    <m/>
    <m/>
    <m/>
    <n v="2"/>
    <s v="CUCUTA"/>
    <x v="2"/>
    <n v="49671.7"/>
    <n v="99343.4"/>
  </r>
  <r>
    <n v="73490"/>
    <s v="BARRIO GARCES NAVAS BOGOTA 5"/>
    <n v="1014281611"/>
    <s v="5711785"/>
    <s v="3123155281"/>
    <s v="3123155281"/>
    <s v=" CL 11  8 25 CENTRO CUCUTA CUCUTA NORTE DE SANTANDER"/>
    <s v="7.9163721"/>
    <s v="-72.5062482"/>
    <s v="NORTE DE SANTANDER"/>
    <s v="CÚCUTA"/>
    <s v="CÚCUTA"/>
    <n v="54001"/>
    <s v="2025-11-25"/>
    <m/>
    <m/>
    <m/>
    <m/>
    <n v="1"/>
    <s v="CUCUTA"/>
    <x v="2"/>
    <n v="49671.7"/>
    <n v="49671.7"/>
  </r>
  <r>
    <n v="73695"/>
    <s v="BARRIO BOSA CALDAS BOGOTA"/>
    <n v="4245561"/>
    <s v="5711186"/>
    <s v="3150557465"/>
    <s v="3150557465"/>
    <s v=" CL 14 3 65 LC 103"/>
    <s v="7.8831547"/>
    <s v="-72.5016865"/>
    <s v="NORTE DE SANTANDER"/>
    <s v="CÚCUTA"/>
    <s v="CÚCUTA"/>
    <n v="54001"/>
    <s v="2025-11-25"/>
    <m/>
    <m/>
    <m/>
    <m/>
    <n v="2"/>
    <s v="CUCUTA"/>
    <x v="2"/>
    <n v="49671.7"/>
    <n v="99343.4"/>
  </r>
  <r>
    <n v="73703"/>
    <s v="BARRIO PATIO BONITO 25"/>
    <n v="1000505553"/>
    <s v="5813531"/>
    <s v="3134520346"/>
    <s v="3134520346"/>
    <s v=" MANZA R4 LT 14 ATALAYA CUCUTA CUCUTA NORTE DE SANTANDER"/>
    <s v="7.9062769"/>
    <s v="-72.5230070"/>
    <s v="NORTE DE SANTANDER"/>
    <s v="CÚCUTA"/>
    <s v="CÚCUTA"/>
    <n v="54001"/>
    <s v="2025-11-24"/>
    <m/>
    <m/>
    <m/>
    <m/>
    <n v="2"/>
    <s v="CUCUTA"/>
    <x v="2"/>
    <n v="49671.7"/>
    <n v="99343.4"/>
  </r>
  <r>
    <n v="73736"/>
    <s v="BARRIO COMUNERO II CALI"/>
    <n v="1010091940"/>
    <s v="5781820 EXT 109"/>
    <s v="3108629626"/>
    <s v="3108629626"/>
    <s v=" CL 1  1-89 CHAPINERO"/>
    <s v="7.9073308"/>
    <s v="-72.5122156"/>
    <s v="NORTE DE SANTANDER"/>
    <s v="CÚCUTA"/>
    <s v="CÚCUTA"/>
    <n v="54001"/>
    <s v="2025-11-21"/>
    <m/>
    <m/>
    <m/>
    <m/>
    <n v="1"/>
    <s v="CUCUTA"/>
    <x v="2"/>
    <n v="49671.7"/>
    <n v="49671.7"/>
  </r>
  <r>
    <n v="74518"/>
    <s v="BARRIO AURES 2 BOGOTA 3"/>
    <n v="1005053971"/>
    <s v="5870164"/>
    <s v="3004414216"/>
    <s v="3004414216"/>
    <s v=" CL 13 A 6 38"/>
    <s v="7.9368497"/>
    <s v="-72.5079312"/>
    <s v="NORTE DE SANTANDER"/>
    <s v="CÚCUTA"/>
    <s v="CÚCUTA"/>
    <n v="54001"/>
    <s v="2025-11-24"/>
    <m/>
    <m/>
    <m/>
    <m/>
    <n v="2"/>
    <s v="CUCUTA"/>
    <x v="2"/>
    <n v="49671.7"/>
    <n v="99343.4"/>
  </r>
  <r>
    <n v="72640"/>
    <s v="CALI ALFONSO LOPEZ II"/>
    <n v="1144133573"/>
    <s v="3321524"/>
    <s v="3126774575"/>
    <s v="3112319646"/>
    <s v="BRR CENTRO LOGISTIC CR 2 NORTE 1 - 536"/>
    <s v="4.830412"/>
    <s v="-75.700359"/>
    <s v="RISARALDA"/>
    <s v="DOSQUEBRADAS"/>
    <s v="DOSQUEBRADAS"/>
    <n v="66170"/>
    <s v="2025-11-14"/>
    <m/>
    <m/>
    <m/>
    <m/>
    <n v="1"/>
    <s v="PEREIRA"/>
    <x v="6"/>
    <n v="37313"/>
    <n v="37313"/>
  </r>
  <r>
    <n v="72740"/>
    <s v="BARRIO SAN ANTONIO CC PANAMA BOGOTA"/>
    <n v="1235250894"/>
    <s v="3302344"/>
    <s v="3103957441"/>
    <s v="3103957441"/>
    <s v=" CL 21 16 54"/>
    <s v="4.8277764"/>
    <s v="-75.6800875"/>
    <s v="RISARALDA"/>
    <s v="DOSQUEBRADAS"/>
    <s v="DOSQUEBRADAS"/>
    <n v="66170"/>
    <s v="2025-11-20"/>
    <m/>
    <m/>
    <m/>
    <m/>
    <n v="2"/>
    <s v="PEREIRA"/>
    <x v="6"/>
    <n v="37313"/>
    <n v="74626"/>
  </r>
  <r>
    <n v="74887"/>
    <s v="BARRIO PATIO BONITO 3 BOGOTA"/>
    <n v="80801899"/>
    <s v="3425090"/>
    <s v="3136168603"/>
    <s v="3226740157"/>
    <s v=" CR 18 A 49 04 LC 3 LOS MOLIS"/>
    <s v="4.8376567"/>
    <s v="-75.6658314"/>
    <s v="RISARALDA"/>
    <s v="DOSQUEBRADAS"/>
    <s v="DOSQUEBRADAS"/>
    <n v="66170"/>
    <s v="2025-11-14"/>
    <m/>
    <m/>
    <m/>
    <m/>
    <n v="4"/>
    <s v="PEREIRA"/>
    <x v="6"/>
    <n v="37313"/>
    <n v="149252"/>
  </r>
  <r>
    <n v="74889"/>
    <s v="BARRIO VILLA ALSACIA BOGOTA 10"/>
    <n v="830061125"/>
    <s v="3128897153"/>
    <s v="3225143188"/>
    <s v="3128897153"/>
    <s v="MZ 13 CA 31 BRR MIRADOR DE LA ESTANCIA"/>
    <s v="4.8127349"/>
    <s v="-75.6710123"/>
    <s v="RISARALDA"/>
    <s v="DOSQUEBRADAS"/>
    <s v="DOSQUEBRADAS"/>
    <n v="66170"/>
    <s v="2025-11-20"/>
    <m/>
    <m/>
    <m/>
    <m/>
    <n v="2"/>
    <s v="PEREIRA"/>
    <x v="6"/>
    <n v="37313"/>
    <n v="74626"/>
  </r>
  <r>
    <n v="74893"/>
    <s v="BARRIO POLICARPA BOGOTA 5"/>
    <n v="1013654533"/>
    <s v="3233325768"/>
    <s v="3233325768"/>
    <s v="3233325768"/>
    <s v="CR 8 A CL 15 107 LC 3 -ZONA INDUSTRIAL LA MACARENA ,ZONA INDUSTRIAL LA MACARENA"/>
    <s v="4.8264699"/>
    <s v="-75.6877634"/>
    <s v="RISARALDA"/>
    <s v="DOSQUEBRADAS"/>
    <s v="DOSQUEBRADAS"/>
    <n v="66170"/>
    <s v="2025-11-07"/>
    <m/>
    <m/>
    <m/>
    <m/>
    <n v="5"/>
    <s v="PEREIRA"/>
    <x v="6"/>
    <n v="37313"/>
    <n v="186565"/>
  </r>
  <r>
    <n v="74970"/>
    <s v="BARRIO MARCO FIDEL SUAREZ BOGOTA 2"/>
    <n v="39802419"/>
    <s v="3218167957"/>
    <s v="3218167957"/>
    <s v="3113070691"/>
    <s v="MZ 12 CA 4 BRR SANTIAGO LONDOÑO ,SANTIAGO LONDOÑO"/>
    <s v="4.8115416"/>
    <s v="-75.6633846"/>
    <s v="RISARALDA"/>
    <s v="DOSQUEBRADAS"/>
    <s v="DOSQUEBRADAS"/>
    <n v="66170"/>
    <s v="2025-11-20"/>
    <m/>
    <m/>
    <m/>
    <m/>
    <n v="1"/>
    <s v="PEREIRA"/>
    <x v="6"/>
    <n v="37313"/>
    <n v="37313"/>
  </r>
  <r>
    <n v="74971"/>
    <s v="BARRIO ALAMOS BOGOTA 10"/>
    <n v="23474065"/>
    <s v="3125310162"/>
    <s v="3125310162"/>
    <s v="3125310162"/>
    <s v="CL 4 C 18A 03,SAN GREGORIO"/>
    <s v="4.7894094"/>
    <s v="-71.3451631"/>
    <s v="CASANARE"/>
    <s v="OROCUÉ"/>
    <s v="OROCUÉ"/>
    <n v="85230"/>
    <s v="2025-11-25"/>
    <m/>
    <m/>
    <m/>
    <m/>
    <n v="1"/>
    <s v="YOPAL"/>
    <x v="3"/>
    <n v="49671.7"/>
    <n v="49671.7"/>
  </r>
  <r>
    <n v="75125"/>
    <s v="BARRIO SAN JOSE SUR BOGOTA 2"/>
    <n v="39644168"/>
    <m/>
    <s v="3212808223"/>
    <s v="3212808223"/>
    <s v="CR 16 14 83,PABLO VI"/>
    <s v="1.2033065"/>
    <s v="-76.9179787"/>
    <s v="PUTUMAYO"/>
    <s v="SIBUNDOY"/>
    <s v="SIBUNDOY"/>
    <n v="86749"/>
    <s v="2025-11-24"/>
    <m/>
    <m/>
    <m/>
    <m/>
    <n v="2"/>
    <s v="PASTO"/>
    <x v="5"/>
    <n v="49671.7"/>
    <n v="99343.4"/>
  </r>
  <r>
    <n v="75112"/>
    <s v="BARRIO LA BASE AEREA MARCO FIDEL SUAREZ CALI"/>
    <n v="16744927"/>
    <s v="3164478041"/>
    <s v="3214654385"/>
    <s v="3214654385"/>
    <s v="CRA 14 15 17 - LIBERTAD,LIBERTAD"/>
    <s v="1.2018711"/>
    <s v="-76.9165545"/>
    <s v="PUTUMAYO"/>
    <s v="SIBUNDOY"/>
    <s v="SIBUNDOY"/>
    <n v="86749"/>
    <s v="2025-11-24"/>
    <m/>
    <m/>
    <m/>
    <m/>
    <n v="1"/>
    <s v="PASTO"/>
    <x v="5"/>
    <n v="49671.7"/>
    <n v="49671.7"/>
  </r>
  <r>
    <n v="74242"/>
    <s v="BARRIO PORVENIR BOGOTA 1"/>
    <n v="29813227"/>
    <s v="3162079964"/>
    <s v="3247065038"/>
    <s v="3162079964"/>
    <s v="CL 16 CR 9 1 BR FRAY BARTOLOME"/>
    <s v="1.201016"/>
    <s v="-76.912937"/>
    <s v="PUTUMAYO"/>
    <s v="SIBUNDOY"/>
    <s v="SIBUNDOY"/>
    <n v="86749"/>
    <s v="2025-11-24"/>
    <m/>
    <m/>
    <m/>
    <m/>
    <n v="2"/>
    <s v="PASTO"/>
    <x v="5"/>
    <n v="49671.7"/>
    <n v="99343.4"/>
  </r>
  <r>
    <n v="75302"/>
    <s v="BARRIO RICAURTE BOGOTA 11"/>
    <n v="1113362086"/>
    <s v="5811828"/>
    <s v="3207868023"/>
    <s v="3207868023"/>
    <s v=" CR 53 16B 03 MEDELLIN ANTIOQUIA"/>
    <s v="6.2201006"/>
    <s v="-75.5811931"/>
    <s v="ANTIOQUIA"/>
    <s v="MEDELLÍN"/>
    <s v="MEDELLÍN"/>
    <n v="5001"/>
    <s v="2025-11-24"/>
    <m/>
    <m/>
    <m/>
    <m/>
    <n v="1"/>
    <s v="MEDELLIN"/>
    <x v="0"/>
    <n v="37313"/>
    <n v="37313"/>
  </r>
  <r>
    <n v="75604"/>
    <s v="BARRIO VILLA COLOMBIA BOSA BOGOTA"/>
    <n v="4149841"/>
    <s v="2573674"/>
    <s v="3206138801"/>
    <s v="3206138801"/>
    <s v=" CL 71  65-100 CERRO EL VOLADOR"/>
    <s v="6.2715329"/>
    <s v="-75.5783462"/>
    <s v="ANTIOQUIA"/>
    <s v="MEDELLÍN"/>
    <s v="MEDELLÍN"/>
    <n v="5001"/>
    <s v="2025-11-20"/>
    <m/>
    <m/>
    <m/>
    <m/>
    <n v="2"/>
    <s v="MEDELLIN"/>
    <x v="0"/>
    <n v="37313"/>
    <n v="74626"/>
  </r>
  <r>
    <n v="75650"/>
    <s v="BARRIO GUABAL CALI 2"/>
    <n v="1061533071"/>
    <s v="2167934"/>
    <s v="3003755578"/>
    <s v="3003755578"/>
    <s v="CL 35 32 68"/>
    <s v="6.232287"/>
    <s v=" -75.559123"/>
    <s v="ANTIOQUIA"/>
    <s v="MEDELLÍN"/>
    <s v="MEDELLÍN"/>
    <n v="5001"/>
    <s v="2025-11-24"/>
    <m/>
    <m/>
    <m/>
    <m/>
    <n v="2"/>
    <s v="MEDELLIN"/>
    <x v="0"/>
    <n v="37313"/>
    <n v="74626"/>
  </r>
  <r>
    <n v="74801"/>
    <s v="BARRIO DEPARTAMENTAL CALI 1"/>
    <n v="1109540710"/>
    <s v="3225690611"/>
    <s v="3225690611"/>
    <m/>
    <s v="CL 78B 69 240 LC 19,ROBLEDO"/>
    <s v="6.2769201"/>
    <s v="-75.5796903"/>
    <s v="ANTIOQUIA"/>
    <s v="MEDELLÍN"/>
    <s v="MEDELLÍN"/>
    <n v="5001"/>
    <s v="2025-11-20"/>
    <m/>
    <m/>
    <m/>
    <m/>
    <n v="2"/>
    <s v="MEDELLIN"/>
    <x v="0"/>
    <n v="37313"/>
    <n v="74626"/>
  </r>
  <r>
    <n v="74802"/>
    <s v="BARRIO PASO DEL COMERCIO CALI 2"/>
    <n v="1144176944"/>
    <s v="3005304792"/>
    <s v="3005304792"/>
    <m/>
    <s v="CL 52 20 C 26,CAICEDO"/>
    <s v="6.2404735"/>
    <s v="-75.5450131"/>
    <s v="ANTIOQUIA"/>
    <s v="MEDELLÍN"/>
    <s v="MEDELLÍN"/>
    <n v="5001"/>
    <s v="2025-11-20"/>
    <m/>
    <m/>
    <m/>
    <m/>
    <n v="2"/>
    <s v="MEDELLIN"/>
    <x v="0"/>
    <n v="37313"/>
    <n v="74626"/>
  </r>
  <r>
    <n v="75933"/>
    <s v="BARRIO CIUDAD CORDOBA CALI 8"/>
    <n v="1127383873"/>
    <s v="3234731942"/>
    <s v="3234731942"/>
    <s v="3146177152"/>
    <s v="CL 10 43B 22,POBLADO MEDELLIN"/>
    <s v="6.2109401"/>
    <s v="-75.5713804"/>
    <s v="ANTIOQUIA"/>
    <s v="MEDELLÍN"/>
    <s v="MEDELLÍN"/>
    <n v="5001"/>
    <s v="2025-11-20"/>
    <m/>
    <m/>
    <m/>
    <m/>
    <n v="2"/>
    <s v="MEDELLIN"/>
    <x v="0"/>
    <n v="37313"/>
    <n v="74626"/>
  </r>
  <r>
    <n v="75948"/>
    <s v="BARRIO ANDRES SANIN CALI  2"/>
    <n v="38556030"/>
    <s v="6045987814"/>
    <s v="0"/>
    <s v="3135369255"/>
    <s v="CARRERA 58 D 25 B 23,BELLO"/>
    <s v="6.3153248"/>
    <s v="-75.5668779"/>
    <s v="ANTIOQUIA"/>
    <s v="BELLO"/>
    <s v="BELLO"/>
    <n v="5088"/>
    <s v="2025-11-21"/>
    <m/>
    <m/>
    <m/>
    <m/>
    <n v="2"/>
    <s v="MEDELLIN"/>
    <x v="0"/>
    <n v="37313"/>
    <n v="74626"/>
  </r>
  <r>
    <n v="76080"/>
    <s v="BARRIO FONTIBON CENTRO BOGOTA 3"/>
    <n v="900183060"/>
    <s v="0"/>
    <s v="3157533034"/>
    <s v="3148888980"/>
    <s v="DG 54 42 21,NIQUIA"/>
    <s v="6.3384123"/>
    <s v="-75.5483048"/>
    <s v="ANTIOQUIA"/>
    <s v="BELLO"/>
    <s v="BELLO"/>
    <n v="5088"/>
    <s v="2025-11-20"/>
    <m/>
    <m/>
    <m/>
    <m/>
    <n v="2"/>
    <s v="MEDELLIN"/>
    <x v="0"/>
    <n v="37313"/>
    <n v="74626"/>
  </r>
  <r>
    <n v="75782"/>
    <s v="BARRIO EL POPULAR CALI 2"/>
    <n v="29121983"/>
    <s v="0"/>
    <s v="3137494046"/>
    <s v="3137494046"/>
    <s v="CALLLE 32 CR 57 -104,LA FLORIDA"/>
    <s v="6.319431"/>
    <s v="-75.5636861"/>
    <s v="ANTIOQUIA"/>
    <s v="BELLO"/>
    <s v="BELLO"/>
    <n v="5088"/>
    <s v="2025-11-20"/>
    <m/>
    <m/>
    <m/>
    <m/>
    <n v="1"/>
    <s v="MEDELLIN"/>
    <x v="0"/>
    <n v="37313"/>
    <n v="37313"/>
  </r>
  <r>
    <n v="75792"/>
    <s v="BARRIO LA INDEPENDENCIA CALI"/>
    <n v="94506037"/>
    <s v="0"/>
    <s v="3166657710"/>
    <s v="3184094669"/>
    <s v="CARRERA 49 47 75,PRADO"/>
    <s v="6.3336891"/>
    <s v="-75.5574128"/>
    <s v="ANTIOQUIA"/>
    <s v="BELLO"/>
    <s v="BELLO"/>
    <n v="5088"/>
    <s v="2025-11-11"/>
    <m/>
    <m/>
    <m/>
    <m/>
    <n v="2"/>
    <s v="MEDELLIN"/>
    <x v="0"/>
    <n v="37313"/>
    <n v="74626"/>
  </r>
  <r>
    <n v="75908"/>
    <s v="BARRIO PIO 12 KENNEDY BOGOTA"/>
    <n v="14139757"/>
    <s v="3163046724"/>
    <s v="3163046729"/>
    <s v="3113673258"/>
    <s v="DIAGONAL 62 40A 18,NIQUIA"/>
    <s v="6.3444070"/>
    <s v="-75.5472513"/>
    <s v="ANTIOQUIA"/>
    <s v="BELLO"/>
    <s v="BELLO"/>
    <n v="5088"/>
    <s v="2025-11-20"/>
    <m/>
    <m/>
    <m/>
    <m/>
    <n v="2"/>
    <s v="MEDELLIN"/>
    <x v="0"/>
    <n v="37313"/>
    <n v="74626"/>
  </r>
  <r>
    <n v="76581"/>
    <s v="BARRIO ALIRIO MORA BELTRAN CALI 2"/>
    <n v="38680767"/>
    <s v="3214654851"/>
    <s v="3157490616"/>
    <s v="3214654851"/>
    <s v="BRR LAURELES GALAXIA MAZANA 7A CA 4"/>
    <s v="4.858864"/>
    <s v="-75.659055"/>
    <s v="RISARALDA"/>
    <s v="DOSQUEBRADAS"/>
    <s v="DOSQUEBRADAS"/>
    <n v="66170"/>
    <s v="2025-11-07"/>
    <m/>
    <m/>
    <m/>
    <m/>
    <n v="2"/>
    <s v="PEREIRA"/>
    <x v="6"/>
    <n v="37313"/>
    <n v="74626"/>
  </r>
  <r>
    <n v="76940"/>
    <s v="BARRIO MARCO FIDEL SUAREZ BOGOTA 5"/>
    <n v="79659179"/>
    <s v="3104712315"/>
    <s v="3118087766"/>
    <s v="3146654003"/>
    <s v="CR 15 51 07 P 1 - LOS NARANJOS,LOS NARANJOS"/>
    <s v="4.8404647"/>
    <s v="-75.6669959"/>
    <s v="RISARALDA"/>
    <s v="DOSQUEBRADAS"/>
    <s v="DOSQUEBRADAS"/>
    <n v="66170"/>
    <s v="2025-11-24"/>
    <m/>
    <m/>
    <m/>
    <m/>
    <n v="2"/>
    <s v="PEREIRA"/>
    <x v="6"/>
    <n v="37313"/>
    <n v="74626"/>
  </r>
  <r>
    <n v="76790"/>
    <s v="BARRIO VALVANERA  BOGOTA"/>
    <n v="1007382479"/>
    <s v="3116295698"/>
    <s v="3113580357"/>
    <s v="3116295698"/>
    <s v="CAMPESTRE A MZ 19 CS 2,CAMPESTRE A"/>
    <s v="4.8324230"/>
    <s v="-75.6827251"/>
    <s v="RISARALDA"/>
    <s v="DOSQUEBRADAS"/>
    <s v="DOSQUEBRADAS"/>
    <n v="66170"/>
    <s v="2025-11-07"/>
    <m/>
    <m/>
    <m/>
    <m/>
    <n v="3"/>
    <s v="PEREIRA"/>
    <x v="6"/>
    <n v="37313"/>
    <n v="111939"/>
  </r>
  <r>
    <n v="76791"/>
    <s v="BARRIO PATIO BONITO BOGOTA 26"/>
    <n v="1007226135"/>
    <s v="3016326040"/>
    <s v="3016326404"/>
    <s v="3128077027"/>
    <s v="MZ 6 CA 117 LC 1 BRR LOS LAGUITOS "/>
    <s v="4.8252568"/>
    <s v="-75.6661158"/>
    <s v="RISARALDA"/>
    <s v="DOSQUEBRADAS"/>
    <s v="DOSQUEBRADAS"/>
    <n v="66170"/>
    <s v="2025-11-20"/>
    <m/>
    <m/>
    <m/>
    <m/>
    <n v="2"/>
    <s v="PEREIRA"/>
    <x v="6"/>
    <n v="37313"/>
    <n v="74626"/>
  </r>
  <r>
    <n v="77005"/>
    <s v="BARRIO RICARDO BALCAZAR CALI 3"/>
    <n v="16536858"/>
    <s v="3006301874"/>
    <s v="3006301874"/>
    <s v="3006301874"/>
    <s v="CL 44 18 08 BARRIO SAN FERNANDO "/>
    <s v="4.8361868"/>
    <s v="-75.6671532"/>
    <s v="RISARALDA"/>
    <s v="DOSQUEBRADAS"/>
    <s v="DOSQUEBRADAS"/>
    <n v="66170"/>
    <s v="2025-11-14"/>
    <m/>
    <m/>
    <m/>
    <m/>
    <n v="1"/>
    <s v="PEREIRA"/>
    <x v="6"/>
    <n v="37313"/>
    <n v="37313"/>
  </r>
  <r>
    <n v="77222"/>
    <s v="BARRIO EL PONDAJE CALI  2"/>
    <n v="1144179705"/>
    <s v="3014744900"/>
    <s v="3014744900"/>
    <s v="3014744900"/>
    <s v="DOSQUEBRADAS CAMPESTRE MZ 14 CA 28"/>
    <s v="4.8301052"/>
    <s v="-75.6844439"/>
    <s v="RISARALDA"/>
    <s v="DOSQUEBRADAS"/>
    <s v="DOSQUEBRADAS"/>
    <n v="66170"/>
    <s v="2025-11-14"/>
    <m/>
    <m/>
    <m/>
    <m/>
    <n v="2"/>
    <s v="PEREIRA"/>
    <x v="6"/>
    <n v="37313"/>
    <n v="74626"/>
  </r>
  <r>
    <n v="76365"/>
    <s v="BARRIO ALFONSO BONILLA ARAGON CALI 2"/>
    <n v="6108964"/>
    <s v="3006909241"/>
    <s v="3135726780"/>
    <s v="3006909241"/>
    <s v="CON RESIDENCIAL QUINTAS DE ARAGON LC 2,LA PLAYITA"/>
    <s v="4.8458012"/>
    <s v="-75.6721581"/>
    <s v="RISARALDA"/>
    <s v="DOSQUEBRADAS"/>
    <s v="DOSQUEBRADAS"/>
    <n v="66170"/>
    <s v="2025-11-24"/>
    <m/>
    <m/>
    <m/>
    <m/>
    <n v="2"/>
    <s v="PEREIRA"/>
    <x v="6"/>
    <n v="37313"/>
    <n v="74626"/>
  </r>
  <r>
    <n v="76112"/>
    <s v="BARRIO CIUDAD CORDOBA CALI 9"/>
    <n v="65764053"/>
    <s v="3320391"/>
    <s v="3168047030"/>
    <s v="3168047030"/>
    <s v="CR 8 BIS 15 109 BG 14A SEC SERVIENTREGA, CC PORTAL DEL SUR"/>
    <s v="4.8263727"/>
    <s v="-75.6860269"/>
    <s v="RISARALDA"/>
    <s v="DOSQUEBRADAS"/>
    <s v="DOSQUEBRADAS"/>
    <n v="66170"/>
    <s v="2025-11-28"/>
    <m/>
    <m/>
    <m/>
    <m/>
    <n v="2"/>
    <s v="PEREIRA"/>
    <x v="6"/>
    <n v="37313"/>
    <n v="74626"/>
  </r>
  <r>
    <m/>
    <m/>
    <m/>
    <m/>
    <m/>
    <m/>
    <m/>
    <m/>
    <m/>
    <m/>
    <m/>
    <m/>
    <m/>
    <m/>
    <m/>
    <m/>
    <m/>
    <m/>
    <m/>
    <m/>
    <x v="7"/>
    <m/>
    <n v="60581743.899999984"/>
  </r>
  <r>
    <m/>
    <m/>
    <m/>
    <m/>
    <m/>
    <m/>
    <m/>
    <m/>
    <m/>
    <m/>
    <m/>
    <m/>
    <m/>
    <m/>
    <m/>
    <m/>
    <m/>
    <m/>
    <m/>
    <m/>
    <x v="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2B1FB-479B-4BAB-919F-C1A671AD1F9A}" name="TablaDinámica1" cacheId="1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B9" firstHeaderRow="1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4"/>
        <item x="1"/>
        <item x="6"/>
        <item x="0"/>
        <item x="3"/>
        <item x="2"/>
        <item x="5"/>
        <item h="1" x="7"/>
        <item t="default"/>
      </items>
    </pivotField>
    <pivotField compact="0" outline="0" showAll="0"/>
    <pivotField dataField="1" compact="0" outline="0" showAll="0"/>
  </pivotFields>
  <rowFields count="1">
    <field x="2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valor total" fld="22" baseField="0" baseItem="0" numFmtId="165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AABA-EE1B-4158-8F84-4AC91F29D35C}">
  <dimension ref="A1:C8"/>
  <sheetViews>
    <sheetView workbookViewId="0">
      <selection activeCell="A13" sqref="A13"/>
    </sheetView>
  </sheetViews>
  <sheetFormatPr baseColWidth="10" defaultColWidth="11.44140625" defaultRowHeight="14.4" x14ac:dyDescent="0.3"/>
  <cols>
    <col min="1" max="1" width="31.6640625" customWidth="1"/>
    <col min="2" max="2" width="13" customWidth="1"/>
    <col min="3" max="3" width="15.6640625" customWidth="1"/>
    <col min="4" max="4" width="16.44140625" bestFit="1" customWidth="1"/>
  </cols>
  <sheetData>
    <row r="1" spans="1:3" ht="15" thickBot="1" x14ac:dyDescent="0.35">
      <c r="A1" s="40" t="s">
        <v>0</v>
      </c>
      <c r="B1" s="41"/>
      <c r="C1" s="42"/>
    </row>
    <row r="2" spans="1:3" ht="15" thickBot="1" x14ac:dyDescent="0.35">
      <c r="A2" s="40" t="s">
        <v>4579</v>
      </c>
      <c r="B2" s="41"/>
      <c r="C2" s="42"/>
    </row>
    <row r="3" spans="1:3" ht="15" thickBot="1" x14ac:dyDescent="0.35">
      <c r="A3" s="40" t="s">
        <v>1</v>
      </c>
      <c r="B3" s="41"/>
      <c r="C3" s="42"/>
    </row>
    <row r="4" spans="1:3" ht="15" thickBot="1" x14ac:dyDescent="0.35">
      <c r="A4" s="9" t="s">
        <v>2</v>
      </c>
      <c r="B4" s="10" t="s">
        <v>3</v>
      </c>
      <c r="C4" s="17" t="s">
        <v>4</v>
      </c>
    </row>
    <row r="5" spans="1:3" ht="15" thickBot="1" x14ac:dyDescent="0.35">
      <c r="A5" s="11" t="s">
        <v>5</v>
      </c>
      <c r="B5" s="12">
        <f>COUNTA('ENTREGA DE DATAFONOS EN BODEGAS'!A:A)-1</f>
        <v>783</v>
      </c>
      <c r="C5" s="13">
        <f>'ENTREGA DE DATAFONOS EN BODEGAS'!W785</f>
        <v>60581743.899999984</v>
      </c>
    </row>
    <row r="6" spans="1:3" ht="15" thickBot="1" x14ac:dyDescent="0.35">
      <c r="A6" s="43" t="s">
        <v>6</v>
      </c>
      <c r="B6" s="44"/>
      <c r="C6" s="14">
        <f>SUM(C5:C5)</f>
        <v>60581743.899999984</v>
      </c>
    </row>
    <row r="7" spans="1:3" ht="15" thickBot="1" x14ac:dyDescent="0.35">
      <c r="A7" s="45" t="s">
        <v>7</v>
      </c>
      <c r="B7" s="46"/>
      <c r="C7" s="15">
        <f>C6*0.19</f>
        <v>11510531.340999996</v>
      </c>
    </row>
    <row r="8" spans="1:3" ht="15" thickBot="1" x14ac:dyDescent="0.35">
      <c r="A8" s="43" t="s">
        <v>4</v>
      </c>
      <c r="B8" s="47"/>
      <c r="C8" s="16">
        <f>SUM(C6:C7)</f>
        <v>72092275.240999982</v>
      </c>
    </row>
  </sheetData>
  <mergeCells count="6">
    <mergeCell ref="A1:C1"/>
    <mergeCell ref="A2:C2"/>
    <mergeCell ref="A6:B6"/>
    <mergeCell ref="A7:B7"/>
    <mergeCell ref="A8:B8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8A15-1F14-4656-9D6D-82062418605D}">
  <dimension ref="A1:F23"/>
  <sheetViews>
    <sheetView workbookViewId="0">
      <selection activeCell="D6" sqref="D6"/>
    </sheetView>
  </sheetViews>
  <sheetFormatPr baseColWidth="10" defaultColWidth="11.44140625" defaultRowHeight="14.4" x14ac:dyDescent="0.3"/>
  <cols>
    <col min="1" max="1" width="29.33203125" customWidth="1"/>
    <col min="2" max="2" width="81.44140625" customWidth="1"/>
    <col min="3" max="3" width="19.33203125" customWidth="1"/>
    <col min="4" max="4" width="23.109375" customWidth="1"/>
    <col min="5" max="5" width="14.6640625" customWidth="1"/>
    <col min="6" max="6" width="14.44140625" customWidth="1"/>
  </cols>
  <sheetData>
    <row r="1" spans="1:6" ht="43.2" x14ac:dyDescent="0.3">
      <c r="A1" s="7" t="s">
        <v>8</v>
      </c>
      <c r="B1" s="7" t="s">
        <v>9</v>
      </c>
      <c r="C1" s="7" t="s">
        <v>10</v>
      </c>
      <c r="D1" s="7" t="s">
        <v>11</v>
      </c>
      <c r="E1" s="7" t="s">
        <v>5</v>
      </c>
      <c r="F1" s="8" t="s">
        <v>12</v>
      </c>
    </row>
    <row r="2" spans="1:6" x14ac:dyDescent="0.3">
      <c r="A2" s="3" t="s">
        <v>13</v>
      </c>
      <c r="B2" s="3" t="s">
        <v>14</v>
      </c>
      <c r="C2" s="4" t="s">
        <v>15</v>
      </c>
      <c r="D2" s="4" t="s">
        <v>16</v>
      </c>
      <c r="E2" s="5">
        <v>37313</v>
      </c>
      <c r="F2" s="6">
        <v>15709.5</v>
      </c>
    </row>
    <row r="3" spans="1:6" x14ac:dyDescent="0.3">
      <c r="A3" s="3" t="s">
        <v>13</v>
      </c>
      <c r="B3" s="3" t="s">
        <v>14</v>
      </c>
      <c r="C3" s="3" t="s">
        <v>17</v>
      </c>
      <c r="D3" s="3" t="s">
        <v>18</v>
      </c>
      <c r="E3" s="5">
        <v>37313</v>
      </c>
      <c r="F3" s="6">
        <v>15709.5</v>
      </c>
    </row>
    <row r="4" spans="1:6" x14ac:dyDescent="0.3">
      <c r="A4" s="3" t="s">
        <v>13</v>
      </c>
      <c r="B4" s="3" t="s">
        <v>14</v>
      </c>
      <c r="C4" s="3" t="s">
        <v>19</v>
      </c>
      <c r="D4" s="3" t="s">
        <v>20</v>
      </c>
      <c r="E4" s="5">
        <v>37313</v>
      </c>
      <c r="F4" s="6">
        <v>15709.5</v>
      </c>
    </row>
    <row r="5" spans="1:6" x14ac:dyDescent="0.3">
      <c r="A5" s="3" t="s">
        <v>13</v>
      </c>
      <c r="B5" s="3" t="s">
        <v>14</v>
      </c>
      <c r="C5" s="3" t="s">
        <v>21</v>
      </c>
      <c r="D5" s="3" t="s">
        <v>22</v>
      </c>
      <c r="E5" s="5">
        <v>37313</v>
      </c>
      <c r="F5" s="6">
        <v>15709.5</v>
      </c>
    </row>
    <row r="6" spans="1:6" x14ac:dyDescent="0.3">
      <c r="A6" s="3" t="s">
        <v>13</v>
      </c>
      <c r="B6" s="3" t="s">
        <v>14</v>
      </c>
      <c r="C6" s="3" t="s">
        <v>23</v>
      </c>
      <c r="D6" s="3" t="s">
        <v>24</v>
      </c>
      <c r="E6" s="5">
        <v>37313</v>
      </c>
      <c r="F6" s="6">
        <v>15709.5</v>
      </c>
    </row>
    <row r="7" spans="1:6" x14ac:dyDescent="0.3">
      <c r="A7" s="3" t="s">
        <v>13</v>
      </c>
      <c r="B7" s="3" t="s">
        <v>14</v>
      </c>
      <c r="C7" s="3" t="s">
        <v>25</v>
      </c>
      <c r="D7" s="3" t="s">
        <v>26</v>
      </c>
      <c r="E7" s="5">
        <v>37313</v>
      </c>
      <c r="F7" s="6">
        <v>15709.5</v>
      </c>
    </row>
    <row r="8" spans="1:6" x14ac:dyDescent="0.3">
      <c r="A8" s="3" t="s">
        <v>13</v>
      </c>
      <c r="B8" s="3" t="s">
        <v>14</v>
      </c>
      <c r="C8" s="3" t="s">
        <v>27</v>
      </c>
      <c r="D8" s="3" t="s">
        <v>24</v>
      </c>
      <c r="E8" s="5">
        <v>37313</v>
      </c>
      <c r="F8" s="6">
        <v>15709.5</v>
      </c>
    </row>
    <row r="9" spans="1:6" x14ac:dyDescent="0.3">
      <c r="A9" s="3" t="s">
        <v>13</v>
      </c>
      <c r="B9" s="3" t="s">
        <v>28</v>
      </c>
      <c r="C9" s="4" t="s">
        <v>29</v>
      </c>
      <c r="D9" s="3" t="s">
        <v>26</v>
      </c>
      <c r="E9" s="5">
        <v>49671.7</v>
      </c>
      <c r="F9" s="6">
        <v>28277.100000000002</v>
      </c>
    </row>
    <row r="10" spans="1:6" x14ac:dyDescent="0.3">
      <c r="A10" s="3" t="s">
        <v>13</v>
      </c>
      <c r="B10" s="3" t="s">
        <v>28</v>
      </c>
      <c r="C10" s="3" t="s">
        <v>30</v>
      </c>
      <c r="D10" s="3" t="s">
        <v>31</v>
      </c>
      <c r="E10" s="5">
        <v>49671.7</v>
      </c>
      <c r="F10" s="6">
        <v>28277.100000000002</v>
      </c>
    </row>
    <row r="11" spans="1:6" x14ac:dyDescent="0.3">
      <c r="A11" s="3" t="s">
        <v>13</v>
      </c>
      <c r="B11" s="3" t="s">
        <v>28</v>
      </c>
      <c r="C11" s="3" t="s">
        <v>32</v>
      </c>
      <c r="D11" s="3" t="s">
        <v>24</v>
      </c>
      <c r="E11" s="5">
        <v>49671.7</v>
      </c>
      <c r="F11" s="6">
        <v>28277.100000000002</v>
      </c>
    </row>
    <row r="12" spans="1:6" x14ac:dyDescent="0.3">
      <c r="A12" s="3" t="s">
        <v>13</v>
      </c>
      <c r="B12" s="3" t="s">
        <v>28</v>
      </c>
      <c r="C12" s="3" t="s">
        <v>33</v>
      </c>
      <c r="D12" s="3" t="s">
        <v>26</v>
      </c>
      <c r="E12" s="5">
        <v>49671.7</v>
      </c>
      <c r="F12" s="6">
        <v>28277.100000000002</v>
      </c>
    </row>
    <row r="13" spans="1:6" x14ac:dyDescent="0.3">
      <c r="A13" s="3" t="s">
        <v>13</v>
      </c>
      <c r="B13" s="3" t="s">
        <v>28</v>
      </c>
      <c r="C13" s="3" t="s">
        <v>34</v>
      </c>
      <c r="D13" s="3" t="s">
        <v>31</v>
      </c>
      <c r="E13" s="5">
        <v>49671.7</v>
      </c>
      <c r="F13" s="6">
        <v>28277.100000000002</v>
      </c>
    </row>
    <row r="14" spans="1:6" x14ac:dyDescent="0.3">
      <c r="A14" s="3" t="s">
        <v>13</v>
      </c>
      <c r="B14" s="3" t="s">
        <v>35</v>
      </c>
      <c r="C14" s="3" t="s">
        <v>36</v>
      </c>
      <c r="D14" s="4" t="s">
        <v>16</v>
      </c>
      <c r="E14" s="5">
        <v>49671.7</v>
      </c>
      <c r="F14" s="6">
        <v>28277.100000000002</v>
      </c>
    </row>
    <row r="15" spans="1:6" x14ac:dyDescent="0.3">
      <c r="A15" s="3" t="s">
        <v>13</v>
      </c>
      <c r="B15" s="3" t="s">
        <v>35</v>
      </c>
      <c r="C15" s="3" t="s">
        <v>37</v>
      </c>
      <c r="D15" s="3" t="s">
        <v>24</v>
      </c>
      <c r="E15" s="5">
        <v>49671.7</v>
      </c>
      <c r="F15" s="6">
        <v>28277.100000000002</v>
      </c>
    </row>
    <row r="16" spans="1:6" x14ac:dyDescent="0.3">
      <c r="A16" s="3" t="s">
        <v>13</v>
      </c>
      <c r="B16" s="3" t="s">
        <v>35</v>
      </c>
      <c r="C16" s="3" t="s">
        <v>38</v>
      </c>
      <c r="D16" s="3" t="s">
        <v>31</v>
      </c>
      <c r="E16" s="5">
        <v>49671.7</v>
      </c>
      <c r="F16" s="6">
        <v>28277.100000000002</v>
      </c>
    </row>
    <row r="17" spans="1:6" x14ac:dyDescent="0.3">
      <c r="A17" s="3" t="s">
        <v>13</v>
      </c>
      <c r="B17" s="3" t="s">
        <v>35</v>
      </c>
      <c r="C17" s="3" t="s">
        <v>39</v>
      </c>
      <c r="D17" s="3" t="s">
        <v>31</v>
      </c>
      <c r="E17" s="5">
        <v>49671.7</v>
      </c>
      <c r="F17" s="6">
        <v>28277.100000000002</v>
      </c>
    </row>
    <row r="18" spans="1:6" x14ac:dyDescent="0.3">
      <c r="A18" s="3" t="s">
        <v>13</v>
      </c>
      <c r="B18" s="3" t="s">
        <v>35</v>
      </c>
      <c r="C18" s="3" t="s">
        <v>40</v>
      </c>
      <c r="D18" s="3" t="s">
        <v>22</v>
      </c>
      <c r="E18" s="5">
        <v>49671.7</v>
      </c>
      <c r="F18" s="6">
        <v>28277.100000000002</v>
      </c>
    </row>
    <row r="19" spans="1:6" x14ac:dyDescent="0.3">
      <c r="A19" s="3" t="s">
        <v>13</v>
      </c>
      <c r="B19" s="3" t="s">
        <v>35</v>
      </c>
      <c r="C19" s="3" t="s">
        <v>41</v>
      </c>
      <c r="D19" s="3" t="s">
        <v>20</v>
      </c>
      <c r="E19" s="5">
        <v>49671.7</v>
      </c>
      <c r="F19" s="6">
        <v>28277.100000000002</v>
      </c>
    </row>
    <row r="20" spans="1:6" x14ac:dyDescent="0.3">
      <c r="A20" s="3" t="s">
        <v>13</v>
      </c>
      <c r="B20" s="3" t="s">
        <v>35</v>
      </c>
      <c r="C20" s="3" t="s">
        <v>42</v>
      </c>
      <c r="D20" s="3" t="s">
        <v>20</v>
      </c>
      <c r="E20" s="5">
        <v>49671.7</v>
      </c>
      <c r="F20" s="6">
        <v>28277.100000000002</v>
      </c>
    </row>
    <row r="21" spans="1:6" x14ac:dyDescent="0.3">
      <c r="A21" s="3" t="s">
        <v>13</v>
      </c>
      <c r="B21" s="3" t="s">
        <v>35</v>
      </c>
      <c r="C21" s="3" t="s">
        <v>43</v>
      </c>
      <c r="D21" s="3" t="s">
        <v>24</v>
      </c>
      <c r="E21" s="5">
        <v>49671.7</v>
      </c>
      <c r="F21" s="6">
        <v>28277.100000000002</v>
      </c>
    </row>
    <row r="22" spans="1:6" x14ac:dyDescent="0.3">
      <c r="A22" s="3" t="s">
        <v>13</v>
      </c>
      <c r="B22" s="3" t="s">
        <v>35</v>
      </c>
      <c r="C22" s="3" t="s">
        <v>44</v>
      </c>
      <c r="D22" s="3" t="s">
        <v>24</v>
      </c>
      <c r="E22" s="5">
        <v>49671.7</v>
      </c>
      <c r="F22" s="6">
        <v>28277.100000000002</v>
      </c>
    </row>
    <row r="23" spans="1:6" x14ac:dyDescent="0.3">
      <c r="A23" s="3" t="s">
        <v>13</v>
      </c>
      <c r="B23" s="3" t="s">
        <v>35</v>
      </c>
      <c r="C23" s="3" t="s">
        <v>45</v>
      </c>
      <c r="D23" s="3" t="s">
        <v>31</v>
      </c>
      <c r="E23" s="5">
        <v>49671.7</v>
      </c>
      <c r="F23" s="6">
        <v>28277.100000000002</v>
      </c>
    </row>
  </sheetData>
  <autoFilter ref="A1:F23" xr:uid="{968C8A15-1F14-4656-9D6D-82062418605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D991-50BB-498F-AF85-38F1C1C6DBE3}">
  <dimension ref="A1:W785"/>
  <sheetViews>
    <sheetView workbookViewId="0">
      <pane xSplit="1" ySplit="1" topLeftCell="K753" activePane="bottomRight" state="frozen"/>
      <selection pane="topRight" activeCell="B1" sqref="B1"/>
      <selection pane="bottomLeft" activeCell="A2" sqref="A2"/>
      <selection pane="bottomRight" activeCell="W785" sqref="W785"/>
    </sheetView>
  </sheetViews>
  <sheetFormatPr baseColWidth="10" defaultColWidth="8.88671875" defaultRowHeight="15" customHeight="1" x14ac:dyDescent="0.3"/>
  <cols>
    <col min="1" max="1" width="12.6640625" style="2" customWidth="1"/>
    <col min="2" max="13" width="16.5546875" style="2" customWidth="1"/>
    <col min="14" max="14" width="16.5546875" style="31" customWidth="1"/>
    <col min="15" max="18" width="16.5546875" style="25" customWidth="1"/>
    <col min="19" max="19" width="12.109375" style="1" customWidth="1"/>
    <col min="20" max="21" width="21.44140625" style="2" customWidth="1"/>
    <col min="22" max="22" width="16.44140625" style="28" customWidth="1"/>
    <col min="23" max="23" width="16.109375" style="29" customWidth="1"/>
  </cols>
  <sheetData>
    <row r="1" spans="1:23" ht="28.8" x14ac:dyDescent="0.3">
      <c r="A1" s="18" t="s">
        <v>46</v>
      </c>
      <c r="B1" s="18" t="s">
        <v>47</v>
      </c>
      <c r="C1" s="18" t="s">
        <v>48</v>
      </c>
      <c r="D1" s="18" t="s">
        <v>49</v>
      </c>
      <c r="E1" s="18" t="s">
        <v>50</v>
      </c>
      <c r="F1" s="18" t="s">
        <v>51</v>
      </c>
      <c r="G1" s="18" t="s">
        <v>52</v>
      </c>
      <c r="H1" s="18" t="s">
        <v>53</v>
      </c>
      <c r="I1" s="18" t="s">
        <v>54</v>
      </c>
      <c r="J1" s="18" t="s">
        <v>55</v>
      </c>
      <c r="K1" s="18" t="s">
        <v>56</v>
      </c>
      <c r="L1" s="18" t="s">
        <v>57</v>
      </c>
      <c r="M1" s="18" t="s">
        <v>58</v>
      </c>
      <c r="N1" s="30" t="s">
        <v>59</v>
      </c>
      <c r="O1" s="24" t="s">
        <v>3619</v>
      </c>
      <c r="P1" s="24" t="s">
        <v>3620</v>
      </c>
      <c r="Q1" s="24" t="s">
        <v>3621</v>
      </c>
      <c r="R1" s="24" t="s">
        <v>3622</v>
      </c>
      <c r="S1" s="18" t="s">
        <v>60</v>
      </c>
      <c r="T1" s="19" t="s">
        <v>61</v>
      </c>
      <c r="U1" s="19" t="s">
        <v>62</v>
      </c>
      <c r="V1" s="22" t="s">
        <v>63</v>
      </c>
      <c r="W1" s="22" t="s">
        <v>64</v>
      </c>
    </row>
    <row r="2" spans="1:23" s="37" customFormat="1" ht="14.4" x14ac:dyDescent="0.3">
      <c r="A2" s="37">
        <v>15190</v>
      </c>
      <c r="B2" s="37" t="s">
        <v>3661</v>
      </c>
      <c r="C2" s="37">
        <v>70786438</v>
      </c>
      <c r="D2" s="37" t="s">
        <v>4408</v>
      </c>
      <c r="E2" s="37" t="s">
        <v>4409</v>
      </c>
      <c r="F2" s="37" t="s">
        <v>4410</v>
      </c>
      <c r="G2" s="37" t="s">
        <v>4411</v>
      </c>
      <c r="H2" s="37" t="s">
        <v>4412</v>
      </c>
      <c r="I2" s="37" t="s">
        <v>4413</v>
      </c>
      <c r="J2" s="37" t="s">
        <v>65</v>
      </c>
      <c r="K2" s="37" t="s">
        <v>202</v>
      </c>
      <c r="L2" s="37" t="s">
        <v>202</v>
      </c>
      <c r="M2" s="37">
        <v>5360</v>
      </c>
      <c r="N2" s="38" t="s">
        <v>4414</v>
      </c>
      <c r="S2" s="23">
        <f>VLOOKUP(A2,Hoja1!A:D,4,0)</f>
        <v>4</v>
      </c>
      <c r="T2" s="26" t="str">
        <f>VLOOKUP(M2,[1]TIPOLOGIAS!$A:$F,4,0)</f>
        <v>MEDELLIN</v>
      </c>
      <c r="U2" s="26" t="str">
        <f>VLOOKUP(T2,'BASE TARIFA 2025'!C:D,2,0)</f>
        <v>WOMPI NOROCCIDENTE</v>
      </c>
      <c r="V2" s="27">
        <f>VLOOKUP(T2,'BASE TARIFA 2025'!C:F,3,0)</f>
        <v>37313</v>
      </c>
      <c r="W2" s="27">
        <f t="shared" ref="W2:W65" si="0">V2*S2</f>
        <v>149252</v>
      </c>
    </row>
    <row r="3" spans="1:23" s="37" customFormat="1" ht="14.4" x14ac:dyDescent="0.3">
      <c r="A3" s="37">
        <v>78376</v>
      </c>
      <c r="B3" s="37" t="s">
        <v>3662</v>
      </c>
      <c r="C3" s="37">
        <v>8353513</v>
      </c>
      <c r="D3" s="37" t="s">
        <v>4415</v>
      </c>
      <c r="E3" s="37" t="s">
        <v>4416</v>
      </c>
      <c r="F3" s="37" t="s">
        <v>4417</v>
      </c>
      <c r="G3" s="37" t="s">
        <v>4418</v>
      </c>
      <c r="H3" s="37" t="s">
        <v>4419</v>
      </c>
      <c r="I3" s="37" t="s">
        <v>4420</v>
      </c>
      <c r="J3" s="37" t="s">
        <v>65</v>
      </c>
      <c r="K3" s="37" t="s">
        <v>202</v>
      </c>
      <c r="L3" s="37" t="s">
        <v>202</v>
      </c>
      <c r="M3" s="37">
        <v>5360</v>
      </c>
      <c r="N3" s="38" t="s">
        <v>4421</v>
      </c>
      <c r="S3" s="23">
        <f>VLOOKUP(A3,Hoja1!A:D,4,0)</f>
        <v>2</v>
      </c>
      <c r="T3" s="26" t="str">
        <f>VLOOKUP(M3,[1]TIPOLOGIAS!$A:$F,4,0)</f>
        <v>MEDELLIN</v>
      </c>
      <c r="U3" s="26" t="str">
        <f>VLOOKUP(T3,'BASE TARIFA 2025'!C:D,2,0)</f>
        <v>WOMPI NOROCCIDENTE</v>
      </c>
      <c r="V3" s="27">
        <f>VLOOKUP(T3,'BASE TARIFA 2025'!C:F,3,0)</f>
        <v>37313</v>
      </c>
      <c r="W3" s="27">
        <f t="shared" si="0"/>
        <v>74626</v>
      </c>
    </row>
    <row r="4" spans="1:23" s="37" customFormat="1" ht="14.4" x14ac:dyDescent="0.3">
      <c r="A4" s="37">
        <v>77534</v>
      </c>
      <c r="B4" s="37" t="s">
        <v>3663</v>
      </c>
      <c r="C4" s="37">
        <v>901583748</v>
      </c>
      <c r="D4" s="37" t="s">
        <v>67</v>
      </c>
      <c r="E4" s="37" t="s">
        <v>4422</v>
      </c>
      <c r="F4" s="37" t="s">
        <v>4423</v>
      </c>
      <c r="G4" s="37" t="s">
        <v>4424</v>
      </c>
      <c r="H4" s="37" t="s">
        <v>4425</v>
      </c>
      <c r="I4" s="37" t="s">
        <v>4426</v>
      </c>
      <c r="J4" s="37" t="s">
        <v>65</v>
      </c>
      <c r="K4" s="37" t="s">
        <v>202</v>
      </c>
      <c r="L4" s="37" t="s">
        <v>202</v>
      </c>
      <c r="M4" s="37">
        <v>5360</v>
      </c>
      <c r="N4" s="38" t="s">
        <v>4421</v>
      </c>
      <c r="S4" s="23">
        <f>VLOOKUP(A4,Hoja1!A:D,4,0)</f>
        <v>2</v>
      </c>
      <c r="T4" s="26" t="str">
        <f>VLOOKUP(M4,[1]TIPOLOGIAS!$A:$F,4,0)</f>
        <v>MEDELLIN</v>
      </c>
      <c r="U4" s="26" t="str">
        <f>VLOOKUP(T4,'BASE TARIFA 2025'!C:D,2,0)</f>
        <v>WOMPI NOROCCIDENTE</v>
      </c>
      <c r="V4" s="27">
        <f>VLOOKUP(T4,'BASE TARIFA 2025'!C:F,3,0)</f>
        <v>37313</v>
      </c>
      <c r="W4" s="27">
        <f t="shared" si="0"/>
        <v>74626</v>
      </c>
    </row>
    <row r="5" spans="1:23" s="37" customFormat="1" ht="14.4" x14ac:dyDescent="0.3">
      <c r="A5" s="37">
        <v>77399</v>
      </c>
      <c r="B5" s="37" t="s">
        <v>3664</v>
      </c>
      <c r="C5" s="37">
        <v>28056870</v>
      </c>
      <c r="D5" s="37" t="s">
        <v>4427</v>
      </c>
      <c r="E5" s="37" t="s">
        <v>4427</v>
      </c>
      <c r="F5" s="37" t="s">
        <v>4428</v>
      </c>
      <c r="G5" s="37" t="s">
        <v>4429</v>
      </c>
      <c r="H5" s="37" t="s">
        <v>4430</v>
      </c>
      <c r="I5" s="37" t="s">
        <v>4431</v>
      </c>
      <c r="J5" s="37" t="s">
        <v>65</v>
      </c>
      <c r="K5" s="37" t="s">
        <v>202</v>
      </c>
      <c r="L5" s="37" t="s">
        <v>202</v>
      </c>
      <c r="M5" s="37">
        <v>5360</v>
      </c>
      <c r="N5" s="38" t="s">
        <v>4421</v>
      </c>
      <c r="S5" s="23">
        <f>VLOOKUP(A5,Hoja1!A:D,4,0)</f>
        <v>3</v>
      </c>
      <c r="T5" s="26" t="str">
        <f>VLOOKUP(M5,[1]TIPOLOGIAS!$A:$F,4,0)</f>
        <v>MEDELLIN</v>
      </c>
      <c r="U5" s="26" t="str">
        <f>VLOOKUP(T5,'BASE TARIFA 2025'!C:D,2,0)</f>
        <v>WOMPI NOROCCIDENTE</v>
      </c>
      <c r="V5" s="27">
        <f>VLOOKUP(T5,'BASE TARIFA 2025'!C:F,3,0)</f>
        <v>37313</v>
      </c>
      <c r="W5" s="27">
        <f t="shared" si="0"/>
        <v>111939</v>
      </c>
    </row>
    <row r="6" spans="1:23" s="37" customFormat="1" ht="14.4" x14ac:dyDescent="0.3">
      <c r="A6" s="37">
        <v>73721</v>
      </c>
      <c r="B6" s="37" t="s">
        <v>3665</v>
      </c>
      <c r="C6" s="37">
        <v>1129508911</v>
      </c>
      <c r="D6" s="37" t="s">
        <v>4432</v>
      </c>
      <c r="E6" s="37" t="s">
        <v>4432</v>
      </c>
      <c r="F6" s="37" t="s">
        <v>4432</v>
      </c>
      <c r="G6" s="37" t="s">
        <v>4433</v>
      </c>
      <c r="H6" s="37" t="s">
        <v>4434</v>
      </c>
      <c r="I6" s="37" t="s">
        <v>4435</v>
      </c>
      <c r="J6" s="37" t="s">
        <v>65</v>
      </c>
      <c r="K6" s="37" t="s">
        <v>202</v>
      </c>
      <c r="L6" s="37" t="s">
        <v>202</v>
      </c>
      <c r="M6" s="37">
        <v>5360</v>
      </c>
      <c r="N6" s="38" t="s">
        <v>4421</v>
      </c>
      <c r="S6" s="23">
        <f>VLOOKUP(A6,Hoja1!A:D,4,0)</f>
        <v>1</v>
      </c>
      <c r="T6" s="26" t="str">
        <f>VLOOKUP(M6,[1]TIPOLOGIAS!$A:$F,4,0)</f>
        <v>MEDELLIN</v>
      </c>
      <c r="U6" s="26" t="str">
        <f>VLOOKUP(T6,'BASE TARIFA 2025'!C:D,2,0)</f>
        <v>WOMPI NOROCCIDENTE</v>
      </c>
      <c r="V6" s="27">
        <f>VLOOKUP(T6,'BASE TARIFA 2025'!C:F,3,0)</f>
        <v>37313</v>
      </c>
      <c r="W6" s="27">
        <f t="shared" si="0"/>
        <v>37313</v>
      </c>
    </row>
    <row r="7" spans="1:23" s="37" customFormat="1" ht="14.4" x14ac:dyDescent="0.3">
      <c r="A7" s="37">
        <v>72556</v>
      </c>
      <c r="B7" s="37" t="s">
        <v>3666</v>
      </c>
      <c r="C7" s="37">
        <v>901340974</v>
      </c>
      <c r="D7" s="37" t="s">
        <v>4436</v>
      </c>
      <c r="E7" s="37" t="s">
        <v>4437</v>
      </c>
      <c r="F7" s="37" t="s">
        <v>4437</v>
      </c>
      <c r="G7" s="37" t="s">
        <v>4438</v>
      </c>
      <c r="H7" s="37" t="s">
        <v>4439</v>
      </c>
      <c r="I7" s="37" t="s">
        <v>4440</v>
      </c>
      <c r="J7" s="37" t="s">
        <v>65</v>
      </c>
      <c r="K7" s="37" t="s">
        <v>202</v>
      </c>
      <c r="L7" s="37" t="s">
        <v>202</v>
      </c>
      <c r="M7" s="37">
        <v>5360</v>
      </c>
      <c r="N7" s="38" t="s">
        <v>4441</v>
      </c>
      <c r="S7" s="23">
        <f>VLOOKUP(A7,Hoja1!A:D,4,0)</f>
        <v>1</v>
      </c>
      <c r="T7" s="26" t="str">
        <f>VLOOKUP(M7,[1]TIPOLOGIAS!$A:$F,4,0)</f>
        <v>MEDELLIN</v>
      </c>
      <c r="U7" s="26" t="str">
        <f>VLOOKUP(T7,'BASE TARIFA 2025'!C:D,2,0)</f>
        <v>WOMPI NOROCCIDENTE</v>
      </c>
      <c r="V7" s="27">
        <f>VLOOKUP(T7,'BASE TARIFA 2025'!C:F,3,0)</f>
        <v>37313</v>
      </c>
      <c r="W7" s="27">
        <f t="shared" si="0"/>
        <v>37313</v>
      </c>
    </row>
    <row r="8" spans="1:23" s="37" customFormat="1" ht="14.4" x14ac:dyDescent="0.3">
      <c r="A8" s="37">
        <v>44132</v>
      </c>
      <c r="B8" s="37" t="s">
        <v>3667</v>
      </c>
      <c r="C8" s="37">
        <v>800046457</v>
      </c>
      <c r="D8" s="37" t="s">
        <v>4442</v>
      </c>
      <c r="E8" s="37" t="s">
        <v>4443</v>
      </c>
      <c r="F8" s="37" t="s">
        <v>4444</v>
      </c>
      <c r="G8" s="37" t="s">
        <v>4445</v>
      </c>
      <c r="H8" s="37" t="s">
        <v>4446</v>
      </c>
      <c r="I8" s="37" t="s">
        <v>4447</v>
      </c>
      <c r="J8" s="37" t="s">
        <v>65</v>
      </c>
      <c r="K8" s="37" t="s">
        <v>202</v>
      </c>
      <c r="L8" s="37" t="s">
        <v>202</v>
      </c>
      <c r="M8" s="37">
        <v>5360</v>
      </c>
      <c r="N8" s="38" t="s">
        <v>4421</v>
      </c>
      <c r="S8" s="23">
        <f>VLOOKUP(A8,Hoja1!A:D,4,0)</f>
        <v>1</v>
      </c>
      <c r="T8" s="26" t="str">
        <f>VLOOKUP(M8,[1]TIPOLOGIAS!$A:$F,4,0)</f>
        <v>MEDELLIN</v>
      </c>
      <c r="U8" s="26" t="str">
        <f>VLOOKUP(T8,'BASE TARIFA 2025'!C:D,2,0)</f>
        <v>WOMPI NOROCCIDENTE</v>
      </c>
      <c r="V8" s="27">
        <f>VLOOKUP(T8,'BASE TARIFA 2025'!C:F,3,0)</f>
        <v>37313</v>
      </c>
      <c r="W8" s="27">
        <f t="shared" si="0"/>
        <v>37313</v>
      </c>
    </row>
    <row r="9" spans="1:23" s="37" customFormat="1" ht="14.4" x14ac:dyDescent="0.3">
      <c r="A9" s="37">
        <v>46735</v>
      </c>
      <c r="B9" s="37" t="s">
        <v>3668</v>
      </c>
      <c r="C9" s="37">
        <v>900872708</v>
      </c>
      <c r="D9" s="37" t="s">
        <v>4448</v>
      </c>
      <c r="E9" s="37" t="s">
        <v>4449</v>
      </c>
      <c r="F9" s="37" t="s">
        <v>4449</v>
      </c>
      <c r="G9" s="37" t="s">
        <v>4450</v>
      </c>
      <c r="H9" s="37" t="s">
        <v>4451</v>
      </c>
      <c r="I9" s="37" t="s">
        <v>4452</v>
      </c>
      <c r="J9" s="37" t="s">
        <v>65</v>
      </c>
      <c r="K9" s="37" t="s">
        <v>202</v>
      </c>
      <c r="L9" s="37" t="s">
        <v>202</v>
      </c>
      <c r="M9" s="37">
        <v>5360</v>
      </c>
      <c r="N9" s="38" t="s">
        <v>4441</v>
      </c>
      <c r="S9" s="23">
        <f>VLOOKUP(A9,Hoja1!A:D,4,0)</f>
        <v>2</v>
      </c>
      <c r="T9" s="26" t="str">
        <f>VLOOKUP(M9,[1]TIPOLOGIAS!$A:$F,4,0)</f>
        <v>MEDELLIN</v>
      </c>
      <c r="U9" s="26" t="str">
        <f>VLOOKUP(T9,'BASE TARIFA 2025'!C:D,2,0)</f>
        <v>WOMPI NOROCCIDENTE</v>
      </c>
      <c r="V9" s="27">
        <f>VLOOKUP(T9,'BASE TARIFA 2025'!C:F,3,0)</f>
        <v>37313</v>
      </c>
      <c r="W9" s="27">
        <f t="shared" si="0"/>
        <v>74626</v>
      </c>
    </row>
    <row r="10" spans="1:23" s="37" customFormat="1" ht="14.4" x14ac:dyDescent="0.3">
      <c r="A10" s="37">
        <v>44593</v>
      </c>
      <c r="B10" s="37" t="s">
        <v>3669</v>
      </c>
      <c r="C10" s="37">
        <v>901340974</v>
      </c>
      <c r="D10" s="37" t="s">
        <v>4436</v>
      </c>
      <c r="E10" s="37" t="s">
        <v>4453</v>
      </c>
      <c r="F10" s="37" t="s">
        <v>4453</v>
      </c>
      <c r="G10" s="37" t="s">
        <v>4454</v>
      </c>
      <c r="H10" s="37" t="s">
        <v>4455</v>
      </c>
      <c r="I10" s="37" t="s">
        <v>4456</v>
      </c>
      <c r="J10" s="37" t="s">
        <v>65</v>
      </c>
      <c r="K10" s="37" t="s">
        <v>202</v>
      </c>
      <c r="L10" s="37" t="s">
        <v>202</v>
      </c>
      <c r="M10" s="37">
        <v>5360</v>
      </c>
      <c r="N10" s="38" t="s">
        <v>4414</v>
      </c>
      <c r="S10" s="23">
        <f>VLOOKUP(A10,Hoja1!A:D,4,0)</f>
        <v>1</v>
      </c>
      <c r="T10" s="26" t="str">
        <f>VLOOKUP(M10,[1]TIPOLOGIAS!$A:$F,4,0)</f>
        <v>MEDELLIN</v>
      </c>
      <c r="U10" s="26" t="str">
        <f>VLOOKUP(T10,'BASE TARIFA 2025'!C:D,2,0)</f>
        <v>WOMPI NOROCCIDENTE</v>
      </c>
      <c r="V10" s="27">
        <f>VLOOKUP(T10,'BASE TARIFA 2025'!C:F,3,0)</f>
        <v>37313</v>
      </c>
      <c r="W10" s="27">
        <f t="shared" si="0"/>
        <v>37313</v>
      </c>
    </row>
    <row r="11" spans="1:23" s="37" customFormat="1" ht="14.4" x14ac:dyDescent="0.3">
      <c r="A11" s="37">
        <v>33798</v>
      </c>
      <c r="B11" s="37" t="s">
        <v>3670</v>
      </c>
      <c r="C11" s="37">
        <v>900014642</v>
      </c>
      <c r="D11" s="37" t="s">
        <v>4457</v>
      </c>
      <c r="E11" s="37" t="s">
        <v>4458</v>
      </c>
      <c r="F11" s="37" t="s">
        <v>4459</v>
      </c>
      <c r="G11" s="37" t="s">
        <v>4460</v>
      </c>
      <c r="H11" s="37" t="s">
        <v>4461</v>
      </c>
      <c r="I11" s="37" t="s">
        <v>4462</v>
      </c>
      <c r="J11" s="37" t="s">
        <v>65</v>
      </c>
      <c r="K11" s="37" t="s">
        <v>202</v>
      </c>
      <c r="L11" s="37" t="s">
        <v>202</v>
      </c>
      <c r="M11" s="37">
        <v>5360</v>
      </c>
      <c r="N11" s="38" t="s">
        <v>4441</v>
      </c>
      <c r="S11" s="23">
        <f>VLOOKUP(A11,Hoja1!A:D,4,0)</f>
        <v>3</v>
      </c>
      <c r="T11" s="26" t="str">
        <f>VLOOKUP(M11,[1]TIPOLOGIAS!$A:$F,4,0)</f>
        <v>MEDELLIN</v>
      </c>
      <c r="U11" s="26" t="str">
        <f>VLOOKUP(T11,'BASE TARIFA 2025'!C:D,2,0)</f>
        <v>WOMPI NOROCCIDENTE</v>
      </c>
      <c r="V11" s="27">
        <f>VLOOKUP(T11,'BASE TARIFA 2025'!C:F,3,0)</f>
        <v>37313</v>
      </c>
      <c r="W11" s="27">
        <f t="shared" si="0"/>
        <v>111939</v>
      </c>
    </row>
    <row r="12" spans="1:23" s="37" customFormat="1" ht="14.4" x14ac:dyDescent="0.3">
      <c r="A12" s="37">
        <v>37129</v>
      </c>
      <c r="B12" s="37" t="s">
        <v>3671</v>
      </c>
      <c r="C12" s="37">
        <v>10183532</v>
      </c>
      <c r="D12" s="37" t="s">
        <v>4463</v>
      </c>
      <c r="E12" s="37" t="s">
        <v>4464</v>
      </c>
      <c r="F12" s="37" t="s">
        <v>4464</v>
      </c>
      <c r="G12" s="37" t="s">
        <v>4465</v>
      </c>
      <c r="H12" s="37" t="s">
        <v>4466</v>
      </c>
      <c r="I12" s="37" t="s">
        <v>4467</v>
      </c>
      <c r="J12" s="37" t="s">
        <v>65</v>
      </c>
      <c r="K12" s="37" t="s">
        <v>202</v>
      </c>
      <c r="L12" s="37" t="s">
        <v>202</v>
      </c>
      <c r="M12" s="37">
        <v>5360</v>
      </c>
      <c r="N12" s="38" t="s">
        <v>4421</v>
      </c>
      <c r="S12" s="23">
        <f>VLOOKUP(A12,Hoja1!A:D,4,0)</f>
        <v>2</v>
      </c>
      <c r="T12" s="26" t="str">
        <f>VLOOKUP(M12,[1]TIPOLOGIAS!$A:$F,4,0)</f>
        <v>MEDELLIN</v>
      </c>
      <c r="U12" s="26" t="str">
        <f>VLOOKUP(T12,'BASE TARIFA 2025'!C:D,2,0)</f>
        <v>WOMPI NOROCCIDENTE</v>
      </c>
      <c r="V12" s="27">
        <f>VLOOKUP(T12,'BASE TARIFA 2025'!C:F,3,0)</f>
        <v>37313</v>
      </c>
      <c r="W12" s="27">
        <f t="shared" si="0"/>
        <v>74626</v>
      </c>
    </row>
    <row r="13" spans="1:23" s="37" customFormat="1" ht="14.4" x14ac:dyDescent="0.3">
      <c r="A13" s="37">
        <v>34176</v>
      </c>
      <c r="B13" s="37" t="s">
        <v>3672</v>
      </c>
      <c r="C13" s="37">
        <v>1037586135</v>
      </c>
      <c r="D13" s="37" t="s">
        <v>4468</v>
      </c>
      <c r="E13" s="37" t="s">
        <v>4469</v>
      </c>
      <c r="F13" s="37" t="s">
        <v>4469</v>
      </c>
      <c r="G13" s="37" t="s">
        <v>4470</v>
      </c>
      <c r="H13" s="37" t="s">
        <v>4471</v>
      </c>
      <c r="I13" s="37" t="s">
        <v>4472</v>
      </c>
      <c r="J13" s="37" t="s">
        <v>65</v>
      </c>
      <c r="K13" s="37" t="s">
        <v>202</v>
      </c>
      <c r="L13" s="37" t="s">
        <v>202</v>
      </c>
      <c r="M13" s="37">
        <v>5360</v>
      </c>
      <c r="N13" s="38" t="s">
        <v>4441</v>
      </c>
      <c r="S13" s="23">
        <f>VLOOKUP(A13,Hoja1!A:D,4,0)</f>
        <v>6</v>
      </c>
      <c r="T13" s="26" t="str">
        <f>VLOOKUP(M13,[1]TIPOLOGIAS!$A:$F,4,0)</f>
        <v>MEDELLIN</v>
      </c>
      <c r="U13" s="26" t="str">
        <f>VLOOKUP(T13,'BASE TARIFA 2025'!C:D,2,0)</f>
        <v>WOMPI NOROCCIDENTE</v>
      </c>
      <c r="V13" s="27">
        <f>VLOOKUP(T13,'BASE TARIFA 2025'!C:F,3,0)</f>
        <v>37313</v>
      </c>
      <c r="W13" s="27">
        <f t="shared" si="0"/>
        <v>223878</v>
      </c>
    </row>
    <row r="14" spans="1:23" s="37" customFormat="1" ht="14.4" x14ac:dyDescent="0.3">
      <c r="A14" s="37">
        <v>35409</v>
      </c>
      <c r="B14" s="37" t="s">
        <v>3673</v>
      </c>
      <c r="C14" s="37">
        <v>1036600007</v>
      </c>
      <c r="D14" s="37" t="s">
        <v>4473</v>
      </c>
      <c r="E14" s="37" t="s">
        <v>4474</v>
      </c>
      <c r="F14" s="37" t="s">
        <v>4474</v>
      </c>
      <c r="G14" s="37" t="s">
        <v>4475</v>
      </c>
      <c r="H14" s="37" t="s">
        <v>4476</v>
      </c>
      <c r="I14" s="37" t="s">
        <v>4477</v>
      </c>
      <c r="J14" s="37" t="s">
        <v>65</v>
      </c>
      <c r="K14" s="37" t="s">
        <v>202</v>
      </c>
      <c r="L14" s="37" t="s">
        <v>202</v>
      </c>
      <c r="M14" s="37">
        <v>5360</v>
      </c>
      <c r="N14" s="38" t="s">
        <v>4421</v>
      </c>
      <c r="S14" s="23">
        <f>VLOOKUP(A14,Hoja1!A:D,4,0)</f>
        <v>2</v>
      </c>
      <c r="T14" s="26" t="str">
        <f>VLOOKUP(M14,[1]TIPOLOGIAS!$A:$F,4,0)</f>
        <v>MEDELLIN</v>
      </c>
      <c r="U14" s="26" t="str">
        <f>VLOOKUP(T14,'BASE TARIFA 2025'!C:D,2,0)</f>
        <v>WOMPI NOROCCIDENTE</v>
      </c>
      <c r="V14" s="27">
        <f>VLOOKUP(T14,'BASE TARIFA 2025'!C:F,3,0)</f>
        <v>37313</v>
      </c>
      <c r="W14" s="27">
        <f t="shared" si="0"/>
        <v>74626</v>
      </c>
    </row>
    <row r="15" spans="1:23" s="37" customFormat="1" ht="14.4" x14ac:dyDescent="0.3">
      <c r="A15" s="37">
        <v>24500</v>
      </c>
      <c r="B15" s="37" t="s">
        <v>3674</v>
      </c>
      <c r="C15" s="37">
        <v>70786438</v>
      </c>
      <c r="D15" s="37" t="s">
        <v>4478</v>
      </c>
      <c r="E15" s="37" t="s">
        <v>4479</v>
      </c>
      <c r="F15" s="37" t="s">
        <v>4480</v>
      </c>
      <c r="G15" s="37" t="s">
        <v>4481</v>
      </c>
      <c r="H15" s="37" t="s">
        <v>4482</v>
      </c>
      <c r="I15" s="37" t="s">
        <v>4483</v>
      </c>
      <c r="J15" s="37" t="s">
        <v>65</v>
      </c>
      <c r="K15" s="37" t="s">
        <v>202</v>
      </c>
      <c r="L15" s="37" t="s">
        <v>202</v>
      </c>
      <c r="M15" s="37">
        <v>5360</v>
      </c>
      <c r="N15" s="38" t="s">
        <v>4414</v>
      </c>
      <c r="S15" s="23">
        <f>VLOOKUP(A15,Hoja1!A:D,4,0)</f>
        <v>4</v>
      </c>
      <c r="T15" s="26" t="str">
        <f>VLOOKUP(M15,[1]TIPOLOGIAS!$A:$F,4,0)</f>
        <v>MEDELLIN</v>
      </c>
      <c r="U15" s="26" t="str">
        <f>VLOOKUP(T15,'BASE TARIFA 2025'!C:D,2,0)</f>
        <v>WOMPI NOROCCIDENTE</v>
      </c>
      <c r="V15" s="27">
        <f>VLOOKUP(T15,'BASE TARIFA 2025'!C:F,3,0)</f>
        <v>37313</v>
      </c>
      <c r="W15" s="27">
        <f t="shared" si="0"/>
        <v>149252</v>
      </c>
    </row>
    <row r="16" spans="1:23" s="37" customFormat="1" ht="14.4" x14ac:dyDescent="0.3">
      <c r="A16" s="37">
        <v>27731</v>
      </c>
      <c r="B16" s="37" t="s">
        <v>3675</v>
      </c>
      <c r="C16" s="37">
        <v>900014642</v>
      </c>
      <c r="D16" s="37" t="s">
        <v>4484</v>
      </c>
      <c r="E16" s="37" t="s">
        <v>4485</v>
      </c>
      <c r="F16" s="37" t="s">
        <v>4485</v>
      </c>
      <c r="G16" s="37" t="s">
        <v>4486</v>
      </c>
      <c r="H16" s="37" t="s">
        <v>4487</v>
      </c>
      <c r="I16" s="37" t="s">
        <v>4488</v>
      </c>
      <c r="J16" s="37" t="s">
        <v>65</v>
      </c>
      <c r="K16" s="37" t="s">
        <v>202</v>
      </c>
      <c r="L16" s="37" t="s">
        <v>202</v>
      </c>
      <c r="M16" s="37">
        <v>5360</v>
      </c>
      <c r="N16" s="38" t="s">
        <v>4421</v>
      </c>
      <c r="S16" s="23">
        <f>VLOOKUP(A16,Hoja1!A:D,4,0)</f>
        <v>2</v>
      </c>
      <c r="T16" s="26" t="str">
        <f>VLOOKUP(M16,[1]TIPOLOGIAS!$A:$F,4,0)</f>
        <v>MEDELLIN</v>
      </c>
      <c r="U16" s="26" t="str">
        <f>VLOOKUP(T16,'BASE TARIFA 2025'!C:D,2,0)</f>
        <v>WOMPI NOROCCIDENTE</v>
      </c>
      <c r="V16" s="27">
        <f>VLOOKUP(T16,'BASE TARIFA 2025'!C:F,3,0)</f>
        <v>37313</v>
      </c>
      <c r="W16" s="27">
        <f t="shared" si="0"/>
        <v>74626</v>
      </c>
    </row>
    <row r="17" spans="1:23" s="37" customFormat="1" ht="14.4" x14ac:dyDescent="0.3">
      <c r="A17" s="37">
        <v>26969</v>
      </c>
      <c r="B17" s="37" t="s">
        <v>3676</v>
      </c>
      <c r="C17" s="37">
        <v>43161222</v>
      </c>
      <c r="D17" s="37" t="s">
        <v>4489</v>
      </c>
      <c r="E17" s="37" t="s">
        <v>4490</v>
      </c>
      <c r="F17" s="37" t="s">
        <v>4490</v>
      </c>
      <c r="G17" s="37" t="s">
        <v>4491</v>
      </c>
      <c r="H17" s="37" t="s">
        <v>4492</v>
      </c>
      <c r="I17" s="37" t="s">
        <v>4493</v>
      </c>
      <c r="J17" s="37" t="s">
        <v>65</v>
      </c>
      <c r="K17" s="37" t="s">
        <v>202</v>
      </c>
      <c r="L17" s="37" t="s">
        <v>202</v>
      </c>
      <c r="M17" s="37">
        <v>5360</v>
      </c>
      <c r="N17" s="38" t="s">
        <v>4414</v>
      </c>
      <c r="S17" s="23">
        <f>VLOOKUP(A17,Hoja1!A:D,4,0)</f>
        <v>3</v>
      </c>
      <c r="T17" s="26" t="str">
        <f>VLOOKUP(M17,[1]TIPOLOGIAS!$A:$F,4,0)</f>
        <v>MEDELLIN</v>
      </c>
      <c r="U17" s="26" t="str">
        <f>VLOOKUP(T17,'BASE TARIFA 2025'!C:D,2,0)</f>
        <v>WOMPI NOROCCIDENTE</v>
      </c>
      <c r="V17" s="27">
        <f>VLOOKUP(T17,'BASE TARIFA 2025'!C:F,3,0)</f>
        <v>37313</v>
      </c>
      <c r="W17" s="27">
        <f t="shared" si="0"/>
        <v>111939</v>
      </c>
    </row>
    <row r="18" spans="1:23" s="37" customFormat="1" ht="14.4" x14ac:dyDescent="0.3">
      <c r="A18" s="37">
        <v>18551</v>
      </c>
      <c r="B18" s="37" t="s">
        <v>3677</v>
      </c>
      <c r="C18" s="37">
        <v>71992351</v>
      </c>
      <c r="D18" s="37" t="s">
        <v>4494</v>
      </c>
      <c r="E18" s="37" t="s">
        <v>4495</v>
      </c>
      <c r="F18" s="37" t="s">
        <v>4495</v>
      </c>
      <c r="G18" s="37" t="s">
        <v>4496</v>
      </c>
      <c r="H18" s="37" t="s">
        <v>4497</v>
      </c>
      <c r="I18" s="37" t="s">
        <v>4498</v>
      </c>
      <c r="J18" s="37" t="s">
        <v>65</v>
      </c>
      <c r="K18" s="37" t="s">
        <v>202</v>
      </c>
      <c r="L18" s="37" t="s">
        <v>202</v>
      </c>
      <c r="M18" s="37">
        <v>5360</v>
      </c>
      <c r="N18" s="38" t="s">
        <v>4414</v>
      </c>
      <c r="S18" s="23">
        <f>VLOOKUP(A18,Hoja1!A:D,4,0)</f>
        <v>5</v>
      </c>
      <c r="T18" s="26" t="str">
        <f>VLOOKUP(M18,[1]TIPOLOGIAS!$A:$F,4,0)</f>
        <v>MEDELLIN</v>
      </c>
      <c r="U18" s="26" t="str">
        <f>VLOOKUP(T18,'BASE TARIFA 2025'!C:D,2,0)</f>
        <v>WOMPI NOROCCIDENTE</v>
      </c>
      <c r="V18" s="27">
        <f>VLOOKUP(T18,'BASE TARIFA 2025'!C:F,3,0)</f>
        <v>37313</v>
      </c>
      <c r="W18" s="27">
        <f t="shared" si="0"/>
        <v>186565</v>
      </c>
    </row>
    <row r="19" spans="1:23" s="37" customFormat="1" ht="14.4" x14ac:dyDescent="0.3">
      <c r="A19" s="37">
        <v>78777</v>
      </c>
      <c r="B19" s="37" t="s">
        <v>3678</v>
      </c>
      <c r="C19" s="37">
        <v>1046398325</v>
      </c>
      <c r="D19" s="37" t="s">
        <v>4499</v>
      </c>
      <c r="E19" s="37" t="s">
        <v>4499</v>
      </c>
      <c r="G19" s="37" t="s">
        <v>4500</v>
      </c>
      <c r="H19" s="37" t="s">
        <v>4501</v>
      </c>
      <c r="I19" s="37" t="s">
        <v>4502</v>
      </c>
      <c r="J19" s="37" t="s">
        <v>139</v>
      </c>
      <c r="K19" s="37" t="s">
        <v>23</v>
      </c>
      <c r="L19" s="37" t="s">
        <v>23</v>
      </c>
      <c r="M19" s="37">
        <v>8001</v>
      </c>
      <c r="N19" s="38" t="s">
        <v>4503</v>
      </c>
      <c r="S19" s="23">
        <f>VLOOKUP(A19,Hoja1!A:D,4,0)</f>
        <v>3</v>
      </c>
      <c r="T19" s="26" t="str">
        <f>VLOOKUP(M19,[1]TIPOLOGIAS!$A:$F,4,0)</f>
        <v>BARRANQUILLA</v>
      </c>
      <c r="U19" s="26" t="str">
        <f>VLOOKUP(T19,'BASE TARIFA 2025'!C:D,2,0)</f>
        <v>WOMPI COSTA</v>
      </c>
      <c r="V19" s="27">
        <f>VLOOKUP(T19,'BASE TARIFA 2025'!C:F,3,0)</f>
        <v>37313</v>
      </c>
      <c r="W19" s="27">
        <f t="shared" si="0"/>
        <v>111939</v>
      </c>
    </row>
    <row r="20" spans="1:23" s="37" customFormat="1" ht="14.4" x14ac:dyDescent="0.3">
      <c r="A20" s="37">
        <v>77516</v>
      </c>
      <c r="B20" s="37" t="s">
        <v>3679</v>
      </c>
      <c r="C20" s="37">
        <v>1140896804</v>
      </c>
      <c r="D20" s="37" t="s">
        <v>4504</v>
      </c>
      <c r="E20" s="37" t="s">
        <v>4505</v>
      </c>
      <c r="F20" s="37" t="s">
        <v>4504</v>
      </c>
      <c r="G20" s="37" t="s">
        <v>4506</v>
      </c>
      <c r="H20" s="37" t="s">
        <v>4507</v>
      </c>
      <c r="I20" s="37" t="s">
        <v>4508</v>
      </c>
      <c r="J20" s="37" t="s">
        <v>139</v>
      </c>
      <c r="K20" s="37" t="s">
        <v>23</v>
      </c>
      <c r="L20" s="37" t="s">
        <v>23</v>
      </c>
      <c r="M20" s="37">
        <v>8001</v>
      </c>
      <c r="N20" s="38" t="s">
        <v>4441</v>
      </c>
      <c r="S20" s="23">
        <f>VLOOKUP(A20,Hoja1!A:D,4,0)</f>
        <v>2</v>
      </c>
      <c r="T20" s="26" t="str">
        <f>VLOOKUP(M20,[1]TIPOLOGIAS!$A:$F,4,0)</f>
        <v>BARRANQUILLA</v>
      </c>
      <c r="U20" s="26" t="str">
        <f>VLOOKUP(T20,'BASE TARIFA 2025'!C:D,2,0)</f>
        <v>WOMPI COSTA</v>
      </c>
      <c r="V20" s="27">
        <f>VLOOKUP(T20,'BASE TARIFA 2025'!C:F,3,0)</f>
        <v>37313</v>
      </c>
      <c r="W20" s="27">
        <f t="shared" si="0"/>
        <v>74626</v>
      </c>
    </row>
    <row r="21" spans="1:23" s="37" customFormat="1" ht="14.4" x14ac:dyDescent="0.3">
      <c r="A21" s="37">
        <v>78064</v>
      </c>
      <c r="B21" s="37" t="s">
        <v>3680</v>
      </c>
      <c r="C21" s="37">
        <v>8520914</v>
      </c>
      <c r="D21" s="37" t="s">
        <v>4509</v>
      </c>
      <c r="E21" s="37" t="s">
        <v>4509</v>
      </c>
      <c r="F21" s="37" t="s">
        <v>4510</v>
      </c>
      <c r="G21" s="37" t="s">
        <v>4511</v>
      </c>
      <c r="H21" s="37" t="s">
        <v>4512</v>
      </c>
      <c r="I21" s="37" t="s">
        <v>4513</v>
      </c>
      <c r="J21" s="37" t="s">
        <v>139</v>
      </c>
      <c r="K21" s="37" t="s">
        <v>23</v>
      </c>
      <c r="L21" s="37" t="s">
        <v>23</v>
      </c>
      <c r="M21" s="37">
        <v>8001</v>
      </c>
      <c r="N21" s="38" t="s">
        <v>4414</v>
      </c>
      <c r="S21" s="23">
        <f>VLOOKUP(A21,Hoja1!A:D,4,0)</f>
        <v>2</v>
      </c>
      <c r="T21" s="26" t="str">
        <f>VLOOKUP(M21,[1]TIPOLOGIAS!$A:$F,4,0)</f>
        <v>BARRANQUILLA</v>
      </c>
      <c r="U21" s="26" t="str">
        <f>VLOOKUP(T21,'BASE TARIFA 2025'!C:D,2,0)</f>
        <v>WOMPI COSTA</v>
      </c>
      <c r="V21" s="27">
        <f>VLOOKUP(T21,'BASE TARIFA 2025'!C:F,3,0)</f>
        <v>37313</v>
      </c>
      <c r="W21" s="27">
        <f t="shared" si="0"/>
        <v>74626</v>
      </c>
    </row>
    <row r="22" spans="1:23" s="37" customFormat="1" ht="14.4" x14ac:dyDescent="0.3">
      <c r="A22" s="37">
        <v>77514</v>
      </c>
      <c r="B22" s="37" t="s">
        <v>3681</v>
      </c>
      <c r="C22" s="37">
        <v>901526326</v>
      </c>
      <c r="D22" s="37" t="s">
        <v>4514</v>
      </c>
      <c r="E22" s="37" t="s">
        <v>4515</v>
      </c>
      <c r="F22" s="37" t="s">
        <v>4514</v>
      </c>
      <c r="G22" s="37" t="s">
        <v>4516</v>
      </c>
      <c r="H22" s="37" t="s">
        <v>4517</v>
      </c>
      <c r="I22" s="37" t="s">
        <v>4518</v>
      </c>
      <c r="J22" s="37" t="s">
        <v>139</v>
      </c>
      <c r="K22" s="37" t="s">
        <v>23</v>
      </c>
      <c r="L22" s="37" t="s">
        <v>23</v>
      </c>
      <c r="M22" s="37">
        <v>8001</v>
      </c>
      <c r="N22" s="38" t="s">
        <v>4414</v>
      </c>
      <c r="S22" s="23">
        <f>VLOOKUP(A22,Hoja1!A:D,4,0)</f>
        <v>2</v>
      </c>
      <c r="T22" s="26" t="str">
        <f>VLOOKUP(M22,[1]TIPOLOGIAS!$A:$F,4,0)</f>
        <v>BARRANQUILLA</v>
      </c>
      <c r="U22" s="26" t="str">
        <f>VLOOKUP(T22,'BASE TARIFA 2025'!C:D,2,0)</f>
        <v>WOMPI COSTA</v>
      </c>
      <c r="V22" s="27">
        <f>VLOOKUP(T22,'BASE TARIFA 2025'!C:F,3,0)</f>
        <v>37313</v>
      </c>
      <c r="W22" s="27">
        <f t="shared" si="0"/>
        <v>74626</v>
      </c>
    </row>
    <row r="23" spans="1:23" s="37" customFormat="1" ht="14.4" x14ac:dyDescent="0.3">
      <c r="A23" s="37">
        <v>77194</v>
      </c>
      <c r="B23" s="37" t="s">
        <v>3682</v>
      </c>
      <c r="C23" s="37">
        <v>73550509</v>
      </c>
      <c r="D23" s="37" t="s">
        <v>4519</v>
      </c>
      <c r="E23" s="37" t="s">
        <v>4520</v>
      </c>
      <c r="F23" s="37" t="s">
        <v>4521</v>
      </c>
      <c r="G23" s="37" t="s">
        <v>4522</v>
      </c>
      <c r="H23" s="37" t="s">
        <v>4523</v>
      </c>
      <c r="I23" s="37" t="s">
        <v>4524</v>
      </c>
      <c r="J23" s="37" t="s">
        <v>139</v>
      </c>
      <c r="K23" s="37" t="s">
        <v>23</v>
      </c>
      <c r="L23" s="37" t="s">
        <v>23</v>
      </c>
      <c r="M23" s="37">
        <v>8001</v>
      </c>
      <c r="N23" s="38" t="s">
        <v>4503</v>
      </c>
      <c r="S23" s="23">
        <f>VLOOKUP(A23,Hoja1!A:D,4,0)</f>
        <v>2</v>
      </c>
      <c r="T23" s="26" t="str">
        <f>VLOOKUP(M23,[1]TIPOLOGIAS!$A:$F,4,0)</f>
        <v>BARRANQUILLA</v>
      </c>
      <c r="U23" s="26" t="str">
        <f>VLOOKUP(T23,'BASE TARIFA 2025'!C:D,2,0)</f>
        <v>WOMPI COSTA</v>
      </c>
      <c r="V23" s="27">
        <f>VLOOKUP(T23,'BASE TARIFA 2025'!C:F,3,0)</f>
        <v>37313</v>
      </c>
      <c r="W23" s="27">
        <f t="shared" si="0"/>
        <v>74626</v>
      </c>
    </row>
    <row r="24" spans="1:23" s="37" customFormat="1" ht="14.4" x14ac:dyDescent="0.3">
      <c r="A24" s="37">
        <v>77215</v>
      </c>
      <c r="B24" s="37" t="s">
        <v>3683</v>
      </c>
      <c r="C24" s="37">
        <v>8709578</v>
      </c>
      <c r="D24" s="37" t="s">
        <v>4525</v>
      </c>
      <c r="E24" s="37" t="s">
        <v>4525</v>
      </c>
      <c r="F24" s="37" t="s">
        <v>4525</v>
      </c>
      <c r="G24" s="37" t="s">
        <v>4526</v>
      </c>
      <c r="H24" s="37" t="s">
        <v>4527</v>
      </c>
      <c r="I24" s="37" t="s">
        <v>4528</v>
      </c>
      <c r="J24" s="37" t="s">
        <v>139</v>
      </c>
      <c r="K24" s="37" t="s">
        <v>23</v>
      </c>
      <c r="L24" s="37" t="s">
        <v>23</v>
      </c>
      <c r="M24" s="37">
        <v>8001</v>
      </c>
      <c r="N24" s="38" t="s">
        <v>4414</v>
      </c>
      <c r="S24" s="23">
        <f>VLOOKUP(A24,Hoja1!A:D,4,0)</f>
        <v>2</v>
      </c>
      <c r="T24" s="26" t="str">
        <f>VLOOKUP(M24,[1]TIPOLOGIAS!$A:$F,4,0)</f>
        <v>BARRANQUILLA</v>
      </c>
      <c r="U24" s="26" t="str">
        <f>VLOOKUP(T24,'BASE TARIFA 2025'!C:D,2,0)</f>
        <v>WOMPI COSTA</v>
      </c>
      <c r="V24" s="27">
        <f>VLOOKUP(T24,'BASE TARIFA 2025'!C:F,3,0)</f>
        <v>37313</v>
      </c>
      <c r="W24" s="27">
        <f t="shared" si="0"/>
        <v>74626</v>
      </c>
    </row>
    <row r="25" spans="1:23" s="37" customFormat="1" ht="14.4" x14ac:dyDescent="0.3">
      <c r="A25" s="37">
        <v>77298</v>
      </c>
      <c r="B25" s="37" t="s">
        <v>3684</v>
      </c>
      <c r="C25" s="37">
        <v>1143259355</v>
      </c>
      <c r="D25" s="37" t="s">
        <v>4529</v>
      </c>
      <c r="E25" s="37" t="s">
        <v>4529</v>
      </c>
      <c r="F25" s="37" t="s">
        <v>4530</v>
      </c>
      <c r="G25" s="37" t="s">
        <v>4531</v>
      </c>
      <c r="H25" s="37" t="s">
        <v>4532</v>
      </c>
      <c r="I25" s="37" t="s">
        <v>4533</v>
      </c>
      <c r="J25" s="37" t="s">
        <v>139</v>
      </c>
      <c r="K25" s="37" t="s">
        <v>23</v>
      </c>
      <c r="L25" s="37" t="s">
        <v>23</v>
      </c>
      <c r="M25" s="37">
        <v>8001</v>
      </c>
      <c r="N25" s="38" t="s">
        <v>4441</v>
      </c>
      <c r="S25" s="23">
        <f>VLOOKUP(A25,Hoja1!A:D,4,0)</f>
        <v>2</v>
      </c>
      <c r="T25" s="26" t="str">
        <f>VLOOKUP(M25,[1]TIPOLOGIAS!$A:$F,4,0)</f>
        <v>BARRANQUILLA</v>
      </c>
      <c r="U25" s="26" t="str">
        <f>VLOOKUP(T25,'BASE TARIFA 2025'!C:D,2,0)</f>
        <v>WOMPI COSTA</v>
      </c>
      <c r="V25" s="27">
        <f>VLOOKUP(T25,'BASE TARIFA 2025'!C:F,3,0)</f>
        <v>37313</v>
      </c>
      <c r="W25" s="27">
        <f t="shared" si="0"/>
        <v>74626</v>
      </c>
    </row>
    <row r="26" spans="1:23" s="37" customFormat="1" ht="14.4" x14ac:dyDescent="0.3">
      <c r="A26" s="37">
        <v>76876</v>
      </c>
      <c r="B26" s="37" t="s">
        <v>3685</v>
      </c>
      <c r="C26" s="37">
        <v>1042472912</v>
      </c>
      <c r="D26" s="37" t="s">
        <v>4534</v>
      </c>
      <c r="E26" s="37" t="s">
        <v>4535</v>
      </c>
      <c r="F26" s="37" t="s">
        <v>4534</v>
      </c>
      <c r="G26" s="37" t="s">
        <v>4536</v>
      </c>
      <c r="H26" s="37" t="s">
        <v>4537</v>
      </c>
      <c r="I26" s="37" t="s">
        <v>4538</v>
      </c>
      <c r="J26" s="37" t="s">
        <v>139</v>
      </c>
      <c r="K26" s="37" t="s">
        <v>23</v>
      </c>
      <c r="L26" s="37" t="s">
        <v>23</v>
      </c>
      <c r="M26" s="37">
        <v>8001</v>
      </c>
      <c r="N26" s="38" t="s">
        <v>4414</v>
      </c>
      <c r="S26" s="23">
        <f>VLOOKUP(A26,Hoja1!A:D,4,0)</f>
        <v>2</v>
      </c>
      <c r="T26" s="26" t="str">
        <f>VLOOKUP(M26,[1]TIPOLOGIAS!$A:$F,4,0)</f>
        <v>BARRANQUILLA</v>
      </c>
      <c r="U26" s="26" t="str">
        <f>VLOOKUP(T26,'BASE TARIFA 2025'!C:D,2,0)</f>
        <v>WOMPI COSTA</v>
      </c>
      <c r="V26" s="27">
        <f>VLOOKUP(T26,'BASE TARIFA 2025'!C:F,3,0)</f>
        <v>37313</v>
      </c>
      <c r="W26" s="27">
        <f t="shared" si="0"/>
        <v>74626</v>
      </c>
    </row>
    <row r="27" spans="1:23" s="37" customFormat="1" ht="14.4" x14ac:dyDescent="0.3">
      <c r="A27" s="37">
        <v>74251</v>
      </c>
      <c r="B27" s="37" t="s">
        <v>3686</v>
      </c>
      <c r="C27" s="37">
        <v>901449900</v>
      </c>
      <c r="D27" s="37" t="s">
        <v>4539</v>
      </c>
      <c r="E27" s="37" t="s">
        <v>4540</v>
      </c>
      <c r="F27" s="37" t="s">
        <v>4539</v>
      </c>
      <c r="G27" s="37" t="s">
        <v>4541</v>
      </c>
      <c r="H27" s="37" t="s">
        <v>4542</v>
      </c>
      <c r="I27" s="37" t="s">
        <v>4543</v>
      </c>
      <c r="J27" s="37" t="s">
        <v>139</v>
      </c>
      <c r="K27" s="37" t="s">
        <v>23</v>
      </c>
      <c r="L27" s="37" t="s">
        <v>23</v>
      </c>
      <c r="M27" s="37">
        <v>8001</v>
      </c>
      <c r="N27" s="38" t="s">
        <v>4414</v>
      </c>
      <c r="S27" s="23">
        <f>VLOOKUP(A27,Hoja1!A:D,4,0)</f>
        <v>2</v>
      </c>
      <c r="T27" s="26" t="str">
        <f>VLOOKUP(M27,[1]TIPOLOGIAS!$A:$F,4,0)</f>
        <v>BARRANQUILLA</v>
      </c>
      <c r="U27" s="26" t="str">
        <f>VLOOKUP(T27,'BASE TARIFA 2025'!C:D,2,0)</f>
        <v>WOMPI COSTA</v>
      </c>
      <c r="V27" s="27">
        <f>VLOOKUP(T27,'BASE TARIFA 2025'!C:F,3,0)</f>
        <v>37313</v>
      </c>
      <c r="W27" s="27">
        <f t="shared" si="0"/>
        <v>74626</v>
      </c>
    </row>
    <row r="28" spans="1:23" s="37" customFormat="1" ht="14.4" x14ac:dyDescent="0.3">
      <c r="A28" s="37">
        <v>75412</v>
      </c>
      <c r="B28" s="37" t="s">
        <v>3687</v>
      </c>
      <c r="C28" s="37">
        <v>72263142</v>
      </c>
      <c r="D28" s="37" t="s">
        <v>4544</v>
      </c>
      <c r="E28" s="37" t="s">
        <v>4545</v>
      </c>
      <c r="F28" s="37" t="s">
        <v>4544</v>
      </c>
      <c r="G28" s="37" t="s">
        <v>4546</v>
      </c>
      <c r="H28" s="37" t="s">
        <v>4547</v>
      </c>
      <c r="I28" s="37" t="s">
        <v>4548</v>
      </c>
      <c r="J28" s="37" t="s">
        <v>139</v>
      </c>
      <c r="K28" s="37" t="s">
        <v>23</v>
      </c>
      <c r="L28" s="37" t="s">
        <v>23</v>
      </c>
      <c r="M28" s="37">
        <v>8001</v>
      </c>
      <c r="N28" s="38" t="s">
        <v>4441</v>
      </c>
      <c r="S28" s="23">
        <f>VLOOKUP(A28,Hoja1!A:D,4,0)</f>
        <v>2</v>
      </c>
      <c r="T28" s="26" t="str">
        <f>VLOOKUP(M28,[1]TIPOLOGIAS!$A:$F,4,0)</f>
        <v>BARRANQUILLA</v>
      </c>
      <c r="U28" s="26" t="str">
        <f>VLOOKUP(T28,'BASE TARIFA 2025'!C:D,2,0)</f>
        <v>WOMPI COSTA</v>
      </c>
      <c r="V28" s="27">
        <f>VLOOKUP(T28,'BASE TARIFA 2025'!C:F,3,0)</f>
        <v>37313</v>
      </c>
      <c r="W28" s="27">
        <f t="shared" si="0"/>
        <v>74626</v>
      </c>
    </row>
    <row r="29" spans="1:23" s="37" customFormat="1" ht="14.4" x14ac:dyDescent="0.3">
      <c r="A29" s="37">
        <v>73101</v>
      </c>
      <c r="B29" s="37" t="s">
        <v>3688</v>
      </c>
      <c r="C29" s="37">
        <v>1129518575</v>
      </c>
      <c r="D29" s="37" t="s">
        <v>4549</v>
      </c>
      <c r="E29" s="37" t="s">
        <v>4550</v>
      </c>
      <c r="F29" s="37" t="s">
        <v>4550</v>
      </c>
      <c r="G29" s="37" t="s">
        <v>4551</v>
      </c>
      <c r="H29" s="37" t="s">
        <v>4552</v>
      </c>
      <c r="I29" s="37" t="s">
        <v>4553</v>
      </c>
      <c r="J29" s="37" t="s">
        <v>139</v>
      </c>
      <c r="K29" s="37" t="s">
        <v>23</v>
      </c>
      <c r="L29" s="37" t="s">
        <v>23</v>
      </c>
      <c r="M29" s="37">
        <v>8001</v>
      </c>
      <c r="N29" s="38" t="s">
        <v>4554</v>
      </c>
      <c r="S29" s="23">
        <f>VLOOKUP(A29,Hoja1!A:D,4,0)</f>
        <v>4</v>
      </c>
      <c r="T29" s="26" t="str">
        <f>VLOOKUP(M29,[1]TIPOLOGIAS!$A:$F,4,0)</f>
        <v>BARRANQUILLA</v>
      </c>
      <c r="U29" s="26" t="str">
        <f>VLOOKUP(T29,'BASE TARIFA 2025'!C:D,2,0)</f>
        <v>WOMPI COSTA</v>
      </c>
      <c r="V29" s="27">
        <f>VLOOKUP(T29,'BASE TARIFA 2025'!C:F,3,0)</f>
        <v>37313</v>
      </c>
      <c r="W29" s="27">
        <f t="shared" si="0"/>
        <v>149252</v>
      </c>
    </row>
    <row r="30" spans="1:23" s="37" customFormat="1" ht="14.4" x14ac:dyDescent="0.3">
      <c r="A30" s="37">
        <v>74121</v>
      </c>
      <c r="B30" s="37" t="s">
        <v>3689</v>
      </c>
      <c r="C30" s="37">
        <v>1001945227</v>
      </c>
      <c r="D30" s="37" t="s">
        <v>4555</v>
      </c>
      <c r="E30" s="37" t="s">
        <v>4556</v>
      </c>
      <c r="F30" s="37" t="s">
        <v>4556</v>
      </c>
      <c r="G30" s="37" t="s">
        <v>4557</v>
      </c>
      <c r="H30" s="37" t="s">
        <v>4558</v>
      </c>
      <c r="I30" s="37" t="s">
        <v>4559</v>
      </c>
      <c r="J30" s="37" t="s">
        <v>139</v>
      </c>
      <c r="K30" s="37" t="s">
        <v>23</v>
      </c>
      <c r="L30" s="37" t="s">
        <v>23</v>
      </c>
      <c r="M30" s="37">
        <v>8001</v>
      </c>
      <c r="N30" s="38" t="s">
        <v>4554</v>
      </c>
      <c r="S30" s="23">
        <f>VLOOKUP(A30,Hoja1!A:D,4,0)</f>
        <v>2</v>
      </c>
      <c r="T30" s="26" t="str">
        <f>VLOOKUP(M30,[1]TIPOLOGIAS!$A:$F,4,0)</f>
        <v>BARRANQUILLA</v>
      </c>
      <c r="U30" s="26" t="str">
        <f>VLOOKUP(T30,'BASE TARIFA 2025'!C:D,2,0)</f>
        <v>WOMPI COSTA</v>
      </c>
      <c r="V30" s="27">
        <f>VLOOKUP(T30,'BASE TARIFA 2025'!C:F,3,0)</f>
        <v>37313</v>
      </c>
      <c r="W30" s="27">
        <f t="shared" si="0"/>
        <v>74626</v>
      </c>
    </row>
    <row r="31" spans="1:23" s="37" customFormat="1" ht="14.4" x14ac:dyDescent="0.3">
      <c r="A31" s="37">
        <v>74522</v>
      </c>
      <c r="B31" s="37" t="s">
        <v>3690</v>
      </c>
      <c r="C31" s="37">
        <v>901678042</v>
      </c>
      <c r="D31" s="37" t="s">
        <v>4560</v>
      </c>
      <c r="E31" s="37" t="s">
        <v>4560</v>
      </c>
      <c r="F31" s="37" t="s">
        <v>4561</v>
      </c>
      <c r="G31" s="37" t="s">
        <v>4562</v>
      </c>
      <c r="H31" s="37" t="s">
        <v>4563</v>
      </c>
      <c r="I31" s="37" t="s">
        <v>4564</v>
      </c>
      <c r="J31" s="37" t="s">
        <v>139</v>
      </c>
      <c r="K31" s="37" t="s">
        <v>23</v>
      </c>
      <c r="L31" s="37" t="s">
        <v>23</v>
      </c>
      <c r="M31" s="37">
        <v>8001</v>
      </c>
      <c r="N31" s="38" t="s">
        <v>4554</v>
      </c>
      <c r="S31" s="23">
        <f>VLOOKUP(A31,Hoja1!A:D,4,0)</f>
        <v>2</v>
      </c>
      <c r="T31" s="26" t="str">
        <f>VLOOKUP(M31,[1]TIPOLOGIAS!$A:$F,4,0)</f>
        <v>BARRANQUILLA</v>
      </c>
      <c r="U31" s="26" t="str">
        <f>VLOOKUP(T31,'BASE TARIFA 2025'!C:D,2,0)</f>
        <v>WOMPI COSTA</v>
      </c>
      <c r="V31" s="27">
        <f>VLOOKUP(T31,'BASE TARIFA 2025'!C:F,3,0)</f>
        <v>37313</v>
      </c>
      <c r="W31" s="27">
        <f t="shared" si="0"/>
        <v>74626</v>
      </c>
    </row>
    <row r="32" spans="1:23" s="37" customFormat="1" ht="14.4" x14ac:dyDescent="0.3">
      <c r="A32" s="37">
        <v>69017</v>
      </c>
      <c r="B32" s="37" t="s">
        <v>3691</v>
      </c>
      <c r="C32" s="37">
        <v>900774104</v>
      </c>
      <c r="D32" s="37" t="s">
        <v>4565</v>
      </c>
      <c r="E32" s="37" t="s">
        <v>67</v>
      </c>
      <c r="F32" s="37" t="s">
        <v>4566</v>
      </c>
      <c r="G32" s="37" t="s">
        <v>4567</v>
      </c>
      <c r="H32" s="37" t="s">
        <v>4568</v>
      </c>
      <c r="I32" s="37" t="s">
        <v>4569</v>
      </c>
      <c r="J32" s="37" t="s">
        <v>139</v>
      </c>
      <c r="K32" s="37" t="s">
        <v>23</v>
      </c>
      <c r="L32" s="37" t="s">
        <v>23</v>
      </c>
      <c r="M32" s="37">
        <v>8001</v>
      </c>
      <c r="N32" s="38" t="s">
        <v>4503</v>
      </c>
      <c r="S32" s="23">
        <f>VLOOKUP(A32,Hoja1!A:D,4,0)</f>
        <v>2</v>
      </c>
      <c r="T32" s="26" t="str">
        <f>VLOOKUP(M32,[1]TIPOLOGIAS!$A:$F,4,0)</f>
        <v>BARRANQUILLA</v>
      </c>
      <c r="U32" s="26" t="str">
        <f>VLOOKUP(T32,'BASE TARIFA 2025'!C:D,2,0)</f>
        <v>WOMPI COSTA</v>
      </c>
      <c r="V32" s="27">
        <f>VLOOKUP(T32,'BASE TARIFA 2025'!C:F,3,0)</f>
        <v>37313</v>
      </c>
      <c r="W32" s="27">
        <f t="shared" si="0"/>
        <v>74626</v>
      </c>
    </row>
    <row r="33" spans="1:23" s="37" customFormat="1" ht="14.4" x14ac:dyDescent="0.3">
      <c r="A33" s="37">
        <v>69991</v>
      </c>
      <c r="B33" s="37" t="s">
        <v>3692</v>
      </c>
      <c r="C33" s="37">
        <v>901192464</v>
      </c>
      <c r="D33" s="37" t="s">
        <v>4570</v>
      </c>
      <c r="E33" s="37" t="s">
        <v>4570</v>
      </c>
      <c r="F33" s="37" t="s">
        <v>4570</v>
      </c>
      <c r="G33" s="37" t="s">
        <v>4571</v>
      </c>
      <c r="H33" s="37" t="s">
        <v>4572</v>
      </c>
      <c r="I33" s="37" t="s">
        <v>4573</v>
      </c>
      <c r="J33" s="37" t="s">
        <v>139</v>
      </c>
      <c r="K33" s="37" t="s">
        <v>23</v>
      </c>
      <c r="L33" s="37" t="s">
        <v>23</v>
      </c>
      <c r="M33" s="37">
        <v>8001</v>
      </c>
      <c r="N33" s="38" t="s">
        <v>4441</v>
      </c>
      <c r="S33" s="23">
        <f>VLOOKUP(A33,Hoja1!A:D,4,0)</f>
        <v>2</v>
      </c>
      <c r="T33" s="26" t="str">
        <f>VLOOKUP(M33,[1]TIPOLOGIAS!$A:$F,4,0)</f>
        <v>BARRANQUILLA</v>
      </c>
      <c r="U33" s="26" t="str">
        <f>VLOOKUP(T33,'BASE TARIFA 2025'!C:D,2,0)</f>
        <v>WOMPI COSTA</v>
      </c>
      <c r="V33" s="27">
        <f>VLOOKUP(T33,'BASE TARIFA 2025'!C:F,3,0)</f>
        <v>37313</v>
      </c>
      <c r="W33" s="27">
        <f t="shared" si="0"/>
        <v>74626</v>
      </c>
    </row>
    <row r="34" spans="1:23" s="37" customFormat="1" ht="14.4" x14ac:dyDescent="0.3">
      <c r="A34" s="37">
        <v>69804</v>
      </c>
      <c r="B34" s="37" t="s">
        <v>3693</v>
      </c>
      <c r="C34" s="37">
        <v>800010116</v>
      </c>
      <c r="D34" s="37" t="s">
        <v>4574</v>
      </c>
      <c r="E34" s="37" t="s">
        <v>67</v>
      </c>
      <c r="F34" s="37" t="s">
        <v>4575</v>
      </c>
      <c r="G34" s="37" t="s">
        <v>4576</v>
      </c>
      <c r="H34" s="37" t="s">
        <v>4577</v>
      </c>
      <c r="I34" s="37" t="s">
        <v>4578</v>
      </c>
      <c r="J34" s="37" t="s">
        <v>139</v>
      </c>
      <c r="K34" s="37" t="s">
        <v>23</v>
      </c>
      <c r="L34" s="37" t="s">
        <v>23</v>
      </c>
      <c r="M34" s="37">
        <v>8001</v>
      </c>
      <c r="N34" s="38" t="s">
        <v>4554</v>
      </c>
      <c r="S34" s="23">
        <f>VLOOKUP(A34,Hoja1!A:D,4,0)</f>
        <v>2</v>
      </c>
      <c r="T34" s="26" t="str">
        <f>VLOOKUP(M34,[1]TIPOLOGIAS!$A:$F,4,0)</f>
        <v>BARRANQUILLA</v>
      </c>
      <c r="U34" s="26" t="str">
        <f>VLOOKUP(T34,'BASE TARIFA 2025'!C:D,2,0)</f>
        <v>WOMPI COSTA</v>
      </c>
      <c r="V34" s="27">
        <f>VLOOKUP(T34,'BASE TARIFA 2025'!C:F,3,0)</f>
        <v>37313</v>
      </c>
      <c r="W34" s="27">
        <f t="shared" si="0"/>
        <v>74626</v>
      </c>
    </row>
    <row r="35" spans="1:23" s="37" customFormat="1" ht="14.4" x14ac:dyDescent="0.3">
      <c r="A35" s="37">
        <v>69230</v>
      </c>
      <c r="B35" s="37" t="s">
        <v>3694</v>
      </c>
      <c r="C35" s="37">
        <v>1045674976</v>
      </c>
      <c r="D35" s="37" t="s">
        <v>330</v>
      </c>
      <c r="E35" s="37" t="s">
        <v>67</v>
      </c>
      <c r="F35" s="37" t="s">
        <v>330</v>
      </c>
      <c r="G35" s="37" t="s">
        <v>331</v>
      </c>
      <c r="H35" s="37" t="s">
        <v>332</v>
      </c>
      <c r="I35" s="37" t="s">
        <v>333</v>
      </c>
      <c r="J35" s="37" t="s">
        <v>65</v>
      </c>
      <c r="K35" s="37" t="s">
        <v>119</v>
      </c>
      <c r="L35" s="37" t="s">
        <v>119</v>
      </c>
      <c r="M35" s="37">
        <v>5400</v>
      </c>
      <c r="N35" s="38" t="s">
        <v>329</v>
      </c>
      <c r="S35" s="23">
        <f>VLOOKUP(A35,Hoja1!A:D,4,0)</f>
        <v>2</v>
      </c>
      <c r="T35" s="26" t="str">
        <f>VLOOKUP(M35,[1]TIPOLOGIAS!$A:$F,4,0)</f>
        <v>MEDELLIN</v>
      </c>
      <c r="U35" s="26" t="str">
        <f>VLOOKUP(T35,'BASE TARIFA 2025'!C:D,2,0)</f>
        <v>WOMPI NOROCCIDENTE</v>
      </c>
      <c r="V35" s="27">
        <f>VLOOKUP(T35,'BASE TARIFA 2025'!C:F,3,0)</f>
        <v>37313</v>
      </c>
      <c r="W35" s="27">
        <f t="shared" si="0"/>
        <v>74626</v>
      </c>
    </row>
    <row r="36" spans="1:23" s="37" customFormat="1" ht="14.4" x14ac:dyDescent="0.3">
      <c r="A36" s="37">
        <v>66702</v>
      </c>
      <c r="B36" s="37" t="s">
        <v>3695</v>
      </c>
      <c r="C36" s="37">
        <v>1042440613</v>
      </c>
      <c r="D36" s="37" t="s">
        <v>334</v>
      </c>
      <c r="E36" s="37" t="s">
        <v>334</v>
      </c>
      <c r="G36" s="37" t="s">
        <v>335</v>
      </c>
      <c r="H36" s="37" t="s">
        <v>336</v>
      </c>
      <c r="I36" s="37" t="s">
        <v>337</v>
      </c>
      <c r="J36" s="37" t="s">
        <v>71</v>
      </c>
      <c r="K36" s="37" t="s">
        <v>164</v>
      </c>
      <c r="L36" s="37" t="s">
        <v>164</v>
      </c>
      <c r="M36" s="37">
        <v>15051</v>
      </c>
      <c r="N36" s="38" t="s">
        <v>325</v>
      </c>
      <c r="S36" s="23">
        <f>VLOOKUP(A36,Hoja1!A:D,4,0)</f>
        <v>2</v>
      </c>
      <c r="T36" s="26" t="str">
        <f>VLOOKUP(M36,[1]TIPOLOGIAS!$A:$F,4,0)</f>
        <v>TUNJA</v>
      </c>
      <c r="U36" s="26" t="str">
        <f>VLOOKUP(T36,'BASE TARIFA 2025'!C:D,2,0)</f>
        <v>WOMPI SANTANDERES</v>
      </c>
      <c r="V36" s="27">
        <f>VLOOKUP(T36,'BASE TARIFA 2025'!C:F,3,0)</f>
        <v>49671.7</v>
      </c>
      <c r="W36" s="27">
        <f t="shared" si="0"/>
        <v>99343.4</v>
      </c>
    </row>
    <row r="37" spans="1:23" s="37" customFormat="1" ht="14.4" x14ac:dyDescent="0.3">
      <c r="A37" s="37">
        <v>64402</v>
      </c>
      <c r="B37" s="37" t="s">
        <v>3696</v>
      </c>
      <c r="C37" s="37">
        <v>901192464</v>
      </c>
      <c r="D37" s="37" t="s">
        <v>338</v>
      </c>
      <c r="E37" s="37" t="s">
        <v>338</v>
      </c>
      <c r="F37" s="37" t="s">
        <v>338</v>
      </c>
      <c r="G37" s="37" t="s">
        <v>339</v>
      </c>
      <c r="H37" s="37" t="s">
        <v>340</v>
      </c>
      <c r="I37" s="37" t="s">
        <v>341</v>
      </c>
      <c r="J37" s="37" t="s">
        <v>71</v>
      </c>
      <c r="K37" s="37" t="s">
        <v>71</v>
      </c>
      <c r="L37" s="37" t="s">
        <v>71</v>
      </c>
      <c r="M37" s="37">
        <v>15104</v>
      </c>
      <c r="N37" s="38" t="s">
        <v>322</v>
      </c>
      <c r="S37" s="23">
        <f>VLOOKUP(A37,Hoja1!A:D,4,0)</f>
        <v>5</v>
      </c>
      <c r="T37" s="26" t="str">
        <f>VLOOKUP(M37,[1]TIPOLOGIAS!$A:$F,4,0)</f>
        <v>TUNJA</v>
      </c>
      <c r="U37" s="26" t="str">
        <f>VLOOKUP(T37,'BASE TARIFA 2025'!C:D,2,0)</f>
        <v>WOMPI SANTANDERES</v>
      </c>
      <c r="V37" s="27">
        <f>VLOOKUP(T37,'BASE TARIFA 2025'!C:F,3,0)</f>
        <v>49671.7</v>
      </c>
      <c r="W37" s="27">
        <f t="shared" si="0"/>
        <v>248358.5</v>
      </c>
    </row>
    <row r="38" spans="1:23" s="37" customFormat="1" ht="14.4" x14ac:dyDescent="0.3">
      <c r="A38" s="37">
        <v>63348</v>
      </c>
      <c r="B38" s="37" t="s">
        <v>3697</v>
      </c>
      <c r="C38" s="37">
        <v>33172327</v>
      </c>
      <c r="D38" s="37" t="s">
        <v>342</v>
      </c>
      <c r="E38" s="37" t="s">
        <v>342</v>
      </c>
      <c r="F38" s="37" t="s">
        <v>342</v>
      </c>
      <c r="G38" s="37" t="s">
        <v>343</v>
      </c>
      <c r="H38" s="37" t="s">
        <v>344</v>
      </c>
      <c r="I38" s="37" t="s">
        <v>345</v>
      </c>
      <c r="J38" s="37" t="s">
        <v>71</v>
      </c>
      <c r="K38" s="37" t="s">
        <v>71</v>
      </c>
      <c r="L38" s="37" t="s">
        <v>71</v>
      </c>
      <c r="M38" s="37">
        <v>15104</v>
      </c>
      <c r="N38" s="38" t="s">
        <v>322</v>
      </c>
      <c r="S38" s="23">
        <f>VLOOKUP(A38,Hoja1!A:D,4,0)</f>
        <v>2</v>
      </c>
      <c r="T38" s="26" t="str">
        <f>VLOOKUP(M38,[1]TIPOLOGIAS!$A:$F,4,0)</f>
        <v>TUNJA</v>
      </c>
      <c r="U38" s="26" t="str">
        <f>VLOOKUP(T38,'BASE TARIFA 2025'!C:D,2,0)</f>
        <v>WOMPI SANTANDERES</v>
      </c>
      <c r="V38" s="27">
        <f>VLOOKUP(T38,'BASE TARIFA 2025'!C:F,3,0)</f>
        <v>49671.7</v>
      </c>
      <c r="W38" s="27">
        <f t="shared" si="0"/>
        <v>99343.4</v>
      </c>
    </row>
    <row r="39" spans="1:23" s="37" customFormat="1" ht="14.4" x14ac:dyDescent="0.3">
      <c r="A39" s="37">
        <v>59489</v>
      </c>
      <c r="B39" s="37" t="s">
        <v>3698</v>
      </c>
      <c r="C39" s="37">
        <v>8708961</v>
      </c>
      <c r="D39" s="37" t="s">
        <v>346</v>
      </c>
      <c r="E39" s="37" t="s">
        <v>346</v>
      </c>
      <c r="F39" s="37" t="s">
        <v>346</v>
      </c>
      <c r="G39" s="37" t="s">
        <v>347</v>
      </c>
      <c r="H39" s="37" t="s">
        <v>348</v>
      </c>
      <c r="I39" s="37" t="s">
        <v>349</v>
      </c>
      <c r="J39" s="37" t="s">
        <v>71</v>
      </c>
      <c r="K39" s="37" t="s">
        <v>140</v>
      </c>
      <c r="L39" s="37" t="s">
        <v>140</v>
      </c>
      <c r="M39" s="37">
        <v>15176</v>
      </c>
      <c r="N39" s="38" t="s">
        <v>323</v>
      </c>
      <c r="S39" s="23">
        <f>VLOOKUP(A39,Hoja1!A:D,4,0)</f>
        <v>2</v>
      </c>
      <c r="T39" s="26" t="str">
        <f>VLOOKUP(M39,[1]TIPOLOGIAS!$A:$F,4,0)</f>
        <v>TUNJA</v>
      </c>
      <c r="U39" s="26" t="str">
        <f>VLOOKUP(T39,'BASE TARIFA 2025'!C:D,2,0)</f>
        <v>WOMPI SANTANDERES</v>
      </c>
      <c r="V39" s="27">
        <f>VLOOKUP(T39,'BASE TARIFA 2025'!C:F,3,0)</f>
        <v>49671.7</v>
      </c>
      <c r="W39" s="27">
        <f t="shared" si="0"/>
        <v>99343.4</v>
      </c>
    </row>
    <row r="40" spans="1:23" s="37" customFormat="1" ht="14.4" x14ac:dyDescent="0.3">
      <c r="A40" s="37">
        <v>54423</v>
      </c>
      <c r="B40" s="37" t="s">
        <v>3699</v>
      </c>
      <c r="C40" s="37">
        <v>1042440613</v>
      </c>
      <c r="D40" s="37" t="s">
        <v>67</v>
      </c>
      <c r="E40" s="37" t="s">
        <v>350</v>
      </c>
      <c r="F40" s="37" t="s">
        <v>350</v>
      </c>
      <c r="G40" s="37" t="s">
        <v>351</v>
      </c>
      <c r="H40" s="37" t="s">
        <v>352</v>
      </c>
      <c r="I40" s="37" t="s">
        <v>353</v>
      </c>
      <c r="J40" s="37" t="s">
        <v>65</v>
      </c>
      <c r="K40" s="37" t="s">
        <v>326</v>
      </c>
      <c r="L40" s="37" t="s">
        <v>326</v>
      </c>
      <c r="M40" s="37">
        <v>5579</v>
      </c>
      <c r="N40" s="38" t="s">
        <v>327</v>
      </c>
      <c r="S40" s="23">
        <f>VLOOKUP(A40,Hoja1!A:D,4,0)</f>
        <v>2</v>
      </c>
      <c r="T40" s="26" t="str">
        <f>VLOOKUP(M40,[1]TIPOLOGIAS!$A:$F,4,0)</f>
        <v>MEDELLIN</v>
      </c>
      <c r="U40" s="26" t="str">
        <f>VLOOKUP(T40,'BASE TARIFA 2025'!C:D,2,0)</f>
        <v>WOMPI NOROCCIDENTE</v>
      </c>
      <c r="V40" s="27">
        <f>VLOOKUP(T40,'BASE TARIFA 2025'!C:F,3,0)</f>
        <v>37313</v>
      </c>
      <c r="W40" s="27">
        <f t="shared" si="0"/>
        <v>74626</v>
      </c>
    </row>
    <row r="41" spans="1:23" s="37" customFormat="1" ht="14.4" x14ac:dyDescent="0.3">
      <c r="A41" s="37">
        <v>80520</v>
      </c>
      <c r="B41" s="37" t="s">
        <v>3700</v>
      </c>
      <c r="C41" s="37">
        <v>901820974</v>
      </c>
      <c r="D41" s="37" t="s">
        <v>354</v>
      </c>
      <c r="E41" s="37" t="s">
        <v>355</v>
      </c>
      <c r="F41" s="37" t="s">
        <v>355</v>
      </c>
      <c r="G41" s="37" t="s">
        <v>356</v>
      </c>
      <c r="H41" s="37" t="s">
        <v>357</v>
      </c>
      <c r="I41" s="37" t="s">
        <v>358</v>
      </c>
      <c r="J41" s="37" t="s">
        <v>65</v>
      </c>
      <c r="K41" s="37" t="s">
        <v>326</v>
      </c>
      <c r="L41" s="37" t="s">
        <v>326</v>
      </c>
      <c r="M41" s="37">
        <v>5579</v>
      </c>
      <c r="N41" s="38" t="s">
        <v>327</v>
      </c>
      <c r="S41" s="23">
        <f>VLOOKUP(A41,Hoja1!A:D,4,0)</f>
        <v>1</v>
      </c>
      <c r="T41" s="26" t="str">
        <f>VLOOKUP(M41,[1]TIPOLOGIAS!$A:$F,4,0)</f>
        <v>MEDELLIN</v>
      </c>
      <c r="U41" s="26" t="str">
        <f>VLOOKUP(T41,'BASE TARIFA 2025'!C:D,2,0)</f>
        <v>WOMPI NOROCCIDENTE</v>
      </c>
      <c r="V41" s="27">
        <f>VLOOKUP(T41,'BASE TARIFA 2025'!C:F,3,0)</f>
        <v>37313</v>
      </c>
      <c r="W41" s="27">
        <f t="shared" si="0"/>
        <v>37313</v>
      </c>
    </row>
    <row r="42" spans="1:23" s="37" customFormat="1" ht="14.4" x14ac:dyDescent="0.3">
      <c r="A42" s="37">
        <v>78900</v>
      </c>
      <c r="B42" s="37" t="s">
        <v>3701</v>
      </c>
      <c r="C42" s="37">
        <v>1007207649</v>
      </c>
      <c r="D42" s="37" t="s">
        <v>67</v>
      </c>
      <c r="E42" s="37" t="s">
        <v>359</v>
      </c>
      <c r="F42" s="37" t="s">
        <v>359</v>
      </c>
      <c r="G42" s="37" t="s">
        <v>360</v>
      </c>
      <c r="H42" s="37" t="s">
        <v>361</v>
      </c>
      <c r="I42" s="37" t="s">
        <v>362</v>
      </c>
      <c r="J42" s="37" t="s">
        <v>65</v>
      </c>
      <c r="K42" s="37" t="s">
        <v>326</v>
      </c>
      <c r="L42" s="37" t="s">
        <v>326</v>
      </c>
      <c r="M42" s="37">
        <v>5579</v>
      </c>
      <c r="N42" s="38" t="s">
        <v>329</v>
      </c>
      <c r="S42" s="23">
        <f>VLOOKUP(A42,Hoja1!A:D,4,0)</f>
        <v>1</v>
      </c>
      <c r="T42" s="26" t="str">
        <f>VLOOKUP(M42,[1]TIPOLOGIAS!$A:$F,4,0)</f>
        <v>MEDELLIN</v>
      </c>
      <c r="U42" s="26" t="str">
        <f>VLOOKUP(T42,'BASE TARIFA 2025'!C:D,2,0)</f>
        <v>WOMPI NOROCCIDENTE</v>
      </c>
      <c r="V42" s="27">
        <f>VLOOKUP(T42,'BASE TARIFA 2025'!C:F,3,0)</f>
        <v>37313</v>
      </c>
      <c r="W42" s="27">
        <f t="shared" si="0"/>
        <v>37313</v>
      </c>
    </row>
    <row r="43" spans="1:23" s="37" customFormat="1" ht="14.4" x14ac:dyDescent="0.3">
      <c r="A43" s="37">
        <v>10182</v>
      </c>
      <c r="B43" s="37" t="s">
        <v>3702</v>
      </c>
      <c r="C43" s="37">
        <v>7218435</v>
      </c>
      <c r="D43" s="37" t="s">
        <v>363</v>
      </c>
      <c r="E43" s="37" t="s">
        <v>363</v>
      </c>
      <c r="F43" s="37" t="s">
        <v>363</v>
      </c>
      <c r="G43" s="37" t="s">
        <v>364</v>
      </c>
      <c r="H43" s="37" t="s">
        <v>365</v>
      </c>
      <c r="I43" s="37" t="s">
        <v>366</v>
      </c>
      <c r="J43" s="37" t="s">
        <v>65</v>
      </c>
      <c r="K43" s="37" t="s">
        <v>326</v>
      </c>
      <c r="L43" s="37" t="s">
        <v>326</v>
      </c>
      <c r="M43" s="37">
        <v>5579</v>
      </c>
      <c r="N43" s="38" t="s">
        <v>329</v>
      </c>
      <c r="S43" s="23">
        <f>VLOOKUP(A43,Hoja1!A:D,4,0)</f>
        <v>1</v>
      </c>
      <c r="T43" s="26" t="str">
        <f>VLOOKUP(M43,[1]TIPOLOGIAS!$A:$F,4,0)</f>
        <v>MEDELLIN</v>
      </c>
      <c r="U43" s="26" t="str">
        <f>VLOOKUP(T43,'BASE TARIFA 2025'!C:D,2,0)</f>
        <v>WOMPI NOROCCIDENTE</v>
      </c>
      <c r="V43" s="27">
        <f>VLOOKUP(T43,'BASE TARIFA 2025'!C:F,3,0)</f>
        <v>37313</v>
      </c>
      <c r="W43" s="27">
        <f t="shared" si="0"/>
        <v>37313</v>
      </c>
    </row>
    <row r="44" spans="1:23" s="37" customFormat="1" ht="14.4" x14ac:dyDescent="0.3">
      <c r="A44" s="37">
        <v>39438</v>
      </c>
      <c r="B44" s="37" t="s">
        <v>3703</v>
      </c>
      <c r="C44" s="37">
        <v>7218435</v>
      </c>
      <c r="D44" s="37" t="s">
        <v>67</v>
      </c>
      <c r="E44" s="37" t="s">
        <v>367</v>
      </c>
      <c r="F44" s="37" t="s">
        <v>367</v>
      </c>
      <c r="G44" s="37" t="s">
        <v>368</v>
      </c>
      <c r="H44" s="37" t="s">
        <v>369</v>
      </c>
      <c r="I44" s="37" t="s">
        <v>370</v>
      </c>
      <c r="J44" s="37" t="s">
        <v>65</v>
      </c>
      <c r="K44" s="37" t="s">
        <v>326</v>
      </c>
      <c r="L44" s="37" t="s">
        <v>326</v>
      </c>
      <c r="M44" s="37">
        <v>5579</v>
      </c>
      <c r="N44" s="38" t="s">
        <v>320</v>
      </c>
      <c r="S44" s="23">
        <f>VLOOKUP(A44,Hoja1!A:D,4,0)</f>
        <v>1</v>
      </c>
      <c r="T44" s="26" t="str">
        <f>VLOOKUP(M44,[1]TIPOLOGIAS!$A:$F,4,0)</f>
        <v>MEDELLIN</v>
      </c>
      <c r="U44" s="26" t="str">
        <f>VLOOKUP(T44,'BASE TARIFA 2025'!C:D,2,0)</f>
        <v>WOMPI NOROCCIDENTE</v>
      </c>
      <c r="V44" s="27">
        <f>VLOOKUP(T44,'BASE TARIFA 2025'!C:F,3,0)</f>
        <v>37313</v>
      </c>
      <c r="W44" s="27">
        <f t="shared" si="0"/>
        <v>37313</v>
      </c>
    </row>
    <row r="45" spans="1:23" s="37" customFormat="1" ht="14.4" x14ac:dyDescent="0.3">
      <c r="A45" s="37">
        <v>71811</v>
      </c>
      <c r="B45" s="37" t="s">
        <v>3704</v>
      </c>
      <c r="C45" s="37">
        <v>46383377</v>
      </c>
      <c r="D45" s="37" t="s">
        <v>371</v>
      </c>
      <c r="E45" s="37" t="s">
        <v>372</v>
      </c>
      <c r="F45" s="37" t="s">
        <v>372</v>
      </c>
      <c r="G45" s="37" t="s">
        <v>373</v>
      </c>
      <c r="H45" s="37" t="s">
        <v>374</v>
      </c>
      <c r="I45" s="37" t="s">
        <v>375</v>
      </c>
      <c r="J45" s="37" t="s">
        <v>71</v>
      </c>
      <c r="K45" s="37" t="s">
        <v>33</v>
      </c>
      <c r="L45" s="37" t="s">
        <v>33</v>
      </c>
      <c r="M45" s="37">
        <v>15001</v>
      </c>
      <c r="N45" s="38" t="s">
        <v>328</v>
      </c>
      <c r="S45" s="23">
        <f>VLOOKUP(A45,Hoja1!A:D,4,0)</f>
        <v>1</v>
      </c>
      <c r="T45" s="26" t="str">
        <f>VLOOKUP(M45,[1]TIPOLOGIAS!$A:$F,4,0)</f>
        <v>TUNJA</v>
      </c>
      <c r="U45" s="26" t="str">
        <f>VLOOKUP(T45,'BASE TARIFA 2025'!C:D,2,0)</f>
        <v>WOMPI SANTANDERES</v>
      </c>
      <c r="V45" s="27">
        <f>VLOOKUP(T45,'BASE TARIFA 2025'!C:F,3,0)</f>
        <v>49671.7</v>
      </c>
      <c r="W45" s="27">
        <f t="shared" si="0"/>
        <v>49671.7</v>
      </c>
    </row>
    <row r="46" spans="1:23" s="37" customFormat="1" ht="14.4" x14ac:dyDescent="0.3">
      <c r="A46" s="37">
        <v>51286</v>
      </c>
      <c r="B46" s="37" t="s">
        <v>3705</v>
      </c>
      <c r="C46" s="37">
        <v>1143135432</v>
      </c>
      <c r="D46" s="37" t="s">
        <v>376</v>
      </c>
      <c r="E46" s="37" t="s">
        <v>377</v>
      </c>
      <c r="F46" s="37" t="s">
        <v>377</v>
      </c>
      <c r="G46" s="37" t="s">
        <v>378</v>
      </c>
      <c r="H46" s="37" t="s">
        <v>379</v>
      </c>
      <c r="I46" s="37" t="s">
        <v>380</v>
      </c>
      <c r="J46" s="37" t="s">
        <v>71</v>
      </c>
      <c r="K46" s="37" t="s">
        <v>33</v>
      </c>
      <c r="L46" s="37" t="s">
        <v>33</v>
      </c>
      <c r="M46" s="37">
        <v>15001</v>
      </c>
      <c r="N46" s="38" t="s">
        <v>325</v>
      </c>
      <c r="S46" s="23">
        <f>VLOOKUP(A46,Hoja1!A:D,4,0)</f>
        <v>2</v>
      </c>
      <c r="T46" s="26" t="str">
        <f>VLOOKUP(M46,[1]TIPOLOGIAS!$A:$F,4,0)</f>
        <v>TUNJA</v>
      </c>
      <c r="U46" s="26" t="str">
        <f>VLOOKUP(T46,'BASE TARIFA 2025'!C:D,2,0)</f>
        <v>WOMPI SANTANDERES</v>
      </c>
      <c r="V46" s="27">
        <f>VLOOKUP(T46,'BASE TARIFA 2025'!C:F,3,0)</f>
        <v>49671.7</v>
      </c>
      <c r="W46" s="27">
        <f t="shared" si="0"/>
        <v>99343.4</v>
      </c>
    </row>
    <row r="47" spans="1:23" s="37" customFormat="1" ht="14.4" x14ac:dyDescent="0.3">
      <c r="A47" s="37">
        <v>50827</v>
      </c>
      <c r="B47" s="37" t="s">
        <v>3706</v>
      </c>
      <c r="C47" s="37">
        <v>32836762</v>
      </c>
      <c r="D47" s="37" t="s">
        <v>381</v>
      </c>
      <c r="E47" s="37" t="s">
        <v>381</v>
      </c>
      <c r="F47" s="37" t="s">
        <v>381</v>
      </c>
      <c r="G47" s="37" t="s">
        <v>382</v>
      </c>
      <c r="H47" s="37" t="s">
        <v>383</v>
      </c>
      <c r="I47" s="37" t="s">
        <v>384</v>
      </c>
      <c r="J47" s="37" t="s">
        <v>71</v>
      </c>
      <c r="K47" s="37" t="s">
        <v>33</v>
      </c>
      <c r="L47" s="37" t="s">
        <v>33</v>
      </c>
      <c r="M47" s="37">
        <v>15001</v>
      </c>
      <c r="N47" s="38" t="s">
        <v>328</v>
      </c>
      <c r="S47" s="23">
        <f>VLOOKUP(A47,Hoja1!A:D,4,0)</f>
        <v>3</v>
      </c>
      <c r="T47" s="26" t="str">
        <f>VLOOKUP(M47,[1]TIPOLOGIAS!$A:$F,4,0)</f>
        <v>TUNJA</v>
      </c>
      <c r="U47" s="26" t="str">
        <f>VLOOKUP(T47,'BASE TARIFA 2025'!C:D,2,0)</f>
        <v>WOMPI SANTANDERES</v>
      </c>
      <c r="V47" s="27">
        <f>VLOOKUP(T47,'BASE TARIFA 2025'!C:F,3,0)</f>
        <v>49671.7</v>
      </c>
      <c r="W47" s="27">
        <f t="shared" si="0"/>
        <v>149015.09999999998</v>
      </c>
    </row>
    <row r="48" spans="1:23" s="37" customFormat="1" ht="14.4" x14ac:dyDescent="0.3">
      <c r="A48" s="37">
        <v>51688</v>
      </c>
      <c r="B48" s="37" t="s">
        <v>3707</v>
      </c>
      <c r="C48" s="37">
        <v>32869593</v>
      </c>
      <c r="D48" s="37" t="s">
        <v>385</v>
      </c>
      <c r="E48" s="37" t="s">
        <v>386</v>
      </c>
      <c r="F48" s="37" t="s">
        <v>386</v>
      </c>
      <c r="G48" s="37" t="s">
        <v>387</v>
      </c>
      <c r="H48" s="37" t="s">
        <v>388</v>
      </c>
      <c r="I48" s="37" t="s">
        <v>389</v>
      </c>
      <c r="J48" s="37" t="s">
        <v>71</v>
      </c>
      <c r="K48" s="37" t="s">
        <v>33</v>
      </c>
      <c r="L48" s="37" t="s">
        <v>33</v>
      </c>
      <c r="M48" s="37">
        <v>15001</v>
      </c>
      <c r="N48" s="38" t="s">
        <v>328</v>
      </c>
      <c r="S48" s="23">
        <f>VLOOKUP(A48,Hoja1!A:D,4,0)</f>
        <v>2</v>
      </c>
      <c r="T48" s="26" t="str">
        <f>VLOOKUP(M48,[1]TIPOLOGIAS!$A:$F,4,0)</f>
        <v>TUNJA</v>
      </c>
      <c r="U48" s="26" t="str">
        <f>VLOOKUP(T48,'BASE TARIFA 2025'!C:D,2,0)</f>
        <v>WOMPI SANTANDERES</v>
      </c>
      <c r="V48" s="27">
        <f>VLOOKUP(T48,'BASE TARIFA 2025'!C:F,3,0)</f>
        <v>49671.7</v>
      </c>
      <c r="W48" s="27">
        <f t="shared" si="0"/>
        <v>99343.4</v>
      </c>
    </row>
    <row r="49" spans="1:23" s="37" customFormat="1" ht="14.4" x14ac:dyDescent="0.3">
      <c r="A49" s="37">
        <v>50447</v>
      </c>
      <c r="B49" s="37" t="s">
        <v>3708</v>
      </c>
      <c r="C49" s="37">
        <v>900537068</v>
      </c>
      <c r="D49" s="37" t="s">
        <v>390</v>
      </c>
      <c r="E49" s="37" t="s">
        <v>391</v>
      </c>
      <c r="F49" s="37" t="s">
        <v>391</v>
      </c>
      <c r="G49" s="37" t="s">
        <v>392</v>
      </c>
      <c r="H49" s="37" t="s">
        <v>393</v>
      </c>
      <c r="I49" s="37" t="s">
        <v>394</v>
      </c>
      <c r="J49" s="37" t="s">
        <v>65</v>
      </c>
      <c r="K49" s="37" t="s">
        <v>202</v>
      </c>
      <c r="L49" s="37" t="s">
        <v>202</v>
      </c>
      <c r="M49" s="37">
        <v>5360</v>
      </c>
      <c r="N49" s="38" t="s">
        <v>328</v>
      </c>
      <c r="S49" s="23">
        <f>VLOOKUP(A49,Hoja1!A:D,4,0)</f>
        <v>2</v>
      </c>
      <c r="T49" s="26" t="str">
        <f>VLOOKUP(M49,[1]TIPOLOGIAS!$A:$F,4,0)</f>
        <v>MEDELLIN</v>
      </c>
      <c r="U49" s="26" t="str">
        <f>VLOOKUP(T49,'BASE TARIFA 2025'!C:D,2,0)</f>
        <v>WOMPI NOROCCIDENTE</v>
      </c>
      <c r="V49" s="27">
        <f>VLOOKUP(T49,'BASE TARIFA 2025'!C:F,3,0)</f>
        <v>37313</v>
      </c>
      <c r="W49" s="27">
        <f t="shared" si="0"/>
        <v>74626</v>
      </c>
    </row>
    <row r="50" spans="1:23" s="37" customFormat="1" ht="14.4" x14ac:dyDescent="0.3">
      <c r="A50" s="37">
        <v>46935</v>
      </c>
      <c r="B50" s="37" t="s">
        <v>3709</v>
      </c>
      <c r="C50" s="37">
        <v>72238454</v>
      </c>
      <c r="D50" s="37" t="s">
        <v>395</v>
      </c>
      <c r="E50" s="37" t="s">
        <v>396</v>
      </c>
      <c r="F50" s="37" t="s">
        <v>396</v>
      </c>
      <c r="G50" s="37" t="s">
        <v>397</v>
      </c>
      <c r="H50" s="37" t="s">
        <v>398</v>
      </c>
      <c r="I50" s="37" t="s">
        <v>399</v>
      </c>
      <c r="J50" s="37" t="s">
        <v>65</v>
      </c>
      <c r="K50" s="37" t="s">
        <v>202</v>
      </c>
      <c r="L50" s="37" t="s">
        <v>202</v>
      </c>
      <c r="M50" s="37">
        <v>5360</v>
      </c>
      <c r="N50" s="38" t="s">
        <v>325</v>
      </c>
      <c r="S50" s="23">
        <f>VLOOKUP(A50,Hoja1!A:D,4,0)</f>
        <v>2</v>
      </c>
      <c r="T50" s="26" t="str">
        <f>VLOOKUP(M50,[1]TIPOLOGIAS!$A:$F,4,0)</f>
        <v>MEDELLIN</v>
      </c>
      <c r="U50" s="26" t="str">
        <f>VLOOKUP(T50,'BASE TARIFA 2025'!C:D,2,0)</f>
        <v>WOMPI NOROCCIDENTE</v>
      </c>
      <c r="V50" s="27">
        <f>VLOOKUP(T50,'BASE TARIFA 2025'!C:F,3,0)</f>
        <v>37313</v>
      </c>
      <c r="W50" s="27">
        <f t="shared" si="0"/>
        <v>74626</v>
      </c>
    </row>
    <row r="51" spans="1:23" s="37" customFormat="1" ht="14.4" x14ac:dyDescent="0.3">
      <c r="A51" s="37">
        <v>43972</v>
      </c>
      <c r="B51" s="37" t="s">
        <v>3710</v>
      </c>
      <c r="C51" s="37">
        <v>900723573</v>
      </c>
      <c r="D51" s="37" t="s">
        <v>400</v>
      </c>
      <c r="E51" s="37" t="s">
        <v>401</v>
      </c>
      <c r="F51" s="37" t="s">
        <v>401</v>
      </c>
      <c r="G51" s="37" t="s">
        <v>402</v>
      </c>
      <c r="H51" s="37" t="s">
        <v>403</v>
      </c>
      <c r="I51" s="37" t="s">
        <v>404</v>
      </c>
      <c r="J51" s="37" t="s">
        <v>65</v>
      </c>
      <c r="K51" s="37" t="s">
        <v>202</v>
      </c>
      <c r="L51" s="37" t="s">
        <v>202</v>
      </c>
      <c r="M51" s="37">
        <v>5360</v>
      </c>
      <c r="N51" s="38" t="s">
        <v>328</v>
      </c>
      <c r="S51" s="23">
        <f>VLOOKUP(A51,Hoja1!A:D,4,0)</f>
        <v>2</v>
      </c>
      <c r="T51" s="26" t="str">
        <f>VLOOKUP(M51,[1]TIPOLOGIAS!$A:$F,4,0)</f>
        <v>MEDELLIN</v>
      </c>
      <c r="U51" s="26" t="str">
        <f>VLOOKUP(T51,'BASE TARIFA 2025'!C:D,2,0)</f>
        <v>WOMPI NOROCCIDENTE</v>
      </c>
      <c r="V51" s="27">
        <f>VLOOKUP(T51,'BASE TARIFA 2025'!C:F,3,0)</f>
        <v>37313</v>
      </c>
      <c r="W51" s="27">
        <f t="shared" si="0"/>
        <v>74626</v>
      </c>
    </row>
    <row r="52" spans="1:23" s="37" customFormat="1" ht="14.4" x14ac:dyDescent="0.3">
      <c r="A52" s="37">
        <v>37719</v>
      </c>
      <c r="B52" s="37" t="s">
        <v>3711</v>
      </c>
      <c r="C52" s="37">
        <v>72200736</v>
      </c>
      <c r="D52" s="37" t="s">
        <v>405</v>
      </c>
      <c r="E52" s="37" t="s">
        <v>406</v>
      </c>
      <c r="F52" s="37" t="s">
        <v>407</v>
      </c>
      <c r="G52" s="37" t="s">
        <v>408</v>
      </c>
      <c r="H52" s="37" t="s">
        <v>409</v>
      </c>
      <c r="I52" s="37" t="s">
        <v>410</v>
      </c>
      <c r="J52" s="37" t="s">
        <v>65</v>
      </c>
      <c r="K52" s="37" t="s">
        <v>202</v>
      </c>
      <c r="L52" s="37" t="s">
        <v>202</v>
      </c>
      <c r="M52" s="37">
        <v>5360</v>
      </c>
      <c r="N52" s="38" t="s">
        <v>328</v>
      </c>
      <c r="S52" s="23">
        <f>VLOOKUP(A52,Hoja1!A:D,4,0)</f>
        <v>1</v>
      </c>
      <c r="T52" s="26" t="str">
        <f>VLOOKUP(M52,[1]TIPOLOGIAS!$A:$F,4,0)</f>
        <v>MEDELLIN</v>
      </c>
      <c r="U52" s="26" t="str">
        <f>VLOOKUP(T52,'BASE TARIFA 2025'!C:D,2,0)</f>
        <v>WOMPI NOROCCIDENTE</v>
      </c>
      <c r="V52" s="27">
        <f>VLOOKUP(T52,'BASE TARIFA 2025'!C:F,3,0)</f>
        <v>37313</v>
      </c>
      <c r="W52" s="27">
        <f t="shared" si="0"/>
        <v>37313</v>
      </c>
    </row>
    <row r="53" spans="1:23" s="37" customFormat="1" ht="14.4" x14ac:dyDescent="0.3">
      <c r="A53" s="37">
        <v>76444</v>
      </c>
      <c r="B53" s="37" t="s">
        <v>3712</v>
      </c>
      <c r="C53" s="37">
        <v>23133427</v>
      </c>
      <c r="E53" s="37" t="s">
        <v>411</v>
      </c>
      <c r="F53" s="37" t="s">
        <v>411</v>
      </c>
      <c r="G53" s="37" t="s">
        <v>412</v>
      </c>
      <c r="H53" s="37" t="s">
        <v>413</v>
      </c>
      <c r="I53" s="37" t="s">
        <v>414</v>
      </c>
      <c r="J53" s="37" t="s">
        <v>142</v>
      </c>
      <c r="K53" s="37" t="s">
        <v>415</v>
      </c>
      <c r="L53" s="37" t="s">
        <v>415</v>
      </c>
      <c r="M53" s="37">
        <v>18460</v>
      </c>
      <c r="N53" s="38" t="s">
        <v>416</v>
      </c>
      <c r="S53" s="23">
        <f>VLOOKUP(A53,Hoja1!A:D,4,0)</f>
        <v>2</v>
      </c>
      <c r="T53" s="26" t="str">
        <f>VLOOKUP(M53,[1]TIPOLOGIAS!$A:$F,4,0)</f>
        <v>NEIVA</v>
      </c>
      <c r="U53" s="26" t="str">
        <f>VLOOKUP(T53,'BASE TARIFA 2025'!C:D,2,0)</f>
        <v>WOMPI ORIENTE</v>
      </c>
      <c r="V53" s="27">
        <f>VLOOKUP(T53,'BASE TARIFA 2025'!C:F,3,0)</f>
        <v>49671.7</v>
      </c>
      <c r="W53" s="27">
        <f t="shared" si="0"/>
        <v>99343.4</v>
      </c>
    </row>
    <row r="54" spans="1:23" s="37" customFormat="1" ht="14.4" x14ac:dyDescent="0.3">
      <c r="A54" s="37">
        <v>74906</v>
      </c>
      <c r="B54" s="37" t="s">
        <v>3713</v>
      </c>
      <c r="C54" s="37">
        <v>1045420782</v>
      </c>
      <c r="E54" s="37" t="s">
        <v>417</v>
      </c>
      <c r="F54" s="37" t="s">
        <v>417</v>
      </c>
      <c r="G54" s="37" t="s">
        <v>418</v>
      </c>
      <c r="H54" s="37" t="s">
        <v>419</v>
      </c>
      <c r="I54" s="37" t="s">
        <v>420</v>
      </c>
      <c r="J54" s="37" t="s">
        <v>142</v>
      </c>
      <c r="K54" s="37" t="s">
        <v>415</v>
      </c>
      <c r="L54" s="37" t="s">
        <v>415</v>
      </c>
      <c r="M54" s="37">
        <v>18460</v>
      </c>
      <c r="N54" s="38" t="s">
        <v>416</v>
      </c>
      <c r="S54" s="23">
        <f>VLOOKUP(A54,Hoja1!A:D,4,0)</f>
        <v>1</v>
      </c>
      <c r="T54" s="26" t="str">
        <f>VLOOKUP(M54,[1]TIPOLOGIAS!$A:$F,4,0)</f>
        <v>NEIVA</v>
      </c>
      <c r="U54" s="26" t="str">
        <f>VLOOKUP(T54,'BASE TARIFA 2025'!C:D,2,0)</f>
        <v>WOMPI ORIENTE</v>
      </c>
      <c r="V54" s="27">
        <f>VLOOKUP(T54,'BASE TARIFA 2025'!C:F,3,0)</f>
        <v>49671.7</v>
      </c>
      <c r="W54" s="27">
        <f t="shared" si="0"/>
        <v>49671.7</v>
      </c>
    </row>
    <row r="55" spans="1:23" s="37" customFormat="1" ht="14.4" x14ac:dyDescent="0.3">
      <c r="A55" s="37">
        <v>73154</v>
      </c>
      <c r="B55" s="37" t="s">
        <v>3714</v>
      </c>
      <c r="C55" s="37">
        <v>25878577</v>
      </c>
      <c r="D55" s="37" t="s">
        <v>421</v>
      </c>
      <c r="E55" s="37" t="s">
        <v>421</v>
      </c>
      <c r="F55" s="37" t="s">
        <v>421</v>
      </c>
      <c r="G55" s="37" t="s">
        <v>422</v>
      </c>
      <c r="H55" s="37" t="s">
        <v>423</v>
      </c>
      <c r="I55" s="37" t="s">
        <v>424</v>
      </c>
      <c r="J55" s="37" t="s">
        <v>142</v>
      </c>
      <c r="K55" s="37" t="s">
        <v>415</v>
      </c>
      <c r="L55" s="37" t="s">
        <v>415</v>
      </c>
      <c r="M55" s="37">
        <v>18460</v>
      </c>
      <c r="N55" s="38" t="s">
        <v>416</v>
      </c>
      <c r="S55" s="23">
        <f>VLOOKUP(A55,Hoja1!A:D,4,0)</f>
        <v>2</v>
      </c>
      <c r="T55" s="26" t="str">
        <f>VLOOKUP(M55,[1]TIPOLOGIAS!$A:$F,4,0)</f>
        <v>NEIVA</v>
      </c>
      <c r="U55" s="26" t="str">
        <f>VLOOKUP(T55,'BASE TARIFA 2025'!C:D,2,0)</f>
        <v>WOMPI ORIENTE</v>
      </c>
      <c r="V55" s="27">
        <f>VLOOKUP(T55,'BASE TARIFA 2025'!C:F,3,0)</f>
        <v>49671.7</v>
      </c>
      <c r="W55" s="27">
        <f t="shared" si="0"/>
        <v>99343.4</v>
      </c>
    </row>
    <row r="56" spans="1:23" s="37" customFormat="1" ht="14.4" x14ac:dyDescent="0.3">
      <c r="A56" s="37">
        <v>74080</v>
      </c>
      <c r="B56" s="37" t="s">
        <v>3715</v>
      </c>
      <c r="C56" s="37">
        <v>1235038058</v>
      </c>
      <c r="D56" s="37" t="s">
        <v>425</v>
      </c>
      <c r="E56" s="37" t="s">
        <v>426</v>
      </c>
      <c r="F56" s="37" t="s">
        <v>426</v>
      </c>
      <c r="G56" s="37" t="s">
        <v>427</v>
      </c>
      <c r="H56" s="37" t="s">
        <v>428</v>
      </c>
      <c r="I56" s="37" t="s">
        <v>429</v>
      </c>
      <c r="J56" s="37" t="s">
        <v>83</v>
      </c>
      <c r="K56" s="37" t="s">
        <v>94</v>
      </c>
      <c r="L56" s="37" t="s">
        <v>94</v>
      </c>
      <c r="M56" s="37">
        <v>23574</v>
      </c>
      <c r="N56" s="38" t="s">
        <v>430</v>
      </c>
      <c r="S56" s="23">
        <f>VLOOKUP(A56,Hoja1!A:D,4,0)</f>
        <v>2</v>
      </c>
      <c r="T56" s="26" t="str">
        <f>VLOOKUP(M56,[1]TIPOLOGIAS!$A:$F,4,0)</f>
        <v>MONTERIA</v>
      </c>
      <c r="U56" s="26" t="str">
        <f>VLOOKUP(T56,'BASE TARIFA 2025'!C:D,2,0)</f>
        <v>WOMPI COSTA</v>
      </c>
      <c r="V56" s="27">
        <f>VLOOKUP(T56,'BASE TARIFA 2025'!C:F,3,0)</f>
        <v>37313</v>
      </c>
      <c r="W56" s="27">
        <f t="shared" si="0"/>
        <v>74626</v>
      </c>
    </row>
    <row r="57" spans="1:23" s="37" customFormat="1" ht="14.4" x14ac:dyDescent="0.3">
      <c r="A57" s="37">
        <v>34790</v>
      </c>
      <c r="B57" s="37" t="s">
        <v>3716</v>
      </c>
      <c r="C57" s="37">
        <v>55240390</v>
      </c>
      <c r="D57" s="37" t="s">
        <v>431</v>
      </c>
      <c r="E57" s="37" t="s">
        <v>432</v>
      </c>
      <c r="F57" s="37" t="s">
        <v>432</v>
      </c>
      <c r="G57" s="37" t="s">
        <v>433</v>
      </c>
      <c r="H57" s="37" t="s">
        <v>434</v>
      </c>
      <c r="I57" s="37" t="s">
        <v>435</v>
      </c>
      <c r="J57" s="37" t="s">
        <v>83</v>
      </c>
      <c r="K57" s="37" t="s">
        <v>436</v>
      </c>
      <c r="L57" s="37" t="s">
        <v>436</v>
      </c>
      <c r="M57" s="37">
        <v>23815</v>
      </c>
      <c r="N57" s="38" t="s">
        <v>320</v>
      </c>
      <c r="S57" s="23">
        <f>VLOOKUP(A57,Hoja1!A:D,4,0)</f>
        <v>2</v>
      </c>
      <c r="T57" s="26" t="str">
        <f>VLOOKUP(M57,[1]TIPOLOGIAS!$A:$F,4,0)</f>
        <v>MONTERIA</v>
      </c>
      <c r="U57" s="26" t="str">
        <f>VLOOKUP(T57,'BASE TARIFA 2025'!C:D,2,0)</f>
        <v>WOMPI COSTA</v>
      </c>
      <c r="V57" s="27">
        <f>VLOOKUP(T57,'BASE TARIFA 2025'!C:F,3,0)</f>
        <v>37313</v>
      </c>
      <c r="W57" s="27">
        <f t="shared" si="0"/>
        <v>74626</v>
      </c>
    </row>
    <row r="58" spans="1:23" s="37" customFormat="1" ht="14.4" x14ac:dyDescent="0.3">
      <c r="A58" s="37">
        <v>28367</v>
      </c>
      <c r="B58" s="37" t="s">
        <v>3717</v>
      </c>
      <c r="C58" s="37">
        <v>4253436</v>
      </c>
      <c r="D58" s="37" t="s">
        <v>437</v>
      </c>
      <c r="E58" s="37" t="s">
        <v>438</v>
      </c>
      <c r="F58" s="37" t="s">
        <v>438</v>
      </c>
      <c r="G58" s="37" t="s">
        <v>439</v>
      </c>
      <c r="H58" s="37" t="s">
        <v>440</v>
      </c>
      <c r="I58" s="37" t="s">
        <v>441</v>
      </c>
      <c r="J58" s="37" t="s">
        <v>83</v>
      </c>
      <c r="K58" s="37" t="s">
        <v>436</v>
      </c>
      <c r="L58" s="37" t="s">
        <v>436</v>
      </c>
      <c r="M58" s="37">
        <v>23815</v>
      </c>
      <c r="N58" s="38" t="s">
        <v>320</v>
      </c>
      <c r="S58" s="23">
        <f>VLOOKUP(A58,Hoja1!A:D,4,0)</f>
        <v>4</v>
      </c>
      <c r="T58" s="26" t="str">
        <f>VLOOKUP(M58,[1]TIPOLOGIAS!$A:$F,4,0)</f>
        <v>MONTERIA</v>
      </c>
      <c r="U58" s="26" t="str">
        <f>VLOOKUP(T58,'BASE TARIFA 2025'!C:D,2,0)</f>
        <v>WOMPI COSTA</v>
      </c>
      <c r="V58" s="27">
        <f>VLOOKUP(T58,'BASE TARIFA 2025'!C:F,3,0)</f>
        <v>37313</v>
      </c>
      <c r="W58" s="27">
        <f t="shared" si="0"/>
        <v>149252</v>
      </c>
    </row>
    <row r="59" spans="1:23" s="37" customFormat="1" ht="14.4" x14ac:dyDescent="0.3">
      <c r="A59" s="37">
        <v>29786</v>
      </c>
      <c r="B59" s="37" t="s">
        <v>3718</v>
      </c>
      <c r="C59" s="37">
        <v>900691120</v>
      </c>
      <c r="D59" s="37" t="s">
        <v>442</v>
      </c>
      <c r="E59" s="37" t="s">
        <v>443</v>
      </c>
      <c r="F59" s="37" t="s">
        <v>443</v>
      </c>
      <c r="G59" s="37" t="s">
        <v>444</v>
      </c>
      <c r="H59" s="37" t="s">
        <v>445</v>
      </c>
      <c r="I59" s="37" t="s">
        <v>446</v>
      </c>
      <c r="J59" s="37" t="s">
        <v>83</v>
      </c>
      <c r="K59" s="37" t="s">
        <v>436</v>
      </c>
      <c r="L59" s="37" t="s">
        <v>436</v>
      </c>
      <c r="M59" s="37">
        <v>23815</v>
      </c>
      <c r="N59" s="38" t="s">
        <v>320</v>
      </c>
      <c r="S59" s="23">
        <f>VLOOKUP(A59,Hoja1!A:D,4,0)</f>
        <v>1</v>
      </c>
      <c r="T59" s="26" t="str">
        <f>VLOOKUP(M59,[1]TIPOLOGIAS!$A:$F,4,0)</f>
        <v>MONTERIA</v>
      </c>
      <c r="U59" s="26" t="str">
        <f>VLOOKUP(T59,'BASE TARIFA 2025'!C:D,2,0)</f>
        <v>WOMPI COSTA</v>
      </c>
      <c r="V59" s="27">
        <f>VLOOKUP(T59,'BASE TARIFA 2025'!C:F,3,0)</f>
        <v>37313</v>
      </c>
      <c r="W59" s="27">
        <f t="shared" si="0"/>
        <v>37313</v>
      </c>
    </row>
    <row r="60" spans="1:23" s="37" customFormat="1" ht="14.4" x14ac:dyDescent="0.3">
      <c r="A60" s="37">
        <v>27937</v>
      </c>
      <c r="B60" s="37" t="s">
        <v>3719</v>
      </c>
      <c r="C60" s="37">
        <v>22517110</v>
      </c>
      <c r="D60" s="37" t="s">
        <v>447</v>
      </c>
      <c r="E60" s="37" t="s">
        <v>447</v>
      </c>
      <c r="F60" s="37" t="s">
        <v>447</v>
      </c>
      <c r="G60" s="37" t="s">
        <v>448</v>
      </c>
      <c r="H60" s="37" t="s">
        <v>449</v>
      </c>
      <c r="I60" s="37" t="s">
        <v>450</v>
      </c>
      <c r="J60" s="37" t="s">
        <v>83</v>
      </c>
      <c r="K60" s="37" t="s">
        <v>436</v>
      </c>
      <c r="L60" s="37" t="s">
        <v>436</v>
      </c>
      <c r="M60" s="37">
        <v>23815</v>
      </c>
      <c r="N60" s="38" t="s">
        <v>320</v>
      </c>
      <c r="S60" s="23">
        <f>VLOOKUP(A60,Hoja1!A:D,4,0)</f>
        <v>5</v>
      </c>
      <c r="T60" s="26" t="str">
        <f>VLOOKUP(M60,[1]TIPOLOGIAS!$A:$F,4,0)</f>
        <v>MONTERIA</v>
      </c>
      <c r="U60" s="26" t="str">
        <f>VLOOKUP(T60,'BASE TARIFA 2025'!C:D,2,0)</f>
        <v>WOMPI COSTA</v>
      </c>
      <c r="V60" s="27">
        <f>VLOOKUP(T60,'BASE TARIFA 2025'!C:F,3,0)</f>
        <v>37313</v>
      </c>
      <c r="W60" s="27">
        <f t="shared" si="0"/>
        <v>186565</v>
      </c>
    </row>
    <row r="61" spans="1:23" s="37" customFormat="1" ht="14.4" x14ac:dyDescent="0.3">
      <c r="A61" s="37">
        <v>26911</v>
      </c>
      <c r="B61" s="37" t="s">
        <v>3720</v>
      </c>
      <c r="C61" s="37">
        <v>60310580</v>
      </c>
      <c r="D61" s="37" t="s">
        <v>451</v>
      </c>
      <c r="E61" s="37" t="s">
        <v>451</v>
      </c>
      <c r="F61" s="37" t="s">
        <v>451</v>
      </c>
      <c r="G61" s="37" t="s">
        <v>452</v>
      </c>
      <c r="H61" s="37" t="s">
        <v>453</v>
      </c>
      <c r="I61" s="37" t="s">
        <v>454</v>
      </c>
      <c r="J61" s="37" t="s">
        <v>83</v>
      </c>
      <c r="K61" s="37" t="s">
        <v>436</v>
      </c>
      <c r="L61" s="37" t="s">
        <v>436</v>
      </c>
      <c r="M61" s="37">
        <v>23815</v>
      </c>
      <c r="N61" s="38" t="s">
        <v>322</v>
      </c>
      <c r="S61" s="23">
        <f>VLOOKUP(A61,Hoja1!A:D,4,0)</f>
        <v>2</v>
      </c>
      <c r="T61" s="26" t="str">
        <f>VLOOKUP(M61,[1]TIPOLOGIAS!$A:$F,4,0)</f>
        <v>MONTERIA</v>
      </c>
      <c r="U61" s="26" t="str">
        <f>VLOOKUP(T61,'BASE TARIFA 2025'!C:D,2,0)</f>
        <v>WOMPI COSTA</v>
      </c>
      <c r="V61" s="27">
        <f>VLOOKUP(T61,'BASE TARIFA 2025'!C:F,3,0)</f>
        <v>37313</v>
      </c>
      <c r="W61" s="27">
        <f t="shared" si="0"/>
        <v>74626</v>
      </c>
    </row>
    <row r="62" spans="1:23" s="37" customFormat="1" ht="14.4" x14ac:dyDescent="0.3">
      <c r="A62" s="37">
        <v>24836</v>
      </c>
      <c r="B62" s="37" t="s">
        <v>3721</v>
      </c>
      <c r="C62" s="37">
        <v>900576569</v>
      </c>
      <c r="D62" s="37" t="s">
        <v>455</v>
      </c>
      <c r="E62" s="37" t="s">
        <v>455</v>
      </c>
      <c r="F62" s="37" t="s">
        <v>455</v>
      </c>
      <c r="G62" s="37" t="s">
        <v>456</v>
      </c>
      <c r="H62" s="37" t="s">
        <v>457</v>
      </c>
      <c r="I62" s="37" t="s">
        <v>458</v>
      </c>
      <c r="J62" s="37" t="s">
        <v>83</v>
      </c>
      <c r="K62" s="37" t="s">
        <v>436</v>
      </c>
      <c r="L62" s="37" t="s">
        <v>436</v>
      </c>
      <c r="M62" s="37">
        <v>23815</v>
      </c>
      <c r="N62" s="38" t="s">
        <v>322</v>
      </c>
      <c r="S62" s="23">
        <f>VLOOKUP(A62,Hoja1!A:D,4,0)</f>
        <v>1</v>
      </c>
      <c r="T62" s="26" t="str">
        <f>VLOOKUP(M62,[1]TIPOLOGIAS!$A:$F,4,0)</f>
        <v>MONTERIA</v>
      </c>
      <c r="U62" s="26" t="str">
        <f>VLOOKUP(T62,'BASE TARIFA 2025'!C:D,2,0)</f>
        <v>WOMPI COSTA</v>
      </c>
      <c r="V62" s="27">
        <f>VLOOKUP(T62,'BASE TARIFA 2025'!C:F,3,0)</f>
        <v>37313</v>
      </c>
      <c r="W62" s="27">
        <f t="shared" si="0"/>
        <v>37313</v>
      </c>
    </row>
    <row r="63" spans="1:23" s="37" customFormat="1" ht="14.4" x14ac:dyDescent="0.3">
      <c r="A63" s="37">
        <v>78876</v>
      </c>
      <c r="B63" s="37" t="s">
        <v>3722</v>
      </c>
      <c r="C63" s="37">
        <v>1005027949</v>
      </c>
      <c r="E63" s="37" t="s">
        <v>459</v>
      </c>
      <c r="F63" s="37" t="s">
        <v>459</v>
      </c>
      <c r="G63" s="37" t="s">
        <v>460</v>
      </c>
      <c r="H63" s="37" t="s">
        <v>461</v>
      </c>
      <c r="I63" s="37" t="s">
        <v>462</v>
      </c>
      <c r="J63" s="37" t="s">
        <v>68</v>
      </c>
      <c r="K63" s="37" t="s">
        <v>102</v>
      </c>
      <c r="L63" s="37" t="s">
        <v>102</v>
      </c>
      <c r="M63" s="37">
        <v>25099</v>
      </c>
      <c r="N63" s="38" t="s">
        <v>320</v>
      </c>
      <c r="S63" s="23">
        <f>VLOOKUP(A63,Hoja1!A:D,4,0)</f>
        <v>3</v>
      </c>
      <c r="T63" s="26" t="str">
        <f>VLOOKUP(M63,[1]TIPOLOGIAS!$A:$F,4,0)</f>
        <v>BOGOTA</v>
      </c>
      <c r="U63" s="26" t="str">
        <f>VLOOKUP(T63,'BASE TARIFA 2025'!C:D,2,0)</f>
        <v>WOMPI CENTRO</v>
      </c>
      <c r="V63" s="27">
        <f>VLOOKUP(T63,'BASE TARIFA 2025'!C:F,3,0)</f>
        <v>37313</v>
      </c>
      <c r="W63" s="27">
        <f t="shared" si="0"/>
        <v>111939</v>
      </c>
    </row>
    <row r="64" spans="1:23" s="37" customFormat="1" ht="14.4" x14ac:dyDescent="0.3">
      <c r="A64" s="37">
        <v>64062</v>
      </c>
      <c r="B64" s="37" t="s">
        <v>3723</v>
      </c>
      <c r="C64" s="37">
        <v>900975195</v>
      </c>
      <c r="D64" s="37" t="s">
        <v>463</v>
      </c>
      <c r="E64" s="37" t="s">
        <v>463</v>
      </c>
      <c r="G64" s="37" t="s">
        <v>464</v>
      </c>
      <c r="H64" s="37" t="s">
        <v>465</v>
      </c>
      <c r="I64" s="37" t="s">
        <v>466</v>
      </c>
      <c r="J64" s="37" t="s">
        <v>68</v>
      </c>
      <c r="K64" s="37" t="s">
        <v>102</v>
      </c>
      <c r="L64" s="37" t="s">
        <v>102</v>
      </c>
      <c r="M64" s="37">
        <v>25099</v>
      </c>
      <c r="N64" s="38" t="s">
        <v>323</v>
      </c>
      <c r="S64" s="23">
        <f>VLOOKUP(A64,Hoja1!A:D,4,0)</f>
        <v>1</v>
      </c>
      <c r="T64" s="26" t="str">
        <f>VLOOKUP(M64,[1]TIPOLOGIAS!$A:$F,4,0)</f>
        <v>BOGOTA</v>
      </c>
      <c r="U64" s="26" t="str">
        <f>VLOOKUP(T64,'BASE TARIFA 2025'!C:D,2,0)</f>
        <v>WOMPI CENTRO</v>
      </c>
      <c r="V64" s="27">
        <f>VLOOKUP(T64,'BASE TARIFA 2025'!C:F,3,0)</f>
        <v>37313</v>
      </c>
      <c r="W64" s="27">
        <f t="shared" si="0"/>
        <v>37313</v>
      </c>
    </row>
    <row r="65" spans="1:23" s="37" customFormat="1" ht="14.4" x14ac:dyDescent="0.3">
      <c r="A65" s="37">
        <v>61410</v>
      </c>
      <c r="B65" s="37" t="s">
        <v>3724</v>
      </c>
      <c r="C65" s="37">
        <v>1020417826</v>
      </c>
      <c r="D65" s="37" t="s">
        <v>67</v>
      </c>
      <c r="E65" s="37" t="s">
        <v>467</v>
      </c>
      <c r="F65" s="37" t="s">
        <v>467</v>
      </c>
      <c r="G65" s="37" t="s">
        <v>468</v>
      </c>
      <c r="H65" s="37" t="s">
        <v>469</v>
      </c>
      <c r="I65" s="37" t="s">
        <v>470</v>
      </c>
      <c r="J65" s="37" t="s">
        <v>68</v>
      </c>
      <c r="K65" s="37" t="s">
        <v>102</v>
      </c>
      <c r="L65" s="37" t="s">
        <v>102</v>
      </c>
      <c r="M65" s="37">
        <v>25099</v>
      </c>
      <c r="N65" s="38" t="s">
        <v>322</v>
      </c>
      <c r="S65" s="23">
        <f>VLOOKUP(A65,Hoja1!A:D,4,0)</f>
        <v>1</v>
      </c>
      <c r="T65" s="26" t="str">
        <f>VLOOKUP(M65,[1]TIPOLOGIAS!$A:$F,4,0)</f>
        <v>BOGOTA</v>
      </c>
      <c r="U65" s="26" t="str">
        <f>VLOOKUP(T65,'BASE TARIFA 2025'!C:D,2,0)</f>
        <v>WOMPI CENTRO</v>
      </c>
      <c r="V65" s="27">
        <f>VLOOKUP(T65,'BASE TARIFA 2025'!C:F,3,0)</f>
        <v>37313</v>
      </c>
      <c r="W65" s="27">
        <f t="shared" si="0"/>
        <v>37313</v>
      </c>
    </row>
    <row r="66" spans="1:23" s="37" customFormat="1" ht="14.4" x14ac:dyDescent="0.3">
      <c r="A66" s="37">
        <v>61411</v>
      </c>
      <c r="B66" s="37" t="s">
        <v>3725</v>
      </c>
      <c r="C66" s="37">
        <v>1020417826</v>
      </c>
      <c r="D66" s="37" t="s">
        <v>67</v>
      </c>
      <c r="E66" s="37" t="s">
        <v>471</v>
      </c>
      <c r="F66" s="37" t="s">
        <v>471</v>
      </c>
      <c r="G66" s="37" t="s">
        <v>472</v>
      </c>
      <c r="H66" s="37" t="s">
        <v>473</v>
      </c>
      <c r="I66" s="37" t="s">
        <v>474</v>
      </c>
      <c r="J66" s="37" t="s">
        <v>68</v>
      </c>
      <c r="K66" s="37" t="s">
        <v>102</v>
      </c>
      <c r="L66" s="37" t="s">
        <v>102</v>
      </c>
      <c r="M66" s="37">
        <v>25099</v>
      </c>
      <c r="N66" s="38" t="s">
        <v>320</v>
      </c>
      <c r="S66" s="23">
        <f>VLOOKUP(A66,Hoja1!A:D,4,0)</f>
        <v>1</v>
      </c>
      <c r="T66" s="26" t="str">
        <f>VLOOKUP(M66,[1]TIPOLOGIAS!$A:$F,4,0)</f>
        <v>BOGOTA</v>
      </c>
      <c r="U66" s="26" t="str">
        <f>VLOOKUP(T66,'BASE TARIFA 2025'!C:D,2,0)</f>
        <v>WOMPI CENTRO</v>
      </c>
      <c r="V66" s="27">
        <f>VLOOKUP(T66,'BASE TARIFA 2025'!C:F,3,0)</f>
        <v>37313</v>
      </c>
      <c r="W66" s="27">
        <f t="shared" ref="W66:W129" si="1">V66*S66</f>
        <v>37313</v>
      </c>
    </row>
    <row r="67" spans="1:23" s="37" customFormat="1" ht="14.4" x14ac:dyDescent="0.3">
      <c r="A67" s="37">
        <v>77602</v>
      </c>
      <c r="B67" s="37" t="s">
        <v>3726</v>
      </c>
      <c r="C67" s="37">
        <v>1047239870</v>
      </c>
      <c r="D67" s="37" t="s">
        <v>475</v>
      </c>
      <c r="E67" s="37" t="s">
        <v>476</v>
      </c>
      <c r="F67" s="37" t="s">
        <v>476</v>
      </c>
      <c r="G67" s="37" t="s">
        <v>477</v>
      </c>
      <c r="H67" s="37" t="s">
        <v>478</v>
      </c>
      <c r="I67" s="37" t="s">
        <v>479</v>
      </c>
      <c r="J67" s="37" t="s">
        <v>68</v>
      </c>
      <c r="K67" s="37" t="s">
        <v>103</v>
      </c>
      <c r="L67" s="37" t="s">
        <v>103</v>
      </c>
      <c r="M67" s="37">
        <v>25175</v>
      </c>
      <c r="N67" s="38" t="s">
        <v>480</v>
      </c>
      <c r="S67" s="23">
        <f>VLOOKUP(A67,Hoja1!A:D,4,0)</f>
        <v>2</v>
      </c>
      <c r="T67" s="26" t="str">
        <f>VLOOKUP(M67,[1]TIPOLOGIAS!$A:$F,4,0)</f>
        <v>BOGOTA</v>
      </c>
      <c r="U67" s="26" t="str">
        <f>VLOOKUP(T67,'BASE TARIFA 2025'!C:D,2,0)</f>
        <v>WOMPI CENTRO</v>
      </c>
      <c r="V67" s="27">
        <f>VLOOKUP(T67,'BASE TARIFA 2025'!C:F,3,0)</f>
        <v>37313</v>
      </c>
      <c r="W67" s="27">
        <f t="shared" si="1"/>
        <v>74626</v>
      </c>
    </row>
    <row r="68" spans="1:23" s="37" customFormat="1" ht="14.4" x14ac:dyDescent="0.3">
      <c r="A68" s="37">
        <v>47377</v>
      </c>
      <c r="B68" s="37" t="s">
        <v>3727</v>
      </c>
      <c r="C68" s="37">
        <v>901162599</v>
      </c>
      <c r="D68" s="37" t="s">
        <v>481</v>
      </c>
      <c r="E68" s="37" t="s">
        <v>481</v>
      </c>
      <c r="F68" s="37" t="s">
        <v>481</v>
      </c>
      <c r="G68" s="37" t="s">
        <v>482</v>
      </c>
      <c r="H68" s="37" t="s">
        <v>483</v>
      </c>
      <c r="I68" s="37" t="s">
        <v>484</v>
      </c>
      <c r="J68" s="37" t="s">
        <v>68</v>
      </c>
      <c r="K68" s="37" t="s">
        <v>103</v>
      </c>
      <c r="L68" s="37" t="s">
        <v>103</v>
      </c>
      <c r="M68" s="37">
        <v>25175</v>
      </c>
      <c r="N68" s="38" t="s">
        <v>485</v>
      </c>
      <c r="S68" s="23">
        <f>VLOOKUP(A68,Hoja1!A:D,4,0)</f>
        <v>1</v>
      </c>
      <c r="T68" s="26" t="str">
        <f>VLOOKUP(M68,[1]TIPOLOGIAS!$A:$F,4,0)</f>
        <v>BOGOTA</v>
      </c>
      <c r="U68" s="26" t="str">
        <f>VLOOKUP(T68,'BASE TARIFA 2025'!C:D,2,0)</f>
        <v>WOMPI CENTRO</v>
      </c>
      <c r="V68" s="27">
        <f>VLOOKUP(T68,'BASE TARIFA 2025'!C:F,3,0)</f>
        <v>37313</v>
      </c>
      <c r="W68" s="27">
        <f t="shared" si="1"/>
        <v>37313</v>
      </c>
    </row>
    <row r="69" spans="1:23" s="37" customFormat="1" ht="14.4" x14ac:dyDescent="0.3">
      <c r="A69" s="37">
        <v>77546</v>
      </c>
      <c r="B69" s="37" t="s">
        <v>3728</v>
      </c>
      <c r="C69" s="37">
        <v>60360897</v>
      </c>
      <c r="D69" s="37" t="s">
        <v>486</v>
      </c>
      <c r="E69" s="37" t="s">
        <v>486</v>
      </c>
      <c r="G69" s="37" t="s">
        <v>487</v>
      </c>
      <c r="H69" s="37" t="s">
        <v>488</v>
      </c>
      <c r="I69" s="37" t="s">
        <v>489</v>
      </c>
      <c r="J69" s="37" t="s">
        <v>68</v>
      </c>
      <c r="K69" s="37" t="s">
        <v>103</v>
      </c>
      <c r="L69" s="37" t="s">
        <v>103</v>
      </c>
      <c r="M69" s="37">
        <v>25175</v>
      </c>
      <c r="N69" s="38" t="s">
        <v>485</v>
      </c>
      <c r="S69" s="23">
        <f>VLOOKUP(A69,Hoja1!A:D,4,0)</f>
        <v>2</v>
      </c>
      <c r="T69" s="26" t="str">
        <f>VLOOKUP(M69,[1]TIPOLOGIAS!$A:$F,4,0)</f>
        <v>BOGOTA</v>
      </c>
      <c r="U69" s="26" t="str">
        <f>VLOOKUP(T69,'BASE TARIFA 2025'!C:D,2,0)</f>
        <v>WOMPI CENTRO</v>
      </c>
      <c r="V69" s="27">
        <f>VLOOKUP(T69,'BASE TARIFA 2025'!C:F,3,0)</f>
        <v>37313</v>
      </c>
      <c r="W69" s="27">
        <f t="shared" si="1"/>
        <v>74626</v>
      </c>
    </row>
    <row r="70" spans="1:23" s="37" customFormat="1" ht="14.4" x14ac:dyDescent="0.3">
      <c r="A70" s="37">
        <v>72493</v>
      </c>
      <c r="B70" s="37" t="s">
        <v>3729</v>
      </c>
      <c r="C70" s="37">
        <v>13496724</v>
      </c>
      <c r="D70" s="37" t="s">
        <v>490</v>
      </c>
      <c r="E70" s="37" t="s">
        <v>490</v>
      </c>
      <c r="F70" s="37" t="s">
        <v>490</v>
      </c>
      <c r="G70" s="37" t="s">
        <v>491</v>
      </c>
      <c r="H70" s="37" t="s">
        <v>492</v>
      </c>
      <c r="I70" s="37" t="s">
        <v>493</v>
      </c>
      <c r="J70" s="37" t="s">
        <v>68</v>
      </c>
      <c r="K70" s="37" t="s">
        <v>103</v>
      </c>
      <c r="L70" s="37" t="s">
        <v>103</v>
      </c>
      <c r="M70" s="37">
        <v>25175</v>
      </c>
      <c r="N70" s="38" t="s">
        <v>485</v>
      </c>
      <c r="S70" s="23">
        <f>VLOOKUP(A70,Hoja1!A:D,4,0)</f>
        <v>2</v>
      </c>
      <c r="T70" s="26" t="str">
        <f>VLOOKUP(M70,[1]TIPOLOGIAS!$A:$F,4,0)</f>
        <v>BOGOTA</v>
      </c>
      <c r="U70" s="26" t="str">
        <f>VLOOKUP(T70,'BASE TARIFA 2025'!C:D,2,0)</f>
        <v>WOMPI CENTRO</v>
      </c>
      <c r="V70" s="27">
        <f>VLOOKUP(T70,'BASE TARIFA 2025'!C:F,3,0)</f>
        <v>37313</v>
      </c>
      <c r="W70" s="27">
        <f t="shared" si="1"/>
        <v>74626</v>
      </c>
    </row>
    <row r="71" spans="1:23" s="37" customFormat="1" ht="14.4" x14ac:dyDescent="0.3">
      <c r="A71" s="37">
        <v>74339</v>
      </c>
      <c r="B71" s="37" t="s">
        <v>3730</v>
      </c>
      <c r="C71" s="37">
        <v>1093292148</v>
      </c>
      <c r="D71" s="37" t="s">
        <v>494</v>
      </c>
      <c r="E71" s="37" t="s">
        <v>494</v>
      </c>
      <c r="F71" s="37" t="s">
        <v>494</v>
      </c>
      <c r="G71" s="37" t="s">
        <v>495</v>
      </c>
      <c r="H71" s="37" t="s">
        <v>496</v>
      </c>
      <c r="I71" s="37" t="s">
        <v>497</v>
      </c>
      <c r="J71" s="37" t="s">
        <v>68</v>
      </c>
      <c r="K71" s="37" t="s">
        <v>103</v>
      </c>
      <c r="L71" s="37" t="s">
        <v>103</v>
      </c>
      <c r="M71" s="37">
        <v>25175</v>
      </c>
      <c r="N71" s="38" t="s">
        <v>322</v>
      </c>
      <c r="S71" s="23">
        <f>VLOOKUP(A71,Hoja1!A:D,4,0)</f>
        <v>2</v>
      </c>
      <c r="T71" s="26" t="str">
        <f>VLOOKUP(M71,[1]TIPOLOGIAS!$A:$F,4,0)</f>
        <v>BOGOTA</v>
      </c>
      <c r="U71" s="26" t="str">
        <f>VLOOKUP(T71,'BASE TARIFA 2025'!C:D,2,0)</f>
        <v>WOMPI CENTRO</v>
      </c>
      <c r="V71" s="27">
        <f>VLOOKUP(T71,'BASE TARIFA 2025'!C:F,3,0)</f>
        <v>37313</v>
      </c>
      <c r="W71" s="27">
        <f t="shared" si="1"/>
        <v>74626</v>
      </c>
    </row>
    <row r="72" spans="1:23" s="37" customFormat="1" ht="14.4" x14ac:dyDescent="0.3">
      <c r="A72" s="37">
        <v>50115</v>
      </c>
      <c r="B72" s="37" t="s">
        <v>3731</v>
      </c>
      <c r="C72" s="37">
        <v>23135708</v>
      </c>
      <c r="D72" s="37" t="s">
        <v>498</v>
      </c>
      <c r="E72" s="37" t="s">
        <v>499</v>
      </c>
      <c r="F72" s="37" t="s">
        <v>499</v>
      </c>
      <c r="G72" s="37" t="s">
        <v>500</v>
      </c>
      <c r="H72" s="37" t="s">
        <v>501</v>
      </c>
      <c r="I72" s="37" t="s">
        <v>502</v>
      </c>
      <c r="J72" s="37" t="s">
        <v>142</v>
      </c>
      <c r="K72" s="37" t="s">
        <v>143</v>
      </c>
      <c r="L72" s="37" t="s">
        <v>143</v>
      </c>
      <c r="M72" s="37">
        <v>18753</v>
      </c>
      <c r="N72" s="38" t="s">
        <v>503</v>
      </c>
      <c r="S72" s="23">
        <f>VLOOKUP(A72,Hoja1!A:D,4,0)</f>
        <v>2</v>
      </c>
      <c r="T72" s="26" t="str">
        <f>VLOOKUP(M72,[1]TIPOLOGIAS!$A:$F,4,0)</f>
        <v>NEIVA</v>
      </c>
      <c r="U72" s="26" t="str">
        <f>VLOOKUP(T72,'BASE TARIFA 2025'!C:D,2,0)</f>
        <v>WOMPI ORIENTE</v>
      </c>
      <c r="V72" s="27">
        <f>VLOOKUP(T72,'BASE TARIFA 2025'!C:F,3,0)</f>
        <v>49671.7</v>
      </c>
      <c r="W72" s="27">
        <f t="shared" si="1"/>
        <v>99343.4</v>
      </c>
    </row>
    <row r="73" spans="1:23" s="37" customFormat="1" ht="14.4" x14ac:dyDescent="0.3">
      <c r="A73" s="37">
        <v>49655</v>
      </c>
      <c r="B73" s="37" t="s">
        <v>3732</v>
      </c>
      <c r="C73" s="37">
        <v>1007800738</v>
      </c>
      <c r="D73" s="37" t="s">
        <v>504</v>
      </c>
      <c r="E73" s="37" t="s">
        <v>505</v>
      </c>
      <c r="F73" s="37" t="s">
        <v>505</v>
      </c>
      <c r="G73" s="37" t="s">
        <v>506</v>
      </c>
      <c r="H73" s="37" t="s">
        <v>507</v>
      </c>
      <c r="I73" s="37" t="s">
        <v>508</v>
      </c>
      <c r="J73" s="37" t="s">
        <v>142</v>
      </c>
      <c r="K73" s="37" t="s">
        <v>143</v>
      </c>
      <c r="L73" s="37" t="s">
        <v>143</v>
      </c>
      <c r="M73" s="37">
        <v>18753</v>
      </c>
      <c r="N73" s="38" t="s">
        <v>327</v>
      </c>
      <c r="S73" s="23">
        <f>VLOOKUP(A73,Hoja1!A:D,4,0)</f>
        <v>1</v>
      </c>
      <c r="T73" s="26" t="str">
        <f>VLOOKUP(M73,[1]TIPOLOGIAS!$A:$F,4,0)</f>
        <v>NEIVA</v>
      </c>
      <c r="U73" s="26" t="str">
        <f>VLOOKUP(T73,'BASE TARIFA 2025'!C:D,2,0)</f>
        <v>WOMPI ORIENTE</v>
      </c>
      <c r="V73" s="27">
        <f>VLOOKUP(T73,'BASE TARIFA 2025'!C:F,3,0)</f>
        <v>49671.7</v>
      </c>
      <c r="W73" s="27">
        <f t="shared" si="1"/>
        <v>49671.7</v>
      </c>
    </row>
    <row r="74" spans="1:23" s="37" customFormat="1" ht="14.4" x14ac:dyDescent="0.3">
      <c r="A74" s="37">
        <v>48268</v>
      </c>
      <c r="B74" s="37" t="s">
        <v>3733</v>
      </c>
      <c r="C74" s="37">
        <v>33310555</v>
      </c>
      <c r="E74" s="37" t="s">
        <v>509</v>
      </c>
      <c r="F74" s="37" t="s">
        <v>509</v>
      </c>
      <c r="G74" s="37" t="s">
        <v>510</v>
      </c>
      <c r="H74" s="37" t="s">
        <v>511</v>
      </c>
      <c r="I74" s="37" t="s">
        <v>512</v>
      </c>
      <c r="J74" s="37" t="s">
        <v>142</v>
      </c>
      <c r="K74" s="37" t="s">
        <v>143</v>
      </c>
      <c r="L74" s="37" t="s">
        <v>143</v>
      </c>
      <c r="M74" s="37">
        <v>18753</v>
      </c>
      <c r="N74" s="38" t="s">
        <v>513</v>
      </c>
      <c r="S74" s="23">
        <f>VLOOKUP(A74,Hoja1!A:D,4,0)</f>
        <v>4</v>
      </c>
      <c r="T74" s="26" t="str">
        <f>VLOOKUP(M74,[1]TIPOLOGIAS!$A:$F,4,0)</f>
        <v>NEIVA</v>
      </c>
      <c r="U74" s="26" t="str">
        <f>VLOOKUP(T74,'BASE TARIFA 2025'!C:D,2,0)</f>
        <v>WOMPI ORIENTE</v>
      </c>
      <c r="V74" s="27">
        <f>VLOOKUP(T74,'BASE TARIFA 2025'!C:F,3,0)</f>
        <v>49671.7</v>
      </c>
      <c r="W74" s="27">
        <f t="shared" si="1"/>
        <v>198686.8</v>
      </c>
    </row>
    <row r="75" spans="1:23" s="37" customFormat="1" ht="14.4" x14ac:dyDescent="0.3">
      <c r="A75" s="37">
        <v>38270</v>
      </c>
      <c r="B75" s="37" t="s">
        <v>3734</v>
      </c>
      <c r="C75" s="37">
        <v>9098817</v>
      </c>
      <c r="D75" s="37" t="s">
        <v>514</v>
      </c>
      <c r="E75" s="37" t="s">
        <v>514</v>
      </c>
      <c r="F75" s="37" t="s">
        <v>515</v>
      </c>
      <c r="G75" s="37" t="s">
        <v>516</v>
      </c>
      <c r="H75" s="37" t="s">
        <v>517</v>
      </c>
      <c r="I75" s="37" t="s">
        <v>518</v>
      </c>
      <c r="J75" s="37" t="s">
        <v>142</v>
      </c>
      <c r="K75" s="37" t="s">
        <v>143</v>
      </c>
      <c r="L75" s="37" t="s">
        <v>143</v>
      </c>
      <c r="M75" s="37">
        <v>18753</v>
      </c>
      <c r="N75" s="38" t="s">
        <v>327</v>
      </c>
      <c r="S75" s="23">
        <f>VLOOKUP(A75,Hoja1!A:D,4,0)</f>
        <v>2</v>
      </c>
      <c r="T75" s="26" t="str">
        <f>VLOOKUP(M75,[1]TIPOLOGIAS!$A:$F,4,0)</f>
        <v>NEIVA</v>
      </c>
      <c r="U75" s="26" t="str">
        <f>VLOOKUP(T75,'BASE TARIFA 2025'!C:D,2,0)</f>
        <v>WOMPI ORIENTE</v>
      </c>
      <c r="V75" s="27">
        <f>VLOOKUP(T75,'BASE TARIFA 2025'!C:F,3,0)</f>
        <v>49671.7</v>
      </c>
      <c r="W75" s="27">
        <f t="shared" si="1"/>
        <v>99343.4</v>
      </c>
    </row>
    <row r="76" spans="1:23" s="37" customFormat="1" ht="14.4" x14ac:dyDescent="0.3">
      <c r="A76" s="37">
        <v>65758</v>
      </c>
      <c r="B76" s="37" t="s">
        <v>3735</v>
      </c>
      <c r="C76" s="37">
        <v>1005037042</v>
      </c>
      <c r="D76" s="37" t="s">
        <v>519</v>
      </c>
      <c r="E76" s="37" t="s">
        <v>520</v>
      </c>
      <c r="F76" s="37" t="s">
        <v>520</v>
      </c>
      <c r="G76" s="37" t="s">
        <v>521</v>
      </c>
      <c r="H76" s="37" t="s">
        <v>522</v>
      </c>
      <c r="I76" s="37" t="s">
        <v>523</v>
      </c>
      <c r="J76" s="37" t="s">
        <v>142</v>
      </c>
      <c r="K76" s="37" t="s">
        <v>143</v>
      </c>
      <c r="L76" s="37" t="s">
        <v>143</v>
      </c>
      <c r="M76" s="37">
        <v>18753</v>
      </c>
      <c r="N76" s="38" t="s">
        <v>322</v>
      </c>
      <c r="S76" s="23">
        <f>VLOOKUP(A76,Hoja1!A:D,4,0)</f>
        <v>2</v>
      </c>
      <c r="T76" s="26" t="str">
        <f>VLOOKUP(M76,[1]TIPOLOGIAS!$A:$F,4,0)</f>
        <v>NEIVA</v>
      </c>
      <c r="U76" s="26" t="str">
        <f>VLOOKUP(T76,'BASE TARIFA 2025'!C:D,2,0)</f>
        <v>WOMPI ORIENTE</v>
      </c>
      <c r="V76" s="27">
        <f>VLOOKUP(T76,'BASE TARIFA 2025'!C:F,3,0)</f>
        <v>49671.7</v>
      </c>
      <c r="W76" s="27">
        <f t="shared" si="1"/>
        <v>99343.4</v>
      </c>
    </row>
    <row r="77" spans="1:23" s="37" customFormat="1" ht="14.4" x14ac:dyDescent="0.3">
      <c r="A77" s="37">
        <v>67138</v>
      </c>
      <c r="B77" s="37" t="s">
        <v>3736</v>
      </c>
      <c r="C77" s="37">
        <v>88250291</v>
      </c>
      <c r="D77" s="37" t="s">
        <v>524</v>
      </c>
      <c r="E77" s="37" t="s">
        <v>524</v>
      </c>
      <c r="G77" s="37" t="s">
        <v>525</v>
      </c>
      <c r="H77" s="37" t="s">
        <v>526</v>
      </c>
      <c r="I77" s="37" t="s">
        <v>527</v>
      </c>
      <c r="J77" s="37" t="s">
        <v>142</v>
      </c>
      <c r="K77" s="37" t="s">
        <v>143</v>
      </c>
      <c r="L77" s="37" t="s">
        <v>143</v>
      </c>
      <c r="M77" s="37">
        <v>18753</v>
      </c>
      <c r="N77" s="38" t="s">
        <v>327</v>
      </c>
      <c r="S77" s="23">
        <f>VLOOKUP(A77,Hoja1!A:D,4,0)</f>
        <v>1</v>
      </c>
      <c r="T77" s="26" t="str">
        <f>VLOOKUP(M77,[1]TIPOLOGIAS!$A:$F,4,0)</f>
        <v>NEIVA</v>
      </c>
      <c r="U77" s="26" t="str">
        <f>VLOOKUP(T77,'BASE TARIFA 2025'!C:D,2,0)</f>
        <v>WOMPI ORIENTE</v>
      </c>
      <c r="V77" s="27">
        <f>VLOOKUP(T77,'BASE TARIFA 2025'!C:F,3,0)</f>
        <v>49671.7</v>
      </c>
      <c r="W77" s="27">
        <f t="shared" si="1"/>
        <v>49671.7</v>
      </c>
    </row>
    <row r="78" spans="1:23" s="37" customFormat="1" ht="14.4" x14ac:dyDescent="0.3">
      <c r="A78" s="37">
        <v>51436</v>
      </c>
      <c r="B78" s="37" t="s">
        <v>3737</v>
      </c>
      <c r="C78" s="37">
        <v>901220535</v>
      </c>
      <c r="D78" s="37" t="s">
        <v>528</v>
      </c>
      <c r="E78" s="37" t="s">
        <v>528</v>
      </c>
      <c r="G78" s="37" t="s">
        <v>529</v>
      </c>
      <c r="H78" s="37" t="s">
        <v>530</v>
      </c>
      <c r="I78" s="37" t="s">
        <v>531</v>
      </c>
      <c r="J78" s="37" t="s">
        <v>142</v>
      </c>
      <c r="K78" s="37" t="s">
        <v>143</v>
      </c>
      <c r="L78" s="37" t="s">
        <v>143</v>
      </c>
      <c r="M78" s="37">
        <v>18753</v>
      </c>
      <c r="N78" s="38" t="s">
        <v>322</v>
      </c>
      <c r="S78" s="23">
        <f>VLOOKUP(A78,Hoja1!A:D,4,0)</f>
        <v>1</v>
      </c>
      <c r="T78" s="26" t="str">
        <f>VLOOKUP(M78,[1]TIPOLOGIAS!$A:$F,4,0)</f>
        <v>NEIVA</v>
      </c>
      <c r="U78" s="26" t="str">
        <f>VLOOKUP(T78,'BASE TARIFA 2025'!C:D,2,0)</f>
        <v>WOMPI ORIENTE</v>
      </c>
      <c r="V78" s="27">
        <f>VLOOKUP(T78,'BASE TARIFA 2025'!C:F,3,0)</f>
        <v>49671.7</v>
      </c>
      <c r="W78" s="27">
        <f t="shared" si="1"/>
        <v>49671.7</v>
      </c>
    </row>
    <row r="79" spans="1:23" s="37" customFormat="1" ht="14.4" x14ac:dyDescent="0.3">
      <c r="A79" s="37">
        <v>45904</v>
      </c>
      <c r="B79" s="37" t="s">
        <v>3738</v>
      </c>
      <c r="C79" s="37">
        <v>1986321</v>
      </c>
      <c r="D79" s="37" t="s">
        <v>532</v>
      </c>
      <c r="E79" s="37" t="s">
        <v>533</v>
      </c>
      <c r="F79" s="37" t="s">
        <v>533</v>
      </c>
      <c r="G79" s="37" t="s">
        <v>534</v>
      </c>
      <c r="H79" s="37" t="s">
        <v>535</v>
      </c>
      <c r="I79" s="37" t="s">
        <v>536</v>
      </c>
      <c r="J79" s="37" t="s">
        <v>142</v>
      </c>
      <c r="K79" s="37" t="s">
        <v>143</v>
      </c>
      <c r="L79" s="37" t="s">
        <v>143</v>
      </c>
      <c r="M79" s="37">
        <v>18753</v>
      </c>
      <c r="N79" s="38" t="s">
        <v>327</v>
      </c>
      <c r="S79" s="23">
        <f>VLOOKUP(A79,Hoja1!A:D,4,0)</f>
        <v>2</v>
      </c>
      <c r="T79" s="26" t="str">
        <f>VLOOKUP(M79,[1]TIPOLOGIAS!$A:$F,4,0)</f>
        <v>NEIVA</v>
      </c>
      <c r="U79" s="26" t="str">
        <f>VLOOKUP(T79,'BASE TARIFA 2025'!C:D,2,0)</f>
        <v>WOMPI ORIENTE</v>
      </c>
      <c r="V79" s="27">
        <f>VLOOKUP(T79,'BASE TARIFA 2025'!C:F,3,0)</f>
        <v>49671.7</v>
      </c>
      <c r="W79" s="27">
        <f t="shared" si="1"/>
        <v>99343.4</v>
      </c>
    </row>
    <row r="80" spans="1:23" s="37" customFormat="1" ht="14.4" x14ac:dyDescent="0.3">
      <c r="A80" s="37">
        <v>46025</v>
      </c>
      <c r="B80" s="37" t="s">
        <v>3739</v>
      </c>
      <c r="C80" s="37">
        <v>1093739795</v>
      </c>
      <c r="D80" s="37" t="s">
        <v>537</v>
      </c>
      <c r="E80" s="37" t="s">
        <v>537</v>
      </c>
      <c r="F80" s="37" t="s">
        <v>537</v>
      </c>
      <c r="G80" s="37" t="s">
        <v>538</v>
      </c>
      <c r="H80" s="37" t="s">
        <v>539</v>
      </c>
      <c r="I80" s="37" t="s">
        <v>540</v>
      </c>
      <c r="J80" s="37" t="s">
        <v>142</v>
      </c>
      <c r="K80" s="37" t="s">
        <v>143</v>
      </c>
      <c r="L80" s="37" t="s">
        <v>143</v>
      </c>
      <c r="M80" s="37">
        <v>18753</v>
      </c>
      <c r="N80" s="38" t="s">
        <v>321</v>
      </c>
      <c r="S80" s="23">
        <f>VLOOKUP(A80,Hoja1!A:D,4,0)</f>
        <v>2</v>
      </c>
      <c r="T80" s="26" t="str">
        <f>VLOOKUP(M80,[1]TIPOLOGIAS!$A:$F,4,0)</f>
        <v>NEIVA</v>
      </c>
      <c r="U80" s="26" t="str">
        <f>VLOOKUP(T80,'BASE TARIFA 2025'!C:D,2,0)</f>
        <v>WOMPI ORIENTE</v>
      </c>
      <c r="V80" s="27">
        <f>VLOOKUP(T80,'BASE TARIFA 2025'!C:F,3,0)</f>
        <v>49671.7</v>
      </c>
      <c r="W80" s="27">
        <f t="shared" si="1"/>
        <v>99343.4</v>
      </c>
    </row>
    <row r="81" spans="1:23" s="37" customFormat="1" ht="14.4" x14ac:dyDescent="0.3">
      <c r="A81" s="37">
        <v>34796</v>
      </c>
      <c r="B81" s="37" t="s">
        <v>3740</v>
      </c>
      <c r="C81" s="37">
        <v>33140885</v>
      </c>
      <c r="D81" s="37" t="s">
        <v>541</v>
      </c>
      <c r="E81" s="37" t="s">
        <v>541</v>
      </c>
      <c r="F81" s="37" t="s">
        <v>541</v>
      </c>
      <c r="G81" s="37" t="s">
        <v>542</v>
      </c>
      <c r="H81" s="37" t="s">
        <v>543</v>
      </c>
      <c r="I81" s="37" t="s">
        <v>544</v>
      </c>
      <c r="J81" s="37" t="s">
        <v>142</v>
      </c>
      <c r="K81" s="37" t="s">
        <v>143</v>
      </c>
      <c r="L81" s="37" t="s">
        <v>143</v>
      </c>
      <c r="M81" s="37">
        <v>18753</v>
      </c>
      <c r="N81" s="38" t="s">
        <v>321</v>
      </c>
      <c r="S81" s="23">
        <f>VLOOKUP(A81,Hoja1!A:D,4,0)</f>
        <v>5</v>
      </c>
      <c r="T81" s="26" t="str">
        <f>VLOOKUP(M81,[1]TIPOLOGIAS!$A:$F,4,0)</f>
        <v>NEIVA</v>
      </c>
      <c r="U81" s="26" t="str">
        <f>VLOOKUP(T81,'BASE TARIFA 2025'!C:D,2,0)</f>
        <v>WOMPI ORIENTE</v>
      </c>
      <c r="V81" s="27">
        <f>VLOOKUP(T81,'BASE TARIFA 2025'!C:F,3,0)</f>
        <v>49671.7</v>
      </c>
      <c r="W81" s="27">
        <f t="shared" si="1"/>
        <v>248358.5</v>
      </c>
    </row>
    <row r="82" spans="1:23" s="37" customFormat="1" ht="14.4" x14ac:dyDescent="0.3">
      <c r="A82" s="37">
        <v>36067</v>
      </c>
      <c r="B82" s="37" t="s">
        <v>3741</v>
      </c>
      <c r="C82" s="37">
        <v>1047395572</v>
      </c>
      <c r="D82" s="37" t="s">
        <v>545</v>
      </c>
      <c r="E82" s="37" t="s">
        <v>545</v>
      </c>
      <c r="F82" s="37" t="s">
        <v>545</v>
      </c>
      <c r="G82" s="37" t="s">
        <v>546</v>
      </c>
      <c r="H82" s="37" t="s">
        <v>547</v>
      </c>
      <c r="I82" s="37" t="s">
        <v>548</v>
      </c>
      <c r="J82" s="37" t="s">
        <v>142</v>
      </c>
      <c r="K82" s="37" t="s">
        <v>143</v>
      </c>
      <c r="L82" s="37" t="s">
        <v>143</v>
      </c>
      <c r="M82" s="37">
        <v>18753</v>
      </c>
      <c r="N82" s="38" t="s">
        <v>322</v>
      </c>
      <c r="S82" s="23">
        <f>VLOOKUP(A82,Hoja1!A:D,4,0)</f>
        <v>2</v>
      </c>
      <c r="T82" s="26" t="str">
        <f>VLOOKUP(M82,[1]TIPOLOGIAS!$A:$F,4,0)</f>
        <v>NEIVA</v>
      </c>
      <c r="U82" s="26" t="str">
        <f>VLOOKUP(T82,'BASE TARIFA 2025'!C:D,2,0)</f>
        <v>WOMPI ORIENTE</v>
      </c>
      <c r="V82" s="27">
        <f>VLOOKUP(T82,'BASE TARIFA 2025'!C:F,3,0)</f>
        <v>49671.7</v>
      </c>
      <c r="W82" s="27">
        <f t="shared" si="1"/>
        <v>99343.4</v>
      </c>
    </row>
    <row r="83" spans="1:23" s="37" customFormat="1" ht="14.4" x14ac:dyDescent="0.3">
      <c r="A83" s="37">
        <v>28974</v>
      </c>
      <c r="B83" s="37" t="s">
        <v>3742</v>
      </c>
      <c r="C83" s="37">
        <v>900975195</v>
      </c>
      <c r="D83" s="37" t="s">
        <v>549</v>
      </c>
      <c r="E83" s="37" t="s">
        <v>549</v>
      </c>
      <c r="G83" s="37" t="s">
        <v>550</v>
      </c>
      <c r="H83" s="37" t="s">
        <v>551</v>
      </c>
      <c r="I83" s="37" t="s">
        <v>552</v>
      </c>
      <c r="J83" s="37" t="s">
        <v>142</v>
      </c>
      <c r="K83" s="37" t="s">
        <v>143</v>
      </c>
      <c r="L83" s="37" t="s">
        <v>143</v>
      </c>
      <c r="M83" s="37">
        <v>18753</v>
      </c>
      <c r="N83" s="38" t="s">
        <v>327</v>
      </c>
      <c r="S83" s="23">
        <f>VLOOKUP(A83,Hoja1!A:D,4,0)</f>
        <v>4</v>
      </c>
      <c r="T83" s="26" t="str">
        <f>VLOOKUP(M83,[1]TIPOLOGIAS!$A:$F,4,0)</f>
        <v>NEIVA</v>
      </c>
      <c r="U83" s="26" t="str">
        <f>VLOOKUP(T83,'BASE TARIFA 2025'!C:D,2,0)</f>
        <v>WOMPI ORIENTE</v>
      </c>
      <c r="V83" s="27">
        <f>VLOOKUP(T83,'BASE TARIFA 2025'!C:F,3,0)</f>
        <v>49671.7</v>
      </c>
      <c r="W83" s="27">
        <f t="shared" si="1"/>
        <v>198686.8</v>
      </c>
    </row>
    <row r="84" spans="1:23" s="37" customFormat="1" ht="14.4" x14ac:dyDescent="0.3">
      <c r="A84" s="37">
        <v>31029</v>
      </c>
      <c r="B84" s="37" t="s">
        <v>3743</v>
      </c>
      <c r="C84" s="37">
        <v>45543065</v>
      </c>
      <c r="D84" s="37" t="s">
        <v>553</v>
      </c>
      <c r="E84" s="37" t="s">
        <v>553</v>
      </c>
      <c r="F84" s="37" t="s">
        <v>553</v>
      </c>
      <c r="G84" s="37" t="s">
        <v>554</v>
      </c>
      <c r="H84" s="37" t="s">
        <v>555</v>
      </c>
      <c r="I84" s="37" t="s">
        <v>556</v>
      </c>
      <c r="J84" s="37" t="s">
        <v>142</v>
      </c>
      <c r="K84" s="37" t="s">
        <v>143</v>
      </c>
      <c r="L84" s="37" t="s">
        <v>143</v>
      </c>
      <c r="M84" s="37">
        <v>18753</v>
      </c>
      <c r="N84" s="38" t="s">
        <v>329</v>
      </c>
      <c r="S84" s="23">
        <f>VLOOKUP(A84,Hoja1!A:D,4,0)</f>
        <v>2</v>
      </c>
      <c r="T84" s="26" t="str">
        <f>VLOOKUP(M84,[1]TIPOLOGIAS!$A:$F,4,0)</f>
        <v>NEIVA</v>
      </c>
      <c r="U84" s="26" t="str">
        <f>VLOOKUP(T84,'BASE TARIFA 2025'!C:D,2,0)</f>
        <v>WOMPI ORIENTE</v>
      </c>
      <c r="V84" s="27">
        <f>VLOOKUP(T84,'BASE TARIFA 2025'!C:F,3,0)</f>
        <v>49671.7</v>
      </c>
      <c r="W84" s="27">
        <f t="shared" si="1"/>
        <v>99343.4</v>
      </c>
    </row>
    <row r="85" spans="1:23" s="37" customFormat="1" ht="14.4" x14ac:dyDescent="0.3">
      <c r="A85" s="37">
        <v>30332</v>
      </c>
      <c r="B85" s="37" t="s">
        <v>3744</v>
      </c>
      <c r="C85" s="37">
        <v>900733016</v>
      </c>
      <c r="D85" s="37" t="s">
        <v>67</v>
      </c>
      <c r="E85" s="37" t="s">
        <v>557</v>
      </c>
      <c r="F85" s="37" t="s">
        <v>557</v>
      </c>
      <c r="G85" s="37" t="s">
        <v>558</v>
      </c>
      <c r="H85" s="37" t="s">
        <v>559</v>
      </c>
      <c r="I85" s="37" t="s">
        <v>560</v>
      </c>
      <c r="J85" s="37" t="s">
        <v>142</v>
      </c>
      <c r="K85" s="37" t="s">
        <v>143</v>
      </c>
      <c r="L85" s="37" t="s">
        <v>143</v>
      </c>
      <c r="M85" s="37">
        <v>18753</v>
      </c>
      <c r="N85" s="38" t="s">
        <v>325</v>
      </c>
      <c r="S85" s="23">
        <f>VLOOKUP(A85,Hoja1!A:D,4,0)</f>
        <v>2</v>
      </c>
      <c r="T85" s="26" t="str">
        <f>VLOOKUP(M85,[1]TIPOLOGIAS!$A:$F,4,0)</f>
        <v>NEIVA</v>
      </c>
      <c r="U85" s="26" t="str">
        <f>VLOOKUP(T85,'BASE TARIFA 2025'!C:D,2,0)</f>
        <v>WOMPI ORIENTE</v>
      </c>
      <c r="V85" s="27">
        <f>VLOOKUP(T85,'BASE TARIFA 2025'!C:F,3,0)</f>
        <v>49671.7</v>
      </c>
      <c r="W85" s="27">
        <f t="shared" si="1"/>
        <v>99343.4</v>
      </c>
    </row>
    <row r="86" spans="1:23" s="37" customFormat="1" ht="14.4" x14ac:dyDescent="0.3">
      <c r="A86" s="37">
        <v>21456</v>
      </c>
      <c r="B86" s="37" t="s">
        <v>3745</v>
      </c>
      <c r="C86" s="37">
        <v>64894059</v>
      </c>
      <c r="D86" s="37" t="s">
        <v>561</v>
      </c>
      <c r="E86" s="37" t="s">
        <v>561</v>
      </c>
      <c r="F86" s="37" t="s">
        <v>561</v>
      </c>
      <c r="G86" s="37" t="s">
        <v>562</v>
      </c>
      <c r="H86" s="37" t="s">
        <v>563</v>
      </c>
      <c r="I86" s="37" t="s">
        <v>564</v>
      </c>
      <c r="J86" s="37" t="s">
        <v>142</v>
      </c>
      <c r="K86" s="37" t="s">
        <v>143</v>
      </c>
      <c r="L86" s="37" t="s">
        <v>143</v>
      </c>
      <c r="M86" s="37">
        <v>18753</v>
      </c>
      <c r="N86" s="38" t="s">
        <v>329</v>
      </c>
      <c r="S86" s="23">
        <f>VLOOKUP(A86,Hoja1!A:D,4,0)</f>
        <v>2</v>
      </c>
      <c r="T86" s="26" t="str">
        <f>VLOOKUP(M86,[1]TIPOLOGIAS!$A:$F,4,0)</f>
        <v>NEIVA</v>
      </c>
      <c r="U86" s="26" t="str">
        <f>VLOOKUP(T86,'BASE TARIFA 2025'!C:D,2,0)</f>
        <v>WOMPI ORIENTE</v>
      </c>
      <c r="V86" s="27">
        <f>VLOOKUP(T86,'BASE TARIFA 2025'!C:F,3,0)</f>
        <v>49671.7</v>
      </c>
      <c r="W86" s="27">
        <f t="shared" si="1"/>
        <v>99343.4</v>
      </c>
    </row>
    <row r="87" spans="1:23" s="37" customFormat="1" ht="14.4" x14ac:dyDescent="0.3">
      <c r="A87" s="37">
        <v>63361</v>
      </c>
      <c r="B87" s="37" t="s">
        <v>3746</v>
      </c>
      <c r="C87" s="37">
        <v>63531706</v>
      </c>
      <c r="D87" s="37" t="s">
        <v>67</v>
      </c>
      <c r="E87" s="37" t="s">
        <v>565</v>
      </c>
      <c r="F87" s="37" t="s">
        <v>565</v>
      </c>
      <c r="G87" s="37" t="s">
        <v>566</v>
      </c>
      <c r="H87" s="37" t="s">
        <v>567</v>
      </c>
      <c r="I87" s="37" t="s">
        <v>568</v>
      </c>
      <c r="J87" s="37" t="s">
        <v>142</v>
      </c>
      <c r="K87" s="37" t="s">
        <v>143</v>
      </c>
      <c r="L87" s="37" t="s">
        <v>143</v>
      </c>
      <c r="M87" s="37">
        <v>18753</v>
      </c>
      <c r="N87" s="38" t="s">
        <v>430</v>
      </c>
      <c r="S87" s="23">
        <f>VLOOKUP(A87,Hoja1!A:D,4,0)</f>
        <v>1</v>
      </c>
      <c r="T87" s="26" t="str">
        <f>VLOOKUP(M87,[1]TIPOLOGIAS!$A:$F,4,0)</f>
        <v>NEIVA</v>
      </c>
      <c r="U87" s="26" t="str">
        <f>VLOOKUP(T87,'BASE TARIFA 2025'!C:D,2,0)</f>
        <v>WOMPI ORIENTE</v>
      </c>
      <c r="V87" s="27">
        <f>VLOOKUP(T87,'BASE TARIFA 2025'!C:F,3,0)</f>
        <v>49671.7</v>
      </c>
      <c r="W87" s="27">
        <f t="shared" si="1"/>
        <v>49671.7</v>
      </c>
    </row>
    <row r="88" spans="1:23" s="37" customFormat="1" ht="14.4" x14ac:dyDescent="0.3">
      <c r="A88" s="37">
        <v>64145</v>
      </c>
      <c r="B88" s="37" t="s">
        <v>3747</v>
      </c>
      <c r="C88" s="37">
        <v>79760633</v>
      </c>
      <c r="D88" s="37" t="s">
        <v>67</v>
      </c>
      <c r="E88" s="37" t="s">
        <v>569</v>
      </c>
      <c r="F88" s="37" t="s">
        <v>570</v>
      </c>
      <c r="G88" s="37" t="s">
        <v>571</v>
      </c>
      <c r="H88" s="37" t="s">
        <v>572</v>
      </c>
      <c r="I88" s="37" t="s">
        <v>573</v>
      </c>
      <c r="J88" s="37" t="s">
        <v>142</v>
      </c>
      <c r="K88" s="37" t="s">
        <v>143</v>
      </c>
      <c r="L88" s="37" t="s">
        <v>143</v>
      </c>
      <c r="M88" s="37">
        <v>18753</v>
      </c>
      <c r="N88" s="38" t="s">
        <v>513</v>
      </c>
      <c r="S88" s="23">
        <f>VLOOKUP(A88,Hoja1!A:D,4,0)</f>
        <v>1</v>
      </c>
      <c r="T88" s="26" t="str">
        <f>VLOOKUP(M88,[1]TIPOLOGIAS!$A:$F,4,0)</f>
        <v>NEIVA</v>
      </c>
      <c r="U88" s="26" t="str">
        <f>VLOOKUP(T88,'BASE TARIFA 2025'!C:D,2,0)</f>
        <v>WOMPI ORIENTE</v>
      </c>
      <c r="V88" s="27">
        <f>VLOOKUP(T88,'BASE TARIFA 2025'!C:F,3,0)</f>
        <v>49671.7</v>
      </c>
      <c r="W88" s="27">
        <f t="shared" si="1"/>
        <v>49671.7</v>
      </c>
    </row>
    <row r="89" spans="1:23" s="37" customFormat="1" ht="14.4" x14ac:dyDescent="0.3">
      <c r="A89" s="37">
        <v>69316</v>
      </c>
      <c r="B89" s="37" t="s">
        <v>3748</v>
      </c>
      <c r="C89" s="37">
        <v>901225815</v>
      </c>
      <c r="D89" s="37" t="s">
        <v>574</v>
      </c>
      <c r="E89" s="37" t="s">
        <v>575</v>
      </c>
      <c r="F89" s="37" t="s">
        <v>574</v>
      </c>
      <c r="G89" s="37" t="s">
        <v>576</v>
      </c>
      <c r="H89" s="37" t="s">
        <v>577</v>
      </c>
      <c r="I89" s="37" t="s">
        <v>578</v>
      </c>
      <c r="J89" s="37" t="s">
        <v>142</v>
      </c>
      <c r="K89" s="37" t="s">
        <v>143</v>
      </c>
      <c r="L89" s="37" t="s">
        <v>143</v>
      </c>
      <c r="M89" s="37">
        <v>18753</v>
      </c>
      <c r="N89" s="38" t="s">
        <v>503</v>
      </c>
      <c r="S89" s="23">
        <f>VLOOKUP(A89,Hoja1!A:D,4,0)</f>
        <v>1</v>
      </c>
      <c r="T89" s="26" t="str">
        <f>VLOOKUP(M89,[1]TIPOLOGIAS!$A:$F,4,0)</f>
        <v>NEIVA</v>
      </c>
      <c r="U89" s="26" t="str">
        <f>VLOOKUP(T89,'BASE TARIFA 2025'!C:D,2,0)</f>
        <v>WOMPI ORIENTE</v>
      </c>
      <c r="V89" s="27">
        <f>VLOOKUP(T89,'BASE TARIFA 2025'!C:F,3,0)</f>
        <v>49671.7</v>
      </c>
      <c r="W89" s="27">
        <f t="shared" si="1"/>
        <v>49671.7</v>
      </c>
    </row>
    <row r="90" spans="1:23" s="37" customFormat="1" ht="14.4" x14ac:dyDescent="0.3">
      <c r="A90" s="37">
        <v>60480</v>
      </c>
      <c r="B90" s="37" t="s">
        <v>3749</v>
      </c>
      <c r="C90" s="37">
        <v>1075677684</v>
      </c>
      <c r="D90" s="37" t="s">
        <v>579</v>
      </c>
      <c r="E90" s="37" t="s">
        <v>579</v>
      </c>
      <c r="F90" s="37" t="s">
        <v>579</v>
      </c>
      <c r="G90" s="37" t="s">
        <v>580</v>
      </c>
      <c r="H90" s="37" t="s">
        <v>581</v>
      </c>
      <c r="I90" s="37" t="s">
        <v>582</v>
      </c>
      <c r="J90" s="37" t="s">
        <v>71</v>
      </c>
      <c r="K90" s="37" t="s">
        <v>33</v>
      </c>
      <c r="L90" s="37" t="s">
        <v>33</v>
      </c>
      <c r="M90" s="37">
        <v>15001</v>
      </c>
      <c r="N90" s="38" t="s">
        <v>328</v>
      </c>
      <c r="S90" s="23">
        <f>VLOOKUP(A90,Hoja1!A:D,4,0)</f>
        <v>1</v>
      </c>
      <c r="T90" s="26" t="str">
        <f>VLOOKUP(M90,[1]TIPOLOGIAS!$A:$F,4,0)</f>
        <v>TUNJA</v>
      </c>
      <c r="U90" s="26" t="str">
        <f>VLOOKUP(T90,'BASE TARIFA 2025'!C:D,2,0)</f>
        <v>WOMPI SANTANDERES</v>
      </c>
      <c r="V90" s="27">
        <f>VLOOKUP(T90,'BASE TARIFA 2025'!C:F,3,0)</f>
        <v>49671.7</v>
      </c>
      <c r="W90" s="27">
        <f t="shared" si="1"/>
        <v>49671.7</v>
      </c>
    </row>
    <row r="91" spans="1:23" s="37" customFormat="1" ht="14.4" x14ac:dyDescent="0.3">
      <c r="A91" s="37">
        <v>50484</v>
      </c>
      <c r="B91" s="37" t="s">
        <v>3750</v>
      </c>
      <c r="C91" s="37">
        <v>830073087</v>
      </c>
      <c r="D91" s="37" t="s">
        <v>583</v>
      </c>
      <c r="E91" s="37" t="s">
        <v>584</v>
      </c>
      <c r="F91" s="37" t="s">
        <v>584</v>
      </c>
      <c r="G91" s="37" t="s">
        <v>585</v>
      </c>
      <c r="H91" s="37" t="s">
        <v>157</v>
      </c>
      <c r="I91" s="37" t="s">
        <v>586</v>
      </c>
      <c r="J91" s="37" t="s">
        <v>71</v>
      </c>
      <c r="K91" s="37" t="s">
        <v>33</v>
      </c>
      <c r="L91" s="37" t="s">
        <v>33</v>
      </c>
      <c r="M91" s="37">
        <v>15001</v>
      </c>
      <c r="N91" s="38" t="s">
        <v>503</v>
      </c>
      <c r="S91" s="23">
        <f>VLOOKUP(A91,Hoja1!A:D,4,0)</f>
        <v>1</v>
      </c>
      <c r="T91" s="26" t="str">
        <f>VLOOKUP(M91,[1]TIPOLOGIAS!$A:$F,4,0)</f>
        <v>TUNJA</v>
      </c>
      <c r="U91" s="26" t="str">
        <f>VLOOKUP(T91,'BASE TARIFA 2025'!C:D,2,0)</f>
        <v>WOMPI SANTANDERES</v>
      </c>
      <c r="V91" s="27">
        <f>VLOOKUP(T91,'BASE TARIFA 2025'!C:F,3,0)</f>
        <v>49671.7</v>
      </c>
      <c r="W91" s="27">
        <f t="shared" si="1"/>
        <v>49671.7</v>
      </c>
    </row>
    <row r="92" spans="1:23" s="37" customFormat="1" ht="14.4" x14ac:dyDescent="0.3">
      <c r="A92" s="37">
        <v>41529</v>
      </c>
      <c r="B92" s="37" t="s">
        <v>3751</v>
      </c>
      <c r="C92" s="37">
        <v>74374334</v>
      </c>
      <c r="D92" s="37" t="s">
        <v>587</v>
      </c>
      <c r="E92" s="37" t="s">
        <v>587</v>
      </c>
      <c r="F92" s="37" t="s">
        <v>587</v>
      </c>
      <c r="G92" s="37" t="s">
        <v>588</v>
      </c>
      <c r="H92" s="37" t="s">
        <v>589</v>
      </c>
      <c r="I92" s="37" t="s">
        <v>590</v>
      </c>
      <c r="J92" s="37" t="s">
        <v>71</v>
      </c>
      <c r="K92" s="37" t="s">
        <v>33</v>
      </c>
      <c r="L92" s="37" t="s">
        <v>33</v>
      </c>
      <c r="M92" s="37">
        <v>15001</v>
      </c>
      <c r="N92" s="38" t="s">
        <v>503</v>
      </c>
      <c r="S92" s="23">
        <f>VLOOKUP(A92,Hoja1!A:D,4,0)</f>
        <v>1</v>
      </c>
      <c r="T92" s="26" t="str">
        <f>VLOOKUP(M92,[1]TIPOLOGIAS!$A:$F,4,0)</f>
        <v>TUNJA</v>
      </c>
      <c r="U92" s="26" t="str">
        <f>VLOOKUP(T92,'BASE TARIFA 2025'!C:D,2,0)</f>
        <v>WOMPI SANTANDERES</v>
      </c>
      <c r="V92" s="27">
        <f>VLOOKUP(T92,'BASE TARIFA 2025'!C:F,3,0)</f>
        <v>49671.7</v>
      </c>
      <c r="W92" s="27">
        <f t="shared" si="1"/>
        <v>49671.7</v>
      </c>
    </row>
    <row r="93" spans="1:23" s="37" customFormat="1" ht="14.4" x14ac:dyDescent="0.3">
      <c r="A93" s="37">
        <v>33503</v>
      </c>
      <c r="B93" s="37" t="s">
        <v>3752</v>
      </c>
      <c r="C93" s="37">
        <v>43501384</v>
      </c>
      <c r="D93" s="37" t="s">
        <v>583</v>
      </c>
      <c r="E93" s="37" t="s">
        <v>583</v>
      </c>
      <c r="F93" s="37" t="s">
        <v>583</v>
      </c>
      <c r="G93" s="37" t="s">
        <v>591</v>
      </c>
      <c r="H93" s="37" t="s">
        <v>592</v>
      </c>
      <c r="I93" s="37" t="s">
        <v>156</v>
      </c>
      <c r="J93" s="37" t="s">
        <v>71</v>
      </c>
      <c r="K93" s="37" t="s">
        <v>33</v>
      </c>
      <c r="L93" s="37" t="s">
        <v>33</v>
      </c>
      <c r="M93" s="37">
        <v>15001</v>
      </c>
      <c r="N93" s="38" t="s">
        <v>503</v>
      </c>
      <c r="S93" s="23">
        <f>VLOOKUP(A93,Hoja1!A:D,4,0)</f>
        <v>1</v>
      </c>
      <c r="T93" s="26" t="str">
        <f>VLOOKUP(M93,[1]TIPOLOGIAS!$A:$F,4,0)</f>
        <v>TUNJA</v>
      </c>
      <c r="U93" s="26" t="str">
        <f>VLOOKUP(T93,'BASE TARIFA 2025'!C:D,2,0)</f>
        <v>WOMPI SANTANDERES</v>
      </c>
      <c r="V93" s="27">
        <f>VLOOKUP(T93,'BASE TARIFA 2025'!C:F,3,0)</f>
        <v>49671.7</v>
      </c>
      <c r="W93" s="27">
        <f t="shared" si="1"/>
        <v>49671.7</v>
      </c>
    </row>
    <row r="94" spans="1:23" s="37" customFormat="1" ht="14.4" x14ac:dyDescent="0.3">
      <c r="A94" s="37">
        <v>32414</v>
      </c>
      <c r="B94" s="37" t="s">
        <v>3632</v>
      </c>
      <c r="C94" s="37">
        <v>1126595090</v>
      </c>
      <c r="D94" s="37" t="s">
        <v>593</v>
      </c>
      <c r="E94" s="37" t="s">
        <v>372</v>
      </c>
      <c r="F94" s="37" t="s">
        <v>372</v>
      </c>
      <c r="G94" s="37" t="s">
        <v>594</v>
      </c>
      <c r="H94" s="37" t="s">
        <v>595</v>
      </c>
      <c r="I94" s="37" t="s">
        <v>341</v>
      </c>
      <c r="J94" s="37" t="s">
        <v>71</v>
      </c>
      <c r="K94" s="37" t="s">
        <v>33</v>
      </c>
      <c r="L94" s="37" t="s">
        <v>33</v>
      </c>
      <c r="M94" s="37">
        <v>15001</v>
      </c>
      <c r="N94" s="38" t="s">
        <v>503</v>
      </c>
      <c r="S94" s="23">
        <f>VLOOKUP(A94,Hoja1!A:D,4,0)</f>
        <v>2</v>
      </c>
      <c r="T94" s="26" t="str">
        <f>VLOOKUP(M94,[1]TIPOLOGIAS!$A:$F,4,0)</f>
        <v>TUNJA</v>
      </c>
      <c r="U94" s="26" t="str">
        <f>VLOOKUP(T94,'BASE TARIFA 2025'!C:D,2,0)</f>
        <v>WOMPI SANTANDERES</v>
      </c>
      <c r="V94" s="27">
        <f>VLOOKUP(T94,'BASE TARIFA 2025'!C:F,3,0)</f>
        <v>49671.7</v>
      </c>
      <c r="W94" s="27">
        <f t="shared" si="1"/>
        <v>99343.4</v>
      </c>
    </row>
    <row r="95" spans="1:23" s="37" customFormat="1" ht="14.4" x14ac:dyDescent="0.3">
      <c r="A95" s="37">
        <v>35868</v>
      </c>
      <c r="B95" s="37" t="s">
        <v>3753</v>
      </c>
      <c r="C95" s="37">
        <v>42152843</v>
      </c>
      <c r="D95" s="37" t="s">
        <v>596</v>
      </c>
      <c r="E95" s="37" t="s">
        <v>597</v>
      </c>
      <c r="F95" s="37" t="s">
        <v>597</v>
      </c>
      <c r="G95" s="37" t="s">
        <v>598</v>
      </c>
      <c r="H95" s="37" t="s">
        <v>599</v>
      </c>
      <c r="I95" s="37" t="s">
        <v>600</v>
      </c>
      <c r="J95" s="37" t="s">
        <v>71</v>
      </c>
      <c r="K95" s="37" t="s">
        <v>33</v>
      </c>
      <c r="L95" s="37" t="s">
        <v>33</v>
      </c>
      <c r="M95" s="37">
        <v>15001</v>
      </c>
      <c r="N95" s="38" t="s">
        <v>328</v>
      </c>
      <c r="S95" s="23">
        <f>VLOOKUP(A95,Hoja1!A:D,4,0)</f>
        <v>1</v>
      </c>
      <c r="T95" s="26" t="str">
        <f>VLOOKUP(M95,[1]TIPOLOGIAS!$A:$F,4,0)</f>
        <v>TUNJA</v>
      </c>
      <c r="U95" s="26" t="str">
        <f>VLOOKUP(T95,'BASE TARIFA 2025'!C:D,2,0)</f>
        <v>WOMPI SANTANDERES</v>
      </c>
      <c r="V95" s="27">
        <f>VLOOKUP(T95,'BASE TARIFA 2025'!C:F,3,0)</f>
        <v>49671.7</v>
      </c>
      <c r="W95" s="27">
        <f t="shared" si="1"/>
        <v>49671.7</v>
      </c>
    </row>
    <row r="96" spans="1:23" s="37" customFormat="1" ht="14.4" x14ac:dyDescent="0.3">
      <c r="A96" s="37">
        <v>78186</v>
      </c>
      <c r="B96" s="37" t="s">
        <v>3754</v>
      </c>
      <c r="C96" s="37">
        <v>901624933</v>
      </c>
      <c r="D96" s="37" t="s">
        <v>601</v>
      </c>
      <c r="E96" s="37" t="s">
        <v>602</v>
      </c>
      <c r="F96" s="37" t="s">
        <v>602</v>
      </c>
      <c r="G96" s="37" t="s">
        <v>603</v>
      </c>
      <c r="H96" s="37" t="s">
        <v>604</v>
      </c>
      <c r="I96" s="37" t="s">
        <v>605</v>
      </c>
      <c r="J96" s="37" t="s">
        <v>71</v>
      </c>
      <c r="K96" s="37" t="s">
        <v>33</v>
      </c>
      <c r="L96" s="37" t="s">
        <v>33</v>
      </c>
      <c r="M96" s="37">
        <v>15001</v>
      </c>
      <c r="N96" s="38" t="s">
        <v>503</v>
      </c>
      <c r="S96" s="23">
        <f>VLOOKUP(A96,Hoja1!A:D,4,0)</f>
        <v>1</v>
      </c>
      <c r="T96" s="26" t="str">
        <f>VLOOKUP(M96,[1]TIPOLOGIAS!$A:$F,4,0)</f>
        <v>TUNJA</v>
      </c>
      <c r="U96" s="26" t="str">
        <f>VLOOKUP(T96,'BASE TARIFA 2025'!C:D,2,0)</f>
        <v>WOMPI SANTANDERES</v>
      </c>
      <c r="V96" s="27">
        <f>VLOOKUP(T96,'BASE TARIFA 2025'!C:F,3,0)</f>
        <v>49671.7</v>
      </c>
      <c r="W96" s="27">
        <f t="shared" si="1"/>
        <v>49671.7</v>
      </c>
    </row>
    <row r="97" spans="1:23" s="37" customFormat="1" ht="14.4" x14ac:dyDescent="0.3">
      <c r="A97" s="37">
        <v>79298</v>
      </c>
      <c r="B97" s="37" t="s">
        <v>3755</v>
      </c>
      <c r="C97" s="37">
        <v>1127912920</v>
      </c>
      <c r="D97" s="37" t="s">
        <v>400</v>
      </c>
      <c r="E97" s="37" t="s">
        <v>606</v>
      </c>
      <c r="F97" s="37" t="s">
        <v>606</v>
      </c>
      <c r="G97" s="37" t="s">
        <v>607</v>
      </c>
      <c r="H97" s="37" t="s">
        <v>608</v>
      </c>
      <c r="I97" s="37" t="s">
        <v>609</v>
      </c>
      <c r="J97" s="37" t="s">
        <v>71</v>
      </c>
      <c r="K97" s="37" t="s">
        <v>610</v>
      </c>
      <c r="L97" s="37" t="s">
        <v>610</v>
      </c>
      <c r="M97" s="37">
        <v>15097</v>
      </c>
      <c r="N97" s="38" t="s">
        <v>329</v>
      </c>
      <c r="S97" s="23">
        <f>VLOOKUP(A97,Hoja1!A:D,4,0)</f>
        <v>3</v>
      </c>
      <c r="T97" s="26" t="str">
        <f>VLOOKUP(M97,[1]TIPOLOGIAS!$A:$F,4,0)</f>
        <v>TUNJA</v>
      </c>
      <c r="U97" s="26" t="str">
        <f>VLOOKUP(T97,'BASE TARIFA 2025'!C:D,2,0)</f>
        <v>WOMPI SANTANDERES</v>
      </c>
      <c r="V97" s="27">
        <f>VLOOKUP(T97,'BASE TARIFA 2025'!C:F,3,0)</f>
        <v>49671.7</v>
      </c>
      <c r="W97" s="27">
        <f t="shared" si="1"/>
        <v>149015.09999999998</v>
      </c>
    </row>
    <row r="98" spans="1:23" s="37" customFormat="1" ht="14.4" x14ac:dyDescent="0.3">
      <c r="A98" s="37">
        <v>78248</v>
      </c>
      <c r="B98" s="37" t="s">
        <v>3756</v>
      </c>
      <c r="C98" s="37">
        <v>15922797</v>
      </c>
      <c r="E98" s="37" t="s">
        <v>611</v>
      </c>
      <c r="F98" s="37" t="s">
        <v>611</v>
      </c>
      <c r="G98" s="37" t="s">
        <v>612</v>
      </c>
      <c r="H98" s="37" t="s">
        <v>613</v>
      </c>
      <c r="I98" s="37" t="s">
        <v>614</v>
      </c>
      <c r="J98" s="37" t="s">
        <v>71</v>
      </c>
      <c r="K98" s="37" t="s">
        <v>610</v>
      </c>
      <c r="L98" s="37" t="s">
        <v>610</v>
      </c>
      <c r="M98" s="37">
        <v>15097</v>
      </c>
      <c r="N98" s="38" t="s">
        <v>329</v>
      </c>
      <c r="S98" s="23">
        <f>VLOOKUP(A98,Hoja1!A:D,4,0)</f>
        <v>1</v>
      </c>
      <c r="T98" s="26" t="str">
        <f>VLOOKUP(M98,[1]TIPOLOGIAS!$A:$F,4,0)</f>
        <v>TUNJA</v>
      </c>
      <c r="U98" s="26" t="str">
        <f>VLOOKUP(T98,'BASE TARIFA 2025'!C:D,2,0)</f>
        <v>WOMPI SANTANDERES</v>
      </c>
      <c r="V98" s="27">
        <f>VLOOKUP(T98,'BASE TARIFA 2025'!C:F,3,0)</f>
        <v>49671.7</v>
      </c>
      <c r="W98" s="27">
        <f t="shared" si="1"/>
        <v>49671.7</v>
      </c>
    </row>
    <row r="99" spans="1:23" s="37" customFormat="1" ht="14.4" x14ac:dyDescent="0.3">
      <c r="A99" s="37">
        <v>77735</v>
      </c>
      <c r="B99" s="37" t="s">
        <v>3757</v>
      </c>
      <c r="C99" s="37">
        <v>91109231</v>
      </c>
      <c r="D99" s="37" t="s">
        <v>615</v>
      </c>
      <c r="E99" s="37" t="s">
        <v>616</v>
      </c>
      <c r="F99" s="37" t="s">
        <v>616</v>
      </c>
      <c r="G99" s="37" t="s">
        <v>617</v>
      </c>
      <c r="H99" s="37" t="s">
        <v>618</v>
      </c>
      <c r="I99" s="37" t="s">
        <v>619</v>
      </c>
      <c r="J99" s="37" t="s">
        <v>71</v>
      </c>
      <c r="K99" s="37" t="s">
        <v>610</v>
      </c>
      <c r="L99" s="37" t="s">
        <v>610</v>
      </c>
      <c r="M99" s="37">
        <v>15097</v>
      </c>
      <c r="N99" s="38" t="s">
        <v>329</v>
      </c>
      <c r="S99" s="23">
        <f>VLOOKUP(A99,Hoja1!A:D,4,0)</f>
        <v>1</v>
      </c>
      <c r="T99" s="26" t="str">
        <f>VLOOKUP(M99,[1]TIPOLOGIAS!$A:$F,4,0)</f>
        <v>TUNJA</v>
      </c>
      <c r="U99" s="26" t="str">
        <f>VLOOKUP(T99,'BASE TARIFA 2025'!C:D,2,0)</f>
        <v>WOMPI SANTANDERES</v>
      </c>
      <c r="V99" s="27">
        <f>VLOOKUP(T99,'BASE TARIFA 2025'!C:F,3,0)</f>
        <v>49671.7</v>
      </c>
      <c r="W99" s="27">
        <f t="shared" si="1"/>
        <v>49671.7</v>
      </c>
    </row>
    <row r="100" spans="1:23" s="37" customFormat="1" ht="14.4" x14ac:dyDescent="0.3">
      <c r="A100" s="37">
        <v>26481</v>
      </c>
      <c r="B100" s="37" t="s">
        <v>3758</v>
      </c>
      <c r="C100" s="37">
        <v>64541423</v>
      </c>
      <c r="D100" s="37" t="s">
        <v>620</v>
      </c>
      <c r="E100" s="37" t="s">
        <v>620</v>
      </c>
      <c r="F100" s="37" t="s">
        <v>620</v>
      </c>
      <c r="G100" s="37" t="s">
        <v>621</v>
      </c>
      <c r="H100" s="37" t="s">
        <v>622</v>
      </c>
      <c r="I100" s="37" t="s">
        <v>623</v>
      </c>
      <c r="J100" s="37" t="s">
        <v>71</v>
      </c>
      <c r="K100" s="37" t="s">
        <v>610</v>
      </c>
      <c r="L100" s="37" t="s">
        <v>610</v>
      </c>
      <c r="M100" s="37">
        <v>15097</v>
      </c>
      <c r="N100" s="38" t="s">
        <v>329</v>
      </c>
      <c r="S100" s="23">
        <f>VLOOKUP(A100,Hoja1!A:D,4,0)</f>
        <v>1</v>
      </c>
      <c r="T100" s="26" t="str">
        <f>VLOOKUP(M100,[1]TIPOLOGIAS!$A:$F,4,0)</f>
        <v>TUNJA</v>
      </c>
      <c r="U100" s="26" t="str">
        <f>VLOOKUP(T100,'BASE TARIFA 2025'!C:D,2,0)</f>
        <v>WOMPI SANTANDERES</v>
      </c>
      <c r="V100" s="27">
        <f>VLOOKUP(T100,'BASE TARIFA 2025'!C:F,3,0)</f>
        <v>49671.7</v>
      </c>
      <c r="W100" s="27">
        <f t="shared" si="1"/>
        <v>49671.7</v>
      </c>
    </row>
    <row r="101" spans="1:23" s="37" customFormat="1" ht="14.4" x14ac:dyDescent="0.3">
      <c r="A101" s="37">
        <v>65900</v>
      </c>
      <c r="B101" s="37" t="s">
        <v>3759</v>
      </c>
      <c r="C101" s="37">
        <v>9867943</v>
      </c>
      <c r="D101" s="37" t="s">
        <v>624</v>
      </c>
      <c r="E101" s="37" t="s">
        <v>624</v>
      </c>
      <c r="F101" s="37" t="s">
        <v>625</v>
      </c>
      <c r="G101" s="37" t="s">
        <v>626</v>
      </c>
      <c r="H101" s="37" t="s">
        <v>627</v>
      </c>
      <c r="I101" s="37" t="s">
        <v>628</v>
      </c>
      <c r="J101" s="37" t="s">
        <v>71</v>
      </c>
      <c r="K101" s="37" t="s">
        <v>610</v>
      </c>
      <c r="L101" s="37" t="s">
        <v>610</v>
      </c>
      <c r="M101" s="37">
        <v>15097</v>
      </c>
      <c r="N101" s="38" t="s">
        <v>329</v>
      </c>
      <c r="S101" s="23">
        <f>VLOOKUP(A101,Hoja1!A:D,4,0)</f>
        <v>1</v>
      </c>
      <c r="T101" s="26" t="str">
        <f>VLOOKUP(M101,[1]TIPOLOGIAS!$A:$F,4,0)</f>
        <v>TUNJA</v>
      </c>
      <c r="U101" s="26" t="str">
        <f>VLOOKUP(T101,'BASE TARIFA 2025'!C:D,2,0)</f>
        <v>WOMPI SANTANDERES</v>
      </c>
      <c r="V101" s="27">
        <f>VLOOKUP(T101,'BASE TARIFA 2025'!C:F,3,0)</f>
        <v>49671.7</v>
      </c>
      <c r="W101" s="27">
        <f t="shared" si="1"/>
        <v>49671.7</v>
      </c>
    </row>
    <row r="102" spans="1:23" s="37" customFormat="1" ht="14.4" x14ac:dyDescent="0.3">
      <c r="A102" s="37">
        <v>66152</v>
      </c>
      <c r="B102" s="37" t="s">
        <v>3760</v>
      </c>
      <c r="C102" s="37">
        <v>80410202</v>
      </c>
      <c r="D102" s="37" t="s">
        <v>629</v>
      </c>
      <c r="E102" s="37" t="s">
        <v>629</v>
      </c>
      <c r="F102" s="37" t="s">
        <v>629</v>
      </c>
      <c r="G102" s="37" t="s">
        <v>630</v>
      </c>
      <c r="H102" s="37" t="s">
        <v>631</v>
      </c>
      <c r="I102" s="37" t="s">
        <v>632</v>
      </c>
      <c r="J102" s="37" t="s">
        <v>80</v>
      </c>
      <c r="K102" s="37" t="s">
        <v>633</v>
      </c>
      <c r="L102" s="37" t="s">
        <v>633</v>
      </c>
      <c r="M102" s="37">
        <v>13244</v>
      </c>
      <c r="N102" s="38" t="s">
        <v>325</v>
      </c>
      <c r="S102" s="23">
        <f>VLOOKUP(A102,Hoja1!A:D,4,0)</f>
        <v>2</v>
      </c>
      <c r="T102" s="26" t="str">
        <f>VLOOKUP(M102,[1]TIPOLOGIAS!$A:$F,4,0)</f>
        <v>CARTAGENA</v>
      </c>
      <c r="U102" s="26" t="str">
        <f>VLOOKUP(T102,'BASE TARIFA 2025'!C:D,2,0)</f>
        <v>WOMPI COSTA</v>
      </c>
      <c r="V102" s="27">
        <f>VLOOKUP(T102,'BASE TARIFA 2025'!C:F,3,0)</f>
        <v>49671.7</v>
      </c>
      <c r="W102" s="27">
        <f t="shared" si="1"/>
        <v>99343.4</v>
      </c>
    </row>
    <row r="103" spans="1:23" s="37" customFormat="1" ht="14.4" x14ac:dyDescent="0.3">
      <c r="A103" s="37">
        <v>51187</v>
      </c>
      <c r="B103" s="37" t="s">
        <v>3638</v>
      </c>
      <c r="C103" s="37">
        <v>1037632868</v>
      </c>
      <c r="D103" s="37" t="s">
        <v>634</v>
      </c>
      <c r="E103" s="37" t="s">
        <v>635</v>
      </c>
      <c r="F103" s="37" t="s">
        <v>635</v>
      </c>
      <c r="G103" s="37" t="s">
        <v>636</v>
      </c>
      <c r="H103" s="37" t="s">
        <v>637</v>
      </c>
      <c r="I103" s="37" t="s">
        <v>638</v>
      </c>
      <c r="J103" s="37" t="s">
        <v>80</v>
      </c>
      <c r="K103" s="37" t="s">
        <v>639</v>
      </c>
      <c r="L103" s="37" t="s">
        <v>639</v>
      </c>
      <c r="M103" s="37">
        <v>13780</v>
      </c>
      <c r="N103" s="38" t="s">
        <v>327</v>
      </c>
      <c r="S103" s="23">
        <f>VLOOKUP(A103,Hoja1!A:D,4,0)</f>
        <v>2</v>
      </c>
      <c r="T103" s="26" t="str">
        <f>VLOOKUP(M103,[1]TIPOLOGIAS!$A:$F,4,0)</f>
        <v>CARTAGENA</v>
      </c>
      <c r="U103" s="26" t="str">
        <f>VLOOKUP(T103,'BASE TARIFA 2025'!C:D,2,0)</f>
        <v>WOMPI COSTA</v>
      </c>
      <c r="V103" s="27">
        <f>VLOOKUP(T103,'BASE TARIFA 2025'!C:F,3,0)</f>
        <v>49671.7</v>
      </c>
      <c r="W103" s="27">
        <f t="shared" si="1"/>
        <v>99343.4</v>
      </c>
    </row>
    <row r="104" spans="1:23" s="37" customFormat="1" ht="14.4" x14ac:dyDescent="0.3">
      <c r="A104" s="37">
        <v>17219</v>
      </c>
      <c r="B104" s="37" t="s">
        <v>3629</v>
      </c>
      <c r="C104" s="37">
        <v>17588285</v>
      </c>
      <c r="D104" s="37" t="s">
        <v>640</v>
      </c>
      <c r="E104" s="37" t="s">
        <v>641</v>
      </c>
      <c r="F104" s="37" t="s">
        <v>640</v>
      </c>
      <c r="G104" s="37" t="s">
        <v>642</v>
      </c>
      <c r="H104" s="37" t="s">
        <v>643</v>
      </c>
      <c r="I104" s="37" t="s">
        <v>644</v>
      </c>
      <c r="J104" s="37" t="s">
        <v>80</v>
      </c>
      <c r="K104" s="37" t="s">
        <v>639</v>
      </c>
      <c r="L104" s="37" t="s">
        <v>639</v>
      </c>
      <c r="M104" s="37">
        <v>13780</v>
      </c>
      <c r="N104" s="38" t="s">
        <v>327</v>
      </c>
      <c r="S104" s="23">
        <f>VLOOKUP(A104,Hoja1!A:D,4,0)</f>
        <v>2</v>
      </c>
      <c r="T104" s="26" t="str">
        <f>VLOOKUP(M104,[1]TIPOLOGIAS!$A:$F,4,0)</f>
        <v>CARTAGENA</v>
      </c>
      <c r="U104" s="26" t="str">
        <f>VLOOKUP(T104,'BASE TARIFA 2025'!C:D,2,0)</f>
        <v>WOMPI COSTA</v>
      </c>
      <c r="V104" s="27">
        <f>VLOOKUP(T104,'BASE TARIFA 2025'!C:F,3,0)</f>
        <v>49671.7</v>
      </c>
      <c r="W104" s="27">
        <f t="shared" si="1"/>
        <v>99343.4</v>
      </c>
    </row>
    <row r="105" spans="1:23" s="37" customFormat="1" ht="14.4" x14ac:dyDescent="0.3">
      <c r="A105" s="37">
        <v>75050</v>
      </c>
      <c r="B105" s="37" t="s">
        <v>3761</v>
      </c>
      <c r="C105" s="37">
        <v>23755196</v>
      </c>
      <c r="D105" s="37" t="s">
        <v>645</v>
      </c>
      <c r="E105" s="37" t="s">
        <v>645</v>
      </c>
      <c r="F105" s="37" t="s">
        <v>645</v>
      </c>
      <c r="G105" s="37" t="s">
        <v>646</v>
      </c>
      <c r="H105" s="37" t="s">
        <v>647</v>
      </c>
      <c r="I105" s="37" t="s">
        <v>648</v>
      </c>
      <c r="J105" s="37" t="s">
        <v>80</v>
      </c>
      <c r="K105" s="37" t="s">
        <v>639</v>
      </c>
      <c r="L105" s="37" t="s">
        <v>639</v>
      </c>
      <c r="M105" s="37">
        <v>13780</v>
      </c>
      <c r="N105" s="38" t="s">
        <v>327</v>
      </c>
      <c r="S105" s="23">
        <f>VLOOKUP(A105,Hoja1!A:D,4,0)</f>
        <v>1</v>
      </c>
      <c r="T105" s="26" t="str">
        <f>VLOOKUP(M105,[1]TIPOLOGIAS!$A:$F,4,0)</f>
        <v>CARTAGENA</v>
      </c>
      <c r="U105" s="26" t="str">
        <f>VLOOKUP(T105,'BASE TARIFA 2025'!C:D,2,0)</f>
        <v>WOMPI COSTA</v>
      </c>
      <c r="V105" s="27">
        <f>VLOOKUP(T105,'BASE TARIFA 2025'!C:F,3,0)</f>
        <v>49671.7</v>
      </c>
      <c r="W105" s="27">
        <f t="shared" si="1"/>
        <v>49671.7</v>
      </c>
    </row>
    <row r="106" spans="1:23" s="37" customFormat="1" ht="14.4" x14ac:dyDescent="0.3">
      <c r="A106" s="37">
        <v>58209</v>
      </c>
      <c r="B106" s="37" t="s">
        <v>3762</v>
      </c>
      <c r="C106" s="37">
        <v>1049625722</v>
      </c>
      <c r="D106" s="37" t="s">
        <v>649</v>
      </c>
      <c r="E106" s="37" t="s">
        <v>649</v>
      </c>
      <c r="F106" s="37" t="s">
        <v>649</v>
      </c>
      <c r="G106" s="37" t="s">
        <v>650</v>
      </c>
      <c r="H106" s="37" t="s">
        <v>651</v>
      </c>
      <c r="I106" s="37" t="s">
        <v>652</v>
      </c>
      <c r="J106" s="37" t="s">
        <v>80</v>
      </c>
      <c r="K106" s="37" t="s">
        <v>639</v>
      </c>
      <c r="L106" s="37" t="s">
        <v>639</v>
      </c>
      <c r="M106" s="37">
        <v>13780</v>
      </c>
      <c r="N106" s="38" t="s">
        <v>327</v>
      </c>
      <c r="S106" s="23">
        <f>VLOOKUP(A106,Hoja1!A:D,4,0)</f>
        <v>1</v>
      </c>
      <c r="T106" s="26" t="str">
        <f>VLOOKUP(M106,[1]TIPOLOGIAS!$A:$F,4,0)</f>
        <v>CARTAGENA</v>
      </c>
      <c r="U106" s="26" t="str">
        <f>VLOOKUP(T106,'BASE TARIFA 2025'!C:D,2,0)</f>
        <v>WOMPI COSTA</v>
      </c>
      <c r="V106" s="27">
        <f>VLOOKUP(T106,'BASE TARIFA 2025'!C:F,3,0)</f>
        <v>49671.7</v>
      </c>
      <c r="W106" s="27">
        <f t="shared" si="1"/>
        <v>49671.7</v>
      </c>
    </row>
    <row r="107" spans="1:23" s="37" customFormat="1" ht="14.4" x14ac:dyDescent="0.3">
      <c r="A107" s="37">
        <v>39909</v>
      </c>
      <c r="B107" s="37" t="s">
        <v>3763</v>
      </c>
      <c r="C107" s="37">
        <v>15319855</v>
      </c>
      <c r="D107" s="37" t="s">
        <v>653</v>
      </c>
      <c r="E107" s="37" t="s">
        <v>654</v>
      </c>
      <c r="F107" s="37" t="s">
        <v>654</v>
      </c>
      <c r="G107" s="37" t="s">
        <v>655</v>
      </c>
      <c r="H107" s="37" t="s">
        <v>656</v>
      </c>
      <c r="I107" s="37" t="s">
        <v>657</v>
      </c>
      <c r="J107" s="37" t="s">
        <v>71</v>
      </c>
      <c r="K107" s="37" t="s">
        <v>658</v>
      </c>
      <c r="L107" s="37" t="s">
        <v>658</v>
      </c>
      <c r="M107" s="37">
        <v>15047</v>
      </c>
      <c r="N107" s="38" t="s">
        <v>329</v>
      </c>
      <c r="S107" s="23">
        <f>VLOOKUP(A107,Hoja1!A:D,4,0)</f>
        <v>1</v>
      </c>
      <c r="T107" s="26" t="str">
        <f>VLOOKUP(M107,[1]TIPOLOGIAS!$A:$F,4,0)</f>
        <v>TUNJA</v>
      </c>
      <c r="U107" s="26" t="str">
        <f>VLOOKUP(T107,'BASE TARIFA 2025'!C:D,2,0)</f>
        <v>WOMPI SANTANDERES</v>
      </c>
      <c r="V107" s="27">
        <f>VLOOKUP(T107,'BASE TARIFA 2025'!C:F,3,0)</f>
        <v>49671.7</v>
      </c>
      <c r="W107" s="27">
        <f t="shared" si="1"/>
        <v>49671.7</v>
      </c>
    </row>
    <row r="108" spans="1:23" s="37" customFormat="1" ht="14.4" x14ac:dyDescent="0.3">
      <c r="A108" s="37">
        <v>77918</v>
      </c>
      <c r="B108" s="37" t="s">
        <v>3764</v>
      </c>
      <c r="C108" s="37">
        <v>50846877</v>
      </c>
      <c r="D108" s="37" t="s">
        <v>659</v>
      </c>
      <c r="E108" s="37" t="s">
        <v>660</v>
      </c>
      <c r="F108" s="37" t="s">
        <v>660</v>
      </c>
      <c r="G108" s="37" t="s">
        <v>661</v>
      </c>
      <c r="H108" s="37" t="s">
        <v>176</v>
      </c>
      <c r="I108" s="37" t="s">
        <v>662</v>
      </c>
      <c r="J108" s="37" t="s">
        <v>71</v>
      </c>
      <c r="K108" s="37" t="s">
        <v>658</v>
      </c>
      <c r="L108" s="37" t="s">
        <v>658</v>
      </c>
      <c r="M108" s="37">
        <v>15047</v>
      </c>
      <c r="N108" s="38" t="s">
        <v>329</v>
      </c>
      <c r="S108" s="23">
        <f>VLOOKUP(A108,Hoja1!A:D,4,0)</f>
        <v>1</v>
      </c>
      <c r="T108" s="26" t="str">
        <f>VLOOKUP(M108,[1]TIPOLOGIAS!$A:$F,4,0)</f>
        <v>TUNJA</v>
      </c>
      <c r="U108" s="26" t="str">
        <f>VLOOKUP(T108,'BASE TARIFA 2025'!C:D,2,0)</f>
        <v>WOMPI SANTANDERES</v>
      </c>
      <c r="V108" s="27">
        <f>VLOOKUP(T108,'BASE TARIFA 2025'!C:F,3,0)</f>
        <v>49671.7</v>
      </c>
      <c r="W108" s="27">
        <f t="shared" si="1"/>
        <v>49671.7</v>
      </c>
    </row>
    <row r="109" spans="1:23" s="37" customFormat="1" ht="14.4" x14ac:dyDescent="0.3">
      <c r="A109" s="37">
        <v>58877</v>
      </c>
      <c r="B109" s="37" t="s">
        <v>3765</v>
      </c>
      <c r="C109" s="37">
        <v>1064979627</v>
      </c>
      <c r="D109" s="37" t="s">
        <v>663</v>
      </c>
      <c r="E109" s="37" t="s">
        <v>663</v>
      </c>
      <c r="F109" s="37" t="s">
        <v>664</v>
      </c>
      <c r="G109" s="37" t="s">
        <v>665</v>
      </c>
      <c r="H109" s="37" t="s">
        <v>666</v>
      </c>
      <c r="I109" s="37" t="s">
        <v>667</v>
      </c>
      <c r="J109" s="37" t="s">
        <v>71</v>
      </c>
      <c r="K109" s="37" t="s">
        <v>658</v>
      </c>
      <c r="L109" s="37" t="s">
        <v>658</v>
      </c>
      <c r="M109" s="37">
        <v>15047</v>
      </c>
      <c r="N109" s="38" t="s">
        <v>329</v>
      </c>
      <c r="S109" s="23">
        <f>VLOOKUP(A109,Hoja1!A:D,4,0)</f>
        <v>2</v>
      </c>
      <c r="T109" s="26" t="str">
        <f>VLOOKUP(M109,[1]TIPOLOGIAS!$A:$F,4,0)</f>
        <v>TUNJA</v>
      </c>
      <c r="U109" s="26" t="str">
        <f>VLOOKUP(T109,'BASE TARIFA 2025'!C:D,2,0)</f>
        <v>WOMPI SANTANDERES</v>
      </c>
      <c r="V109" s="27">
        <f>VLOOKUP(T109,'BASE TARIFA 2025'!C:F,3,0)</f>
        <v>49671.7</v>
      </c>
      <c r="W109" s="27">
        <f t="shared" si="1"/>
        <v>99343.4</v>
      </c>
    </row>
    <row r="110" spans="1:23" s="37" customFormat="1" ht="14.4" x14ac:dyDescent="0.3">
      <c r="A110" s="37">
        <v>75688</v>
      </c>
      <c r="B110" s="37" t="s">
        <v>3766</v>
      </c>
      <c r="C110" s="37">
        <v>52268713</v>
      </c>
      <c r="E110" s="37" t="s">
        <v>668</v>
      </c>
      <c r="F110" s="37" t="s">
        <v>668</v>
      </c>
      <c r="G110" s="37" t="s">
        <v>669</v>
      </c>
      <c r="H110" s="37" t="s">
        <v>670</v>
      </c>
      <c r="I110" s="37" t="s">
        <v>671</v>
      </c>
      <c r="J110" s="37" t="s">
        <v>71</v>
      </c>
      <c r="K110" s="37" t="s">
        <v>672</v>
      </c>
      <c r="L110" s="37" t="s">
        <v>672</v>
      </c>
      <c r="M110" s="37">
        <v>15162</v>
      </c>
      <c r="N110" s="38" t="s">
        <v>480</v>
      </c>
      <c r="S110" s="23">
        <f>VLOOKUP(A110,Hoja1!A:D,4,0)</f>
        <v>1</v>
      </c>
      <c r="T110" s="26" t="str">
        <f>VLOOKUP(M110,[1]TIPOLOGIAS!$A:$F,4,0)</f>
        <v>TUNJA</v>
      </c>
      <c r="U110" s="26" t="str">
        <f>VLOOKUP(T110,'BASE TARIFA 2025'!C:D,2,0)</f>
        <v>WOMPI SANTANDERES</v>
      </c>
      <c r="V110" s="27">
        <f>VLOOKUP(T110,'BASE TARIFA 2025'!C:F,3,0)</f>
        <v>49671.7</v>
      </c>
      <c r="W110" s="27">
        <f t="shared" si="1"/>
        <v>49671.7</v>
      </c>
    </row>
    <row r="111" spans="1:23" s="37" customFormat="1" ht="14.4" x14ac:dyDescent="0.3">
      <c r="A111" s="37">
        <v>80012</v>
      </c>
      <c r="B111" s="37" t="s">
        <v>3767</v>
      </c>
      <c r="C111" s="37">
        <v>88250875</v>
      </c>
      <c r="D111" s="37" t="s">
        <v>673</v>
      </c>
      <c r="E111" s="37" t="s">
        <v>673</v>
      </c>
      <c r="F111" s="37" t="s">
        <v>674</v>
      </c>
      <c r="G111" s="37" t="s">
        <v>675</v>
      </c>
      <c r="H111" s="37" t="s">
        <v>676</v>
      </c>
      <c r="I111" s="37" t="s">
        <v>677</v>
      </c>
      <c r="J111" s="37" t="s">
        <v>71</v>
      </c>
      <c r="K111" s="37" t="s">
        <v>672</v>
      </c>
      <c r="L111" s="37" t="s">
        <v>672</v>
      </c>
      <c r="M111" s="37">
        <v>15162</v>
      </c>
      <c r="N111" s="38" t="s">
        <v>480</v>
      </c>
      <c r="S111" s="23">
        <f>VLOOKUP(A111,Hoja1!A:D,4,0)</f>
        <v>1</v>
      </c>
      <c r="T111" s="26" t="str">
        <f>VLOOKUP(M111,[1]TIPOLOGIAS!$A:$F,4,0)</f>
        <v>TUNJA</v>
      </c>
      <c r="U111" s="26" t="str">
        <f>VLOOKUP(T111,'BASE TARIFA 2025'!C:D,2,0)</f>
        <v>WOMPI SANTANDERES</v>
      </c>
      <c r="V111" s="27">
        <f>VLOOKUP(T111,'BASE TARIFA 2025'!C:F,3,0)</f>
        <v>49671.7</v>
      </c>
      <c r="W111" s="27">
        <f t="shared" si="1"/>
        <v>49671.7</v>
      </c>
    </row>
    <row r="112" spans="1:23" s="37" customFormat="1" ht="14.4" x14ac:dyDescent="0.3">
      <c r="A112" s="37">
        <v>76882</v>
      </c>
      <c r="B112" s="37" t="s">
        <v>3768</v>
      </c>
      <c r="C112" s="37">
        <v>1095934512</v>
      </c>
      <c r="D112" s="37" t="s">
        <v>678</v>
      </c>
      <c r="E112" s="37" t="s">
        <v>679</v>
      </c>
      <c r="F112" s="37" t="s">
        <v>679</v>
      </c>
      <c r="G112" s="37" t="s">
        <v>680</v>
      </c>
      <c r="H112" s="37" t="s">
        <v>681</v>
      </c>
      <c r="I112" s="37" t="s">
        <v>682</v>
      </c>
      <c r="J112" s="37" t="s">
        <v>71</v>
      </c>
      <c r="K112" s="37" t="s">
        <v>683</v>
      </c>
      <c r="L112" s="37" t="s">
        <v>683</v>
      </c>
      <c r="M112" s="37">
        <v>15172</v>
      </c>
      <c r="N112" s="38" t="s">
        <v>485</v>
      </c>
      <c r="S112" s="23">
        <f>VLOOKUP(A112,Hoja1!A:D,4,0)</f>
        <v>2</v>
      </c>
      <c r="T112" s="26" t="str">
        <f>VLOOKUP(M112,[1]TIPOLOGIAS!$A:$F,4,0)</f>
        <v>TUNJA</v>
      </c>
      <c r="U112" s="26" t="str">
        <f>VLOOKUP(T112,'BASE TARIFA 2025'!C:D,2,0)</f>
        <v>WOMPI SANTANDERES</v>
      </c>
      <c r="V112" s="27">
        <f>VLOOKUP(T112,'BASE TARIFA 2025'!C:F,3,0)</f>
        <v>49671.7</v>
      </c>
      <c r="W112" s="27">
        <f t="shared" si="1"/>
        <v>99343.4</v>
      </c>
    </row>
    <row r="113" spans="1:23" s="37" customFormat="1" ht="14.4" x14ac:dyDescent="0.3">
      <c r="A113" s="37">
        <v>74479</v>
      </c>
      <c r="B113" s="37" t="s">
        <v>3769</v>
      </c>
      <c r="C113" s="37">
        <v>901749566</v>
      </c>
      <c r="D113" s="37" t="s">
        <v>684</v>
      </c>
      <c r="E113" s="37" t="s">
        <v>684</v>
      </c>
      <c r="F113" s="37" t="s">
        <v>684</v>
      </c>
      <c r="G113" s="37" t="s">
        <v>685</v>
      </c>
      <c r="H113" s="37" t="s">
        <v>686</v>
      </c>
      <c r="I113" s="37" t="s">
        <v>687</v>
      </c>
      <c r="J113" s="37" t="s">
        <v>71</v>
      </c>
      <c r="K113" s="37" t="s">
        <v>683</v>
      </c>
      <c r="L113" s="37" t="s">
        <v>683</v>
      </c>
      <c r="M113" s="37">
        <v>15172</v>
      </c>
      <c r="N113" s="38" t="s">
        <v>485</v>
      </c>
      <c r="S113" s="23">
        <f>VLOOKUP(A113,Hoja1!A:D,4,0)</f>
        <v>1</v>
      </c>
      <c r="T113" s="26" t="str">
        <f>VLOOKUP(M113,[1]TIPOLOGIAS!$A:$F,4,0)</f>
        <v>TUNJA</v>
      </c>
      <c r="U113" s="26" t="str">
        <f>VLOOKUP(T113,'BASE TARIFA 2025'!C:D,2,0)</f>
        <v>WOMPI SANTANDERES</v>
      </c>
      <c r="V113" s="27">
        <f>VLOOKUP(T113,'BASE TARIFA 2025'!C:F,3,0)</f>
        <v>49671.7</v>
      </c>
      <c r="W113" s="27">
        <f t="shared" si="1"/>
        <v>49671.7</v>
      </c>
    </row>
    <row r="114" spans="1:23" s="37" customFormat="1" ht="14.4" x14ac:dyDescent="0.3">
      <c r="A114" s="37">
        <v>17025</v>
      </c>
      <c r="B114" s="37" t="s">
        <v>3770</v>
      </c>
      <c r="C114" s="37">
        <v>60329070</v>
      </c>
      <c r="D114" s="37" t="s">
        <v>688</v>
      </c>
      <c r="E114" s="37" t="s">
        <v>688</v>
      </c>
      <c r="F114" s="37" t="s">
        <v>688</v>
      </c>
      <c r="G114" s="37" t="s">
        <v>689</v>
      </c>
      <c r="H114" s="37" t="s">
        <v>690</v>
      </c>
      <c r="I114" s="37" t="s">
        <v>158</v>
      </c>
      <c r="J114" s="37" t="s">
        <v>71</v>
      </c>
      <c r="K114" s="37" t="s">
        <v>683</v>
      </c>
      <c r="L114" s="37" t="s">
        <v>683</v>
      </c>
      <c r="M114" s="37">
        <v>15172</v>
      </c>
      <c r="N114" s="38" t="s">
        <v>485</v>
      </c>
      <c r="S114" s="23">
        <f>VLOOKUP(A114,Hoja1!A:D,4,0)</f>
        <v>2</v>
      </c>
      <c r="T114" s="26" t="str">
        <f>VLOOKUP(M114,[1]TIPOLOGIAS!$A:$F,4,0)</f>
        <v>TUNJA</v>
      </c>
      <c r="U114" s="26" t="str">
        <f>VLOOKUP(T114,'BASE TARIFA 2025'!C:D,2,0)</f>
        <v>WOMPI SANTANDERES</v>
      </c>
      <c r="V114" s="27">
        <f>VLOOKUP(T114,'BASE TARIFA 2025'!C:F,3,0)</f>
        <v>49671.7</v>
      </c>
      <c r="W114" s="27">
        <f t="shared" si="1"/>
        <v>99343.4</v>
      </c>
    </row>
    <row r="115" spans="1:23" s="37" customFormat="1" ht="14.4" x14ac:dyDescent="0.3">
      <c r="A115" s="37">
        <v>73833</v>
      </c>
      <c r="B115" s="37" t="s">
        <v>3771</v>
      </c>
      <c r="C115" s="37">
        <v>1094664367</v>
      </c>
      <c r="D115" s="37" t="s">
        <v>691</v>
      </c>
      <c r="E115" s="37" t="s">
        <v>691</v>
      </c>
      <c r="G115" s="37" t="s">
        <v>692</v>
      </c>
      <c r="H115" s="37" t="s">
        <v>693</v>
      </c>
      <c r="I115" s="37" t="s">
        <v>694</v>
      </c>
      <c r="J115" s="37" t="s">
        <v>142</v>
      </c>
      <c r="K115" s="37" t="s">
        <v>38</v>
      </c>
      <c r="L115" s="37" t="s">
        <v>38</v>
      </c>
      <c r="M115" s="37">
        <v>18001</v>
      </c>
      <c r="N115" s="38" t="s">
        <v>503</v>
      </c>
      <c r="S115" s="23">
        <f>VLOOKUP(A115,Hoja1!A:D,4,0)</f>
        <v>1</v>
      </c>
      <c r="T115" s="26" t="str">
        <f>VLOOKUP(M115,[1]TIPOLOGIAS!$A:$F,4,0)</f>
        <v>NEIVA</v>
      </c>
      <c r="U115" s="26" t="str">
        <f>VLOOKUP(T115,'BASE TARIFA 2025'!C:D,2,0)</f>
        <v>WOMPI ORIENTE</v>
      </c>
      <c r="V115" s="27">
        <f>VLOOKUP(T115,'BASE TARIFA 2025'!C:F,3,0)</f>
        <v>49671.7</v>
      </c>
      <c r="W115" s="27">
        <f t="shared" si="1"/>
        <v>49671.7</v>
      </c>
    </row>
    <row r="116" spans="1:23" s="37" customFormat="1" ht="14.4" x14ac:dyDescent="0.3">
      <c r="A116" s="37">
        <v>74426</v>
      </c>
      <c r="B116" s="37" t="s">
        <v>3772</v>
      </c>
      <c r="C116" s="37">
        <v>1096946084</v>
      </c>
      <c r="D116" s="37" t="s">
        <v>695</v>
      </c>
      <c r="E116" s="37" t="s">
        <v>696</v>
      </c>
      <c r="F116" s="37" t="s">
        <v>696</v>
      </c>
      <c r="G116" s="37" t="s">
        <v>697</v>
      </c>
      <c r="H116" s="37" t="s">
        <v>698</v>
      </c>
      <c r="I116" s="37" t="s">
        <v>699</v>
      </c>
      <c r="J116" s="37" t="s">
        <v>142</v>
      </c>
      <c r="K116" s="37" t="s">
        <v>38</v>
      </c>
      <c r="L116" s="37" t="s">
        <v>38</v>
      </c>
      <c r="M116" s="37">
        <v>18001</v>
      </c>
      <c r="N116" s="38" t="s">
        <v>503</v>
      </c>
      <c r="S116" s="23">
        <f>VLOOKUP(A116,Hoja1!A:D,4,0)</f>
        <v>1</v>
      </c>
      <c r="T116" s="26" t="str">
        <f>VLOOKUP(M116,[1]TIPOLOGIAS!$A:$F,4,0)</f>
        <v>NEIVA</v>
      </c>
      <c r="U116" s="26" t="str">
        <f>VLOOKUP(T116,'BASE TARIFA 2025'!C:D,2,0)</f>
        <v>WOMPI ORIENTE</v>
      </c>
      <c r="V116" s="27">
        <f>VLOOKUP(T116,'BASE TARIFA 2025'!C:F,3,0)</f>
        <v>49671.7</v>
      </c>
      <c r="W116" s="27">
        <f t="shared" si="1"/>
        <v>49671.7</v>
      </c>
    </row>
    <row r="117" spans="1:23" s="37" customFormat="1" ht="14.4" x14ac:dyDescent="0.3">
      <c r="A117" s="37">
        <v>74943</v>
      </c>
      <c r="B117" s="37" t="s">
        <v>3773</v>
      </c>
      <c r="C117" s="37">
        <v>1098727985</v>
      </c>
      <c r="D117" s="37" t="s">
        <v>700</v>
      </c>
      <c r="E117" s="37" t="s">
        <v>700</v>
      </c>
      <c r="F117" s="37" t="s">
        <v>700</v>
      </c>
      <c r="G117" s="37" t="s">
        <v>701</v>
      </c>
      <c r="H117" s="37" t="s">
        <v>702</v>
      </c>
      <c r="I117" s="37" t="s">
        <v>703</v>
      </c>
      <c r="J117" s="37" t="s">
        <v>142</v>
      </c>
      <c r="K117" s="37" t="s">
        <v>38</v>
      </c>
      <c r="L117" s="37" t="s">
        <v>38</v>
      </c>
      <c r="M117" s="37">
        <v>18001</v>
      </c>
      <c r="N117" s="38" t="s">
        <v>503</v>
      </c>
      <c r="S117" s="23">
        <f>VLOOKUP(A117,Hoja1!A:D,4,0)</f>
        <v>1</v>
      </c>
      <c r="T117" s="26" t="str">
        <f>VLOOKUP(M117,[1]TIPOLOGIAS!$A:$F,4,0)</f>
        <v>NEIVA</v>
      </c>
      <c r="U117" s="26" t="str">
        <f>VLOOKUP(T117,'BASE TARIFA 2025'!C:D,2,0)</f>
        <v>WOMPI ORIENTE</v>
      </c>
      <c r="V117" s="27">
        <f>VLOOKUP(T117,'BASE TARIFA 2025'!C:F,3,0)</f>
        <v>49671.7</v>
      </c>
      <c r="W117" s="27">
        <f t="shared" si="1"/>
        <v>49671.7</v>
      </c>
    </row>
    <row r="118" spans="1:23" s="37" customFormat="1" ht="14.4" x14ac:dyDescent="0.3">
      <c r="A118" s="37">
        <v>72301</v>
      </c>
      <c r="B118" s="37" t="s">
        <v>3774</v>
      </c>
      <c r="C118" s="37">
        <v>63271857</v>
      </c>
      <c r="D118" s="37" t="s">
        <v>704</v>
      </c>
      <c r="E118" s="37" t="s">
        <v>704</v>
      </c>
      <c r="F118" s="37" t="s">
        <v>704</v>
      </c>
      <c r="G118" s="37" t="s">
        <v>705</v>
      </c>
      <c r="H118" s="37" t="s">
        <v>706</v>
      </c>
      <c r="I118" s="37" t="s">
        <v>707</v>
      </c>
      <c r="J118" s="37" t="s">
        <v>142</v>
      </c>
      <c r="K118" s="37" t="s">
        <v>38</v>
      </c>
      <c r="L118" s="37" t="s">
        <v>38</v>
      </c>
      <c r="M118" s="37">
        <v>18001</v>
      </c>
      <c r="N118" s="38" t="s">
        <v>708</v>
      </c>
      <c r="S118" s="23">
        <f>VLOOKUP(A118,Hoja1!A:D,4,0)</f>
        <v>2</v>
      </c>
      <c r="T118" s="26" t="str">
        <f>VLOOKUP(M118,[1]TIPOLOGIAS!$A:$F,4,0)</f>
        <v>NEIVA</v>
      </c>
      <c r="U118" s="26" t="str">
        <f>VLOOKUP(T118,'BASE TARIFA 2025'!C:D,2,0)</f>
        <v>WOMPI ORIENTE</v>
      </c>
      <c r="V118" s="27">
        <f>VLOOKUP(T118,'BASE TARIFA 2025'!C:F,3,0)</f>
        <v>49671.7</v>
      </c>
      <c r="W118" s="27">
        <f t="shared" si="1"/>
        <v>99343.4</v>
      </c>
    </row>
    <row r="119" spans="1:23" s="37" customFormat="1" ht="14.4" x14ac:dyDescent="0.3">
      <c r="A119" s="37">
        <v>71839</v>
      </c>
      <c r="B119" s="37" t="s">
        <v>3775</v>
      </c>
      <c r="C119" s="37">
        <v>63526217</v>
      </c>
      <c r="D119" s="37" t="s">
        <v>709</v>
      </c>
      <c r="E119" s="37" t="s">
        <v>709</v>
      </c>
      <c r="F119" s="37" t="s">
        <v>709</v>
      </c>
      <c r="G119" s="37" t="s">
        <v>710</v>
      </c>
      <c r="H119" s="37" t="s">
        <v>711</v>
      </c>
      <c r="I119" s="37" t="s">
        <v>712</v>
      </c>
      <c r="J119" s="37" t="s">
        <v>142</v>
      </c>
      <c r="K119" s="37" t="s">
        <v>38</v>
      </c>
      <c r="L119" s="37" t="s">
        <v>38</v>
      </c>
      <c r="M119" s="37">
        <v>18001</v>
      </c>
      <c r="N119" s="38" t="s">
        <v>708</v>
      </c>
      <c r="S119" s="23">
        <f>VLOOKUP(A119,Hoja1!A:D,4,0)</f>
        <v>2</v>
      </c>
      <c r="T119" s="26" t="str">
        <f>VLOOKUP(M119,[1]TIPOLOGIAS!$A:$F,4,0)</f>
        <v>NEIVA</v>
      </c>
      <c r="U119" s="26" t="str">
        <f>VLOOKUP(T119,'BASE TARIFA 2025'!C:D,2,0)</f>
        <v>WOMPI ORIENTE</v>
      </c>
      <c r="V119" s="27">
        <f>VLOOKUP(T119,'BASE TARIFA 2025'!C:F,3,0)</f>
        <v>49671.7</v>
      </c>
      <c r="W119" s="27">
        <f t="shared" si="1"/>
        <v>99343.4</v>
      </c>
    </row>
    <row r="120" spans="1:23" s="37" customFormat="1" ht="14.4" x14ac:dyDescent="0.3">
      <c r="A120" s="37">
        <v>71840</v>
      </c>
      <c r="B120" s="37" t="s">
        <v>3776</v>
      </c>
      <c r="C120" s="37">
        <v>1127600802</v>
      </c>
      <c r="D120" s="37" t="s">
        <v>713</v>
      </c>
      <c r="E120" s="37" t="s">
        <v>713</v>
      </c>
      <c r="G120" s="37" t="s">
        <v>714</v>
      </c>
      <c r="H120" s="37" t="s">
        <v>715</v>
      </c>
      <c r="I120" s="37" t="s">
        <v>716</v>
      </c>
      <c r="J120" s="37" t="s">
        <v>142</v>
      </c>
      <c r="K120" s="37" t="s">
        <v>38</v>
      </c>
      <c r="L120" s="37" t="s">
        <v>38</v>
      </c>
      <c r="M120" s="37">
        <v>18001</v>
      </c>
      <c r="N120" s="38" t="s">
        <v>708</v>
      </c>
      <c r="S120" s="23">
        <f>VLOOKUP(A120,Hoja1!A:D,4,0)</f>
        <v>2</v>
      </c>
      <c r="T120" s="26" t="str">
        <f>VLOOKUP(M120,[1]TIPOLOGIAS!$A:$F,4,0)</f>
        <v>NEIVA</v>
      </c>
      <c r="U120" s="26" t="str">
        <f>VLOOKUP(T120,'BASE TARIFA 2025'!C:D,2,0)</f>
        <v>WOMPI ORIENTE</v>
      </c>
      <c r="V120" s="27">
        <f>VLOOKUP(T120,'BASE TARIFA 2025'!C:F,3,0)</f>
        <v>49671.7</v>
      </c>
      <c r="W120" s="27">
        <f t="shared" si="1"/>
        <v>99343.4</v>
      </c>
    </row>
    <row r="121" spans="1:23" s="37" customFormat="1" ht="14.4" x14ac:dyDescent="0.3">
      <c r="A121" s="37">
        <v>30673</v>
      </c>
      <c r="B121" s="37" t="s">
        <v>3777</v>
      </c>
      <c r="C121" s="37">
        <v>60329070</v>
      </c>
      <c r="D121" s="37" t="s">
        <v>717</v>
      </c>
      <c r="E121" s="37" t="s">
        <v>717</v>
      </c>
      <c r="F121" s="37" t="s">
        <v>717</v>
      </c>
      <c r="G121" s="37" t="s">
        <v>718</v>
      </c>
      <c r="H121" s="37" t="s">
        <v>719</v>
      </c>
      <c r="I121" s="37" t="s">
        <v>720</v>
      </c>
      <c r="J121" s="37" t="s">
        <v>142</v>
      </c>
      <c r="K121" s="37" t="s">
        <v>38</v>
      </c>
      <c r="L121" s="37" t="s">
        <v>38</v>
      </c>
      <c r="M121" s="37">
        <v>18001</v>
      </c>
      <c r="N121" s="38" t="s">
        <v>324</v>
      </c>
      <c r="S121" s="23">
        <f>VLOOKUP(A121,Hoja1!A:D,4,0)</f>
        <v>2</v>
      </c>
      <c r="T121" s="26" t="str">
        <f>VLOOKUP(M121,[1]TIPOLOGIAS!$A:$F,4,0)</f>
        <v>NEIVA</v>
      </c>
      <c r="U121" s="26" t="str">
        <f>VLOOKUP(T121,'BASE TARIFA 2025'!C:D,2,0)</f>
        <v>WOMPI ORIENTE</v>
      </c>
      <c r="V121" s="27">
        <f>VLOOKUP(T121,'BASE TARIFA 2025'!C:F,3,0)</f>
        <v>49671.7</v>
      </c>
      <c r="W121" s="27">
        <f t="shared" si="1"/>
        <v>99343.4</v>
      </c>
    </row>
    <row r="122" spans="1:23" s="37" customFormat="1" ht="14.4" x14ac:dyDescent="0.3">
      <c r="A122" s="37">
        <v>32323</v>
      </c>
      <c r="B122" s="37" t="s">
        <v>3778</v>
      </c>
      <c r="C122" s="37">
        <v>52353530</v>
      </c>
      <c r="D122" s="37" t="s">
        <v>721</v>
      </c>
      <c r="E122" s="37" t="s">
        <v>721</v>
      </c>
      <c r="F122" s="37" t="s">
        <v>721</v>
      </c>
      <c r="G122" s="37" t="s">
        <v>722</v>
      </c>
      <c r="H122" s="37" t="s">
        <v>723</v>
      </c>
      <c r="I122" s="37" t="s">
        <v>724</v>
      </c>
      <c r="J122" s="37" t="s">
        <v>142</v>
      </c>
      <c r="K122" s="37" t="s">
        <v>38</v>
      </c>
      <c r="L122" s="37" t="s">
        <v>38</v>
      </c>
      <c r="M122" s="37">
        <v>18001</v>
      </c>
      <c r="N122" s="38" t="s">
        <v>324</v>
      </c>
      <c r="S122" s="23">
        <f>VLOOKUP(A122,Hoja1!A:D,4,0)</f>
        <v>2</v>
      </c>
      <c r="T122" s="26" t="str">
        <f>VLOOKUP(M122,[1]TIPOLOGIAS!$A:$F,4,0)</f>
        <v>NEIVA</v>
      </c>
      <c r="U122" s="26" t="str">
        <f>VLOOKUP(T122,'BASE TARIFA 2025'!C:D,2,0)</f>
        <v>WOMPI ORIENTE</v>
      </c>
      <c r="V122" s="27">
        <f>VLOOKUP(T122,'BASE TARIFA 2025'!C:F,3,0)</f>
        <v>49671.7</v>
      </c>
      <c r="W122" s="27">
        <f t="shared" si="1"/>
        <v>99343.4</v>
      </c>
    </row>
    <row r="123" spans="1:23" s="37" customFormat="1" ht="14.4" x14ac:dyDescent="0.3">
      <c r="A123" s="37">
        <v>80980</v>
      </c>
      <c r="B123" s="37" t="s">
        <v>3659</v>
      </c>
      <c r="C123" s="37">
        <v>1092340632</v>
      </c>
      <c r="D123" s="37" t="s">
        <v>725</v>
      </c>
      <c r="E123" s="37" t="s">
        <v>725</v>
      </c>
      <c r="F123" s="37" t="s">
        <v>725</v>
      </c>
      <c r="G123" s="37" t="s">
        <v>726</v>
      </c>
      <c r="H123" s="37" t="s">
        <v>727</v>
      </c>
      <c r="I123" s="37" t="s">
        <v>728</v>
      </c>
      <c r="J123" s="37" t="s">
        <v>142</v>
      </c>
      <c r="K123" s="37" t="s">
        <v>38</v>
      </c>
      <c r="L123" s="37" t="s">
        <v>38</v>
      </c>
      <c r="M123" s="37">
        <v>18001</v>
      </c>
      <c r="N123" s="38" t="s">
        <v>503</v>
      </c>
      <c r="S123" s="23">
        <f>VLOOKUP(A123,Hoja1!A:D,4,0)</f>
        <v>1</v>
      </c>
      <c r="T123" s="26" t="str">
        <f>VLOOKUP(M123,[1]TIPOLOGIAS!$A:$F,4,0)</f>
        <v>NEIVA</v>
      </c>
      <c r="U123" s="26" t="str">
        <f>VLOOKUP(T123,'BASE TARIFA 2025'!C:D,2,0)</f>
        <v>WOMPI ORIENTE</v>
      </c>
      <c r="V123" s="27">
        <f>VLOOKUP(T123,'BASE TARIFA 2025'!C:F,3,0)</f>
        <v>49671.7</v>
      </c>
      <c r="W123" s="27">
        <f t="shared" si="1"/>
        <v>49671.7</v>
      </c>
    </row>
    <row r="124" spans="1:23" s="37" customFormat="1" ht="14.4" x14ac:dyDescent="0.3">
      <c r="A124" s="37">
        <v>77297</v>
      </c>
      <c r="B124" s="37" t="s">
        <v>3779</v>
      </c>
      <c r="C124" s="37">
        <v>13173718</v>
      </c>
      <c r="D124" s="37" t="s">
        <v>729</v>
      </c>
      <c r="E124" s="37" t="s">
        <v>729</v>
      </c>
      <c r="F124" s="37" t="s">
        <v>729</v>
      </c>
      <c r="G124" s="37" t="s">
        <v>730</v>
      </c>
      <c r="H124" s="37" t="s">
        <v>731</v>
      </c>
      <c r="I124" s="37" t="s">
        <v>732</v>
      </c>
      <c r="J124" s="37" t="s">
        <v>142</v>
      </c>
      <c r="K124" s="37" t="s">
        <v>38</v>
      </c>
      <c r="L124" s="37" t="s">
        <v>38</v>
      </c>
      <c r="M124" s="37">
        <v>18001</v>
      </c>
      <c r="N124" s="38" t="s">
        <v>503</v>
      </c>
      <c r="S124" s="23">
        <f>VLOOKUP(A124,Hoja1!A:D,4,0)</f>
        <v>2</v>
      </c>
      <c r="T124" s="26" t="str">
        <f>VLOOKUP(M124,[1]TIPOLOGIAS!$A:$F,4,0)</f>
        <v>NEIVA</v>
      </c>
      <c r="U124" s="26" t="str">
        <f>VLOOKUP(T124,'BASE TARIFA 2025'!C:D,2,0)</f>
        <v>WOMPI ORIENTE</v>
      </c>
      <c r="V124" s="27">
        <f>VLOOKUP(T124,'BASE TARIFA 2025'!C:F,3,0)</f>
        <v>49671.7</v>
      </c>
      <c r="W124" s="27">
        <f t="shared" si="1"/>
        <v>99343.4</v>
      </c>
    </row>
    <row r="125" spans="1:23" s="37" customFormat="1" ht="14.4" x14ac:dyDescent="0.3">
      <c r="A125" s="37">
        <v>77332</v>
      </c>
      <c r="B125" s="37" t="s">
        <v>3780</v>
      </c>
      <c r="C125" s="37">
        <v>1092348379</v>
      </c>
      <c r="D125" s="37" t="s">
        <v>733</v>
      </c>
      <c r="E125" s="37" t="s">
        <v>733</v>
      </c>
      <c r="F125" s="37" t="s">
        <v>733</v>
      </c>
      <c r="G125" s="37" t="s">
        <v>734</v>
      </c>
      <c r="H125" s="37" t="s">
        <v>735</v>
      </c>
      <c r="I125" s="37" t="s">
        <v>736</v>
      </c>
      <c r="J125" s="37" t="s">
        <v>142</v>
      </c>
      <c r="K125" s="37" t="s">
        <v>38</v>
      </c>
      <c r="L125" s="37" t="s">
        <v>38</v>
      </c>
      <c r="M125" s="37">
        <v>18001</v>
      </c>
      <c r="N125" s="38" t="s">
        <v>324</v>
      </c>
      <c r="S125" s="23">
        <f>VLOOKUP(A125,Hoja1!A:D,4,0)</f>
        <v>2</v>
      </c>
      <c r="T125" s="26" t="str">
        <f>VLOOKUP(M125,[1]TIPOLOGIAS!$A:$F,4,0)</f>
        <v>NEIVA</v>
      </c>
      <c r="U125" s="26" t="str">
        <f>VLOOKUP(T125,'BASE TARIFA 2025'!C:D,2,0)</f>
        <v>WOMPI ORIENTE</v>
      </c>
      <c r="V125" s="27">
        <f>VLOOKUP(T125,'BASE TARIFA 2025'!C:F,3,0)</f>
        <v>49671.7</v>
      </c>
      <c r="W125" s="27">
        <f t="shared" si="1"/>
        <v>99343.4</v>
      </c>
    </row>
    <row r="126" spans="1:23" s="37" customFormat="1" ht="14.4" x14ac:dyDescent="0.3">
      <c r="A126" s="37">
        <v>78162</v>
      </c>
      <c r="B126" s="37" t="s">
        <v>3781</v>
      </c>
      <c r="C126" s="37">
        <v>1092345306</v>
      </c>
      <c r="D126" s="37" t="s">
        <v>737</v>
      </c>
      <c r="E126" s="37" t="s">
        <v>737</v>
      </c>
      <c r="F126" s="37" t="s">
        <v>737</v>
      </c>
      <c r="G126" s="37" t="s">
        <v>738</v>
      </c>
      <c r="H126" s="37" t="s">
        <v>739</v>
      </c>
      <c r="I126" s="37" t="s">
        <v>740</v>
      </c>
      <c r="J126" s="37" t="s">
        <v>142</v>
      </c>
      <c r="K126" s="37" t="s">
        <v>38</v>
      </c>
      <c r="L126" s="37" t="s">
        <v>38</v>
      </c>
      <c r="M126" s="37">
        <v>18001</v>
      </c>
      <c r="N126" s="38" t="s">
        <v>324</v>
      </c>
      <c r="S126" s="23">
        <f>VLOOKUP(A126,Hoja1!A:D,4,0)</f>
        <v>2</v>
      </c>
      <c r="T126" s="26" t="str">
        <f>VLOOKUP(M126,[1]TIPOLOGIAS!$A:$F,4,0)</f>
        <v>NEIVA</v>
      </c>
      <c r="U126" s="26" t="str">
        <f>VLOOKUP(T126,'BASE TARIFA 2025'!C:D,2,0)</f>
        <v>WOMPI ORIENTE</v>
      </c>
      <c r="V126" s="27">
        <f>VLOOKUP(T126,'BASE TARIFA 2025'!C:F,3,0)</f>
        <v>49671.7</v>
      </c>
      <c r="W126" s="27">
        <f t="shared" si="1"/>
        <v>99343.4</v>
      </c>
    </row>
    <row r="127" spans="1:23" s="37" customFormat="1" ht="14.4" x14ac:dyDescent="0.3">
      <c r="A127" s="37">
        <v>77499</v>
      </c>
      <c r="B127" s="37" t="s">
        <v>3782</v>
      </c>
      <c r="C127" s="37">
        <v>37506363</v>
      </c>
      <c r="D127" s="37" t="s">
        <v>741</v>
      </c>
      <c r="E127" s="37" t="s">
        <v>742</v>
      </c>
      <c r="F127" s="37" t="s">
        <v>742</v>
      </c>
      <c r="G127" s="37" t="s">
        <v>743</v>
      </c>
      <c r="H127" s="37" t="s">
        <v>744</v>
      </c>
      <c r="I127" s="37" t="s">
        <v>745</v>
      </c>
      <c r="J127" s="37" t="s">
        <v>142</v>
      </c>
      <c r="K127" s="37" t="s">
        <v>38</v>
      </c>
      <c r="L127" s="37" t="s">
        <v>38</v>
      </c>
      <c r="M127" s="37">
        <v>18001</v>
      </c>
      <c r="N127" s="38" t="s">
        <v>324</v>
      </c>
      <c r="S127" s="23">
        <f>VLOOKUP(A127,Hoja1!A:D,4,0)</f>
        <v>1</v>
      </c>
      <c r="T127" s="26" t="str">
        <f>VLOOKUP(M127,[1]TIPOLOGIAS!$A:$F,4,0)</f>
        <v>NEIVA</v>
      </c>
      <c r="U127" s="26" t="str">
        <f>VLOOKUP(T127,'BASE TARIFA 2025'!C:D,2,0)</f>
        <v>WOMPI ORIENTE</v>
      </c>
      <c r="V127" s="27">
        <f>VLOOKUP(T127,'BASE TARIFA 2025'!C:F,3,0)</f>
        <v>49671.7</v>
      </c>
      <c r="W127" s="27">
        <f t="shared" si="1"/>
        <v>49671.7</v>
      </c>
    </row>
    <row r="128" spans="1:23" s="37" customFormat="1" ht="14.4" x14ac:dyDescent="0.3">
      <c r="A128" s="37">
        <v>60471</v>
      </c>
      <c r="B128" s="37" t="s">
        <v>3783</v>
      </c>
      <c r="C128" s="37">
        <v>1072745893</v>
      </c>
      <c r="D128" s="37" t="s">
        <v>746</v>
      </c>
      <c r="E128" s="37" t="s">
        <v>746</v>
      </c>
      <c r="F128" s="37" t="s">
        <v>746</v>
      </c>
      <c r="G128" s="37" t="s">
        <v>747</v>
      </c>
      <c r="H128" s="37" t="s">
        <v>748</v>
      </c>
      <c r="I128" s="37" t="s">
        <v>749</v>
      </c>
      <c r="J128" s="37" t="s">
        <v>68</v>
      </c>
      <c r="K128" s="37" t="s">
        <v>103</v>
      </c>
      <c r="L128" s="37" t="s">
        <v>103</v>
      </c>
      <c r="M128" s="37">
        <v>25175</v>
      </c>
      <c r="N128" s="38" t="s">
        <v>485</v>
      </c>
      <c r="S128" s="23">
        <f>VLOOKUP(A128,Hoja1!A:D,4,0)</f>
        <v>1</v>
      </c>
      <c r="T128" s="26" t="str">
        <f>VLOOKUP(M128,[1]TIPOLOGIAS!$A:$F,4,0)</f>
        <v>BOGOTA</v>
      </c>
      <c r="U128" s="26" t="str">
        <f>VLOOKUP(T128,'BASE TARIFA 2025'!C:D,2,0)</f>
        <v>WOMPI CENTRO</v>
      </c>
      <c r="V128" s="27">
        <f>VLOOKUP(T128,'BASE TARIFA 2025'!C:F,3,0)</f>
        <v>37313</v>
      </c>
      <c r="W128" s="27">
        <f t="shared" si="1"/>
        <v>37313</v>
      </c>
    </row>
    <row r="129" spans="1:23" s="37" customFormat="1" ht="14.4" x14ac:dyDescent="0.3">
      <c r="A129" s="37">
        <v>69454</v>
      </c>
      <c r="B129" s="37" t="s">
        <v>3784</v>
      </c>
      <c r="C129" s="37">
        <v>1073610058</v>
      </c>
      <c r="D129" s="37" t="s">
        <v>750</v>
      </c>
      <c r="E129" s="37" t="s">
        <v>750</v>
      </c>
      <c r="F129" s="37" t="s">
        <v>750</v>
      </c>
      <c r="G129" s="37" t="s">
        <v>751</v>
      </c>
      <c r="H129" s="37" t="s">
        <v>752</v>
      </c>
      <c r="I129" s="37" t="s">
        <v>753</v>
      </c>
      <c r="J129" s="37" t="s">
        <v>68</v>
      </c>
      <c r="K129" s="37" t="s">
        <v>103</v>
      </c>
      <c r="L129" s="37" t="s">
        <v>103</v>
      </c>
      <c r="M129" s="37">
        <v>25175</v>
      </c>
      <c r="N129" s="38" t="s">
        <v>322</v>
      </c>
      <c r="S129" s="23">
        <f>VLOOKUP(A129,Hoja1!A:D,4,0)</f>
        <v>1</v>
      </c>
      <c r="T129" s="26" t="str">
        <f>VLOOKUP(M129,[1]TIPOLOGIAS!$A:$F,4,0)</f>
        <v>BOGOTA</v>
      </c>
      <c r="U129" s="26" t="str">
        <f>VLOOKUP(T129,'BASE TARIFA 2025'!C:D,2,0)</f>
        <v>WOMPI CENTRO</v>
      </c>
      <c r="V129" s="27">
        <f>VLOOKUP(T129,'BASE TARIFA 2025'!C:F,3,0)</f>
        <v>37313</v>
      </c>
      <c r="W129" s="27">
        <f t="shared" si="1"/>
        <v>37313</v>
      </c>
    </row>
    <row r="130" spans="1:23" s="37" customFormat="1" ht="14.4" x14ac:dyDescent="0.3">
      <c r="A130" s="37">
        <v>76896</v>
      </c>
      <c r="B130" s="37" t="s">
        <v>3785</v>
      </c>
      <c r="C130" s="37">
        <v>80155432</v>
      </c>
      <c r="D130" s="37" t="s">
        <v>67</v>
      </c>
      <c r="E130" s="37" t="s">
        <v>754</v>
      </c>
      <c r="F130" s="37" t="s">
        <v>755</v>
      </c>
      <c r="G130" s="37" t="s">
        <v>756</v>
      </c>
      <c r="H130" s="37" t="s">
        <v>757</v>
      </c>
      <c r="I130" s="37" t="s">
        <v>758</v>
      </c>
      <c r="J130" s="37" t="s">
        <v>68</v>
      </c>
      <c r="K130" s="37" t="s">
        <v>103</v>
      </c>
      <c r="L130" s="37" t="s">
        <v>103</v>
      </c>
      <c r="M130" s="37">
        <v>25175</v>
      </c>
      <c r="N130" s="38" t="s">
        <v>322</v>
      </c>
      <c r="S130" s="23">
        <f>VLOOKUP(A130,Hoja1!A:D,4,0)</f>
        <v>1</v>
      </c>
      <c r="T130" s="26" t="str">
        <f>VLOOKUP(M130,[1]TIPOLOGIAS!$A:$F,4,0)</f>
        <v>BOGOTA</v>
      </c>
      <c r="U130" s="26" t="str">
        <f>VLOOKUP(T130,'BASE TARIFA 2025'!C:D,2,0)</f>
        <v>WOMPI CENTRO</v>
      </c>
      <c r="V130" s="27">
        <f>VLOOKUP(T130,'BASE TARIFA 2025'!C:F,3,0)</f>
        <v>37313</v>
      </c>
      <c r="W130" s="27">
        <f t="shared" ref="W130:W193" si="2">V130*S130</f>
        <v>37313</v>
      </c>
    </row>
    <row r="131" spans="1:23" s="37" customFormat="1" ht="14.4" x14ac:dyDescent="0.3">
      <c r="A131" s="37">
        <v>68812</v>
      </c>
      <c r="B131" s="37" t="s">
        <v>3786</v>
      </c>
      <c r="C131" s="37">
        <v>1007405446</v>
      </c>
      <c r="D131" s="37" t="s">
        <v>759</v>
      </c>
      <c r="E131" s="37" t="s">
        <v>760</v>
      </c>
      <c r="F131" s="37" t="s">
        <v>761</v>
      </c>
      <c r="G131" s="37" t="s">
        <v>762</v>
      </c>
      <c r="H131" s="37" t="s">
        <v>763</v>
      </c>
      <c r="I131" s="37" t="s">
        <v>764</v>
      </c>
      <c r="J131" s="37" t="s">
        <v>68</v>
      </c>
      <c r="K131" s="37" t="s">
        <v>147</v>
      </c>
      <c r="L131" s="37" t="s">
        <v>147</v>
      </c>
      <c r="M131" s="37">
        <v>25817</v>
      </c>
      <c r="N131" s="38" t="s">
        <v>513</v>
      </c>
      <c r="S131" s="23">
        <f>VLOOKUP(A131,Hoja1!A:D,4,0)</f>
        <v>1</v>
      </c>
      <c r="T131" s="26" t="str">
        <f>VLOOKUP(M131,[1]TIPOLOGIAS!$A:$F,4,0)</f>
        <v>BOGOTA</v>
      </c>
      <c r="U131" s="26" t="str">
        <f>VLOOKUP(T131,'BASE TARIFA 2025'!C:D,2,0)</f>
        <v>WOMPI CENTRO</v>
      </c>
      <c r="V131" s="27">
        <f>VLOOKUP(T131,'BASE TARIFA 2025'!C:F,3,0)</f>
        <v>37313</v>
      </c>
      <c r="W131" s="27">
        <f t="shared" si="2"/>
        <v>37313</v>
      </c>
    </row>
    <row r="132" spans="1:23" s="37" customFormat="1" ht="14.4" x14ac:dyDescent="0.3">
      <c r="A132" s="37">
        <v>73521</v>
      </c>
      <c r="B132" s="37" t="s">
        <v>3787</v>
      </c>
      <c r="C132" s="37">
        <v>1073321063</v>
      </c>
      <c r="D132" s="37" t="s">
        <v>765</v>
      </c>
      <c r="E132" s="37" t="s">
        <v>766</v>
      </c>
      <c r="F132" s="37" t="s">
        <v>767</v>
      </c>
      <c r="G132" s="37" t="s">
        <v>768</v>
      </c>
      <c r="H132" s="37" t="s">
        <v>769</v>
      </c>
      <c r="I132" s="37" t="s">
        <v>770</v>
      </c>
      <c r="J132" s="37" t="s">
        <v>68</v>
      </c>
      <c r="K132" s="37" t="s">
        <v>147</v>
      </c>
      <c r="L132" s="37" t="s">
        <v>147</v>
      </c>
      <c r="M132" s="37">
        <v>25817</v>
      </c>
      <c r="N132" s="38" t="s">
        <v>513</v>
      </c>
      <c r="S132" s="23">
        <f>VLOOKUP(A132,Hoja1!A:D,4,0)</f>
        <v>1</v>
      </c>
      <c r="T132" s="26" t="str">
        <f>VLOOKUP(M132,[1]TIPOLOGIAS!$A:$F,4,0)</f>
        <v>BOGOTA</v>
      </c>
      <c r="U132" s="26" t="str">
        <f>VLOOKUP(T132,'BASE TARIFA 2025'!C:D,2,0)</f>
        <v>WOMPI CENTRO</v>
      </c>
      <c r="V132" s="27">
        <f>VLOOKUP(T132,'BASE TARIFA 2025'!C:F,3,0)</f>
        <v>37313</v>
      </c>
      <c r="W132" s="27">
        <f t="shared" si="2"/>
        <v>37313</v>
      </c>
    </row>
    <row r="133" spans="1:23" s="37" customFormat="1" ht="14.4" x14ac:dyDescent="0.3">
      <c r="A133" s="37">
        <v>66433</v>
      </c>
      <c r="B133" s="37" t="s">
        <v>3788</v>
      </c>
      <c r="C133" s="37">
        <v>1098721432</v>
      </c>
      <c r="D133" s="37" t="s">
        <v>771</v>
      </c>
      <c r="E133" s="37" t="s">
        <v>771</v>
      </c>
      <c r="F133" s="37" t="s">
        <v>125</v>
      </c>
      <c r="G133" s="37" t="s">
        <v>772</v>
      </c>
      <c r="H133" s="37" t="s">
        <v>773</v>
      </c>
      <c r="I133" s="37" t="s">
        <v>774</v>
      </c>
      <c r="J133" s="37" t="s">
        <v>68</v>
      </c>
      <c r="K133" s="37" t="s">
        <v>147</v>
      </c>
      <c r="L133" s="37" t="s">
        <v>147</v>
      </c>
      <c r="M133" s="37">
        <v>25817</v>
      </c>
      <c r="N133" s="38" t="s">
        <v>513</v>
      </c>
      <c r="S133" s="23">
        <f>VLOOKUP(A133,Hoja1!A:D,4,0)</f>
        <v>2</v>
      </c>
      <c r="T133" s="26" t="str">
        <f>VLOOKUP(M133,[1]TIPOLOGIAS!$A:$F,4,0)</f>
        <v>BOGOTA</v>
      </c>
      <c r="U133" s="26" t="str">
        <f>VLOOKUP(T133,'BASE TARIFA 2025'!C:D,2,0)</f>
        <v>WOMPI CENTRO</v>
      </c>
      <c r="V133" s="27">
        <f>VLOOKUP(T133,'BASE TARIFA 2025'!C:F,3,0)</f>
        <v>37313</v>
      </c>
      <c r="W133" s="27">
        <f t="shared" si="2"/>
        <v>74626</v>
      </c>
    </row>
    <row r="134" spans="1:23" s="37" customFormat="1" ht="14.4" x14ac:dyDescent="0.3">
      <c r="A134" s="37">
        <v>66436</v>
      </c>
      <c r="B134" s="37" t="s">
        <v>3789</v>
      </c>
      <c r="C134" s="37">
        <v>37713492</v>
      </c>
      <c r="D134" s="37" t="s">
        <v>775</v>
      </c>
      <c r="E134" s="37" t="s">
        <v>775</v>
      </c>
      <c r="F134" s="37" t="s">
        <v>775</v>
      </c>
      <c r="G134" s="37" t="s">
        <v>776</v>
      </c>
      <c r="H134" s="37" t="s">
        <v>777</v>
      </c>
      <c r="I134" s="37" t="s">
        <v>778</v>
      </c>
      <c r="J134" s="37" t="s">
        <v>68</v>
      </c>
      <c r="K134" s="37" t="s">
        <v>148</v>
      </c>
      <c r="L134" s="37" t="s">
        <v>148</v>
      </c>
      <c r="M134" s="37">
        <v>25841</v>
      </c>
      <c r="N134" s="38" t="s">
        <v>503</v>
      </c>
      <c r="S134" s="23">
        <f>VLOOKUP(A134,Hoja1!A:D,4,0)</f>
        <v>2</v>
      </c>
      <c r="T134" s="26" t="str">
        <f>VLOOKUP(M134,[1]TIPOLOGIAS!$A:$F,4,0)</f>
        <v>BOGOTA</v>
      </c>
      <c r="U134" s="26" t="str">
        <f>VLOOKUP(T134,'BASE TARIFA 2025'!C:D,2,0)</f>
        <v>WOMPI CENTRO</v>
      </c>
      <c r="V134" s="27">
        <f>VLOOKUP(T134,'BASE TARIFA 2025'!C:F,3,0)</f>
        <v>37313</v>
      </c>
      <c r="W134" s="27">
        <f t="shared" si="2"/>
        <v>74626</v>
      </c>
    </row>
    <row r="135" spans="1:23" s="37" customFormat="1" ht="14.4" x14ac:dyDescent="0.3">
      <c r="A135" s="37">
        <v>38505</v>
      </c>
      <c r="B135" s="37" t="s">
        <v>3634</v>
      </c>
      <c r="C135" s="37">
        <v>63446058</v>
      </c>
      <c r="D135" s="37" t="s">
        <v>779</v>
      </c>
      <c r="E135" s="37" t="s">
        <v>779</v>
      </c>
      <c r="F135" s="37" t="s">
        <v>141</v>
      </c>
      <c r="G135" s="37" t="s">
        <v>780</v>
      </c>
      <c r="H135" s="37" t="s">
        <v>781</v>
      </c>
      <c r="I135" s="37" t="s">
        <v>782</v>
      </c>
      <c r="J135" s="37" t="s">
        <v>68</v>
      </c>
      <c r="K135" s="37" t="s">
        <v>148</v>
      </c>
      <c r="L135" s="37" t="s">
        <v>148</v>
      </c>
      <c r="M135" s="37">
        <v>25841</v>
      </c>
      <c r="N135" s="38" t="s">
        <v>503</v>
      </c>
      <c r="S135" s="23">
        <f>VLOOKUP(A135,Hoja1!A:D,4,0)</f>
        <v>2</v>
      </c>
      <c r="T135" s="26" t="str">
        <f>VLOOKUP(M135,[1]TIPOLOGIAS!$A:$F,4,0)</f>
        <v>BOGOTA</v>
      </c>
      <c r="U135" s="26" t="str">
        <f>VLOOKUP(T135,'BASE TARIFA 2025'!C:D,2,0)</f>
        <v>WOMPI CENTRO</v>
      </c>
      <c r="V135" s="27">
        <f>VLOOKUP(T135,'BASE TARIFA 2025'!C:F,3,0)</f>
        <v>37313</v>
      </c>
      <c r="W135" s="27">
        <f t="shared" si="2"/>
        <v>74626</v>
      </c>
    </row>
    <row r="136" spans="1:23" s="37" customFormat="1" ht="14.4" x14ac:dyDescent="0.3">
      <c r="A136" s="37">
        <v>61993</v>
      </c>
      <c r="B136" s="37" t="s">
        <v>3790</v>
      </c>
      <c r="C136" s="37">
        <v>5727106</v>
      </c>
      <c r="D136" s="37" t="s">
        <v>67</v>
      </c>
      <c r="E136" s="37" t="s">
        <v>783</v>
      </c>
      <c r="F136" s="37" t="s">
        <v>783</v>
      </c>
      <c r="G136" s="37" t="s">
        <v>784</v>
      </c>
      <c r="H136" s="37" t="s">
        <v>785</v>
      </c>
      <c r="I136" s="37" t="s">
        <v>786</v>
      </c>
      <c r="J136" s="37" t="s">
        <v>68</v>
      </c>
      <c r="K136" s="37" t="s">
        <v>149</v>
      </c>
      <c r="L136" s="37" t="s">
        <v>149</v>
      </c>
      <c r="M136" s="37">
        <v>25867</v>
      </c>
      <c r="N136" s="38" t="s">
        <v>513</v>
      </c>
      <c r="S136" s="23">
        <f>VLOOKUP(A136,Hoja1!A:D,4,0)</f>
        <v>2</v>
      </c>
      <c r="T136" s="26" t="str">
        <f>VLOOKUP(M136,[1]TIPOLOGIAS!$A:$F,4,0)</f>
        <v>BOGOTA</v>
      </c>
      <c r="U136" s="26" t="str">
        <f>VLOOKUP(T136,'BASE TARIFA 2025'!C:D,2,0)</f>
        <v>WOMPI CENTRO</v>
      </c>
      <c r="V136" s="27">
        <f>VLOOKUP(T136,'BASE TARIFA 2025'!C:F,3,0)</f>
        <v>37313</v>
      </c>
      <c r="W136" s="27">
        <f t="shared" si="2"/>
        <v>74626</v>
      </c>
    </row>
    <row r="137" spans="1:23" s="37" customFormat="1" ht="14.4" x14ac:dyDescent="0.3">
      <c r="A137" s="37">
        <v>62763</v>
      </c>
      <c r="B137" s="37" t="s">
        <v>3791</v>
      </c>
      <c r="C137" s="37">
        <v>63530155</v>
      </c>
      <c r="D137" s="37" t="s">
        <v>67</v>
      </c>
      <c r="E137" s="37" t="s">
        <v>787</v>
      </c>
      <c r="F137" s="37" t="s">
        <v>787</v>
      </c>
      <c r="G137" s="37" t="s">
        <v>788</v>
      </c>
      <c r="H137" s="37" t="s">
        <v>789</v>
      </c>
      <c r="I137" s="37" t="s">
        <v>790</v>
      </c>
      <c r="J137" s="37" t="s">
        <v>68</v>
      </c>
      <c r="K137" s="37" t="s">
        <v>149</v>
      </c>
      <c r="L137" s="37" t="s">
        <v>149</v>
      </c>
      <c r="M137" s="37">
        <v>25867</v>
      </c>
      <c r="N137" s="38" t="s">
        <v>513</v>
      </c>
      <c r="S137" s="23">
        <f>VLOOKUP(A137,Hoja1!A:D,4,0)</f>
        <v>2</v>
      </c>
      <c r="T137" s="26" t="str">
        <f>VLOOKUP(M137,[1]TIPOLOGIAS!$A:$F,4,0)</f>
        <v>BOGOTA</v>
      </c>
      <c r="U137" s="26" t="str">
        <f>VLOOKUP(T137,'BASE TARIFA 2025'!C:D,2,0)</f>
        <v>WOMPI CENTRO</v>
      </c>
      <c r="V137" s="27">
        <f>VLOOKUP(T137,'BASE TARIFA 2025'!C:F,3,0)</f>
        <v>37313</v>
      </c>
      <c r="W137" s="27">
        <f t="shared" si="2"/>
        <v>74626</v>
      </c>
    </row>
    <row r="138" spans="1:23" s="37" customFormat="1" ht="14.4" x14ac:dyDescent="0.3">
      <c r="A138" s="37">
        <v>58935</v>
      </c>
      <c r="B138" s="37" t="s">
        <v>3643</v>
      </c>
      <c r="C138" s="37">
        <v>91535195</v>
      </c>
      <c r="D138" s="37" t="s">
        <v>791</v>
      </c>
      <c r="E138" s="37" t="s">
        <v>791</v>
      </c>
      <c r="F138" s="37" t="s">
        <v>84</v>
      </c>
      <c r="G138" s="37" t="s">
        <v>792</v>
      </c>
      <c r="H138" s="37" t="s">
        <v>793</v>
      </c>
      <c r="I138" s="37" t="s">
        <v>794</v>
      </c>
      <c r="J138" s="37" t="s">
        <v>68</v>
      </c>
      <c r="K138" s="37" t="s">
        <v>149</v>
      </c>
      <c r="L138" s="37" t="s">
        <v>149</v>
      </c>
      <c r="M138" s="37">
        <v>25867</v>
      </c>
      <c r="N138" s="38" t="s">
        <v>513</v>
      </c>
      <c r="S138" s="23">
        <f>VLOOKUP(A138,Hoja1!A:D,4,0)</f>
        <v>2</v>
      </c>
      <c r="T138" s="26" t="str">
        <f>VLOOKUP(M138,[1]TIPOLOGIAS!$A:$F,4,0)</f>
        <v>BOGOTA</v>
      </c>
      <c r="U138" s="26" t="str">
        <f>VLOOKUP(T138,'BASE TARIFA 2025'!C:D,2,0)</f>
        <v>WOMPI CENTRO</v>
      </c>
      <c r="V138" s="27">
        <f>VLOOKUP(T138,'BASE TARIFA 2025'!C:F,3,0)</f>
        <v>37313</v>
      </c>
      <c r="W138" s="27">
        <f t="shared" si="2"/>
        <v>74626</v>
      </c>
    </row>
    <row r="139" spans="1:23" s="37" customFormat="1" ht="14.4" x14ac:dyDescent="0.3">
      <c r="A139" s="37">
        <v>59284</v>
      </c>
      <c r="B139" s="37" t="s">
        <v>3644</v>
      </c>
      <c r="C139" s="37">
        <v>1096926386</v>
      </c>
      <c r="D139" s="37" t="s">
        <v>795</v>
      </c>
      <c r="E139" s="37" t="s">
        <v>796</v>
      </c>
      <c r="F139" s="37" t="s">
        <v>796</v>
      </c>
      <c r="G139" s="37" t="s">
        <v>797</v>
      </c>
      <c r="H139" s="37" t="s">
        <v>798</v>
      </c>
      <c r="I139" s="37" t="s">
        <v>799</v>
      </c>
      <c r="J139" s="37" t="s">
        <v>83</v>
      </c>
      <c r="K139" s="37" t="s">
        <v>800</v>
      </c>
      <c r="L139" s="37" t="s">
        <v>800</v>
      </c>
      <c r="M139" s="37">
        <v>23855</v>
      </c>
      <c r="N139" s="38" t="s">
        <v>329</v>
      </c>
      <c r="S139" s="23">
        <f>VLOOKUP(A139,Hoja1!A:D,4,0)</f>
        <v>2</v>
      </c>
      <c r="T139" s="26" t="str">
        <f>VLOOKUP(M139,[1]TIPOLOGIAS!$A:$F,4,0)</f>
        <v>MONTERIA</v>
      </c>
      <c r="U139" s="26" t="str">
        <f>VLOOKUP(T139,'BASE TARIFA 2025'!C:D,2,0)</f>
        <v>WOMPI COSTA</v>
      </c>
      <c r="V139" s="27">
        <f>VLOOKUP(T139,'BASE TARIFA 2025'!C:F,3,0)</f>
        <v>37313</v>
      </c>
      <c r="W139" s="27">
        <f t="shared" si="2"/>
        <v>74626</v>
      </c>
    </row>
    <row r="140" spans="1:23" s="37" customFormat="1" ht="14.4" x14ac:dyDescent="0.3">
      <c r="A140" s="37">
        <v>57291</v>
      </c>
      <c r="B140" s="37" t="s">
        <v>3642</v>
      </c>
      <c r="C140" s="37">
        <v>91259817</v>
      </c>
      <c r="D140" s="37" t="s">
        <v>801</v>
      </c>
      <c r="E140" s="37" t="s">
        <v>802</v>
      </c>
      <c r="F140" s="37" t="s">
        <v>802</v>
      </c>
      <c r="G140" s="37" t="s">
        <v>803</v>
      </c>
      <c r="H140" s="37" t="s">
        <v>804</v>
      </c>
      <c r="I140" s="37" t="s">
        <v>805</v>
      </c>
      <c r="J140" s="37" t="s">
        <v>83</v>
      </c>
      <c r="K140" s="37" t="s">
        <v>800</v>
      </c>
      <c r="L140" s="37" t="s">
        <v>800</v>
      </c>
      <c r="M140" s="37">
        <v>23855</v>
      </c>
      <c r="N140" s="38" t="s">
        <v>329</v>
      </c>
      <c r="S140" s="23">
        <f>VLOOKUP(A140,Hoja1!A:D,4,0)</f>
        <v>3</v>
      </c>
      <c r="T140" s="26" t="str">
        <f>VLOOKUP(M140,[1]TIPOLOGIAS!$A:$F,4,0)</f>
        <v>MONTERIA</v>
      </c>
      <c r="U140" s="26" t="str">
        <f>VLOOKUP(T140,'BASE TARIFA 2025'!C:D,2,0)</f>
        <v>WOMPI COSTA</v>
      </c>
      <c r="V140" s="27">
        <f>VLOOKUP(T140,'BASE TARIFA 2025'!C:F,3,0)</f>
        <v>37313</v>
      </c>
      <c r="W140" s="27">
        <f t="shared" si="2"/>
        <v>111939</v>
      </c>
    </row>
    <row r="141" spans="1:23" s="37" customFormat="1" ht="14.4" x14ac:dyDescent="0.3">
      <c r="A141" s="37">
        <v>67439</v>
      </c>
      <c r="B141" s="37" t="s">
        <v>3792</v>
      </c>
      <c r="C141" s="37">
        <v>1093798202</v>
      </c>
      <c r="D141" s="37" t="s">
        <v>806</v>
      </c>
      <c r="E141" s="37" t="s">
        <v>807</v>
      </c>
      <c r="F141" s="37" t="s">
        <v>807</v>
      </c>
      <c r="G141" s="37" t="s">
        <v>808</v>
      </c>
      <c r="H141" s="37" t="s">
        <v>809</v>
      </c>
      <c r="I141" s="37" t="s">
        <v>810</v>
      </c>
      <c r="J141" s="37" t="s">
        <v>68</v>
      </c>
      <c r="K141" s="37" t="s">
        <v>811</v>
      </c>
      <c r="L141" s="37" t="s">
        <v>811</v>
      </c>
      <c r="M141" s="37">
        <v>25168</v>
      </c>
      <c r="N141" s="38" t="s">
        <v>321</v>
      </c>
      <c r="S141" s="23">
        <f>VLOOKUP(A141,Hoja1!A:D,4,0)</f>
        <v>2</v>
      </c>
      <c r="T141" s="26" t="str">
        <f>VLOOKUP(M141,[1]TIPOLOGIAS!$A:$F,4,0)</f>
        <v>BOGOTA</v>
      </c>
      <c r="U141" s="26" t="str">
        <f>VLOOKUP(T141,'BASE TARIFA 2025'!C:D,2,0)</f>
        <v>WOMPI CENTRO</v>
      </c>
      <c r="V141" s="27">
        <f>VLOOKUP(T141,'BASE TARIFA 2025'!C:F,3,0)</f>
        <v>37313</v>
      </c>
      <c r="W141" s="27">
        <f t="shared" si="2"/>
        <v>74626</v>
      </c>
    </row>
    <row r="142" spans="1:23" s="37" customFormat="1" ht="14.4" x14ac:dyDescent="0.3">
      <c r="A142" s="37">
        <v>46415</v>
      </c>
      <c r="B142" s="37" t="s">
        <v>3793</v>
      </c>
      <c r="C142" s="37">
        <v>88189996</v>
      </c>
      <c r="D142" s="37" t="s">
        <v>812</v>
      </c>
      <c r="E142" s="37" t="s">
        <v>812</v>
      </c>
      <c r="F142" s="37" t="s">
        <v>812</v>
      </c>
      <c r="G142" s="37" t="s">
        <v>813</v>
      </c>
      <c r="H142" s="37" t="s">
        <v>814</v>
      </c>
      <c r="I142" s="37" t="s">
        <v>815</v>
      </c>
      <c r="J142" s="37" t="s">
        <v>68</v>
      </c>
      <c r="K142" s="37" t="s">
        <v>811</v>
      </c>
      <c r="L142" s="37" t="s">
        <v>811</v>
      </c>
      <c r="M142" s="37">
        <v>25168</v>
      </c>
      <c r="N142" s="38" t="s">
        <v>327</v>
      </c>
      <c r="S142" s="23">
        <f>VLOOKUP(A142,Hoja1!A:D,4,0)</f>
        <v>4</v>
      </c>
      <c r="T142" s="26" t="str">
        <f>VLOOKUP(M142,[1]TIPOLOGIAS!$A:$F,4,0)</f>
        <v>BOGOTA</v>
      </c>
      <c r="U142" s="26" t="str">
        <f>VLOOKUP(T142,'BASE TARIFA 2025'!C:D,2,0)</f>
        <v>WOMPI CENTRO</v>
      </c>
      <c r="V142" s="27">
        <f>VLOOKUP(T142,'BASE TARIFA 2025'!C:F,3,0)</f>
        <v>37313</v>
      </c>
      <c r="W142" s="27">
        <f t="shared" si="2"/>
        <v>149252</v>
      </c>
    </row>
    <row r="143" spans="1:23" s="37" customFormat="1" ht="14.4" x14ac:dyDescent="0.3">
      <c r="A143" s="37">
        <v>51091</v>
      </c>
      <c r="B143" s="37" t="s">
        <v>3794</v>
      </c>
      <c r="C143" s="37">
        <v>5401855</v>
      </c>
      <c r="D143" s="37" t="s">
        <v>816</v>
      </c>
      <c r="E143" s="37" t="s">
        <v>817</v>
      </c>
      <c r="F143" s="37" t="s">
        <v>817</v>
      </c>
      <c r="G143" s="37" t="s">
        <v>818</v>
      </c>
      <c r="H143" s="37" t="s">
        <v>819</v>
      </c>
      <c r="I143" s="37" t="s">
        <v>820</v>
      </c>
      <c r="J143" s="37" t="s">
        <v>68</v>
      </c>
      <c r="K143" s="37" t="s">
        <v>821</v>
      </c>
      <c r="L143" s="37" t="s">
        <v>821</v>
      </c>
      <c r="M143" s="37">
        <v>25183</v>
      </c>
      <c r="N143" s="38" t="s">
        <v>416</v>
      </c>
      <c r="S143" s="23">
        <f>VLOOKUP(A143,Hoja1!A:D,4,0)</f>
        <v>2</v>
      </c>
      <c r="T143" s="26" t="str">
        <f>VLOOKUP(M143,[1]TIPOLOGIAS!$A:$F,4,0)</f>
        <v>TUNJA</v>
      </c>
      <c r="U143" s="26" t="str">
        <f>VLOOKUP(T143,'BASE TARIFA 2025'!C:D,2,0)</f>
        <v>WOMPI SANTANDERES</v>
      </c>
      <c r="V143" s="27">
        <f>VLOOKUP(T143,'BASE TARIFA 2025'!C:F,3,0)</f>
        <v>49671.7</v>
      </c>
      <c r="W143" s="27">
        <f t="shared" si="2"/>
        <v>99343.4</v>
      </c>
    </row>
    <row r="144" spans="1:23" s="37" customFormat="1" ht="14.4" x14ac:dyDescent="0.3">
      <c r="A144" s="37">
        <v>35242</v>
      </c>
      <c r="B144" s="37" t="s">
        <v>3795</v>
      </c>
      <c r="C144" s="37">
        <v>1092355278</v>
      </c>
      <c r="D144" s="37" t="s">
        <v>822</v>
      </c>
      <c r="E144" s="37" t="s">
        <v>823</v>
      </c>
      <c r="F144" s="37" t="s">
        <v>823</v>
      </c>
      <c r="G144" s="37" t="s">
        <v>824</v>
      </c>
      <c r="H144" s="37" t="s">
        <v>825</v>
      </c>
      <c r="I144" s="37" t="s">
        <v>826</v>
      </c>
      <c r="J144" s="37" t="s">
        <v>68</v>
      </c>
      <c r="K144" s="37" t="s">
        <v>821</v>
      </c>
      <c r="L144" s="37" t="s">
        <v>821</v>
      </c>
      <c r="M144" s="37">
        <v>25183</v>
      </c>
      <c r="N144" s="38" t="s">
        <v>416</v>
      </c>
      <c r="S144" s="23">
        <f>VLOOKUP(A144,Hoja1!A:D,4,0)</f>
        <v>2</v>
      </c>
      <c r="T144" s="26" t="str">
        <f>VLOOKUP(M144,[1]TIPOLOGIAS!$A:$F,4,0)</f>
        <v>TUNJA</v>
      </c>
      <c r="U144" s="26" t="str">
        <f>VLOOKUP(T144,'BASE TARIFA 2025'!C:D,2,0)</f>
        <v>WOMPI SANTANDERES</v>
      </c>
      <c r="V144" s="27">
        <f>VLOOKUP(T144,'BASE TARIFA 2025'!C:F,3,0)</f>
        <v>49671.7</v>
      </c>
      <c r="W144" s="27">
        <f t="shared" si="2"/>
        <v>99343.4</v>
      </c>
    </row>
    <row r="145" spans="1:23" s="37" customFormat="1" ht="14.4" x14ac:dyDescent="0.3">
      <c r="A145" s="37">
        <v>46041</v>
      </c>
      <c r="B145" s="37" t="s">
        <v>3635</v>
      </c>
      <c r="C145" s="37">
        <v>63542840</v>
      </c>
      <c r="D145" s="37" t="s">
        <v>827</v>
      </c>
      <c r="E145" s="37" t="s">
        <v>827</v>
      </c>
      <c r="F145" s="37" t="s">
        <v>827</v>
      </c>
      <c r="G145" s="37" t="s">
        <v>828</v>
      </c>
      <c r="H145" s="37" t="s">
        <v>829</v>
      </c>
      <c r="I145" s="37" t="s">
        <v>830</v>
      </c>
      <c r="J145" s="37" t="s">
        <v>68</v>
      </c>
      <c r="K145" s="37" t="s">
        <v>821</v>
      </c>
      <c r="L145" s="37" t="s">
        <v>821</v>
      </c>
      <c r="M145" s="37">
        <v>25183</v>
      </c>
      <c r="N145" s="38" t="s">
        <v>328</v>
      </c>
      <c r="S145" s="23">
        <f>VLOOKUP(A145,Hoja1!A:D,4,0)</f>
        <v>2</v>
      </c>
      <c r="T145" s="26" t="str">
        <f>VLOOKUP(M145,[1]TIPOLOGIAS!$A:$F,4,0)</f>
        <v>TUNJA</v>
      </c>
      <c r="U145" s="26" t="str">
        <f>VLOOKUP(T145,'BASE TARIFA 2025'!C:D,2,0)</f>
        <v>WOMPI SANTANDERES</v>
      </c>
      <c r="V145" s="27">
        <f>VLOOKUP(T145,'BASE TARIFA 2025'!C:F,3,0)</f>
        <v>49671.7</v>
      </c>
      <c r="W145" s="27">
        <f t="shared" si="2"/>
        <v>99343.4</v>
      </c>
    </row>
    <row r="146" spans="1:23" s="37" customFormat="1" ht="14.4" x14ac:dyDescent="0.3">
      <c r="A146" s="37">
        <v>41748</v>
      </c>
      <c r="B146" s="37" t="s">
        <v>3796</v>
      </c>
      <c r="C146" s="37">
        <v>5596021</v>
      </c>
      <c r="D146" s="37" t="s">
        <v>831</v>
      </c>
      <c r="E146" s="37" t="s">
        <v>832</v>
      </c>
      <c r="F146" s="37" t="s">
        <v>832</v>
      </c>
      <c r="G146" s="37" t="s">
        <v>833</v>
      </c>
      <c r="H146" s="37" t="s">
        <v>834</v>
      </c>
      <c r="I146" s="37" t="s">
        <v>835</v>
      </c>
      <c r="J146" s="37" t="s">
        <v>68</v>
      </c>
      <c r="K146" s="37" t="s">
        <v>821</v>
      </c>
      <c r="L146" s="37" t="s">
        <v>821</v>
      </c>
      <c r="M146" s="37">
        <v>25183</v>
      </c>
      <c r="N146" s="38" t="s">
        <v>416</v>
      </c>
      <c r="S146" s="23">
        <f>VLOOKUP(A146,Hoja1!A:D,4,0)</f>
        <v>1</v>
      </c>
      <c r="T146" s="26" t="str">
        <f>VLOOKUP(M146,[1]TIPOLOGIAS!$A:$F,4,0)</f>
        <v>TUNJA</v>
      </c>
      <c r="U146" s="26" t="str">
        <f>VLOOKUP(T146,'BASE TARIFA 2025'!C:D,2,0)</f>
        <v>WOMPI SANTANDERES</v>
      </c>
      <c r="V146" s="27">
        <f>VLOOKUP(T146,'BASE TARIFA 2025'!C:F,3,0)</f>
        <v>49671.7</v>
      </c>
      <c r="W146" s="27">
        <f t="shared" si="2"/>
        <v>49671.7</v>
      </c>
    </row>
    <row r="147" spans="1:23" s="37" customFormat="1" ht="14.4" x14ac:dyDescent="0.3">
      <c r="A147" s="37">
        <v>41522</v>
      </c>
      <c r="B147" s="37" t="s">
        <v>3797</v>
      </c>
      <c r="C147" s="37">
        <v>900932136</v>
      </c>
      <c r="D147" s="37" t="s">
        <v>836</v>
      </c>
      <c r="E147" s="37" t="s">
        <v>837</v>
      </c>
      <c r="F147" s="37" t="s">
        <v>837</v>
      </c>
      <c r="G147" s="37" t="s">
        <v>838</v>
      </c>
      <c r="H147" s="37" t="s">
        <v>839</v>
      </c>
      <c r="I147" s="37" t="s">
        <v>840</v>
      </c>
      <c r="J147" s="37" t="s">
        <v>68</v>
      </c>
      <c r="K147" s="37" t="s">
        <v>114</v>
      </c>
      <c r="L147" s="37" t="s">
        <v>114</v>
      </c>
      <c r="M147" s="37">
        <v>25245</v>
      </c>
      <c r="N147" s="38" t="s">
        <v>841</v>
      </c>
      <c r="S147" s="23">
        <f>VLOOKUP(A147,Hoja1!A:D,4,0)</f>
        <v>1</v>
      </c>
      <c r="T147" s="26" t="str">
        <f>VLOOKUP(M147,[1]TIPOLOGIAS!$A:$F,4,0)</f>
        <v>BOGOTA</v>
      </c>
      <c r="U147" s="26" t="str">
        <f>VLOOKUP(T147,'BASE TARIFA 2025'!C:D,2,0)</f>
        <v>WOMPI CENTRO</v>
      </c>
      <c r="V147" s="27">
        <f>VLOOKUP(T147,'BASE TARIFA 2025'!C:F,3,0)</f>
        <v>37313</v>
      </c>
      <c r="W147" s="27">
        <f t="shared" si="2"/>
        <v>37313</v>
      </c>
    </row>
    <row r="148" spans="1:23" s="37" customFormat="1" ht="14.4" x14ac:dyDescent="0.3">
      <c r="A148" s="37">
        <v>39113</v>
      </c>
      <c r="B148" s="37" t="s">
        <v>3798</v>
      </c>
      <c r="C148" s="37">
        <v>37840435</v>
      </c>
      <c r="D148" s="37" t="s">
        <v>842</v>
      </c>
      <c r="E148" s="37" t="s">
        <v>843</v>
      </c>
      <c r="F148" s="37" t="s">
        <v>844</v>
      </c>
      <c r="G148" s="37" t="s">
        <v>845</v>
      </c>
      <c r="H148" s="37" t="s">
        <v>846</v>
      </c>
      <c r="I148" s="37" t="s">
        <v>847</v>
      </c>
      <c r="J148" s="37" t="s">
        <v>68</v>
      </c>
      <c r="K148" s="37" t="s">
        <v>114</v>
      </c>
      <c r="L148" s="37" t="s">
        <v>114</v>
      </c>
      <c r="M148" s="37">
        <v>25245</v>
      </c>
      <c r="N148" s="38" t="s">
        <v>841</v>
      </c>
      <c r="S148" s="23">
        <f>VLOOKUP(A148,Hoja1!A:D,4,0)</f>
        <v>2</v>
      </c>
      <c r="T148" s="26" t="str">
        <f>VLOOKUP(M148,[1]TIPOLOGIAS!$A:$F,4,0)</f>
        <v>BOGOTA</v>
      </c>
      <c r="U148" s="26" t="str">
        <f>VLOOKUP(T148,'BASE TARIFA 2025'!C:D,2,0)</f>
        <v>WOMPI CENTRO</v>
      </c>
      <c r="V148" s="27">
        <f>VLOOKUP(T148,'BASE TARIFA 2025'!C:F,3,0)</f>
        <v>37313</v>
      </c>
      <c r="W148" s="27">
        <f t="shared" si="2"/>
        <v>74626</v>
      </c>
    </row>
    <row r="149" spans="1:23" s="37" customFormat="1" ht="14.4" x14ac:dyDescent="0.3">
      <c r="A149" s="37">
        <v>35033</v>
      </c>
      <c r="B149" s="37" t="s">
        <v>3799</v>
      </c>
      <c r="C149" s="37">
        <v>28099203</v>
      </c>
      <c r="D149" s="37" t="s">
        <v>848</v>
      </c>
      <c r="E149" s="37" t="s">
        <v>848</v>
      </c>
      <c r="F149" s="37" t="s">
        <v>849</v>
      </c>
      <c r="G149" s="37" t="s">
        <v>850</v>
      </c>
      <c r="H149" s="37" t="s">
        <v>851</v>
      </c>
      <c r="I149" s="37" t="s">
        <v>852</v>
      </c>
      <c r="J149" s="37" t="s">
        <v>68</v>
      </c>
      <c r="K149" s="37" t="s">
        <v>114</v>
      </c>
      <c r="L149" s="37" t="s">
        <v>114</v>
      </c>
      <c r="M149" s="37">
        <v>25245</v>
      </c>
      <c r="N149" s="38" t="s">
        <v>853</v>
      </c>
      <c r="S149" s="23">
        <f>VLOOKUP(A149,Hoja1!A:D,4,0)</f>
        <v>3</v>
      </c>
      <c r="T149" s="26" t="str">
        <f>VLOOKUP(M149,[1]TIPOLOGIAS!$A:$F,4,0)</f>
        <v>BOGOTA</v>
      </c>
      <c r="U149" s="26" t="str">
        <f>VLOOKUP(T149,'BASE TARIFA 2025'!C:D,2,0)</f>
        <v>WOMPI CENTRO</v>
      </c>
      <c r="V149" s="27">
        <f>VLOOKUP(T149,'BASE TARIFA 2025'!C:F,3,0)</f>
        <v>37313</v>
      </c>
      <c r="W149" s="27">
        <f t="shared" si="2"/>
        <v>111939</v>
      </c>
    </row>
    <row r="150" spans="1:23" s="37" customFormat="1" ht="14.4" x14ac:dyDescent="0.3">
      <c r="A150" s="37">
        <v>32108</v>
      </c>
      <c r="B150" s="37" t="s">
        <v>3800</v>
      </c>
      <c r="C150" s="37">
        <v>63432597</v>
      </c>
      <c r="D150" s="37" t="s">
        <v>67</v>
      </c>
      <c r="E150" s="37" t="s">
        <v>854</v>
      </c>
      <c r="F150" s="37" t="s">
        <v>854</v>
      </c>
      <c r="G150" s="37" t="s">
        <v>855</v>
      </c>
      <c r="H150" s="37" t="s">
        <v>856</v>
      </c>
      <c r="I150" s="37" t="s">
        <v>857</v>
      </c>
      <c r="J150" s="37" t="s">
        <v>68</v>
      </c>
      <c r="K150" s="37" t="s">
        <v>114</v>
      </c>
      <c r="L150" s="37" t="s">
        <v>114</v>
      </c>
      <c r="M150" s="37">
        <v>25245</v>
      </c>
      <c r="N150" s="38" t="s">
        <v>841</v>
      </c>
      <c r="S150" s="23">
        <f>VLOOKUP(A150,Hoja1!A:D,4,0)</f>
        <v>2</v>
      </c>
      <c r="T150" s="26" t="str">
        <f>VLOOKUP(M150,[1]TIPOLOGIAS!$A:$F,4,0)</f>
        <v>BOGOTA</v>
      </c>
      <c r="U150" s="26" t="str">
        <f>VLOOKUP(T150,'BASE TARIFA 2025'!C:D,2,0)</f>
        <v>WOMPI CENTRO</v>
      </c>
      <c r="V150" s="27">
        <f>VLOOKUP(T150,'BASE TARIFA 2025'!C:F,3,0)</f>
        <v>37313</v>
      </c>
      <c r="W150" s="27">
        <f t="shared" si="2"/>
        <v>74626</v>
      </c>
    </row>
    <row r="151" spans="1:23" s="37" customFormat="1" ht="14.4" x14ac:dyDescent="0.3">
      <c r="A151" s="37">
        <v>30387</v>
      </c>
      <c r="B151" s="37" t="s">
        <v>3801</v>
      </c>
      <c r="C151" s="37">
        <v>13822166</v>
      </c>
      <c r="D151" s="37" t="s">
        <v>858</v>
      </c>
      <c r="E151" s="37" t="s">
        <v>859</v>
      </c>
      <c r="F151" s="37" t="s">
        <v>858</v>
      </c>
      <c r="G151" s="37" t="s">
        <v>860</v>
      </c>
      <c r="H151" s="37" t="s">
        <v>861</v>
      </c>
      <c r="I151" s="37" t="s">
        <v>862</v>
      </c>
      <c r="J151" s="37" t="s">
        <v>68</v>
      </c>
      <c r="K151" s="37" t="s">
        <v>114</v>
      </c>
      <c r="L151" s="37" t="s">
        <v>114</v>
      </c>
      <c r="M151" s="37">
        <v>25245</v>
      </c>
      <c r="N151" s="38" t="s">
        <v>853</v>
      </c>
      <c r="S151" s="23">
        <f>VLOOKUP(A151,Hoja1!A:D,4,0)</f>
        <v>2</v>
      </c>
      <c r="T151" s="26" t="str">
        <f>VLOOKUP(M151,[1]TIPOLOGIAS!$A:$F,4,0)</f>
        <v>BOGOTA</v>
      </c>
      <c r="U151" s="26" t="str">
        <f>VLOOKUP(T151,'BASE TARIFA 2025'!C:D,2,0)</f>
        <v>WOMPI CENTRO</v>
      </c>
      <c r="V151" s="27">
        <f>VLOOKUP(T151,'BASE TARIFA 2025'!C:F,3,0)</f>
        <v>37313</v>
      </c>
      <c r="W151" s="27">
        <f t="shared" si="2"/>
        <v>74626</v>
      </c>
    </row>
    <row r="152" spans="1:23" s="37" customFormat="1" ht="14.4" x14ac:dyDescent="0.3">
      <c r="A152" s="37">
        <v>31905</v>
      </c>
      <c r="B152" s="37" t="s">
        <v>3631</v>
      </c>
      <c r="C152" s="37">
        <v>13715984</v>
      </c>
      <c r="D152" s="37" t="s">
        <v>863</v>
      </c>
      <c r="E152" s="37" t="s">
        <v>848</v>
      </c>
      <c r="F152" s="37" t="s">
        <v>849</v>
      </c>
      <c r="G152" s="37" t="s">
        <v>864</v>
      </c>
      <c r="H152" s="37" t="s">
        <v>865</v>
      </c>
      <c r="I152" s="37" t="s">
        <v>866</v>
      </c>
      <c r="J152" s="37" t="s">
        <v>68</v>
      </c>
      <c r="K152" s="37" t="s">
        <v>114</v>
      </c>
      <c r="L152" s="37" t="s">
        <v>114</v>
      </c>
      <c r="M152" s="37">
        <v>25245</v>
      </c>
      <c r="N152" s="38" t="s">
        <v>853</v>
      </c>
      <c r="S152" s="23">
        <f>VLOOKUP(A152,Hoja1!A:D,4,0)</f>
        <v>2</v>
      </c>
      <c r="T152" s="26" t="str">
        <f>VLOOKUP(M152,[1]TIPOLOGIAS!$A:$F,4,0)</f>
        <v>BOGOTA</v>
      </c>
      <c r="U152" s="26" t="str">
        <f>VLOOKUP(T152,'BASE TARIFA 2025'!C:D,2,0)</f>
        <v>WOMPI CENTRO</v>
      </c>
      <c r="V152" s="27">
        <f>VLOOKUP(T152,'BASE TARIFA 2025'!C:F,3,0)</f>
        <v>37313</v>
      </c>
      <c r="W152" s="27">
        <f t="shared" si="2"/>
        <v>74626</v>
      </c>
    </row>
    <row r="153" spans="1:23" s="37" customFormat="1" ht="14.4" x14ac:dyDescent="0.3">
      <c r="A153" s="37">
        <v>26983</v>
      </c>
      <c r="B153" s="37" t="s">
        <v>3802</v>
      </c>
      <c r="C153" s="37">
        <v>86081636</v>
      </c>
      <c r="D153" s="37" t="s">
        <v>867</v>
      </c>
      <c r="E153" s="37" t="s">
        <v>116</v>
      </c>
      <c r="F153" s="37" t="s">
        <v>116</v>
      </c>
      <c r="G153" s="37" t="s">
        <v>868</v>
      </c>
      <c r="H153" s="37" t="s">
        <v>869</v>
      </c>
      <c r="I153" s="37" t="s">
        <v>870</v>
      </c>
      <c r="J153" s="37" t="s">
        <v>68</v>
      </c>
      <c r="K153" s="37" t="s">
        <v>115</v>
      </c>
      <c r="L153" s="37" t="s">
        <v>115</v>
      </c>
      <c r="M153" s="37">
        <v>25269</v>
      </c>
      <c r="N153" s="38" t="s">
        <v>321</v>
      </c>
      <c r="S153" s="23">
        <f>VLOOKUP(A153,Hoja1!A:D,4,0)</f>
        <v>6</v>
      </c>
      <c r="T153" s="26" t="str">
        <f>VLOOKUP(M153,[1]TIPOLOGIAS!$A:$F,4,0)</f>
        <v>BOGOTA</v>
      </c>
      <c r="U153" s="26" t="str">
        <f>VLOOKUP(T153,'BASE TARIFA 2025'!C:D,2,0)</f>
        <v>WOMPI CENTRO</v>
      </c>
      <c r="V153" s="27">
        <f>VLOOKUP(T153,'BASE TARIFA 2025'!C:F,3,0)</f>
        <v>37313</v>
      </c>
      <c r="W153" s="27">
        <f t="shared" si="2"/>
        <v>223878</v>
      </c>
    </row>
    <row r="154" spans="1:23" s="37" customFormat="1" ht="14.4" x14ac:dyDescent="0.3">
      <c r="A154" s="37">
        <v>30026</v>
      </c>
      <c r="B154" s="37" t="s">
        <v>3803</v>
      </c>
      <c r="C154" s="37">
        <v>10545468</v>
      </c>
      <c r="D154" s="37" t="s">
        <v>871</v>
      </c>
      <c r="E154" s="37" t="s">
        <v>872</v>
      </c>
      <c r="F154" s="37" t="s">
        <v>872</v>
      </c>
      <c r="G154" s="37" t="s">
        <v>873</v>
      </c>
      <c r="H154" s="37" t="s">
        <v>874</v>
      </c>
      <c r="I154" s="37" t="s">
        <v>875</v>
      </c>
      <c r="J154" s="37" t="s">
        <v>68</v>
      </c>
      <c r="K154" s="37" t="s">
        <v>115</v>
      </c>
      <c r="L154" s="37" t="s">
        <v>115</v>
      </c>
      <c r="M154" s="37">
        <v>25269</v>
      </c>
      <c r="N154" s="38" t="s">
        <v>485</v>
      </c>
      <c r="S154" s="23">
        <f>VLOOKUP(A154,Hoja1!A:D,4,0)</f>
        <v>2</v>
      </c>
      <c r="T154" s="26" t="str">
        <f>VLOOKUP(M154,[1]TIPOLOGIAS!$A:$F,4,0)</f>
        <v>BOGOTA</v>
      </c>
      <c r="U154" s="26" t="str">
        <f>VLOOKUP(T154,'BASE TARIFA 2025'!C:D,2,0)</f>
        <v>WOMPI CENTRO</v>
      </c>
      <c r="V154" s="27">
        <f>VLOOKUP(T154,'BASE TARIFA 2025'!C:F,3,0)</f>
        <v>37313</v>
      </c>
      <c r="W154" s="27">
        <f t="shared" si="2"/>
        <v>74626</v>
      </c>
    </row>
    <row r="155" spans="1:23" s="37" customFormat="1" ht="14.4" x14ac:dyDescent="0.3">
      <c r="A155" s="37">
        <v>39493</v>
      </c>
      <c r="B155" s="37" t="s">
        <v>3804</v>
      </c>
      <c r="C155" s="37">
        <v>890306372</v>
      </c>
      <c r="D155" s="37" t="s">
        <v>69</v>
      </c>
      <c r="E155" s="37" t="s">
        <v>876</v>
      </c>
      <c r="F155" s="37" t="s">
        <v>876</v>
      </c>
      <c r="G155" s="37" t="s">
        <v>877</v>
      </c>
      <c r="H155" s="37" t="s">
        <v>878</v>
      </c>
      <c r="I155" s="37" t="s">
        <v>879</v>
      </c>
      <c r="J155" s="37" t="s">
        <v>68</v>
      </c>
      <c r="K155" s="37" t="s">
        <v>115</v>
      </c>
      <c r="L155" s="37" t="s">
        <v>115</v>
      </c>
      <c r="M155" s="37">
        <v>25269</v>
      </c>
      <c r="N155" s="38" t="s">
        <v>485</v>
      </c>
      <c r="S155" s="23">
        <f>VLOOKUP(A155,Hoja1!A:D,4,0)</f>
        <v>1</v>
      </c>
      <c r="T155" s="26" t="str">
        <f>VLOOKUP(M155,[1]TIPOLOGIAS!$A:$F,4,0)</f>
        <v>BOGOTA</v>
      </c>
      <c r="U155" s="26" t="str">
        <f>VLOOKUP(T155,'BASE TARIFA 2025'!C:D,2,0)</f>
        <v>WOMPI CENTRO</v>
      </c>
      <c r="V155" s="27">
        <f>VLOOKUP(T155,'BASE TARIFA 2025'!C:F,3,0)</f>
        <v>37313</v>
      </c>
      <c r="W155" s="27">
        <f t="shared" si="2"/>
        <v>37313</v>
      </c>
    </row>
    <row r="156" spans="1:23" s="37" customFormat="1" ht="14.4" x14ac:dyDescent="0.3">
      <c r="A156" s="37">
        <v>67753</v>
      </c>
      <c r="B156" s="37" t="s">
        <v>3805</v>
      </c>
      <c r="C156" s="37">
        <v>1121842169</v>
      </c>
      <c r="D156" s="37" t="s">
        <v>880</v>
      </c>
      <c r="E156" s="37" t="s">
        <v>880</v>
      </c>
      <c r="F156" s="37" t="s">
        <v>880</v>
      </c>
      <c r="G156" s="37" t="s">
        <v>881</v>
      </c>
      <c r="H156" s="37" t="s">
        <v>882</v>
      </c>
      <c r="I156" s="37" t="s">
        <v>883</v>
      </c>
      <c r="J156" s="37" t="s">
        <v>68</v>
      </c>
      <c r="K156" s="37" t="s">
        <v>115</v>
      </c>
      <c r="L156" s="37" t="s">
        <v>115</v>
      </c>
      <c r="M156" s="37">
        <v>25269</v>
      </c>
      <c r="N156" s="38" t="s">
        <v>321</v>
      </c>
      <c r="S156" s="23">
        <f>VLOOKUP(A156,Hoja1!A:D,4,0)</f>
        <v>1</v>
      </c>
      <c r="T156" s="26" t="str">
        <f>VLOOKUP(M156,[1]TIPOLOGIAS!$A:$F,4,0)</f>
        <v>BOGOTA</v>
      </c>
      <c r="U156" s="26" t="str">
        <f>VLOOKUP(T156,'BASE TARIFA 2025'!C:D,2,0)</f>
        <v>WOMPI CENTRO</v>
      </c>
      <c r="V156" s="27">
        <f>VLOOKUP(T156,'BASE TARIFA 2025'!C:F,3,0)</f>
        <v>37313</v>
      </c>
      <c r="W156" s="27">
        <f t="shared" si="2"/>
        <v>37313</v>
      </c>
    </row>
    <row r="157" spans="1:23" s="37" customFormat="1" ht="14.4" x14ac:dyDescent="0.3">
      <c r="A157" s="37">
        <v>69390</v>
      </c>
      <c r="B157" s="37" t="s">
        <v>3806</v>
      </c>
      <c r="C157" s="37">
        <v>1121842169</v>
      </c>
      <c r="D157" s="37" t="s">
        <v>884</v>
      </c>
      <c r="E157" s="37" t="s">
        <v>885</v>
      </c>
      <c r="F157" s="37" t="s">
        <v>885</v>
      </c>
      <c r="G157" s="37" t="s">
        <v>886</v>
      </c>
      <c r="H157" s="37" t="s">
        <v>887</v>
      </c>
      <c r="I157" s="37" t="s">
        <v>888</v>
      </c>
      <c r="J157" s="37" t="s">
        <v>68</v>
      </c>
      <c r="K157" s="37" t="s">
        <v>115</v>
      </c>
      <c r="L157" s="37" t="s">
        <v>115</v>
      </c>
      <c r="M157" s="37">
        <v>25269</v>
      </c>
      <c r="N157" s="38" t="s">
        <v>322</v>
      </c>
      <c r="S157" s="23">
        <f>VLOOKUP(A157,Hoja1!A:D,4,0)</f>
        <v>1</v>
      </c>
      <c r="T157" s="26" t="str">
        <f>VLOOKUP(M157,[1]TIPOLOGIAS!$A:$F,4,0)</f>
        <v>BOGOTA</v>
      </c>
      <c r="U157" s="26" t="str">
        <f>VLOOKUP(T157,'BASE TARIFA 2025'!C:D,2,0)</f>
        <v>WOMPI CENTRO</v>
      </c>
      <c r="V157" s="27">
        <f>VLOOKUP(T157,'BASE TARIFA 2025'!C:F,3,0)</f>
        <v>37313</v>
      </c>
      <c r="W157" s="27">
        <f t="shared" si="2"/>
        <v>37313</v>
      </c>
    </row>
    <row r="158" spans="1:23" s="37" customFormat="1" ht="14.4" x14ac:dyDescent="0.3">
      <c r="A158" s="37">
        <v>10016</v>
      </c>
      <c r="B158" s="37" t="s">
        <v>3807</v>
      </c>
      <c r="C158" s="37">
        <v>5796974</v>
      </c>
      <c r="D158" s="37" t="s">
        <v>889</v>
      </c>
      <c r="E158" s="37" t="s">
        <v>889</v>
      </c>
      <c r="F158" s="37" t="s">
        <v>890</v>
      </c>
      <c r="G158" s="37" t="s">
        <v>891</v>
      </c>
      <c r="H158" s="37" t="s">
        <v>892</v>
      </c>
      <c r="I158" s="37" t="s">
        <v>893</v>
      </c>
      <c r="J158" s="37" t="s">
        <v>68</v>
      </c>
      <c r="K158" s="37" t="s">
        <v>115</v>
      </c>
      <c r="L158" s="37" t="s">
        <v>115</v>
      </c>
      <c r="M158" s="37">
        <v>25269</v>
      </c>
      <c r="N158" s="38" t="s">
        <v>322</v>
      </c>
      <c r="S158" s="23">
        <f>VLOOKUP(A158,Hoja1!A:D,4,0)</f>
        <v>2</v>
      </c>
      <c r="T158" s="26" t="str">
        <f>VLOOKUP(M158,[1]TIPOLOGIAS!$A:$F,4,0)</f>
        <v>BOGOTA</v>
      </c>
      <c r="U158" s="26" t="str">
        <f>VLOOKUP(T158,'BASE TARIFA 2025'!C:D,2,0)</f>
        <v>WOMPI CENTRO</v>
      </c>
      <c r="V158" s="27">
        <f>VLOOKUP(T158,'BASE TARIFA 2025'!C:F,3,0)</f>
        <v>37313</v>
      </c>
      <c r="W158" s="27">
        <f t="shared" si="2"/>
        <v>74626</v>
      </c>
    </row>
    <row r="159" spans="1:23" s="37" customFormat="1" ht="14.4" x14ac:dyDescent="0.3">
      <c r="A159" s="37">
        <v>11742</v>
      </c>
      <c r="B159" s="37" t="s">
        <v>3808</v>
      </c>
      <c r="C159" s="37">
        <v>800054946</v>
      </c>
      <c r="D159" s="37" t="s">
        <v>894</v>
      </c>
      <c r="E159" s="37" t="s">
        <v>894</v>
      </c>
      <c r="F159" s="37" t="s">
        <v>894</v>
      </c>
      <c r="G159" s="37" t="s">
        <v>895</v>
      </c>
      <c r="H159" s="37" t="s">
        <v>896</v>
      </c>
      <c r="I159" s="37" t="s">
        <v>897</v>
      </c>
      <c r="J159" s="37" t="s">
        <v>68</v>
      </c>
      <c r="K159" s="37" t="s">
        <v>115</v>
      </c>
      <c r="L159" s="37" t="s">
        <v>115</v>
      </c>
      <c r="M159" s="37">
        <v>25269</v>
      </c>
      <c r="N159" s="38" t="s">
        <v>322</v>
      </c>
      <c r="S159" s="23">
        <f>VLOOKUP(A159,Hoja1!A:D,4,0)</f>
        <v>3</v>
      </c>
      <c r="T159" s="26" t="str">
        <f>VLOOKUP(M159,[1]TIPOLOGIAS!$A:$F,4,0)</f>
        <v>BOGOTA</v>
      </c>
      <c r="U159" s="26" t="str">
        <f>VLOOKUP(T159,'BASE TARIFA 2025'!C:D,2,0)</f>
        <v>WOMPI CENTRO</v>
      </c>
      <c r="V159" s="27">
        <f>VLOOKUP(T159,'BASE TARIFA 2025'!C:F,3,0)</f>
        <v>37313</v>
      </c>
      <c r="W159" s="27">
        <f t="shared" si="2"/>
        <v>111939</v>
      </c>
    </row>
    <row r="160" spans="1:23" s="37" customFormat="1" ht="14.4" x14ac:dyDescent="0.3">
      <c r="A160" s="37">
        <v>22039</v>
      </c>
      <c r="B160" s="37" t="s">
        <v>3809</v>
      </c>
      <c r="C160" s="37">
        <v>801002644</v>
      </c>
      <c r="D160" s="37" t="s">
        <v>67</v>
      </c>
      <c r="E160" s="37" t="s">
        <v>898</v>
      </c>
      <c r="F160" s="37" t="s">
        <v>898</v>
      </c>
      <c r="G160" s="37" t="s">
        <v>899</v>
      </c>
      <c r="H160" s="37" t="s">
        <v>900</v>
      </c>
      <c r="I160" s="37" t="s">
        <v>901</v>
      </c>
      <c r="J160" s="37" t="s">
        <v>68</v>
      </c>
      <c r="K160" s="37" t="s">
        <v>115</v>
      </c>
      <c r="L160" s="37" t="s">
        <v>115</v>
      </c>
      <c r="M160" s="37">
        <v>25269</v>
      </c>
      <c r="N160" s="38" t="s">
        <v>321</v>
      </c>
      <c r="S160" s="23">
        <f>VLOOKUP(A160,Hoja1!A:D,4,0)</f>
        <v>2</v>
      </c>
      <c r="T160" s="26" t="str">
        <f>VLOOKUP(M160,[1]TIPOLOGIAS!$A:$F,4,0)</f>
        <v>BOGOTA</v>
      </c>
      <c r="U160" s="26" t="str">
        <f>VLOOKUP(T160,'BASE TARIFA 2025'!C:D,2,0)</f>
        <v>WOMPI CENTRO</v>
      </c>
      <c r="V160" s="27">
        <f>VLOOKUP(T160,'BASE TARIFA 2025'!C:F,3,0)</f>
        <v>37313</v>
      </c>
      <c r="W160" s="27">
        <f t="shared" si="2"/>
        <v>74626</v>
      </c>
    </row>
    <row r="161" spans="1:23" s="37" customFormat="1" ht="14.4" x14ac:dyDescent="0.3">
      <c r="A161" s="37">
        <v>67039</v>
      </c>
      <c r="B161" s="37" t="s">
        <v>3810</v>
      </c>
      <c r="C161" s="37">
        <v>51804506</v>
      </c>
      <c r="D161" s="37" t="s">
        <v>67</v>
      </c>
      <c r="E161" s="37" t="s">
        <v>902</v>
      </c>
      <c r="F161" s="37" t="s">
        <v>902</v>
      </c>
      <c r="G161" s="37" t="s">
        <v>903</v>
      </c>
      <c r="H161" s="37" t="s">
        <v>904</v>
      </c>
      <c r="I161" s="37" t="s">
        <v>905</v>
      </c>
      <c r="J161" s="37" t="s">
        <v>68</v>
      </c>
      <c r="K161" s="37" t="s">
        <v>115</v>
      </c>
      <c r="L161" s="37" t="s">
        <v>115</v>
      </c>
      <c r="M161" s="37">
        <v>25269</v>
      </c>
      <c r="N161" s="38" t="s">
        <v>485</v>
      </c>
      <c r="S161" s="23">
        <f>VLOOKUP(A161,Hoja1!A:D,4,0)</f>
        <v>1</v>
      </c>
      <c r="T161" s="26" t="str">
        <f>VLOOKUP(M161,[1]TIPOLOGIAS!$A:$F,4,0)</f>
        <v>BOGOTA</v>
      </c>
      <c r="U161" s="26" t="str">
        <f>VLOOKUP(T161,'BASE TARIFA 2025'!C:D,2,0)</f>
        <v>WOMPI CENTRO</v>
      </c>
      <c r="V161" s="27">
        <f>VLOOKUP(T161,'BASE TARIFA 2025'!C:F,3,0)</f>
        <v>37313</v>
      </c>
      <c r="W161" s="27">
        <f t="shared" si="2"/>
        <v>37313</v>
      </c>
    </row>
    <row r="162" spans="1:23" s="37" customFormat="1" ht="14.4" x14ac:dyDescent="0.3">
      <c r="A162" s="37">
        <v>63463</v>
      </c>
      <c r="B162" s="37" t="s">
        <v>315</v>
      </c>
      <c r="C162" s="37">
        <v>28057789</v>
      </c>
      <c r="D162" s="37" t="s">
        <v>906</v>
      </c>
      <c r="E162" s="37" t="s">
        <v>906</v>
      </c>
      <c r="F162" s="37" t="s">
        <v>907</v>
      </c>
      <c r="G162" s="37" t="s">
        <v>908</v>
      </c>
      <c r="H162" s="37" t="s">
        <v>909</v>
      </c>
      <c r="I162" s="37" t="s">
        <v>910</v>
      </c>
      <c r="J162" s="37" t="s">
        <v>68</v>
      </c>
      <c r="K162" s="37" t="s">
        <v>115</v>
      </c>
      <c r="L162" s="37" t="s">
        <v>115</v>
      </c>
      <c r="M162" s="37">
        <v>25269</v>
      </c>
      <c r="N162" s="38" t="s">
        <v>485</v>
      </c>
      <c r="S162" s="23">
        <f>VLOOKUP(A162,Hoja1!A:D,4,0)</f>
        <v>1</v>
      </c>
      <c r="T162" s="26" t="str">
        <f>VLOOKUP(M162,[1]TIPOLOGIAS!$A:$F,4,0)</f>
        <v>BOGOTA</v>
      </c>
      <c r="U162" s="26" t="str">
        <f>VLOOKUP(T162,'BASE TARIFA 2025'!C:D,2,0)</f>
        <v>WOMPI CENTRO</v>
      </c>
      <c r="V162" s="27">
        <f>VLOOKUP(T162,'BASE TARIFA 2025'!C:F,3,0)</f>
        <v>37313</v>
      </c>
      <c r="W162" s="27">
        <f t="shared" si="2"/>
        <v>37313</v>
      </c>
    </row>
    <row r="163" spans="1:23" s="37" customFormat="1" ht="14.4" x14ac:dyDescent="0.3">
      <c r="A163" s="37">
        <v>12091</v>
      </c>
      <c r="B163" s="37" t="s">
        <v>3811</v>
      </c>
      <c r="C163" s="37">
        <v>28636734</v>
      </c>
      <c r="D163" s="37" t="s">
        <v>911</v>
      </c>
      <c r="E163" s="37" t="s">
        <v>912</v>
      </c>
      <c r="F163" s="37" t="s">
        <v>912</v>
      </c>
      <c r="G163" s="37" t="s">
        <v>913</v>
      </c>
      <c r="H163" s="37" t="s">
        <v>914</v>
      </c>
      <c r="I163" s="37" t="s">
        <v>915</v>
      </c>
      <c r="J163" s="37" t="s">
        <v>68</v>
      </c>
      <c r="K163" s="37" t="s">
        <v>115</v>
      </c>
      <c r="L163" s="37" t="s">
        <v>115</v>
      </c>
      <c r="M163" s="37">
        <v>25269</v>
      </c>
      <c r="N163" s="38" t="s">
        <v>485</v>
      </c>
      <c r="S163" s="23">
        <f>VLOOKUP(A163,Hoja1!A:D,4,0)</f>
        <v>1</v>
      </c>
      <c r="T163" s="26" t="str">
        <f>VLOOKUP(M163,[1]TIPOLOGIAS!$A:$F,4,0)</f>
        <v>BOGOTA</v>
      </c>
      <c r="U163" s="26" t="str">
        <f>VLOOKUP(T163,'BASE TARIFA 2025'!C:D,2,0)</f>
        <v>WOMPI CENTRO</v>
      </c>
      <c r="V163" s="27">
        <f>VLOOKUP(T163,'BASE TARIFA 2025'!C:F,3,0)</f>
        <v>37313</v>
      </c>
      <c r="W163" s="27">
        <f t="shared" si="2"/>
        <v>37313</v>
      </c>
    </row>
    <row r="164" spans="1:23" s="37" customFormat="1" ht="14.4" x14ac:dyDescent="0.3">
      <c r="A164" s="37">
        <v>70775</v>
      </c>
      <c r="B164" s="37" t="s">
        <v>3812</v>
      </c>
      <c r="C164" s="37">
        <v>1110532353</v>
      </c>
      <c r="D164" s="37" t="s">
        <v>916</v>
      </c>
      <c r="E164" s="37" t="s">
        <v>916</v>
      </c>
      <c r="G164" s="37" t="s">
        <v>917</v>
      </c>
      <c r="H164" s="37" t="s">
        <v>918</v>
      </c>
      <c r="I164" s="37" t="s">
        <v>919</v>
      </c>
      <c r="J164" s="37" t="s">
        <v>142</v>
      </c>
      <c r="K164" s="37" t="s">
        <v>203</v>
      </c>
      <c r="L164" s="37" t="s">
        <v>203</v>
      </c>
      <c r="M164" s="37">
        <v>18592</v>
      </c>
      <c r="N164" s="38" t="s">
        <v>323</v>
      </c>
      <c r="S164" s="23">
        <f>VLOOKUP(A164,Hoja1!A:D,4,0)</f>
        <v>1</v>
      </c>
      <c r="T164" s="26" t="str">
        <f>VLOOKUP(M164,[1]TIPOLOGIAS!$A:$F,4,0)</f>
        <v>NEIVA</v>
      </c>
      <c r="U164" s="26" t="str">
        <f>VLOOKUP(T164,'BASE TARIFA 2025'!C:D,2,0)</f>
        <v>WOMPI ORIENTE</v>
      </c>
      <c r="V164" s="27">
        <f>VLOOKUP(T164,'BASE TARIFA 2025'!C:F,3,0)</f>
        <v>49671.7</v>
      </c>
      <c r="W164" s="27">
        <f t="shared" si="2"/>
        <v>49671.7</v>
      </c>
    </row>
    <row r="165" spans="1:23" s="37" customFormat="1" ht="14.4" x14ac:dyDescent="0.3">
      <c r="A165" s="37">
        <v>47011</v>
      </c>
      <c r="B165" s="37" t="s">
        <v>3813</v>
      </c>
      <c r="C165" s="37">
        <v>41243381</v>
      </c>
      <c r="D165" s="37" t="s">
        <v>920</v>
      </c>
      <c r="E165" s="37" t="s">
        <v>920</v>
      </c>
      <c r="G165" s="37" t="s">
        <v>921</v>
      </c>
      <c r="H165" s="37" t="s">
        <v>922</v>
      </c>
      <c r="I165" s="37" t="s">
        <v>923</v>
      </c>
      <c r="J165" s="37" t="s">
        <v>142</v>
      </c>
      <c r="K165" s="37" t="s">
        <v>203</v>
      </c>
      <c r="L165" s="37" t="s">
        <v>203</v>
      </c>
      <c r="M165" s="37">
        <v>18592</v>
      </c>
      <c r="N165" s="38" t="s">
        <v>323</v>
      </c>
      <c r="S165" s="23">
        <f>VLOOKUP(A165,Hoja1!A:D,4,0)</f>
        <v>1</v>
      </c>
      <c r="T165" s="26" t="str">
        <f>VLOOKUP(M165,[1]TIPOLOGIAS!$A:$F,4,0)</f>
        <v>NEIVA</v>
      </c>
      <c r="U165" s="26" t="str">
        <f>VLOOKUP(T165,'BASE TARIFA 2025'!C:D,2,0)</f>
        <v>WOMPI ORIENTE</v>
      </c>
      <c r="V165" s="27">
        <f>VLOOKUP(T165,'BASE TARIFA 2025'!C:F,3,0)</f>
        <v>49671.7</v>
      </c>
      <c r="W165" s="27">
        <f t="shared" si="2"/>
        <v>49671.7</v>
      </c>
    </row>
    <row r="166" spans="1:23" s="37" customFormat="1" ht="14.4" x14ac:dyDescent="0.3">
      <c r="A166" s="37">
        <v>60826</v>
      </c>
      <c r="B166" s="37" t="s">
        <v>3814</v>
      </c>
      <c r="C166" s="37">
        <v>1069265749</v>
      </c>
      <c r="D166" s="37" t="s">
        <v>924</v>
      </c>
      <c r="E166" s="37" t="s">
        <v>924</v>
      </c>
      <c r="F166" s="37" t="s">
        <v>924</v>
      </c>
      <c r="G166" s="37" t="s">
        <v>925</v>
      </c>
      <c r="H166" s="37" t="s">
        <v>926</v>
      </c>
      <c r="I166" s="37" t="s">
        <v>927</v>
      </c>
      <c r="J166" s="37" t="s">
        <v>142</v>
      </c>
      <c r="K166" s="37" t="s">
        <v>203</v>
      </c>
      <c r="L166" s="37" t="s">
        <v>203</v>
      </c>
      <c r="M166" s="37">
        <v>18592</v>
      </c>
      <c r="N166" s="38" t="s">
        <v>323</v>
      </c>
      <c r="S166" s="23">
        <f>VLOOKUP(A166,Hoja1!A:D,4,0)</f>
        <v>1</v>
      </c>
      <c r="T166" s="26" t="str">
        <f>VLOOKUP(M166,[1]TIPOLOGIAS!$A:$F,4,0)</f>
        <v>NEIVA</v>
      </c>
      <c r="U166" s="26" t="str">
        <f>VLOOKUP(T166,'BASE TARIFA 2025'!C:D,2,0)</f>
        <v>WOMPI ORIENTE</v>
      </c>
      <c r="V166" s="27">
        <f>VLOOKUP(T166,'BASE TARIFA 2025'!C:F,3,0)</f>
        <v>49671.7</v>
      </c>
      <c r="W166" s="27">
        <f t="shared" si="2"/>
        <v>49671.7</v>
      </c>
    </row>
    <row r="167" spans="1:23" s="37" customFormat="1" ht="14.4" x14ac:dyDescent="0.3">
      <c r="A167" s="37">
        <v>67742</v>
      </c>
      <c r="B167" s="37" t="s">
        <v>3815</v>
      </c>
      <c r="C167" s="37">
        <v>1069258611</v>
      </c>
      <c r="D167" s="37" t="s">
        <v>928</v>
      </c>
      <c r="E167" s="37" t="s">
        <v>929</v>
      </c>
      <c r="F167" s="37" t="s">
        <v>929</v>
      </c>
      <c r="G167" s="37" t="s">
        <v>930</v>
      </c>
      <c r="H167" s="37" t="s">
        <v>931</v>
      </c>
      <c r="I167" s="37" t="s">
        <v>932</v>
      </c>
      <c r="J167" s="37" t="s">
        <v>142</v>
      </c>
      <c r="K167" s="37" t="s">
        <v>204</v>
      </c>
      <c r="L167" s="37" t="s">
        <v>204</v>
      </c>
      <c r="M167" s="37">
        <v>18610</v>
      </c>
      <c r="N167" s="38" t="s">
        <v>320</v>
      </c>
      <c r="S167" s="23">
        <f>VLOOKUP(A167,Hoja1!A:D,4,0)</f>
        <v>1</v>
      </c>
      <c r="T167" s="26" t="str">
        <f>VLOOKUP(M167,[1]TIPOLOGIAS!$A:$F,4,0)</f>
        <v>NEIVA</v>
      </c>
      <c r="U167" s="26" t="str">
        <f>VLOOKUP(T167,'BASE TARIFA 2025'!C:D,2,0)</f>
        <v>WOMPI ORIENTE</v>
      </c>
      <c r="V167" s="27">
        <f>VLOOKUP(T167,'BASE TARIFA 2025'!C:F,3,0)</f>
        <v>49671.7</v>
      </c>
      <c r="W167" s="27">
        <f t="shared" si="2"/>
        <v>49671.7</v>
      </c>
    </row>
    <row r="168" spans="1:23" s="37" customFormat="1" ht="14.4" x14ac:dyDescent="0.3">
      <c r="A168" s="37">
        <v>68965</v>
      </c>
      <c r="B168" s="37" t="s">
        <v>3816</v>
      </c>
      <c r="C168" s="37">
        <v>1007141112</v>
      </c>
      <c r="D168" s="37" t="s">
        <v>933</v>
      </c>
      <c r="E168" s="37" t="s">
        <v>933</v>
      </c>
      <c r="F168" s="37" t="s">
        <v>933</v>
      </c>
      <c r="G168" s="37" t="s">
        <v>934</v>
      </c>
      <c r="H168" s="37" t="s">
        <v>935</v>
      </c>
      <c r="I168" s="37" t="s">
        <v>936</v>
      </c>
      <c r="J168" s="37" t="s">
        <v>142</v>
      </c>
      <c r="K168" s="37" t="s">
        <v>204</v>
      </c>
      <c r="L168" s="37" t="s">
        <v>204</v>
      </c>
      <c r="M168" s="37">
        <v>18610</v>
      </c>
      <c r="N168" s="38" t="s">
        <v>321</v>
      </c>
      <c r="S168" s="23">
        <f>VLOOKUP(A168,Hoja1!A:D,4,0)</f>
        <v>1</v>
      </c>
      <c r="T168" s="26" t="str">
        <f>VLOOKUP(M168,[1]TIPOLOGIAS!$A:$F,4,0)</f>
        <v>NEIVA</v>
      </c>
      <c r="U168" s="26" t="str">
        <f>VLOOKUP(T168,'BASE TARIFA 2025'!C:D,2,0)</f>
        <v>WOMPI ORIENTE</v>
      </c>
      <c r="V168" s="27">
        <f>VLOOKUP(T168,'BASE TARIFA 2025'!C:F,3,0)</f>
        <v>49671.7</v>
      </c>
      <c r="W168" s="27">
        <f t="shared" si="2"/>
        <v>49671.7</v>
      </c>
    </row>
    <row r="169" spans="1:23" s="37" customFormat="1" ht="14.4" x14ac:dyDescent="0.3">
      <c r="A169" s="37">
        <v>61670</v>
      </c>
      <c r="B169" s="37" t="s">
        <v>3817</v>
      </c>
      <c r="C169" s="37">
        <v>40381104</v>
      </c>
      <c r="D169" s="37" t="s">
        <v>937</v>
      </c>
      <c r="E169" s="37" t="s">
        <v>937</v>
      </c>
      <c r="F169" s="37" t="s">
        <v>937</v>
      </c>
      <c r="G169" s="37" t="s">
        <v>938</v>
      </c>
      <c r="H169" s="37" t="s">
        <v>939</v>
      </c>
      <c r="I169" s="37" t="s">
        <v>940</v>
      </c>
      <c r="J169" s="37" t="s">
        <v>142</v>
      </c>
      <c r="K169" s="37" t="s">
        <v>204</v>
      </c>
      <c r="L169" s="37" t="s">
        <v>204</v>
      </c>
      <c r="M169" s="37">
        <v>18610</v>
      </c>
      <c r="N169" s="38" t="s">
        <v>480</v>
      </c>
      <c r="S169" s="23">
        <f>VLOOKUP(A169,Hoja1!A:D,4,0)</f>
        <v>2</v>
      </c>
      <c r="T169" s="26" t="str">
        <f>VLOOKUP(M169,[1]TIPOLOGIAS!$A:$F,4,0)</f>
        <v>NEIVA</v>
      </c>
      <c r="U169" s="26" t="str">
        <f>VLOOKUP(T169,'BASE TARIFA 2025'!C:D,2,0)</f>
        <v>WOMPI ORIENTE</v>
      </c>
      <c r="V169" s="27">
        <f>VLOOKUP(T169,'BASE TARIFA 2025'!C:F,3,0)</f>
        <v>49671.7</v>
      </c>
      <c r="W169" s="27">
        <f t="shared" si="2"/>
        <v>99343.4</v>
      </c>
    </row>
    <row r="170" spans="1:23" s="37" customFormat="1" ht="14.4" x14ac:dyDescent="0.3">
      <c r="A170" s="37">
        <v>15606</v>
      </c>
      <c r="B170" s="37" t="s">
        <v>3818</v>
      </c>
      <c r="C170" s="37">
        <v>16674969</v>
      </c>
      <c r="D170" s="37" t="s">
        <v>941</v>
      </c>
      <c r="E170" s="37" t="s">
        <v>941</v>
      </c>
      <c r="F170" s="37" t="s">
        <v>941</v>
      </c>
      <c r="G170" s="37" t="s">
        <v>942</v>
      </c>
      <c r="H170" s="37" t="s">
        <v>943</v>
      </c>
      <c r="I170" s="37" t="s">
        <v>944</v>
      </c>
      <c r="J170" s="37" t="s">
        <v>142</v>
      </c>
      <c r="K170" s="37" t="s">
        <v>204</v>
      </c>
      <c r="L170" s="37" t="s">
        <v>204</v>
      </c>
      <c r="M170" s="37">
        <v>18610</v>
      </c>
      <c r="N170" s="38" t="s">
        <v>480</v>
      </c>
      <c r="S170" s="23">
        <f>VLOOKUP(A170,Hoja1!A:D,4,0)</f>
        <v>1</v>
      </c>
      <c r="T170" s="26" t="str">
        <f>VLOOKUP(M170,[1]TIPOLOGIAS!$A:$F,4,0)</f>
        <v>NEIVA</v>
      </c>
      <c r="U170" s="26" t="str">
        <f>VLOOKUP(T170,'BASE TARIFA 2025'!C:D,2,0)</f>
        <v>WOMPI ORIENTE</v>
      </c>
      <c r="V170" s="27">
        <f>VLOOKUP(T170,'BASE TARIFA 2025'!C:F,3,0)</f>
        <v>49671.7</v>
      </c>
      <c r="W170" s="27">
        <f t="shared" si="2"/>
        <v>49671.7</v>
      </c>
    </row>
    <row r="171" spans="1:23" s="37" customFormat="1" ht="14.4" x14ac:dyDescent="0.3">
      <c r="A171" s="37">
        <v>79549</v>
      </c>
      <c r="B171" s="37" t="s">
        <v>3819</v>
      </c>
      <c r="C171" s="37">
        <v>31309462</v>
      </c>
      <c r="D171" s="37" t="s">
        <v>945</v>
      </c>
      <c r="E171" s="37" t="s">
        <v>945</v>
      </c>
      <c r="F171" s="37" t="s">
        <v>945</v>
      </c>
      <c r="G171" s="37" t="s">
        <v>946</v>
      </c>
      <c r="H171" s="37" t="s">
        <v>947</v>
      </c>
      <c r="I171" s="37" t="s">
        <v>948</v>
      </c>
      <c r="J171" s="37" t="s">
        <v>142</v>
      </c>
      <c r="K171" s="37" t="s">
        <v>204</v>
      </c>
      <c r="L171" s="37" t="s">
        <v>204</v>
      </c>
      <c r="M171" s="37">
        <v>18610</v>
      </c>
      <c r="N171" s="38" t="s">
        <v>320</v>
      </c>
      <c r="S171" s="23">
        <f>VLOOKUP(A171,Hoja1!A:D,4,0)</f>
        <v>1</v>
      </c>
      <c r="T171" s="26" t="str">
        <f>VLOOKUP(M171,[1]TIPOLOGIAS!$A:$F,4,0)</f>
        <v>NEIVA</v>
      </c>
      <c r="U171" s="26" t="str">
        <f>VLOOKUP(T171,'BASE TARIFA 2025'!C:D,2,0)</f>
        <v>WOMPI ORIENTE</v>
      </c>
      <c r="V171" s="27">
        <f>VLOOKUP(T171,'BASE TARIFA 2025'!C:F,3,0)</f>
        <v>49671.7</v>
      </c>
      <c r="W171" s="27">
        <f t="shared" si="2"/>
        <v>49671.7</v>
      </c>
    </row>
    <row r="172" spans="1:23" s="37" customFormat="1" ht="14.4" x14ac:dyDescent="0.3">
      <c r="A172" s="37">
        <v>80939</v>
      </c>
      <c r="B172" s="37" t="s">
        <v>3820</v>
      </c>
      <c r="C172" s="37">
        <v>68290773</v>
      </c>
      <c r="D172" s="37" t="s">
        <v>949</v>
      </c>
      <c r="E172" s="37" t="s">
        <v>950</v>
      </c>
      <c r="F172" s="37" t="s">
        <v>949</v>
      </c>
      <c r="G172" s="37" t="s">
        <v>951</v>
      </c>
      <c r="H172" s="37" t="s">
        <v>952</v>
      </c>
      <c r="I172" s="37" t="s">
        <v>953</v>
      </c>
      <c r="J172" s="37" t="s">
        <v>142</v>
      </c>
      <c r="K172" s="37" t="s">
        <v>204</v>
      </c>
      <c r="L172" s="37" t="s">
        <v>204</v>
      </c>
      <c r="M172" s="37">
        <v>18610</v>
      </c>
      <c r="N172" s="38" t="s">
        <v>480</v>
      </c>
      <c r="S172" s="23">
        <f>VLOOKUP(A172,Hoja1!A:D,4,0)</f>
        <v>1</v>
      </c>
      <c r="T172" s="26" t="str">
        <f>VLOOKUP(M172,[1]TIPOLOGIAS!$A:$F,4,0)</f>
        <v>NEIVA</v>
      </c>
      <c r="U172" s="26" t="str">
        <f>VLOOKUP(T172,'BASE TARIFA 2025'!C:D,2,0)</f>
        <v>WOMPI ORIENTE</v>
      </c>
      <c r="V172" s="27">
        <f>VLOOKUP(T172,'BASE TARIFA 2025'!C:F,3,0)</f>
        <v>49671.7</v>
      </c>
      <c r="W172" s="27">
        <f t="shared" si="2"/>
        <v>49671.7</v>
      </c>
    </row>
    <row r="173" spans="1:23" s="37" customFormat="1" ht="14.4" x14ac:dyDescent="0.3">
      <c r="A173" s="37">
        <v>76719</v>
      </c>
      <c r="B173" s="37" t="s">
        <v>3821</v>
      </c>
      <c r="C173" s="37">
        <v>1007688785</v>
      </c>
      <c r="D173" s="37" t="s">
        <v>95</v>
      </c>
      <c r="E173" s="37" t="s">
        <v>95</v>
      </c>
      <c r="F173" s="37" t="s">
        <v>95</v>
      </c>
      <c r="G173" s="37" t="s">
        <v>954</v>
      </c>
      <c r="H173" s="37" t="s">
        <v>955</v>
      </c>
      <c r="I173" s="37" t="s">
        <v>956</v>
      </c>
      <c r="J173" s="37" t="s">
        <v>68</v>
      </c>
      <c r="K173" s="37" t="s">
        <v>149</v>
      </c>
      <c r="L173" s="37" t="s">
        <v>149</v>
      </c>
      <c r="M173" s="37">
        <v>25867</v>
      </c>
      <c r="N173" s="38" t="s">
        <v>513</v>
      </c>
      <c r="S173" s="23">
        <f>VLOOKUP(A173,Hoja1!A:D,4,0)</f>
        <v>1</v>
      </c>
      <c r="T173" s="26" t="str">
        <f>VLOOKUP(M173,[1]TIPOLOGIAS!$A:$F,4,0)</f>
        <v>BOGOTA</v>
      </c>
      <c r="U173" s="26" t="str">
        <f>VLOOKUP(T173,'BASE TARIFA 2025'!C:D,2,0)</f>
        <v>WOMPI CENTRO</v>
      </c>
      <c r="V173" s="27">
        <f>VLOOKUP(T173,'BASE TARIFA 2025'!C:F,3,0)</f>
        <v>37313</v>
      </c>
      <c r="W173" s="27">
        <f t="shared" si="2"/>
        <v>37313</v>
      </c>
    </row>
    <row r="174" spans="1:23" s="37" customFormat="1" ht="14.4" x14ac:dyDescent="0.3">
      <c r="A174" s="37">
        <v>77133</v>
      </c>
      <c r="B174" s="37" t="s">
        <v>3822</v>
      </c>
      <c r="C174" s="37">
        <v>20363580</v>
      </c>
      <c r="D174" s="37" t="s">
        <v>957</v>
      </c>
      <c r="E174" s="37" t="s">
        <v>958</v>
      </c>
      <c r="F174" s="37" t="s">
        <v>958</v>
      </c>
      <c r="G174" s="37" t="s">
        <v>959</v>
      </c>
      <c r="H174" s="37" t="s">
        <v>960</v>
      </c>
      <c r="I174" s="37" t="s">
        <v>961</v>
      </c>
      <c r="J174" s="37" t="s">
        <v>68</v>
      </c>
      <c r="K174" s="37" t="s">
        <v>150</v>
      </c>
      <c r="L174" s="37" t="s">
        <v>150</v>
      </c>
      <c r="M174" s="37">
        <v>25875</v>
      </c>
      <c r="N174" s="38" t="s">
        <v>323</v>
      </c>
      <c r="S174" s="23">
        <f>VLOOKUP(A174,Hoja1!A:D,4,0)</f>
        <v>1</v>
      </c>
      <c r="T174" s="26" t="str">
        <f>VLOOKUP(M174,[1]TIPOLOGIAS!$A:$F,4,0)</f>
        <v>BOGOTA</v>
      </c>
      <c r="U174" s="26" t="str">
        <f>VLOOKUP(T174,'BASE TARIFA 2025'!C:D,2,0)</f>
        <v>WOMPI CENTRO</v>
      </c>
      <c r="V174" s="27">
        <f>VLOOKUP(T174,'BASE TARIFA 2025'!C:F,3,0)</f>
        <v>37313</v>
      </c>
      <c r="W174" s="27">
        <f t="shared" si="2"/>
        <v>37313</v>
      </c>
    </row>
    <row r="175" spans="1:23" s="37" customFormat="1" ht="14.4" x14ac:dyDescent="0.3">
      <c r="A175" s="37">
        <v>63910</v>
      </c>
      <c r="B175" s="37" t="s">
        <v>3823</v>
      </c>
      <c r="C175" s="37">
        <v>51804506</v>
      </c>
      <c r="D175" s="37" t="s">
        <v>962</v>
      </c>
      <c r="E175" s="37" t="s">
        <v>962</v>
      </c>
      <c r="G175" s="37" t="s">
        <v>963</v>
      </c>
      <c r="H175" s="37" t="s">
        <v>964</v>
      </c>
      <c r="I175" s="37" t="s">
        <v>965</v>
      </c>
      <c r="J175" s="37" t="s">
        <v>68</v>
      </c>
      <c r="K175" s="37" t="s">
        <v>150</v>
      </c>
      <c r="L175" s="37" t="s">
        <v>150</v>
      </c>
      <c r="M175" s="37">
        <v>25875</v>
      </c>
      <c r="N175" s="38" t="s">
        <v>323</v>
      </c>
      <c r="S175" s="23">
        <f>VLOOKUP(A175,Hoja1!A:D,4,0)</f>
        <v>1</v>
      </c>
      <c r="T175" s="26" t="str">
        <f>VLOOKUP(M175,[1]TIPOLOGIAS!$A:$F,4,0)</f>
        <v>BOGOTA</v>
      </c>
      <c r="U175" s="26" t="str">
        <f>VLOOKUP(T175,'BASE TARIFA 2025'!C:D,2,0)</f>
        <v>WOMPI CENTRO</v>
      </c>
      <c r="V175" s="27">
        <f>VLOOKUP(T175,'BASE TARIFA 2025'!C:F,3,0)</f>
        <v>37313</v>
      </c>
      <c r="W175" s="27">
        <f t="shared" si="2"/>
        <v>37313</v>
      </c>
    </row>
    <row r="176" spans="1:23" s="37" customFormat="1" ht="14.4" x14ac:dyDescent="0.3">
      <c r="A176" s="37">
        <v>64152</v>
      </c>
      <c r="B176" s="37" t="s">
        <v>3824</v>
      </c>
      <c r="C176" s="37">
        <v>19373043</v>
      </c>
      <c r="D176" s="37" t="s">
        <v>966</v>
      </c>
      <c r="E176" s="37" t="s">
        <v>966</v>
      </c>
      <c r="F176" s="37" t="s">
        <v>966</v>
      </c>
      <c r="G176" s="37" t="s">
        <v>967</v>
      </c>
      <c r="H176" s="37" t="s">
        <v>968</v>
      </c>
      <c r="I176" s="37" t="s">
        <v>969</v>
      </c>
      <c r="J176" s="37" t="s">
        <v>68</v>
      </c>
      <c r="K176" s="37" t="s">
        <v>150</v>
      </c>
      <c r="L176" s="37" t="s">
        <v>150</v>
      </c>
      <c r="M176" s="37">
        <v>25875</v>
      </c>
      <c r="N176" s="38" t="s">
        <v>323</v>
      </c>
      <c r="S176" s="23">
        <f>VLOOKUP(A176,Hoja1!A:D,4,0)</f>
        <v>2</v>
      </c>
      <c r="T176" s="26" t="str">
        <f>VLOOKUP(M176,[1]TIPOLOGIAS!$A:$F,4,0)</f>
        <v>BOGOTA</v>
      </c>
      <c r="U176" s="26" t="str">
        <f>VLOOKUP(T176,'BASE TARIFA 2025'!C:D,2,0)</f>
        <v>WOMPI CENTRO</v>
      </c>
      <c r="V176" s="27">
        <f>VLOOKUP(T176,'BASE TARIFA 2025'!C:F,3,0)</f>
        <v>37313</v>
      </c>
      <c r="W176" s="27">
        <f t="shared" si="2"/>
        <v>74626</v>
      </c>
    </row>
    <row r="177" spans="1:23" s="37" customFormat="1" ht="14.4" x14ac:dyDescent="0.3">
      <c r="A177" s="37">
        <v>64252</v>
      </c>
      <c r="B177" s="37" t="s">
        <v>3825</v>
      </c>
      <c r="C177" s="37">
        <v>17316426</v>
      </c>
      <c r="D177" s="37" t="s">
        <v>970</v>
      </c>
      <c r="E177" s="37" t="s">
        <v>971</v>
      </c>
      <c r="F177" s="37" t="s">
        <v>970</v>
      </c>
      <c r="G177" s="37" t="s">
        <v>972</v>
      </c>
      <c r="H177" s="37" t="s">
        <v>973</v>
      </c>
      <c r="I177" s="37" t="s">
        <v>974</v>
      </c>
      <c r="J177" s="37" t="s">
        <v>68</v>
      </c>
      <c r="K177" s="37" t="s">
        <v>150</v>
      </c>
      <c r="L177" s="37" t="s">
        <v>150</v>
      </c>
      <c r="M177" s="37">
        <v>25875</v>
      </c>
      <c r="N177" s="38" t="s">
        <v>323</v>
      </c>
      <c r="S177" s="23">
        <f>VLOOKUP(A177,Hoja1!A:D,4,0)</f>
        <v>1</v>
      </c>
      <c r="T177" s="26" t="str">
        <f>VLOOKUP(M177,[1]TIPOLOGIAS!$A:$F,4,0)</f>
        <v>BOGOTA</v>
      </c>
      <c r="U177" s="26" t="str">
        <f>VLOOKUP(T177,'BASE TARIFA 2025'!C:D,2,0)</f>
        <v>WOMPI CENTRO</v>
      </c>
      <c r="V177" s="27">
        <f>VLOOKUP(T177,'BASE TARIFA 2025'!C:F,3,0)</f>
        <v>37313</v>
      </c>
      <c r="W177" s="27">
        <f t="shared" si="2"/>
        <v>37313</v>
      </c>
    </row>
    <row r="178" spans="1:23" s="37" customFormat="1" ht="14.4" x14ac:dyDescent="0.3">
      <c r="A178" s="37">
        <v>63148</v>
      </c>
      <c r="B178" s="37" t="s">
        <v>3826</v>
      </c>
      <c r="C178" s="37">
        <v>1010203964</v>
      </c>
      <c r="D178" s="37" t="s">
        <v>975</v>
      </c>
      <c r="E178" s="37" t="s">
        <v>67</v>
      </c>
      <c r="F178" s="37" t="s">
        <v>975</v>
      </c>
      <c r="G178" s="37" t="s">
        <v>976</v>
      </c>
      <c r="H178" s="37" t="s">
        <v>977</v>
      </c>
      <c r="I178" s="37" t="s">
        <v>978</v>
      </c>
      <c r="J178" s="37" t="s">
        <v>68</v>
      </c>
      <c r="K178" s="37" t="s">
        <v>150</v>
      </c>
      <c r="L178" s="37" t="s">
        <v>150</v>
      </c>
      <c r="M178" s="37">
        <v>25875</v>
      </c>
      <c r="N178" s="38" t="s">
        <v>323</v>
      </c>
      <c r="S178" s="23">
        <f>VLOOKUP(A178,Hoja1!A:D,4,0)</f>
        <v>2</v>
      </c>
      <c r="T178" s="26" t="str">
        <f>VLOOKUP(M178,[1]TIPOLOGIAS!$A:$F,4,0)</f>
        <v>BOGOTA</v>
      </c>
      <c r="U178" s="26" t="str">
        <f>VLOOKUP(T178,'BASE TARIFA 2025'!C:D,2,0)</f>
        <v>WOMPI CENTRO</v>
      </c>
      <c r="V178" s="27">
        <f>VLOOKUP(T178,'BASE TARIFA 2025'!C:F,3,0)</f>
        <v>37313</v>
      </c>
      <c r="W178" s="27">
        <f t="shared" si="2"/>
        <v>74626</v>
      </c>
    </row>
    <row r="179" spans="1:23" s="37" customFormat="1" ht="14.4" x14ac:dyDescent="0.3">
      <c r="A179" s="37">
        <v>18619</v>
      </c>
      <c r="B179" s="37" t="s">
        <v>3827</v>
      </c>
      <c r="C179" s="37">
        <v>79819938</v>
      </c>
      <c r="D179" s="37" t="s">
        <v>979</v>
      </c>
      <c r="E179" s="37" t="s">
        <v>980</v>
      </c>
      <c r="F179" s="37" t="s">
        <v>980</v>
      </c>
      <c r="G179" s="37" t="s">
        <v>981</v>
      </c>
      <c r="H179" s="37" t="s">
        <v>982</v>
      </c>
      <c r="I179" s="37" t="s">
        <v>983</v>
      </c>
      <c r="J179" s="37" t="s">
        <v>68</v>
      </c>
      <c r="K179" s="37" t="s">
        <v>984</v>
      </c>
      <c r="L179" s="37" t="s">
        <v>984</v>
      </c>
      <c r="M179" s="37">
        <v>25878</v>
      </c>
      <c r="N179" s="38" t="s">
        <v>416</v>
      </c>
      <c r="S179" s="23">
        <f>VLOOKUP(A179,Hoja1!A:D,4,0)</f>
        <v>4</v>
      </c>
      <c r="T179" s="26" t="str">
        <f>VLOOKUP(M179,[1]TIPOLOGIAS!$A:$F,4,0)</f>
        <v>BOGOTA</v>
      </c>
      <c r="U179" s="26" t="str">
        <f>VLOOKUP(T179,'BASE TARIFA 2025'!C:D,2,0)</f>
        <v>WOMPI CENTRO</v>
      </c>
      <c r="V179" s="27">
        <f>VLOOKUP(T179,'BASE TARIFA 2025'!C:F,3,0)</f>
        <v>37313</v>
      </c>
      <c r="W179" s="27">
        <f t="shared" si="2"/>
        <v>149252</v>
      </c>
    </row>
    <row r="180" spans="1:23" s="37" customFormat="1" ht="14.4" x14ac:dyDescent="0.3">
      <c r="A180" s="37">
        <v>53791</v>
      </c>
      <c r="B180" s="37" t="s">
        <v>3828</v>
      </c>
      <c r="C180" s="37">
        <v>21231661</v>
      </c>
      <c r="D180" s="37" t="s">
        <v>985</v>
      </c>
      <c r="E180" s="37" t="s">
        <v>985</v>
      </c>
      <c r="F180" s="37" t="s">
        <v>985</v>
      </c>
      <c r="G180" s="37" t="s">
        <v>986</v>
      </c>
      <c r="H180" s="37" t="s">
        <v>987</v>
      </c>
      <c r="I180" s="37" t="s">
        <v>988</v>
      </c>
      <c r="J180" s="37" t="s">
        <v>68</v>
      </c>
      <c r="K180" s="37" t="s">
        <v>984</v>
      </c>
      <c r="L180" s="37" t="s">
        <v>984</v>
      </c>
      <c r="M180" s="37">
        <v>25878</v>
      </c>
      <c r="N180" s="38" t="s">
        <v>329</v>
      </c>
      <c r="S180" s="23">
        <f>VLOOKUP(A180,Hoja1!A:D,4,0)</f>
        <v>2</v>
      </c>
      <c r="T180" s="26" t="str">
        <f>VLOOKUP(M180,[1]TIPOLOGIAS!$A:$F,4,0)</f>
        <v>BOGOTA</v>
      </c>
      <c r="U180" s="26" t="str">
        <f>VLOOKUP(T180,'BASE TARIFA 2025'!C:D,2,0)</f>
        <v>WOMPI CENTRO</v>
      </c>
      <c r="V180" s="27">
        <f>VLOOKUP(T180,'BASE TARIFA 2025'!C:F,3,0)</f>
        <v>37313</v>
      </c>
      <c r="W180" s="27">
        <f t="shared" si="2"/>
        <v>74626</v>
      </c>
    </row>
    <row r="181" spans="1:23" s="37" customFormat="1" ht="14.4" x14ac:dyDescent="0.3">
      <c r="A181" s="37">
        <v>57546</v>
      </c>
      <c r="B181" s="37" t="s">
        <v>3829</v>
      </c>
      <c r="C181" s="37">
        <v>1006825959</v>
      </c>
      <c r="D181" s="37" t="s">
        <v>989</v>
      </c>
      <c r="E181" s="37" t="s">
        <v>989</v>
      </c>
      <c r="F181" s="37" t="s">
        <v>989</v>
      </c>
      <c r="G181" s="37" t="s">
        <v>990</v>
      </c>
      <c r="H181" s="37" t="s">
        <v>991</v>
      </c>
      <c r="I181" s="37" t="s">
        <v>992</v>
      </c>
      <c r="J181" s="37" t="s">
        <v>68</v>
      </c>
      <c r="K181" s="37" t="s">
        <v>984</v>
      </c>
      <c r="L181" s="37" t="s">
        <v>984</v>
      </c>
      <c r="M181" s="37">
        <v>25878</v>
      </c>
      <c r="N181" s="38" t="s">
        <v>329</v>
      </c>
      <c r="S181" s="23">
        <f>VLOOKUP(A181,Hoja1!A:D,4,0)</f>
        <v>2</v>
      </c>
      <c r="T181" s="26" t="str">
        <f>VLOOKUP(M181,[1]TIPOLOGIAS!$A:$F,4,0)</f>
        <v>BOGOTA</v>
      </c>
      <c r="U181" s="26" t="str">
        <f>VLOOKUP(T181,'BASE TARIFA 2025'!C:D,2,0)</f>
        <v>WOMPI CENTRO</v>
      </c>
      <c r="V181" s="27">
        <f>VLOOKUP(T181,'BASE TARIFA 2025'!C:F,3,0)</f>
        <v>37313</v>
      </c>
      <c r="W181" s="27">
        <f t="shared" si="2"/>
        <v>74626</v>
      </c>
    </row>
    <row r="182" spans="1:23" s="37" customFormat="1" ht="14.4" x14ac:dyDescent="0.3">
      <c r="A182" s="37">
        <v>61435</v>
      </c>
      <c r="B182" s="37" t="s">
        <v>3830</v>
      </c>
      <c r="C182" s="37">
        <v>1073502058</v>
      </c>
      <c r="D182" s="37" t="s">
        <v>993</v>
      </c>
      <c r="E182" s="37" t="s">
        <v>993</v>
      </c>
      <c r="F182" s="37" t="s">
        <v>993</v>
      </c>
      <c r="G182" s="37" t="s">
        <v>994</v>
      </c>
      <c r="H182" s="37" t="s">
        <v>995</v>
      </c>
      <c r="I182" s="37" t="s">
        <v>996</v>
      </c>
      <c r="J182" s="37" t="s">
        <v>68</v>
      </c>
      <c r="K182" s="37" t="s">
        <v>984</v>
      </c>
      <c r="L182" s="37" t="s">
        <v>984</v>
      </c>
      <c r="M182" s="37">
        <v>25878</v>
      </c>
      <c r="N182" s="38" t="s">
        <v>416</v>
      </c>
      <c r="S182" s="23">
        <f>VLOOKUP(A182,Hoja1!A:D,4,0)</f>
        <v>2</v>
      </c>
      <c r="T182" s="26" t="str">
        <f>VLOOKUP(M182,[1]TIPOLOGIAS!$A:$F,4,0)</f>
        <v>BOGOTA</v>
      </c>
      <c r="U182" s="26" t="str">
        <f>VLOOKUP(T182,'BASE TARIFA 2025'!C:D,2,0)</f>
        <v>WOMPI CENTRO</v>
      </c>
      <c r="V182" s="27">
        <f>VLOOKUP(T182,'BASE TARIFA 2025'!C:F,3,0)</f>
        <v>37313</v>
      </c>
      <c r="W182" s="27">
        <f t="shared" si="2"/>
        <v>74626</v>
      </c>
    </row>
    <row r="183" spans="1:23" s="37" customFormat="1" ht="14.4" x14ac:dyDescent="0.3">
      <c r="A183" s="37">
        <v>54941</v>
      </c>
      <c r="B183" s="37" t="s">
        <v>3831</v>
      </c>
      <c r="C183" s="37">
        <v>1121861314</v>
      </c>
      <c r="D183" s="37" t="s">
        <v>997</v>
      </c>
      <c r="E183" s="37" t="s">
        <v>998</v>
      </c>
      <c r="F183" s="37" t="s">
        <v>997</v>
      </c>
      <c r="G183" s="37" t="s">
        <v>999</v>
      </c>
      <c r="H183" s="37" t="s">
        <v>1000</v>
      </c>
      <c r="I183" s="37" t="s">
        <v>1001</v>
      </c>
      <c r="J183" s="37" t="s">
        <v>68</v>
      </c>
      <c r="K183" s="37" t="s">
        <v>984</v>
      </c>
      <c r="L183" s="37" t="s">
        <v>984</v>
      </c>
      <c r="M183" s="37">
        <v>25878</v>
      </c>
      <c r="N183" s="38" t="s">
        <v>329</v>
      </c>
      <c r="S183" s="23">
        <f>VLOOKUP(A183,Hoja1!A:D,4,0)</f>
        <v>3</v>
      </c>
      <c r="T183" s="26" t="str">
        <f>VLOOKUP(M183,[1]TIPOLOGIAS!$A:$F,4,0)</f>
        <v>BOGOTA</v>
      </c>
      <c r="U183" s="26" t="str">
        <f>VLOOKUP(T183,'BASE TARIFA 2025'!C:D,2,0)</f>
        <v>WOMPI CENTRO</v>
      </c>
      <c r="V183" s="27">
        <f>VLOOKUP(T183,'BASE TARIFA 2025'!C:F,3,0)</f>
        <v>37313</v>
      </c>
      <c r="W183" s="27">
        <f t="shared" si="2"/>
        <v>111939</v>
      </c>
    </row>
    <row r="184" spans="1:23" s="37" customFormat="1" ht="14.4" x14ac:dyDescent="0.3">
      <c r="A184" s="37">
        <v>51901</v>
      </c>
      <c r="B184" s="37" t="s">
        <v>3832</v>
      </c>
      <c r="C184" s="37">
        <v>1121840733</v>
      </c>
      <c r="D184" s="37" t="s">
        <v>1002</v>
      </c>
      <c r="E184" s="37" t="s">
        <v>1002</v>
      </c>
      <c r="G184" s="37" t="s">
        <v>1003</v>
      </c>
      <c r="H184" s="37" t="s">
        <v>1004</v>
      </c>
      <c r="I184" s="37" t="s">
        <v>1005</v>
      </c>
      <c r="J184" s="37" t="s">
        <v>68</v>
      </c>
      <c r="K184" s="37" t="s">
        <v>151</v>
      </c>
      <c r="L184" s="37" t="s">
        <v>151</v>
      </c>
      <c r="M184" s="37">
        <v>25899</v>
      </c>
      <c r="N184" s="38" t="s">
        <v>324</v>
      </c>
      <c r="S184" s="23">
        <f>VLOOKUP(A184,Hoja1!A:D,4,0)</f>
        <v>2</v>
      </c>
      <c r="T184" s="26" t="str">
        <f>VLOOKUP(M184,[1]TIPOLOGIAS!$A:$F,4,0)</f>
        <v>BOGOTA</v>
      </c>
      <c r="U184" s="26" t="str">
        <f>VLOOKUP(T184,'BASE TARIFA 2025'!C:D,2,0)</f>
        <v>WOMPI CENTRO</v>
      </c>
      <c r="V184" s="27">
        <f>VLOOKUP(T184,'BASE TARIFA 2025'!C:F,3,0)</f>
        <v>37313</v>
      </c>
      <c r="W184" s="27">
        <f t="shared" si="2"/>
        <v>74626</v>
      </c>
    </row>
    <row r="185" spans="1:23" s="37" customFormat="1" ht="14.4" x14ac:dyDescent="0.3">
      <c r="A185" s="37">
        <v>53198</v>
      </c>
      <c r="B185" s="37" t="s">
        <v>3833</v>
      </c>
      <c r="C185" s="37">
        <v>1121843999</v>
      </c>
      <c r="D185" s="37" t="s">
        <v>1006</v>
      </c>
      <c r="E185" s="37" t="s">
        <v>1006</v>
      </c>
      <c r="F185" s="37" t="s">
        <v>1006</v>
      </c>
      <c r="G185" s="37" t="s">
        <v>1007</v>
      </c>
      <c r="H185" s="37" t="s">
        <v>190</v>
      </c>
      <c r="I185" s="37" t="s">
        <v>191</v>
      </c>
      <c r="J185" s="37" t="s">
        <v>87</v>
      </c>
      <c r="K185" s="37" t="s">
        <v>153</v>
      </c>
      <c r="L185" s="37" t="s">
        <v>153</v>
      </c>
      <c r="M185" s="37">
        <v>41306</v>
      </c>
      <c r="N185" s="38" t="s">
        <v>480</v>
      </c>
      <c r="S185" s="23">
        <f>VLOOKUP(A185,Hoja1!A:D,4,0)</f>
        <v>2</v>
      </c>
      <c r="T185" s="26" t="str">
        <f>VLOOKUP(M185,[1]TIPOLOGIAS!$A:$F,4,0)</f>
        <v>NEIVA</v>
      </c>
      <c r="U185" s="26" t="str">
        <f>VLOOKUP(T185,'BASE TARIFA 2025'!C:D,2,0)</f>
        <v>WOMPI ORIENTE</v>
      </c>
      <c r="V185" s="27">
        <f>VLOOKUP(T185,'BASE TARIFA 2025'!C:F,3,0)</f>
        <v>49671.7</v>
      </c>
      <c r="W185" s="27">
        <f t="shared" si="2"/>
        <v>99343.4</v>
      </c>
    </row>
    <row r="186" spans="1:23" s="37" customFormat="1" ht="14.4" x14ac:dyDescent="0.3">
      <c r="A186" s="37">
        <v>52928</v>
      </c>
      <c r="B186" s="37" t="s">
        <v>3834</v>
      </c>
      <c r="C186" s="37">
        <v>17336093</v>
      </c>
      <c r="D186" s="37" t="s">
        <v>1008</v>
      </c>
      <c r="E186" s="37" t="s">
        <v>67</v>
      </c>
      <c r="F186" s="37" t="s">
        <v>1008</v>
      </c>
      <c r="G186" s="37" t="s">
        <v>1009</v>
      </c>
      <c r="H186" s="37" t="s">
        <v>1010</v>
      </c>
      <c r="I186" s="37" t="s">
        <v>1011</v>
      </c>
      <c r="J186" s="37" t="s">
        <v>87</v>
      </c>
      <c r="K186" s="37" t="s">
        <v>153</v>
      </c>
      <c r="L186" s="37" t="s">
        <v>153</v>
      </c>
      <c r="M186" s="37">
        <v>41306</v>
      </c>
      <c r="N186" s="38" t="s">
        <v>480</v>
      </c>
      <c r="S186" s="23">
        <f>VLOOKUP(A186,Hoja1!A:D,4,0)</f>
        <v>3</v>
      </c>
      <c r="T186" s="26" t="str">
        <f>VLOOKUP(M186,[1]TIPOLOGIAS!$A:$F,4,0)</f>
        <v>NEIVA</v>
      </c>
      <c r="U186" s="26" t="str">
        <f>VLOOKUP(T186,'BASE TARIFA 2025'!C:D,2,0)</f>
        <v>WOMPI ORIENTE</v>
      </c>
      <c r="V186" s="27">
        <f>VLOOKUP(T186,'BASE TARIFA 2025'!C:F,3,0)</f>
        <v>49671.7</v>
      </c>
      <c r="W186" s="27">
        <f t="shared" si="2"/>
        <v>149015.09999999998</v>
      </c>
    </row>
    <row r="187" spans="1:23" s="37" customFormat="1" ht="14.4" x14ac:dyDescent="0.3">
      <c r="A187" s="37">
        <v>50586</v>
      </c>
      <c r="B187" s="37" t="s">
        <v>3835</v>
      </c>
      <c r="C187" s="37">
        <v>1121832493</v>
      </c>
      <c r="D187" s="37" t="s">
        <v>1012</v>
      </c>
      <c r="E187" s="37" t="s">
        <v>1012</v>
      </c>
      <c r="F187" s="37" t="s">
        <v>1012</v>
      </c>
      <c r="G187" s="37" t="s">
        <v>1013</v>
      </c>
      <c r="H187" s="37" t="s">
        <v>1014</v>
      </c>
      <c r="I187" s="37" t="s">
        <v>1015</v>
      </c>
      <c r="J187" s="37" t="s">
        <v>87</v>
      </c>
      <c r="K187" s="37" t="s">
        <v>153</v>
      </c>
      <c r="L187" s="37" t="s">
        <v>153</v>
      </c>
      <c r="M187" s="37">
        <v>41306</v>
      </c>
      <c r="N187" s="38" t="s">
        <v>480</v>
      </c>
      <c r="S187" s="23">
        <f>VLOOKUP(A187,Hoja1!A:D,4,0)</f>
        <v>2</v>
      </c>
      <c r="T187" s="26" t="str">
        <f>VLOOKUP(M187,[1]TIPOLOGIAS!$A:$F,4,0)</f>
        <v>NEIVA</v>
      </c>
      <c r="U187" s="26" t="str">
        <f>VLOOKUP(T187,'BASE TARIFA 2025'!C:D,2,0)</f>
        <v>WOMPI ORIENTE</v>
      </c>
      <c r="V187" s="27">
        <f>VLOOKUP(T187,'BASE TARIFA 2025'!C:F,3,0)</f>
        <v>49671.7</v>
      </c>
      <c r="W187" s="27">
        <f t="shared" si="2"/>
        <v>99343.4</v>
      </c>
    </row>
    <row r="188" spans="1:23" s="37" customFormat="1" ht="14.4" x14ac:dyDescent="0.3">
      <c r="A188" s="37">
        <v>16203</v>
      </c>
      <c r="B188" s="37" t="s">
        <v>3836</v>
      </c>
      <c r="C188" s="37">
        <v>11379369</v>
      </c>
      <c r="D188" s="37" t="s">
        <v>1016</v>
      </c>
      <c r="E188" s="37" t="s">
        <v>1016</v>
      </c>
      <c r="G188" s="37" t="s">
        <v>1017</v>
      </c>
      <c r="H188" s="37" t="s">
        <v>1018</v>
      </c>
      <c r="I188" s="37" t="s">
        <v>1019</v>
      </c>
      <c r="J188" s="37" t="s">
        <v>87</v>
      </c>
      <c r="K188" s="37" t="s">
        <v>153</v>
      </c>
      <c r="L188" s="37" t="s">
        <v>153</v>
      </c>
      <c r="M188" s="37">
        <v>41306</v>
      </c>
      <c r="N188" s="38" t="s">
        <v>480</v>
      </c>
      <c r="S188" s="23">
        <f>VLOOKUP(A188,Hoja1!A:D,4,0)</f>
        <v>1</v>
      </c>
      <c r="T188" s="26" t="str">
        <f>VLOOKUP(M188,[1]TIPOLOGIAS!$A:$F,4,0)</f>
        <v>NEIVA</v>
      </c>
      <c r="U188" s="26" t="str">
        <f>VLOOKUP(T188,'BASE TARIFA 2025'!C:D,2,0)</f>
        <v>WOMPI ORIENTE</v>
      </c>
      <c r="V188" s="27">
        <f>VLOOKUP(T188,'BASE TARIFA 2025'!C:F,3,0)</f>
        <v>49671.7</v>
      </c>
      <c r="W188" s="27">
        <f t="shared" si="2"/>
        <v>49671.7</v>
      </c>
    </row>
    <row r="189" spans="1:23" s="37" customFormat="1" ht="14.4" x14ac:dyDescent="0.3">
      <c r="A189" s="37">
        <v>43051</v>
      </c>
      <c r="B189" s="37" t="s">
        <v>3837</v>
      </c>
      <c r="C189" s="37">
        <v>1069717168</v>
      </c>
      <c r="D189" s="37" t="s">
        <v>1020</v>
      </c>
      <c r="E189" s="37" t="s">
        <v>1020</v>
      </c>
      <c r="F189" s="37" t="s">
        <v>1020</v>
      </c>
      <c r="G189" s="37" t="s">
        <v>1021</v>
      </c>
      <c r="H189" s="37" t="s">
        <v>1022</v>
      </c>
      <c r="I189" s="37" t="s">
        <v>1023</v>
      </c>
      <c r="J189" s="37" t="s">
        <v>87</v>
      </c>
      <c r="K189" s="37" t="s">
        <v>153</v>
      </c>
      <c r="L189" s="37" t="s">
        <v>153</v>
      </c>
      <c r="M189" s="37">
        <v>41306</v>
      </c>
      <c r="N189" s="38" t="s">
        <v>480</v>
      </c>
      <c r="S189" s="23">
        <f>VLOOKUP(A189,Hoja1!A:D,4,0)</f>
        <v>1</v>
      </c>
      <c r="T189" s="26" t="str">
        <f>VLOOKUP(M189,[1]TIPOLOGIAS!$A:$F,4,0)</f>
        <v>NEIVA</v>
      </c>
      <c r="U189" s="26" t="str">
        <f>VLOOKUP(T189,'BASE TARIFA 2025'!C:D,2,0)</f>
        <v>WOMPI ORIENTE</v>
      </c>
      <c r="V189" s="27">
        <f>VLOOKUP(T189,'BASE TARIFA 2025'!C:F,3,0)</f>
        <v>49671.7</v>
      </c>
      <c r="W189" s="27">
        <f t="shared" si="2"/>
        <v>49671.7</v>
      </c>
    </row>
    <row r="190" spans="1:23" s="37" customFormat="1" ht="14.4" x14ac:dyDescent="0.3">
      <c r="A190" s="37">
        <v>71738</v>
      </c>
      <c r="B190" s="37" t="s">
        <v>3838</v>
      </c>
      <c r="C190" s="37">
        <v>900342127</v>
      </c>
      <c r="D190" s="37" t="s">
        <v>1024</v>
      </c>
      <c r="E190" s="37" t="s">
        <v>1025</v>
      </c>
      <c r="F190" s="37" t="s">
        <v>1024</v>
      </c>
      <c r="G190" s="37" t="s">
        <v>1026</v>
      </c>
      <c r="H190" s="37" t="s">
        <v>1027</v>
      </c>
      <c r="I190" s="37" t="s">
        <v>1028</v>
      </c>
      <c r="J190" s="37" t="s">
        <v>74</v>
      </c>
      <c r="K190" s="37" t="s">
        <v>117</v>
      </c>
      <c r="L190" s="37" t="s">
        <v>117</v>
      </c>
      <c r="M190" s="37">
        <v>50573</v>
      </c>
      <c r="N190" s="38" t="s">
        <v>329</v>
      </c>
      <c r="S190" s="23">
        <f>VLOOKUP(A190,Hoja1!A:D,4,0)</f>
        <v>1</v>
      </c>
      <c r="T190" s="26" t="str">
        <f>VLOOKUP(M190,[1]TIPOLOGIAS!$A:$F,4,0)</f>
        <v>VILLAVICENCIO</v>
      </c>
      <c r="U190" s="26" t="str">
        <f>VLOOKUP(T190,'BASE TARIFA 2025'!C:D,2,0)</f>
        <v>WOMPI ORIENTE</v>
      </c>
      <c r="V190" s="27">
        <f>VLOOKUP(T190,'BASE TARIFA 2025'!C:F,3,0)</f>
        <v>49671.7</v>
      </c>
      <c r="W190" s="27">
        <f t="shared" si="2"/>
        <v>49671.7</v>
      </c>
    </row>
    <row r="191" spans="1:23" s="37" customFormat="1" ht="14.4" x14ac:dyDescent="0.3">
      <c r="A191" s="37">
        <v>26464</v>
      </c>
      <c r="B191" s="37" t="s">
        <v>3839</v>
      </c>
      <c r="C191" s="37">
        <v>19341983</v>
      </c>
      <c r="D191" s="37" t="s">
        <v>1029</v>
      </c>
      <c r="E191" s="37" t="s">
        <v>1029</v>
      </c>
      <c r="F191" s="37" t="s">
        <v>1030</v>
      </c>
      <c r="G191" s="37" t="s">
        <v>1031</v>
      </c>
      <c r="H191" s="37" t="s">
        <v>1032</v>
      </c>
      <c r="I191" s="37" t="s">
        <v>1033</v>
      </c>
      <c r="J191" s="37" t="s">
        <v>74</v>
      </c>
      <c r="K191" s="37" t="s">
        <v>117</v>
      </c>
      <c r="L191" s="37" t="s">
        <v>117</v>
      </c>
      <c r="M191" s="37">
        <v>50573</v>
      </c>
      <c r="N191" s="38" t="s">
        <v>325</v>
      </c>
      <c r="S191" s="23">
        <f>VLOOKUP(A191,Hoja1!A:D,4,0)</f>
        <v>3</v>
      </c>
      <c r="T191" s="26" t="str">
        <f>VLOOKUP(M191,[1]TIPOLOGIAS!$A:$F,4,0)</f>
        <v>VILLAVICENCIO</v>
      </c>
      <c r="U191" s="26" t="str">
        <f>VLOOKUP(T191,'BASE TARIFA 2025'!C:D,2,0)</f>
        <v>WOMPI ORIENTE</v>
      </c>
      <c r="V191" s="27">
        <f>VLOOKUP(T191,'BASE TARIFA 2025'!C:F,3,0)</f>
        <v>49671.7</v>
      </c>
      <c r="W191" s="27">
        <f t="shared" si="2"/>
        <v>149015.09999999998</v>
      </c>
    </row>
    <row r="192" spans="1:23" s="37" customFormat="1" ht="14.4" x14ac:dyDescent="0.3">
      <c r="A192" s="37">
        <v>50773</v>
      </c>
      <c r="B192" s="37" t="s">
        <v>3840</v>
      </c>
      <c r="C192" s="37">
        <v>30030782</v>
      </c>
      <c r="D192" s="37" t="s">
        <v>1034</v>
      </c>
      <c r="E192" s="37" t="s">
        <v>1035</v>
      </c>
      <c r="F192" s="37" t="s">
        <v>1035</v>
      </c>
      <c r="G192" s="37" t="s">
        <v>1036</v>
      </c>
      <c r="H192" s="37" t="s">
        <v>1037</v>
      </c>
      <c r="I192" s="37" t="s">
        <v>1038</v>
      </c>
      <c r="J192" s="37" t="s">
        <v>74</v>
      </c>
      <c r="K192" s="37" t="s">
        <v>117</v>
      </c>
      <c r="L192" s="37" t="s">
        <v>117</v>
      </c>
      <c r="M192" s="37">
        <v>50573</v>
      </c>
      <c r="N192" s="38" t="s">
        <v>325</v>
      </c>
      <c r="S192" s="23">
        <f>VLOOKUP(A192,Hoja1!A:D,4,0)</f>
        <v>2</v>
      </c>
      <c r="T192" s="26" t="str">
        <f>VLOOKUP(M192,[1]TIPOLOGIAS!$A:$F,4,0)</f>
        <v>VILLAVICENCIO</v>
      </c>
      <c r="U192" s="26" t="str">
        <f>VLOOKUP(T192,'BASE TARIFA 2025'!C:D,2,0)</f>
        <v>WOMPI ORIENTE</v>
      </c>
      <c r="V192" s="27">
        <f>VLOOKUP(T192,'BASE TARIFA 2025'!C:F,3,0)</f>
        <v>49671.7</v>
      </c>
      <c r="W192" s="27">
        <f t="shared" si="2"/>
        <v>99343.4</v>
      </c>
    </row>
    <row r="193" spans="1:23" s="37" customFormat="1" ht="14.4" x14ac:dyDescent="0.3">
      <c r="A193" s="37">
        <v>49099</v>
      </c>
      <c r="B193" s="37" t="s">
        <v>3841</v>
      </c>
      <c r="C193" s="37">
        <v>900808260</v>
      </c>
      <c r="D193" s="37" t="s">
        <v>1039</v>
      </c>
      <c r="E193" s="37" t="s">
        <v>1039</v>
      </c>
      <c r="F193" s="37" t="s">
        <v>1039</v>
      </c>
      <c r="G193" s="37" t="s">
        <v>1040</v>
      </c>
      <c r="H193" s="37" t="s">
        <v>1041</v>
      </c>
      <c r="I193" s="37" t="s">
        <v>1042</v>
      </c>
      <c r="J193" s="37" t="s">
        <v>74</v>
      </c>
      <c r="K193" s="37" t="s">
        <v>117</v>
      </c>
      <c r="L193" s="37" t="s">
        <v>117</v>
      </c>
      <c r="M193" s="37">
        <v>50573</v>
      </c>
      <c r="N193" s="38" t="s">
        <v>329</v>
      </c>
      <c r="S193" s="23">
        <f>VLOOKUP(A193,Hoja1!A:D,4,0)</f>
        <v>2</v>
      </c>
      <c r="T193" s="26" t="str">
        <f>VLOOKUP(M193,[1]TIPOLOGIAS!$A:$F,4,0)</f>
        <v>VILLAVICENCIO</v>
      </c>
      <c r="U193" s="26" t="str">
        <f>VLOOKUP(T193,'BASE TARIFA 2025'!C:D,2,0)</f>
        <v>WOMPI ORIENTE</v>
      </c>
      <c r="V193" s="27">
        <f>VLOOKUP(T193,'BASE TARIFA 2025'!C:F,3,0)</f>
        <v>49671.7</v>
      </c>
      <c r="W193" s="27">
        <f t="shared" si="2"/>
        <v>99343.4</v>
      </c>
    </row>
    <row r="194" spans="1:23" s="37" customFormat="1" ht="14.4" x14ac:dyDescent="0.3">
      <c r="A194" s="37">
        <v>50122</v>
      </c>
      <c r="B194" s="37" t="s">
        <v>3842</v>
      </c>
      <c r="C194" s="37">
        <v>40441051</v>
      </c>
      <c r="D194" s="37" t="s">
        <v>1043</v>
      </c>
      <c r="E194" s="37" t="s">
        <v>1043</v>
      </c>
      <c r="F194" s="37" t="s">
        <v>1044</v>
      </c>
      <c r="G194" s="37" t="s">
        <v>1045</v>
      </c>
      <c r="H194" s="37" t="s">
        <v>1046</v>
      </c>
      <c r="I194" s="37" t="s">
        <v>1047</v>
      </c>
      <c r="J194" s="37" t="s">
        <v>74</v>
      </c>
      <c r="K194" s="37" t="s">
        <v>117</v>
      </c>
      <c r="L194" s="37" t="s">
        <v>117</v>
      </c>
      <c r="M194" s="37">
        <v>50573</v>
      </c>
      <c r="N194" s="38" t="s">
        <v>325</v>
      </c>
      <c r="S194" s="23">
        <f>VLOOKUP(A194,Hoja1!A:D,4,0)</f>
        <v>2</v>
      </c>
      <c r="T194" s="26" t="str">
        <f>VLOOKUP(M194,[1]TIPOLOGIAS!$A:$F,4,0)</f>
        <v>VILLAVICENCIO</v>
      </c>
      <c r="U194" s="26" t="str">
        <f>VLOOKUP(T194,'BASE TARIFA 2025'!C:D,2,0)</f>
        <v>WOMPI ORIENTE</v>
      </c>
      <c r="V194" s="27">
        <f>VLOOKUP(T194,'BASE TARIFA 2025'!C:F,3,0)</f>
        <v>49671.7</v>
      </c>
      <c r="W194" s="27">
        <f t="shared" ref="W194:W257" si="3">V194*S194</f>
        <v>99343.4</v>
      </c>
    </row>
    <row r="195" spans="1:23" s="37" customFormat="1" ht="14.4" x14ac:dyDescent="0.3">
      <c r="A195" s="37">
        <v>76974</v>
      </c>
      <c r="B195" s="37" t="s">
        <v>3843</v>
      </c>
      <c r="C195" s="37">
        <v>19246761</v>
      </c>
      <c r="D195" s="37" t="s">
        <v>1030</v>
      </c>
      <c r="E195" s="37" t="s">
        <v>1048</v>
      </c>
      <c r="F195" s="37" t="s">
        <v>1049</v>
      </c>
      <c r="G195" s="37" t="s">
        <v>1050</v>
      </c>
      <c r="H195" s="37" t="s">
        <v>1051</v>
      </c>
      <c r="I195" s="37" t="s">
        <v>1052</v>
      </c>
      <c r="J195" s="37" t="s">
        <v>74</v>
      </c>
      <c r="K195" s="37" t="s">
        <v>117</v>
      </c>
      <c r="L195" s="37" t="s">
        <v>117</v>
      </c>
      <c r="M195" s="37">
        <v>50573</v>
      </c>
      <c r="N195" s="38" t="s">
        <v>329</v>
      </c>
      <c r="S195" s="23">
        <f>VLOOKUP(A195,Hoja1!A:D,4,0)</f>
        <v>1</v>
      </c>
      <c r="T195" s="26" t="str">
        <f>VLOOKUP(M195,[1]TIPOLOGIAS!$A:$F,4,0)</f>
        <v>VILLAVICENCIO</v>
      </c>
      <c r="U195" s="26" t="str">
        <f>VLOOKUP(T195,'BASE TARIFA 2025'!C:D,2,0)</f>
        <v>WOMPI ORIENTE</v>
      </c>
      <c r="V195" s="27">
        <f>VLOOKUP(T195,'BASE TARIFA 2025'!C:F,3,0)</f>
        <v>49671.7</v>
      </c>
      <c r="W195" s="27">
        <f t="shared" si="3"/>
        <v>49671.7</v>
      </c>
    </row>
    <row r="196" spans="1:23" s="37" customFormat="1" ht="14.4" x14ac:dyDescent="0.3">
      <c r="A196" s="37">
        <v>77611</v>
      </c>
      <c r="B196" s="37" t="s">
        <v>3844</v>
      </c>
      <c r="C196" s="37">
        <v>1007560187</v>
      </c>
      <c r="D196" s="37" t="s">
        <v>1053</v>
      </c>
      <c r="E196" s="37" t="s">
        <v>1054</v>
      </c>
      <c r="F196" s="37" t="s">
        <v>1054</v>
      </c>
      <c r="G196" s="37" t="s">
        <v>1055</v>
      </c>
      <c r="H196" s="37" t="s">
        <v>1056</v>
      </c>
      <c r="I196" s="37" t="s">
        <v>1057</v>
      </c>
      <c r="J196" s="37" t="s">
        <v>74</v>
      </c>
      <c r="K196" s="37" t="s">
        <v>117</v>
      </c>
      <c r="L196" s="37" t="s">
        <v>117</v>
      </c>
      <c r="M196" s="37">
        <v>50573</v>
      </c>
      <c r="N196" s="38" t="s">
        <v>329</v>
      </c>
      <c r="S196" s="23">
        <f>VLOOKUP(A196,Hoja1!A:D,4,0)</f>
        <v>1</v>
      </c>
      <c r="T196" s="26" t="str">
        <f>VLOOKUP(M196,[1]TIPOLOGIAS!$A:$F,4,0)</f>
        <v>VILLAVICENCIO</v>
      </c>
      <c r="U196" s="26" t="str">
        <f>VLOOKUP(T196,'BASE TARIFA 2025'!C:D,2,0)</f>
        <v>WOMPI ORIENTE</v>
      </c>
      <c r="V196" s="27">
        <f>VLOOKUP(T196,'BASE TARIFA 2025'!C:F,3,0)</f>
        <v>49671.7</v>
      </c>
      <c r="W196" s="27">
        <f t="shared" si="3"/>
        <v>49671.7</v>
      </c>
    </row>
    <row r="197" spans="1:23" s="37" customFormat="1" ht="14.4" x14ac:dyDescent="0.3">
      <c r="A197" s="37">
        <v>76919</v>
      </c>
      <c r="B197" s="37" t="s">
        <v>3845</v>
      </c>
      <c r="C197" s="37">
        <v>79535093</v>
      </c>
      <c r="D197" s="37" t="s">
        <v>1058</v>
      </c>
      <c r="E197" s="37" t="s">
        <v>1058</v>
      </c>
      <c r="F197" s="37" t="s">
        <v>1058</v>
      </c>
      <c r="G197" s="37" t="s">
        <v>1059</v>
      </c>
      <c r="H197" s="37" t="s">
        <v>1060</v>
      </c>
      <c r="I197" s="37" t="s">
        <v>1061</v>
      </c>
      <c r="J197" s="37" t="s">
        <v>74</v>
      </c>
      <c r="K197" s="37" t="s">
        <v>117</v>
      </c>
      <c r="L197" s="37" t="s">
        <v>117</v>
      </c>
      <c r="M197" s="37">
        <v>50573</v>
      </c>
      <c r="N197" s="38" t="s">
        <v>327</v>
      </c>
      <c r="S197" s="23">
        <f>VLOOKUP(A197,Hoja1!A:D,4,0)</f>
        <v>1</v>
      </c>
      <c r="T197" s="26" t="str">
        <f>VLOOKUP(M197,[1]TIPOLOGIAS!$A:$F,4,0)</f>
        <v>VILLAVICENCIO</v>
      </c>
      <c r="U197" s="26" t="str">
        <f>VLOOKUP(T197,'BASE TARIFA 2025'!C:D,2,0)</f>
        <v>WOMPI ORIENTE</v>
      </c>
      <c r="V197" s="27">
        <f>VLOOKUP(T197,'BASE TARIFA 2025'!C:F,3,0)</f>
        <v>49671.7</v>
      </c>
      <c r="W197" s="27">
        <f t="shared" si="3"/>
        <v>49671.7</v>
      </c>
    </row>
    <row r="198" spans="1:23" s="37" customFormat="1" ht="14.4" x14ac:dyDescent="0.3">
      <c r="A198" s="37">
        <v>75363</v>
      </c>
      <c r="B198" s="37" t="s">
        <v>3846</v>
      </c>
      <c r="C198" s="37">
        <v>52762521</v>
      </c>
      <c r="D198" s="37" t="s">
        <v>1062</v>
      </c>
      <c r="E198" s="37" t="s">
        <v>1062</v>
      </c>
      <c r="F198" s="37" t="s">
        <v>1062</v>
      </c>
      <c r="G198" s="37" t="s">
        <v>1063</v>
      </c>
      <c r="H198" s="37" t="s">
        <v>1064</v>
      </c>
      <c r="I198" s="37" t="s">
        <v>1065</v>
      </c>
      <c r="J198" s="37" t="s">
        <v>74</v>
      </c>
      <c r="K198" s="37" t="s">
        <v>117</v>
      </c>
      <c r="L198" s="37" t="s">
        <v>117</v>
      </c>
      <c r="M198" s="37">
        <v>50573</v>
      </c>
      <c r="N198" s="38" t="s">
        <v>327</v>
      </c>
      <c r="S198" s="23">
        <f>VLOOKUP(A198,Hoja1!A:D,4,0)</f>
        <v>1</v>
      </c>
      <c r="T198" s="26" t="str">
        <f>VLOOKUP(M198,[1]TIPOLOGIAS!$A:$F,4,0)</f>
        <v>VILLAVICENCIO</v>
      </c>
      <c r="U198" s="26" t="str">
        <f>VLOOKUP(T198,'BASE TARIFA 2025'!C:D,2,0)</f>
        <v>WOMPI ORIENTE</v>
      </c>
      <c r="V198" s="27">
        <f>VLOOKUP(T198,'BASE TARIFA 2025'!C:F,3,0)</f>
        <v>49671.7</v>
      </c>
      <c r="W198" s="27">
        <f t="shared" si="3"/>
        <v>49671.7</v>
      </c>
    </row>
    <row r="199" spans="1:23" s="37" customFormat="1" ht="14.4" x14ac:dyDescent="0.3">
      <c r="A199" s="37">
        <v>72703</v>
      </c>
      <c r="B199" s="37" t="s">
        <v>3847</v>
      </c>
      <c r="C199" s="37">
        <v>1012317448</v>
      </c>
      <c r="D199" s="37" t="s">
        <v>1066</v>
      </c>
      <c r="E199" s="37" t="s">
        <v>1066</v>
      </c>
      <c r="F199" s="37" t="s">
        <v>1066</v>
      </c>
      <c r="G199" s="37" t="s">
        <v>1067</v>
      </c>
      <c r="H199" s="37" t="s">
        <v>1068</v>
      </c>
      <c r="I199" s="37" t="s">
        <v>1069</v>
      </c>
      <c r="J199" s="37" t="s">
        <v>74</v>
      </c>
      <c r="K199" s="37" t="s">
        <v>117</v>
      </c>
      <c r="L199" s="37" t="s">
        <v>117</v>
      </c>
      <c r="M199" s="37">
        <v>50573</v>
      </c>
      <c r="N199" s="38" t="s">
        <v>325</v>
      </c>
      <c r="S199" s="23">
        <f>VLOOKUP(A199,Hoja1!A:D,4,0)</f>
        <v>2</v>
      </c>
      <c r="T199" s="26" t="str">
        <f>VLOOKUP(M199,[1]TIPOLOGIAS!$A:$F,4,0)</f>
        <v>VILLAVICENCIO</v>
      </c>
      <c r="U199" s="26" t="str">
        <f>VLOOKUP(T199,'BASE TARIFA 2025'!C:D,2,0)</f>
        <v>WOMPI ORIENTE</v>
      </c>
      <c r="V199" s="27">
        <f>VLOOKUP(T199,'BASE TARIFA 2025'!C:F,3,0)</f>
        <v>49671.7</v>
      </c>
      <c r="W199" s="27">
        <f t="shared" si="3"/>
        <v>99343.4</v>
      </c>
    </row>
    <row r="200" spans="1:23" s="37" customFormat="1" ht="14.4" x14ac:dyDescent="0.3">
      <c r="A200" s="37">
        <v>71902</v>
      </c>
      <c r="B200" s="37" t="s">
        <v>3848</v>
      </c>
      <c r="C200" s="37">
        <v>5885998</v>
      </c>
      <c r="D200" s="37" t="s">
        <v>1070</v>
      </c>
      <c r="E200" s="37" t="s">
        <v>1071</v>
      </c>
      <c r="F200" s="37" t="s">
        <v>1070</v>
      </c>
      <c r="G200" s="37" t="s">
        <v>1072</v>
      </c>
      <c r="H200" s="37" t="s">
        <v>1073</v>
      </c>
      <c r="I200" s="37" t="s">
        <v>1074</v>
      </c>
      <c r="J200" s="37" t="s">
        <v>74</v>
      </c>
      <c r="K200" s="37" t="s">
        <v>117</v>
      </c>
      <c r="L200" s="37" t="s">
        <v>117</v>
      </c>
      <c r="M200" s="37">
        <v>50573</v>
      </c>
      <c r="N200" s="38" t="s">
        <v>327</v>
      </c>
      <c r="S200" s="23">
        <f>VLOOKUP(A200,Hoja1!A:D,4,0)</f>
        <v>1</v>
      </c>
      <c r="T200" s="26" t="str">
        <f>VLOOKUP(M200,[1]TIPOLOGIAS!$A:$F,4,0)</f>
        <v>VILLAVICENCIO</v>
      </c>
      <c r="U200" s="26" t="str">
        <f>VLOOKUP(T200,'BASE TARIFA 2025'!C:D,2,0)</f>
        <v>WOMPI ORIENTE</v>
      </c>
      <c r="V200" s="27">
        <f>VLOOKUP(T200,'BASE TARIFA 2025'!C:F,3,0)</f>
        <v>49671.7</v>
      </c>
      <c r="W200" s="27">
        <f t="shared" si="3"/>
        <v>49671.7</v>
      </c>
    </row>
    <row r="201" spans="1:23" s="37" customFormat="1" ht="14.4" x14ac:dyDescent="0.3">
      <c r="A201" s="37">
        <v>72151</v>
      </c>
      <c r="B201" s="37" t="s">
        <v>3849</v>
      </c>
      <c r="C201" s="37">
        <v>52765416</v>
      </c>
      <c r="D201" s="37" t="s">
        <v>1044</v>
      </c>
      <c r="E201" s="37" t="s">
        <v>1044</v>
      </c>
      <c r="F201" s="37" t="s">
        <v>1043</v>
      </c>
      <c r="G201" s="37" t="s">
        <v>1075</v>
      </c>
      <c r="H201" s="37" t="s">
        <v>1076</v>
      </c>
      <c r="I201" s="37" t="s">
        <v>1077</v>
      </c>
      <c r="J201" s="37" t="s">
        <v>74</v>
      </c>
      <c r="K201" s="37" t="s">
        <v>117</v>
      </c>
      <c r="L201" s="37" t="s">
        <v>117</v>
      </c>
      <c r="M201" s="37">
        <v>50573</v>
      </c>
      <c r="N201" s="38" t="s">
        <v>327</v>
      </c>
      <c r="S201" s="23">
        <f>VLOOKUP(A201,Hoja1!A:D,4,0)</f>
        <v>1</v>
      </c>
      <c r="T201" s="26" t="str">
        <f>VLOOKUP(M201,[1]TIPOLOGIAS!$A:$F,4,0)</f>
        <v>VILLAVICENCIO</v>
      </c>
      <c r="U201" s="26" t="str">
        <f>VLOOKUP(T201,'BASE TARIFA 2025'!C:D,2,0)</f>
        <v>WOMPI ORIENTE</v>
      </c>
      <c r="V201" s="27">
        <f>VLOOKUP(T201,'BASE TARIFA 2025'!C:F,3,0)</f>
        <v>49671.7</v>
      </c>
      <c r="W201" s="27">
        <f t="shared" si="3"/>
        <v>49671.7</v>
      </c>
    </row>
    <row r="202" spans="1:23" s="37" customFormat="1" ht="14.4" x14ac:dyDescent="0.3">
      <c r="A202" s="37">
        <v>37333</v>
      </c>
      <c r="B202" s="37" t="s">
        <v>3850</v>
      </c>
      <c r="C202" s="37">
        <v>900609933</v>
      </c>
      <c r="D202" s="37" t="s">
        <v>1078</v>
      </c>
      <c r="E202" s="37" t="s">
        <v>1078</v>
      </c>
      <c r="F202" s="37" t="s">
        <v>1078</v>
      </c>
      <c r="G202" s="37" t="s">
        <v>1079</v>
      </c>
      <c r="H202" s="37" t="s">
        <v>1080</v>
      </c>
      <c r="I202" s="37" t="s">
        <v>1081</v>
      </c>
      <c r="J202" s="37" t="s">
        <v>142</v>
      </c>
      <c r="K202" s="37" t="s">
        <v>204</v>
      </c>
      <c r="L202" s="37" t="s">
        <v>204</v>
      </c>
      <c r="M202" s="37">
        <v>18610</v>
      </c>
      <c r="N202" s="38" t="s">
        <v>480</v>
      </c>
      <c r="S202" s="23">
        <f>VLOOKUP(A202,Hoja1!A:D,4,0)</f>
        <v>2</v>
      </c>
      <c r="T202" s="26" t="str">
        <f>VLOOKUP(M202,[1]TIPOLOGIAS!$A:$F,4,0)</f>
        <v>NEIVA</v>
      </c>
      <c r="U202" s="26" t="str">
        <f>VLOOKUP(T202,'BASE TARIFA 2025'!C:D,2,0)</f>
        <v>WOMPI ORIENTE</v>
      </c>
      <c r="V202" s="27">
        <f>VLOOKUP(T202,'BASE TARIFA 2025'!C:F,3,0)</f>
        <v>49671.7</v>
      </c>
      <c r="W202" s="27">
        <f t="shared" si="3"/>
        <v>99343.4</v>
      </c>
    </row>
    <row r="203" spans="1:23" s="37" customFormat="1" ht="14.4" x14ac:dyDescent="0.3">
      <c r="A203" s="37">
        <v>39668</v>
      </c>
      <c r="B203" s="37" t="s">
        <v>3851</v>
      </c>
      <c r="C203" s="37">
        <v>51609377</v>
      </c>
      <c r="D203" s="37" t="s">
        <v>1082</v>
      </c>
      <c r="E203" s="37" t="s">
        <v>1082</v>
      </c>
      <c r="F203" s="37" t="s">
        <v>1082</v>
      </c>
      <c r="G203" s="37" t="s">
        <v>1083</v>
      </c>
      <c r="H203" s="37" t="s">
        <v>1084</v>
      </c>
      <c r="I203" s="37" t="s">
        <v>1085</v>
      </c>
      <c r="J203" s="37" t="s">
        <v>73</v>
      </c>
      <c r="K203" s="37" t="s">
        <v>205</v>
      </c>
      <c r="L203" s="37" t="s">
        <v>205</v>
      </c>
      <c r="M203" s="37">
        <v>19001</v>
      </c>
      <c r="N203" s="38" t="s">
        <v>485</v>
      </c>
      <c r="S203" s="23">
        <f>VLOOKUP(A203,Hoja1!A:D,4,0)</f>
        <v>2</v>
      </c>
      <c r="T203" s="26" t="str">
        <f>VLOOKUP(M203,[1]TIPOLOGIAS!$A:$F,4,0)</f>
        <v>CALI</v>
      </c>
      <c r="U203" s="26" t="str">
        <f>VLOOKUP(T203,'BASE TARIFA 2025'!C:D,2,0)</f>
        <v>WOMPI SUROCCIDENTE</v>
      </c>
      <c r="V203" s="27">
        <f>VLOOKUP(T203,'BASE TARIFA 2025'!C:F,3,0)</f>
        <v>37313</v>
      </c>
      <c r="W203" s="27">
        <f t="shared" si="3"/>
        <v>74626</v>
      </c>
    </row>
    <row r="204" spans="1:23" s="37" customFormat="1" ht="14.4" x14ac:dyDescent="0.3">
      <c r="A204" s="37">
        <v>34463</v>
      </c>
      <c r="B204" s="37" t="s">
        <v>3852</v>
      </c>
      <c r="C204" s="37">
        <v>40383825</v>
      </c>
      <c r="D204" s="37" t="s">
        <v>1086</v>
      </c>
      <c r="E204" s="37" t="s">
        <v>1086</v>
      </c>
      <c r="F204" s="37" t="s">
        <v>1086</v>
      </c>
      <c r="G204" s="37" t="s">
        <v>1087</v>
      </c>
      <c r="H204" s="37" t="s">
        <v>1088</v>
      </c>
      <c r="I204" s="37" t="s">
        <v>1089</v>
      </c>
      <c r="J204" s="37" t="s">
        <v>73</v>
      </c>
      <c r="K204" s="37" t="s">
        <v>205</v>
      </c>
      <c r="L204" s="37" t="s">
        <v>205</v>
      </c>
      <c r="M204" s="37">
        <v>19001</v>
      </c>
      <c r="N204" s="38" t="s">
        <v>485</v>
      </c>
      <c r="S204" s="23">
        <f>VLOOKUP(A204,Hoja1!A:D,4,0)</f>
        <v>1</v>
      </c>
      <c r="T204" s="26" t="str">
        <f>VLOOKUP(M204,[1]TIPOLOGIAS!$A:$F,4,0)</f>
        <v>CALI</v>
      </c>
      <c r="U204" s="26" t="str">
        <f>VLOOKUP(T204,'BASE TARIFA 2025'!C:D,2,0)</f>
        <v>WOMPI SUROCCIDENTE</v>
      </c>
      <c r="V204" s="27">
        <f>VLOOKUP(T204,'BASE TARIFA 2025'!C:F,3,0)</f>
        <v>37313</v>
      </c>
      <c r="W204" s="27">
        <f t="shared" si="3"/>
        <v>37313</v>
      </c>
    </row>
    <row r="205" spans="1:23" s="37" customFormat="1" ht="14.4" x14ac:dyDescent="0.3">
      <c r="A205" s="37">
        <v>29694</v>
      </c>
      <c r="B205" s="37" t="s">
        <v>3853</v>
      </c>
      <c r="C205" s="37">
        <v>3142415</v>
      </c>
      <c r="D205" s="37" t="s">
        <v>1090</v>
      </c>
      <c r="E205" s="37" t="s">
        <v>1090</v>
      </c>
      <c r="G205" s="37" t="s">
        <v>1091</v>
      </c>
      <c r="H205" s="37" t="s">
        <v>1092</v>
      </c>
      <c r="I205" s="37" t="s">
        <v>1093</v>
      </c>
      <c r="J205" s="37" t="s">
        <v>73</v>
      </c>
      <c r="K205" s="37" t="s">
        <v>205</v>
      </c>
      <c r="L205" s="37" t="s">
        <v>205</v>
      </c>
      <c r="M205" s="37">
        <v>19001</v>
      </c>
      <c r="N205" s="38" t="s">
        <v>485</v>
      </c>
      <c r="S205" s="23">
        <f>VLOOKUP(A205,Hoja1!A:D,4,0)</f>
        <v>1</v>
      </c>
      <c r="T205" s="26" t="str">
        <f>VLOOKUP(M205,[1]TIPOLOGIAS!$A:$F,4,0)</f>
        <v>CALI</v>
      </c>
      <c r="U205" s="26" t="str">
        <f>VLOOKUP(T205,'BASE TARIFA 2025'!C:D,2,0)</f>
        <v>WOMPI SUROCCIDENTE</v>
      </c>
      <c r="V205" s="27">
        <f>VLOOKUP(T205,'BASE TARIFA 2025'!C:F,3,0)</f>
        <v>37313</v>
      </c>
      <c r="W205" s="27">
        <f t="shared" si="3"/>
        <v>37313</v>
      </c>
    </row>
    <row r="206" spans="1:23" s="37" customFormat="1" ht="14.4" x14ac:dyDescent="0.3">
      <c r="A206" s="37">
        <v>30658</v>
      </c>
      <c r="B206" s="37" t="s">
        <v>3854</v>
      </c>
      <c r="C206" s="37">
        <v>3142415</v>
      </c>
      <c r="D206" s="37" t="s">
        <v>1094</v>
      </c>
      <c r="E206" s="37" t="s">
        <v>1094</v>
      </c>
      <c r="G206" s="37" t="s">
        <v>1095</v>
      </c>
      <c r="H206" s="37" t="s">
        <v>1096</v>
      </c>
      <c r="I206" s="37" t="s">
        <v>1097</v>
      </c>
      <c r="J206" s="37" t="s">
        <v>73</v>
      </c>
      <c r="K206" s="37" t="s">
        <v>205</v>
      </c>
      <c r="L206" s="37" t="s">
        <v>205</v>
      </c>
      <c r="M206" s="37">
        <v>19001</v>
      </c>
      <c r="N206" s="38" t="s">
        <v>485</v>
      </c>
      <c r="S206" s="23">
        <f>VLOOKUP(A206,Hoja1!A:D,4,0)</f>
        <v>1</v>
      </c>
      <c r="T206" s="26" t="str">
        <f>VLOOKUP(M206,[1]TIPOLOGIAS!$A:$F,4,0)</f>
        <v>CALI</v>
      </c>
      <c r="U206" s="26" t="str">
        <f>VLOOKUP(T206,'BASE TARIFA 2025'!C:D,2,0)</f>
        <v>WOMPI SUROCCIDENTE</v>
      </c>
      <c r="V206" s="27">
        <f>VLOOKUP(T206,'BASE TARIFA 2025'!C:F,3,0)</f>
        <v>37313</v>
      </c>
      <c r="W206" s="27">
        <f t="shared" si="3"/>
        <v>37313</v>
      </c>
    </row>
    <row r="207" spans="1:23" s="37" customFormat="1" ht="14.4" x14ac:dyDescent="0.3">
      <c r="A207" s="37">
        <v>34201</v>
      </c>
      <c r="B207" s="37" t="s">
        <v>3855</v>
      </c>
      <c r="C207" s="37">
        <v>17316426</v>
      </c>
      <c r="D207" s="37" t="s">
        <v>1098</v>
      </c>
      <c r="E207" s="37" t="s">
        <v>1099</v>
      </c>
      <c r="F207" s="37" t="s">
        <v>1099</v>
      </c>
      <c r="G207" s="37" t="s">
        <v>1100</v>
      </c>
      <c r="H207" s="37" t="s">
        <v>1101</v>
      </c>
      <c r="I207" s="37" t="s">
        <v>1102</v>
      </c>
      <c r="J207" s="37" t="s">
        <v>73</v>
      </c>
      <c r="K207" s="37" t="s">
        <v>205</v>
      </c>
      <c r="L207" s="37" t="s">
        <v>205</v>
      </c>
      <c r="M207" s="37">
        <v>19001</v>
      </c>
      <c r="N207" s="38" t="s">
        <v>323</v>
      </c>
      <c r="S207" s="23">
        <f>VLOOKUP(A207,Hoja1!A:D,4,0)</f>
        <v>1</v>
      </c>
      <c r="T207" s="26" t="str">
        <f>VLOOKUP(M207,[1]TIPOLOGIAS!$A:$F,4,0)</f>
        <v>CALI</v>
      </c>
      <c r="U207" s="26" t="str">
        <f>VLOOKUP(T207,'BASE TARIFA 2025'!C:D,2,0)</f>
        <v>WOMPI SUROCCIDENTE</v>
      </c>
      <c r="V207" s="27">
        <f>VLOOKUP(T207,'BASE TARIFA 2025'!C:F,3,0)</f>
        <v>37313</v>
      </c>
      <c r="W207" s="27">
        <f t="shared" si="3"/>
        <v>37313</v>
      </c>
    </row>
    <row r="208" spans="1:23" s="37" customFormat="1" ht="14.4" x14ac:dyDescent="0.3">
      <c r="A208" s="37">
        <v>33386</v>
      </c>
      <c r="B208" s="37" t="s">
        <v>3856</v>
      </c>
      <c r="C208" s="37">
        <v>40383825</v>
      </c>
      <c r="D208" s="37" t="s">
        <v>1103</v>
      </c>
      <c r="E208" s="37" t="s">
        <v>1103</v>
      </c>
      <c r="G208" s="37" t="s">
        <v>1104</v>
      </c>
      <c r="H208" s="37" t="s">
        <v>1105</v>
      </c>
      <c r="I208" s="37" t="s">
        <v>1106</v>
      </c>
      <c r="J208" s="37" t="s">
        <v>73</v>
      </c>
      <c r="K208" s="37" t="s">
        <v>205</v>
      </c>
      <c r="L208" s="37" t="s">
        <v>205</v>
      </c>
      <c r="M208" s="37">
        <v>19001</v>
      </c>
      <c r="N208" s="38" t="s">
        <v>485</v>
      </c>
      <c r="S208" s="23">
        <f>VLOOKUP(A208,Hoja1!A:D,4,0)</f>
        <v>1</v>
      </c>
      <c r="T208" s="26" t="str">
        <f>VLOOKUP(M208,[1]TIPOLOGIAS!$A:$F,4,0)</f>
        <v>CALI</v>
      </c>
      <c r="U208" s="26" t="str">
        <f>VLOOKUP(T208,'BASE TARIFA 2025'!C:D,2,0)</f>
        <v>WOMPI SUROCCIDENTE</v>
      </c>
      <c r="V208" s="27">
        <f>VLOOKUP(T208,'BASE TARIFA 2025'!C:F,3,0)</f>
        <v>37313</v>
      </c>
      <c r="W208" s="27">
        <f t="shared" si="3"/>
        <v>37313</v>
      </c>
    </row>
    <row r="209" spans="1:23" s="37" customFormat="1" ht="14.4" x14ac:dyDescent="0.3">
      <c r="A209" s="37">
        <v>31710</v>
      </c>
      <c r="B209" s="37" t="s">
        <v>3857</v>
      </c>
      <c r="C209" s="37">
        <v>21237279</v>
      </c>
      <c r="D209" s="37" t="s">
        <v>1107</v>
      </c>
      <c r="E209" s="37" t="s">
        <v>1107</v>
      </c>
      <c r="F209" s="37" t="s">
        <v>1107</v>
      </c>
      <c r="G209" s="37" t="s">
        <v>1108</v>
      </c>
      <c r="H209" s="37" t="s">
        <v>1109</v>
      </c>
      <c r="I209" s="37" t="s">
        <v>1110</v>
      </c>
      <c r="J209" s="37" t="s">
        <v>73</v>
      </c>
      <c r="K209" s="37" t="s">
        <v>205</v>
      </c>
      <c r="L209" s="37" t="s">
        <v>205</v>
      </c>
      <c r="M209" s="37">
        <v>19001</v>
      </c>
      <c r="N209" s="38" t="s">
        <v>480</v>
      </c>
      <c r="S209" s="23">
        <f>VLOOKUP(A209,Hoja1!A:D,4,0)</f>
        <v>2</v>
      </c>
      <c r="T209" s="26" t="str">
        <f>VLOOKUP(M209,[1]TIPOLOGIAS!$A:$F,4,0)</f>
        <v>CALI</v>
      </c>
      <c r="U209" s="26" t="str">
        <f>VLOOKUP(T209,'BASE TARIFA 2025'!C:D,2,0)</f>
        <v>WOMPI SUROCCIDENTE</v>
      </c>
      <c r="V209" s="27">
        <f>VLOOKUP(T209,'BASE TARIFA 2025'!C:F,3,0)</f>
        <v>37313</v>
      </c>
      <c r="W209" s="27">
        <f t="shared" si="3"/>
        <v>74626</v>
      </c>
    </row>
    <row r="210" spans="1:23" s="37" customFormat="1" ht="14.4" x14ac:dyDescent="0.3">
      <c r="A210" s="37">
        <v>66712</v>
      </c>
      <c r="B210" s="37" t="s">
        <v>3649</v>
      </c>
      <c r="C210" s="37">
        <v>1073700427</v>
      </c>
      <c r="D210" s="37" t="s">
        <v>1111</v>
      </c>
      <c r="E210" s="37" t="s">
        <v>1111</v>
      </c>
      <c r="F210" s="37" t="s">
        <v>1111</v>
      </c>
      <c r="G210" s="37" t="s">
        <v>1112</v>
      </c>
      <c r="H210" s="37" t="s">
        <v>1113</v>
      </c>
      <c r="I210" s="37" t="s">
        <v>1114</v>
      </c>
      <c r="J210" s="37" t="s">
        <v>73</v>
      </c>
      <c r="K210" s="37" t="s">
        <v>205</v>
      </c>
      <c r="L210" s="37" t="s">
        <v>205</v>
      </c>
      <c r="M210" s="37">
        <v>19001</v>
      </c>
      <c r="N210" s="38" t="s">
        <v>322</v>
      </c>
      <c r="S210" s="23">
        <f>VLOOKUP(A210,Hoja1!A:D,4,0)</f>
        <v>2</v>
      </c>
      <c r="T210" s="26" t="str">
        <f>VLOOKUP(M210,[1]TIPOLOGIAS!$A:$F,4,0)</f>
        <v>CALI</v>
      </c>
      <c r="U210" s="26" t="str">
        <f>VLOOKUP(T210,'BASE TARIFA 2025'!C:D,2,0)</f>
        <v>WOMPI SUROCCIDENTE</v>
      </c>
      <c r="V210" s="27">
        <f>VLOOKUP(T210,'BASE TARIFA 2025'!C:F,3,0)</f>
        <v>37313</v>
      </c>
      <c r="W210" s="27">
        <f t="shared" si="3"/>
        <v>74626</v>
      </c>
    </row>
    <row r="211" spans="1:23" s="37" customFormat="1" ht="14.4" x14ac:dyDescent="0.3">
      <c r="A211" s="37">
        <v>68734</v>
      </c>
      <c r="B211" s="37" t="s">
        <v>3858</v>
      </c>
      <c r="C211" s="37">
        <v>1010191824</v>
      </c>
      <c r="D211" s="37" t="s">
        <v>152</v>
      </c>
      <c r="E211" s="37" t="s">
        <v>1115</v>
      </c>
      <c r="F211" s="37" t="s">
        <v>152</v>
      </c>
      <c r="G211" s="37" t="s">
        <v>1116</v>
      </c>
      <c r="H211" s="37" t="s">
        <v>1117</v>
      </c>
      <c r="I211" s="37" t="s">
        <v>1118</v>
      </c>
      <c r="J211" s="37" t="s">
        <v>68</v>
      </c>
      <c r="K211" s="37" t="s">
        <v>151</v>
      </c>
      <c r="L211" s="37" t="s">
        <v>151</v>
      </c>
      <c r="M211" s="37">
        <v>25899</v>
      </c>
      <c r="N211" s="38" t="s">
        <v>324</v>
      </c>
      <c r="S211" s="23">
        <f>VLOOKUP(A211,Hoja1!A:D,4,0)</f>
        <v>3</v>
      </c>
      <c r="T211" s="26" t="str">
        <f>VLOOKUP(M211,[1]TIPOLOGIAS!$A:$F,4,0)</f>
        <v>BOGOTA</v>
      </c>
      <c r="U211" s="26" t="str">
        <f>VLOOKUP(T211,'BASE TARIFA 2025'!C:D,2,0)</f>
        <v>WOMPI CENTRO</v>
      </c>
      <c r="V211" s="27">
        <f>VLOOKUP(T211,'BASE TARIFA 2025'!C:F,3,0)</f>
        <v>37313</v>
      </c>
      <c r="W211" s="27">
        <f t="shared" si="3"/>
        <v>111939</v>
      </c>
    </row>
    <row r="212" spans="1:23" s="37" customFormat="1" ht="14.4" x14ac:dyDescent="0.3">
      <c r="A212" s="37">
        <v>67120</v>
      </c>
      <c r="B212" s="37" t="s">
        <v>3859</v>
      </c>
      <c r="C212" s="37">
        <v>1012442224</v>
      </c>
      <c r="D212" s="37" t="s">
        <v>1119</v>
      </c>
      <c r="E212" s="37" t="s">
        <v>1119</v>
      </c>
      <c r="F212" s="37" t="s">
        <v>1119</v>
      </c>
      <c r="G212" s="37" t="s">
        <v>1120</v>
      </c>
      <c r="H212" s="37" t="s">
        <v>1121</v>
      </c>
      <c r="I212" s="37" t="s">
        <v>1122</v>
      </c>
      <c r="J212" s="37" t="s">
        <v>68</v>
      </c>
      <c r="K212" s="37" t="s">
        <v>151</v>
      </c>
      <c r="L212" s="37" t="s">
        <v>151</v>
      </c>
      <c r="M212" s="37">
        <v>25899</v>
      </c>
      <c r="N212" s="38" t="s">
        <v>430</v>
      </c>
      <c r="S212" s="23">
        <f>VLOOKUP(A212,Hoja1!A:D,4,0)</f>
        <v>3</v>
      </c>
      <c r="T212" s="26" t="str">
        <f>VLOOKUP(M212,[1]TIPOLOGIAS!$A:$F,4,0)</f>
        <v>BOGOTA</v>
      </c>
      <c r="U212" s="26" t="str">
        <f>VLOOKUP(T212,'BASE TARIFA 2025'!C:D,2,0)</f>
        <v>WOMPI CENTRO</v>
      </c>
      <c r="V212" s="27">
        <f>VLOOKUP(T212,'BASE TARIFA 2025'!C:F,3,0)</f>
        <v>37313</v>
      </c>
      <c r="W212" s="27">
        <f t="shared" si="3"/>
        <v>111939</v>
      </c>
    </row>
    <row r="213" spans="1:23" s="37" customFormat="1" ht="14.4" x14ac:dyDescent="0.3">
      <c r="A213" s="37">
        <v>67275</v>
      </c>
      <c r="B213" s="37" t="s">
        <v>3860</v>
      </c>
      <c r="C213" s="37">
        <v>80901565</v>
      </c>
      <c r="D213" s="37" t="s">
        <v>1123</v>
      </c>
      <c r="E213" s="37" t="s">
        <v>1124</v>
      </c>
      <c r="F213" s="37" t="s">
        <v>1123</v>
      </c>
      <c r="G213" s="37" t="s">
        <v>1125</v>
      </c>
      <c r="H213" s="37" t="s">
        <v>1126</v>
      </c>
      <c r="I213" s="37" t="s">
        <v>1127</v>
      </c>
      <c r="J213" s="37" t="s">
        <v>68</v>
      </c>
      <c r="K213" s="37" t="s">
        <v>151</v>
      </c>
      <c r="L213" s="37" t="s">
        <v>151</v>
      </c>
      <c r="M213" s="37">
        <v>25899</v>
      </c>
      <c r="N213" s="38" t="s">
        <v>324</v>
      </c>
      <c r="S213" s="23">
        <f>VLOOKUP(A213,Hoja1!A:D,4,0)</f>
        <v>1</v>
      </c>
      <c r="T213" s="26" t="str">
        <f>VLOOKUP(M213,[1]TIPOLOGIAS!$A:$F,4,0)</f>
        <v>BOGOTA</v>
      </c>
      <c r="U213" s="26" t="str">
        <f>VLOOKUP(T213,'BASE TARIFA 2025'!C:D,2,0)</f>
        <v>WOMPI CENTRO</v>
      </c>
      <c r="V213" s="27">
        <f>VLOOKUP(T213,'BASE TARIFA 2025'!C:F,3,0)</f>
        <v>37313</v>
      </c>
      <c r="W213" s="27">
        <f t="shared" si="3"/>
        <v>37313</v>
      </c>
    </row>
    <row r="214" spans="1:23" s="37" customFormat="1" ht="14.4" x14ac:dyDescent="0.3">
      <c r="A214" s="37">
        <v>64547</v>
      </c>
      <c r="B214" s="37" t="s">
        <v>3861</v>
      </c>
      <c r="C214" s="37">
        <v>80723993</v>
      </c>
      <c r="D214" s="37" t="s">
        <v>1128</v>
      </c>
      <c r="E214" s="37" t="s">
        <v>258</v>
      </c>
      <c r="F214" s="37" t="s">
        <v>1129</v>
      </c>
      <c r="G214" s="37" t="s">
        <v>259</v>
      </c>
      <c r="H214" s="37" t="s">
        <v>260</v>
      </c>
      <c r="I214" s="37" t="s">
        <v>261</v>
      </c>
      <c r="J214" s="37" t="s">
        <v>87</v>
      </c>
      <c r="K214" s="37" t="s">
        <v>30</v>
      </c>
      <c r="L214" s="37" t="s">
        <v>30</v>
      </c>
      <c r="M214" s="37">
        <v>41001</v>
      </c>
      <c r="N214" s="38" t="s">
        <v>503</v>
      </c>
      <c r="S214" s="23">
        <f>VLOOKUP(A214,Hoja1!A:D,4,0)</f>
        <v>2</v>
      </c>
      <c r="T214" s="26" t="str">
        <f>VLOOKUP(M214,[1]TIPOLOGIAS!$A:$F,4,0)</f>
        <v>NEIVA</v>
      </c>
      <c r="U214" s="26" t="str">
        <f>VLOOKUP(T214,'BASE TARIFA 2025'!C:D,2,0)</f>
        <v>WOMPI ORIENTE</v>
      </c>
      <c r="V214" s="27">
        <f>VLOOKUP(T214,'BASE TARIFA 2025'!C:F,3,0)</f>
        <v>49671.7</v>
      </c>
      <c r="W214" s="27">
        <f t="shared" si="3"/>
        <v>99343.4</v>
      </c>
    </row>
    <row r="215" spans="1:23" s="37" customFormat="1" ht="14.4" x14ac:dyDescent="0.3">
      <c r="A215" s="37">
        <v>27074</v>
      </c>
      <c r="B215" s="37" t="s">
        <v>3862</v>
      </c>
      <c r="C215" s="37">
        <v>20781621</v>
      </c>
      <c r="D215" s="37" t="s">
        <v>270</v>
      </c>
      <c r="E215" s="37" t="s">
        <v>270</v>
      </c>
      <c r="F215" s="37" t="s">
        <v>270</v>
      </c>
      <c r="G215" s="37" t="s">
        <v>271</v>
      </c>
      <c r="H215" s="37" t="s">
        <v>272</v>
      </c>
      <c r="I215" s="37" t="s">
        <v>273</v>
      </c>
      <c r="J215" s="37" t="s">
        <v>87</v>
      </c>
      <c r="K215" s="37" t="s">
        <v>30</v>
      </c>
      <c r="L215" s="37" t="s">
        <v>30</v>
      </c>
      <c r="M215" s="37">
        <v>41001</v>
      </c>
      <c r="N215" s="38" t="s">
        <v>416</v>
      </c>
      <c r="S215" s="23">
        <f>VLOOKUP(A215,Hoja1!A:D,4,0)</f>
        <v>2</v>
      </c>
      <c r="T215" s="26" t="str">
        <f>VLOOKUP(M215,[1]TIPOLOGIAS!$A:$F,4,0)</f>
        <v>NEIVA</v>
      </c>
      <c r="U215" s="26" t="str">
        <f>VLOOKUP(T215,'BASE TARIFA 2025'!C:D,2,0)</f>
        <v>WOMPI ORIENTE</v>
      </c>
      <c r="V215" s="27">
        <f>VLOOKUP(T215,'BASE TARIFA 2025'!C:F,3,0)</f>
        <v>49671.7</v>
      </c>
      <c r="W215" s="27">
        <f t="shared" si="3"/>
        <v>99343.4</v>
      </c>
    </row>
    <row r="216" spans="1:23" s="37" customFormat="1" ht="14.4" x14ac:dyDescent="0.3">
      <c r="A216" s="37">
        <v>27884</v>
      </c>
      <c r="B216" s="37" t="s">
        <v>3863</v>
      </c>
      <c r="C216" s="37">
        <v>1076326760</v>
      </c>
      <c r="D216" s="37" t="s">
        <v>274</v>
      </c>
      <c r="E216" s="37" t="s">
        <v>274</v>
      </c>
      <c r="G216" s="37" t="s">
        <v>275</v>
      </c>
      <c r="H216" s="37" t="s">
        <v>276</v>
      </c>
      <c r="I216" s="37" t="s">
        <v>277</v>
      </c>
      <c r="J216" s="37" t="s">
        <v>87</v>
      </c>
      <c r="K216" s="37" t="s">
        <v>30</v>
      </c>
      <c r="L216" s="37" t="s">
        <v>30</v>
      </c>
      <c r="M216" s="37">
        <v>41001</v>
      </c>
      <c r="N216" s="38" t="s">
        <v>416</v>
      </c>
      <c r="S216" s="23">
        <f>VLOOKUP(A216,Hoja1!A:D,4,0)</f>
        <v>2</v>
      </c>
      <c r="T216" s="26" t="str">
        <f>VLOOKUP(M216,[1]TIPOLOGIAS!$A:$F,4,0)</f>
        <v>NEIVA</v>
      </c>
      <c r="U216" s="26" t="str">
        <f>VLOOKUP(T216,'BASE TARIFA 2025'!C:D,2,0)</f>
        <v>WOMPI ORIENTE</v>
      </c>
      <c r="V216" s="27">
        <f>VLOOKUP(T216,'BASE TARIFA 2025'!C:F,3,0)</f>
        <v>49671.7</v>
      </c>
      <c r="W216" s="27">
        <f t="shared" si="3"/>
        <v>99343.4</v>
      </c>
    </row>
    <row r="217" spans="1:23" s="37" customFormat="1" ht="14.4" x14ac:dyDescent="0.3">
      <c r="A217" s="37">
        <v>31187</v>
      </c>
      <c r="B217" s="37" t="s">
        <v>3864</v>
      </c>
      <c r="C217" s="37">
        <v>40436796</v>
      </c>
      <c r="D217" s="37" t="s">
        <v>1130</v>
      </c>
      <c r="E217" s="37" t="s">
        <v>1131</v>
      </c>
      <c r="F217" s="37" t="s">
        <v>1130</v>
      </c>
      <c r="G217" s="37" t="s">
        <v>1132</v>
      </c>
      <c r="H217" s="37" t="s">
        <v>1133</v>
      </c>
      <c r="I217" s="37" t="s">
        <v>1134</v>
      </c>
      <c r="J217" s="37" t="s">
        <v>73</v>
      </c>
      <c r="K217" s="37" t="s">
        <v>205</v>
      </c>
      <c r="L217" s="37" t="s">
        <v>205</v>
      </c>
      <c r="M217" s="37">
        <v>19001</v>
      </c>
      <c r="N217" s="38" t="s">
        <v>322</v>
      </c>
      <c r="S217" s="23">
        <f>VLOOKUP(A217,Hoja1!A:D,4,0)</f>
        <v>2</v>
      </c>
      <c r="T217" s="26" t="str">
        <f>VLOOKUP(M217,[1]TIPOLOGIAS!$A:$F,4,0)</f>
        <v>CALI</v>
      </c>
      <c r="U217" s="26" t="str">
        <f>VLOOKUP(T217,'BASE TARIFA 2025'!C:D,2,0)</f>
        <v>WOMPI SUROCCIDENTE</v>
      </c>
      <c r="V217" s="27">
        <f>VLOOKUP(T217,'BASE TARIFA 2025'!C:F,3,0)</f>
        <v>37313</v>
      </c>
      <c r="W217" s="27">
        <f t="shared" si="3"/>
        <v>74626</v>
      </c>
    </row>
    <row r="218" spans="1:23" s="37" customFormat="1" ht="14.4" x14ac:dyDescent="0.3">
      <c r="A218" s="37">
        <v>17743</v>
      </c>
      <c r="B218" s="37" t="s">
        <v>3865</v>
      </c>
      <c r="C218" s="37">
        <v>86088859</v>
      </c>
      <c r="D218" s="37" t="s">
        <v>1135</v>
      </c>
      <c r="E218" s="37" t="s">
        <v>1136</v>
      </c>
      <c r="F218" s="37" t="s">
        <v>1135</v>
      </c>
      <c r="G218" s="37" t="s">
        <v>1137</v>
      </c>
      <c r="H218" s="37" t="s">
        <v>1138</v>
      </c>
      <c r="I218" s="37" t="s">
        <v>1139</v>
      </c>
      <c r="J218" s="37" t="s">
        <v>73</v>
      </c>
      <c r="K218" s="37" t="s">
        <v>205</v>
      </c>
      <c r="L218" s="37" t="s">
        <v>205</v>
      </c>
      <c r="M218" s="37">
        <v>19001</v>
      </c>
      <c r="N218" s="38" t="s">
        <v>322</v>
      </c>
      <c r="S218" s="23">
        <f>VLOOKUP(A218,Hoja1!A:D,4,0)</f>
        <v>2</v>
      </c>
      <c r="T218" s="26" t="str">
        <f>VLOOKUP(M218,[1]TIPOLOGIAS!$A:$F,4,0)</f>
        <v>CALI</v>
      </c>
      <c r="U218" s="26" t="str">
        <f>VLOOKUP(T218,'BASE TARIFA 2025'!C:D,2,0)</f>
        <v>WOMPI SUROCCIDENTE</v>
      </c>
      <c r="V218" s="27">
        <f>VLOOKUP(T218,'BASE TARIFA 2025'!C:F,3,0)</f>
        <v>37313</v>
      </c>
      <c r="W218" s="27">
        <f t="shared" si="3"/>
        <v>74626</v>
      </c>
    </row>
    <row r="219" spans="1:23" s="37" customFormat="1" ht="14.4" x14ac:dyDescent="0.3">
      <c r="A219" s="37">
        <v>27075</v>
      </c>
      <c r="B219" s="37" t="s">
        <v>3866</v>
      </c>
      <c r="C219" s="37">
        <v>20781621</v>
      </c>
      <c r="D219" s="37" t="s">
        <v>1140</v>
      </c>
      <c r="E219" s="37" t="s">
        <v>1140</v>
      </c>
      <c r="G219" s="37" t="s">
        <v>1141</v>
      </c>
      <c r="H219" s="37" t="s">
        <v>1142</v>
      </c>
      <c r="I219" s="37" t="s">
        <v>1143</v>
      </c>
      <c r="J219" s="37" t="s">
        <v>74</v>
      </c>
      <c r="K219" s="37" t="s">
        <v>118</v>
      </c>
      <c r="L219" s="37" t="s">
        <v>118</v>
      </c>
      <c r="M219" s="37">
        <v>50606</v>
      </c>
      <c r="N219" s="38" t="s">
        <v>321</v>
      </c>
      <c r="S219" s="23">
        <f>VLOOKUP(A219,Hoja1!A:D,4,0)</f>
        <v>2</v>
      </c>
      <c r="T219" s="26" t="str">
        <f>VLOOKUP(M219,[1]TIPOLOGIAS!$A:$F,4,0)</f>
        <v>VILLAVICENCIO</v>
      </c>
      <c r="U219" s="26" t="str">
        <f>VLOOKUP(T219,'BASE TARIFA 2025'!C:D,2,0)</f>
        <v>WOMPI ORIENTE</v>
      </c>
      <c r="V219" s="27">
        <f>VLOOKUP(T219,'BASE TARIFA 2025'!C:F,3,0)</f>
        <v>49671.7</v>
      </c>
      <c r="W219" s="27">
        <f t="shared" si="3"/>
        <v>99343.4</v>
      </c>
    </row>
    <row r="220" spans="1:23" s="37" customFormat="1" ht="14.4" x14ac:dyDescent="0.3">
      <c r="A220" s="37">
        <v>29174</v>
      </c>
      <c r="B220" s="37" t="s">
        <v>3867</v>
      </c>
      <c r="C220" s="37">
        <v>1121831929</v>
      </c>
      <c r="D220" s="37" t="s">
        <v>1144</v>
      </c>
      <c r="E220" s="37" t="s">
        <v>1145</v>
      </c>
      <c r="F220" s="37" t="s">
        <v>1145</v>
      </c>
      <c r="G220" s="37" t="s">
        <v>1146</v>
      </c>
      <c r="H220" s="37" t="s">
        <v>1147</v>
      </c>
      <c r="I220" s="37" t="s">
        <v>1148</v>
      </c>
      <c r="J220" s="37" t="s">
        <v>72</v>
      </c>
      <c r="K220" s="37" t="s">
        <v>120</v>
      </c>
      <c r="L220" s="37" t="s">
        <v>120</v>
      </c>
      <c r="M220" s="37">
        <v>52411</v>
      </c>
      <c r="N220" s="38" t="s">
        <v>480</v>
      </c>
      <c r="S220" s="23">
        <f>VLOOKUP(A220,Hoja1!A:D,4,0)</f>
        <v>2</v>
      </c>
      <c r="T220" s="26" t="str">
        <f>VLOOKUP(M220,[1]TIPOLOGIAS!$A:$F,4,0)</f>
        <v>PASTO</v>
      </c>
      <c r="U220" s="26" t="str">
        <f>VLOOKUP(T220,'BASE TARIFA 2025'!C:D,2,0)</f>
        <v>WOMPI SUROCCIDENTE</v>
      </c>
      <c r="V220" s="27">
        <f>VLOOKUP(T220,'BASE TARIFA 2025'!C:F,3,0)</f>
        <v>49671.7</v>
      </c>
      <c r="W220" s="27">
        <f t="shared" si="3"/>
        <v>99343.4</v>
      </c>
    </row>
    <row r="221" spans="1:23" s="37" customFormat="1" ht="14.4" x14ac:dyDescent="0.3">
      <c r="A221" s="37">
        <v>64082</v>
      </c>
      <c r="B221" s="37" t="s">
        <v>3868</v>
      </c>
      <c r="C221" s="37">
        <v>1024500036</v>
      </c>
      <c r="D221" s="37" t="s">
        <v>67</v>
      </c>
      <c r="E221" s="37" t="s">
        <v>1149</v>
      </c>
      <c r="F221" s="37" t="s">
        <v>1149</v>
      </c>
      <c r="G221" s="37" t="s">
        <v>1150</v>
      </c>
      <c r="H221" s="37" t="s">
        <v>1151</v>
      </c>
      <c r="I221" s="37" t="s">
        <v>1152</v>
      </c>
      <c r="J221" s="37" t="s">
        <v>72</v>
      </c>
      <c r="K221" s="37" t="s">
        <v>120</v>
      </c>
      <c r="L221" s="37" t="s">
        <v>120</v>
      </c>
      <c r="M221" s="37">
        <v>52411</v>
      </c>
      <c r="N221" s="38" t="s">
        <v>320</v>
      </c>
      <c r="S221" s="23">
        <f>VLOOKUP(A221,Hoja1!A:D,4,0)</f>
        <v>1</v>
      </c>
      <c r="T221" s="26" t="str">
        <f>VLOOKUP(M221,[1]TIPOLOGIAS!$A:$F,4,0)</f>
        <v>PASTO</v>
      </c>
      <c r="U221" s="26" t="str">
        <f>VLOOKUP(T221,'BASE TARIFA 2025'!C:D,2,0)</f>
        <v>WOMPI SUROCCIDENTE</v>
      </c>
      <c r="V221" s="27">
        <f>VLOOKUP(T221,'BASE TARIFA 2025'!C:F,3,0)</f>
        <v>49671.7</v>
      </c>
      <c r="W221" s="27">
        <f t="shared" si="3"/>
        <v>49671.7</v>
      </c>
    </row>
    <row r="222" spans="1:23" s="37" customFormat="1" ht="14.4" x14ac:dyDescent="0.3">
      <c r="A222" s="37">
        <v>57241</v>
      </c>
      <c r="B222" s="37" t="s">
        <v>3869</v>
      </c>
      <c r="C222" s="37">
        <v>1043848739</v>
      </c>
      <c r="D222" s="37" t="s">
        <v>1153</v>
      </c>
      <c r="E222" s="37" t="s">
        <v>1154</v>
      </c>
      <c r="F222" s="37" t="s">
        <v>1153</v>
      </c>
      <c r="G222" s="37" t="s">
        <v>1155</v>
      </c>
      <c r="H222" s="37" t="s">
        <v>1156</v>
      </c>
      <c r="I222" s="37" t="s">
        <v>1157</v>
      </c>
      <c r="J222" s="37" t="s">
        <v>72</v>
      </c>
      <c r="K222" s="37" t="s">
        <v>120</v>
      </c>
      <c r="L222" s="37" t="s">
        <v>120</v>
      </c>
      <c r="M222" s="37">
        <v>52411</v>
      </c>
      <c r="N222" s="38" t="s">
        <v>480</v>
      </c>
      <c r="S222" s="23">
        <f>VLOOKUP(A222,Hoja1!A:D,4,0)</f>
        <v>2</v>
      </c>
      <c r="T222" s="26" t="str">
        <f>VLOOKUP(M222,[1]TIPOLOGIAS!$A:$F,4,0)</f>
        <v>PASTO</v>
      </c>
      <c r="U222" s="26" t="str">
        <f>VLOOKUP(T222,'BASE TARIFA 2025'!C:D,2,0)</f>
        <v>WOMPI SUROCCIDENTE</v>
      </c>
      <c r="V222" s="27">
        <f>VLOOKUP(T222,'BASE TARIFA 2025'!C:F,3,0)</f>
        <v>49671.7</v>
      </c>
      <c r="W222" s="27">
        <f t="shared" si="3"/>
        <v>99343.4</v>
      </c>
    </row>
    <row r="223" spans="1:23" s="37" customFormat="1" ht="14.4" x14ac:dyDescent="0.3">
      <c r="A223" s="37">
        <v>48371</v>
      </c>
      <c r="B223" s="37" t="s">
        <v>3636</v>
      </c>
      <c r="C223" s="37">
        <v>1023881117</v>
      </c>
      <c r="D223" s="37" t="s">
        <v>1158</v>
      </c>
      <c r="E223" s="37" t="s">
        <v>1158</v>
      </c>
      <c r="F223" s="37" t="s">
        <v>1158</v>
      </c>
      <c r="G223" s="37" t="s">
        <v>1159</v>
      </c>
      <c r="H223" s="37" t="s">
        <v>1160</v>
      </c>
      <c r="I223" s="37" t="s">
        <v>1161</v>
      </c>
      <c r="J223" s="37" t="s">
        <v>90</v>
      </c>
      <c r="K223" s="37" t="s">
        <v>91</v>
      </c>
      <c r="L223" s="37" t="s">
        <v>91</v>
      </c>
      <c r="M223" s="37">
        <v>54261</v>
      </c>
      <c r="N223" s="38" t="s">
        <v>324</v>
      </c>
      <c r="S223" s="23">
        <f>VLOOKUP(A223,Hoja1!A:D,4,0)</f>
        <v>2</v>
      </c>
      <c r="T223" s="26" t="str">
        <f>VLOOKUP(M223,[1]TIPOLOGIAS!$A:$F,4,0)</f>
        <v>CUCUTA</v>
      </c>
      <c r="U223" s="26" t="str">
        <f>VLOOKUP(T223,'BASE TARIFA 2025'!C:D,2,0)</f>
        <v>WOMPI SANTANDERES</v>
      </c>
      <c r="V223" s="27">
        <f>VLOOKUP(T223,'BASE TARIFA 2025'!C:F,3,0)</f>
        <v>49671.7</v>
      </c>
      <c r="W223" s="27">
        <f t="shared" si="3"/>
        <v>99343.4</v>
      </c>
    </row>
    <row r="224" spans="1:23" s="37" customFormat="1" ht="14.4" x14ac:dyDescent="0.3">
      <c r="A224" s="37">
        <v>49558</v>
      </c>
      <c r="B224" s="37" t="s">
        <v>3637</v>
      </c>
      <c r="C224" s="37">
        <v>52474006</v>
      </c>
      <c r="D224" s="37" t="s">
        <v>1162</v>
      </c>
      <c r="E224" s="37" t="s">
        <v>1162</v>
      </c>
      <c r="F224" s="37" t="s">
        <v>1162</v>
      </c>
      <c r="G224" s="37" t="s">
        <v>1163</v>
      </c>
      <c r="H224" s="37" t="s">
        <v>1164</v>
      </c>
      <c r="I224" s="37" t="s">
        <v>1165</v>
      </c>
      <c r="J224" s="37" t="s">
        <v>90</v>
      </c>
      <c r="K224" s="37" t="s">
        <v>91</v>
      </c>
      <c r="L224" s="37" t="s">
        <v>91</v>
      </c>
      <c r="M224" s="37">
        <v>54261</v>
      </c>
      <c r="N224" s="38" t="s">
        <v>324</v>
      </c>
      <c r="S224" s="23">
        <f>VLOOKUP(A224,Hoja1!A:D,4,0)</f>
        <v>2</v>
      </c>
      <c r="T224" s="26" t="str">
        <f>VLOOKUP(M224,[1]TIPOLOGIAS!$A:$F,4,0)</f>
        <v>CUCUTA</v>
      </c>
      <c r="U224" s="26" t="str">
        <f>VLOOKUP(T224,'BASE TARIFA 2025'!C:D,2,0)</f>
        <v>WOMPI SANTANDERES</v>
      </c>
      <c r="V224" s="27">
        <f>VLOOKUP(T224,'BASE TARIFA 2025'!C:F,3,0)</f>
        <v>49671.7</v>
      </c>
      <c r="W224" s="27">
        <f t="shared" si="3"/>
        <v>99343.4</v>
      </c>
    </row>
    <row r="225" spans="1:23" s="37" customFormat="1" ht="14.4" x14ac:dyDescent="0.3">
      <c r="A225" s="37">
        <v>17974</v>
      </c>
      <c r="B225" s="37" t="s">
        <v>3870</v>
      </c>
      <c r="C225" s="37">
        <v>52427938</v>
      </c>
      <c r="D225" s="37" t="s">
        <v>1166</v>
      </c>
      <c r="E225" s="37" t="s">
        <v>1166</v>
      </c>
      <c r="F225" s="37" t="s">
        <v>1167</v>
      </c>
      <c r="G225" s="37" t="s">
        <v>1168</v>
      </c>
      <c r="H225" s="37" t="s">
        <v>1169</v>
      </c>
      <c r="I225" s="37" t="s">
        <v>1170</v>
      </c>
      <c r="J225" s="37" t="s">
        <v>90</v>
      </c>
      <c r="K225" s="37" t="s">
        <v>91</v>
      </c>
      <c r="L225" s="37" t="s">
        <v>91</v>
      </c>
      <c r="M225" s="37">
        <v>54261</v>
      </c>
      <c r="N225" s="38" t="s">
        <v>324</v>
      </c>
      <c r="S225" s="23">
        <f>VLOOKUP(A225,Hoja1!A:D,4,0)</f>
        <v>2</v>
      </c>
      <c r="T225" s="26" t="str">
        <f>VLOOKUP(M225,[1]TIPOLOGIAS!$A:$F,4,0)</f>
        <v>CUCUTA</v>
      </c>
      <c r="U225" s="26" t="str">
        <f>VLOOKUP(T225,'BASE TARIFA 2025'!C:D,2,0)</f>
        <v>WOMPI SANTANDERES</v>
      </c>
      <c r="V225" s="27">
        <f>VLOOKUP(T225,'BASE TARIFA 2025'!C:F,3,0)</f>
        <v>49671.7</v>
      </c>
      <c r="W225" s="27">
        <f t="shared" si="3"/>
        <v>99343.4</v>
      </c>
    </row>
    <row r="226" spans="1:23" s="37" customFormat="1" ht="14.4" x14ac:dyDescent="0.3">
      <c r="A226" s="37">
        <v>23433</v>
      </c>
      <c r="B226" s="37" t="s">
        <v>3871</v>
      </c>
      <c r="C226" s="37">
        <v>40333015</v>
      </c>
      <c r="D226" s="37" t="s">
        <v>278</v>
      </c>
      <c r="E226" s="37" t="s">
        <v>278</v>
      </c>
      <c r="G226" s="37" t="s">
        <v>279</v>
      </c>
      <c r="H226" s="37" t="s">
        <v>280</v>
      </c>
      <c r="I226" s="37" t="s">
        <v>281</v>
      </c>
      <c r="J226" s="37" t="s">
        <v>87</v>
      </c>
      <c r="K226" s="37" t="s">
        <v>30</v>
      </c>
      <c r="L226" s="37" t="s">
        <v>30</v>
      </c>
      <c r="M226" s="37">
        <v>41001</v>
      </c>
      <c r="N226" s="38" t="s">
        <v>416</v>
      </c>
      <c r="S226" s="23">
        <f>VLOOKUP(A226,Hoja1!A:D,4,0)</f>
        <v>4</v>
      </c>
      <c r="T226" s="26" t="str">
        <f>VLOOKUP(M226,[1]TIPOLOGIAS!$A:$F,4,0)</f>
        <v>NEIVA</v>
      </c>
      <c r="U226" s="26" t="str">
        <f>VLOOKUP(T226,'BASE TARIFA 2025'!C:D,2,0)</f>
        <v>WOMPI ORIENTE</v>
      </c>
      <c r="V226" s="27">
        <f>VLOOKUP(T226,'BASE TARIFA 2025'!C:F,3,0)</f>
        <v>49671.7</v>
      </c>
      <c r="W226" s="27">
        <f t="shared" si="3"/>
        <v>198686.8</v>
      </c>
    </row>
    <row r="227" spans="1:23" s="37" customFormat="1" ht="14.4" x14ac:dyDescent="0.3">
      <c r="A227" s="37">
        <v>77136</v>
      </c>
      <c r="B227" s="37" t="s">
        <v>3872</v>
      </c>
      <c r="C227" s="37">
        <v>86014420</v>
      </c>
      <c r="D227" s="37" t="s">
        <v>1171</v>
      </c>
      <c r="E227" s="37" t="s">
        <v>1172</v>
      </c>
      <c r="F227" s="37" t="s">
        <v>1171</v>
      </c>
      <c r="G227" s="37" t="s">
        <v>1173</v>
      </c>
      <c r="H227" s="37" t="s">
        <v>1174</v>
      </c>
      <c r="I227" s="37" t="s">
        <v>1175</v>
      </c>
      <c r="J227" s="37" t="s">
        <v>87</v>
      </c>
      <c r="K227" s="37" t="s">
        <v>30</v>
      </c>
      <c r="L227" s="37" t="s">
        <v>30</v>
      </c>
      <c r="M227" s="37">
        <v>41001</v>
      </c>
      <c r="N227" s="38" t="s">
        <v>708</v>
      </c>
      <c r="S227" s="23">
        <f>VLOOKUP(A227,Hoja1!A:D,4,0)</f>
        <v>1</v>
      </c>
      <c r="T227" s="26" t="str">
        <f>VLOOKUP(M227,[1]TIPOLOGIAS!$A:$F,4,0)</f>
        <v>NEIVA</v>
      </c>
      <c r="U227" s="26" t="str">
        <f>VLOOKUP(T227,'BASE TARIFA 2025'!C:D,2,0)</f>
        <v>WOMPI ORIENTE</v>
      </c>
      <c r="V227" s="27">
        <f>VLOOKUP(T227,'BASE TARIFA 2025'!C:F,3,0)</f>
        <v>49671.7</v>
      </c>
      <c r="W227" s="27">
        <f t="shared" si="3"/>
        <v>49671.7</v>
      </c>
    </row>
    <row r="228" spans="1:23" s="37" customFormat="1" ht="14.4" x14ac:dyDescent="0.3">
      <c r="A228" s="37">
        <v>35979</v>
      </c>
      <c r="B228" s="37" t="s">
        <v>3633</v>
      </c>
      <c r="C228" s="37">
        <v>1073669849</v>
      </c>
      <c r="D228" s="37" t="s">
        <v>1176</v>
      </c>
      <c r="E228" s="37" t="s">
        <v>1176</v>
      </c>
      <c r="F228" s="37" t="s">
        <v>1176</v>
      </c>
      <c r="G228" s="37" t="s">
        <v>1177</v>
      </c>
      <c r="H228" s="37" t="s">
        <v>1178</v>
      </c>
      <c r="I228" s="37" t="s">
        <v>1179</v>
      </c>
      <c r="J228" s="37" t="s">
        <v>87</v>
      </c>
      <c r="K228" s="37" t="s">
        <v>30</v>
      </c>
      <c r="L228" s="37" t="s">
        <v>30</v>
      </c>
      <c r="M228" s="37">
        <v>41001</v>
      </c>
      <c r="N228" s="38" t="s">
        <v>708</v>
      </c>
      <c r="S228" s="23">
        <f>VLOOKUP(A228,Hoja1!A:D,4,0)</f>
        <v>2</v>
      </c>
      <c r="T228" s="26" t="str">
        <f>VLOOKUP(M228,[1]TIPOLOGIAS!$A:$F,4,0)</f>
        <v>NEIVA</v>
      </c>
      <c r="U228" s="26" t="str">
        <f>VLOOKUP(T228,'BASE TARIFA 2025'!C:D,2,0)</f>
        <v>WOMPI ORIENTE</v>
      </c>
      <c r="V228" s="27">
        <f>VLOOKUP(T228,'BASE TARIFA 2025'!C:F,3,0)</f>
        <v>49671.7</v>
      </c>
      <c r="W228" s="27">
        <f t="shared" si="3"/>
        <v>99343.4</v>
      </c>
    </row>
    <row r="229" spans="1:23" s="37" customFormat="1" ht="14.4" x14ac:dyDescent="0.3">
      <c r="A229" s="37">
        <v>27151</v>
      </c>
      <c r="B229" s="37" t="s">
        <v>3873</v>
      </c>
      <c r="C229" s="37">
        <v>1012427286</v>
      </c>
      <c r="D229" s="37" t="s">
        <v>266</v>
      </c>
      <c r="E229" s="37" t="s">
        <v>266</v>
      </c>
      <c r="F229" s="37" t="s">
        <v>266</v>
      </c>
      <c r="G229" s="37" t="s">
        <v>267</v>
      </c>
      <c r="H229" s="37" t="s">
        <v>268</v>
      </c>
      <c r="I229" s="37" t="s">
        <v>269</v>
      </c>
      <c r="J229" s="37" t="s">
        <v>87</v>
      </c>
      <c r="K229" s="37" t="s">
        <v>30</v>
      </c>
      <c r="L229" s="37" t="s">
        <v>30</v>
      </c>
      <c r="M229" s="37">
        <v>41001</v>
      </c>
      <c r="N229" s="38" t="s">
        <v>416</v>
      </c>
      <c r="S229" s="23">
        <f>VLOOKUP(A229,Hoja1!A:D,4,0)</f>
        <v>1</v>
      </c>
      <c r="T229" s="26" t="str">
        <f>VLOOKUP(M229,[1]TIPOLOGIAS!$A:$F,4,0)</f>
        <v>NEIVA</v>
      </c>
      <c r="U229" s="26" t="str">
        <f>VLOOKUP(T229,'BASE TARIFA 2025'!C:D,2,0)</f>
        <v>WOMPI ORIENTE</v>
      </c>
      <c r="V229" s="27">
        <f>VLOOKUP(T229,'BASE TARIFA 2025'!C:F,3,0)</f>
        <v>49671.7</v>
      </c>
      <c r="W229" s="27">
        <f t="shared" si="3"/>
        <v>49671.7</v>
      </c>
    </row>
    <row r="230" spans="1:23" s="37" customFormat="1" ht="14.4" x14ac:dyDescent="0.3">
      <c r="A230" s="37">
        <v>68124</v>
      </c>
      <c r="B230" s="37" t="s">
        <v>3874</v>
      </c>
      <c r="C230" s="37">
        <v>2000010749</v>
      </c>
      <c r="D230" s="37" t="s">
        <v>262</v>
      </c>
      <c r="E230" s="37" t="s">
        <v>262</v>
      </c>
      <c r="F230" s="37" t="s">
        <v>262</v>
      </c>
      <c r="G230" s="37" t="s">
        <v>263</v>
      </c>
      <c r="H230" s="37" t="s">
        <v>264</v>
      </c>
      <c r="I230" s="37" t="s">
        <v>265</v>
      </c>
      <c r="J230" s="37" t="s">
        <v>87</v>
      </c>
      <c r="K230" s="37" t="s">
        <v>30</v>
      </c>
      <c r="L230" s="37" t="s">
        <v>30</v>
      </c>
      <c r="M230" s="37">
        <v>41001</v>
      </c>
      <c r="N230" s="38" t="s">
        <v>416</v>
      </c>
      <c r="S230" s="23">
        <f>VLOOKUP(A230,Hoja1!A:D,4,0)</f>
        <v>1</v>
      </c>
      <c r="T230" s="26" t="str">
        <f>VLOOKUP(M230,[1]TIPOLOGIAS!$A:$F,4,0)</f>
        <v>NEIVA</v>
      </c>
      <c r="U230" s="26" t="str">
        <f>VLOOKUP(T230,'BASE TARIFA 2025'!C:D,2,0)</f>
        <v>WOMPI ORIENTE</v>
      </c>
      <c r="V230" s="27">
        <f>VLOOKUP(T230,'BASE TARIFA 2025'!C:F,3,0)</f>
        <v>49671.7</v>
      </c>
      <c r="W230" s="27">
        <f t="shared" si="3"/>
        <v>49671.7</v>
      </c>
    </row>
    <row r="231" spans="1:23" s="37" customFormat="1" ht="14.4" x14ac:dyDescent="0.3">
      <c r="A231" s="37">
        <v>68125</v>
      </c>
      <c r="B231" s="37" t="s">
        <v>3875</v>
      </c>
      <c r="C231" s="37">
        <v>2000010749</v>
      </c>
      <c r="D231" s="37" t="s">
        <v>1180</v>
      </c>
      <c r="E231" s="37" t="s">
        <v>1180</v>
      </c>
      <c r="F231" s="37" t="s">
        <v>1181</v>
      </c>
      <c r="G231" s="37" t="s">
        <v>1182</v>
      </c>
      <c r="H231" s="37" t="s">
        <v>1183</v>
      </c>
      <c r="I231" s="37" t="s">
        <v>1184</v>
      </c>
      <c r="J231" s="37" t="s">
        <v>87</v>
      </c>
      <c r="K231" s="37" t="s">
        <v>30</v>
      </c>
      <c r="L231" s="37" t="s">
        <v>30</v>
      </c>
      <c r="M231" s="37">
        <v>41001</v>
      </c>
      <c r="N231" s="38" t="s">
        <v>708</v>
      </c>
      <c r="S231" s="23">
        <f>VLOOKUP(A231,Hoja1!A:D,4,0)</f>
        <v>1</v>
      </c>
      <c r="T231" s="26" t="str">
        <f>VLOOKUP(M231,[1]TIPOLOGIAS!$A:$F,4,0)</f>
        <v>NEIVA</v>
      </c>
      <c r="U231" s="26" t="str">
        <f>VLOOKUP(T231,'BASE TARIFA 2025'!C:D,2,0)</f>
        <v>WOMPI ORIENTE</v>
      </c>
      <c r="V231" s="27">
        <f>VLOOKUP(T231,'BASE TARIFA 2025'!C:F,3,0)</f>
        <v>49671.7</v>
      </c>
      <c r="W231" s="27">
        <f t="shared" si="3"/>
        <v>49671.7</v>
      </c>
    </row>
    <row r="232" spans="1:23" s="37" customFormat="1" ht="14.4" x14ac:dyDescent="0.3">
      <c r="A232" s="37">
        <v>12800</v>
      </c>
      <c r="B232" s="37" t="s">
        <v>3876</v>
      </c>
      <c r="C232" s="37">
        <v>900576569</v>
      </c>
      <c r="D232" s="37" t="s">
        <v>1185</v>
      </c>
      <c r="E232" s="37" t="s">
        <v>1185</v>
      </c>
      <c r="F232" s="37" t="s">
        <v>1185</v>
      </c>
      <c r="G232" s="37" t="s">
        <v>1186</v>
      </c>
      <c r="H232" s="37" t="s">
        <v>1187</v>
      </c>
      <c r="I232" s="37" t="s">
        <v>1188</v>
      </c>
      <c r="J232" s="37" t="s">
        <v>87</v>
      </c>
      <c r="K232" s="37" t="s">
        <v>30</v>
      </c>
      <c r="L232" s="37" t="s">
        <v>30</v>
      </c>
      <c r="M232" s="37">
        <v>41001</v>
      </c>
      <c r="N232" s="38" t="s">
        <v>503</v>
      </c>
      <c r="S232" s="23">
        <f>VLOOKUP(A232,Hoja1!A:D,4,0)</f>
        <v>1</v>
      </c>
      <c r="T232" s="26" t="str">
        <f>VLOOKUP(M232,[1]TIPOLOGIAS!$A:$F,4,0)</f>
        <v>NEIVA</v>
      </c>
      <c r="U232" s="26" t="str">
        <f>VLOOKUP(T232,'BASE TARIFA 2025'!C:D,2,0)</f>
        <v>WOMPI ORIENTE</v>
      </c>
      <c r="V232" s="27">
        <f>VLOOKUP(T232,'BASE TARIFA 2025'!C:F,3,0)</f>
        <v>49671.7</v>
      </c>
      <c r="W232" s="27">
        <f t="shared" si="3"/>
        <v>49671.7</v>
      </c>
    </row>
    <row r="233" spans="1:23" s="37" customFormat="1" ht="14.4" x14ac:dyDescent="0.3">
      <c r="A233" s="37">
        <v>79374</v>
      </c>
      <c r="B233" s="37" t="s">
        <v>3877</v>
      </c>
      <c r="C233" s="37">
        <v>901452181</v>
      </c>
      <c r="D233" s="37" t="s">
        <v>1189</v>
      </c>
      <c r="E233" s="37" t="s">
        <v>1190</v>
      </c>
      <c r="F233" s="37" t="s">
        <v>1189</v>
      </c>
      <c r="G233" s="37" t="s">
        <v>1191</v>
      </c>
      <c r="H233" s="37" t="s">
        <v>1192</v>
      </c>
      <c r="I233" s="37" t="s">
        <v>1193</v>
      </c>
      <c r="J233" s="37" t="s">
        <v>87</v>
      </c>
      <c r="K233" s="37" t="s">
        <v>30</v>
      </c>
      <c r="L233" s="37" t="s">
        <v>30</v>
      </c>
      <c r="M233" s="37">
        <v>41001</v>
      </c>
      <c r="N233" s="38" t="s">
        <v>503</v>
      </c>
      <c r="S233" s="23">
        <f>VLOOKUP(A233,Hoja1!A:D,4,0)</f>
        <v>1</v>
      </c>
      <c r="T233" s="26" t="str">
        <f>VLOOKUP(M233,[1]TIPOLOGIAS!$A:$F,4,0)</f>
        <v>NEIVA</v>
      </c>
      <c r="U233" s="26" t="str">
        <f>VLOOKUP(T233,'BASE TARIFA 2025'!C:D,2,0)</f>
        <v>WOMPI ORIENTE</v>
      </c>
      <c r="V233" s="27">
        <f>VLOOKUP(T233,'BASE TARIFA 2025'!C:F,3,0)</f>
        <v>49671.7</v>
      </c>
      <c r="W233" s="27">
        <f t="shared" si="3"/>
        <v>49671.7</v>
      </c>
    </row>
    <row r="234" spans="1:23" s="37" customFormat="1" ht="14.4" x14ac:dyDescent="0.3">
      <c r="A234" s="37">
        <v>77616</v>
      </c>
      <c r="B234" s="37" t="s">
        <v>3878</v>
      </c>
      <c r="C234" s="37">
        <v>91248525</v>
      </c>
      <c r="D234" s="37" t="s">
        <v>1194</v>
      </c>
      <c r="E234" s="37" t="s">
        <v>1194</v>
      </c>
      <c r="F234" s="37" t="s">
        <v>1194</v>
      </c>
      <c r="G234" s="37" t="s">
        <v>1195</v>
      </c>
      <c r="H234" s="37" t="s">
        <v>1196</v>
      </c>
      <c r="I234" s="37" t="s">
        <v>1197</v>
      </c>
      <c r="J234" s="37" t="s">
        <v>87</v>
      </c>
      <c r="K234" s="37" t="s">
        <v>30</v>
      </c>
      <c r="L234" s="37" t="s">
        <v>30</v>
      </c>
      <c r="M234" s="37">
        <v>41001</v>
      </c>
      <c r="N234" s="38" t="s">
        <v>708</v>
      </c>
      <c r="S234" s="23">
        <f>VLOOKUP(A234,Hoja1!A:D,4,0)</f>
        <v>2</v>
      </c>
      <c r="T234" s="26" t="str">
        <f>VLOOKUP(M234,[1]TIPOLOGIAS!$A:$F,4,0)</f>
        <v>NEIVA</v>
      </c>
      <c r="U234" s="26" t="str">
        <f>VLOOKUP(T234,'BASE TARIFA 2025'!C:D,2,0)</f>
        <v>WOMPI ORIENTE</v>
      </c>
      <c r="V234" s="27">
        <f>VLOOKUP(T234,'BASE TARIFA 2025'!C:F,3,0)</f>
        <v>49671.7</v>
      </c>
      <c r="W234" s="27">
        <f t="shared" si="3"/>
        <v>99343.4</v>
      </c>
    </row>
    <row r="235" spans="1:23" s="37" customFormat="1" ht="14.4" x14ac:dyDescent="0.3">
      <c r="A235" s="37">
        <v>78377</v>
      </c>
      <c r="B235" s="37" t="s">
        <v>3879</v>
      </c>
      <c r="C235" s="37">
        <v>37292139</v>
      </c>
      <c r="D235" s="37" t="s">
        <v>1198</v>
      </c>
      <c r="E235" s="37" t="s">
        <v>1198</v>
      </c>
      <c r="F235" s="37" t="s">
        <v>1198</v>
      </c>
      <c r="G235" s="37" t="s">
        <v>1199</v>
      </c>
      <c r="H235" s="37" t="s">
        <v>1200</v>
      </c>
      <c r="I235" s="37" t="s">
        <v>1201</v>
      </c>
      <c r="J235" s="37" t="s">
        <v>87</v>
      </c>
      <c r="K235" s="37" t="s">
        <v>30</v>
      </c>
      <c r="L235" s="37" t="s">
        <v>30</v>
      </c>
      <c r="M235" s="37">
        <v>41001</v>
      </c>
      <c r="N235" s="38" t="s">
        <v>503</v>
      </c>
      <c r="S235" s="23">
        <f>VLOOKUP(A235,Hoja1!A:D,4,0)</f>
        <v>1</v>
      </c>
      <c r="T235" s="26" t="str">
        <f>VLOOKUP(M235,[1]TIPOLOGIAS!$A:$F,4,0)</f>
        <v>NEIVA</v>
      </c>
      <c r="U235" s="26" t="str">
        <f>VLOOKUP(T235,'BASE TARIFA 2025'!C:D,2,0)</f>
        <v>WOMPI ORIENTE</v>
      </c>
      <c r="V235" s="27">
        <f>VLOOKUP(T235,'BASE TARIFA 2025'!C:F,3,0)</f>
        <v>49671.7</v>
      </c>
      <c r="W235" s="27">
        <f t="shared" si="3"/>
        <v>49671.7</v>
      </c>
    </row>
    <row r="236" spans="1:23" s="37" customFormat="1" ht="14.4" x14ac:dyDescent="0.3">
      <c r="A236" s="37">
        <v>78423</v>
      </c>
      <c r="B236" s="37" t="s">
        <v>3880</v>
      </c>
      <c r="C236" s="37">
        <v>901743549</v>
      </c>
      <c r="D236" s="37" t="s">
        <v>1202</v>
      </c>
      <c r="E236" s="37" t="s">
        <v>1202</v>
      </c>
      <c r="F236" s="37" t="s">
        <v>1202</v>
      </c>
      <c r="G236" s="37" t="s">
        <v>1203</v>
      </c>
      <c r="H236" s="37" t="s">
        <v>1204</v>
      </c>
      <c r="I236" s="37" t="s">
        <v>1205</v>
      </c>
      <c r="J236" s="37" t="s">
        <v>87</v>
      </c>
      <c r="K236" s="37" t="s">
        <v>30</v>
      </c>
      <c r="L236" s="37" t="s">
        <v>30</v>
      </c>
      <c r="M236" s="37">
        <v>41001</v>
      </c>
      <c r="N236" s="38" t="s">
        <v>853</v>
      </c>
      <c r="S236" s="23">
        <f>VLOOKUP(A236,Hoja1!A:D,4,0)</f>
        <v>1</v>
      </c>
      <c r="T236" s="26" t="str">
        <f>VLOOKUP(M236,[1]TIPOLOGIAS!$A:$F,4,0)</f>
        <v>NEIVA</v>
      </c>
      <c r="U236" s="26" t="str">
        <f>VLOOKUP(T236,'BASE TARIFA 2025'!C:D,2,0)</f>
        <v>WOMPI ORIENTE</v>
      </c>
      <c r="V236" s="27">
        <f>VLOOKUP(T236,'BASE TARIFA 2025'!C:F,3,0)</f>
        <v>49671.7</v>
      </c>
      <c r="W236" s="27">
        <f t="shared" si="3"/>
        <v>49671.7</v>
      </c>
    </row>
    <row r="237" spans="1:23" s="37" customFormat="1" ht="14.4" x14ac:dyDescent="0.3">
      <c r="A237" s="37">
        <v>78348</v>
      </c>
      <c r="B237" s="37" t="s">
        <v>3881</v>
      </c>
      <c r="C237" s="37">
        <v>1193479180</v>
      </c>
      <c r="D237" s="37" t="s">
        <v>1206</v>
      </c>
      <c r="E237" s="37" t="s">
        <v>1206</v>
      </c>
      <c r="F237" s="37" t="s">
        <v>1207</v>
      </c>
      <c r="G237" s="37" t="s">
        <v>1208</v>
      </c>
      <c r="H237" s="37" t="s">
        <v>1209</v>
      </c>
      <c r="I237" s="37" t="s">
        <v>1210</v>
      </c>
      <c r="J237" s="37" t="s">
        <v>87</v>
      </c>
      <c r="K237" s="37" t="s">
        <v>30</v>
      </c>
      <c r="L237" s="37" t="s">
        <v>30</v>
      </c>
      <c r="M237" s="37">
        <v>41001</v>
      </c>
      <c r="N237" s="38" t="s">
        <v>853</v>
      </c>
      <c r="S237" s="23">
        <f>VLOOKUP(A237,Hoja1!A:D,4,0)</f>
        <v>2</v>
      </c>
      <c r="T237" s="26" t="str">
        <f>VLOOKUP(M237,[1]TIPOLOGIAS!$A:$F,4,0)</f>
        <v>NEIVA</v>
      </c>
      <c r="U237" s="26" t="str">
        <f>VLOOKUP(T237,'BASE TARIFA 2025'!C:D,2,0)</f>
        <v>WOMPI ORIENTE</v>
      </c>
      <c r="V237" s="27">
        <f>VLOOKUP(T237,'BASE TARIFA 2025'!C:F,3,0)</f>
        <v>49671.7</v>
      </c>
      <c r="W237" s="27">
        <f t="shared" si="3"/>
        <v>99343.4</v>
      </c>
    </row>
    <row r="238" spans="1:23" s="37" customFormat="1" ht="14.4" x14ac:dyDescent="0.3">
      <c r="A238" s="37">
        <v>77958</v>
      </c>
      <c r="B238" s="37" t="s">
        <v>3882</v>
      </c>
      <c r="C238" s="37">
        <v>1127344093</v>
      </c>
      <c r="D238" s="37" t="s">
        <v>1211</v>
      </c>
      <c r="E238" s="37" t="s">
        <v>1211</v>
      </c>
      <c r="F238" s="37" t="s">
        <v>1211</v>
      </c>
      <c r="G238" s="37" t="s">
        <v>1212</v>
      </c>
      <c r="H238" s="37" t="s">
        <v>1213</v>
      </c>
      <c r="I238" s="37" t="s">
        <v>1214</v>
      </c>
      <c r="J238" s="37" t="s">
        <v>87</v>
      </c>
      <c r="K238" s="37" t="s">
        <v>30</v>
      </c>
      <c r="L238" s="37" t="s">
        <v>30</v>
      </c>
      <c r="M238" s="37">
        <v>41001</v>
      </c>
      <c r="N238" s="38" t="s">
        <v>853</v>
      </c>
      <c r="S238" s="23">
        <f>VLOOKUP(A238,Hoja1!A:D,4,0)</f>
        <v>1</v>
      </c>
      <c r="T238" s="26" t="str">
        <f>VLOOKUP(M238,[1]TIPOLOGIAS!$A:$F,4,0)</f>
        <v>NEIVA</v>
      </c>
      <c r="U238" s="26" t="str">
        <f>VLOOKUP(T238,'BASE TARIFA 2025'!C:D,2,0)</f>
        <v>WOMPI ORIENTE</v>
      </c>
      <c r="V238" s="27">
        <f>VLOOKUP(T238,'BASE TARIFA 2025'!C:F,3,0)</f>
        <v>49671.7</v>
      </c>
      <c r="W238" s="27">
        <f t="shared" si="3"/>
        <v>49671.7</v>
      </c>
    </row>
    <row r="239" spans="1:23" s="37" customFormat="1" ht="14.4" x14ac:dyDescent="0.3">
      <c r="A239" s="37">
        <v>77664</v>
      </c>
      <c r="B239" s="37" t="s">
        <v>3883</v>
      </c>
      <c r="C239" s="37">
        <v>60364124</v>
      </c>
      <c r="E239" s="37" t="s">
        <v>1215</v>
      </c>
      <c r="F239" s="37" t="s">
        <v>1215</v>
      </c>
      <c r="G239" s="37" t="s">
        <v>1216</v>
      </c>
      <c r="H239" s="37" t="s">
        <v>1217</v>
      </c>
      <c r="I239" s="37" t="s">
        <v>1218</v>
      </c>
      <c r="J239" s="37" t="s">
        <v>73</v>
      </c>
      <c r="K239" s="37" t="s">
        <v>205</v>
      </c>
      <c r="L239" s="37" t="s">
        <v>205</v>
      </c>
      <c r="M239" s="37">
        <v>19001</v>
      </c>
      <c r="N239" s="38" t="s">
        <v>321</v>
      </c>
      <c r="S239" s="23">
        <f>VLOOKUP(A239,Hoja1!A:D,4,0)</f>
        <v>1</v>
      </c>
      <c r="T239" s="26" t="str">
        <f>VLOOKUP(M239,[1]TIPOLOGIAS!$A:$F,4,0)</f>
        <v>CALI</v>
      </c>
      <c r="U239" s="26" t="str">
        <f>VLOOKUP(T239,'BASE TARIFA 2025'!C:D,2,0)</f>
        <v>WOMPI SUROCCIDENTE</v>
      </c>
      <c r="V239" s="27">
        <f>VLOOKUP(T239,'BASE TARIFA 2025'!C:F,3,0)</f>
        <v>37313</v>
      </c>
      <c r="W239" s="27">
        <f t="shared" si="3"/>
        <v>37313</v>
      </c>
    </row>
    <row r="240" spans="1:23" s="37" customFormat="1" ht="14.4" x14ac:dyDescent="0.3">
      <c r="A240" s="37">
        <v>31689</v>
      </c>
      <c r="B240" s="37" t="s">
        <v>3884</v>
      </c>
      <c r="C240" s="37">
        <v>1030550769</v>
      </c>
      <c r="E240" s="37" t="s">
        <v>1219</v>
      </c>
      <c r="F240" s="37" t="s">
        <v>1219</v>
      </c>
      <c r="G240" s="37" t="s">
        <v>1220</v>
      </c>
      <c r="H240" s="37" t="s">
        <v>1221</v>
      </c>
      <c r="I240" s="37" t="s">
        <v>1222</v>
      </c>
      <c r="J240" s="37" t="s">
        <v>73</v>
      </c>
      <c r="K240" s="37" t="s">
        <v>205</v>
      </c>
      <c r="L240" s="37" t="s">
        <v>205</v>
      </c>
      <c r="M240" s="37">
        <v>19001</v>
      </c>
      <c r="N240" s="38" t="s">
        <v>322</v>
      </c>
      <c r="S240" s="23">
        <f>VLOOKUP(A240,Hoja1!A:D,4,0)</f>
        <v>2</v>
      </c>
      <c r="T240" s="26" t="str">
        <f>VLOOKUP(M240,[1]TIPOLOGIAS!$A:$F,4,0)</f>
        <v>CALI</v>
      </c>
      <c r="U240" s="26" t="str">
        <f>VLOOKUP(T240,'BASE TARIFA 2025'!C:D,2,0)</f>
        <v>WOMPI SUROCCIDENTE</v>
      </c>
      <c r="V240" s="27">
        <f>VLOOKUP(T240,'BASE TARIFA 2025'!C:F,3,0)</f>
        <v>37313</v>
      </c>
      <c r="W240" s="27">
        <f t="shared" si="3"/>
        <v>74626</v>
      </c>
    </row>
    <row r="241" spans="1:23" s="37" customFormat="1" ht="14.4" x14ac:dyDescent="0.3">
      <c r="A241" s="37">
        <v>50461</v>
      </c>
      <c r="B241" s="37" t="s">
        <v>3885</v>
      </c>
      <c r="C241" s="37">
        <v>1079869</v>
      </c>
      <c r="D241" s="37" t="s">
        <v>1223</v>
      </c>
      <c r="E241" s="37" t="s">
        <v>1224</v>
      </c>
      <c r="F241" s="37" t="s">
        <v>1224</v>
      </c>
      <c r="G241" s="37" t="s">
        <v>1225</v>
      </c>
      <c r="H241" s="37" t="s">
        <v>1226</v>
      </c>
      <c r="I241" s="37" t="s">
        <v>1227</v>
      </c>
      <c r="J241" s="37" t="s">
        <v>68</v>
      </c>
      <c r="K241" s="37" t="s">
        <v>1228</v>
      </c>
      <c r="L241" s="37" t="s">
        <v>1228</v>
      </c>
      <c r="M241" s="37">
        <v>25260</v>
      </c>
      <c r="N241" s="38" t="s">
        <v>329</v>
      </c>
      <c r="S241" s="23">
        <f>VLOOKUP(A241,Hoja1!A:D,4,0)</f>
        <v>1</v>
      </c>
      <c r="T241" s="26" t="str">
        <f>VLOOKUP(M241,[1]TIPOLOGIAS!$A:$F,4,0)</f>
        <v>BOGOTA</v>
      </c>
      <c r="U241" s="26" t="str">
        <f>VLOOKUP(T241,'BASE TARIFA 2025'!C:D,2,0)</f>
        <v>WOMPI CENTRO</v>
      </c>
      <c r="V241" s="27">
        <f>VLOOKUP(T241,'BASE TARIFA 2025'!C:F,3,0)</f>
        <v>37313</v>
      </c>
      <c r="W241" s="27">
        <f t="shared" si="3"/>
        <v>37313</v>
      </c>
    </row>
    <row r="242" spans="1:23" s="37" customFormat="1" ht="14.4" x14ac:dyDescent="0.3">
      <c r="A242" s="37">
        <v>34783</v>
      </c>
      <c r="B242" s="37" t="s">
        <v>3886</v>
      </c>
      <c r="C242" s="37">
        <v>901064892</v>
      </c>
      <c r="E242" s="37" t="s">
        <v>1229</v>
      </c>
      <c r="F242" s="37" t="s">
        <v>1229</v>
      </c>
      <c r="G242" s="37" t="s">
        <v>1230</v>
      </c>
      <c r="H242" s="37" t="s">
        <v>1231</v>
      </c>
      <c r="I242" s="37" t="s">
        <v>1232</v>
      </c>
      <c r="J242" s="37" t="s">
        <v>68</v>
      </c>
      <c r="K242" s="37" t="s">
        <v>1228</v>
      </c>
      <c r="L242" s="37" t="s">
        <v>1228</v>
      </c>
      <c r="M242" s="37">
        <v>25260</v>
      </c>
      <c r="N242" s="38" t="s">
        <v>329</v>
      </c>
      <c r="S242" s="23">
        <f>VLOOKUP(A242,Hoja1!A:D,4,0)</f>
        <v>1</v>
      </c>
      <c r="T242" s="26" t="str">
        <f>VLOOKUP(M242,[1]TIPOLOGIAS!$A:$F,4,0)</f>
        <v>BOGOTA</v>
      </c>
      <c r="U242" s="26" t="str">
        <f>VLOOKUP(T242,'BASE TARIFA 2025'!C:D,2,0)</f>
        <v>WOMPI CENTRO</v>
      </c>
      <c r="V242" s="27">
        <f>VLOOKUP(T242,'BASE TARIFA 2025'!C:F,3,0)</f>
        <v>37313</v>
      </c>
      <c r="W242" s="27">
        <f t="shared" si="3"/>
        <v>37313</v>
      </c>
    </row>
    <row r="243" spans="1:23" s="37" customFormat="1" ht="14.4" x14ac:dyDescent="0.3">
      <c r="A243" s="37">
        <v>65867</v>
      </c>
      <c r="B243" s="37" t="s">
        <v>3887</v>
      </c>
      <c r="C243" s="37">
        <v>1056799210</v>
      </c>
      <c r="D243" s="37" t="s">
        <v>67</v>
      </c>
      <c r="E243" s="37" t="s">
        <v>1233</v>
      </c>
      <c r="F243" s="37" t="s">
        <v>1234</v>
      </c>
      <c r="G243" s="37" t="s">
        <v>1235</v>
      </c>
      <c r="H243" s="37" t="s">
        <v>1236</v>
      </c>
      <c r="I243" s="37" t="s">
        <v>1237</v>
      </c>
      <c r="J243" s="37" t="s">
        <v>68</v>
      </c>
      <c r="K243" s="37" t="s">
        <v>188</v>
      </c>
      <c r="L243" s="37" t="s">
        <v>188</v>
      </c>
      <c r="M243" s="37">
        <v>25797</v>
      </c>
      <c r="N243" s="38" t="s">
        <v>853</v>
      </c>
      <c r="S243" s="23">
        <f>VLOOKUP(A243,Hoja1!A:D,4,0)</f>
        <v>1</v>
      </c>
      <c r="T243" s="26" t="str">
        <f>VLOOKUP(M243,[1]TIPOLOGIAS!$A:$F,4,0)</f>
        <v>BOGOTA</v>
      </c>
      <c r="U243" s="26" t="str">
        <f>VLOOKUP(T243,'BASE TARIFA 2025'!C:D,2,0)</f>
        <v>WOMPI CENTRO</v>
      </c>
      <c r="V243" s="27">
        <f>VLOOKUP(T243,'BASE TARIFA 2025'!C:F,3,0)</f>
        <v>37313</v>
      </c>
      <c r="W243" s="27">
        <f t="shared" si="3"/>
        <v>37313</v>
      </c>
    </row>
    <row r="244" spans="1:23" s="37" customFormat="1" ht="14.4" x14ac:dyDescent="0.3">
      <c r="A244" s="37">
        <v>71002</v>
      </c>
      <c r="B244" s="37" t="s">
        <v>3888</v>
      </c>
      <c r="C244" s="37">
        <v>1052397766</v>
      </c>
      <c r="D244" s="37" t="s">
        <v>1238</v>
      </c>
      <c r="E244" s="37" t="s">
        <v>1239</v>
      </c>
      <c r="F244" s="37" t="s">
        <v>1239</v>
      </c>
      <c r="G244" s="37" t="s">
        <v>1240</v>
      </c>
      <c r="H244" s="37" t="s">
        <v>1241</v>
      </c>
      <c r="I244" s="37" t="s">
        <v>1242</v>
      </c>
      <c r="J244" s="37" t="s">
        <v>68</v>
      </c>
      <c r="K244" s="37" t="s">
        <v>1243</v>
      </c>
      <c r="L244" s="37" t="s">
        <v>1243</v>
      </c>
      <c r="M244" s="37">
        <v>25862</v>
      </c>
      <c r="N244" s="38" t="s">
        <v>513</v>
      </c>
      <c r="S244" s="23">
        <f>VLOOKUP(A244,Hoja1!A:D,4,0)</f>
        <v>1</v>
      </c>
      <c r="T244" s="26" t="str">
        <f>VLOOKUP(M244,[1]TIPOLOGIAS!$A:$F,4,0)</f>
        <v>BOGOTA</v>
      </c>
      <c r="U244" s="26" t="str">
        <f>VLOOKUP(T244,'BASE TARIFA 2025'!C:D,2,0)</f>
        <v>WOMPI CENTRO</v>
      </c>
      <c r="V244" s="27">
        <f>VLOOKUP(T244,'BASE TARIFA 2025'!C:F,3,0)</f>
        <v>37313</v>
      </c>
      <c r="W244" s="27">
        <f t="shared" si="3"/>
        <v>37313</v>
      </c>
    </row>
    <row r="245" spans="1:23" s="37" customFormat="1" ht="14.4" x14ac:dyDescent="0.3">
      <c r="A245" s="37">
        <v>55146</v>
      </c>
      <c r="B245" s="37" t="s">
        <v>3889</v>
      </c>
      <c r="C245" s="37">
        <v>901471813</v>
      </c>
      <c r="D245" s="37" t="s">
        <v>67</v>
      </c>
      <c r="E245" s="37" t="s">
        <v>1244</v>
      </c>
      <c r="F245" s="37" t="s">
        <v>1244</v>
      </c>
      <c r="G245" s="37" t="s">
        <v>1245</v>
      </c>
      <c r="H245" s="37" t="s">
        <v>1246</v>
      </c>
      <c r="I245" s="37" t="s">
        <v>1247</v>
      </c>
      <c r="J245" s="37" t="s">
        <v>68</v>
      </c>
      <c r="K245" s="37" t="s">
        <v>1243</v>
      </c>
      <c r="L245" s="37" t="s">
        <v>1243</v>
      </c>
      <c r="M245" s="37">
        <v>25862</v>
      </c>
      <c r="N245" s="38" t="s">
        <v>513</v>
      </c>
      <c r="S245" s="23">
        <f>VLOOKUP(A245,Hoja1!A:D,4,0)</f>
        <v>1</v>
      </c>
      <c r="T245" s="26" t="str">
        <f>VLOOKUP(M245,[1]TIPOLOGIAS!$A:$F,4,0)</f>
        <v>BOGOTA</v>
      </c>
      <c r="U245" s="26" t="str">
        <f>VLOOKUP(T245,'BASE TARIFA 2025'!C:D,2,0)</f>
        <v>WOMPI CENTRO</v>
      </c>
      <c r="V245" s="27">
        <f>VLOOKUP(T245,'BASE TARIFA 2025'!C:F,3,0)</f>
        <v>37313</v>
      </c>
      <c r="W245" s="27">
        <f t="shared" si="3"/>
        <v>37313</v>
      </c>
    </row>
    <row r="246" spans="1:23" s="37" customFormat="1" ht="14.4" x14ac:dyDescent="0.3">
      <c r="A246" s="37">
        <v>81175</v>
      </c>
      <c r="B246" s="37" t="s">
        <v>3890</v>
      </c>
      <c r="C246" s="37">
        <v>7180978</v>
      </c>
      <c r="D246" s="37" t="s">
        <v>67</v>
      </c>
      <c r="E246" s="37" t="s">
        <v>1248</v>
      </c>
      <c r="F246" s="37" t="s">
        <v>1248</v>
      </c>
      <c r="G246" s="37" t="s">
        <v>1249</v>
      </c>
      <c r="H246" s="37" t="s">
        <v>1250</v>
      </c>
      <c r="I246" s="37" t="s">
        <v>1251</v>
      </c>
      <c r="J246" s="37" t="s">
        <v>68</v>
      </c>
      <c r="K246" s="37" t="s">
        <v>1243</v>
      </c>
      <c r="L246" s="37" t="s">
        <v>1243</v>
      </c>
      <c r="M246" s="37">
        <v>25862</v>
      </c>
      <c r="N246" s="38" t="s">
        <v>513</v>
      </c>
      <c r="S246" s="23">
        <f>VLOOKUP(A246,Hoja1!A:D,4,0)</f>
        <v>1</v>
      </c>
      <c r="T246" s="26" t="str">
        <f>VLOOKUP(M246,[1]TIPOLOGIAS!$A:$F,4,0)</f>
        <v>BOGOTA</v>
      </c>
      <c r="U246" s="26" t="str">
        <f>VLOOKUP(T246,'BASE TARIFA 2025'!C:D,2,0)</f>
        <v>WOMPI CENTRO</v>
      </c>
      <c r="V246" s="27">
        <f>VLOOKUP(T246,'BASE TARIFA 2025'!C:F,3,0)</f>
        <v>37313</v>
      </c>
      <c r="W246" s="27">
        <f t="shared" si="3"/>
        <v>37313</v>
      </c>
    </row>
    <row r="247" spans="1:23" s="37" customFormat="1" ht="14.4" x14ac:dyDescent="0.3">
      <c r="A247" s="37">
        <v>74779</v>
      </c>
      <c r="B247" s="37" t="s">
        <v>3891</v>
      </c>
      <c r="C247" s="37">
        <v>1092357348</v>
      </c>
      <c r="D247" s="37" t="s">
        <v>67</v>
      </c>
      <c r="E247" s="37" t="s">
        <v>1252</v>
      </c>
      <c r="F247" s="37" t="s">
        <v>1253</v>
      </c>
      <c r="G247" s="37" t="s">
        <v>1254</v>
      </c>
      <c r="H247" s="37" t="s">
        <v>1255</v>
      </c>
      <c r="I247" s="37" t="s">
        <v>1256</v>
      </c>
      <c r="J247" s="37" t="s">
        <v>68</v>
      </c>
      <c r="K247" s="37" t="s">
        <v>1243</v>
      </c>
      <c r="L247" s="37" t="s">
        <v>1243</v>
      </c>
      <c r="M247" s="37">
        <v>25862</v>
      </c>
      <c r="N247" s="38" t="s">
        <v>513</v>
      </c>
      <c r="S247" s="23">
        <f>VLOOKUP(A247,Hoja1!A:D,4,0)</f>
        <v>1</v>
      </c>
      <c r="T247" s="26" t="str">
        <f>VLOOKUP(M247,[1]TIPOLOGIAS!$A:$F,4,0)</f>
        <v>BOGOTA</v>
      </c>
      <c r="U247" s="26" t="str">
        <f>VLOOKUP(T247,'BASE TARIFA 2025'!C:D,2,0)</f>
        <v>WOMPI CENTRO</v>
      </c>
      <c r="V247" s="27">
        <f>VLOOKUP(T247,'BASE TARIFA 2025'!C:F,3,0)</f>
        <v>37313</v>
      </c>
      <c r="W247" s="27">
        <f t="shared" si="3"/>
        <v>37313</v>
      </c>
    </row>
    <row r="248" spans="1:23" s="37" customFormat="1" ht="14.4" x14ac:dyDescent="0.3">
      <c r="A248" s="37">
        <v>13693</v>
      </c>
      <c r="B248" s="37" t="s">
        <v>3892</v>
      </c>
      <c r="C248" s="37">
        <v>1051820090</v>
      </c>
      <c r="D248" s="37" t="s">
        <v>1257</v>
      </c>
      <c r="E248" s="37" t="s">
        <v>1257</v>
      </c>
      <c r="F248" s="37" t="s">
        <v>1257</v>
      </c>
      <c r="G248" s="37" t="s">
        <v>1258</v>
      </c>
      <c r="H248" s="37" t="s">
        <v>1259</v>
      </c>
      <c r="I248" s="37" t="s">
        <v>1260</v>
      </c>
      <c r="J248" s="37" t="s">
        <v>68</v>
      </c>
      <c r="K248" s="37" t="s">
        <v>1243</v>
      </c>
      <c r="L248" s="37" t="s">
        <v>1243</v>
      </c>
      <c r="M248" s="37">
        <v>25862</v>
      </c>
      <c r="N248" s="38" t="s">
        <v>513</v>
      </c>
      <c r="S248" s="23">
        <f>VLOOKUP(A248,Hoja1!A:D,4,0)</f>
        <v>1</v>
      </c>
      <c r="T248" s="26" t="str">
        <f>VLOOKUP(M248,[1]TIPOLOGIAS!$A:$F,4,0)</f>
        <v>BOGOTA</v>
      </c>
      <c r="U248" s="26" t="str">
        <f>VLOOKUP(T248,'BASE TARIFA 2025'!C:D,2,0)</f>
        <v>WOMPI CENTRO</v>
      </c>
      <c r="V248" s="27">
        <f>VLOOKUP(T248,'BASE TARIFA 2025'!C:F,3,0)</f>
        <v>37313</v>
      </c>
      <c r="W248" s="27">
        <f t="shared" si="3"/>
        <v>37313</v>
      </c>
    </row>
    <row r="249" spans="1:23" s="37" customFormat="1" ht="14.4" x14ac:dyDescent="0.3">
      <c r="A249" s="37">
        <v>74337</v>
      </c>
      <c r="B249" s="37" t="s">
        <v>3893</v>
      </c>
      <c r="C249" s="37">
        <v>901584620</v>
      </c>
      <c r="D249" s="37" t="s">
        <v>1261</v>
      </c>
      <c r="E249" s="37" t="s">
        <v>1262</v>
      </c>
      <c r="F249" s="37" t="s">
        <v>1262</v>
      </c>
      <c r="G249" s="37" t="s">
        <v>1263</v>
      </c>
      <c r="H249" s="37" t="s">
        <v>1264</v>
      </c>
      <c r="I249" s="37" t="s">
        <v>1265</v>
      </c>
      <c r="J249" s="37" t="s">
        <v>87</v>
      </c>
      <c r="K249" s="37" t="s">
        <v>1266</v>
      </c>
      <c r="L249" s="37" t="s">
        <v>1266</v>
      </c>
      <c r="M249" s="37">
        <v>41016</v>
      </c>
      <c r="N249" s="38" t="s">
        <v>328</v>
      </c>
      <c r="S249" s="23">
        <f>VLOOKUP(A249,Hoja1!A:D,4,0)</f>
        <v>1</v>
      </c>
      <c r="T249" s="26" t="str">
        <f>VLOOKUP(M249,[1]TIPOLOGIAS!$A:$F,4,0)</f>
        <v>NEIVA</v>
      </c>
      <c r="U249" s="26" t="str">
        <f>VLOOKUP(T249,'BASE TARIFA 2025'!C:D,2,0)</f>
        <v>WOMPI ORIENTE</v>
      </c>
      <c r="V249" s="27">
        <f>VLOOKUP(T249,'BASE TARIFA 2025'!C:F,3,0)</f>
        <v>49671.7</v>
      </c>
      <c r="W249" s="27">
        <f t="shared" si="3"/>
        <v>49671.7</v>
      </c>
    </row>
    <row r="250" spans="1:23" s="37" customFormat="1" ht="14.4" x14ac:dyDescent="0.3">
      <c r="A250" s="37">
        <v>74281</v>
      </c>
      <c r="B250" s="37" t="s">
        <v>3894</v>
      </c>
      <c r="C250" s="37">
        <v>1092350546</v>
      </c>
      <c r="D250" s="37" t="s">
        <v>1267</v>
      </c>
      <c r="E250" s="37" t="s">
        <v>1268</v>
      </c>
      <c r="F250" s="37" t="s">
        <v>1268</v>
      </c>
      <c r="G250" s="37" t="s">
        <v>1269</v>
      </c>
      <c r="H250" s="37" t="s">
        <v>1270</v>
      </c>
      <c r="I250" s="37" t="s">
        <v>1271</v>
      </c>
      <c r="J250" s="37" t="s">
        <v>87</v>
      </c>
      <c r="K250" s="37" t="s">
        <v>1266</v>
      </c>
      <c r="L250" s="37" t="s">
        <v>1266</v>
      </c>
      <c r="M250" s="37">
        <v>41016</v>
      </c>
      <c r="N250" s="38" t="s">
        <v>328</v>
      </c>
      <c r="S250" s="23">
        <f>VLOOKUP(A250,Hoja1!A:D,4,0)</f>
        <v>2</v>
      </c>
      <c r="T250" s="26" t="str">
        <f>VLOOKUP(M250,[1]TIPOLOGIAS!$A:$F,4,0)</f>
        <v>NEIVA</v>
      </c>
      <c r="U250" s="26" t="str">
        <f>VLOOKUP(T250,'BASE TARIFA 2025'!C:D,2,0)</f>
        <v>WOMPI ORIENTE</v>
      </c>
      <c r="V250" s="27">
        <f>VLOOKUP(T250,'BASE TARIFA 2025'!C:F,3,0)</f>
        <v>49671.7</v>
      </c>
      <c r="W250" s="27">
        <f t="shared" si="3"/>
        <v>99343.4</v>
      </c>
    </row>
    <row r="251" spans="1:23" s="37" customFormat="1" ht="14.4" x14ac:dyDescent="0.3">
      <c r="A251" s="37">
        <v>23039</v>
      </c>
      <c r="B251" s="37" t="s">
        <v>3895</v>
      </c>
      <c r="C251" s="37">
        <v>9396871</v>
      </c>
      <c r="D251" s="37" t="s">
        <v>1272</v>
      </c>
      <c r="E251" s="37" t="s">
        <v>1272</v>
      </c>
      <c r="F251" s="37" t="s">
        <v>1272</v>
      </c>
      <c r="G251" s="37" t="s">
        <v>1273</v>
      </c>
      <c r="H251" s="37" t="s">
        <v>1274</v>
      </c>
      <c r="I251" s="37" t="s">
        <v>1275</v>
      </c>
      <c r="J251" s="37" t="s">
        <v>87</v>
      </c>
      <c r="K251" s="37" t="s">
        <v>1266</v>
      </c>
      <c r="L251" s="37" t="s">
        <v>1266</v>
      </c>
      <c r="M251" s="37">
        <v>41016</v>
      </c>
      <c r="N251" s="38" t="s">
        <v>328</v>
      </c>
      <c r="S251" s="23">
        <f>VLOOKUP(A251,Hoja1!A:D,4,0)</f>
        <v>1</v>
      </c>
      <c r="T251" s="26" t="str">
        <f>VLOOKUP(M251,[1]TIPOLOGIAS!$A:$F,4,0)</f>
        <v>NEIVA</v>
      </c>
      <c r="U251" s="26" t="str">
        <f>VLOOKUP(T251,'BASE TARIFA 2025'!C:D,2,0)</f>
        <v>WOMPI ORIENTE</v>
      </c>
      <c r="V251" s="27">
        <f>VLOOKUP(T251,'BASE TARIFA 2025'!C:F,3,0)</f>
        <v>49671.7</v>
      </c>
      <c r="W251" s="27">
        <f t="shared" si="3"/>
        <v>49671.7</v>
      </c>
    </row>
    <row r="252" spans="1:23" s="37" customFormat="1" ht="14.4" x14ac:dyDescent="0.3">
      <c r="A252" s="37">
        <v>78618</v>
      </c>
      <c r="B252" s="37" t="s">
        <v>3896</v>
      </c>
      <c r="C252" s="37">
        <v>1007343084</v>
      </c>
      <c r="D252" s="37" t="s">
        <v>1276</v>
      </c>
      <c r="E252" s="37" t="s">
        <v>1276</v>
      </c>
      <c r="G252" s="37" t="s">
        <v>1277</v>
      </c>
      <c r="H252" s="37" t="s">
        <v>1278</v>
      </c>
      <c r="I252" s="37" t="s">
        <v>1279</v>
      </c>
      <c r="J252" s="37" t="s">
        <v>87</v>
      </c>
      <c r="K252" s="37" t="s">
        <v>189</v>
      </c>
      <c r="L252" s="37" t="s">
        <v>189</v>
      </c>
      <c r="M252" s="37">
        <v>41020</v>
      </c>
      <c r="N252" s="38" t="s">
        <v>321</v>
      </c>
      <c r="S252" s="23">
        <f>VLOOKUP(A252,Hoja1!A:D,4,0)</f>
        <v>1</v>
      </c>
      <c r="T252" s="26" t="str">
        <f>VLOOKUP(M252,[1]TIPOLOGIAS!$A:$F,4,0)</f>
        <v>NEIVA</v>
      </c>
      <c r="U252" s="26" t="str">
        <f>VLOOKUP(T252,'BASE TARIFA 2025'!C:D,2,0)</f>
        <v>WOMPI ORIENTE</v>
      </c>
      <c r="V252" s="27">
        <f>VLOOKUP(T252,'BASE TARIFA 2025'!C:F,3,0)</f>
        <v>49671.7</v>
      </c>
      <c r="W252" s="27">
        <f t="shared" si="3"/>
        <v>49671.7</v>
      </c>
    </row>
    <row r="253" spans="1:23" s="37" customFormat="1" ht="14.4" x14ac:dyDescent="0.3">
      <c r="A253" s="37">
        <v>53829</v>
      </c>
      <c r="B253" s="37" t="s">
        <v>3897</v>
      </c>
      <c r="C253" s="37">
        <v>900624919</v>
      </c>
      <c r="D253" s="37" t="s">
        <v>1280</v>
      </c>
      <c r="E253" s="37" t="s">
        <v>1280</v>
      </c>
      <c r="F253" s="37" t="s">
        <v>1280</v>
      </c>
      <c r="G253" s="37" t="s">
        <v>1281</v>
      </c>
      <c r="H253" s="37" t="s">
        <v>1282</v>
      </c>
      <c r="I253" s="37" t="s">
        <v>1283</v>
      </c>
      <c r="J253" s="37" t="s">
        <v>87</v>
      </c>
      <c r="K253" s="37" t="s">
        <v>189</v>
      </c>
      <c r="L253" s="37" t="s">
        <v>189</v>
      </c>
      <c r="M253" s="37">
        <v>41020</v>
      </c>
      <c r="N253" s="38" t="s">
        <v>321</v>
      </c>
      <c r="S253" s="23">
        <f>VLOOKUP(A253,Hoja1!A:D,4,0)</f>
        <v>1</v>
      </c>
      <c r="T253" s="26" t="str">
        <f>VLOOKUP(M253,[1]TIPOLOGIAS!$A:$F,4,0)</f>
        <v>NEIVA</v>
      </c>
      <c r="U253" s="26" t="str">
        <f>VLOOKUP(T253,'BASE TARIFA 2025'!C:D,2,0)</f>
        <v>WOMPI ORIENTE</v>
      </c>
      <c r="V253" s="27">
        <f>VLOOKUP(T253,'BASE TARIFA 2025'!C:F,3,0)</f>
        <v>49671.7</v>
      </c>
      <c r="W253" s="27">
        <f t="shared" si="3"/>
        <v>49671.7</v>
      </c>
    </row>
    <row r="254" spans="1:23" s="37" customFormat="1" ht="14.4" x14ac:dyDescent="0.3">
      <c r="A254" s="37">
        <v>74275</v>
      </c>
      <c r="B254" s="37" t="s">
        <v>3898</v>
      </c>
      <c r="C254" s="37">
        <v>1128130814</v>
      </c>
      <c r="D254" s="37" t="s">
        <v>1284</v>
      </c>
      <c r="E254" s="37" t="s">
        <v>1284</v>
      </c>
      <c r="F254" s="37" t="s">
        <v>1284</v>
      </c>
      <c r="G254" s="37" t="s">
        <v>1285</v>
      </c>
      <c r="H254" s="37" t="s">
        <v>1286</v>
      </c>
      <c r="I254" s="37" t="s">
        <v>1287</v>
      </c>
      <c r="J254" s="37" t="s">
        <v>87</v>
      </c>
      <c r="K254" s="37" t="s">
        <v>189</v>
      </c>
      <c r="L254" s="37" t="s">
        <v>189</v>
      </c>
      <c r="M254" s="37">
        <v>41020</v>
      </c>
      <c r="N254" s="38" t="s">
        <v>321</v>
      </c>
      <c r="S254" s="23">
        <f>VLOOKUP(A254,Hoja1!A:D,4,0)</f>
        <v>1</v>
      </c>
      <c r="T254" s="26" t="str">
        <f>VLOOKUP(M254,[1]TIPOLOGIAS!$A:$F,4,0)</f>
        <v>NEIVA</v>
      </c>
      <c r="U254" s="26" t="str">
        <f>VLOOKUP(T254,'BASE TARIFA 2025'!C:D,2,0)</f>
        <v>WOMPI ORIENTE</v>
      </c>
      <c r="V254" s="27">
        <f>VLOOKUP(T254,'BASE TARIFA 2025'!C:F,3,0)</f>
        <v>49671.7</v>
      </c>
      <c r="W254" s="27">
        <f t="shared" si="3"/>
        <v>49671.7</v>
      </c>
    </row>
    <row r="255" spans="1:23" s="37" customFormat="1" ht="14.4" x14ac:dyDescent="0.3">
      <c r="A255" s="37">
        <v>75193</v>
      </c>
      <c r="B255" s="37" t="s">
        <v>3899</v>
      </c>
      <c r="C255" s="37">
        <v>37511588</v>
      </c>
      <c r="D255" s="37" t="s">
        <v>1288</v>
      </c>
      <c r="E255" s="37" t="s">
        <v>1288</v>
      </c>
      <c r="F255" s="37" t="s">
        <v>1288</v>
      </c>
      <c r="G255" s="37" t="s">
        <v>1289</v>
      </c>
      <c r="H255" s="37" t="s">
        <v>1290</v>
      </c>
      <c r="I255" s="37" t="s">
        <v>1291</v>
      </c>
      <c r="J255" s="37" t="s">
        <v>87</v>
      </c>
      <c r="K255" s="37" t="s">
        <v>189</v>
      </c>
      <c r="L255" s="37" t="s">
        <v>189</v>
      </c>
      <c r="M255" s="37">
        <v>41020</v>
      </c>
      <c r="N255" s="38" t="s">
        <v>321</v>
      </c>
      <c r="S255" s="23">
        <f>VLOOKUP(A255,Hoja1!A:D,4,0)</f>
        <v>1</v>
      </c>
      <c r="T255" s="26" t="str">
        <f>VLOOKUP(M255,[1]TIPOLOGIAS!$A:$F,4,0)</f>
        <v>NEIVA</v>
      </c>
      <c r="U255" s="26" t="str">
        <f>VLOOKUP(T255,'BASE TARIFA 2025'!C:D,2,0)</f>
        <v>WOMPI ORIENTE</v>
      </c>
      <c r="V255" s="27">
        <f>VLOOKUP(T255,'BASE TARIFA 2025'!C:F,3,0)</f>
        <v>49671.7</v>
      </c>
      <c r="W255" s="27">
        <f t="shared" si="3"/>
        <v>49671.7</v>
      </c>
    </row>
    <row r="256" spans="1:23" s="37" customFormat="1" ht="14.4" x14ac:dyDescent="0.3">
      <c r="A256" s="37">
        <v>72611</v>
      </c>
      <c r="B256" s="37" t="s">
        <v>3900</v>
      </c>
      <c r="C256" s="37">
        <v>37273830</v>
      </c>
      <c r="D256" s="37" t="s">
        <v>1292</v>
      </c>
      <c r="E256" s="37" t="s">
        <v>1292</v>
      </c>
      <c r="F256" s="37" t="s">
        <v>1292</v>
      </c>
      <c r="G256" s="37" t="s">
        <v>1293</v>
      </c>
      <c r="H256" s="37" t="s">
        <v>1294</v>
      </c>
      <c r="I256" s="37" t="s">
        <v>1295</v>
      </c>
      <c r="J256" s="37" t="s">
        <v>74</v>
      </c>
      <c r="K256" s="37" t="s">
        <v>75</v>
      </c>
      <c r="L256" s="37" t="s">
        <v>75</v>
      </c>
      <c r="M256" s="37">
        <v>50680</v>
      </c>
      <c r="N256" s="38" t="s">
        <v>480</v>
      </c>
      <c r="S256" s="23">
        <f>VLOOKUP(A256,Hoja1!A:D,4,0)</f>
        <v>1</v>
      </c>
      <c r="T256" s="26" t="str">
        <f>VLOOKUP(M256,[1]TIPOLOGIAS!$A:$F,4,0)</f>
        <v>VILLAVICENCIO</v>
      </c>
      <c r="U256" s="26" t="str">
        <f>VLOOKUP(T256,'BASE TARIFA 2025'!C:D,2,0)</f>
        <v>WOMPI ORIENTE</v>
      </c>
      <c r="V256" s="27">
        <f>VLOOKUP(T256,'BASE TARIFA 2025'!C:F,3,0)</f>
        <v>49671.7</v>
      </c>
      <c r="W256" s="27">
        <f t="shared" si="3"/>
        <v>49671.7</v>
      </c>
    </row>
    <row r="257" spans="1:23" s="37" customFormat="1" ht="14.4" x14ac:dyDescent="0.3">
      <c r="A257" s="37">
        <v>72612</v>
      </c>
      <c r="B257" s="37" t="s">
        <v>3901</v>
      </c>
      <c r="C257" s="37">
        <v>60402106</v>
      </c>
      <c r="D257" s="37" t="s">
        <v>1296</v>
      </c>
      <c r="E257" s="37" t="s">
        <v>1297</v>
      </c>
      <c r="F257" s="37" t="s">
        <v>1296</v>
      </c>
      <c r="G257" s="37" t="s">
        <v>1298</v>
      </c>
      <c r="H257" s="37" t="s">
        <v>1299</v>
      </c>
      <c r="I257" s="37" t="s">
        <v>1300</v>
      </c>
      <c r="J257" s="37" t="s">
        <v>74</v>
      </c>
      <c r="K257" s="37" t="s">
        <v>75</v>
      </c>
      <c r="L257" s="37" t="s">
        <v>75</v>
      </c>
      <c r="M257" s="37">
        <v>50680</v>
      </c>
      <c r="N257" s="38" t="s">
        <v>480</v>
      </c>
      <c r="S257" s="23">
        <f>VLOOKUP(A257,Hoja1!A:D,4,0)</f>
        <v>2</v>
      </c>
      <c r="T257" s="26" t="str">
        <f>VLOOKUP(M257,[1]TIPOLOGIAS!$A:$F,4,0)</f>
        <v>VILLAVICENCIO</v>
      </c>
      <c r="U257" s="26" t="str">
        <f>VLOOKUP(T257,'BASE TARIFA 2025'!C:D,2,0)</f>
        <v>WOMPI ORIENTE</v>
      </c>
      <c r="V257" s="27">
        <f>VLOOKUP(T257,'BASE TARIFA 2025'!C:F,3,0)</f>
        <v>49671.7</v>
      </c>
      <c r="W257" s="27">
        <f t="shared" si="3"/>
        <v>99343.4</v>
      </c>
    </row>
    <row r="258" spans="1:23" s="37" customFormat="1" ht="14.4" x14ac:dyDescent="0.3">
      <c r="A258" s="37">
        <v>53870</v>
      </c>
      <c r="B258" s="37" t="s">
        <v>3902</v>
      </c>
      <c r="C258" s="37">
        <v>1065853944</v>
      </c>
      <c r="D258" s="37" t="s">
        <v>1301</v>
      </c>
      <c r="E258" s="37" t="s">
        <v>1301</v>
      </c>
      <c r="F258" s="37" t="s">
        <v>1302</v>
      </c>
      <c r="G258" s="37" t="s">
        <v>1303</v>
      </c>
      <c r="H258" s="37" t="s">
        <v>1304</v>
      </c>
      <c r="I258" s="37" t="s">
        <v>1305</v>
      </c>
      <c r="J258" s="37" t="s">
        <v>74</v>
      </c>
      <c r="K258" s="37" t="s">
        <v>75</v>
      </c>
      <c r="L258" s="37" t="s">
        <v>75</v>
      </c>
      <c r="M258" s="37">
        <v>50680</v>
      </c>
      <c r="N258" s="38" t="s">
        <v>480</v>
      </c>
      <c r="S258" s="23">
        <f>VLOOKUP(A258,Hoja1!A:D,4,0)</f>
        <v>2</v>
      </c>
      <c r="T258" s="26" t="str">
        <f>VLOOKUP(M258,[1]TIPOLOGIAS!$A:$F,4,0)</f>
        <v>VILLAVICENCIO</v>
      </c>
      <c r="U258" s="26" t="str">
        <f>VLOOKUP(T258,'BASE TARIFA 2025'!C:D,2,0)</f>
        <v>WOMPI ORIENTE</v>
      </c>
      <c r="V258" s="27">
        <f>VLOOKUP(T258,'BASE TARIFA 2025'!C:F,3,0)</f>
        <v>49671.7</v>
      </c>
      <c r="W258" s="27">
        <f t="shared" ref="W258:W321" si="4">V258*S258</f>
        <v>99343.4</v>
      </c>
    </row>
    <row r="259" spans="1:23" s="37" customFormat="1" ht="14.4" x14ac:dyDescent="0.3">
      <c r="A259" s="37">
        <v>55432</v>
      </c>
      <c r="B259" s="37" t="s">
        <v>3903</v>
      </c>
      <c r="C259" s="37">
        <v>1065853944</v>
      </c>
      <c r="D259" s="37" t="s">
        <v>1306</v>
      </c>
      <c r="E259" s="37" t="s">
        <v>1307</v>
      </c>
      <c r="F259" s="37" t="s">
        <v>1308</v>
      </c>
      <c r="G259" s="37" t="s">
        <v>1309</v>
      </c>
      <c r="H259" s="37" t="s">
        <v>1310</v>
      </c>
      <c r="I259" s="37" t="s">
        <v>1311</v>
      </c>
      <c r="J259" s="37" t="s">
        <v>74</v>
      </c>
      <c r="K259" s="37" t="s">
        <v>75</v>
      </c>
      <c r="L259" s="37" t="s">
        <v>75</v>
      </c>
      <c r="M259" s="37">
        <v>50680</v>
      </c>
      <c r="N259" s="38" t="s">
        <v>853</v>
      </c>
      <c r="S259" s="23">
        <f>VLOOKUP(A259,Hoja1!A:D,4,0)</f>
        <v>2</v>
      </c>
      <c r="T259" s="26" t="str">
        <f>VLOOKUP(M259,[1]TIPOLOGIAS!$A:$F,4,0)</f>
        <v>VILLAVICENCIO</v>
      </c>
      <c r="U259" s="26" t="str">
        <f>VLOOKUP(T259,'BASE TARIFA 2025'!C:D,2,0)</f>
        <v>WOMPI ORIENTE</v>
      </c>
      <c r="V259" s="27">
        <f>VLOOKUP(T259,'BASE TARIFA 2025'!C:F,3,0)</f>
        <v>49671.7</v>
      </c>
      <c r="W259" s="27">
        <f t="shared" si="4"/>
        <v>99343.4</v>
      </c>
    </row>
    <row r="260" spans="1:23" s="37" customFormat="1" ht="14.4" x14ac:dyDescent="0.3">
      <c r="A260" s="37">
        <v>50296</v>
      </c>
      <c r="B260" s="37" t="s">
        <v>3904</v>
      </c>
      <c r="C260" s="37">
        <v>9396871</v>
      </c>
      <c r="D260" s="37" t="s">
        <v>1312</v>
      </c>
      <c r="E260" s="37" t="s">
        <v>1312</v>
      </c>
      <c r="F260" s="37" t="s">
        <v>1313</v>
      </c>
      <c r="G260" s="37" t="s">
        <v>1314</v>
      </c>
      <c r="H260" s="37" t="s">
        <v>1315</v>
      </c>
      <c r="I260" s="37" t="s">
        <v>1316</v>
      </c>
      <c r="J260" s="37" t="s">
        <v>74</v>
      </c>
      <c r="K260" s="37" t="s">
        <v>75</v>
      </c>
      <c r="L260" s="37" t="s">
        <v>75</v>
      </c>
      <c r="M260" s="37">
        <v>50680</v>
      </c>
      <c r="N260" s="38" t="s">
        <v>853</v>
      </c>
      <c r="S260" s="23">
        <f>VLOOKUP(A260,Hoja1!A:D,4,0)</f>
        <v>1</v>
      </c>
      <c r="T260" s="26" t="str">
        <f>VLOOKUP(M260,[1]TIPOLOGIAS!$A:$F,4,0)</f>
        <v>VILLAVICENCIO</v>
      </c>
      <c r="U260" s="26" t="str">
        <f>VLOOKUP(T260,'BASE TARIFA 2025'!C:D,2,0)</f>
        <v>WOMPI ORIENTE</v>
      </c>
      <c r="V260" s="27">
        <f>VLOOKUP(T260,'BASE TARIFA 2025'!C:F,3,0)</f>
        <v>49671.7</v>
      </c>
      <c r="W260" s="27">
        <f t="shared" si="4"/>
        <v>49671.7</v>
      </c>
    </row>
    <row r="261" spans="1:23" s="37" customFormat="1" ht="14.4" x14ac:dyDescent="0.3">
      <c r="A261" s="37">
        <v>47020</v>
      </c>
      <c r="B261" s="37" t="s">
        <v>3905</v>
      </c>
      <c r="C261" s="37">
        <v>51911307</v>
      </c>
      <c r="D261" s="37" t="s">
        <v>1317</v>
      </c>
      <c r="E261" s="37" t="s">
        <v>1318</v>
      </c>
      <c r="F261" s="37" t="s">
        <v>1317</v>
      </c>
      <c r="G261" s="37" t="s">
        <v>1319</v>
      </c>
      <c r="H261" s="37" t="s">
        <v>1320</v>
      </c>
      <c r="I261" s="37" t="s">
        <v>1321</v>
      </c>
      <c r="J261" s="37" t="s">
        <v>72</v>
      </c>
      <c r="K261" s="37" t="s">
        <v>1322</v>
      </c>
      <c r="L261" s="37" t="s">
        <v>1322</v>
      </c>
      <c r="M261" s="37">
        <v>52385</v>
      </c>
      <c r="N261" s="38" t="s">
        <v>480</v>
      </c>
      <c r="S261" s="23">
        <f>VLOOKUP(A261,Hoja1!A:D,4,0)</f>
        <v>1</v>
      </c>
      <c r="T261" s="26" t="str">
        <f>VLOOKUP(M261,[1]TIPOLOGIAS!$A:$F,4,0)</f>
        <v>PASTO</v>
      </c>
      <c r="U261" s="26" t="str">
        <f>VLOOKUP(T261,'BASE TARIFA 2025'!C:D,2,0)</f>
        <v>WOMPI SUROCCIDENTE</v>
      </c>
      <c r="V261" s="27">
        <f>VLOOKUP(T261,'BASE TARIFA 2025'!C:F,3,0)</f>
        <v>49671.7</v>
      </c>
      <c r="W261" s="27">
        <f t="shared" si="4"/>
        <v>49671.7</v>
      </c>
    </row>
    <row r="262" spans="1:23" s="37" customFormat="1" ht="14.4" x14ac:dyDescent="0.3">
      <c r="A262" s="37">
        <v>72904</v>
      </c>
      <c r="B262" s="37" t="s">
        <v>3906</v>
      </c>
      <c r="C262" s="37">
        <v>88267282</v>
      </c>
      <c r="D262" s="37" t="s">
        <v>1323</v>
      </c>
      <c r="E262" s="37" t="s">
        <v>1324</v>
      </c>
      <c r="F262" s="37" t="s">
        <v>1323</v>
      </c>
      <c r="G262" s="37" t="s">
        <v>1325</v>
      </c>
      <c r="H262" s="37" t="s">
        <v>1326</v>
      </c>
      <c r="I262" s="37" t="s">
        <v>1327</v>
      </c>
      <c r="J262" s="37" t="s">
        <v>72</v>
      </c>
      <c r="K262" s="37" t="s">
        <v>1322</v>
      </c>
      <c r="L262" s="37" t="s">
        <v>1322</v>
      </c>
      <c r="M262" s="37">
        <v>52385</v>
      </c>
      <c r="N262" s="38" t="s">
        <v>480</v>
      </c>
      <c r="S262" s="23">
        <f>VLOOKUP(A262,Hoja1!A:D,4,0)</f>
        <v>1</v>
      </c>
      <c r="T262" s="26" t="str">
        <f>VLOOKUP(M262,[1]TIPOLOGIAS!$A:$F,4,0)</f>
        <v>PASTO</v>
      </c>
      <c r="U262" s="26" t="str">
        <f>VLOOKUP(T262,'BASE TARIFA 2025'!C:D,2,0)</f>
        <v>WOMPI SUROCCIDENTE</v>
      </c>
      <c r="V262" s="27">
        <f>VLOOKUP(T262,'BASE TARIFA 2025'!C:F,3,0)</f>
        <v>49671.7</v>
      </c>
      <c r="W262" s="27">
        <f t="shared" si="4"/>
        <v>49671.7</v>
      </c>
    </row>
    <row r="263" spans="1:23" s="37" customFormat="1" ht="14.4" x14ac:dyDescent="0.3">
      <c r="A263" s="37">
        <v>72058</v>
      </c>
      <c r="B263" s="37" t="s">
        <v>3907</v>
      </c>
      <c r="C263" s="37">
        <v>88263528</v>
      </c>
      <c r="D263" s="37" t="s">
        <v>1328</v>
      </c>
      <c r="E263" s="37" t="s">
        <v>1329</v>
      </c>
      <c r="F263" s="37" t="s">
        <v>1329</v>
      </c>
      <c r="G263" s="37" t="s">
        <v>1330</v>
      </c>
      <c r="H263" s="37" t="s">
        <v>1331</v>
      </c>
      <c r="I263" s="37" t="s">
        <v>1332</v>
      </c>
      <c r="J263" s="37" t="s">
        <v>90</v>
      </c>
      <c r="K263" s="37" t="s">
        <v>179</v>
      </c>
      <c r="L263" s="37" t="s">
        <v>179</v>
      </c>
      <c r="M263" s="37">
        <v>54405</v>
      </c>
      <c r="N263" s="38" t="s">
        <v>430</v>
      </c>
      <c r="S263" s="23">
        <f>VLOOKUP(A263,Hoja1!A:D,4,0)</f>
        <v>3</v>
      </c>
      <c r="T263" s="26" t="str">
        <f>VLOOKUP(M263,[1]TIPOLOGIAS!$A:$F,4,0)</f>
        <v>CUCUTA</v>
      </c>
      <c r="U263" s="26" t="str">
        <f>VLOOKUP(T263,'BASE TARIFA 2025'!C:D,2,0)</f>
        <v>WOMPI SANTANDERES</v>
      </c>
      <c r="V263" s="27">
        <f>VLOOKUP(T263,'BASE TARIFA 2025'!C:F,3,0)</f>
        <v>49671.7</v>
      </c>
      <c r="W263" s="27">
        <f t="shared" si="4"/>
        <v>149015.09999999998</v>
      </c>
    </row>
    <row r="264" spans="1:23" s="37" customFormat="1" ht="14.4" x14ac:dyDescent="0.3">
      <c r="A264" s="37">
        <v>71336</v>
      </c>
      <c r="B264" s="37" t="s">
        <v>3908</v>
      </c>
      <c r="C264" s="37">
        <v>91429851</v>
      </c>
      <c r="D264" s="37" t="s">
        <v>1333</v>
      </c>
      <c r="E264" s="37" t="s">
        <v>1333</v>
      </c>
      <c r="F264" s="37" t="s">
        <v>1333</v>
      </c>
      <c r="G264" s="37" t="s">
        <v>1334</v>
      </c>
      <c r="H264" s="37" t="s">
        <v>1335</v>
      </c>
      <c r="I264" s="37" t="s">
        <v>1336</v>
      </c>
      <c r="J264" s="37" t="s">
        <v>90</v>
      </c>
      <c r="K264" s="37" t="s">
        <v>179</v>
      </c>
      <c r="L264" s="37" t="s">
        <v>179</v>
      </c>
      <c r="M264" s="37">
        <v>54405</v>
      </c>
      <c r="N264" s="38" t="s">
        <v>503</v>
      </c>
      <c r="S264" s="23">
        <f>VLOOKUP(A264,Hoja1!A:D,4,0)</f>
        <v>3</v>
      </c>
      <c r="T264" s="26" t="str">
        <f>VLOOKUP(M264,[1]TIPOLOGIAS!$A:$F,4,0)</f>
        <v>CUCUTA</v>
      </c>
      <c r="U264" s="26" t="str">
        <f>VLOOKUP(T264,'BASE TARIFA 2025'!C:D,2,0)</f>
        <v>WOMPI SANTANDERES</v>
      </c>
      <c r="V264" s="27">
        <f>VLOOKUP(T264,'BASE TARIFA 2025'!C:F,3,0)</f>
        <v>49671.7</v>
      </c>
      <c r="W264" s="27">
        <f t="shared" si="4"/>
        <v>149015.09999999998</v>
      </c>
    </row>
    <row r="265" spans="1:23" s="37" customFormat="1" ht="14.4" x14ac:dyDescent="0.3">
      <c r="A265" s="37">
        <v>70841</v>
      </c>
      <c r="B265" s="37" t="s">
        <v>3909</v>
      </c>
      <c r="C265" s="37">
        <v>68296631</v>
      </c>
      <c r="D265" s="37" t="s">
        <v>1337</v>
      </c>
      <c r="E265" s="37" t="s">
        <v>1337</v>
      </c>
      <c r="F265" s="37" t="s">
        <v>1337</v>
      </c>
      <c r="G265" s="37" t="s">
        <v>1338</v>
      </c>
      <c r="H265" s="37" t="s">
        <v>1339</v>
      </c>
      <c r="I265" s="37" t="s">
        <v>1340</v>
      </c>
      <c r="J265" s="37" t="s">
        <v>90</v>
      </c>
      <c r="K265" s="37" t="s">
        <v>179</v>
      </c>
      <c r="L265" s="37" t="s">
        <v>179</v>
      </c>
      <c r="M265" s="37">
        <v>54405</v>
      </c>
      <c r="N265" s="38" t="s">
        <v>324</v>
      </c>
      <c r="S265" s="23">
        <f>VLOOKUP(A265,Hoja1!A:D,4,0)</f>
        <v>2</v>
      </c>
      <c r="T265" s="26" t="str">
        <f>VLOOKUP(M265,[1]TIPOLOGIAS!$A:$F,4,0)</f>
        <v>CUCUTA</v>
      </c>
      <c r="U265" s="26" t="str">
        <f>VLOOKUP(T265,'BASE TARIFA 2025'!C:D,2,0)</f>
        <v>WOMPI SANTANDERES</v>
      </c>
      <c r="V265" s="27">
        <f>VLOOKUP(T265,'BASE TARIFA 2025'!C:F,3,0)</f>
        <v>49671.7</v>
      </c>
      <c r="W265" s="27">
        <f t="shared" si="4"/>
        <v>99343.4</v>
      </c>
    </row>
    <row r="266" spans="1:23" s="37" customFormat="1" ht="14.4" x14ac:dyDescent="0.3">
      <c r="A266" s="37">
        <v>69176</v>
      </c>
      <c r="B266" s="37" t="s">
        <v>3910</v>
      </c>
      <c r="C266" s="37">
        <v>1090417626</v>
      </c>
      <c r="D266" s="37" t="s">
        <v>1341</v>
      </c>
      <c r="E266" s="37" t="s">
        <v>1341</v>
      </c>
      <c r="F266" s="37" t="s">
        <v>1342</v>
      </c>
      <c r="G266" s="37" t="s">
        <v>1343</v>
      </c>
      <c r="H266" s="37" t="s">
        <v>1344</v>
      </c>
      <c r="I266" s="37" t="s">
        <v>1345</v>
      </c>
      <c r="J266" s="37" t="s">
        <v>90</v>
      </c>
      <c r="K266" s="37" t="s">
        <v>179</v>
      </c>
      <c r="L266" s="37" t="s">
        <v>179</v>
      </c>
      <c r="M266" s="37">
        <v>54405</v>
      </c>
      <c r="N266" s="38" t="s">
        <v>325</v>
      </c>
      <c r="S266" s="23">
        <f>VLOOKUP(A266,Hoja1!A:D,4,0)</f>
        <v>1</v>
      </c>
      <c r="T266" s="26" t="str">
        <f>VLOOKUP(M266,[1]TIPOLOGIAS!$A:$F,4,0)</f>
        <v>CUCUTA</v>
      </c>
      <c r="U266" s="26" t="str">
        <f>VLOOKUP(T266,'BASE TARIFA 2025'!C:D,2,0)</f>
        <v>WOMPI SANTANDERES</v>
      </c>
      <c r="V266" s="27">
        <f>VLOOKUP(T266,'BASE TARIFA 2025'!C:F,3,0)</f>
        <v>49671.7</v>
      </c>
      <c r="W266" s="27">
        <f t="shared" si="4"/>
        <v>49671.7</v>
      </c>
    </row>
    <row r="267" spans="1:23" s="37" customFormat="1" ht="14.4" x14ac:dyDescent="0.3">
      <c r="A267" s="37">
        <v>69231</v>
      </c>
      <c r="B267" s="37" t="s">
        <v>3911</v>
      </c>
      <c r="C267" s="37">
        <v>1090417626</v>
      </c>
      <c r="D267" s="37" t="s">
        <v>70</v>
      </c>
      <c r="E267" s="37" t="s">
        <v>1346</v>
      </c>
      <c r="F267" s="37" t="s">
        <v>1347</v>
      </c>
      <c r="G267" s="37" t="s">
        <v>1348</v>
      </c>
      <c r="H267" s="37" t="s">
        <v>1349</v>
      </c>
      <c r="I267" s="37" t="s">
        <v>1350</v>
      </c>
      <c r="J267" s="37" t="s">
        <v>87</v>
      </c>
      <c r="K267" s="37" t="s">
        <v>30</v>
      </c>
      <c r="L267" s="37" t="s">
        <v>30</v>
      </c>
      <c r="M267" s="37">
        <v>41001</v>
      </c>
      <c r="N267" s="38" t="s">
        <v>430</v>
      </c>
      <c r="S267" s="23">
        <f>VLOOKUP(A267,Hoja1!A:D,4,0)</f>
        <v>1</v>
      </c>
      <c r="T267" s="26" t="str">
        <f>VLOOKUP(M267,[1]TIPOLOGIAS!$A:$F,4,0)</f>
        <v>NEIVA</v>
      </c>
      <c r="U267" s="26" t="str">
        <f>VLOOKUP(T267,'BASE TARIFA 2025'!C:D,2,0)</f>
        <v>WOMPI ORIENTE</v>
      </c>
      <c r="V267" s="27">
        <f>VLOOKUP(T267,'BASE TARIFA 2025'!C:F,3,0)</f>
        <v>49671.7</v>
      </c>
      <c r="W267" s="27">
        <f t="shared" si="4"/>
        <v>49671.7</v>
      </c>
    </row>
    <row r="268" spans="1:23" s="37" customFormat="1" ht="14.4" x14ac:dyDescent="0.3">
      <c r="A268" s="37">
        <v>69908</v>
      </c>
      <c r="B268" s="37" t="s">
        <v>3912</v>
      </c>
      <c r="C268" s="37">
        <v>88250291</v>
      </c>
      <c r="D268" s="37" t="s">
        <v>1351</v>
      </c>
      <c r="E268" s="37" t="s">
        <v>1352</v>
      </c>
      <c r="F268" s="37" t="s">
        <v>1352</v>
      </c>
      <c r="G268" s="37" t="s">
        <v>1353</v>
      </c>
      <c r="H268" s="37" t="s">
        <v>1354</v>
      </c>
      <c r="I268" s="37" t="s">
        <v>1355</v>
      </c>
      <c r="J268" s="37" t="s">
        <v>87</v>
      </c>
      <c r="K268" s="37" t="s">
        <v>30</v>
      </c>
      <c r="L268" s="37" t="s">
        <v>30</v>
      </c>
      <c r="M268" s="37">
        <v>41001</v>
      </c>
      <c r="N268" s="38" t="s">
        <v>430</v>
      </c>
      <c r="S268" s="23">
        <f>VLOOKUP(A268,Hoja1!A:D,4,0)</f>
        <v>1</v>
      </c>
      <c r="T268" s="26" t="str">
        <f>VLOOKUP(M268,[1]TIPOLOGIAS!$A:$F,4,0)</f>
        <v>NEIVA</v>
      </c>
      <c r="U268" s="26" t="str">
        <f>VLOOKUP(T268,'BASE TARIFA 2025'!C:D,2,0)</f>
        <v>WOMPI ORIENTE</v>
      </c>
      <c r="V268" s="27">
        <f>VLOOKUP(T268,'BASE TARIFA 2025'!C:F,3,0)</f>
        <v>49671.7</v>
      </c>
      <c r="W268" s="27">
        <f t="shared" si="4"/>
        <v>49671.7</v>
      </c>
    </row>
    <row r="269" spans="1:23" s="37" customFormat="1" ht="14.4" x14ac:dyDescent="0.3">
      <c r="A269" s="37">
        <v>75085</v>
      </c>
      <c r="B269" s="37" t="s">
        <v>3913</v>
      </c>
      <c r="C269" s="37">
        <v>1084221711</v>
      </c>
      <c r="D269" s="37" t="s">
        <v>1356</v>
      </c>
      <c r="E269" s="37" t="s">
        <v>1357</v>
      </c>
      <c r="F269" s="37" t="s">
        <v>1358</v>
      </c>
      <c r="G269" s="37" t="s">
        <v>1359</v>
      </c>
      <c r="H269" s="37" t="s">
        <v>1360</v>
      </c>
      <c r="I269" s="37" t="s">
        <v>1361</v>
      </c>
      <c r="J269" s="37" t="s">
        <v>87</v>
      </c>
      <c r="K269" s="37" t="s">
        <v>30</v>
      </c>
      <c r="L269" s="37" t="s">
        <v>30</v>
      </c>
      <c r="M269" s="37">
        <v>41001</v>
      </c>
      <c r="N269" s="38" t="s">
        <v>430</v>
      </c>
      <c r="S269" s="23">
        <f>VLOOKUP(A269,Hoja1!A:D,4,0)</f>
        <v>1</v>
      </c>
      <c r="T269" s="26" t="str">
        <f>VLOOKUP(M269,[1]TIPOLOGIAS!$A:$F,4,0)</f>
        <v>NEIVA</v>
      </c>
      <c r="U269" s="26" t="str">
        <f>VLOOKUP(T269,'BASE TARIFA 2025'!C:D,2,0)</f>
        <v>WOMPI ORIENTE</v>
      </c>
      <c r="V269" s="27">
        <f>VLOOKUP(T269,'BASE TARIFA 2025'!C:F,3,0)</f>
        <v>49671.7</v>
      </c>
      <c r="W269" s="27">
        <f t="shared" si="4"/>
        <v>49671.7</v>
      </c>
    </row>
    <row r="270" spans="1:23" s="37" customFormat="1" ht="14.4" x14ac:dyDescent="0.3">
      <c r="A270" s="37">
        <v>42903</v>
      </c>
      <c r="B270" s="37" t="s">
        <v>3914</v>
      </c>
      <c r="C270" s="37">
        <v>901088792</v>
      </c>
      <c r="D270" s="37" t="s">
        <v>1362</v>
      </c>
      <c r="E270" s="37" t="s">
        <v>1363</v>
      </c>
      <c r="F270" s="37" t="s">
        <v>1363</v>
      </c>
      <c r="G270" s="37" t="s">
        <v>1364</v>
      </c>
      <c r="H270" s="37" t="s">
        <v>1365</v>
      </c>
      <c r="I270" s="37" t="s">
        <v>1366</v>
      </c>
      <c r="J270" s="37" t="s">
        <v>87</v>
      </c>
      <c r="K270" s="37" t="s">
        <v>30</v>
      </c>
      <c r="L270" s="37" t="s">
        <v>30</v>
      </c>
      <c r="M270" s="37">
        <v>41001</v>
      </c>
      <c r="N270" s="38" t="s">
        <v>430</v>
      </c>
      <c r="S270" s="23">
        <f>VLOOKUP(A270,Hoja1!A:D,4,0)</f>
        <v>1</v>
      </c>
      <c r="T270" s="26" t="str">
        <f>VLOOKUP(M270,[1]TIPOLOGIAS!$A:$F,4,0)</f>
        <v>NEIVA</v>
      </c>
      <c r="U270" s="26" t="str">
        <f>VLOOKUP(T270,'BASE TARIFA 2025'!C:D,2,0)</f>
        <v>WOMPI ORIENTE</v>
      </c>
      <c r="V270" s="27">
        <f>VLOOKUP(T270,'BASE TARIFA 2025'!C:F,3,0)</f>
        <v>49671.7</v>
      </c>
      <c r="W270" s="27">
        <f t="shared" si="4"/>
        <v>49671.7</v>
      </c>
    </row>
    <row r="271" spans="1:23" s="37" customFormat="1" ht="14.4" x14ac:dyDescent="0.3">
      <c r="A271" s="37">
        <v>33450</v>
      </c>
      <c r="B271" s="37" t="s">
        <v>3915</v>
      </c>
      <c r="C271" s="37">
        <v>1065853944</v>
      </c>
      <c r="D271" s="37" t="s">
        <v>1367</v>
      </c>
      <c r="E271" s="37" t="s">
        <v>1367</v>
      </c>
      <c r="G271" s="37" t="s">
        <v>1368</v>
      </c>
      <c r="H271" s="37" t="s">
        <v>1369</v>
      </c>
      <c r="I271" s="37" t="s">
        <v>1370</v>
      </c>
      <c r="J271" s="37" t="s">
        <v>90</v>
      </c>
      <c r="K271" s="37" t="s">
        <v>179</v>
      </c>
      <c r="L271" s="37" t="s">
        <v>179</v>
      </c>
      <c r="M271" s="37">
        <v>54405</v>
      </c>
      <c r="N271" s="38" t="s">
        <v>503</v>
      </c>
      <c r="S271" s="23">
        <f>VLOOKUP(A271,Hoja1!A:D,4,0)</f>
        <v>2</v>
      </c>
      <c r="T271" s="26" t="str">
        <f>VLOOKUP(M271,[1]TIPOLOGIAS!$A:$F,4,0)</f>
        <v>CUCUTA</v>
      </c>
      <c r="U271" s="26" t="str">
        <f>VLOOKUP(T271,'BASE TARIFA 2025'!C:D,2,0)</f>
        <v>WOMPI SANTANDERES</v>
      </c>
      <c r="V271" s="27">
        <f>VLOOKUP(T271,'BASE TARIFA 2025'!C:F,3,0)</f>
        <v>49671.7</v>
      </c>
      <c r="W271" s="27">
        <f t="shared" si="4"/>
        <v>99343.4</v>
      </c>
    </row>
    <row r="272" spans="1:23" s="37" customFormat="1" ht="14.4" x14ac:dyDescent="0.3">
      <c r="A272" s="37">
        <v>22633</v>
      </c>
      <c r="B272" s="37" t="s">
        <v>3916</v>
      </c>
      <c r="C272" s="37">
        <v>1052385991</v>
      </c>
      <c r="D272" s="37" t="s">
        <v>1371</v>
      </c>
      <c r="E272" s="37" t="s">
        <v>1372</v>
      </c>
      <c r="F272" s="37" t="s">
        <v>1372</v>
      </c>
      <c r="G272" s="37" t="s">
        <v>1373</v>
      </c>
      <c r="H272" s="37" t="s">
        <v>1374</v>
      </c>
      <c r="I272" s="37" t="s">
        <v>1375</v>
      </c>
      <c r="J272" s="37" t="s">
        <v>90</v>
      </c>
      <c r="K272" s="37" t="s">
        <v>179</v>
      </c>
      <c r="L272" s="37" t="s">
        <v>179</v>
      </c>
      <c r="M272" s="37">
        <v>54405</v>
      </c>
      <c r="N272" s="38" t="s">
        <v>853</v>
      </c>
      <c r="S272" s="23">
        <f>VLOOKUP(A272,Hoja1!A:D,4,0)</f>
        <v>1</v>
      </c>
      <c r="T272" s="26" t="str">
        <f>VLOOKUP(M272,[1]TIPOLOGIAS!$A:$F,4,0)</f>
        <v>CUCUTA</v>
      </c>
      <c r="U272" s="26" t="str">
        <f>VLOOKUP(T272,'BASE TARIFA 2025'!C:D,2,0)</f>
        <v>WOMPI SANTANDERES</v>
      </c>
      <c r="V272" s="27">
        <f>VLOOKUP(T272,'BASE TARIFA 2025'!C:F,3,0)</f>
        <v>49671.7</v>
      </c>
      <c r="W272" s="27">
        <f t="shared" si="4"/>
        <v>49671.7</v>
      </c>
    </row>
    <row r="273" spans="1:23" s="37" customFormat="1" ht="14.4" x14ac:dyDescent="0.3">
      <c r="A273" s="37">
        <v>73272</v>
      </c>
      <c r="B273" s="37" t="s">
        <v>3917</v>
      </c>
      <c r="C273" s="37">
        <v>1057215949</v>
      </c>
      <c r="D273" s="37" t="s">
        <v>1376</v>
      </c>
      <c r="E273" s="37" t="s">
        <v>1377</v>
      </c>
      <c r="F273" s="37" t="s">
        <v>1377</v>
      </c>
      <c r="G273" s="37" t="s">
        <v>1378</v>
      </c>
      <c r="H273" s="37" t="s">
        <v>1379</v>
      </c>
      <c r="I273" s="37" t="s">
        <v>1380</v>
      </c>
      <c r="J273" s="37" t="s">
        <v>90</v>
      </c>
      <c r="K273" s="37" t="s">
        <v>179</v>
      </c>
      <c r="L273" s="37" t="s">
        <v>179</v>
      </c>
      <c r="M273" s="37">
        <v>54405</v>
      </c>
      <c r="N273" s="38" t="s">
        <v>328</v>
      </c>
      <c r="S273" s="23">
        <f>VLOOKUP(A273,Hoja1!A:D,4,0)</f>
        <v>1</v>
      </c>
      <c r="T273" s="26" t="str">
        <f>VLOOKUP(M273,[1]TIPOLOGIAS!$A:$F,4,0)</f>
        <v>CUCUTA</v>
      </c>
      <c r="U273" s="26" t="str">
        <f>VLOOKUP(T273,'BASE TARIFA 2025'!C:D,2,0)</f>
        <v>WOMPI SANTANDERES</v>
      </c>
      <c r="V273" s="27">
        <f>VLOOKUP(T273,'BASE TARIFA 2025'!C:F,3,0)</f>
        <v>49671.7</v>
      </c>
      <c r="W273" s="27">
        <f t="shared" si="4"/>
        <v>49671.7</v>
      </c>
    </row>
    <row r="274" spans="1:23" s="37" customFormat="1" ht="14.4" x14ac:dyDescent="0.3">
      <c r="A274" s="37">
        <v>76086</v>
      </c>
      <c r="B274" s="37" t="s">
        <v>3918</v>
      </c>
      <c r="C274" s="37">
        <v>1054095799</v>
      </c>
      <c r="D274" s="37" t="s">
        <v>1381</v>
      </c>
      <c r="E274" s="37" t="s">
        <v>1381</v>
      </c>
      <c r="F274" s="37" t="s">
        <v>1381</v>
      </c>
      <c r="G274" s="37" t="s">
        <v>1382</v>
      </c>
      <c r="H274" s="37" t="s">
        <v>1383</v>
      </c>
      <c r="I274" s="37" t="s">
        <v>1384</v>
      </c>
      <c r="J274" s="37" t="s">
        <v>90</v>
      </c>
      <c r="K274" s="37" t="s">
        <v>179</v>
      </c>
      <c r="L274" s="37" t="s">
        <v>179</v>
      </c>
      <c r="M274" s="37">
        <v>54405</v>
      </c>
      <c r="N274" s="38" t="s">
        <v>503</v>
      </c>
      <c r="S274" s="23">
        <f>VLOOKUP(A274,Hoja1!A:D,4,0)</f>
        <v>1</v>
      </c>
      <c r="T274" s="26" t="str">
        <f>VLOOKUP(M274,[1]TIPOLOGIAS!$A:$F,4,0)</f>
        <v>CUCUTA</v>
      </c>
      <c r="U274" s="26" t="str">
        <f>VLOOKUP(T274,'BASE TARIFA 2025'!C:D,2,0)</f>
        <v>WOMPI SANTANDERES</v>
      </c>
      <c r="V274" s="27">
        <f>VLOOKUP(T274,'BASE TARIFA 2025'!C:F,3,0)</f>
        <v>49671.7</v>
      </c>
      <c r="W274" s="27">
        <f t="shared" si="4"/>
        <v>49671.7</v>
      </c>
    </row>
    <row r="275" spans="1:23" s="37" customFormat="1" ht="14.4" x14ac:dyDescent="0.3">
      <c r="A275" s="37">
        <v>78071</v>
      </c>
      <c r="B275" s="37" t="s">
        <v>3919</v>
      </c>
      <c r="C275" s="37">
        <v>79976498</v>
      </c>
      <c r="D275" s="37" t="s">
        <v>1381</v>
      </c>
      <c r="E275" s="37" t="s">
        <v>1381</v>
      </c>
      <c r="F275" s="37" t="s">
        <v>1381</v>
      </c>
      <c r="G275" s="37" t="s">
        <v>1385</v>
      </c>
      <c r="H275" s="37" t="s">
        <v>1386</v>
      </c>
      <c r="I275" s="37" t="s">
        <v>1387</v>
      </c>
      <c r="J275" s="37" t="s">
        <v>90</v>
      </c>
      <c r="K275" s="37" t="s">
        <v>179</v>
      </c>
      <c r="L275" s="37" t="s">
        <v>179</v>
      </c>
      <c r="M275" s="37">
        <v>54405</v>
      </c>
      <c r="N275" s="38" t="s">
        <v>503</v>
      </c>
      <c r="S275" s="23">
        <f>VLOOKUP(A275,Hoja1!A:D,4,0)</f>
        <v>1</v>
      </c>
      <c r="T275" s="26" t="str">
        <f>VLOOKUP(M275,[1]TIPOLOGIAS!$A:$F,4,0)</f>
        <v>CUCUTA</v>
      </c>
      <c r="U275" s="26" t="str">
        <f>VLOOKUP(T275,'BASE TARIFA 2025'!C:D,2,0)</f>
        <v>WOMPI SANTANDERES</v>
      </c>
      <c r="V275" s="27">
        <f>VLOOKUP(T275,'BASE TARIFA 2025'!C:F,3,0)</f>
        <v>49671.7</v>
      </c>
      <c r="W275" s="27">
        <f t="shared" si="4"/>
        <v>49671.7</v>
      </c>
    </row>
    <row r="276" spans="1:23" s="37" customFormat="1" ht="14.4" x14ac:dyDescent="0.3">
      <c r="A276" s="37">
        <v>33823</v>
      </c>
      <c r="B276" s="37" t="s">
        <v>3920</v>
      </c>
      <c r="C276" s="37">
        <v>890807047</v>
      </c>
      <c r="D276" s="37" t="s">
        <v>1381</v>
      </c>
      <c r="E276" s="37" t="s">
        <v>1381</v>
      </c>
      <c r="F276" s="37" t="s">
        <v>1381</v>
      </c>
      <c r="G276" s="37" t="s">
        <v>1388</v>
      </c>
      <c r="H276" s="37" t="s">
        <v>1389</v>
      </c>
      <c r="I276" s="37" t="s">
        <v>1390</v>
      </c>
      <c r="J276" s="37" t="s">
        <v>90</v>
      </c>
      <c r="K276" s="37" t="s">
        <v>179</v>
      </c>
      <c r="L276" s="37" t="s">
        <v>179</v>
      </c>
      <c r="M276" s="37">
        <v>54405</v>
      </c>
      <c r="N276" s="38" t="s">
        <v>416</v>
      </c>
      <c r="S276" s="23">
        <f>VLOOKUP(A276,Hoja1!A:D,4,0)</f>
        <v>1</v>
      </c>
      <c r="T276" s="26" t="str">
        <f>VLOOKUP(M276,[1]TIPOLOGIAS!$A:$F,4,0)</f>
        <v>CUCUTA</v>
      </c>
      <c r="U276" s="26" t="str">
        <f>VLOOKUP(T276,'BASE TARIFA 2025'!C:D,2,0)</f>
        <v>WOMPI SANTANDERES</v>
      </c>
      <c r="V276" s="27">
        <f>VLOOKUP(T276,'BASE TARIFA 2025'!C:F,3,0)</f>
        <v>49671.7</v>
      </c>
      <c r="W276" s="27">
        <f t="shared" si="4"/>
        <v>49671.7</v>
      </c>
    </row>
    <row r="277" spans="1:23" s="37" customFormat="1" ht="14.4" x14ac:dyDescent="0.3">
      <c r="A277" s="37">
        <v>33112</v>
      </c>
      <c r="B277" s="37" t="s">
        <v>3921</v>
      </c>
      <c r="C277" s="37">
        <v>890807047</v>
      </c>
      <c r="D277" s="37" t="s">
        <v>1381</v>
      </c>
      <c r="E277" s="37" t="s">
        <v>1381</v>
      </c>
      <c r="F277" s="37" t="s">
        <v>1391</v>
      </c>
      <c r="G277" s="37" t="s">
        <v>1392</v>
      </c>
      <c r="H277" s="37" t="s">
        <v>1393</v>
      </c>
      <c r="I277" s="37" t="s">
        <v>1394</v>
      </c>
      <c r="J277" s="37" t="s">
        <v>90</v>
      </c>
      <c r="K277" s="37" t="s">
        <v>179</v>
      </c>
      <c r="L277" s="37" t="s">
        <v>179</v>
      </c>
      <c r="M277" s="37">
        <v>54405</v>
      </c>
      <c r="N277" s="38" t="s">
        <v>503</v>
      </c>
      <c r="S277" s="23">
        <f>VLOOKUP(A277,Hoja1!A:D,4,0)</f>
        <v>1</v>
      </c>
      <c r="T277" s="26" t="str">
        <f>VLOOKUP(M277,[1]TIPOLOGIAS!$A:$F,4,0)</f>
        <v>CUCUTA</v>
      </c>
      <c r="U277" s="26" t="str">
        <f>VLOOKUP(T277,'BASE TARIFA 2025'!C:D,2,0)</f>
        <v>WOMPI SANTANDERES</v>
      </c>
      <c r="V277" s="27">
        <f>VLOOKUP(T277,'BASE TARIFA 2025'!C:F,3,0)</f>
        <v>49671.7</v>
      </c>
      <c r="W277" s="27">
        <f t="shared" si="4"/>
        <v>49671.7</v>
      </c>
    </row>
    <row r="278" spans="1:23" s="37" customFormat="1" ht="14.4" x14ac:dyDescent="0.3">
      <c r="A278" s="37">
        <v>42416</v>
      </c>
      <c r="B278" s="37" t="s">
        <v>3922</v>
      </c>
      <c r="C278" s="37">
        <v>890306372</v>
      </c>
      <c r="D278" s="37" t="s">
        <v>67</v>
      </c>
      <c r="E278" s="37" t="s">
        <v>1395</v>
      </c>
      <c r="F278" s="37" t="s">
        <v>1395</v>
      </c>
      <c r="G278" s="37" t="s">
        <v>1396</v>
      </c>
      <c r="H278" s="37" t="s">
        <v>1397</v>
      </c>
      <c r="I278" s="37" t="s">
        <v>1398</v>
      </c>
      <c r="J278" s="37" t="s">
        <v>90</v>
      </c>
      <c r="K278" s="37" t="s">
        <v>179</v>
      </c>
      <c r="L278" s="37" t="s">
        <v>179</v>
      </c>
      <c r="M278" s="37">
        <v>54405</v>
      </c>
      <c r="N278" s="38" t="s">
        <v>430</v>
      </c>
      <c r="S278" s="23">
        <f>VLOOKUP(A278,Hoja1!A:D,4,0)</f>
        <v>1</v>
      </c>
      <c r="T278" s="26" t="str">
        <f>VLOOKUP(M278,[1]TIPOLOGIAS!$A:$F,4,0)</f>
        <v>CUCUTA</v>
      </c>
      <c r="U278" s="26" t="str">
        <f>VLOOKUP(T278,'BASE TARIFA 2025'!C:D,2,0)</f>
        <v>WOMPI SANTANDERES</v>
      </c>
      <c r="V278" s="27">
        <f>VLOOKUP(T278,'BASE TARIFA 2025'!C:F,3,0)</f>
        <v>49671.7</v>
      </c>
      <c r="W278" s="27">
        <f t="shared" si="4"/>
        <v>49671.7</v>
      </c>
    </row>
    <row r="279" spans="1:23" s="37" customFormat="1" ht="14.4" x14ac:dyDescent="0.3">
      <c r="A279" s="37">
        <v>67374</v>
      </c>
      <c r="B279" s="37" t="s">
        <v>3923</v>
      </c>
      <c r="C279" s="37">
        <v>37327907</v>
      </c>
      <c r="D279" s="37" t="s">
        <v>67</v>
      </c>
      <c r="E279" s="37" t="s">
        <v>1399</v>
      </c>
      <c r="F279" s="37" t="s">
        <v>1399</v>
      </c>
      <c r="G279" s="37" t="s">
        <v>1400</v>
      </c>
      <c r="H279" s="37" t="s">
        <v>1401</v>
      </c>
      <c r="I279" s="37" t="s">
        <v>1402</v>
      </c>
      <c r="J279" s="37" t="s">
        <v>90</v>
      </c>
      <c r="K279" s="37" t="s">
        <v>179</v>
      </c>
      <c r="L279" s="37" t="s">
        <v>179</v>
      </c>
      <c r="M279" s="37">
        <v>54405</v>
      </c>
      <c r="N279" s="38" t="s">
        <v>430</v>
      </c>
      <c r="S279" s="23">
        <f>VLOOKUP(A279,Hoja1!A:D,4,0)</f>
        <v>2</v>
      </c>
      <c r="T279" s="26" t="str">
        <f>VLOOKUP(M279,[1]TIPOLOGIAS!$A:$F,4,0)</f>
        <v>CUCUTA</v>
      </c>
      <c r="U279" s="26" t="str">
        <f>VLOOKUP(T279,'BASE TARIFA 2025'!C:D,2,0)</f>
        <v>WOMPI SANTANDERES</v>
      </c>
      <c r="V279" s="27">
        <f>VLOOKUP(T279,'BASE TARIFA 2025'!C:F,3,0)</f>
        <v>49671.7</v>
      </c>
      <c r="W279" s="27">
        <f t="shared" si="4"/>
        <v>99343.4</v>
      </c>
    </row>
    <row r="280" spans="1:23" s="37" customFormat="1" ht="14.4" x14ac:dyDescent="0.3">
      <c r="A280" s="37">
        <v>15400</v>
      </c>
      <c r="B280" s="37" t="s">
        <v>3924</v>
      </c>
      <c r="C280" s="37">
        <v>70546407</v>
      </c>
      <c r="D280" s="37" t="s">
        <v>67</v>
      </c>
      <c r="E280" s="37" t="s">
        <v>1403</v>
      </c>
      <c r="F280" s="37" t="s">
        <v>1403</v>
      </c>
      <c r="G280" s="37" t="s">
        <v>1404</v>
      </c>
      <c r="H280" s="37" t="s">
        <v>1405</v>
      </c>
      <c r="I280" s="37" t="s">
        <v>1406</v>
      </c>
      <c r="J280" s="37" t="s">
        <v>90</v>
      </c>
      <c r="K280" s="37" t="s">
        <v>179</v>
      </c>
      <c r="L280" s="37" t="s">
        <v>179</v>
      </c>
      <c r="M280" s="37">
        <v>54405</v>
      </c>
      <c r="N280" s="38" t="s">
        <v>328</v>
      </c>
      <c r="S280" s="23">
        <f>VLOOKUP(A280,Hoja1!A:D,4,0)</f>
        <v>1</v>
      </c>
      <c r="T280" s="26" t="str">
        <f>VLOOKUP(M280,[1]TIPOLOGIAS!$A:$F,4,0)</f>
        <v>CUCUTA</v>
      </c>
      <c r="U280" s="26" t="str">
        <f>VLOOKUP(T280,'BASE TARIFA 2025'!C:D,2,0)</f>
        <v>WOMPI SANTANDERES</v>
      </c>
      <c r="V280" s="27">
        <f>VLOOKUP(T280,'BASE TARIFA 2025'!C:F,3,0)</f>
        <v>49671.7</v>
      </c>
      <c r="W280" s="27">
        <f t="shared" si="4"/>
        <v>49671.7</v>
      </c>
    </row>
    <row r="281" spans="1:23" s="37" customFormat="1" ht="14.4" x14ac:dyDescent="0.3">
      <c r="A281" s="37">
        <v>80015</v>
      </c>
      <c r="B281" s="37" t="s">
        <v>3925</v>
      </c>
      <c r="C281" s="37">
        <v>17641131</v>
      </c>
      <c r="D281" s="37" t="s">
        <v>67</v>
      </c>
      <c r="E281" s="37" t="s">
        <v>1407</v>
      </c>
      <c r="F281" s="37" t="s">
        <v>1407</v>
      </c>
      <c r="G281" s="37" t="s">
        <v>1408</v>
      </c>
      <c r="H281" s="37" t="s">
        <v>1409</v>
      </c>
      <c r="I281" s="37" t="s">
        <v>1410</v>
      </c>
      <c r="J281" s="37" t="s">
        <v>90</v>
      </c>
      <c r="K281" s="37" t="s">
        <v>179</v>
      </c>
      <c r="L281" s="37" t="s">
        <v>179</v>
      </c>
      <c r="M281" s="37">
        <v>54405</v>
      </c>
      <c r="N281" s="38" t="s">
        <v>416</v>
      </c>
      <c r="S281" s="23">
        <f>VLOOKUP(A281,Hoja1!A:D,4,0)</f>
        <v>1</v>
      </c>
      <c r="T281" s="26" t="str">
        <f>VLOOKUP(M281,[1]TIPOLOGIAS!$A:$F,4,0)</f>
        <v>CUCUTA</v>
      </c>
      <c r="U281" s="26" t="str">
        <f>VLOOKUP(T281,'BASE TARIFA 2025'!C:D,2,0)</f>
        <v>WOMPI SANTANDERES</v>
      </c>
      <c r="V281" s="27">
        <f>VLOOKUP(T281,'BASE TARIFA 2025'!C:F,3,0)</f>
        <v>49671.7</v>
      </c>
      <c r="W281" s="27">
        <f t="shared" si="4"/>
        <v>49671.7</v>
      </c>
    </row>
    <row r="282" spans="1:23" s="37" customFormat="1" ht="14.4" x14ac:dyDescent="0.3">
      <c r="A282" s="37">
        <v>63373</v>
      </c>
      <c r="B282" s="37" t="s">
        <v>3926</v>
      </c>
      <c r="C282" s="37">
        <v>37273830</v>
      </c>
      <c r="D282" s="37" t="s">
        <v>67</v>
      </c>
      <c r="E282" s="37" t="s">
        <v>1411</v>
      </c>
      <c r="F282" s="37" t="s">
        <v>1411</v>
      </c>
      <c r="G282" s="37" t="s">
        <v>1412</v>
      </c>
      <c r="H282" s="37" t="s">
        <v>1413</v>
      </c>
      <c r="I282" s="37" t="s">
        <v>1414</v>
      </c>
      <c r="J282" s="37" t="s">
        <v>90</v>
      </c>
      <c r="K282" s="37" t="s">
        <v>179</v>
      </c>
      <c r="L282" s="37" t="s">
        <v>179</v>
      </c>
      <c r="M282" s="37">
        <v>54405</v>
      </c>
      <c r="N282" s="38" t="s">
        <v>416</v>
      </c>
      <c r="S282" s="23">
        <f>VLOOKUP(A282,Hoja1!A:D,4,0)</f>
        <v>1</v>
      </c>
      <c r="T282" s="26" t="str">
        <f>VLOOKUP(M282,[1]TIPOLOGIAS!$A:$F,4,0)</f>
        <v>CUCUTA</v>
      </c>
      <c r="U282" s="26" t="str">
        <f>VLOOKUP(T282,'BASE TARIFA 2025'!C:D,2,0)</f>
        <v>WOMPI SANTANDERES</v>
      </c>
      <c r="V282" s="27">
        <f>VLOOKUP(T282,'BASE TARIFA 2025'!C:F,3,0)</f>
        <v>49671.7</v>
      </c>
      <c r="W282" s="27">
        <f t="shared" si="4"/>
        <v>49671.7</v>
      </c>
    </row>
    <row r="283" spans="1:23" s="37" customFormat="1" ht="14.4" x14ac:dyDescent="0.3">
      <c r="A283" s="37">
        <v>63458</v>
      </c>
      <c r="B283" s="37" t="s">
        <v>3927</v>
      </c>
      <c r="C283" s="37">
        <v>60402106</v>
      </c>
      <c r="D283" s="37" t="s">
        <v>67</v>
      </c>
      <c r="E283" s="37" t="s">
        <v>67</v>
      </c>
      <c r="F283" s="37" t="s">
        <v>1391</v>
      </c>
      <c r="G283" s="37" t="s">
        <v>1415</v>
      </c>
      <c r="H283" s="37" t="s">
        <v>1416</v>
      </c>
      <c r="I283" s="37" t="s">
        <v>1417</v>
      </c>
      <c r="J283" s="37" t="s">
        <v>90</v>
      </c>
      <c r="K283" s="37" t="s">
        <v>179</v>
      </c>
      <c r="L283" s="37" t="s">
        <v>179</v>
      </c>
      <c r="M283" s="37">
        <v>54405</v>
      </c>
      <c r="N283" s="38" t="s">
        <v>328</v>
      </c>
      <c r="S283" s="23">
        <f>VLOOKUP(A283,Hoja1!A:D,4,0)</f>
        <v>4</v>
      </c>
      <c r="T283" s="26" t="str">
        <f>VLOOKUP(M283,[1]TIPOLOGIAS!$A:$F,4,0)</f>
        <v>CUCUTA</v>
      </c>
      <c r="U283" s="26" t="str">
        <f>VLOOKUP(T283,'BASE TARIFA 2025'!C:D,2,0)</f>
        <v>WOMPI SANTANDERES</v>
      </c>
      <c r="V283" s="27">
        <f>VLOOKUP(T283,'BASE TARIFA 2025'!C:F,3,0)</f>
        <v>49671.7</v>
      </c>
      <c r="W283" s="27">
        <f t="shared" si="4"/>
        <v>198686.8</v>
      </c>
    </row>
    <row r="284" spans="1:23" s="37" customFormat="1" ht="14.4" x14ac:dyDescent="0.3">
      <c r="A284" s="37">
        <v>60852</v>
      </c>
      <c r="B284" s="37" t="s">
        <v>3928</v>
      </c>
      <c r="C284" s="37">
        <v>901309622</v>
      </c>
      <c r="D284" s="37" t="s">
        <v>1418</v>
      </c>
      <c r="E284" s="37" t="s">
        <v>1419</v>
      </c>
      <c r="F284" s="37" t="s">
        <v>1419</v>
      </c>
      <c r="G284" s="37" t="s">
        <v>1420</v>
      </c>
      <c r="H284" s="37" t="s">
        <v>1421</v>
      </c>
      <c r="I284" s="37" t="s">
        <v>1422</v>
      </c>
      <c r="J284" s="37" t="s">
        <v>90</v>
      </c>
      <c r="K284" s="37" t="s">
        <v>179</v>
      </c>
      <c r="L284" s="37" t="s">
        <v>179</v>
      </c>
      <c r="M284" s="37">
        <v>54405</v>
      </c>
      <c r="N284" s="38" t="s">
        <v>430</v>
      </c>
      <c r="S284" s="23">
        <f>VLOOKUP(A284,Hoja1!A:D,4,0)</f>
        <v>1</v>
      </c>
      <c r="T284" s="26" t="str">
        <f>VLOOKUP(M284,[1]TIPOLOGIAS!$A:$F,4,0)</f>
        <v>CUCUTA</v>
      </c>
      <c r="U284" s="26" t="str">
        <f>VLOOKUP(T284,'BASE TARIFA 2025'!C:D,2,0)</f>
        <v>WOMPI SANTANDERES</v>
      </c>
      <c r="V284" s="27">
        <f>VLOOKUP(T284,'BASE TARIFA 2025'!C:F,3,0)</f>
        <v>49671.7</v>
      </c>
      <c r="W284" s="27">
        <f t="shared" si="4"/>
        <v>49671.7</v>
      </c>
    </row>
    <row r="285" spans="1:23" s="37" customFormat="1" ht="14.4" x14ac:dyDescent="0.3">
      <c r="A285" s="37">
        <v>60853</v>
      </c>
      <c r="B285" s="37" t="s">
        <v>3929</v>
      </c>
      <c r="C285" s="37">
        <v>901309622</v>
      </c>
      <c r="D285" s="37" t="s">
        <v>1423</v>
      </c>
      <c r="E285" s="37" t="s">
        <v>1424</v>
      </c>
      <c r="F285" s="37" t="s">
        <v>1424</v>
      </c>
      <c r="G285" s="37" t="s">
        <v>1425</v>
      </c>
      <c r="H285" s="37" t="s">
        <v>1426</v>
      </c>
      <c r="I285" s="37" t="s">
        <v>1427</v>
      </c>
      <c r="J285" s="37" t="s">
        <v>90</v>
      </c>
      <c r="K285" s="37" t="s">
        <v>179</v>
      </c>
      <c r="L285" s="37" t="s">
        <v>179</v>
      </c>
      <c r="M285" s="37">
        <v>54405</v>
      </c>
      <c r="N285" s="38" t="s">
        <v>416</v>
      </c>
      <c r="S285" s="23">
        <f>VLOOKUP(A285,Hoja1!A:D,4,0)</f>
        <v>1</v>
      </c>
      <c r="T285" s="26" t="str">
        <f>VLOOKUP(M285,[1]TIPOLOGIAS!$A:$F,4,0)</f>
        <v>CUCUTA</v>
      </c>
      <c r="U285" s="26" t="str">
        <f>VLOOKUP(T285,'BASE TARIFA 2025'!C:D,2,0)</f>
        <v>WOMPI SANTANDERES</v>
      </c>
      <c r="V285" s="27">
        <f>VLOOKUP(T285,'BASE TARIFA 2025'!C:F,3,0)</f>
        <v>49671.7</v>
      </c>
      <c r="W285" s="27">
        <f t="shared" si="4"/>
        <v>49671.7</v>
      </c>
    </row>
    <row r="286" spans="1:23" s="37" customFormat="1" ht="14.4" x14ac:dyDescent="0.3">
      <c r="A286" s="37">
        <v>62336</v>
      </c>
      <c r="B286" s="37" t="s">
        <v>3930</v>
      </c>
      <c r="C286" s="37">
        <v>1093784505</v>
      </c>
      <c r="D286" s="37" t="s">
        <v>1428</v>
      </c>
      <c r="E286" s="37" t="s">
        <v>1429</v>
      </c>
      <c r="F286" s="37" t="s">
        <v>1429</v>
      </c>
      <c r="G286" s="37" t="s">
        <v>1430</v>
      </c>
      <c r="H286" s="37" t="s">
        <v>1431</v>
      </c>
      <c r="I286" s="37" t="s">
        <v>1432</v>
      </c>
      <c r="J286" s="37" t="s">
        <v>74</v>
      </c>
      <c r="K286" s="37" t="s">
        <v>1433</v>
      </c>
      <c r="L286" s="37" t="s">
        <v>1433</v>
      </c>
      <c r="M286" s="37">
        <v>50350</v>
      </c>
      <c r="N286" s="38" t="s">
        <v>430</v>
      </c>
      <c r="S286" s="23">
        <f>VLOOKUP(A286,Hoja1!A:D,4,0)</f>
        <v>2</v>
      </c>
      <c r="T286" s="26" t="str">
        <f>VLOOKUP(M286,[1]TIPOLOGIAS!$A:$F,4,0)</f>
        <v>VILLAVICENCIO</v>
      </c>
      <c r="U286" s="26" t="str">
        <f>VLOOKUP(T286,'BASE TARIFA 2025'!C:D,2,0)</f>
        <v>WOMPI ORIENTE</v>
      </c>
      <c r="V286" s="27">
        <f>VLOOKUP(T286,'BASE TARIFA 2025'!C:F,3,0)</f>
        <v>49671.7</v>
      </c>
      <c r="W286" s="27">
        <f t="shared" si="4"/>
        <v>99343.4</v>
      </c>
    </row>
    <row r="287" spans="1:23" s="37" customFormat="1" ht="14.4" x14ac:dyDescent="0.3">
      <c r="A287" s="37">
        <v>61168</v>
      </c>
      <c r="B287" s="37" t="s">
        <v>3931</v>
      </c>
      <c r="C287" s="37">
        <v>900469704</v>
      </c>
      <c r="D287" s="37" t="s">
        <v>1434</v>
      </c>
      <c r="E287" s="37" t="s">
        <v>1435</v>
      </c>
      <c r="F287" s="37" t="s">
        <v>1435</v>
      </c>
      <c r="G287" s="37" t="s">
        <v>1436</v>
      </c>
      <c r="H287" s="37" t="s">
        <v>1437</v>
      </c>
      <c r="I287" s="37" t="s">
        <v>1438</v>
      </c>
      <c r="J287" s="37" t="s">
        <v>74</v>
      </c>
      <c r="K287" s="37" t="s">
        <v>1433</v>
      </c>
      <c r="L287" s="37" t="s">
        <v>1433</v>
      </c>
      <c r="M287" s="37">
        <v>50350</v>
      </c>
      <c r="N287" s="38" t="s">
        <v>841</v>
      </c>
      <c r="S287" s="23">
        <f>VLOOKUP(A287,Hoja1!A:D,4,0)</f>
        <v>2</v>
      </c>
      <c r="T287" s="26" t="str">
        <f>VLOOKUP(M287,[1]TIPOLOGIAS!$A:$F,4,0)</f>
        <v>VILLAVICENCIO</v>
      </c>
      <c r="U287" s="26" t="str">
        <f>VLOOKUP(T287,'BASE TARIFA 2025'!C:D,2,0)</f>
        <v>WOMPI ORIENTE</v>
      </c>
      <c r="V287" s="27">
        <f>VLOOKUP(T287,'BASE TARIFA 2025'!C:F,3,0)</f>
        <v>49671.7</v>
      </c>
      <c r="W287" s="27">
        <f t="shared" si="4"/>
        <v>99343.4</v>
      </c>
    </row>
    <row r="288" spans="1:23" s="37" customFormat="1" ht="14.4" x14ac:dyDescent="0.3">
      <c r="A288" s="37">
        <v>10276</v>
      </c>
      <c r="B288" s="37" t="s">
        <v>3932</v>
      </c>
      <c r="C288" s="37">
        <v>70165770</v>
      </c>
      <c r="D288" s="37" t="s">
        <v>1439</v>
      </c>
      <c r="E288" s="37" t="s">
        <v>1440</v>
      </c>
      <c r="F288" s="37" t="s">
        <v>1441</v>
      </c>
      <c r="G288" s="37" t="s">
        <v>1442</v>
      </c>
      <c r="H288" s="37" t="s">
        <v>1443</v>
      </c>
      <c r="I288" s="37" t="s">
        <v>1444</v>
      </c>
      <c r="J288" s="37" t="s">
        <v>74</v>
      </c>
      <c r="K288" s="37" t="s">
        <v>1433</v>
      </c>
      <c r="L288" s="37" t="s">
        <v>1433</v>
      </c>
      <c r="M288" s="37">
        <v>50350</v>
      </c>
      <c r="N288" s="38" t="s">
        <v>853</v>
      </c>
      <c r="S288" s="23">
        <f>VLOOKUP(A288,Hoja1!A:D,4,0)</f>
        <v>4</v>
      </c>
      <c r="T288" s="26" t="str">
        <f>VLOOKUP(M288,[1]TIPOLOGIAS!$A:$F,4,0)</f>
        <v>VILLAVICENCIO</v>
      </c>
      <c r="U288" s="26" t="str">
        <f>VLOOKUP(T288,'BASE TARIFA 2025'!C:D,2,0)</f>
        <v>WOMPI ORIENTE</v>
      </c>
      <c r="V288" s="27">
        <f>VLOOKUP(T288,'BASE TARIFA 2025'!C:F,3,0)</f>
        <v>49671.7</v>
      </c>
      <c r="W288" s="27">
        <f t="shared" si="4"/>
        <v>198686.8</v>
      </c>
    </row>
    <row r="289" spans="1:23" s="37" customFormat="1" ht="14.4" x14ac:dyDescent="0.3">
      <c r="A289" s="37">
        <v>13893</v>
      </c>
      <c r="B289" s="37" t="s">
        <v>3626</v>
      </c>
      <c r="C289" s="37">
        <v>43543460</v>
      </c>
      <c r="D289" s="37" t="s">
        <v>1439</v>
      </c>
      <c r="E289" s="37" t="s">
        <v>1440</v>
      </c>
      <c r="F289" s="37" t="s">
        <v>1441</v>
      </c>
      <c r="G289" s="37" t="s">
        <v>1445</v>
      </c>
      <c r="H289" s="37" t="s">
        <v>1446</v>
      </c>
      <c r="I289" s="37" t="s">
        <v>1447</v>
      </c>
      <c r="J289" s="37" t="s">
        <v>74</v>
      </c>
      <c r="K289" s="37" t="s">
        <v>1433</v>
      </c>
      <c r="L289" s="37" t="s">
        <v>1433</v>
      </c>
      <c r="M289" s="37">
        <v>50350</v>
      </c>
      <c r="N289" s="38" t="s">
        <v>853</v>
      </c>
      <c r="S289" s="23">
        <f>VLOOKUP(A289,Hoja1!A:D,4,0)</f>
        <v>2</v>
      </c>
      <c r="T289" s="26" t="str">
        <f>VLOOKUP(M289,[1]TIPOLOGIAS!$A:$F,4,0)</f>
        <v>VILLAVICENCIO</v>
      </c>
      <c r="U289" s="26" t="str">
        <f>VLOOKUP(T289,'BASE TARIFA 2025'!C:D,2,0)</f>
        <v>WOMPI ORIENTE</v>
      </c>
      <c r="V289" s="27">
        <f>VLOOKUP(T289,'BASE TARIFA 2025'!C:F,3,0)</f>
        <v>49671.7</v>
      </c>
      <c r="W289" s="27">
        <f t="shared" si="4"/>
        <v>99343.4</v>
      </c>
    </row>
    <row r="290" spans="1:23" s="37" customFormat="1" ht="14.4" x14ac:dyDescent="0.3">
      <c r="A290" s="37">
        <v>79675</v>
      </c>
      <c r="B290" s="37" t="s">
        <v>3933</v>
      </c>
      <c r="C290" s="37">
        <v>43988468</v>
      </c>
      <c r="E290" s="37" t="s">
        <v>1448</v>
      </c>
      <c r="F290" s="37" t="s">
        <v>1448</v>
      </c>
      <c r="G290" s="37" t="s">
        <v>1449</v>
      </c>
      <c r="H290" s="37" t="s">
        <v>1450</v>
      </c>
      <c r="I290" s="37" t="s">
        <v>1451</v>
      </c>
      <c r="J290" s="37" t="s">
        <v>74</v>
      </c>
      <c r="K290" s="37" t="s">
        <v>1433</v>
      </c>
      <c r="L290" s="37" t="s">
        <v>1433</v>
      </c>
      <c r="M290" s="37">
        <v>50350</v>
      </c>
      <c r="N290" s="38" t="s">
        <v>853</v>
      </c>
      <c r="S290" s="23">
        <f>VLOOKUP(A290,Hoja1!A:D,4,0)</f>
        <v>1</v>
      </c>
      <c r="T290" s="26" t="str">
        <f>VLOOKUP(M290,[1]TIPOLOGIAS!$A:$F,4,0)</f>
        <v>VILLAVICENCIO</v>
      </c>
      <c r="U290" s="26" t="str">
        <f>VLOOKUP(T290,'BASE TARIFA 2025'!C:D,2,0)</f>
        <v>WOMPI ORIENTE</v>
      </c>
      <c r="V290" s="27">
        <f>VLOOKUP(T290,'BASE TARIFA 2025'!C:F,3,0)</f>
        <v>49671.7</v>
      </c>
      <c r="W290" s="27">
        <f t="shared" si="4"/>
        <v>49671.7</v>
      </c>
    </row>
    <row r="291" spans="1:23" s="37" customFormat="1" ht="14.4" x14ac:dyDescent="0.3">
      <c r="A291" s="37">
        <v>59849</v>
      </c>
      <c r="B291" s="37" t="s">
        <v>3934</v>
      </c>
      <c r="C291" s="37">
        <v>1010108311</v>
      </c>
      <c r="D291" s="37" t="s">
        <v>67</v>
      </c>
      <c r="E291" s="37" t="s">
        <v>1452</v>
      </c>
      <c r="F291" s="37" t="s">
        <v>1452</v>
      </c>
      <c r="G291" s="37" t="s">
        <v>1453</v>
      </c>
      <c r="H291" s="37" t="s">
        <v>1454</v>
      </c>
      <c r="I291" s="37" t="s">
        <v>1455</v>
      </c>
      <c r="J291" s="37" t="s">
        <v>74</v>
      </c>
      <c r="K291" s="37" t="s">
        <v>1433</v>
      </c>
      <c r="L291" s="37" t="s">
        <v>1433</v>
      </c>
      <c r="M291" s="37">
        <v>50350</v>
      </c>
      <c r="N291" s="38" t="s">
        <v>430</v>
      </c>
      <c r="S291" s="23">
        <f>VLOOKUP(A291,Hoja1!A:D,4,0)</f>
        <v>2</v>
      </c>
      <c r="T291" s="26" t="str">
        <f>VLOOKUP(M291,[1]TIPOLOGIAS!$A:$F,4,0)</f>
        <v>VILLAVICENCIO</v>
      </c>
      <c r="U291" s="26" t="str">
        <f>VLOOKUP(T291,'BASE TARIFA 2025'!C:D,2,0)</f>
        <v>WOMPI ORIENTE</v>
      </c>
      <c r="V291" s="27">
        <f>VLOOKUP(T291,'BASE TARIFA 2025'!C:F,3,0)</f>
        <v>49671.7</v>
      </c>
      <c r="W291" s="27">
        <f t="shared" si="4"/>
        <v>99343.4</v>
      </c>
    </row>
    <row r="292" spans="1:23" s="37" customFormat="1" ht="14.4" x14ac:dyDescent="0.3">
      <c r="A292" s="37">
        <v>61055</v>
      </c>
      <c r="B292" s="37" t="s">
        <v>3935</v>
      </c>
      <c r="C292" s="37">
        <v>901302092</v>
      </c>
      <c r="D292" s="37" t="s">
        <v>67</v>
      </c>
      <c r="E292" s="37" t="s">
        <v>1456</v>
      </c>
      <c r="F292" s="37" t="s">
        <v>1457</v>
      </c>
      <c r="G292" s="37" t="s">
        <v>1458</v>
      </c>
      <c r="H292" s="37" t="s">
        <v>1459</v>
      </c>
      <c r="I292" s="37" t="s">
        <v>1460</v>
      </c>
      <c r="J292" s="37" t="s">
        <v>74</v>
      </c>
      <c r="K292" s="37" t="s">
        <v>1433</v>
      </c>
      <c r="L292" s="37" t="s">
        <v>1433</v>
      </c>
      <c r="M292" s="37">
        <v>50350</v>
      </c>
      <c r="N292" s="38" t="s">
        <v>853</v>
      </c>
      <c r="S292" s="23">
        <f>VLOOKUP(A292,Hoja1!A:D,4,0)</f>
        <v>2</v>
      </c>
      <c r="T292" s="26" t="str">
        <f>VLOOKUP(M292,[1]TIPOLOGIAS!$A:$F,4,0)</f>
        <v>VILLAVICENCIO</v>
      </c>
      <c r="U292" s="26" t="str">
        <f>VLOOKUP(T292,'BASE TARIFA 2025'!C:D,2,0)</f>
        <v>WOMPI ORIENTE</v>
      </c>
      <c r="V292" s="27">
        <f>VLOOKUP(T292,'BASE TARIFA 2025'!C:F,3,0)</f>
        <v>49671.7</v>
      </c>
      <c r="W292" s="27">
        <f t="shared" si="4"/>
        <v>99343.4</v>
      </c>
    </row>
    <row r="293" spans="1:23" s="37" customFormat="1" ht="14.4" x14ac:dyDescent="0.3">
      <c r="A293" s="37">
        <v>57800</v>
      </c>
      <c r="B293" s="37" t="s">
        <v>3936</v>
      </c>
      <c r="C293" s="37">
        <v>88256139</v>
      </c>
      <c r="D293" s="37" t="s">
        <v>1461</v>
      </c>
      <c r="E293" s="37" t="s">
        <v>1462</v>
      </c>
      <c r="F293" s="37" t="s">
        <v>1462</v>
      </c>
      <c r="G293" s="37" t="s">
        <v>1463</v>
      </c>
      <c r="H293" s="37" t="s">
        <v>1464</v>
      </c>
      <c r="I293" s="37" t="s">
        <v>1465</v>
      </c>
      <c r="J293" s="37" t="s">
        <v>74</v>
      </c>
      <c r="K293" s="37" t="s">
        <v>1433</v>
      </c>
      <c r="L293" s="37" t="s">
        <v>1433</v>
      </c>
      <c r="M293" s="37">
        <v>50350</v>
      </c>
      <c r="N293" s="38" t="s">
        <v>853</v>
      </c>
      <c r="S293" s="23">
        <f>VLOOKUP(A293,Hoja1!A:D,4,0)</f>
        <v>1</v>
      </c>
      <c r="T293" s="26" t="str">
        <f>VLOOKUP(M293,[1]TIPOLOGIAS!$A:$F,4,0)</f>
        <v>VILLAVICENCIO</v>
      </c>
      <c r="U293" s="26" t="str">
        <f>VLOOKUP(T293,'BASE TARIFA 2025'!C:D,2,0)</f>
        <v>WOMPI ORIENTE</v>
      </c>
      <c r="V293" s="27">
        <f>VLOOKUP(T293,'BASE TARIFA 2025'!C:F,3,0)</f>
        <v>49671.7</v>
      </c>
      <c r="W293" s="27">
        <f t="shared" si="4"/>
        <v>49671.7</v>
      </c>
    </row>
    <row r="294" spans="1:23" s="37" customFormat="1" ht="14.4" x14ac:dyDescent="0.3">
      <c r="A294" s="37">
        <v>57801</v>
      </c>
      <c r="B294" s="37" t="s">
        <v>3937</v>
      </c>
      <c r="C294" s="37">
        <v>88267282</v>
      </c>
      <c r="D294" s="37" t="s">
        <v>1466</v>
      </c>
      <c r="E294" s="37" t="s">
        <v>1466</v>
      </c>
      <c r="F294" s="37" t="s">
        <v>1466</v>
      </c>
      <c r="G294" s="37" t="s">
        <v>1467</v>
      </c>
      <c r="H294" s="37" t="s">
        <v>1468</v>
      </c>
      <c r="I294" s="37" t="s">
        <v>1469</v>
      </c>
      <c r="J294" s="37" t="s">
        <v>74</v>
      </c>
      <c r="K294" s="37" t="s">
        <v>1433</v>
      </c>
      <c r="L294" s="37" t="s">
        <v>1433</v>
      </c>
      <c r="M294" s="37">
        <v>50350</v>
      </c>
      <c r="N294" s="38" t="s">
        <v>853</v>
      </c>
      <c r="S294" s="23">
        <f>VLOOKUP(A294,Hoja1!A:D,4,0)</f>
        <v>1</v>
      </c>
      <c r="T294" s="26" t="str">
        <f>VLOOKUP(M294,[1]TIPOLOGIAS!$A:$F,4,0)</f>
        <v>VILLAVICENCIO</v>
      </c>
      <c r="U294" s="26" t="str">
        <f>VLOOKUP(T294,'BASE TARIFA 2025'!C:D,2,0)</f>
        <v>WOMPI ORIENTE</v>
      </c>
      <c r="V294" s="27">
        <f>VLOOKUP(T294,'BASE TARIFA 2025'!C:F,3,0)</f>
        <v>49671.7</v>
      </c>
      <c r="W294" s="27">
        <f t="shared" si="4"/>
        <v>49671.7</v>
      </c>
    </row>
    <row r="295" spans="1:23" s="37" customFormat="1" ht="14.4" x14ac:dyDescent="0.3">
      <c r="A295" s="37">
        <v>56733</v>
      </c>
      <c r="B295" s="37" t="s">
        <v>3938</v>
      </c>
      <c r="C295" s="37">
        <v>17689210</v>
      </c>
      <c r="D295" s="37" t="s">
        <v>1470</v>
      </c>
      <c r="E295" s="37" t="s">
        <v>1470</v>
      </c>
      <c r="F295" s="37" t="s">
        <v>1470</v>
      </c>
      <c r="G295" s="37" t="s">
        <v>1471</v>
      </c>
      <c r="H295" s="37" t="s">
        <v>1472</v>
      </c>
      <c r="I295" s="37" t="s">
        <v>1473</v>
      </c>
      <c r="J295" s="37" t="s">
        <v>74</v>
      </c>
      <c r="K295" s="37" t="s">
        <v>1433</v>
      </c>
      <c r="L295" s="37" t="s">
        <v>1433</v>
      </c>
      <c r="M295" s="37">
        <v>50350</v>
      </c>
      <c r="N295" s="38" t="s">
        <v>430</v>
      </c>
      <c r="S295" s="23">
        <f>VLOOKUP(A295,Hoja1!A:D,4,0)</f>
        <v>1</v>
      </c>
      <c r="T295" s="26" t="str">
        <f>VLOOKUP(M295,[1]TIPOLOGIAS!$A:$F,4,0)</f>
        <v>VILLAVICENCIO</v>
      </c>
      <c r="U295" s="26" t="str">
        <f>VLOOKUP(T295,'BASE TARIFA 2025'!C:D,2,0)</f>
        <v>WOMPI ORIENTE</v>
      </c>
      <c r="V295" s="27">
        <f>VLOOKUP(T295,'BASE TARIFA 2025'!C:F,3,0)</f>
        <v>49671.7</v>
      </c>
      <c r="W295" s="27">
        <f t="shared" si="4"/>
        <v>49671.7</v>
      </c>
    </row>
    <row r="296" spans="1:23" s="37" customFormat="1" ht="14.4" x14ac:dyDescent="0.3">
      <c r="A296" s="37">
        <v>57385</v>
      </c>
      <c r="B296" s="37" t="s">
        <v>3939</v>
      </c>
      <c r="C296" s="37">
        <v>1090405165</v>
      </c>
      <c r="D296" s="37" t="s">
        <v>1474</v>
      </c>
      <c r="E296" s="37" t="s">
        <v>1474</v>
      </c>
      <c r="F296" s="37" t="s">
        <v>1475</v>
      </c>
      <c r="G296" s="37" t="s">
        <v>1476</v>
      </c>
      <c r="H296" s="37" t="s">
        <v>1477</v>
      </c>
      <c r="I296" s="37" t="s">
        <v>1478</v>
      </c>
      <c r="J296" s="37" t="s">
        <v>90</v>
      </c>
      <c r="K296" s="37" t="s">
        <v>1479</v>
      </c>
      <c r="L296" s="37" t="s">
        <v>1479</v>
      </c>
      <c r="M296" s="37">
        <v>54673</v>
      </c>
      <c r="N296" s="38" t="s">
        <v>324</v>
      </c>
      <c r="S296" s="23">
        <f>VLOOKUP(A296,Hoja1!A:D,4,0)</f>
        <v>1</v>
      </c>
      <c r="T296" s="26" t="str">
        <f>VLOOKUP(M296,[1]TIPOLOGIAS!$A:$F,4,0)</f>
        <v>CUCUTA</v>
      </c>
      <c r="U296" s="26" t="str">
        <f>VLOOKUP(T296,'BASE TARIFA 2025'!C:D,2,0)</f>
        <v>WOMPI SANTANDERES</v>
      </c>
      <c r="V296" s="27">
        <f>VLOOKUP(T296,'BASE TARIFA 2025'!C:F,3,0)</f>
        <v>49671.7</v>
      </c>
      <c r="W296" s="27">
        <f t="shared" si="4"/>
        <v>49671.7</v>
      </c>
    </row>
    <row r="297" spans="1:23" s="37" customFormat="1" ht="14.4" x14ac:dyDescent="0.3">
      <c r="A297" s="37">
        <v>54462</v>
      </c>
      <c r="B297" s="37" t="s">
        <v>3940</v>
      </c>
      <c r="C297" s="37">
        <v>1090442723</v>
      </c>
      <c r="D297" s="37" t="s">
        <v>70</v>
      </c>
      <c r="E297" s="37" t="s">
        <v>1480</v>
      </c>
      <c r="F297" s="37" t="s">
        <v>1480</v>
      </c>
      <c r="G297" s="37" t="s">
        <v>1481</v>
      </c>
      <c r="H297" s="37" t="s">
        <v>1482</v>
      </c>
      <c r="I297" s="37" t="s">
        <v>1483</v>
      </c>
      <c r="J297" s="37" t="s">
        <v>92</v>
      </c>
      <c r="K297" s="37" t="s">
        <v>162</v>
      </c>
      <c r="L297" s="37" t="s">
        <v>162</v>
      </c>
      <c r="M297" s="37">
        <v>68190</v>
      </c>
      <c r="N297" s="38" t="s">
        <v>480</v>
      </c>
      <c r="S297" s="23">
        <f>VLOOKUP(A297,Hoja1!A:D,4,0)</f>
        <v>2</v>
      </c>
      <c r="T297" s="26" t="str">
        <f>VLOOKUP(M297,[1]TIPOLOGIAS!$A:$F,4,0)</f>
        <v>BUCARAMANGA</v>
      </c>
      <c r="U297" s="26" t="str">
        <f>VLOOKUP(T297,'BASE TARIFA 2025'!C:D,2,0)</f>
        <v>WOMPI SANTANDERES</v>
      </c>
      <c r="V297" s="27">
        <f>VLOOKUP(T297,'BASE TARIFA 2025'!C:F,3,0)</f>
        <v>37313</v>
      </c>
      <c r="W297" s="27">
        <f t="shared" si="4"/>
        <v>74626</v>
      </c>
    </row>
    <row r="298" spans="1:23" s="37" customFormat="1" ht="14.4" x14ac:dyDescent="0.3">
      <c r="A298" s="37">
        <v>14827</v>
      </c>
      <c r="B298" s="37" t="s">
        <v>3941</v>
      </c>
      <c r="C298" s="37">
        <v>900490352</v>
      </c>
      <c r="D298" s="37" t="s">
        <v>1484</v>
      </c>
      <c r="E298" s="37" t="s">
        <v>1484</v>
      </c>
      <c r="F298" s="37" t="s">
        <v>1484</v>
      </c>
      <c r="G298" s="37" t="s">
        <v>1485</v>
      </c>
      <c r="H298" s="37" t="s">
        <v>1486</v>
      </c>
      <c r="I298" s="37" t="s">
        <v>1487</v>
      </c>
      <c r="J298" s="37" t="s">
        <v>90</v>
      </c>
      <c r="K298" s="37" t="s">
        <v>91</v>
      </c>
      <c r="L298" s="37" t="s">
        <v>91</v>
      </c>
      <c r="M298" s="37">
        <v>54261</v>
      </c>
      <c r="N298" s="38" t="s">
        <v>324</v>
      </c>
      <c r="S298" s="23">
        <f>VLOOKUP(A298,Hoja1!A:D,4,0)</f>
        <v>1</v>
      </c>
      <c r="T298" s="26" t="str">
        <f>VLOOKUP(M298,[1]TIPOLOGIAS!$A:$F,4,0)</f>
        <v>CUCUTA</v>
      </c>
      <c r="U298" s="26" t="str">
        <f>VLOOKUP(T298,'BASE TARIFA 2025'!C:D,2,0)</f>
        <v>WOMPI SANTANDERES</v>
      </c>
      <c r="V298" s="27">
        <f>VLOOKUP(T298,'BASE TARIFA 2025'!C:F,3,0)</f>
        <v>49671.7</v>
      </c>
      <c r="W298" s="27">
        <f t="shared" si="4"/>
        <v>49671.7</v>
      </c>
    </row>
    <row r="299" spans="1:23" s="37" customFormat="1" ht="14.4" x14ac:dyDescent="0.3">
      <c r="A299" s="37">
        <v>79335</v>
      </c>
      <c r="B299" s="37" t="s">
        <v>3942</v>
      </c>
      <c r="C299" s="37">
        <v>1037610706</v>
      </c>
      <c r="D299" s="37" t="s">
        <v>1488</v>
      </c>
      <c r="E299" s="37" t="s">
        <v>1488</v>
      </c>
      <c r="F299" s="37" t="s">
        <v>1488</v>
      </c>
      <c r="G299" s="37" t="s">
        <v>1489</v>
      </c>
      <c r="H299" s="37" t="s">
        <v>1490</v>
      </c>
      <c r="I299" s="37" t="s">
        <v>1491</v>
      </c>
      <c r="J299" s="37" t="s">
        <v>90</v>
      </c>
      <c r="K299" s="37" t="s">
        <v>98</v>
      </c>
      <c r="L299" s="37" t="s">
        <v>98</v>
      </c>
      <c r="M299" s="37">
        <v>54518</v>
      </c>
      <c r="N299" s="38" t="s">
        <v>322</v>
      </c>
      <c r="S299" s="23">
        <f>VLOOKUP(A299,Hoja1!A:D,4,0)</f>
        <v>2</v>
      </c>
      <c r="T299" s="26" t="str">
        <f>VLOOKUP(M299,[1]TIPOLOGIAS!$A:$F,4,0)</f>
        <v>CUCUTA</v>
      </c>
      <c r="U299" s="26" t="str">
        <f>VLOOKUP(T299,'BASE TARIFA 2025'!C:D,2,0)</f>
        <v>WOMPI SANTANDERES</v>
      </c>
      <c r="V299" s="27">
        <f>VLOOKUP(T299,'BASE TARIFA 2025'!C:F,3,0)</f>
        <v>49671.7</v>
      </c>
      <c r="W299" s="27">
        <f t="shared" si="4"/>
        <v>99343.4</v>
      </c>
    </row>
    <row r="300" spans="1:23" s="37" customFormat="1" ht="14.4" x14ac:dyDescent="0.3">
      <c r="A300" s="37">
        <v>76333</v>
      </c>
      <c r="B300" s="37" t="s">
        <v>3943</v>
      </c>
      <c r="C300" s="37">
        <v>1037975475</v>
      </c>
      <c r="D300" s="37" t="s">
        <v>1492</v>
      </c>
      <c r="E300" s="37" t="s">
        <v>1492</v>
      </c>
      <c r="F300" s="37" t="s">
        <v>1492</v>
      </c>
      <c r="G300" s="37" t="s">
        <v>1493</v>
      </c>
      <c r="H300" s="37" t="s">
        <v>1494</v>
      </c>
      <c r="I300" s="37" t="s">
        <v>1495</v>
      </c>
      <c r="J300" s="37" t="s">
        <v>90</v>
      </c>
      <c r="K300" s="37" t="s">
        <v>98</v>
      </c>
      <c r="L300" s="37" t="s">
        <v>98</v>
      </c>
      <c r="M300" s="37">
        <v>54518</v>
      </c>
      <c r="N300" s="38" t="s">
        <v>322</v>
      </c>
      <c r="S300" s="23">
        <f>VLOOKUP(A300,Hoja1!A:D,4,0)</f>
        <v>2</v>
      </c>
      <c r="T300" s="26" t="str">
        <f>VLOOKUP(M300,[1]TIPOLOGIAS!$A:$F,4,0)</f>
        <v>CUCUTA</v>
      </c>
      <c r="U300" s="26" t="str">
        <f>VLOOKUP(T300,'BASE TARIFA 2025'!C:D,2,0)</f>
        <v>WOMPI SANTANDERES</v>
      </c>
      <c r="V300" s="27">
        <f>VLOOKUP(T300,'BASE TARIFA 2025'!C:F,3,0)</f>
        <v>49671.7</v>
      </c>
      <c r="W300" s="27">
        <f t="shared" si="4"/>
        <v>99343.4</v>
      </c>
    </row>
    <row r="301" spans="1:23" s="37" customFormat="1" ht="14.4" x14ac:dyDescent="0.3">
      <c r="A301" s="37">
        <v>76077</v>
      </c>
      <c r="B301" s="37" t="s">
        <v>3656</v>
      </c>
      <c r="C301" s="37">
        <v>901345153</v>
      </c>
      <c r="D301" s="37" t="s">
        <v>1496</v>
      </c>
      <c r="E301" s="37" t="s">
        <v>1496</v>
      </c>
      <c r="F301" s="37" t="s">
        <v>1496</v>
      </c>
      <c r="G301" s="37" t="s">
        <v>1497</v>
      </c>
      <c r="H301" s="37" t="s">
        <v>1498</v>
      </c>
      <c r="I301" s="37" t="s">
        <v>1499</v>
      </c>
      <c r="J301" s="37" t="s">
        <v>90</v>
      </c>
      <c r="K301" s="37" t="s">
        <v>98</v>
      </c>
      <c r="L301" s="37" t="s">
        <v>98</v>
      </c>
      <c r="M301" s="37">
        <v>54518</v>
      </c>
      <c r="N301" s="38" t="s">
        <v>322</v>
      </c>
      <c r="S301" s="23">
        <f>VLOOKUP(A301,Hoja1!A:D,4,0)</f>
        <v>2</v>
      </c>
      <c r="T301" s="26" t="str">
        <f>VLOOKUP(M301,[1]TIPOLOGIAS!$A:$F,4,0)</f>
        <v>CUCUTA</v>
      </c>
      <c r="U301" s="26" t="str">
        <f>VLOOKUP(T301,'BASE TARIFA 2025'!C:D,2,0)</f>
        <v>WOMPI SANTANDERES</v>
      </c>
      <c r="V301" s="27">
        <f>VLOOKUP(T301,'BASE TARIFA 2025'!C:F,3,0)</f>
        <v>49671.7</v>
      </c>
      <c r="W301" s="27">
        <f t="shared" si="4"/>
        <v>99343.4</v>
      </c>
    </row>
    <row r="302" spans="1:23" s="37" customFormat="1" ht="14.4" x14ac:dyDescent="0.3">
      <c r="A302" s="37">
        <v>54085</v>
      </c>
      <c r="B302" s="37" t="s">
        <v>3944</v>
      </c>
      <c r="C302" s="37">
        <v>88264206</v>
      </c>
      <c r="D302" s="37" t="s">
        <v>1500</v>
      </c>
      <c r="E302" s="37" t="s">
        <v>1500</v>
      </c>
      <c r="F302" s="37" t="s">
        <v>1501</v>
      </c>
      <c r="G302" s="37" t="s">
        <v>1502</v>
      </c>
      <c r="H302" s="37" t="s">
        <v>1503</v>
      </c>
      <c r="I302" s="37" t="s">
        <v>1504</v>
      </c>
      <c r="J302" s="37" t="s">
        <v>104</v>
      </c>
      <c r="K302" s="37" t="s">
        <v>180</v>
      </c>
      <c r="L302" s="37" t="s">
        <v>180</v>
      </c>
      <c r="M302" s="37">
        <v>63130</v>
      </c>
      <c r="N302" s="38" t="s">
        <v>320</v>
      </c>
      <c r="S302" s="23">
        <f>VLOOKUP(A302,Hoja1!A:D,4,0)</f>
        <v>2</v>
      </c>
      <c r="T302" s="26" t="str">
        <f>VLOOKUP(M302,[1]TIPOLOGIAS!$A:$F,4,0)</f>
        <v>PEREIRA</v>
      </c>
      <c r="U302" s="26" t="str">
        <f>VLOOKUP(T302,'BASE TARIFA 2025'!C:D,2,0)</f>
        <v>WOMPI EJE CAFETERO</v>
      </c>
      <c r="V302" s="27">
        <f>VLOOKUP(T302,'BASE TARIFA 2025'!C:F,3,0)</f>
        <v>37313</v>
      </c>
      <c r="W302" s="27">
        <f t="shared" si="4"/>
        <v>74626</v>
      </c>
    </row>
    <row r="303" spans="1:23" s="37" customFormat="1" ht="14.4" x14ac:dyDescent="0.3">
      <c r="A303" s="37">
        <v>54090</v>
      </c>
      <c r="B303" s="37" t="s">
        <v>3945</v>
      </c>
      <c r="C303" s="37">
        <v>1093742309</v>
      </c>
      <c r="D303" s="37" t="s">
        <v>1505</v>
      </c>
      <c r="E303" s="37" t="s">
        <v>1505</v>
      </c>
      <c r="F303" s="37" t="s">
        <v>1505</v>
      </c>
      <c r="G303" s="37" t="s">
        <v>1506</v>
      </c>
      <c r="H303" s="37" t="s">
        <v>1507</v>
      </c>
      <c r="I303" s="37" t="s">
        <v>1508</v>
      </c>
      <c r="J303" s="37" t="s">
        <v>104</v>
      </c>
      <c r="K303" s="37" t="s">
        <v>180</v>
      </c>
      <c r="L303" s="37" t="s">
        <v>180</v>
      </c>
      <c r="M303" s="37">
        <v>63130</v>
      </c>
      <c r="N303" s="38" t="s">
        <v>320</v>
      </c>
      <c r="S303" s="23">
        <f>VLOOKUP(A303,Hoja1!A:D,4,0)</f>
        <v>2</v>
      </c>
      <c r="T303" s="26" t="str">
        <f>VLOOKUP(M303,[1]TIPOLOGIAS!$A:$F,4,0)</f>
        <v>PEREIRA</v>
      </c>
      <c r="U303" s="26" t="str">
        <f>VLOOKUP(T303,'BASE TARIFA 2025'!C:D,2,0)</f>
        <v>WOMPI EJE CAFETERO</v>
      </c>
      <c r="V303" s="27">
        <f>VLOOKUP(T303,'BASE TARIFA 2025'!C:F,3,0)</f>
        <v>37313</v>
      </c>
      <c r="W303" s="27">
        <f t="shared" si="4"/>
        <v>74626</v>
      </c>
    </row>
    <row r="304" spans="1:23" s="37" customFormat="1" ht="14.4" x14ac:dyDescent="0.3">
      <c r="A304" s="37">
        <v>53534</v>
      </c>
      <c r="B304" s="37" t="s">
        <v>3946</v>
      </c>
      <c r="C304" s="37">
        <v>1090476322</v>
      </c>
      <c r="D304" s="37" t="s">
        <v>1509</v>
      </c>
      <c r="E304" s="37" t="s">
        <v>1510</v>
      </c>
      <c r="F304" s="37" t="s">
        <v>1510</v>
      </c>
      <c r="G304" s="37" t="s">
        <v>1511</v>
      </c>
      <c r="H304" s="37" t="s">
        <v>1512</v>
      </c>
      <c r="I304" s="37" t="s">
        <v>1513</v>
      </c>
      <c r="J304" s="37" t="s">
        <v>92</v>
      </c>
      <c r="K304" s="37" t="s">
        <v>1514</v>
      </c>
      <c r="L304" s="37" t="s">
        <v>1514</v>
      </c>
      <c r="M304" s="37">
        <v>68235</v>
      </c>
      <c r="N304" s="38" t="s">
        <v>325</v>
      </c>
      <c r="S304" s="23">
        <f>VLOOKUP(A304,Hoja1!A:D,4,0)</f>
        <v>2</v>
      </c>
      <c r="T304" s="26" t="str">
        <f>VLOOKUP(M304,[1]TIPOLOGIAS!$A:$F,4,0)</f>
        <v>BUCARAMANGA</v>
      </c>
      <c r="U304" s="26" t="str">
        <f>VLOOKUP(T304,'BASE TARIFA 2025'!C:D,2,0)</f>
        <v>WOMPI SANTANDERES</v>
      </c>
      <c r="V304" s="27">
        <f>VLOOKUP(T304,'BASE TARIFA 2025'!C:F,3,0)</f>
        <v>37313</v>
      </c>
      <c r="W304" s="27">
        <f t="shared" si="4"/>
        <v>74626</v>
      </c>
    </row>
    <row r="305" spans="1:23" s="37" customFormat="1" ht="14.4" x14ac:dyDescent="0.3">
      <c r="A305" s="37">
        <v>53414</v>
      </c>
      <c r="B305" s="37" t="s">
        <v>3947</v>
      </c>
      <c r="C305" s="37">
        <v>1093803053</v>
      </c>
      <c r="D305" s="37" t="s">
        <v>207</v>
      </c>
      <c r="E305" s="37" t="s">
        <v>1515</v>
      </c>
      <c r="F305" s="37" t="s">
        <v>1515</v>
      </c>
      <c r="G305" s="37" t="s">
        <v>1516</v>
      </c>
      <c r="H305" s="37" t="s">
        <v>1517</v>
      </c>
      <c r="I305" s="37" t="s">
        <v>1518</v>
      </c>
      <c r="J305" s="37" t="s">
        <v>92</v>
      </c>
      <c r="K305" s="37" t="s">
        <v>1514</v>
      </c>
      <c r="L305" s="37" t="s">
        <v>1514</v>
      </c>
      <c r="M305" s="37">
        <v>68235</v>
      </c>
      <c r="N305" s="38" t="s">
        <v>325</v>
      </c>
      <c r="S305" s="23">
        <f>VLOOKUP(A305,Hoja1!A:D,4,0)</f>
        <v>3</v>
      </c>
      <c r="T305" s="26" t="str">
        <f>VLOOKUP(M305,[1]TIPOLOGIAS!$A:$F,4,0)</f>
        <v>BUCARAMANGA</v>
      </c>
      <c r="U305" s="26" t="str">
        <f>VLOOKUP(T305,'BASE TARIFA 2025'!C:D,2,0)</f>
        <v>WOMPI SANTANDERES</v>
      </c>
      <c r="V305" s="27">
        <f>VLOOKUP(T305,'BASE TARIFA 2025'!C:F,3,0)</f>
        <v>37313</v>
      </c>
      <c r="W305" s="27">
        <f t="shared" si="4"/>
        <v>111939</v>
      </c>
    </row>
    <row r="306" spans="1:23" s="37" customFormat="1" ht="14.4" x14ac:dyDescent="0.3">
      <c r="A306" s="37">
        <v>51430</v>
      </c>
      <c r="B306" s="37" t="s">
        <v>3948</v>
      </c>
      <c r="C306" s="37">
        <v>37277961</v>
      </c>
      <c r="D306" s="37" t="s">
        <v>196</v>
      </c>
      <c r="E306" s="37" t="s">
        <v>1519</v>
      </c>
      <c r="F306" s="37" t="s">
        <v>1519</v>
      </c>
      <c r="G306" s="37" t="s">
        <v>1520</v>
      </c>
      <c r="H306" s="37" t="s">
        <v>1521</v>
      </c>
      <c r="I306" s="37" t="s">
        <v>1522</v>
      </c>
      <c r="J306" s="37" t="s">
        <v>92</v>
      </c>
      <c r="K306" s="37" t="s">
        <v>1514</v>
      </c>
      <c r="L306" s="37" t="s">
        <v>1514</v>
      </c>
      <c r="M306" s="37">
        <v>68235</v>
      </c>
      <c r="N306" s="38" t="s">
        <v>485</v>
      </c>
      <c r="S306" s="23">
        <f>VLOOKUP(A306,Hoja1!A:D,4,0)</f>
        <v>2</v>
      </c>
      <c r="T306" s="26" t="str">
        <f>VLOOKUP(M306,[1]TIPOLOGIAS!$A:$F,4,0)</f>
        <v>BUCARAMANGA</v>
      </c>
      <c r="U306" s="26" t="str">
        <f>VLOOKUP(T306,'BASE TARIFA 2025'!C:D,2,0)</f>
        <v>WOMPI SANTANDERES</v>
      </c>
      <c r="V306" s="27">
        <f>VLOOKUP(T306,'BASE TARIFA 2025'!C:F,3,0)</f>
        <v>37313</v>
      </c>
      <c r="W306" s="27">
        <f t="shared" si="4"/>
        <v>74626</v>
      </c>
    </row>
    <row r="307" spans="1:23" s="37" customFormat="1" ht="14.4" x14ac:dyDescent="0.3">
      <c r="A307" s="37">
        <v>50858</v>
      </c>
      <c r="B307" s="37" t="s">
        <v>3949</v>
      </c>
      <c r="C307" s="37">
        <v>900576569</v>
      </c>
      <c r="D307" s="37" t="s">
        <v>1523</v>
      </c>
      <c r="E307" s="37" t="s">
        <v>1524</v>
      </c>
      <c r="F307" s="37" t="s">
        <v>1524</v>
      </c>
      <c r="G307" s="37" t="s">
        <v>1525</v>
      </c>
      <c r="H307" s="37" t="s">
        <v>1526</v>
      </c>
      <c r="I307" s="37" t="s">
        <v>1527</v>
      </c>
      <c r="J307" s="37" t="s">
        <v>92</v>
      </c>
      <c r="K307" s="37" t="s">
        <v>1514</v>
      </c>
      <c r="L307" s="37" t="s">
        <v>1514</v>
      </c>
      <c r="M307" s="37">
        <v>68235</v>
      </c>
      <c r="N307" s="38" t="s">
        <v>485</v>
      </c>
      <c r="S307" s="23">
        <f>VLOOKUP(A307,Hoja1!A:D,4,0)</f>
        <v>1</v>
      </c>
      <c r="T307" s="26" t="str">
        <f>VLOOKUP(M307,[1]TIPOLOGIAS!$A:$F,4,0)</f>
        <v>BUCARAMANGA</v>
      </c>
      <c r="U307" s="26" t="str">
        <f>VLOOKUP(T307,'BASE TARIFA 2025'!C:D,2,0)</f>
        <v>WOMPI SANTANDERES</v>
      </c>
      <c r="V307" s="27">
        <f>VLOOKUP(T307,'BASE TARIFA 2025'!C:F,3,0)</f>
        <v>37313</v>
      </c>
      <c r="W307" s="27">
        <f t="shared" si="4"/>
        <v>37313</v>
      </c>
    </row>
    <row r="308" spans="1:23" s="37" customFormat="1" ht="14.4" x14ac:dyDescent="0.3">
      <c r="A308" s="37">
        <v>73715</v>
      </c>
      <c r="B308" s="37" t="s">
        <v>3950</v>
      </c>
      <c r="C308" s="37">
        <v>8417090</v>
      </c>
      <c r="D308" s="37" t="s">
        <v>1528</v>
      </c>
      <c r="E308" s="37" t="s">
        <v>1529</v>
      </c>
      <c r="F308" s="37" t="s">
        <v>1529</v>
      </c>
      <c r="G308" s="37" t="s">
        <v>1530</v>
      </c>
      <c r="H308" s="37" t="s">
        <v>1531</v>
      </c>
      <c r="I308" s="37" t="s">
        <v>1532</v>
      </c>
      <c r="J308" s="37" t="s">
        <v>92</v>
      </c>
      <c r="K308" s="37" t="s">
        <v>1514</v>
      </c>
      <c r="L308" s="37" t="s">
        <v>1514</v>
      </c>
      <c r="M308" s="37">
        <v>68235</v>
      </c>
      <c r="N308" s="38" t="s">
        <v>325</v>
      </c>
      <c r="S308" s="23">
        <f>VLOOKUP(A308,Hoja1!A:D,4,0)</f>
        <v>2</v>
      </c>
      <c r="T308" s="26" t="str">
        <f>VLOOKUP(M308,[1]TIPOLOGIAS!$A:$F,4,0)</f>
        <v>BUCARAMANGA</v>
      </c>
      <c r="U308" s="26" t="str">
        <f>VLOOKUP(T308,'BASE TARIFA 2025'!C:D,2,0)</f>
        <v>WOMPI SANTANDERES</v>
      </c>
      <c r="V308" s="27">
        <f>VLOOKUP(T308,'BASE TARIFA 2025'!C:F,3,0)</f>
        <v>37313</v>
      </c>
      <c r="W308" s="27">
        <f t="shared" si="4"/>
        <v>74626</v>
      </c>
    </row>
    <row r="309" spans="1:23" s="37" customFormat="1" ht="14.4" x14ac:dyDescent="0.3">
      <c r="A309" s="37">
        <v>49789</v>
      </c>
      <c r="B309" s="37" t="s">
        <v>3951</v>
      </c>
      <c r="C309" s="37">
        <v>1004942973</v>
      </c>
      <c r="D309" s="37" t="s">
        <v>1533</v>
      </c>
      <c r="E309" s="37" t="s">
        <v>1533</v>
      </c>
      <c r="F309" s="37" t="s">
        <v>1534</v>
      </c>
      <c r="G309" s="37" t="s">
        <v>1535</v>
      </c>
      <c r="H309" s="37" t="s">
        <v>1517</v>
      </c>
      <c r="I309" s="37" t="s">
        <v>1518</v>
      </c>
      <c r="J309" s="37" t="s">
        <v>92</v>
      </c>
      <c r="K309" s="37" t="s">
        <v>1514</v>
      </c>
      <c r="L309" s="37" t="s">
        <v>1514</v>
      </c>
      <c r="M309" s="37">
        <v>68235</v>
      </c>
      <c r="N309" s="38" t="s">
        <v>485</v>
      </c>
      <c r="S309" s="23">
        <f>VLOOKUP(A309,Hoja1!A:D,4,0)</f>
        <v>2</v>
      </c>
      <c r="T309" s="26" t="str">
        <f>VLOOKUP(M309,[1]TIPOLOGIAS!$A:$F,4,0)</f>
        <v>BUCARAMANGA</v>
      </c>
      <c r="U309" s="26" t="str">
        <f>VLOOKUP(T309,'BASE TARIFA 2025'!C:D,2,0)</f>
        <v>WOMPI SANTANDERES</v>
      </c>
      <c r="V309" s="27">
        <f>VLOOKUP(T309,'BASE TARIFA 2025'!C:F,3,0)</f>
        <v>37313</v>
      </c>
      <c r="W309" s="27">
        <f t="shared" si="4"/>
        <v>74626</v>
      </c>
    </row>
    <row r="310" spans="1:23" s="37" customFormat="1" ht="14.4" x14ac:dyDescent="0.3">
      <c r="A310" s="37">
        <v>47310</v>
      </c>
      <c r="B310" s="37" t="s">
        <v>3952</v>
      </c>
      <c r="C310" s="37">
        <v>13338147</v>
      </c>
      <c r="D310" s="37" t="s">
        <v>1536</v>
      </c>
      <c r="E310" s="37" t="s">
        <v>1536</v>
      </c>
      <c r="F310" s="37" t="s">
        <v>1537</v>
      </c>
      <c r="G310" s="37" t="s">
        <v>1538</v>
      </c>
      <c r="H310" s="37" t="s">
        <v>1539</v>
      </c>
      <c r="I310" s="37" t="s">
        <v>1540</v>
      </c>
      <c r="J310" s="37" t="s">
        <v>92</v>
      </c>
      <c r="K310" s="37" t="s">
        <v>1514</v>
      </c>
      <c r="L310" s="37" t="s">
        <v>1514</v>
      </c>
      <c r="M310" s="37">
        <v>68235</v>
      </c>
      <c r="N310" s="38" t="s">
        <v>485</v>
      </c>
      <c r="S310" s="23">
        <f>VLOOKUP(A310,Hoja1!A:D,4,0)</f>
        <v>2</v>
      </c>
      <c r="T310" s="26" t="str">
        <f>VLOOKUP(M310,[1]TIPOLOGIAS!$A:$F,4,0)</f>
        <v>BUCARAMANGA</v>
      </c>
      <c r="U310" s="26" t="str">
        <f>VLOOKUP(T310,'BASE TARIFA 2025'!C:D,2,0)</f>
        <v>WOMPI SANTANDERES</v>
      </c>
      <c r="V310" s="27">
        <f>VLOOKUP(T310,'BASE TARIFA 2025'!C:F,3,0)</f>
        <v>37313</v>
      </c>
      <c r="W310" s="27">
        <f t="shared" si="4"/>
        <v>74626</v>
      </c>
    </row>
    <row r="311" spans="1:23" s="37" customFormat="1" ht="14.4" x14ac:dyDescent="0.3">
      <c r="A311" s="37">
        <v>46038</v>
      </c>
      <c r="B311" s="37" t="s">
        <v>3953</v>
      </c>
      <c r="C311" s="37">
        <v>901273287</v>
      </c>
      <c r="D311" s="37" t="s">
        <v>1541</v>
      </c>
      <c r="E311" s="37" t="s">
        <v>1542</v>
      </c>
      <c r="F311" s="37" t="s">
        <v>1543</v>
      </c>
      <c r="G311" s="37" t="s">
        <v>1544</v>
      </c>
      <c r="H311" s="37" t="s">
        <v>1545</v>
      </c>
      <c r="I311" s="37" t="s">
        <v>1546</v>
      </c>
      <c r="J311" s="37" t="s">
        <v>92</v>
      </c>
      <c r="K311" s="37" t="s">
        <v>1547</v>
      </c>
      <c r="L311" s="37" t="s">
        <v>1547</v>
      </c>
      <c r="M311" s="37">
        <v>68250</v>
      </c>
      <c r="N311" s="38" t="s">
        <v>327</v>
      </c>
      <c r="S311" s="23">
        <f>VLOOKUP(A311,Hoja1!A:D,4,0)</f>
        <v>1</v>
      </c>
      <c r="T311" s="26" t="str">
        <f>VLOOKUP(M311,[1]TIPOLOGIAS!$A:$F,4,0)</f>
        <v>BUCARAMANGA</v>
      </c>
      <c r="U311" s="26" t="str">
        <f>VLOOKUP(T311,'BASE TARIFA 2025'!C:D,2,0)</f>
        <v>WOMPI SANTANDERES</v>
      </c>
      <c r="V311" s="27">
        <f>VLOOKUP(T311,'BASE TARIFA 2025'!C:F,3,0)</f>
        <v>37313</v>
      </c>
      <c r="W311" s="27">
        <f t="shared" si="4"/>
        <v>37313</v>
      </c>
    </row>
    <row r="312" spans="1:23" s="37" customFormat="1" ht="14.4" x14ac:dyDescent="0.3">
      <c r="A312" s="37">
        <v>46410</v>
      </c>
      <c r="B312" s="37" t="s">
        <v>3954</v>
      </c>
      <c r="C312" s="37">
        <v>1090437851</v>
      </c>
      <c r="D312" s="37" t="s">
        <v>1548</v>
      </c>
      <c r="E312" s="37" t="s">
        <v>1549</v>
      </c>
      <c r="F312" s="37" t="s">
        <v>1549</v>
      </c>
      <c r="G312" s="37" t="s">
        <v>1550</v>
      </c>
      <c r="H312" s="37" t="s">
        <v>1551</v>
      </c>
      <c r="I312" s="37" t="s">
        <v>1552</v>
      </c>
      <c r="J312" s="37" t="s">
        <v>92</v>
      </c>
      <c r="K312" s="37" t="s">
        <v>1547</v>
      </c>
      <c r="L312" s="37" t="s">
        <v>1547</v>
      </c>
      <c r="M312" s="37">
        <v>68250</v>
      </c>
      <c r="N312" s="38" t="s">
        <v>327</v>
      </c>
      <c r="S312" s="23">
        <f>VLOOKUP(A312,Hoja1!A:D,4,0)</f>
        <v>3</v>
      </c>
      <c r="T312" s="26" t="str">
        <f>VLOOKUP(M312,[1]TIPOLOGIAS!$A:$F,4,0)</f>
        <v>BUCARAMANGA</v>
      </c>
      <c r="U312" s="26" t="str">
        <f>VLOOKUP(T312,'BASE TARIFA 2025'!C:D,2,0)</f>
        <v>WOMPI SANTANDERES</v>
      </c>
      <c r="V312" s="27">
        <f>VLOOKUP(T312,'BASE TARIFA 2025'!C:F,3,0)</f>
        <v>37313</v>
      </c>
      <c r="W312" s="27">
        <f t="shared" si="4"/>
        <v>111939</v>
      </c>
    </row>
    <row r="313" spans="1:23" s="37" customFormat="1" ht="14.4" x14ac:dyDescent="0.3">
      <c r="A313" s="37">
        <v>46237</v>
      </c>
      <c r="B313" s="37" t="s">
        <v>3955</v>
      </c>
      <c r="C313" s="37">
        <v>1090482642</v>
      </c>
      <c r="D313" s="37" t="s">
        <v>1553</v>
      </c>
      <c r="E313" s="37" t="s">
        <v>1553</v>
      </c>
      <c r="F313" s="37" t="s">
        <v>1553</v>
      </c>
      <c r="G313" s="37" t="s">
        <v>1554</v>
      </c>
      <c r="H313" s="37" t="s">
        <v>1555</v>
      </c>
      <c r="I313" s="37" t="s">
        <v>1556</v>
      </c>
      <c r="J313" s="37" t="s">
        <v>92</v>
      </c>
      <c r="K313" s="37" t="s">
        <v>199</v>
      </c>
      <c r="L313" s="37" t="s">
        <v>199</v>
      </c>
      <c r="M313" s="37">
        <v>68307</v>
      </c>
      <c r="N313" s="38" t="s">
        <v>841</v>
      </c>
      <c r="S313" s="23">
        <f>VLOOKUP(A313,Hoja1!A:D,4,0)</f>
        <v>2</v>
      </c>
      <c r="T313" s="26" t="str">
        <f>VLOOKUP(M313,[1]TIPOLOGIAS!$A:$F,4,0)</f>
        <v>BUCARAMANGA</v>
      </c>
      <c r="U313" s="26" t="str">
        <f>VLOOKUP(T313,'BASE TARIFA 2025'!C:D,2,0)</f>
        <v>WOMPI SANTANDERES</v>
      </c>
      <c r="V313" s="27">
        <f>VLOOKUP(T313,'BASE TARIFA 2025'!C:F,3,0)</f>
        <v>37313</v>
      </c>
      <c r="W313" s="27">
        <f t="shared" si="4"/>
        <v>74626</v>
      </c>
    </row>
    <row r="314" spans="1:23" s="37" customFormat="1" ht="14.4" x14ac:dyDescent="0.3">
      <c r="A314" s="37">
        <v>73503</v>
      </c>
      <c r="B314" s="37" t="s">
        <v>3956</v>
      </c>
      <c r="C314" s="37">
        <v>901566263</v>
      </c>
      <c r="D314" s="37" t="s">
        <v>1557</v>
      </c>
      <c r="E314" s="37" t="s">
        <v>1557</v>
      </c>
      <c r="F314" s="37" t="s">
        <v>1557</v>
      </c>
      <c r="G314" s="37" t="s">
        <v>1558</v>
      </c>
      <c r="H314" s="37" t="s">
        <v>1559</v>
      </c>
      <c r="I314" s="37" t="s">
        <v>1560</v>
      </c>
      <c r="J314" s="37" t="s">
        <v>92</v>
      </c>
      <c r="K314" s="37" t="s">
        <v>162</v>
      </c>
      <c r="L314" s="37" t="s">
        <v>162</v>
      </c>
      <c r="M314" s="37">
        <v>68190</v>
      </c>
      <c r="N314" s="38" t="s">
        <v>480</v>
      </c>
      <c r="S314" s="23">
        <f>VLOOKUP(A314,Hoja1!A:D,4,0)</f>
        <v>3</v>
      </c>
      <c r="T314" s="26" t="str">
        <f>VLOOKUP(M314,[1]TIPOLOGIAS!$A:$F,4,0)</f>
        <v>BUCARAMANGA</v>
      </c>
      <c r="U314" s="26" t="str">
        <f>VLOOKUP(T314,'BASE TARIFA 2025'!C:D,2,0)</f>
        <v>WOMPI SANTANDERES</v>
      </c>
      <c r="V314" s="27">
        <f>VLOOKUP(T314,'BASE TARIFA 2025'!C:F,3,0)</f>
        <v>37313</v>
      </c>
      <c r="W314" s="27">
        <f t="shared" si="4"/>
        <v>111939</v>
      </c>
    </row>
    <row r="315" spans="1:23" s="37" customFormat="1" ht="14.4" x14ac:dyDescent="0.3">
      <c r="A315" s="37">
        <v>73028</v>
      </c>
      <c r="B315" s="37" t="s">
        <v>3957</v>
      </c>
      <c r="C315" s="37">
        <v>1152206259</v>
      </c>
      <c r="D315" s="37" t="s">
        <v>1561</v>
      </c>
      <c r="E315" s="37" t="s">
        <v>1562</v>
      </c>
      <c r="F315" s="37" t="s">
        <v>1562</v>
      </c>
      <c r="G315" s="37" t="s">
        <v>1563</v>
      </c>
      <c r="H315" s="37" t="s">
        <v>1564</v>
      </c>
      <c r="I315" s="37" t="s">
        <v>1565</v>
      </c>
      <c r="J315" s="37" t="s">
        <v>92</v>
      </c>
      <c r="K315" s="37" t="s">
        <v>162</v>
      </c>
      <c r="L315" s="37" t="s">
        <v>162</v>
      </c>
      <c r="M315" s="37">
        <v>68190</v>
      </c>
      <c r="N315" s="38" t="s">
        <v>480</v>
      </c>
      <c r="S315" s="23">
        <f>VLOOKUP(A315,Hoja1!A:D,4,0)</f>
        <v>1</v>
      </c>
      <c r="T315" s="26" t="str">
        <f>VLOOKUP(M315,[1]TIPOLOGIAS!$A:$F,4,0)</f>
        <v>BUCARAMANGA</v>
      </c>
      <c r="U315" s="26" t="str">
        <f>VLOOKUP(T315,'BASE TARIFA 2025'!C:D,2,0)</f>
        <v>WOMPI SANTANDERES</v>
      </c>
      <c r="V315" s="27">
        <f>VLOOKUP(T315,'BASE TARIFA 2025'!C:F,3,0)</f>
        <v>37313</v>
      </c>
      <c r="W315" s="27">
        <f t="shared" si="4"/>
        <v>37313</v>
      </c>
    </row>
    <row r="316" spans="1:23" s="37" customFormat="1" ht="14.4" x14ac:dyDescent="0.3">
      <c r="A316" s="37">
        <v>71078</v>
      </c>
      <c r="B316" s="37" t="s">
        <v>3958</v>
      </c>
      <c r="C316" s="37">
        <v>901234354</v>
      </c>
      <c r="D316" s="37" t="s">
        <v>1566</v>
      </c>
      <c r="E316" s="37" t="s">
        <v>1566</v>
      </c>
      <c r="F316" s="37" t="s">
        <v>1566</v>
      </c>
      <c r="G316" s="37" t="s">
        <v>1567</v>
      </c>
      <c r="H316" s="37" t="s">
        <v>1568</v>
      </c>
      <c r="I316" s="37" t="s">
        <v>1569</v>
      </c>
      <c r="J316" s="37" t="s">
        <v>92</v>
      </c>
      <c r="K316" s="37" t="s">
        <v>162</v>
      </c>
      <c r="L316" s="37" t="s">
        <v>162</v>
      </c>
      <c r="M316" s="37">
        <v>68190</v>
      </c>
      <c r="N316" s="38" t="s">
        <v>320</v>
      </c>
      <c r="S316" s="23">
        <f>VLOOKUP(A316,Hoja1!A:D,4,0)</f>
        <v>1</v>
      </c>
      <c r="T316" s="26" t="str">
        <f>VLOOKUP(M316,[1]TIPOLOGIAS!$A:$F,4,0)</f>
        <v>BUCARAMANGA</v>
      </c>
      <c r="U316" s="26" t="str">
        <f>VLOOKUP(T316,'BASE TARIFA 2025'!C:D,2,0)</f>
        <v>WOMPI SANTANDERES</v>
      </c>
      <c r="V316" s="27">
        <f>VLOOKUP(T316,'BASE TARIFA 2025'!C:F,3,0)</f>
        <v>37313</v>
      </c>
      <c r="W316" s="27">
        <f t="shared" si="4"/>
        <v>37313</v>
      </c>
    </row>
    <row r="317" spans="1:23" s="37" customFormat="1" ht="14.4" x14ac:dyDescent="0.3">
      <c r="A317" s="37">
        <v>71462</v>
      </c>
      <c r="B317" s="37" t="s">
        <v>3959</v>
      </c>
      <c r="C317" s="37">
        <v>15271369</v>
      </c>
      <c r="D317" s="37" t="s">
        <v>1570</v>
      </c>
      <c r="E317" s="37" t="s">
        <v>1570</v>
      </c>
      <c r="F317" s="37" t="s">
        <v>1570</v>
      </c>
      <c r="G317" s="37" t="s">
        <v>1571</v>
      </c>
      <c r="H317" s="37" t="s">
        <v>1572</v>
      </c>
      <c r="I317" s="37" t="s">
        <v>1573</v>
      </c>
      <c r="J317" s="37" t="s">
        <v>92</v>
      </c>
      <c r="K317" s="37" t="s">
        <v>162</v>
      </c>
      <c r="L317" s="37" t="s">
        <v>162</v>
      </c>
      <c r="M317" s="37">
        <v>68190</v>
      </c>
      <c r="N317" s="38" t="s">
        <v>480</v>
      </c>
      <c r="S317" s="23">
        <f>VLOOKUP(A317,Hoja1!A:D,4,0)</f>
        <v>2</v>
      </c>
      <c r="T317" s="26" t="str">
        <f>VLOOKUP(M317,[1]TIPOLOGIAS!$A:$F,4,0)</f>
        <v>BUCARAMANGA</v>
      </c>
      <c r="U317" s="26" t="str">
        <f>VLOOKUP(T317,'BASE TARIFA 2025'!C:D,2,0)</f>
        <v>WOMPI SANTANDERES</v>
      </c>
      <c r="V317" s="27">
        <f>VLOOKUP(T317,'BASE TARIFA 2025'!C:F,3,0)</f>
        <v>37313</v>
      </c>
      <c r="W317" s="27">
        <f t="shared" si="4"/>
        <v>74626</v>
      </c>
    </row>
    <row r="318" spans="1:23" s="37" customFormat="1" ht="14.4" x14ac:dyDescent="0.3">
      <c r="A318" s="37">
        <v>69282</v>
      </c>
      <c r="B318" s="37" t="s">
        <v>3960</v>
      </c>
      <c r="C318" s="37">
        <v>901522985</v>
      </c>
      <c r="D318" s="37" t="s">
        <v>1574</v>
      </c>
      <c r="E318" s="37" t="s">
        <v>1574</v>
      </c>
      <c r="F318" s="37" t="s">
        <v>1575</v>
      </c>
      <c r="G318" s="37" t="s">
        <v>1576</v>
      </c>
      <c r="H318" s="37" t="s">
        <v>1577</v>
      </c>
      <c r="I318" s="37" t="s">
        <v>1578</v>
      </c>
      <c r="J318" s="37" t="s">
        <v>92</v>
      </c>
      <c r="K318" s="37" t="s">
        <v>162</v>
      </c>
      <c r="L318" s="37" t="s">
        <v>162</v>
      </c>
      <c r="M318" s="37">
        <v>68190</v>
      </c>
      <c r="N318" s="38" t="s">
        <v>480</v>
      </c>
      <c r="S318" s="23">
        <f>VLOOKUP(A318,Hoja1!A:D,4,0)</f>
        <v>2</v>
      </c>
      <c r="T318" s="26" t="str">
        <f>VLOOKUP(M318,[1]TIPOLOGIAS!$A:$F,4,0)</f>
        <v>BUCARAMANGA</v>
      </c>
      <c r="U318" s="26" t="str">
        <f>VLOOKUP(T318,'BASE TARIFA 2025'!C:D,2,0)</f>
        <v>WOMPI SANTANDERES</v>
      </c>
      <c r="V318" s="27">
        <f>VLOOKUP(T318,'BASE TARIFA 2025'!C:F,3,0)</f>
        <v>37313</v>
      </c>
      <c r="W318" s="27">
        <f t="shared" si="4"/>
        <v>74626</v>
      </c>
    </row>
    <row r="319" spans="1:23" s="37" customFormat="1" ht="14.4" x14ac:dyDescent="0.3">
      <c r="A319" s="37">
        <v>43195</v>
      </c>
      <c r="B319" s="37" t="s">
        <v>3961</v>
      </c>
      <c r="C319" s="37">
        <v>13445896</v>
      </c>
      <c r="D319" s="37" t="s">
        <v>1579</v>
      </c>
      <c r="E319" s="37" t="s">
        <v>1579</v>
      </c>
      <c r="F319" s="37" t="s">
        <v>163</v>
      </c>
      <c r="G319" s="37" t="s">
        <v>1580</v>
      </c>
      <c r="H319" s="37" t="s">
        <v>1581</v>
      </c>
      <c r="I319" s="37" t="s">
        <v>1582</v>
      </c>
      <c r="J319" s="37" t="s">
        <v>92</v>
      </c>
      <c r="K319" s="37" t="s">
        <v>162</v>
      </c>
      <c r="L319" s="37" t="s">
        <v>162</v>
      </c>
      <c r="M319" s="37">
        <v>68190</v>
      </c>
      <c r="N319" s="38" t="s">
        <v>480</v>
      </c>
      <c r="S319" s="23">
        <f>VLOOKUP(A319,Hoja1!A:D,4,0)</f>
        <v>2</v>
      </c>
      <c r="T319" s="26" t="str">
        <f>VLOOKUP(M319,[1]TIPOLOGIAS!$A:$F,4,0)</f>
        <v>BUCARAMANGA</v>
      </c>
      <c r="U319" s="26" t="str">
        <f>VLOOKUP(T319,'BASE TARIFA 2025'!C:D,2,0)</f>
        <v>WOMPI SANTANDERES</v>
      </c>
      <c r="V319" s="27">
        <f>VLOOKUP(T319,'BASE TARIFA 2025'!C:F,3,0)</f>
        <v>37313</v>
      </c>
      <c r="W319" s="27">
        <f t="shared" si="4"/>
        <v>74626</v>
      </c>
    </row>
    <row r="320" spans="1:23" s="37" customFormat="1" ht="14.4" x14ac:dyDescent="0.3">
      <c r="A320" s="37">
        <v>42241</v>
      </c>
      <c r="B320" s="37" t="s">
        <v>3962</v>
      </c>
      <c r="C320" s="37">
        <v>1090452903</v>
      </c>
      <c r="D320" s="37" t="s">
        <v>1583</v>
      </c>
      <c r="E320" s="37" t="s">
        <v>1584</v>
      </c>
      <c r="F320" s="37" t="s">
        <v>1584</v>
      </c>
      <c r="G320" s="37" t="s">
        <v>1585</v>
      </c>
      <c r="H320" s="37" t="s">
        <v>1586</v>
      </c>
      <c r="I320" s="37" t="s">
        <v>1587</v>
      </c>
      <c r="J320" s="37" t="s">
        <v>92</v>
      </c>
      <c r="K320" s="37" t="s">
        <v>162</v>
      </c>
      <c r="L320" s="37" t="s">
        <v>162</v>
      </c>
      <c r="M320" s="37">
        <v>68190</v>
      </c>
      <c r="N320" s="38" t="s">
        <v>480</v>
      </c>
      <c r="S320" s="23">
        <f>VLOOKUP(A320,Hoja1!A:D,4,0)</f>
        <v>4</v>
      </c>
      <c r="T320" s="26" t="str">
        <f>VLOOKUP(M320,[1]TIPOLOGIAS!$A:$F,4,0)</f>
        <v>BUCARAMANGA</v>
      </c>
      <c r="U320" s="26" t="str">
        <f>VLOOKUP(T320,'BASE TARIFA 2025'!C:D,2,0)</f>
        <v>WOMPI SANTANDERES</v>
      </c>
      <c r="V320" s="27">
        <f>VLOOKUP(T320,'BASE TARIFA 2025'!C:F,3,0)</f>
        <v>37313</v>
      </c>
      <c r="W320" s="27">
        <f t="shared" si="4"/>
        <v>149252</v>
      </c>
    </row>
    <row r="321" spans="1:23" s="37" customFormat="1" ht="14.4" x14ac:dyDescent="0.3">
      <c r="A321" s="37">
        <v>42032</v>
      </c>
      <c r="B321" s="37" t="s">
        <v>3963</v>
      </c>
      <c r="C321" s="37">
        <v>900909774</v>
      </c>
      <c r="D321" s="37" t="s">
        <v>1588</v>
      </c>
      <c r="E321" s="37" t="s">
        <v>1589</v>
      </c>
      <c r="F321" s="37" t="s">
        <v>1589</v>
      </c>
      <c r="G321" s="37" t="s">
        <v>1590</v>
      </c>
      <c r="H321" s="37" t="s">
        <v>1591</v>
      </c>
      <c r="I321" s="37" t="s">
        <v>1592</v>
      </c>
      <c r="J321" s="37" t="s">
        <v>71</v>
      </c>
      <c r="K321" s="37" t="s">
        <v>1593</v>
      </c>
      <c r="L321" s="37" t="s">
        <v>1593</v>
      </c>
      <c r="M321" s="37">
        <v>15667</v>
      </c>
      <c r="N321" s="38" t="s">
        <v>325</v>
      </c>
      <c r="S321" s="23">
        <f>VLOOKUP(A321,Hoja1!A:D,4,0)</f>
        <v>1</v>
      </c>
      <c r="T321" s="26" t="str">
        <f>VLOOKUP(M321,[1]TIPOLOGIAS!$A:$F,4,0)</f>
        <v>TUNJA</v>
      </c>
      <c r="U321" s="26" t="str">
        <f>VLOOKUP(T321,'BASE TARIFA 2025'!C:D,2,0)</f>
        <v>WOMPI SANTANDERES</v>
      </c>
      <c r="V321" s="27">
        <f>VLOOKUP(T321,'BASE TARIFA 2025'!C:F,3,0)</f>
        <v>49671.7</v>
      </c>
      <c r="W321" s="27">
        <f t="shared" si="4"/>
        <v>49671.7</v>
      </c>
    </row>
    <row r="322" spans="1:23" s="37" customFormat="1" ht="14.4" x14ac:dyDescent="0.3">
      <c r="A322" s="37">
        <v>42036</v>
      </c>
      <c r="B322" s="37" t="s">
        <v>3964</v>
      </c>
      <c r="C322" s="37">
        <v>900909774</v>
      </c>
      <c r="D322" s="37" t="s">
        <v>1594</v>
      </c>
      <c r="E322" s="37" t="s">
        <v>1595</v>
      </c>
      <c r="F322" s="37" t="s">
        <v>1595</v>
      </c>
      <c r="G322" s="37" t="s">
        <v>1596</v>
      </c>
      <c r="H322" s="37" t="s">
        <v>1597</v>
      </c>
      <c r="I322" s="37" t="s">
        <v>1598</v>
      </c>
      <c r="J322" s="37" t="s">
        <v>71</v>
      </c>
      <c r="K322" s="37" t="s">
        <v>1593</v>
      </c>
      <c r="L322" s="37" t="s">
        <v>1593</v>
      </c>
      <c r="M322" s="37">
        <v>15667</v>
      </c>
      <c r="N322" s="38" t="s">
        <v>327</v>
      </c>
      <c r="S322" s="23">
        <f>VLOOKUP(A322,Hoja1!A:D,4,0)</f>
        <v>1</v>
      </c>
      <c r="T322" s="26" t="str">
        <f>VLOOKUP(M322,[1]TIPOLOGIAS!$A:$F,4,0)</f>
        <v>TUNJA</v>
      </c>
      <c r="U322" s="26" t="str">
        <f>VLOOKUP(T322,'BASE TARIFA 2025'!C:D,2,0)</f>
        <v>WOMPI SANTANDERES</v>
      </c>
      <c r="V322" s="27">
        <f>VLOOKUP(T322,'BASE TARIFA 2025'!C:F,3,0)</f>
        <v>49671.7</v>
      </c>
      <c r="W322" s="27">
        <f t="shared" ref="W322:W385" si="5">V322*S322</f>
        <v>49671.7</v>
      </c>
    </row>
    <row r="323" spans="1:23" s="37" customFormat="1" ht="14.4" x14ac:dyDescent="0.3">
      <c r="A323" s="37">
        <v>42037</v>
      </c>
      <c r="B323" s="37" t="s">
        <v>3965</v>
      </c>
      <c r="C323" s="37">
        <v>900909774</v>
      </c>
      <c r="D323" s="37" t="s">
        <v>1599</v>
      </c>
      <c r="E323" s="37" t="s">
        <v>1599</v>
      </c>
      <c r="F323" s="37" t="s">
        <v>1599</v>
      </c>
      <c r="G323" s="37" t="s">
        <v>1600</v>
      </c>
      <c r="H323" s="37" t="s">
        <v>1601</v>
      </c>
      <c r="I323" s="37" t="s">
        <v>1602</v>
      </c>
      <c r="J323" s="37" t="s">
        <v>71</v>
      </c>
      <c r="K323" s="37" t="s">
        <v>1593</v>
      </c>
      <c r="L323" s="37" t="s">
        <v>1593</v>
      </c>
      <c r="M323" s="37">
        <v>15667</v>
      </c>
      <c r="N323" s="38" t="s">
        <v>325</v>
      </c>
      <c r="S323" s="23">
        <f>VLOOKUP(A323,Hoja1!A:D,4,0)</f>
        <v>1</v>
      </c>
      <c r="T323" s="26" t="str">
        <f>VLOOKUP(M323,[1]TIPOLOGIAS!$A:$F,4,0)</f>
        <v>TUNJA</v>
      </c>
      <c r="U323" s="26" t="str">
        <f>VLOOKUP(T323,'BASE TARIFA 2025'!C:D,2,0)</f>
        <v>WOMPI SANTANDERES</v>
      </c>
      <c r="V323" s="27">
        <f>VLOOKUP(T323,'BASE TARIFA 2025'!C:F,3,0)</f>
        <v>49671.7</v>
      </c>
      <c r="W323" s="27">
        <f t="shared" si="5"/>
        <v>49671.7</v>
      </c>
    </row>
    <row r="324" spans="1:23" s="37" customFormat="1" ht="14.4" x14ac:dyDescent="0.3">
      <c r="A324" s="37">
        <v>39283</v>
      </c>
      <c r="B324" s="37" t="s">
        <v>3966</v>
      </c>
      <c r="C324" s="37">
        <v>1093770325</v>
      </c>
      <c r="D324" s="37" t="s">
        <v>1603</v>
      </c>
      <c r="E324" s="37" t="s">
        <v>1603</v>
      </c>
      <c r="F324" s="37" t="s">
        <v>1603</v>
      </c>
      <c r="G324" s="37" t="s">
        <v>1604</v>
      </c>
      <c r="H324" s="37" t="s">
        <v>1605</v>
      </c>
      <c r="I324" s="37" t="s">
        <v>1606</v>
      </c>
      <c r="J324" s="37" t="s">
        <v>71</v>
      </c>
      <c r="K324" s="37" t="s">
        <v>1593</v>
      </c>
      <c r="L324" s="37" t="s">
        <v>1593</v>
      </c>
      <c r="M324" s="37">
        <v>15667</v>
      </c>
      <c r="N324" s="38" t="s">
        <v>325</v>
      </c>
      <c r="S324" s="23">
        <f>VLOOKUP(A324,Hoja1!A:D,4,0)</f>
        <v>2</v>
      </c>
      <c r="T324" s="26" t="str">
        <f>VLOOKUP(M324,[1]TIPOLOGIAS!$A:$F,4,0)</f>
        <v>TUNJA</v>
      </c>
      <c r="U324" s="26" t="str">
        <f>VLOOKUP(T324,'BASE TARIFA 2025'!C:D,2,0)</f>
        <v>WOMPI SANTANDERES</v>
      </c>
      <c r="V324" s="27">
        <f>VLOOKUP(T324,'BASE TARIFA 2025'!C:F,3,0)</f>
        <v>49671.7</v>
      </c>
      <c r="W324" s="27">
        <f t="shared" si="5"/>
        <v>99343.4</v>
      </c>
    </row>
    <row r="325" spans="1:23" s="37" customFormat="1" ht="14.4" x14ac:dyDescent="0.3">
      <c r="A325" s="37">
        <v>41848</v>
      </c>
      <c r="B325" s="37" t="s">
        <v>3967</v>
      </c>
      <c r="C325" s="37">
        <v>60373383</v>
      </c>
      <c r="D325" s="37" t="s">
        <v>1607</v>
      </c>
      <c r="E325" s="37" t="s">
        <v>1607</v>
      </c>
      <c r="F325" s="37" t="s">
        <v>1608</v>
      </c>
      <c r="G325" s="37" t="s">
        <v>1609</v>
      </c>
      <c r="H325" s="37" t="s">
        <v>1610</v>
      </c>
      <c r="I325" s="37" t="s">
        <v>1611</v>
      </c>
      <c r="J325" s="37" t="s">
        <v>71</v>
      </c>
      <c r="K325" s="37" t="s">
        <v>1593</v>
      </c>
      <c r="L325" s="37" t="s">
        <v>1593</v>
      </c>
      <c r="M325" s="37">
        <v>15667</v>
      </c>
      <c r="N325" s="38" t="s">
        <v>327</v>
      </c>
      <c r="S325" s="23">
        <f>VLOOKUP(A325,Hoja1!A:D,4,0)</f>
        <v>1</v>
      </c>
      <c r="T325" s="26" t="str">
        <f>VLOOKUP(M325,[1]TIPOLOGIAS!$A:$F,4,0)</f>
        <v>TUNJA</v>
      </c>
      <c r="U325" s="26" t="str">
        <f>VLOOKUP(T325,'BASE TARIFA 2025'!C:D,2,0)</f>
        <v>WOMPI SANTANDERES</v>
      </c>
      <c r="V325" s="27">
        <f>VLOOKUP(T325,'BASE TARIFA 2025'!C:F,3,0)</f>
        <v>49671.7</v>
      </c>
      <c r="W325" s="27">
        <f t="shared" si="5"/>
        <v>49671.7</v>
      </c>
    </row>
    <row r="326" spans="1:23" s="37" customFormat="1" ht="14.4" x14ac:dyDescent="0.3">
      <c r="A326" s="37">
        <v>41849</v>
      </c>
      <c r="B326" s="37" t="s">
        <v>3968</v>
      </c>
      <c r="C326" s="37">
        <v>60373383</v>
      </c>
      <c r="E326" s="37" t="s">
        <v>1612</v>
      </c>
      <c r="F326" s="37" t="s">
        <v>1612</v>
      </c>
      <c r="G326" s="37" t="s">
        <v>1613</v>
      </c>
      <c r="H326" s="37" t="s">
        <v>1614</v>
      </c>
      <c r="I326" s="37" t="s">
        <v>1615</v>
      </c>
      <c r="J326" s="37" t="s">
        <v>71</v>
      </c>
      <c r="K326" s="37" t="s">
        <v>1616</v>
      </c>
      <c r="L326" s="37" t="s">
        <v>1616</v>
      </c>
      <c r="M326" s="37">
        <v>15690</v>
      </c>
      <c r="N326" s="38" t="s">
        <v>327</v>
      </c>
      <c r="S326" s="23">
        <f>VLOOKUP(A326,Hoja1!A:D,4,0)</f>
        <v>1</v>
      </c>
      <c r="T326" s="26" t="str">
        <f>VLOOKUP(M326,[1]TIPOLOGIAS!$A:$F,4,0)</f>
        <v>TUNJA</v>
      </c>
      <c r="U326" s="26" t="str">
        <f>VLOOKUP(T326,'BASE TARIFA 2025'!C:D,2,0)</f>
        <v>WOMPI SANTANDERES</v>
      </c>
      <c r="V326" s="27">
        <f>VLOOKUP(T326,'BASE TARIFA 2025'!C:F,3,0)</f>
        <v>49671.7</v>
      </c>
      <c r="W326" s="27">
        <f t="shared" si="5"/>
        <v>49671.7</v>
      </c>
    </row>
    <row r="327" spans="1:23" s="37" customFormat="1" ht="14.4" x14ac:dyDescent="0.3">
      <c r="A327" s="37">
        <v>38478</v>
      </c>
      <c r="B327" s="37" t="s">
        <v>3969</v>
      </c>
      <c r="C327" s="37">
        <v>900576569</v>
      </c>
      <c r="D327" s="37" t="s">
        <v>1617</v>
      </c>
      <c r="E327" s="37" t="s">
        <v>1617</v>
      </c>
      <c r="F327" s="37" t="s">
        <v>1617</v>
      </c>
      <c r="G327" s="37" t="s">
        <v>1618</v>
      </c>
      <c r="H327" s="37" t="s">
        <v>1619</v>
      </c>
      <c r="I327" s="37" t="s">
        <v>1620</v>
      </c>
      <c r="J327" s="37" t="s">
        <v>71</v>
      </c>
      <c r="K327" s="37" t="s">
        <v>1616</v>
      </c>
      <c r="L327" s="37" t="s">
        <v>1616</v>
      </c>
      <c r="M327" s="37">
        <v>15690</v>
      </c>
      <c r="N327" s="38" t="s">
        <v>327</v>
      </c>
      <c r="S327" s="23">
        <f>VLOOKUP(A327,Hoja1!A:D,4,0)</f>
        <v>1</v>
      </c>
      <c r="T327" s="26" t="str">
        <f>VLOOKUP(M327,[1]TIPOLOGIAS!$A:$F,4,0)</f>
        <v>TUNJA</v>
      </c>
      <c r="U327" s="26" t="str">
        <f>VLOOKUP(T327,'BASE TARIFA 2025'!C:D,2,0)</f>
        <v>WOMPI SANTANDERES</v>
      </c>
      <c r="V327" s="27">
        <f>VLOOKUP(T327,'BASE TARIFA 2025'!C:F,3,0)</f>
        <v>49671.7</v>
      </c>
      <c r="W327" s="27">
        <f t="shared" si="5"/>
        <v>49671.7</v>
      </c>
    </row>
    <row r="328" spans="1:23" s="37" customFormat="1" ht="14.4" x14ac:dyDescent="0.3">
      <c r="A328" s="37">
        <v>39106</v>
      </c>
      <c r="B328" s="37" t="s">
        <v>3970</v>
      </c>
      <c r="C328" s="37">
        <v>1094859024</v>
      </c>
      <c r="D328" s="37" t="s">
        <v>1621</v>
      </c>
      <c r="E328" s="37" t="s">
        <v>1621</v>
      </c>
      <c r="F328" s="37" t="s">
        <v>1621</v>
      </c>
      <c r="G328" s="37" t="s">
        <v>1622</v>
      </c>
      <c r="H328" s="37" t="s">
        <v>1623</v>
      </c>
      <c r="I328" s="37" t="s">
        <v>1624</v>
      </c>
      <c r="J328" s="37" t="s">
        <v>71</v>
      </c>
      <c r="K328" s="37" t="s">
        <v>1625</v>
      </c>
      <c r="L328" s="37" t="s">
        <v>1625</v>
      </c>
      <c r="M328" s="37">
        <v>15696</v>
      </c>
      <c r="N328" s="38" t="s">
        <v>513</v>
      </c>
      <c r="S328" s="23">
        <f>VLOOKUP(A328,Hoja1!A:D,4,0)</f>
        <v>2</v>
      </c>
      <c r="T328" s="26" t="str">
        <f>VLOOKUP(M328,[1]TIPOLOGIAS!$A:$F,4,0)</f>
        <v>TUNJA</v>
      </c>
      <c r="U328" s="26" t="str">
        <f>VLOOKUP(T328,'BASE TARIFA 2025'!C:D,2,0)</f>
        <v>WOMPI SANTANDERES</v>
      </c>
      <c r="V328" s="27">
        <f>VLOOKUP(T328,'BASE TARIFA 2025'!C:F,3,0)</f>
        <v>49671.7</v>
      </c>
      <c r="W328" s="27">
        <f t="shared" si="5"/>
        <v>99343.4</v>
      </c>
    </row>
    <row r="329" spans="1:23" s="37" customFormat="1" ht="14.4" x14ac:dyDescent="0.3">
      <c r="A329" s="37">
        <v>38918</v>
      </c>
      <c r="B329" s="37" t="s">
        <v>3971</v>
      </c>
      <c r="C329" s="37">
        <v>13279052</v>
      </c>
      <c r="D329" s="37" t="s">
        <v>1626</v>
      </c>
      <c r="E329" s="37" t="s">
        <v>1626</v>
      </c>
      <c r="G329" s="37" t="s">
        <v>1627</v>
      </c>
      <c r="H329" s="37" t="s">
        <v>1628</v>
      </c>
      <c r="I329" s="37" t="s">
        <v>1629</v>
      </c>
      <c r="J329" s="37" t="s">
        <v>90</v>
      </c>
      <c r="K329" s="37" t="s">
        <v>1630</v>
      </c>
      <c r="L329" s="37" t="s">
        <v>1630</v>
      </c>
      <c r="M329" s="37">
        <v>54720</v>
      </c>
      <c r="N329" s="38" t="s">
        <v>321</v>
      </c>
      <c r="S329" s="23">
        <f>VLOOKUP(A329,Hoja1!A:D,4,0)</f>
        <v>1</v>
      </c>
      <c r="T329" s="26" t="str">
        <f>VLOOKUP(M329,[1]TIPOLOGIAS!$A:$F,4,0)</f>
        <v>CUCUTA</v>
      </c>
      <c r="U329" s="26" t="str">
        <f>VLOOKUP(T329,'BASE TARIFA 2025'!C:D,2,0)</f>
        <v>WOMPI SANTANDERES</v>
      </c>
      <c r="V329" s="27">
        <f>VLOOKUP(T329,'BASE TARIFA 2025'!C:F,3,0)</f>
        <v>49671.7</v>
      </c>
      <c r="W329" s="27">
        <f t="shared" si="5"/>
        <v>49671.7</v>
      </c>
    </row>
    <row r="330" spans="1:23" s="37" customFormat="1" ht="14.4" x14ac:dyDescent="0.3">
      <c r="A330" s="37">
        <v>34206</v>
      </c>
      <c r="B330" s="37" t="s">
        <v>3972</v>
      </c>
      <c r="C330" s="37">
        <v>1090437740</v>
      </c>
      <c r="D330" s="37" t="s">
        <v>1631</v>
      </c>
      <c r="E330" s="37" t="s">
        <v>1632</v>
      </c>
      <c r="F330" s="37" t="s">
        <v>1632</v>
      </c>
      <c r="G330" s="37" t="s">
        <v>1633</v>
      </c>
      <c r="H330" s="37" t="s">
        <v>1634</v>
      </c>
      <c r="I330" s="37" t="s">
        <v>1635</v>
      </c>
      <c r="J330" s="37" t="s">
        <v>90</v>
      </c>
      <c r="K330" s="37" t="s">
        <v>105</v>
      </c>
      <c r="L330" s="37" t="s">
        <v>105</v>
      </c>
      <c r="M330" s="37">
        <v>54874</v>
      </c>
      <c r="N330" s="38" t="s">
        <v>503</v>
      </c>
      <c r="S330" s="23">
        <f>VLOOKUP(A330,Hoja1!A:D,4,0)</f>
        <v>2</v>
      </c>
      <c r="T330" s="26" t="str">
        <f>VLOOKUP(M330,[1]TIPOLOGIAS!$A:$F,4,0)</f>
        <v>CUCUTA</v>
      </c>
      <c r="U330" s="26" t="str">
        <f>VLOOKUP(T330,'BASE TARIFA 2025'!C:D,2,0)</f>
        <v>WOMPI SANTANDERES</v>
      </c>
      <c r="V330" s="27">
        <f>VLOOKUP(T330,'BASE TARIFA 2025'!C:F,3,0)</f>
        <v>49671.7</v>
      </c>
      <c r="W330" s="27">
        <f t="shared" si="5"/>
        <v>99343.4</v>
      </c>
    </row>
    <row r="331" spans="1:23" s="37" customFormat="1" ht="14.4" x14ac:dyDescent="0.3">
      <c r="A331" s="37">
        <v>34862</v>
      </c>
      <c r="B331" s="37" t="s">
        <v>3973</v>
      </c>
      <c r="C331" s="37">
        <v>60286580</v>
      </c>
      <c r="D331" s="37" t="s">
        <v>1636</v>
      </c>
      <c r="E331" s="37" t="s">
        <v>1636</v>
      </c>
      <c r="F331" s="37" t="s">
        <v>1636</v>
      </c>
      <c r="G331" s="37" t="s">
        <v>1637</v>
      </c>
      <c r="H331" s="37" t="s">
        <v>1638</v>
      </c>
      <c r="I331" s="37" t="s">
        <v>1639</v>
      </c>
      <c r="J331" s="37" t="s">
        <v>90</v>
      </c>
      <c r="K331" s="37" t="s">
        <v>105</v>
      </c>
      <c r="L331" s="37" t="s">
        <v>105</v>
      </c>
      <c r="M331" s="37">
        <v>54874</v>
      </c>
      <c r="N331" s="38" t="s">
        <v>513</v>
      </c>
      <c r="S331" s="23">
        <f>VLOOKUP(A331,Hoja1!A:D,4,0)</f>
        <v>2</v>
      </c>
      <c r="T331" s="26" t="str">
        <f>VLOOKUP(M331,[1]TIPOLOGIAS!$A:$F,4,0)</f>
        <v>CUCUTA</v>
      </c>
      <c r="U331" s="26" t="str">
        <f>VLOOKUP(T331,'BASE TARIFA 2025'!C:D,2,0)</f>
        <v>WOMPI SANTANDERES</v>
      </c>
      <c r="V331" s="27">
        <f>VLOOKUP(T331,'BASE TARIFA 2025'!C:F,3,0)</f>
        <v>49671.7</v>
      </c>
      <c r="W331" s="27">
        <f t="shared" si="5"/>
        <v>99343.4</v>
      </c>
    </row>
    <row r="332" spans="1:23" s="37" customFormat="1" ht="14.4" x14ac:dyDescent="0.3">
      <c r="A332" s="37">
        <v>37338</v>
      </c>
      <c r="B332" s="37" t="s">
        <v>3974</v>
      </c>
      <c r="C332" s="37">
        <v>901081359</v>
      </c>
      <c r="D332" s="37" t="s">
        <v>1640</v>
      </c>
      <c r="E332" s="37" t="s">
        <v>1640</v>
      </c>
      <c r="F332" s="37" t="s">
        <v>1641</v>
      </c>
      <c r="G332" s="37" t="s">
        <v>1642</v>
      </c>
      <c r="H332" s="37" t="s">
        <v>1643</v>
      </c>
      <c r="I332" s="37" t="s">
        <v>1644</v>
      </c>
      <c r="J332" s="37" t="s">
        <v>90</v>
      </c>
      <c r="K332" s="37" t="s">
        <v>105</v>
      </c>
      <c r="L332" s="37" t="s">
        <v>105</v>
      </c>
      <c r="M332" s="37">
        <v>54874</v>
      </c>
      <c r="N332" s="38" t="s">
        <v>503</v>
      </c>
      <c r="S332" s="23">
        <f>VLOOKUP(A332,Hoja1!A:D,4,0)</f>
        <v>2</v>
      </c>
      <c r="T332" s="26" t="str">
        <f>VLOOKUP(M332,[1]TIPOLOGIAS!$A:$F,4,0)</f>
        <v>CUCUTA</v>
      </c>
      <c r="U332" s="26" t="str">
        <f>VLOOKUP(T332,'BASE TARIFA 2025'!C:D,2,0)</f>
        <v>WOMPI SANTANDERES</v>
      </c>
      <c r="V332" s="27">
        <f>VLOOKUP(T332,'BASE TARIFA 2025'!C:F,3,0)</f>
        <v>49671.7</v>
      </c>
      <c r="W332" s="27">
        <f t="shared" si="5"/>
        <v>99343.4</v>
      </c>
    </row>
    <row r="333" spans="1:23" s="37" customFormat="1" ht="14.4" x14ac:dyDescent="0.3">
      <c r="A333" s="37">
        <v>63970</v>
      </c>
      <c r="B333" s="37" t="s">
        <v>3975</v>
      </c>
      <c r="C333" s="37">
        <v>901522985</v>
      </c>
      <c r="D333" s="37" t="s">
        <v>1645</v>
      </c>
      <c r="E333" s="37" t="s">
        <v>1645</v>
      </c>
      <c r="F333" s="37" t="s">
        <v>1645</v>
      </c>
      <c r="G333" s="37" t="s">
        <v>1646</v>
      </c>
      <c r="H333" s="37" t="s">
        <v>1647</v>
      </c>
      <c r="I333" s="37" t="s">
        <v>1648</v>
      </c>
      <c r="J333" s="37" t="s">
        <v>90</v>
      </c>
      <c r="K333" s="37" t="s">
        <v>105</v>
      </c>
      <c r="L333" s="37" t="s">
        <v>105</v>
      </c>
      <c r="M333" s="37">
        <v>54874</v>
      </c>
      <c r="N333" s="38" t="s">
        <v>503</v>
      </c>
      <c r="S333" s="23">
        <f>VLOOKUP(A333,Hoja1!A:D,4,0)</f>
        <v>2</v>
      </c>
      <c r="T333" s="26" t="str">
        <f>VLOOKUP(M333,[1]TIPOLOGIAS!$A:$F,4,0)</f>
        <v>CUCUTA</v>
      </c>
      <c r="U333" s="26" t="str">
        <f>VLOOKUP(T333,'BASE TARIFA 2025'!C:D,2,0)</f>
        <v>WOMPI SANTANDERES</v>
      </c>
      <c r="V333" s="27">
        <f>VLOOKUP(T333,'BASE TARIFA 2025'!C:F,3,0)</f>
        <v>49671.7</v>
      </c>
      <c r="W333" s="27">
        <f t="shared" si="5"/>
        <v>99343.4</v>
      </c>
    </row>
    <row r="334" spans="1:23" s="37" customFormat="1" ht="14.4" x14ac:dyDescent="0.3">
      <c r="A334" s="37">
        <v>29271</v>
      </c>
      <c r="B334" s="37" t="s">
        <v>3976</v>
      </c>
      <c r="C334" s="37">
        <v>17320832</v>
      </c>
      <c r="D334" s="37" t="s">
        <v>1649</v>
      </c>
      <c r="E334" s="37" t="s">
        <v>1650</v>
      </c>
      <c r="F334" s="37" t="s">
        <v>1650</v>
      </c>
      <c r="G334" s="37" t="s">
        <v>1651</v>
      </c>
      <c r="H334" s="37" t="s">
        <v>1652</v>
      </c>
      <c r="I334" s="37" t="s">
        <v>1653</v>
      </c>
      <c r="J334" s="37" t="s">
        <v>90</v>
      </c>
      <c r="K334" s="37" t="s">
        <v>105</v>
      </c>
      <c r="L334" s="37" t="s">
        <v>105</v>
      </c>
      <c r="M334" s="37">
        <v>54874</v>
      </c>
      <c r="N334" s="38" t="s">
        <v>503</v>
      </c>
      <c r="S334" s="23">
        <f>VLOOKUP(A334,Hoja1!A:D,4,0)</f>
        <v>3</v>
      </c>
      <c r="T334" s="26" t="str">
        <f>VLOOKUP(M334,[1]TIPOLOGIAS!$A:$F,4,0)</f>
        <v>CUCUTA</v>
      </c>
      <c r="U334" s="26" t="str">
        <f>VLOOKUP(T334,'BASE TARIFA 2025'!C:D,2,0)</f>
        <v>WOMPI SANTANDERES</v>
      </c>
      <c r="V334" s="27">
        <f>VLOOKUP(T334,'BASE TARIFA 2025'!C:F,3,0)</f>
        <v>49671.7</v>
      </c>
      <c r="W334" s="27">
        <f t="shared" si="5"/>
        <v>149015.09999999998</v>
      </c>
    </row>
    <row r="335" spans="1:23" s="37" customFormat="1" ht="14.4" x14ac:dyDescent="0.3">
      <c r="A335" s="37">
        <v>29576</v>
      </c>
      <c r="B335" s="37" t="s">
        <v>3977</v>
      </c>
      <c r="C335" s="37">
        <v>900469704</v>
      </c>
      <c r="D335" s="37" t="s">
        <v>1654</v>
      </c>
      <c r="E335" s="37" t="s">
        <v>1655</v>
      </c>
      <c r="F335" s="37" t="s">
        <v>1655</v>
      </c>
      <c r="G335" s="37" t="s">
        <v>1656</v>
      </c>
      <c r="H335" s="37" t="s">
        <v>1657</v>
      </c>
      <c r="I335" s="37" t="s">
        <v>1658</v>
      </c>
      <c r="J335" s="37" t="s">
        <v>92</v>
      </c>
      <c r="K335" s="37" t="s">
        <v>199</v>
      </c>
      <c r="L335" s="37" t="s">
        <v>199</v>
      </c>
      <c r="M335" s="37">
        <v>68307</v>
      </c>
      <c r="N335" s="38" t="s">
        <v>841</v>
      </c>
      <c r="S335" s="23">
        <f>VLOOKUP(A335,Hoja1!A:D,4,0)</f>
        <v>2</v>
      </c>
      <c r="T335" s="26" t="str">
        <f>VLOOKUP(M335,[1]TIPOLOGIAS!$A:$F,4,0)</f>
        <v>BUCARAMANGA</v>
      </c>
      <c r="U335" s="26" t="str">
        <f>VLOOKUP(T335,'BASE TARIFA 2025'!C:D,2,0)</f>
        <v>WOMPI SANTANDERES</v>
      </c>
      <c r="V335" s="27">
        <f>VLOOKUP(T335,'BASE TARIFA 2025'!C:F,3,0)</f>
        <v>37313</v>
      </c>
      <c r="W335" s="27">
        <f t="shared" si="5"/>
        <v>74626</v>
      </c>
    </row>
    <row r="336" spans="1:23" s="37" customFormat="1" ht="14.4" x14ac:dyDescent="0.3">
      <c r="A336" s="37">
        <v>31898</v>
      </c>
      <c r="B336" s="37" t="s">
        <v>3978</v>
      </c>
      <c r="C336" s="37">
        <v>37724618</v>
      </c>
      <c r="D336" s="37" t="s">
        <v>1659</v>
      </c>
      <c r="E336" s="37" t="s">
        <v>1659</v>
      </c>
      <c r="F336" s="37" t="s">
        <v>1659</v>
      </c>
      <c r="G336" s="37" t="s">
        <v>1660</v>
      </c>
      <c r="H336" s="37" t="s">
        <v>1661</v>
      </c>
      <c r="I336" s="37" t="s">
        <v>1662</v>
      </c>
      <c r="J336" s="37" t="s">
        <v>92</v>
      </c>
      <c r="K336" s="37" t="s">
        <v>199</v>
      </c>
      <c r="L336" s="37" t="s">
        <v>199</v>
      </c>
      <c r="M336" s="37">
        <v>68307</v>
      </c>
      <c r="N336" s="38" t="s">
        <v>416</v>
      </c>
      <c r="S336" s="23">
        <f>VLOOKUP(A336,Hoja1!A:D,4,0)</f>
        <v>3</v>
      </c>
      <c r="T336" s="26" t="str">
        <f>VLOOKUP(M336,[1]TIPOLOGIAS!$A:$F,4,0)</f>
        <v>BUCARAMANGA</v>
      </c>
      <c r="U336" s="26" t="str">
        <f>VLOOKUP(T336,'BASE TARIFA 2025'!C:D,2,0)</f>
        <v>WOMPI SANTANDERES</v>
      </c>
      <c r="V336" s="27">
        <f>VLOOKUP(T336,'BASE TARIFA 2025'!C:F,3,0)</f>
        <v>37313</v>
      </c>
      <c r="W336" s="27">
        <f t="shared" si="5"/>
        <v>111939</v>
      </c>
    </row>
    <row r="337" spans="1:23" s="37" customFormat="1" ht="14.4" x14ac:dyDescent="0.3">
      <c r="A337" s="37">
        <v>28659</v>
      </c>
      <c r="B337" s="37" t="s">
        <v>3979</v>
      </c>
      <c r="C337" s="37">
        <v>900576569</v>
      </c>
      <c r="D337" s="37" t="s">
        <v>1663</v>
      </c>
      <c r="E337" s="37" t="s">
        <v>1663</v>
      </c>
      <c r="F337" s="37" t="s">
        <v>1663</v>
      </c>
      <c r="G337" s="37" t="s">
        <v>1664</v>
      </c>
      <c r="H337" s="37" t="s">
        <v>1665</v>
      </c>
      <c r="I337" s="37" t="s">
        <v>1666</v>
      </c>
      <c r="J337" s="37" t="s">
        <v>92</v>
      </c>
      <c r="K337" s="37" t="s">
        <v>199</v>
      </c>
      <c r="L337" s="37" t="s">
        <v>199</v>
      </c>
      <c r="M337" s="37">
        <v>68307</v>
      </c>
      <c r="N337" s="38" t="s">
        <v>513</v>
      </c>
      <c r="S337" s="23">
        <f>VLOOKUP(A337,Hoja1!A:D,4,0)</f>
        <v>1</v>
      </c>
      <c r="T337" s="26" t="str">
        <f>VLOOKUP(M337,[1]TIPOLOGIAS!$A:$F,4,0)</f>
        <v>BUCARAMANGA</v>
      </c>
      <c r="U337" s="26" t="str">
        <f>VLOOKUP(T337,'BASE TARIFA 2025'!C:D,2,0)</f>
        <v>WOMPI SANTANDERES</v>
      </c>
      <c r="V337" s="27">
        <f>VLOOKUP(T337,'BASE TARIFA 2025'!C:F,3,0)</f>
        <v>37313</v>
      </c>
      <c r="W337" s="27">
        <f t="shared" si="5"/>
        <v>37313</v>
      </c>
    </row>
    <row r="338" spans="1:23" s="37" customFormat="1" ht="14.4" x14ac:dyDescent="0.3">
      <c r="A338" s="37">
        <v>23561</v>
      </c>
      <c r="B338" s="37" t="s">
        <v>3980</v>
      </c>
      <c r="C338" s="37">
        <v>18188083</v>
      </c>
      <c r="D338" s="37" t="s">
        <v>1667</v>
      </c>
      <c r="E338" s="37" t="s">
        <v>1659</v>
      </c>
      <c r="F338" s="37" t="s">
        <v>1659</v>
      </c>
      <c r="G338" s="37" t="s">
        <v>1668</v>
      </c>
      <c r="H338" s="37" t="s">
        <v>1669</v>
      </c>
      <c r="I338" s="37" t="s">
        <v>1670</v>
      </c>
      <c r="J338" s="37" t="s">
        <v>92</v>
      </c>
      <c r="K338" s="37" t="s">
        <v>199</v>
      </c>
      <c r="L338" s="37" t="s">
        <v>199</v>
      </c>
      <c r="M338" s="37">
        <v>68307</v>
      </c>
      <c r="N338" s="38" t="s">
        <v>416</v>
      </c>
      <c r="S338" s="23">
        <f>VLOOKUP(A338,Hoja1!A:D,4,0)</f>
        <v>2</v>
      </c>
      <c r="T338" s="26" t="str">
        <f>VLOOKUP(M338,[1]TIPOLOGIAS!$A:$F,4,0)</f>
        <v>BUCARAMANGA</v>
      </c>
      <c r="U338" s="26" t="str">
        <f>VLOOKUP(T338,'BASE TARIFA 2025'!C:D,2,0)</f>
        <v>WOMPI SANTANDERES</v>
      </c>
      <c r="V338" s="27">
        <f>VLOOKUP(T338,'BASE TARIFA 2025'!C:F,3,0)</f>
        <v>37313</v>
      </c>
      <c r="W338" s="27">
        <f t="shared" si="5"/>
        <v>74626</v>
      </c>
    </row>
    <row r="339" spans="1:23" s="37" customFormat="1" ht="14.4" x14ac:dyDescent="0.3">
      <c r="A339" s="37">
        <v>17512</v>
      </c>
      <c r="B339" s="37" t="s">
        <v>3981</v>
      </c>
      <c r="C339" s="37">
        <v>24391026</v>
      </c>
      <c r="D339" s="37" t="s">
        <v>1671</v>
      </c>
      <c r="E339" s="37" t="s">
        <v>1672</v>
      </c>
      <c r="F339" s="37" t="s">
        <v>1672</v>
      </c>
      <c r="G339" s="37" t="s">
        <v>1673</v>
      </c>
      <c r="H339" s="37" t="s">
        <v>1674</v>
      </c>
      <c r="I339" s="37" t="s">
        <v>1675</v>
      </c>
      <c r="J339" s="37" t="s">
        <v>92</v>
      </c>
      <c r="K339" s="37" t="s">
        <v>199</v>
      </c>
      <c r="L339" s="37" t="s">
        <v>199</v>
      </c>
      <c r="M339" s="37">
        <v>68307</v>
      </c>
      <c r="N339" s="38" t="s">
        <v>513</v>
      </c>
      <c r="S339" s="23">
        <f>VLOOKUP(A339,Hoja1!A:D,4,0)</f>
        <v>1</v>
      </c>
      <c r="T339" s="26" t="str">
        <f>VLOOKUP(M339,[1]TIPOLOGIAS!$A:$F,4,0)</f>
        <v>BUCARAMANGA</v>
      </c>
      <c r="U339" s="26" t="str">
        <f>VLOOKUP(T339,'BASE TARIFA 2025'!C:D,2,0)</f>
        <v>WOMPI SANTANDERES</v>
      </c>
      <c r="V339" s="27">
        <f>VLOOKUP(T339,'BASE TARIFA 2025'!C:F,3,0)</f>
        <v>37313</v>
      </c>
      <c r="W339" s="27">
        <f t="shared" si="5"/>
        <v>37313</v>
      </c>
    </row>
    <row r="340" spans="1:23" s="37" customFormat="1" ht="14.4" x14ac:dyDescent="0.3">
      <c r="A340" s="37">
        <v>25851</v>
      </c>
      <c r="B340" s="37" t="s">
        <v>3982</v>
      </c>
      <c r="C340" s="37">
        <v>901021437</v>
      </c>
      <c r="D340" s="37" t="s">
        <v>1676</v>
      </c>
      <c r="E340" s="37" t="s">
        <v>1677</v>
      </c>
      <c r="F340" s="37" t="s">
        <v>1677</v>
      </c>
      <c r="G340" s="37" t="s">
        <v>1678</v>
      </c>
      <c r="H340" s="37" t="s">
        <v>1679</v>
      </c>
      <c r="I340" s="37" t="s">
        <v>1680</v>
      </c>
      <c r="J340" s="37" t="s">
        <v>92</v>
      </c>
      <c r="K340" s="37" t="s">
        <v>199</v>
      </c>
      <c r="L340" s="37" t="s">
        <v>199</v>
      </c>
      <c r="M340" s="37">
        <v>68307</v>
      </c>
      <c r="N340" s="38" t="s">
        <v>841</v>
      </c>
      <c r="S340" s="23">
        <f>VLOOKUP(A340,Hoja1!A:D,4,0)</f>
        <v>1</v>
      </c>
      <c r="T340" s="26" t="str">
        <f>VLOOKUP(M340,[1]TIPOLOGIAS!$A:$F,4,0)</f>
        <v>BUCARAMANGA</v>
      </c>
      <c r="U340" s="26" t="str">
        <f>VLOOKUP(T340,'BASE TARIFA 2025'!C:D,2,0)</f>
        <v>WOMPI SANTANDERES</v>
      </c>
      <c r="V340" s="27">
        <f>VLOOKUP(T340,'BASE TARIFA 2025'!C:F,3,0)</f>
        <v>37313</v>
      </c>
      <c r="W340" s="27">
        <f t="shared" si="5"/>
        <v>37313</v>
      </c>
    </row>
    <row r="341" spans="1:23" s="37" customFormat="1" ht="14.4" x14ac:dyDescent="0.3">
      <c r="A341" s="37">
        <v>50963</v>
      </c>
      <c r="B341" s="37" t="s">
        <v>3983</v>
      </c>
      <c r="C341" s="37">
        <v>24391026</v>
      </c>
      <c r="D341" s="37" t="s">
        <v>1681</v>
      </c>
      <c r="E341" s="37" t="s">
        <v>1682</v>
      </c>
      <c r="F341" s="37" t="s">
        <v>1682</v>
      </c>
      <c r="G341" s="37" t="s">
        <v>1683</v>
      </c>
      <c r="H341" s="37" t="s">
        <v>1684</v>
      </c>
      <c r="I341" s="37" t="s">
        <v>1685</v>
      </c>
      <c r="J341" s="37" t="s">
        <v>92</v>
      </c>
      <c r="K341" s="37" t="s">
        <v>1686</v>
      </c>
      <c r="L341" s="37" t="s">
        <v>1686</v>
      </c>
      <c r="M341" s="37">
        <v>68327</v>
      </c>
      <c r="N341" s="38" t="s">
        <v>430</v>
      </c>
      <c r="S341" s="23">
        <f>VLOOKUP(A341,Hoja1!A:D,4,0)</f>
        <v>1</v>
      </c>
      <c r="T341" s="26" t="str">
        <f>VLOOKUP(M341,[1]TIPOLOGIAS!$A:$F,4,0)</f>
        <v>BUCARAMANGA</v>
      </c>
      <c r="U341" s="26" t="str">
        <f>VLOOKUP(T341,'BASE TARIFA 2025'!C:D,2,0)</f>
        <v>WOMPI SANTANDERES</v>
      </c>
      <c r="V341" s="27">
        <f>VLOOKUP(T341,'BASE TARIFA 2025'!C:F,3,0)</f>
        <v>37313</v>
      </c>
      <c r="W341" s="27">
        <f t="shared" si="5"/>
        <v>37313</v>
      </c>
    </row>
    <row r="342" spans="1:23" s="37" customFormat="1" ht="14.4" x14ac:dyDescent="0.3">
      <c r="A342" s="37">
        <v>60536</v>
      </c>
      <c r="B342" s="37" t="s">
        <v>3984</v>
      </c>
      <c r="C342" s="37">
        <v>8419046</v>
      </c>
      <c r="D342" s="37" t="s">
        <v>1687</v>
      </c>
      <c r="E342" s="37" t="s">
        <v>1688</v>
      </c>
      <c r="F342" s="37" t="s">
        <v>1688</v>
      </c>
      <c r="G342" s="37" t="s">
        <v>1689</v>
      </c>
      <c r="H342" s="37" t="s">
        <v>1690</v>
      </c>
      <c r="I342" s="37" t="s">
        <v>1691</v>
      </c>
      <c r="J342" s="37" t="s">
        <v>92</v>
      </c>
      <c r="K342" s="37" t="s">
        <v>1686</v>
      </c>
      <c r="L342" s="37" t="s">
        <v>1686</v>
      </c>
      <c r="M342" s="37">
        <v>68327</v>
      </c>
      <c r="N342" s="38" t="s">
        <v>430</v>
      </c>
      <c r="S342" s="23">
        <f>VLOOKUP(A342,Hoja1!A:D,4,0)</f>
        <v>4</v>
      </c>
      <c r="T342" s="26" t="str">
        <f>VLOOKUP(M342,[1]TIPOLOGIAS!$A:$F,4,0)</f>
        <v>BUCARAMANGA</v>
      </c>
      <c r="U342" s="26" t="str">
        <f>VLOOKUP(T342,'BASE TARIFA 2025'!C:D,2,0)</f>
        <v>WOMPI SANTANDERES</v>
      </c>
      <c r="V342" s="27">
        <f>VLOOKUP(T342,'BASE TARIFA 2025'!C:F,3,0)</f>
        <v>37313</v>
      </c>
      <c r="W342" s="27">
        <f t="shared" si="5"/>
        <v>149252</v>
      </c>
    </row>
    <row r="343" spans="1:23" s="37" customFormat="1" ht="14.4" x14ac:dyDescent="0.3">
      <c r="A343" s="37">
        <v>78878</v>
      </c>
      <c r="B343" s="37" t="s">
        <v>3985</v>
      </c>
      <c r="C343" s="37">
        <v>71634504</v>
      </c>
      <c r="D343" s="37" t="s">
        <v>1692</v>
      </c>
      <c r="E343" s="37" t="s">
        <v>1692</v>
      </c>
      <c r="F343" s="37" t="s">
        <v>1692</v>
      </c>
      <c r="G343" s="37" t="s">
        <v>1693</v>
      </c>
      <c r="H343" s="37" t="s">
        <v>1694</v>
      </c>
      <c r="I343" s="37" t="s">
        <v>1695</v>
      </c>
      <c r="J343" s="37" t="s">
        <v>92</v>
      </c>
      <c r="K343" s="37" t="s">
        <v>1686</v>
      </c>
      <c r="L343" s="37" t="s">
        <v>1686</v>
      </c>
      <c r="M343" s="37">
        <v>68327</v>
      </c>
      <c r="N343" s="38" t="s">
        <v>430</v>
      </c>
      <c r="S343" s="23">
        <f>VLOOKUP(A343,Hoja1!A:D,4,0)</f>
        <v>3</v>
      </c>
      <c r="T343" s="26" t="str">
        <f>VLOOKUP(M343,[1]TIPOLOGIAS!$A:$F,4,0)</f>
        <v>BUCARAMANGA</v>
      </c>
      <c r="U343" s="26" t="str">
        <f>VLOOKUP(T343,'BASE TARIFA 2025'!C:D,2,0)</f>
        <v>WOMPI SANTANDERES</v>
      </c>
      <c r="V343" s="27">
        <f>VLOOKUP(T343,'BASE TARIFA 2025'!C:F,3,0)</f>
        <v>37313</v>
      </c>
      <c r="W343" s="27">
        <f t="shared" si="5"/>
        <v>111939</v>
      </c>
    </row>
    <row r="344" spans="1:23" s="37" customFormat="1" ht="14.4" x14ac:dyDescent="0.3">
      <c r="A344" s="37">
        <v>66792</v>
      </c>
      <c r="B344" s="37" t="s">
        <v>3986</v>
      </c>
      <c r="C344" s="37">
        <v>4472369</v>
      </c>
      <c r="D344" s="37" t="s">
        <v>1696</v>
      </c>
      <c r="E344" s="37" t="s">
        <v>1696</v>
      </c>
      <c r="F344" s="37" t="s">
        <v>1696</v>
      </c>
      <c r="G344" s="37" t="s">
        <v>1697</v>
      </c>
      <c r="H344" s="37" t="s">
        <v>1698</v>
      </c>
      <c r="I344" s="37" t="s">
        <v>1699</v>
      </c>
      <c r="J344" s="37" t="s">
        <v>92</v>
      </c>
      <c r="K344" s="37" t="s">
        <v>1686</v>
      </c>
      <c r="L344" s="37" t="s">
        <v>1686</v>
      </c>
      <c r="M344" s="37">
        <v>68327</v>
      </c>
      <c r="N344" s="38" t="s">
        <v>430</v>
      </c>
      <c r="S344" s="23">
        <f>VLOOKUP(A344,Hoja1!A:D,4,0)</f>
        <v>1</v>
      </c>
      <c r="T344" s="26" t="str">
        <f>VLOOKUP(M344,[1]TIPOLOGIAS!$A:$F,4,0)</f>
        <v>BUCARAMANGA</v>
      </c>
      <c r="U344" s="26" t="str">
        <f>VLOOKUP(T344,'BASE TARIFA 2025'!C:D,2,0)</f>
        <v>WOMPI SANTANDERES</v>
      </c>
      <c r="V344" s="27">
        <f>VLOOKUP(T344,'BASE TARIFA 2025'!C:F,3,0)</f>
        <v>37313</v>
      </c>
      <c r="W344" s="27">
        <f t="shared" si="5"/>
        <v>37313</v>
      </c>
    </row>
    <row r="345" spans="1:23" s="37" customFormat="1" ht="14.4" x14ac:dyDescent="0.3">
      <c r="A345" s="37">
        <v>63865</v>
      </c>
      <c r="B345" s="37" t="s">
        <v>3987</v>
      </c>
      <c r="C345" s="37">
        <v>900490352</v>
      </c>
      <c r="D345" s="37" t="s">
        <v>1700</v>
      </c>
      <c r="E345" s="37" t="s">
        <v>1701</v>
      </c>
      <c r="F345" s="37" t="s">
        <v>1701</v>
      </c>
      <c r="G345" s="37" t="s">
        <v>1702</v>
      </c>
      <c r="H345" s="37" t="s">
        <v>1703</v>
      </c>
      <c r="I345" s="37" t="s">
        <v>1704</v>
      </c>
      <c r="J345" s="37" t="s">
        <v>92</v>
      </c>
      <c r="K345" s="37" t="s">
        <v>1686</v>
      </c>
      <c r="L345" s="37" t="s">
        <v>1686</v>
      </c>
      <c r="M345" s="37">
        <v>68327</v>
      </c>
      <c r="N345" s="38" t="s">
        <v>430</v>
      </c>
      <c r="S345" s="23">
        <f>VLOOKUP(A345,Hoja1!A:D,4,0)</f>
        <v>1</v>
      </c>
      <c r="T345" s="26" t="str">
        <f>VLOOKUP(M345,[1]TIPOLOGIAS!$A:$F,4,0)</f>
        <v>BUCARAMANGA</v>
      </c>
      <c r="U345" s="26" t="str">
        <f>VLOOKUP(T345,'BASE TARIFA 2025'!C:D,2,0)</f>
        <v>WOMPI SANTANDERES</v>
      </c>
      <c r="V345" s="27">
        <f>VLOOKUP(T345,'BASE TARIFA 2025'!C:F,3,0)</f>
        <v>37313</v>
      </c>
      <c r="W345" s="27">
        <f t="shared" si="5"/>
        <v>37313</v>
      </c>
    </row>
    <row r="346" spans="1:23" s="37" customFormat="1" ht="14.4" x14ac:dyDescent="0.3">
      <c r="A346" s="37">
        <v>66881</v>
      </c>
      <c r="B346" s="37" t="s">
        <v>3988</v>
      </c>
      <c r="C346" s="37">
        <v>901615052</v>
      </c>
      <c r="D346" s="37" t="s">
        <v>1705</v>
      </c>
      <c r="E346" s="37" t="s">
        <v>1706</v>
      </c>
      <c r="F346" s="37" t="s">
        <v>1706</v>
      </c>
      <c r="G346" s="37" t="s">
        <v>1707</v>
      </c>
      <c r="H346" s="37" t="s">
        <v>1708</v>
      </c>
      <c r="I346" s="37" t="s">
        <v>1709</v>
      </c>
      <c r="J346" s="37" t="s">
        <v>92</v>
      </c>
      <c r="K346" s="37" t="s">
        <v>1710</v>
      </c>
      <c r="L346" s="37" t="s">
        <v>1710</v>
      </c>
      <c r="M346" s="37">
        <v>68533</v>
      </c>
      <c r="N346" s="38" t="s">
        <v>324</v>
      </c>
      <c r="S346" s="23">
        <f>VLOOKUP(A346,Hoja1!A:D,4,0)</f>
        <v>1</v>
      </c>
      <c r="T346" s="26" t="str">
        <f>VLOOKUP(M346,[1]TIPOLOGIAS!$A:$F,4,0)</f>
        <v>BUCARAMANGA</v>
      </c>
      <c r="U346" s="26" t="str">
        <f>VLOOKUP(T346,'BASE TARIFA 2025'!C:D,2,0)</f>
        <v>WOMPI SANTANDERES</v>
      </c>
      <c r="V346" s="27">
        <f>VLOOKUP(T346,'BASE TARIFA 2025'!C:F,3,0)</f>
        <v>37313</v>
      </c>
      <c r="W346" s="27">
        <f t="shared" si="5"/>
        <v>37313</v>
      </c>
    </row>
    <row r="347" spans="1:23" s="37" customFormat="1" ht="14.4" x14ac:dyDescent="0.3">
      <c r="A347" s="37">
        <v>41315</v>
      </c>
      <c r="B347" s="37" t="s">
        <v>3989</v>
      </c>
      <c r="C347" s="37">
        <v>901148765</v>
      </c>
      <c r="D347" s="37" t="s">
        <v>1711</v>
      </c>
      <c r="E347" s="37" t="s">
        <v>1711</v>
      </c>
      <c r="F347" s="37" t="s">
        <v>1711</v>
      </c>
      <c r="G347" s="37" t="s">
        <v>1712</v>
      </c>
      <c r="H347" s="37" t="s">
        <v>1713</v>
      </c>
      <c r="I347" s="37" t="s">
        <v>1714</v>
      </c>
      <c r="J347" s="37" t="s">
        <v>92</v>
      </c>
      <c r="K347" s="37" t="s">
        <v>1710</v>
      </c>
      <c r="L347" s="37" t="s">
        <v>1710</v>
      </c>
      <c r="M347" s="37">
        <v>68533</v>
      </c>
      <c r="N347" s="38" t="s">
        <v>324</v>
      </c>
      <c r="S347" s="23">
        <f>VLOOKUP(A347,Hoja1!A:D,4,0)</f>
        <v>1</v>
      </c>
      <c r="T347" s="26" t="str">
        <f>VLOOKUP(M347,[1]TIPOLOGIAS!$A:$F,4,0)</f>
        <v>BUCARAMANGA</v>
      </c>
      <c r="U347" s="26" t="str">
        <f>VLOOKUP(T347,'BASE TARIFA 2025'!C:D,2,0)</f>
        <v>WOMPI SANTANDERES</v>
      </c>
      <c r="V347" s="27">
        <f>VLOOKUP(T347,'BASE TARIFA 2025'!C:F,3,0)</f>
        <v>37313</v>
      </c>
      <c r="W347" s="27">
        <f t="shared" si="5"/>
        <v>37313</v>
      </c>
    </row>
    <row r="348" spans="1:23" s="37" customFormat="1" ht="14.4" x14ac:dyDescent="0.3">
      <c r="A348" s="37">
        <v>36823</v>
      </c>
      <c r="B348" s="37" t="s">
        <v>3990</v>
      </c>
      <c r="C348" s="37">
        <v>900958988</v>
      </c>
      <c r="D348" s="37" t="s">
        <v>1715</v>
      </c>
      <c r="E348" s="37" t="s">
        <v>1715</v>
      </c>
      <c r="G348" s="37" t="s">
        <v>1716</v>
      </c>
      <c r="H348" s="37" t="s">
        <v>1717</v>
      </c>
      <c r="I348" s="37" t="s">
        <v>1718</v>
      </c>
      <c r="J348" s="37" t="s">
        <v>71</v>
      </c>
      <c r="K348" s="37" t="s">
        <v>1625</v>
      </c>
      <c r="L348" s="37" t="s">
        <v>1625</v>
      </c>
      <c r="M348" s="37">
        <v>15696</v>
      </c>
      <c r="N348" s="38" t="s">
        <v>513</v>
      </c>
      <c r="S348" s="23">
        <f>VLOOKUP(A348,Hoja1!A:D,4,0)</f>
        <v>1</v>
      </c>
      <c r="T348" s="26" t="str">
        <f>VLOOKUP(M348,[1]TIPOLOGIAS!$A:$F,4,0)</f>
        <v>TUNJA</v>
      </c>
      <c r="U348" s="26" t="str">
        <f>VLOOKUP(T348,'BASE TARIFA 2025'!C:D,2,0)</f>
        <v>WOMPI SANTANDERES</v>
      </c>
      <c r="V348" s="27">
        <f>VLOOKUP(T348,'BASE TARIFA 2025'!C:F,3,0)</f>
        <v>49671.7</v>
      </c>
      <c r="W348" s="27">
        <f t="shared" si="5"/>
        <v>49671.7</v>
      </c>
    </row>
    <row r="349" spans="1:23" s="37" customFormat="1" ht="14.4" x14ac:dyDescent="0.3">
      <c r="A349" s="37">
        <v>38864</v>
      </c>
      <c r="B349" s="37" t="s">
        <v>3991</v>
      </c>
      <c r="C349" s="37">
        <v>900595830</v>
      </c>
      <c r="D349" s="37" t="s">
        <v>1719</v>
      </c>
      <c r="E349" s="37" t="s">
        <v>1720</v>
      </c>
      <c r="F349" s="37" t="s">
        <v>1720</v>
      </c>
      <c r="G349" s="37" t="s">
        <v>1721</v>
      </c>
      <c r="H349" s="37" t="s">
        <v>1722</v>
      </c>
      <c r="I349" s="37" t="s">
        <v>1723</v>
      </c>
      <c r="J349" s="37" t="s">
        <v>71</v>
      </c>
      <c r="K349" s="37" t="s">
        <v>76</v>
      </c>
      <c r="L349" s="37" t="s">
        <v>76</v>
      </c>
      <c r="M349" s="37">
        <v>15861</v>
      </c>
      <c r="N349" s="38" t="s">
        <v>416</v>
      </c>
      <c r="S349" s="23">
        <f>VLOOKUP(A349,Hoja1!A:D,4,0)</f>
        <v>1</v>
      </c>
      <c r="T349" s="26" t="str">
        <f>VLOOKUP(M349,[1]TIPOLOGIAS!$A:$F,4,0)</f>
        <v>TUNJA</v>
      </c>
      <c r="U349" s="26" t="str">
        <f>VLOOKUP(T349,'BASE TARIFA 2025'!C:D,2,0)</f>
        <v>WOMPI SANTANDERES</v>
      </c>
      <c r="V349" s="27">
        <f>VLOOKUP(T349,'BASE TARIFA 2025'!C:F,3,0)</f>
        <v>49671.7</v>
      </c>
      <c r="W349" s="27">
        <f t="shared" si="5"/>
        <v>49671.7</v>
      </c>
    </row>
    <row r="350" spans="1:23" s="37" customFormat="1" ht="14.4" x14ac:dyDescent="0.3">
      <c r="A350" s="37">
        <v>52284</v>
      </c>
      <c r="B350" s="37" t="s">
        <v>3992</v>
      </c>
      <c r="C350" s="37">
        <v>70826023</v>
      </c>
      <c r="D350" s="37" t="s">
        <v>1724</v>
      </c>
      <c r="E350" s="37" t="s">
        <v>1725</v>
      </c>
      <c r="F350" s="37" t="s">
        <v>1725</v>
      </c>
      <c r="G350" s="37" t="s">
        <v>1726</v>
      </c>
      <c r="H350" s="37" t="s">
        <v>1727</v>
      </c>
      <c r="I350" s="37" t="s">
        <v>1728</v>
      </c>
      <c r="J350" s="37" t="s">
        <v>71</v>
      </c>
      <c r="K350" s="37" t="s">
        <v>76</v>
      </c>
      <c r="L350" s="37" t="s">
        <v>76</v>
      </c>
      <c r="M350" s="37">
        <v>15861</v>
      </c>
      <c r="N350" s="38" t="s">
        <v>416</v>
      </c>
      <c r="S350" s="23">
        <f>VLOOKUP(A350,Hoja1!A:D,4,0)</f>
        <v>2</v>
      </c>
      <c r="T350" s="26" t="str">
        <f>VLOOKUP(M350,[1]TIPOLOGIAS!$A:$F,4,0)</f>
        <v>TUNJA</v>
      </c>
      <c r="U350" s="26" t="str">
        <f>VLOOKUP(T350,'BASE TARIFA 2025'!C:D,2,0)</f>
        <v>WOMPI SANTANDERES</v>
      </c>
      <c r="V350" s="27">
        <f>VLOOKUP(T350,'BASE TARIFA 2025'!C:F,3,0)</f>
        <v>49671.7</v>
      </c>
      <c r="W350" s="27">
        <f t="shared" si="5"/>
        <v>99343.4</v>
      </c>
    </row>
    <row r="351" spans="1:23" s="37" customFormat="1" ht="14.4" x14ac:dyDescent="0.3">
      <c r="A351" s="37">
        <v>77904</v>
      </c>
      <c r="B351" s="37" t="s">
        <v>3993</v>
      </c>
      <c r="C351" s="37">
        <v>1067940364</v>
      </c>
      <c r="D351" s="37" t="s">
        <v>1729</v>
      </c>
      <c r="E351" s="37" t="s">
        <v>1729</v>
      </c>
      <c r="F351" s="37" t="s">
        <v>1729</v>
      </c>
      <c r="G351" s="37" t="s">
        <v>1730</v>
      </c>
      <c r="H351" s="37" t="s">
        <v>1731</v>
      </c>
      <c r="I351" s="37" t="s">
        <v>1732</v>
      </c>
      <c r="J351" s="37" t="s">
        <v>71</v>
      </c>
      <c r="K351" s="37" t="s">
        <v>76</v>
      </c>
      <c r="L351" s="37" t="s">
        <v>76</v>
      </c>
      <c r="M351" s="37">
        <v>15861</v>
      </c>
      <c r="N351" s="38" t="s">
        <v>416</v>
      </c>
      <c r="S351" s="23">
        <f>VLOOKUP(A351,Hoja1!A:D,4,0)</f>
        <v>2</v>
      </c>
      <c r="T351" s="26" t="str">
        <f>VLOOKUP(M351,[1]TIPOLOGIAS!$A:$F,4,0)</f>
        <v>TUNJA</v>
      </c>
      <c r="U351" s="26" t="str">
        <f>VLOOKUP(T351,'BASE TARIFA 2025'!C:D,2,0)</f>
        <v>WOMPI SANTANDERES</v>
      </c>
      <c r="V351" s="27">
        <f>VLOOKUP(T351,'BASE TARIFA 2025'!C:F,3,0)</f>
        <v>49671.7</v>
      </c>
      <c r="W351" s="27">
        <f t="shared" si="5"/>
        <v>99343.4</v>
      </c>
    </row>
    <row r="352" spans="1:23" s="37" customFormat="1" ht="14.4" x14ac:dyDescent="0.3">
      <c r="A352" s="37">
        <v>77682</v>
      </c>
      <c r="B352" s="37" t="s">
        <v>3994</v>
      </c>
      <c r="C352" s="37">
        <v>37275797</v>
      </c>
      <c r="D352" s="37" t="s">
        <v>1733</v>
      </c>
      <c r="E352" s="37" t="s">
        <v>1733</v>
      </c>
      <c r="F352" s="37" t="s">
        <v>1733</v>
      </c>
      <c r="G352" s="37" t="s">
        <v>1734</v>
      </c>
      <c r="H352" s="37" t="s">
        <v>1735</v>
      </c>
      <c r="I352" s="37" t="s">
        <v>1736</v>
      </c>
      <c r="J352" s="37" t="s">
        <v>71</v>
      </c>
      <c r="K352" s="37" t="s">
        <v>76</v>
      </c>
      <c r="L352" s="37" t="s">
        <v>76</v>
      </c>
      <c r="M352" s="37">
        <v>15861</v>
      </c>
      <c r="N352" s="38" t="s">
        <v>416</v>
      </c>
      <c r="S352" s="23">
        <f>VLOOKUP(A352,Hoja1!A:D,4,0)</f>
        <v>2</v>
      </c>
      <c r="T352" s="26" t="str">
        <f>VLOOKUP(M352,[1]TIPOLOGIAS!$A:$F,4,0)</f>
        <v>TUNJA</v>
      </c>
      <c r="U352" s="26" t="str">
        <f>VLOOKUP(T352,'BASE TARIFA 2025'!C:D,2,0)</f>
        <v>WOMPI SANTANDERES</v>
      </c>
      <c r="V352" s="27">
        <f>VLOOKUP(T352,'BASE TARIFA 2025'!C:F,3,0)</f>
        <v>49671.7</v>
      </c>
      <c r="W352" s="27">
        <f t="shared" si="5"/>
        <v>99343.4</v>
      </c>
    </row>
    <row r="353" spans="1:23" s="37" customFormat="1" ht="14.4" x14ac:dyDescent="0.3">
      <c r="A353" s="37">
        <v>77931</v>
      </c>
      <c r="B353" s="37" t="s">
        <v>3658</v>
      </c>
      <c r="C353" s="37">
        <v>1067852833</v>
      </c>
      <c r="D353" s="37" t="s">
        <v>1724</v>
      </c>
      <c r="E353" s="37" t="s">
        <v>1737</v>
      </c>
      <c r="F353" s="37" t="s">
        <v>1737</v>
      </c>
      <c r="G353" s="37" t="s">
        <v>1738</v>
      </c>
      <c r="H353" s="37" t="s">
        <v>1739</v>
      </c>
      <c r="I353" s="37" t="s">
        <v>1740</v>
      </c>
      <c r="J353" s="37" t="s">
        <v>71</v>
      </c>
      <c r="K353" s="37" t="s">
        <v>76</v>
      </c>
      <c r="L353" s="37" t="s">
        <v>76</v>
      </c>
      <c r="M353" s="37">
        <v>15861</v>
      </c>
      <c r="N353" s="38" t="s">
        <v>416</v>
      </c>
      <c r="S353" s="23">
        <f>VLOOKUP(A353,Hoja1!A:D,4,0)</f>
        <v>2</v>
      </c>
      <c r="T353" s="26" t="str">
        <f>VLOOKUP(M353,[1]TIPOLOGIAS!$A:$F,4,0)</f>
        <v>TUNJA</v>
      </c>
      <c r="U353" s="26" t="str">
        <f>VLOOKUP(T353,'BASE TARIFA 2025'!C:D,2,0)</f>
        <v>WOMPI SANTANDERES</v>
      </c>
      <c r="V353" s="27">
        <f>VLOOKUP(T353,'BASE TARIFA 2025'!C:F,3,0)</f>
        <v>49671.7</v>
      </c>
      <c r="W353" s="27">
        <f t="shared" si="5"/>
        <v>99343.4</v>
      </c>
    </row>
    <row r="354" spans="1:23" s="37" customFormat="1" ht="14.4" x14ac:dyDescent="0.3">
      <c r="A354" s="37">
        <v>77932</v>
      </c>
      <c r="B354" s="37" t="s">
        <v>3995</v>
      </c>
      <c r="C354" s="37">
        <v>1067930375</v>
      </c>
      <c r="D354" s="37" t="s">
        <v>67</v>
      </c>
      <c r="E354" s="37" t="s">
        <v>182</v>
      </c>
      <c r="F354" s="37" t="s">
        <v>182</v>
      </c>
      <c r="G354" s="37" t="s">
        <v>1741</v>
      </c>
      <c r="H354" s="37" t="s">
        <v>1742</v>
      </c>
      <c r="I354" s="37" t="s">
        <v>1743</v>
      </c>
      <c r="J354" s="37" t="s">
        <v>77</v>
      </c>
      <c r="K354" s="37" t="s">
        <v>78</v>
      </c>
      <c r="L354" s="37" t="s">
        <v>78</v>
      </c>
      <c r="M354" s="37">
        <v>17042</v>
      </c>
      <c r="N354" s="38" t="s">
        <v>503</v>
      </c>
      <c r="S354" s="23">
        <f>VLOOKUP(A354,Hoja1!A:D,4,0)</f>
        <v>1</v>
      </c>
      <c r="T354" s="26" t="str">
        <f>VLOOKUP(M354,[1]TIPOLOGIAS!$A:$F,4,0)</f>
        <v>MANIZALES</v>
      </c>
      <c r="U354" s="26" t="str">
        <f>VLOOKUP(T354,'BASE TARIFA 2025'!C:D,2,0)</f>
        <v>WOMPI EJE CAFETERO</v>
      </c>
      <c r="V354" s="27">
        <f>VLOOKUP(T354,'BASE TARIFA 2025'!C:F,3,0)</f>
        <v>49671.7</v>
      </c>
      <c r="W354" s="27">
        <f t="shared" si="5"/>
        <v>49671.7</v>
      </c>
    </row>
    <row r="355" spans="1:23" s="37" customFormat="1" ht="14.4" x14ac:dyDescent="0.3">
      <c r="A355" s="37">
        <v>78089</v>
      </c>
      <c r="B355" s="37" t="s">
        <v>3996</v>
      </c>
      <c r="C355" s="37">
        <v>1047464518</v>
      </c>
      <c r="D355" s="37" t="s">
        <v>1744</v>
      </c>
      <c r="E355" s="37" t="s">
        <v>1744</v>
      </c>
      <c r="F355" s="37" t="s">
        <v>1745</v>
      </c>
      <c r="G355" s="37" t="s">
        <v>1746</v>
      </c>
      <c r="H355" s="37" t="s">
        <v>1747</v>
      </c>
      <c r="I355" s="37" t="s">
        <v>1748</v>
      </c>
      <c r="J355" s="37" t="s">
        <v>77</v>
      </c>
      <c r="K355" s="37" t="s">
        <v>78</v>
      </c>
      <c r="L355" s="37" t="s">
        <v>78</v>
      </c>
      <c r="M355" s="37">
        <v>17042</v>
      </c>
      <c r="N355" s="38" t="s">
        <v>322</v>
      </c>
      <c r="S355" s="23">
        <f>VLOOKUP(A355,Hoja1!A:D,4,0)</f>
        <v>2</v>
      </c>
      <c r="T355" s="26" t="str">
        <f>VLOOKUP(M355,[1]TIPOLOGIAS!$A:$F,4,0)</f>
        <v>MANIZALES</v>
      </c>
      <c r="U355" s="26" t="str">
        <f>VLOOKUP(T355,'BASE TARIFA 2025'!C:D,2,0)</f>
        <v>WOMPI EJE CAFETERO</v>
      </c>
      <c r="V355" s="27">
        <f>VLOOKUP(T355,'BASE TARIFA 2025'!C:F,3,0)</f>
        <v>49671.7</v>
      </c>
      <c r="W355" s="27">
        <f t="shared" si="5"/>
        <v>99343.4</v>
      </c>
    </row>
    <row r="356" spans="1:23" s="37" customFormat="1" ht="14.4" x14ac:dyDescent="0.3">
      <c r="A356" s="37">
        <v>77464</v>
      </c>
      <c r="B356" s="37" t="s">
        <v>3997</v>
      </c>
      <c r="C356" s="37">
        <v>78115134</v>
      </c>
      <c r="D356" s="37" t="s">
        <v>79</v>
      </c>
      <c r="E356" s="37" t="s">
        <v>1749</v>
      </c>
      <c r="F356" s="37" t="s">
        <v>1749</v>
      </c>
      <c r="G356" s="37" t="s">
        <v>1750</v>
      </c>
      <c r="H356" s="37" t="s">
        <v>1751</v>
      </c>
      <c r="I356" s="37" t="s">
        <v>1752</v>
      </c>
      <c r="J356" s="37" t="s">
        <v>77</v>
      </c>
      <c r="K356" s="37" t="s">
        <v>78</v>
      </c>
      <c r="L356" s="37" t="s">
        <v>78</v>
      </c>
      <c r="M356" s="37">
        <v>17042</v>
      </c>
      <c r="N356" s="38" t="s">
        <v>322</v>
      </c>
      <c r="S356" s="23">
        <f>VLOOKUP(A356,Hoja1!A:D,4,0)</f>
        <v>1</v>
      </c>
      <c r="T356" s="26" t="str">
        <f>VLOOKUP(M356,[1]TIPOLOGIAS!$A:$F,4,0)</f>
        <v>MANIZALES</v>
      </c>
      <c r="U356" s="26" t="str">
        <f>VLOOKUP(T356,'BASE TARIFA 2025'!C:D,2,0)</f>
        <v>WOMPI EJE CAFETERO</v>
      </c>
      <c r="V356" s="27">
        <f>VLOOKUP(T356,'BASE TARIFA 2025'!C:F,3,0)</f>
        <v>49671.7</v>
      </c>
      <c r="W356" s="27">
        <f t="shared" si="5"/>
        <v>49671.7</v>
      </c>
    </row>
    <row r="357" spans="1:23" s="37" customFormat="1" ht="14.4" x14ac:dyDescent="0.3">
      <c r="A357" s="37">
        <v>76317</v>
      </c>
      <c r="B357" s="37" t="s">
        <v>3998</v>
      </c>
      <c r="C357" s="37">
        <v>25894834</v>
      </c>
      <c r="D357" s="37" t="s">
        <v>1753</v>
      </c>
      <c r="E357" s="37" t="s">
        <v>1754</v>
      </c>
      <c r="F357" s="37" t="s">
        <v>1754</v>
      </c>
      <c r="G357" s="37" t="s">
        <v>1755</v>
      </c>
      <c r="H357" s="37" t="s">
        <v>1756</v>
      </c>
      <c r="I357" s="37" t="s">
        <v>1757</v>
      </c>
      <c r="J357" s="37" t="s">
        <v>68</v>
      </c>
      <c r="K357" s="37" t="s">
        <v>1758</v>
      </c>
      <c r="L357" s="37" t="s">
        <v>1758</v>
      </c>
      <c r="M357" s="37">
        <v>25592</v>
      </c>
      <c r="N357" s="38" t="s">
        <v>853</v>
      </c>
      <c r="S357" s="23">
        <f>VLOOKUP(A357,Hoja1!A:D,4,0)</f>
        <v>2</v>
      </c>
      <c r="T357" s="26" t="str">
        <f>VLOOKUP(M357,[1]TIPOLOGIAS!$A:$F,4,0)</f>
        <v>BOGOTA</v>
      </c>
      <c r="U357" s="26" t="str">
        <f>VLOOKUP(T357,'BASE TARIFA 2025'!C:D,2,0)</f>
        <v>WOMPI CENTRO</v>
      </c>
      <c r="V357" s="27">
        <f>VLOOKUP(T357,'BASE TARIFA 2025'!C:F,3,0)</f>
        <v>37313</v>
      </c>
      <c r="W357" s="27">
        <f t="shared" si="5"/>
        <v>74626</v>
      </c>
    </row>
    <row r="358" spans="1:23" s="37" customFormat="1" ht="14.4" x14ac:dyDescent="0.3">
      <c r="A358" s="37">
        <v>75645</v>
      </c>
      <c r="B358" s="37" t="s">
        <v>3999</v>
      </c>
      <c r="C358" s="37">
        <v>45447332</v>
      </c>
      <c r="D358" s="37" t="s">
        <v>1759</v>
      </c>
      <c r="E358" s="37" t="s">
        <v>1760</v>
      </c>
      <c r="F358" s="37" t="s">
        <v>1760</v>
      </c>
      <c r="G358" s="37" t="s">
        <v>1761</v>
      </c>
      <c r="H358" s="37" t="s">
        <v>1762</v>
      </c>
      <c r="I358" s="37" t="s">
        <v>1763</v>
      </c>
      <c r="J358" s="37" t="s">
        <v>68</v>
      </c>
      <c r="K358" s="37" t="s">
        <v>1758</v>
      </c>
      <c r="L358" s="37" t="s">
        <v>1758</v>
      </c>
      <c r="M358" s="37">
        <v>25592</v>
      </c>
      <c r="N358" s="38" t="s">
        <v>853</v>
      </c>
      <c r="S358" s="23">
        <f>VLOOKUP(A358,Hoja1!A:D,4,0)</f>
        <v>2</v>
      </c>
      <c r="T358" s="26" t="str">
        <f>VLOOKUP(M358,[1]TIPOLOGIAS!$A:$F,4,0)</f>
        <v>BOGOTA</v>
      </c>
      <c r="U358" s="26" t="str">
        <f>VLOOKUP(T358,'BASE TARIFA 2025'!C:D,2,0)</f>
        <v>WOMPI CENTRO</v>
      </c>
      <c r="V358" s="27">
        <f>VLOOKUP(T358,'BASE TARIFA 2025'!C:F,3,0)</f>
        <v>37313</v>
      </c>
      <c r="W358" s="27">
        <f t="shared" si="5"/>
        <v>74626</v>
      </c>
    </row>
    <row r="359" spans="1:23" s="37" customFormat="1" ht="14.4" x14ac:dyDescent="0.3">
      <c r="A359" s="37">
        <v>74578</v>
      </c>
      <c r="B359" s="37" t="s">
        <v>4000</v>
      </c>
      <c r="C359" s="37">
        <v>98512551</v>
      </c>
      <c r="E359" s="37" t="s">
        <v>1764</v>
      </c>
      <c r="F359" s="37" t="s">
        <v>1764</v>
      </c>
      <c r="G359" s="37" t="s">
        <v>1765</v>
      </c>
      <c r="H359" s="37" t="s">
        <v>1766</v>
      </c>
      <c r="I359" s="37" t="s">
        <v>1767</v>
      </c>
      <c r="J359" s="37" t="s">
        <v>68</v>
      </c>
      <c r="K359" s="37" t="s">
        <v>1758</v>
      </c>
      <c r="L359" s="37" t="s">
        <v>1758</v>
      </c>
      <c r="M359" s="37">
        <v>25592</v>
      </c>
      <c r="N359" s="38" t="s">
        <v>841</v>
      </c>
      <c r="S359" s="23">
        <f>VLOOKUP(A359,Hoja1!A:D,4,0)</f>
        <v>2</v>
      </c>
      <c r="T359" s="26" t="str">
        <f>VLOOKUP(M359,[1]TIPOLOGIAS!$A:$F,4,0)</f>
        <v>BOGOTA</v>
      </c>
      <c r="U359" s="26" t="str">
        <f>VLOOKUP(T359,'BASE TARIFA 2025'!C:D,2,0)</f>
        <v>WOMPI CENTRO</v>
      </c>
      <c r="V359" s="27">
        <f>VLOOKUP(T359,'BASE TARIFA 2025'!C:F,3,0)</f>
        <v>37313</v>
      </c>
      <c r="W359" s="27">
        <f t="shared" si="5"/>
        <v>74626</v>
      </c>
    </row>
    <row r="360" spans="1:23" s="37" customFormat="1" ht="14.4" x14ac:dyDescent="0.3">
      <c r="A360" s="37">
        <v>50575</v>
      </c>
      <c r="B360" s="37" t="s">
        <v>4001</v>
      </c>
      <c r="C360" s="37">
        <v>901234354</v>
      </c>
      <c r="D360" s="37" t="s">
        <v>1768</v>
      </c>
      <c r="E360" s="37" t="s">
        <v>1769</v>
      </c>
      <c r="F360" s="37" t="s">
        <v>1769</v>
      </c>
      <c r="G360" s="37" t="s">
        <v>1770</v>
      </c>
      <c r="H360" s="37" t="s">
        <v>1771</v>
      </c>
      <c r="I360" s="37" t="s">
        <v>1772</v>
      </c>
      <c r="J360" s="37" t="s">
        <v>68</v>
      </c>
      <c r="K360" s="37" t="s">
        <v>1758</v>
      </c>
      <c r="L360" s="37" t="s">
        <v>1758</v>
      </c>
      <c r="M360" s="37">
        <v>25592</v>
      </c>
      <c r="N360" s="38" t="s">
        <v>841</v>
      </c>
      <c r="S360" s="23">
        <f>VLOOKUP(A360,Hoja1!A:D,4,0)</f>
        <v>1</v>
      </c>
      <c r="T360" s="26" t="str">
        <f>VLOOKUP(M360,[1]TIPOLOGIAS!$A:$F,4,0)</f>
        <v>BOGOTA</v>
      </c>
      <c r="U360" s="26" t="str">
        <f>VLOOKUP(T360,'BASE TARIFA 2025'!C:D,2,0)</f>
        <v>WOMPI CENTRO</v>
      </c>
      <c r="V360" s="27">
        <f>VLOOKUP(T360,'BASE TARIFA 2025'!C:F,3,0)</f>
        <v>37313</v>
      </c>
      <c r="W360" s="27">
        <f t="shared" si="5"/>
        <v>37313</v>
      </c>
    </row>
    <row r="361" spans="1:23" s="37" customFormat="1" ht="14.4" x14ac:dyDescent="0.3">
      <c r="A361" s="37">
        <v>57687</v>
      </c>
      <c r="B361" s="37" t="s">
        <v>4002</v>
      </c>
      <c r="C361" s="37">
        <v>1130950794</v>
      </c>
      <c r="D361" s="37" t="s">
        <v>1773</v>
      </c>
      <c r="E361" s="37" t="s">
        <v>1773</v>
      </c>
      <c r="F361" s="37" t="s">
        <v>1773</v>
      </c>
      <c r="G361" s="37" t="s">
        <v>1774</v>
      </c>
      <c r="H361" s="37" t="s">
        <v>1775</v>
      </c>
      <c r="I361" s="37" t="s">
        <v>1776</v>
      </c>
      <c r="J361" s="37" t="s">
        <v>68</v>
      </c>
      <c r="K361" s="37" t="s">
        <v>1758</v>
      </c>
      <c r="L361" s="37" t="s">
        <v>1758</v>
      </c>
      <c r="M361" s="37">
        <v>25592</v>
      </c>
      <c r="N361" s="38" t="s">
        <v>841</v>
      </c>
      <c r="S361" s="23">
        <f>VLOOKUP(A361,Hoja1!A:D,4,0)</f>
        <v>1</v>
      </c>
      <c r="T361" s="26" t="str">
        <f>VLOOKUP(M361,[1]TIPOLOGIAS!$A:$F,4,0)</f>
        <v>BOGOTA</v>
      </c>
      <c r="U361" s="26" t="str">
        <f>VLOOKUP(T361,'BASE TARIFA 2025'!C:D,2,0)</f>
        <v>WOMPI CENTRO</v>
      </c>
      <c r="V361" s="27">
        <f>VLOOKUP(T361,'BASE TARIFA 2025'!C:F,3,0)</f>
        <v>37313</v>
      </c>
      <c r="W361" s="27">
        <f t="shared" si="5"/>
        <v>37313</v>
      </c>
    </row>
    <row r="362" spans="1:23" s="37" customFormat="1" ht="14.4" x14ac:dyDescent="0.3">
      <c r="A362" s="37">
        <v>74955</v>
      </c>
      <c r="B362" s="37" t="s">
        <v>4003</v>
      </c>
      <c r="C362" s="37">
        <v>25857146</v>
      </c>
      <c r="D362" s="37" t="s">
        <v>1777</v>
      </c>
      <c r="E362" s="37" t="s">
        <v>1778</v>
      </c>
      <c r="F362" s="37" t="s">
        <v>1778</v>
      </c>
      <c r="G362" s="37" t="s">
        <v>1779</v>
      </c>
      <c r="H362" s="37" t="s">
        <v>1780</v>
      </c>
      <c r="I362" s="37" t="s">
        <v>1781</v>
      </c>
      <c r="J362" s="37" t="s">
        <v>68</v>
      </c>
      <c r="K362" s="37" t="s">
        <v>121</v>
      </c>
      <c r="L362" s="37" t="s">
        <v>121</v>
      </c>
      <c r="M362" s="37">
        <v>25649</v>
      </c>
      <c r="N362" s="38" t="s">
        <v>480</v>
      </c>
      <c r="S362" s="23">
        <f>VLOOKUP(A362,Hoja1!A:D,4,0)</f>
        <v>2</v>
      </c>
      <c r="T362" s="26" t="str">
        <f>VLOOKUP(M362,[1]TIPOLOGIAS!$A:$F,4,0)</f>
        <v>BOGOTA</v>
      </c>
      <c r="U362" s="26" t="str">
        <f>VLOOKUP(T362,'BASE TARIFA 2025'!C:D,2,0)</f>
        <v>WOMPI CENTRO</v>
      </c>
      <c r="V362" s="27">
        <f>VLOOKUP(T362,'BASE TARIFA 2025'!C:F,3,0)</f>
        <v>37313</v>
      </c>
      <c r="W362" s="27">
        <f t="shared" si="5"/>
        <v>74626</v>
      </c>
    </row>
    <row r="363" spans="1:23" s="37" customFormat="1" ht="14.4" x14ac:dyDescent="0.3">
      <c r="A363" s="37">
        <v>73043</v>
      </c>
      <c r="B363" s="37" t="s">
        <v>4004</v>
      </c>
      <c r="C363" s="37">
        <v>1067945268</v>
      </c>
      <c r="D363" s="37" t="s">
        <v>1782</v>
      </c>
      <c r="E363" s="37" t="s">
        <v>1782</v>
      </c>
      <c r="F363" s="37" t="s">
        <v>1782</v>
      </c>
      <c r="G363" s="37" t="s">
        <v>1783</v>
      </c>
      <c r="H363" s="37" t="s">
        <v>1784</v>
      </c>
      <c r="I363" s="37" t="s">
        <v>1785</v>
      </c>
      <c r="J363" s="37" t="s">
        <v>68</v>
      </c>
      <c r="K363" s="37" t="s">
        <v>121</v>
      </c>
      <c r="L363" s="37" t="s">
        <v>121</v>
      </c>
      <c r="M363" s="37">
        <v>25649</v>
      </c>
      <c r="N363" s="38" t="s">
        <v>480</v>
      </c>
      <c r="S363" s="23">
        <f>VLOOKUP(A363,Hoja1!A:D,4,0)</f>
        <v>2</v>
      </c>
      <c r="T363" s="26" t="str">
        <f>VLOOKUP(M363,[1]TIPOLOGIAS!$A:$F,4,0)</f>
        <v>BOGOTA</v>
      </c>
      <c r="U363" s="26" t="str">
        <f>VLOOKUP(T363,'BASE TARIFA 2025'!C:D,2,0)</f>
        <v>WOMPI CENTRO</v>
      </c>
      <c r="V363" s="27">
        <f>VLOOKUP(T363,'BASE TARIFA 2025'!C:F,3,0)</f>
        <v>37313</v>
      </c>
      <c r="W363" s="27">
        <f t="shared" si="5"/>
        <v>74626</v>
      </c>
    </row>
    <row r="364" spans="1:23" s="37" customFormat="1" ht="14.4" x14ac:dyDescent="0.3">
      <c r="A364" s="37">
        <v>72143</v>
      </c>
      <c r="B364" s="37" t="s">
        <v>4005</v>
      </c>
      <c r="C364" s="37">
        <v>1131108725</v>
      </c>
      <c r="D364" s="37" t="s">
        <v>1786</v>
      </c>
      <c r="E364" s="37" t="s">
        <v>1786</v>
      </c>
      <c r="G364" s="37" t="s">
        <v>1787</v>
      </c>
      <c r="H364" s="37" t="s">
        <v>1788</v>
      </c>
      <c r="I364" s="37" t="s">
        <v>1789</v>
      </c>
      <c r="J364" s="37" t="s">
        <v>68</v>
      </c>
      <c r="K364" s="37" t="s">
        <v>121</v>
      </c>
      <c r="L364" s="37" t="s">
        <v>121</v>
      </c>
      <c r="M364" s="37">
        <v>25649</v>
      </c>
      <c r="N364" s="38" t="s">
        <v>480</v>
      </c>
      <c r="S364" s="23">
        <f>VLOOKUP(A364,Hoja1!A:D,4,0)</f>
        <v>1</v>
      </c>
      <c r="T364" s="26" t="str">
        <f>VLOOKUP(M364,[1]TIPOLOGIAS!$A:$F,4,0)</f>
        <v>BOGOTA</v>
      </c>
      <c r="U364" s="26" t="str">
        <f>VLOOKUP(T364,'BASE TARIFA 2025'!C:D,2,0)</f>
        <v>WOMPI CENTRO</v>
      </c>
      <c r="V364" s="27">
        <f>VLOOKUP(T364,'BASE TARIFA 2025'!C:F,3,0)</f>
        <v>37313</v>
      </c>
      <c r="W364" s="27">
        <f t="shared" si="5"/>
        <v>37313</v>
      </c>
    </row>
    <row r="365" spans="1:23" s="37" customFormat="1" ht="14.4" x14ac:dyDescent="0.3">
      <c r="A365" s="37">
        <v>72144</v>
      </c>
      <c r="B365" s="37" t="s">
        <v>4006</v>
      </c>
      <c r="C365" s="37">
        <v>1131108725</v>
      </c>
      <c r="D365" s="37" t="s">
        <v>1790</v>
      </c>
      <c r="E365" s="37" t="s">
        <v>1790</v>
      </c>
      <c r="F365" s="37" t="s">
        <v>1791</v>
      </c>
      <c r="G365" s="37" t="s">
        <v>1792</v>
      </c>
      <c r="H365" s="37" t="s">
        <v>1793</v>
      </c>
      <c r="I365" s="37" t="s">
        <v>1794</v>
      </c>
      <c r="J365" s="37" t="s">
        <v>68</v>
      </c>
      <c r="K365" s="37" t="s">
        <v>121</v>
      </c>
      <c r="L365" s="37" t="s">
        <v>121</v>
      </c>
      <c r="M365" s="37">
        <v>25649</v>
      </c>
      <c r="N365" s="38" t="s">
        <v>480</v>
      </c>
      <c r="S365" s="23">
        <f>VLOOKUP(A365,Hoja1!A:D,4,0)</f>
        <v>1</v>
      </c>
      <c r="T365" s="26" t="str">
        <f>VLOOKUP(M365,[1]TIPOLOGIAS!$A:$F,4,0)</f>
        <v>BOGOTA</v>
      </c>
      <c r="U365" s="26" t="str">
        <f>VLOOKUP(T365,'BASE TARIFA 2025'!C:D,2,0)</f>
        <v>WOMPI CENTRO</v>
      </c>
      <c r="V365" s="27">
        <f>VLOOKUP(T365,'BASE TARIFA 2025'!C:F,3,0)</f>
        <v>37313</v>
      </c>
      <c r="W365" s="27">
        <f t="shared" si="5"/>
        <v>37313</v>
      </c>
    </row>
    <row r="366" spans="1:23" s="37" customFormat="1" ht="14.4" x14ac:dyDescent="0.3">
      <c r="A366" s="37">
        <v>70481</v>
      </c>
      <c r="B366" s="37" t="s">
        <v>4007</v>
      </c>
      <c r="C366" s="37">
        <v>43045431</v>
      </c>
      <c r="D366" s="37" t="s">
        <v>1795</v>
      </c>
      <c r="E366" s="37" t="s">
        <v>1796</v>
      </c>
      <c r="F366" s="37" t="s">
        <v>1796</v>
      </c>
      <c r="G366" s="37" t="s">
        <v>1797</v>
      </c>
      <c r="H366" s="37" t="s">
        <v>1798</v>
      </c>
      <c r="I366" s="37" t="s">
        <v>1799</v>
      </c>
      <c r="J366" s="37" t="s">
        <v>68</v>
      </c>
      <c r="K366" s="37" t="s">
        <v>145</v>
      </c>
      <c r="L366" s="37" t="s">
        <v>145</v>
      </c>
      <c r="M366" s="37">
        <v>25662</v>
      </c>
      <c r="N366" s="38" t="s">
        <v>325</v>
      </c>
      <c r="S366" s="23">
        <f>VLOOKUP(A366,Hoja1!A:D,4,0)</f>
        <v>2</v>
      </c>
      <c r="T366" s="26" t="str">
        <f>VLOOKUP(M366,[1]TIPOLOGIAS!$A:$F,4,0)</f>
        <v>BOGOTA</v>
      </c>
      <c r="U366" s="26" t="str">
        <f>VLOOKUP(T366,'BASE TARIFA 2025'!C:D,2,0)</f>
        <v>WOMPI CENTRO</v>
      </c>
      <c r="V366" s="27">
        <f>VLOOKUP(T366,'BASE TARIFA 2025'!C:F,3,0)</f>
        <v>37313</v>
      </c>
      <c r="W366" s="27">
        <f t="shared" si="5"/>
        <v>74626</v>
      </c>
    </row>
    <row r="367" spans="1:23" s="37" customFormat="1" ht="14.4" x14ac:dyDescent="0.3">
      <c r="A367" s="37">
        <v>68962</v>
      </c>
      <c r="B367" s="37" t="s">
        <v>4008</v>
      </c>
      <c r="C367" s="37">
        <v>34994459</v>
      </c>
      <c r="D367" s="37" t="s">
        <v>144</v>
      </c>
      <c r="E367" s="37" t="s">
        <v>1800</v>
      </c>
      <c r="F367" s="37" t="s">
        <v>1800</v>
      </c>
      <c r="G367" s="37" t="s">
        <v>1801</v>
      </c>
      <c r="H367" s="37" t="s">
        <v>1802</v>
      </c>
      <c r="I367" s="37" t="s">
        <v>1803</v>
      </c>
      <c r="J367" s="37" t="s">
        <v>68</v>
      </c>
      <c r="K367" s="37" t="s">
        <v>145</v>
      </c>
      <c r="L367" s="37" t="s">
        <v>145</v>
      </c>
      <c r="M367" s="37">
        <v>25662</v>
      </c>
      <c r="N367" s="38" t="s">
        <v>327</v>
      </c>
      <c r="S367" s="23">
        <f>VLOOKUP(A367,Hoja1!A:D,4,0)</f>
        <v>2</v>
      </c>
      <c r="T367" s="26" t="str">
        <f>VLOOKUP(M367,[1]TIPOLOGIAS!$A:$F,4,0)</f>
        <v>BOGOTA</v>
      </c>
      <c r="U367" s="26" t="str">
        <f>VLOOKUP(T367,'BASE TARIFA 2025'!C:D,2,0)</f>
        <v>WOMPI CENTRO</v>
      </c>
      <c r="V367" s="27">
        <f>VLOOKUP(T367,'BASE TARIFA 2025'!C:F,3,0)</f>
        <v>37313</v>
      </c>
      <c r="W367" s="27">
        <f t="shared" si="5"/>
        <v>74626</v>
      </c>
    </row>
    <row r="368" spans="1:23" s="37" customFormat="1" ht="14.4" x14ac:dyDescent="0.3">
      <c r="A368" s="37">
        <v>69036</v>
      </c>
      <c r="B368" s="37" t="s">
        <v>4009</v>
      </c>
      <c r="C368" s="37">
        <v>34996196</v>
      </c>
      <c r="E368" s="37" t="s">
        <v>1804</v>
      </c>
      <c r="F368" s="37" t="s">
        <v>1805</v>
      </c>
      <c r="G368" s="37" t="s">
        <v>1806</v>
      </c>
      <c r="H368" s="37" t="s">
        <v>1807</v>
      </c>
      <c r="I368" s="37" t="s">
        <v>1808</v>
      </c>
      <c r="J368" s="37" t="s">
        <v>68</v>
      </c>
      <c r="K368" s="37" t="s">
        <v>145</v>
      </c>
      <c r="L368" s="37" t="s">
        <v>145</v>
      </c>
      <c r="M368" s="37">
        <v>25662</v>
      </c>
      <c r="N368" s="38" t="s">
        <v>325</v>
      </c>
      <c r="S368" s="23">
        <f>VLOOKUP(A368,Hoja1!A:D,4,0)</f>
        <v>2</v>
      </c>
      <c r="T368" s="26" t="str">
        <f>VLOOKUP(M368,[1]TIPOLOGIAS!$A:$F,4,0)</f>
        <v>BOGOTA</v>
      </c>
      <c r="U368" s="26" t="str">
        <f>VLOOKUP(T368,'BASE TARIFA 2025'!C:D,2,0)</f>
        <v>WOMPI CENTRO</v>
      </c>
      <c r="V368" s="27">
        <f>VLOOKUP(T368,'BASE TARIFA 2025'!C:F,3,0)</f>
        <v>37313</v>
      </c>
      <c r="W368" s="27">
        <f t="shared" si="5"/>
        <v>74626</v>
      </c>
    </row>
    <row r="369" spans="1:23" s="37" customFormat="1" ht="14.4" x14ac:dyDescent="0.3">
      <c r="A369" s="37">
        <v>68357</v>
      </c>
      <c r="B369" s="37" t="s">
        <v>4010</v>
      </c>
      <c r="C369" s="37">
        <v>15077605</v>
      </c>
      <c r="E369" s="37" t="s">
        <v>1809</v>
      </c>
      <c r="F369" s="37" t="s">
        <v>1810</v>
      </c>
      <c r="G369" s="37" t="s">
        <v>1811</v>
      </c>
      <c r="H369" s="37" t="s">
        <v>1812</v>
      </c>
      <c r="I369" s="37" t="s">
        <v>1813</v>
      </c>
      <c r="J369" s="37" t="s">
        <v>68</v>
      </c>
      <c r="K369" s="37" t="s">
        <v>145</v>
      </c>
      <c r="L369" s="37" t="s">
        <v>145</v>
      </c>
      <c r="M369" s="37">
        <v>25662</v>
      </c>
      <c r="N369" s="38" t="s">
        <v>325</v>
      </c>
      <c r="S369" s="23">
        <f>VLOOKUP(A369,Hoja1!A:D,4,0)</f>
        <v>4</v>
      </c>
      <c r="T369" s="26" t="str">
        <f>VLOOKUP(M369,[1]TIPOLOGIAS!$A:$F,4,0)</f>
        <v>BOGOTA</v>
      </c>
      <c r="U369" s="26" t="str">
        <f>VLOOKUP(T369,'BASE TARIFA 2025'!C:D,2,0)</f>
        <v>WOMPI CENTRO</v>
      </c>
      <c r="V369" s="27">
        <f>VLOOKUP(T369,'BASE TARIFA 2025'!C:F,3,0)</f>
        <v>37313</v>
      </c>
      <c r="W369" s="27">
        <f t="shared" si="5"/>
        <v>149252</v>
      </c>
    </row>
    <row r="370" spans="1:23" s="37" customFormat="1" ht="14.4" x14ac:dyDescent="0.3">
      <c r="A370" s="37">
        <v>66406</v>
      </c>
      <c r="B370" s="37" t="s">
        <v>4011</v>
      </c>
      <c r="C370" s="37">
        <v>1067845530</v>
      </c>
      <c r="D370" s="37" t="s">
        <v>67</v>
      </c>
      <c r="E370" s="37" t="s">
        <v>1814</v>
      </c>
      <c r="F370" s="37" t="s">
        <v>1814</v>
      </c>
      <c r="G370" s="37" t="s">
        <v>1815</v>
      </c>
      <c r="H370" s="37" t="s">
        <v>1816</v>
      </c>
      <c r="I370" s="37" t="s">
        <v>1817</v>
      </c>
      <c r="J370" s="37" t="s">
        <v>68</v>
      </c>
      <c r="K370" s="37" t="s">
        <v>145</v>
      </c>
      <c r="L370" s="37" t="s">
        <v>145</v>
      </c>
      <c r="M370" s="37">
        <v>25662</v>
      </c>
      <c r="N370" s="38" t="s">
        <v>325</v>
      </c>
      <c r="S370" s="23">
        <f>VLOOKUP(A370,Hoja1!A:D,4,0)</f>
        <v>1</v>
      </c>
      <c r="T370" s="26" t="str">
        <f>VLOOKUP(M370,[1]TIPOLOGIAS!$A:$F,4,0)</f>
        <v>BOGOTA</v>
      </c>
      <c r="U370" s="26" t="str">
        <f>VLOOKUP(T370,'BASE TARIFA 2025'!C:D,2,0)</f>
        <v>WOMPI CENTRO</v>
      </c>
      <c r="V370" s="27">
        <f>VLOOKUP(T370,'BASE TARIFA 2025'!C:F,3,0)</f>
        <v>37313</v>
      </c>
      <c r="W370" s="27">
        <f t="shared" si="5"/>
        <v>37313</v>
      </c>
    </row>
    <row r="371" spans="1:23" s="37" customFormat="1" ht="14.4" x14ac:dyDescent="0.3">
      <c r="A371" s="37">
        <v>67801</v>
      </c>
      <c r="B371" s="37" t="s">
        <v>4012</v>
      </c>
      <c r="C371" s="37">
        <v>1067965085</v>
      </c>
      <c r="D371" s="37" t="s">
        <v>1818</v>
      </c>
      <c r="E371" s="37" t="s">
        <v>1818</v>
      </c>
      <c r="F371" s="37" t="s">
        <v>1818</v>
      </c>
      <c r="G371" s="37" t="s">
        <v>1819</v>
      </c>
      <c r="H371" s="37" t="s">
        <v>1820</v>
      </c>
      <c r="I371" s="37" t="s">
        <v>1821</v>
      </c>
      <c r="J371" s="37" t="s">
        <v>68</v>
      </c>
      <c r="K371" s="37" t="s">
        <v>145</v>
      </c>
      <c r="L371" s="37" t="s">
        <v>145</v>
      </c>
      <c r="M371" s="37">
        <v>25662</v>
      </c>
      <c r="N371" s="38" t="s">
        <v>327</v>
      </c>
      <c r="S371" s="23">
        <f>VLOOKUP(A371,Hoja1!A:D,4,0)</f>
        <v>2</v>
      </c>
      <c r="T371" s="26" t="str">
        <f>VLOOKUP(M371,[1]TIPOLOGIAS!$A:$F,4,0)</f>
        <v>BOGOTA</v>
      </c>
      <c r="U371" s="26" t="str">
        <f>VLOOKUP(T371,'BASE TARIFA 2025'!C:D,2,0)</f>
        <v>WOMPI CENTRO</v>
      </c>
      <c r="V371" s="27">
        <f>VLOOKUP(T371,'BASE TARIFA 2025'!C:F,3,0)</f>
        <v>37313</v>
      </c>
      <c r="W371" s="27">
        <f t="shared" si="5"/>
        <v>74626</v>
      </c>
    </row>
    <row r="372" spans="1:23" s="37" customFormat="1" ht="14.4" x14ac:dyDescent="0.3">
      <c r="A372" s="37">
        <v>65136</v>
      </c>
      <c r="B372" s="37" t="s">
        <v>4013</v>
      </c>
      <c r="C372" s="37">
        <v>25799836</v>
      </c>
      <c r="D372" s="37" t="s">
        <v>1822</v>
      </c>
      <c r="E372" s="37" t="s">
        <v>1822</v>
      </c>
      <c r="F372" s="37" t="s">
        <v>1822</v>
      </c>
      <c r="G372" s="37" t="s">
        <v>1823</v>
      </c>
      <c r="H372" s="37" t="s">
        <v>1824</v>
      </c>
      <c r="I372" s="37" t="s">
        <v>1825</v>
      </c>
      <c r="J372" s="37" t="s">
        <v>68</v>
      </c>
      <c r="K372" s="37" t="s">
        <v>146</v>
      </c>
      <c r="L372" s="37" t="s">
        <v>146</v>
      </c>
      <c r="M372" s="37">
        <v>25718</v>
      </c>
      <c r="N372" s="38" t="s">
        <v>416</v>
      </c>
      <c r="S372" s="23">
        <f>VLOOKUP(A372,Hoja1!A:D,4,0)</f>
        <v>3</v>
      </c>
      <c r="T372" s="26" t="str">
        <f>VLOOKUP(M372,[1]TIPOLOGIAS!$A:$F,4,0)</f>
        <v>BOGOTA</v>
      </c>
      <c r="U372" s="26" t="str">
        <f>VLOOKUP(T372,'BASE TARIFA 2025'!C:D,2,0)</f>
        <v>WOMPI CENTRO</v>
      </c>
      <c r="V372" s="27">
        <f>VLOOKUP(T372,'BASE TARIFA 2025'!C:F,3,0)</f>
        <v>37313</v>
      </c>
      <c r="W372" s="27">
        <f t="shared" si="5"/>
        <v>111939</v>
      </c>
    </row>
    <row r="373" spans="1:23" s="37" customFormat="1" ht="14.4" x14ac:dyDescent="0.3">
      <c r="A373" s="37">
        <v>45965</v>
      </c>
      <c r="B373" s="37" t="s">
        <v>4014</v>
      </c>
      <c r="C373" s="37">
        <v>43620095</v>
      </c>
      <c r="D373" s="37" t="s">
        <v>106</v>
      </c>
      <c r="E373" s="37" t="s">
        <v>107</v>
      </c>
      <c r="F373" s="37" t="s">
        <v>106</v>
      </c>
      <c r="G373" s="37" t="s">
        <v>1826</v>
      </c>
      <c r="H373" s="37" t="s">
        <v>1827</v>
      </c>
      <c r="I373" s="37" t="s">
        <v>1828</v>
      </c>
      <c r="J373" s="37" t="s">
        <v>90</v>
      </c>
      <c r="K373" s="37" t="s">
        <v>105</v>
      </c>
      <c r="L373" s="37" t="s">
        <v>105</v>
      </c>
      <c r="M373" s="37">
        <v>54874</v>
      </c>
      <c r="N373" s="38" t="s">
        <v>503</v>
      </c>
      <c r="S373" s="23">
        <f>VLOOKUP(A373,Hoja1!A:D,4,0)</f>
        <v>2</v>
      </c>
      <c r="T373" s="26" t="str">
        <f>VLOOKUP(M373,[1]TIPOLOGIAS!$A:$F,4,0)</f>
        <v>CUCUTA</v>
      </c>
      <c r="U373" s="26" t="str">
        <f>VLOOKUP(T373,'BASE TARIFA 2025'!C:D,2,0)</f>
        <v>WOMPI SANTANDERES</v>
      </c>
      <c r="V373" s="27">
        <f>VLOOKUP(T373,'BASE TARIFA 2025'!C:F,3,0)</f>
        <v>49671.7</v>
      </c>
      <c r="W373" s="27">
        <f t="shared" si="5"/>
        <v>99343.4</v>
      </c>
    </row>
    <row r="374" spans="1:23" s="37" customFormat="1" ht="14.4" x14ac:dyDescent="0.3">
      <c r="A374" s="37">
        <v>45399</v>
      </c>
      <c r="B374" s="37" t="s">
        <v>4015</v>
      </c>
      <c r="C374" s="37">
        <v>900873271</v>
      </c>
      <c r="D374" s="37" t="s">
        <v>67</v>
      </c>
      <c r="E374" s="37" t="s">
        <v>1829</v>
      </c>
      <c r="F374" s="37" t="s">
        <v>1829</v>
      </c>
      <c r="G374" s="37" t="s">
        <v>1830</v>
      </c>
      <c r="H374" s="37" t="s">
        <v>1831</v>
      </c>
      <c r="I374" s="37" t="s">
        <v>1832</v>
      </c>
      <c r="J374" s="37" t="s">
        <v>90</v>
      </c>
      <c r="K374" s="37" t="s">
        <v>105</v>
      </c>
      <c r="L374" s="37" t="s">
        <v>105</v>
      </c>
      <c r="M374" s="37">
        <v>54874</v>
      </c>
      <c r="N374" s="38" t="s">
        <v>513</v>
      </c>
      <c r="S374" s="23">
        <f>VLOOKUP(A374,Hoja1!A:D,4,0)</f>
        <v>2</v>
      </c>
      <c r="T374" s="26" t="str">
        <f>VLOOKUP(M374,[1]TIPOLOGIAS!$A:$F,4,0)</f>
        <v>CUCUTA</v>
      </c>
      <c r="U374" s="26" t="str">
        <f>VLOOKUP(T374,'BASE TARIFA 2025'!C:D,2,0)</f>
        <v>WOMPI SANTANDERES</v>
      </c>
      <c r="V374" s="27">
        <f>VLOOKUP(T374,'BASE TARIFA 2025'!C:F,3,0)</f>
        <v>49671.7</v>
      </c>
      <c r="W374" s="27">
        <f t="shared" si="5"/>
        <v>99343.4</v>
      </c>
    </row>
    <row r="375" spans="1:23" s="37" customFormat="1" ht="14.4" x14ac:dyDescent="0.3">
      <c r="A375" s="37">
        <v>10030</v>
      </c>
      <c r="B375" s="37" t="s">
        <v>4016</v>
      </c>
      <c r="C375" s="37">
        <v>9800568</v>
      </c>
      <c r="D375" s="37" t="s">
        <v>1833</v>
      </c>
      <c r="E375" s="37" t="s">
        <v>67</v>
      </c>
      <c r="F375" s="37" t="s">
        <v>1834</v>
      </c>
      <c r="G375" s="37" t="s">
        <v>1835</v>
      </c>
      <c r="H375" s="37" t="s">
        <v>1836</v>
      </c>
      <c r="I375" s="37" t="s">
        <v>1837</v>
      </c>
      <c r="J375" s="37" t="s">
        <v>90</v>
      </c>
      <c r="K375" s="37" t="s">
        <v>105</v>
      </c>
      <c r="L375" s="37" t="s">
        <v>105</v>
      </c>
      <c r="M375" s="37">
        <v>54874</v>
      </c>
      <c r="N375" s="38" t="s">
        <v>503</v>
      </c>
      <c r="S375" s="23">
        <f>VLOOKUP(A375,Hoja1!A:D,4,0)</f>
        <v>2</v>
      </c>
      <c r="T375" s="26" t="str">
        <f>VLOOKUP(M375,[1]TIPOLOGIAS!$A:$F,4,0)</f>
        <v>CUCUTA</v>
      </c>
      <c r="U375" s="26" t="str">
        <f>VLOOKUP(T375,'BASE TARIFA 2025'!C:D,2,0)</f>
        <v>WOMPI SANTANDERES</v>
      </c>
      <c r="V375" s="27">
        <f>VLOOKUP(T375,'BASE TARIFA 2025'!C:F,3,0)</f>
        <v>49671.7</v>
      </c>
      <c r="W375" s="27">
        <f t="shared" si="5"/>
        <v>99343.4</v>
      </c>
    </row>
    <row r="376" spans="1:23" s="37" customFormat="1" ht="14.4" x14ac:dyDescent="0.3">
      <c r="A376" s="37">
        <v>73624</v>
      </c>
      <c r="B376" s="37" t="s">
        <v>4017</v>
      </c>
      <c r="C376" s="37">
        <v>901524537</v>
      </c>
      <c r="D376" s="37" t="s">
        <v>1838</v>
      </c>
      <c r="E376" s="37" t="s">
        <v>1838</v>
      </c>
      <c r="F376" s="37" t="s">
        <v>1839</v>
      </c>
      <c r="G376" s="37" t="s">
        <v>1840</v>
      </c>
      <c r="H376" s="37" t="s">
        <v>1841</v>
      </c>
      <c r="I376" s="37" t="s">
        <v>1842</v>
      </c>
      <c r="J376" s="37" t="s">
        <v>92</v>
      </c>
      <c r="K376" s="37" t="s">
        <v>1710</v>
      </c>
      <c r="L376" s="37" t="s">
        <v>1710</v>
      </c>
      <c r="M376" s="37">
        <v>68533</v>
      </c>
      <c r="N376" s="38" t="s">
        <v>324</v>
      </c>
      <c r="S376" s="23">
        <f>VLOOKUP(A376,Hoja1!A:D,4,0)</f>
        <v>1</v>
      </c>
      <c r="T376" s="26" t="str">
        <f>VLOOKUP(M376,[1]TIPOLOGIAS!$A:$F,4,0)</f>
        <v>BUCARAMANGA</v>
      </c>
      <c r="U376" s="26" t="str">
        <f>VLOOKUP(T376,'BASE TARIFA 2025'!C:D,2,0)</f>
        <v>WOMPI SANTANDERES</v>
      </c>
      <c r="V376" s="27">
        <f>VLOOKUP(T376,'BASE TARIFA 2025'!C:F,3,0)</f>
        <v>37313</v>
      </c>
      <c r="W376" s="27">
        <f t="shared" si="5"/>
        <v>37313</v>
      </c>
    </row>
    <row r="377" spans="1:23" s="37" customFormat="1" ht="14.4" x14ac:dyDescent="0.3">
      <c r="A377" s="37">
        <v>59635</v>
      </c>
      <c r="B377" s="37" t="s">
        <v>4018</v>
      </c>
      <c r="C377" s="37">
        <v>900312766</v>
      </c>
      <c r="D377" s="37" t="s">
        <v>1843</v>
      </c>
      <c r="E377" s="37" t="s">
        <v>1843</v>
      </c>
      <c r="G377" s="37" t="s">
        <v>1844</v>
      </c>
      <c r="H377" s="37" t="s">
        <v>1845</v>
      </c>
      <c r="I377" s="37" t="s">
        <v>1846</v>
      </c>
      <c r="J377" s="37" t="s">
        <v>92</v>
      </c>
      <c r="K377" s="37" t="s">
        <v>200</v>
      </c>
      <c r="L377" s="37" t="s">
        <v>200</v>
      </c>
      <c r="M377" s="37">
        <v>68547</v>
      </c>
      <c r="N377" s="38" t="s">
        <v>322</v>
      </c>
      <c r="S377" s="23">
        <f>VLOOKUP(A377,Hoja1!A:D,4,0)</f>
        <v>3</v>
      </c>
      <c r="T377" s="26" t="str">
        <f>VLOOKUP(M377,[1]TIPOLOGIAS!$A:$F,4,0)</f>
        <v>BUCARAMANGA</v>
      </c>
      <c r="U377" s="26" t="str">
        <f>VLOOKUP(T377,'BASE TARIFA 2025'!C:D,2,0)</f>
        <v>WOMPI SANTANDERES</v>
      </c>
      <c r="V377" s="27">
        <f>VLOOKUP(T377,'BASE TARIFA 2025'!C:F,3,0)</f>
        <v>37313</v>
      </c>
      <c r="W377" s="27">
        <f t="shared" si="5"/>
        <v>111939</v>
      </c>
    </row>
    <row r="378" spans="1:23" s="37" customFormat="1" ht="14.4" x14ac:dyDescent="0.3">
      <c r="A378" s="37">
        <v>60721</v>
      </c>
      <c r="B378" s="37" t="s">
        <v>4019</v>
      </c>
      <c r="C378" s="37">
        <v>25799771</v>
      </c>
      <c r="D378" s="37" t="s">
        <v>113</v>
      </c>
      <c r="E378" s="37" t="s">
        <v>113</v>
      </c>
      <c r="F378" s="37" t="s">
        <v>113</v>
      </c>
      <c r="G378" s="37" t="s">
        <v>1847</v>
      </c>
      <c r="H378" s="37" t="s">
        <v>1848</v>
      </c>
      <c r="I378" s="37" t="s">
        <v>1849</v>
      </c>
      <c r="J378" s="37" t="s">
        <v>92</v>
      </c>
      <c r="K378" s="37" t="s">
        <v>200</v>
      </c>
      <c r="L378" s="37" t="s">
        <v>200</v>
      </c>
      <c r="M378" s="37">
        <v>68547</v>
      </c>
      <c r="N378" s="38" t="s">
        <v>416</v>
      </c>
      <c r="S378" s="23">
        <f>VLOOKUP(A378,Hoja1!A:D,4,0)</f>
        <v>1</v>
      </c>
      <c r="T378" s="26" t="str">
        <f>VLOOKUP(M378,[1]TIPOLOGIAS!$A:$F,4,0)</f>
        <v>BUCARAMANGA</v>
      </c>
      <c r="U378" s="26" t="str">
        <f>VLOOKUP(T378,'BASE TARIFA 2025'!C:D,2,0)</f>
        <v>WOMPI SANTANDERES</v>
      </c>
      <c r="V378" s="27">
        <f>VLOOKUP(T378,'BASE TARIFA 2025'!C:F,3,0)</f>
        <v>37313</v>
      </c>
      <c r="W378" s="27">
        <f t="shared" si="5"/>
        <v>37313</v>
      </c>
    </row>
    <row r="379" spans="1:23" s="37" customFormat="1" ht="14.4" x14ac:dyDescent="0.3">
      <c r="A379" s="37">
        <v>54245</v>
      </c>
      <c r="B379" s="37" t="s">
        <v>4020</v>
      </c>
      <c r="C379" s="37">
        <v>1067901073</v>
      </c>
      <c r="D379" s="37" t="s">
        <v>1850</v>
      </c>
      <c r="E379" s="37" t="s">
        <v>1850</v>
      </c>
      <c r="F379" s="37" t="s">
        <v>1850</v>
      </c>
      <c r="G379" s="37" t="s">
        <v>1851</v>
      </c>
      <c r="H379" s="37" t="s">
        <v>1852</v>
      </c>
      <c r="I379" s="37" t="s">
        <v>1853</v>
      </c>
      <c r="J379" s="37" t="s">
        <v>92</v>
      </c>
      <c r="K379" s="37" t="s">
        <v>200</v>
      </c>
      <c r="L379" s="37" t="s">
        <v>200</v>
      </c>
      <c r="M379" s="37">
        <v>68547</v>
      </c>
      <c r="N379" s="38" t="s">
        <v>322</v>
      </c>
      <c r="S379" s="23">
        <f>VLOOKUP(A379,Hoja1!A:D,4,0)</f>
        <v>2</v>
      </c>
      <c r="T379" s="26" t="str">
        <f>VLOOKUP(M379,[1]TIPOLOGIAS!$A:$F,4,0)</f>
        <v>BUCARAMANGA</v>
      </c>
      <c r="U379" s="26" t="str">
        <f>VLOOKUP(T379,'BASE TARIFA 2025'!C:D,2,0)</f>
        <v>WOMPI SANTANDERES</v>
      </c>
      <c r="V379" s="27">
        <f>VLOOKUP(T379,'BASE TARIFA 2025'!C:F,3,0)</f>
        <v>37313</v>
      </c>
      <c r="W379" s="27">
        <f t="shared" si="5"/>
        <v>74626</v>
      </c>
    </row>
    <row r="380" spans="1:23" s="37" customFormat="1" ht="14.4" x14ac:dyDescent="0.3">
      <c r="A380" s="37">
        <v>57788</v>
      </c>
      <c r="B380" s="37" t="s">
        <v>4021</v>
      </c>
      <c r="C380" s="37">
        <v>1067845530</v>
      </c>
      <c r="D380" s="37" t="s">
        <v>1854</v>
      </c>
      <c r="E380" s="37" t="s">
        <v>1854</v>
      </c>
      <c r="G380" s="37" t="s">
        <v>1855</v>
      </c>
      <c r="H380" s="37" t="s">
        <v>1856</v>
      </c>
      <c r="I380" s="37" t="s">
        <v>1857</v>
      </c>
      <c r="J380" s="37" t="s">
        <v>92</v>
      </c>
      <c r="K380" s="37" t="s">
        <v>200</v>
      </c>
      <c r="L380" s="37" t="s">
        <v>200</v>
      </c>
      <c r="M380" s="37">
        <v>68547</v>
      </c>
      <c r="N380" s="38" t="s">
        <v>485</v>
      </c>
      <c r="S380" s="23">
        <f>VLOOKUP(A380,Hoja1!A:D,4,0)</f>
        <v>1</v>
      </c>
      <c r="T380" s="26" t="str">
        <f>VLOOKUP(M380,[1]TIPOLOGIAS!$A:$F,4,0)</f>
        <v>BUCARAMANGA</v>
      </c>
      <c r="U380" s="26" t="str">
        <f>VLOOKUP(T380,'BASE TARIFA 2025'!C:D,2,0)</f>
        <v>WOMPI SANTANDERES</v>
      </c>
      <c r="V380" s="27">
        <f>VLOOKUP(T380,'BASE TARIFA 2025'!C:F,3,0)</f>
        <v>37313</v>
      </c>
      <c r="W380" s="27">
        <f t="shared" si="5"/>
        <v>37313</v>
      </c>
    </row>
    <row r="381" spans="1:23" s="37" customFormat="1" ht="14.4" x14ac:dyDescent="0.3">
      <c r="A381" s="37">
        <v>51592</v>
      </c>
      <c r="B381" s="37" t="s">
        <v>4022</v>
      </c>
      <c r="C381" s="37">
        <v>6890589</v>
      </c>
      <c r="D381" s="37" t="s">
        <v>1858</v>
      </c>
      <c r="E381" s="37" t="s">
        <v>1858</v>
      </c>
      <c r="F381" s="37" t="s">
        <v>1858</v>
      </c>
      <c r="G381" s="37" t="s">
        <v>1859</v>
      </c>
      <c r="H381" s="37" t="s">
        <v>1860</v>
      </c>
      <c r="I381" s="37" t="s">
        <v>1861</v>
      </c>
      <c r="J381" s="37" t="s">
        <v>92</v>
      </c>
      <c r="K381" s="37" t="s">
        <v>200</v>
      </c>
      <c r="L381" s="37" t="s">
        <v>200</v>
      </c>
      <c r="M381" s="37">
        <v>68547</v>
      </c>
      <c r="N381" s="38" t="s">
        <v>322</v>
      </c>
      <c r="S381" s="23">
        <f>VLOOKUP(A381,Hoja1!A:D,4,0)</f>
        <v>2</v>
      </c>
      <c r="T381" s="26" t="str">
        <f>VLOOKUP(M381,[1]TIPOLOGIAS!$A:$F,4,0)</f>
        <v>BUCARAMANGA</v>
      </c>
      <c r="U381" s="26" t="str">
        <f>VLOOKUP(T381,'BASE TARIFA 2025'!C:D,2,0)</f>
        <v>WOMPI SANTANDERES</v>
      </c>
      <c r="V381" s="27">
        <f>VLOOKUP(T381,'BASE TARIFA 2025'!C:F,3,0)</f>
        <v>37313</v>
      </c>
      <c r="W381" s="27">
        <f t="shared" si="5"/>
        <v>74626</v>
      </c>
    </row>
    <row r="382" spans="1:23" s="37" customFormat="1" ht="14.4" x14ac:dyDescent="0.3">
      <c r="A382" s="37">
        <v>49766</v>
      </c>
      <c r="B382" s="37" t="s">
        <v>4023</v>
      </c>
      <c r="C382" s="37">
        <v>10775736</v>
      </c>
      <c r="D382" s="37" t="s">
        <v>1862</v>
      </c>
      <c r="E382" s="37" t="s">
        <v>1862</v>
      </c>
      <c r="F382" s="37" t="s">
        <v>1862</v>
      </c>
      <c r="G382" s="37" t="s">
        <v>1863</v>
      </c>
      <c r="H382" s="37" t="s">
        <v>1864</v>
      </c>
      <c r="I382" s="37" t="s">
        <v>1865</v>
      </c>
      <c r="J382" s="37" t="s">
        <v>92</v>
      </c>
      <c r="K382" s="37" t="s">
        <v>200</v>
      </c>
      <c r="L382" s="37" t="s">
        <v>200</v>
      </c>
      <c r="M382" s="37">
        <v>68547</v>
      </c>
      <c r="N382" s="38" t="s">
        <v>322</v>
      </c>
      <c r="S382" s="23">
        <f>VLOOKUP(A382,Hoja1!A:D,4,0)</f>
        <v>2</v>
      </c>
      <c r="T382" s="26" t="str">
        <f>VLOOKUP(M382,[1]TIPOLOGIAS!$A:$F,4,0)</f>
        <v>BUCARAMANGA</v>
      </c>
      <c r="U382" s="26" t="str">
        <f>VLOOKUP(T382,'BASE TARIFA 2025'!C:D,2,0)</f>
        <v>WOMPI SANTANDERES</v>
      </c>
      <c r="V382" s="27">
        <f>VLOOKUP(T382,'BASE TARIFA 2025'!C:F,3,0)</f>
        <v>37313</v>
      </c>
      <c r="W382" s="27">
        <f t="shared" si="5"/>
        <v>74626</v>
      </c>
    </row>
    <row r="383" spans="1:23" s="37" customFormat="1" ht="14.4" x14ac:dyDescent="0.3">
      <c r="A383" s="37">
        <v>38746</v>
      </c>
      <c r="B383" s="37" t="s">
        <v>4024</v>
      </c>
      <c r="C383" s="37">
        <v>98761464</v>
      </c>
      <c r="D383" s="37" t="s">
        <v>1866</v>
      </c>
      <c r="E383" s="37" t="s">
        <v>1866</v>
      </c>
      <c r="G383" s="37" t="s">
        <v>1867</v>
      </c>
      <c r="H383" s="37" t="s">
        <v>1868</v>
      </c>
      <c r="I383" s="37" t="s">
        <v>1869</v>
      </c>
      <c r="J383" s="37" t="s">
        <v>92</v>
      </c>
      <c r="K383" s="37" t="s">
        <v>200</v>
      </c>
      <c r="L383" s="37" t="s">
        <v>200</v>
      </c>
      <c r="M383" s="37">
        <v>68547</v>
      </c>
      <c r="N383" s="38" t="s">
        <v>322</v>
      </c>
      <c r="S383" s="23">
        <f>VLOOKUP(A383,Hoja1!A:D,4,0)</f>
        <v>2</v>
      </c>
      <c r="T383" s="26" t="str">
        <f>VLOOKUP(M383,[1]TIPOLOGIAS!$A:$F,4,0)</f>
        <v>BUCARAMANGA</v>
      </c>
      <c r="U383" s="26" t="str">
        <f>VLOOKUP(T383,'BASE TARIFA 2025'!C:D,2,0)</f>
        <v>WOMPI SANTANDERES</v>
      </c>
      <c r="V383" s="27">
        <f>VLOOKUP(T383,'BASE TARIFA 2025'!C:F,3,0)</f>
        <v>37313</v>
      </c>
      <c r="W383" s="27">
        <f t="shared" si="5"/>
        <v>74626</v>
      </c>
    </row>
    <row r="384" spans="1:23" s="37" customFormat="1" ht="14.4" x14ac:dyDescent="0.3">
      <c r="A384" s="37">
        <v>43642</v>
      </c>
      <c r="B384" s="37" t="s">
        <v>4025</v>
      </c>
      <c r="C384" s="37">
        <v>44000656</v>
      </c>
      <c r="D384" s="37" t="s">
        <v>1870</v>
      </c>
      <c r="E384" s="37" t="s">
        <v>1871</v>
      </c>
      <c r="F384" s="37" t="s">
        <v>1871</v>
      </c>
      <c r="G384" s="37" t="s">
        <v>1872</v>
      </c>
      <c r="H384" s="37" t="s">
        <v>1873</v>
      </c>
      <c r="I384" s="37" t="s">
        <v>1874</v>
      </c>
      <c r="J384" s="37" t="s">
        <v>92</v>
      </c>
      <c r="K384" s="37" t="s">
        <v>200</v>
      </c>
      <c r="L384" s="37" t="s">
        <v>200</v>
      </c>
      <c r="M384" s="37">
        <v>68547</v>
      </c>
      <c r="N384" s="38" t="s">
        <v>503</v>
      </c>
      <c r="S384" s="23">
        <f>VLOOKUP(A384,Hoja1!A:D,4,0)</f>
        <v>2</v>
      </c>
      <c r="T384" s="26" t="str">
        <f>VLOOKUP(M384,[1]TIPOLOGIAS!$A:$F,4,0)</f>
        <v>BUCARAMANGA</v>
      </c>
      <c r="U384" s="26" t="str">
        <f>VLOOKUP(T384,'BASE TARIFA 2025'!C:D,2,0)</f>
        <v>WOMPI SANTANDERES</v>
      </c>
      <c r="V384" s="27">
        <f>VLOOKUP(T384,'BASE TARIFA 2025'!C:F,3,0)</f>
        <v>37313</v>
      </c>
      <c r="W384" s="27">
        <f t="shared" si="5"/>
        <v>74626</v>
      </c>
    </row>
    <row r="385" spans="1:23" s="37" customFormat="1" ht="14.4" x14ac:dyDescent="0.3">
      <c r="A385" s="37">
        <v>36213</v>
      </c>
      <c r="B385" s="37" t="s">
        <v>4026</v>
      </c>
      <c r="C385" s="37">
        <v>900324648</v>
      </c>
      <c r="D385" s="37" t="s">
        <v>1875</v>
      </c>
      <c r="E385" s="37" t="s">
        <v>1876</v>
      </c>
      <c r="F385" s="37" t="s">
        <v>1875</v>
      </c>
      <c r="G385" s="37" t="s">
        <v>1877</v>
      </c>
      <c r="H385" s="37" t="s">
        <v>1878</v>
      </c>
      <c r="I385" s="37" t="s">
        <v>1879</v>
      </c>
      <c r="J385" s="37" t="s">
        <v>92</v>
      </c>
      <c r="K385" s="37" t="s">
        <v>200</v>
      </c>
      <c r="L385" s="37" t="s">
        <v>200</v>
      </c>
      <c r="M385" s="37">
        <v>68547</v>
      </c>
      <c r="N385" s="38" t="s">
        <v>485</v>
      </c>
      <c r="S385" s="23">
        <f>VLOOKUP(A385,Hoja1!A:D,4,0)</f>
        <v>2</v>
      </c>
      <c r="T385" s="26" t="str">
        <f>VLOOKUP(M385,[1]TIPOLOGIAS!$A:$F,4,0)</f>
        <v>BUCARAMANGA</v>
      </c>
      <c r="U385" s="26" t="str">
        <f>VLOOKUP(T385,'BASE TARIFA 2025'!C:D,2,0)</f>
        <v>WOMPI SANTANDERES</v>
      </c>
      <c r="V385" s="27">
        <f>VLOOKUP(T385,'BASE TARIFA 2025'!C:F,3,0)</f>
        <v>37313</v>
      </c>
      <c r="W385" s="27">
        <f t="shared" si="5"/>
        <v>74626</v>
      </c>
    </row>
    <row r="386" spans="1:23" s="37" customFormat="1" ht="14.4" x14ac:dyDescent="0.3">
      <c r="A386" s="37">
        <v>43550</v>
      </c>
      <c r="B386" s="37" t="s">
        <v>4027</v>
      </c>
      <c r="C386" s="37">
        <v>10933021</v>
      </c>
      <c r="D386" s="37" t="s">
        <v>67</v>
      </c>
      <c r="E386" s="37" t="s">
        <v>1880</v>
      </c>
      <c r="F386" s="37" t="s">
        <v>1880</v>
      </c>
      <c r="G386" s="37" t="s">
        <v>1881</v>
      </c>
      <c r="H386" s="37" t="s">
        <v>1882</v>
      </c>
      <c r="I386" s="37" t="s">
        <v>1883</v>
      </c>
      <c r="J386" s="37" t="s">
        <v>72</v>
      </c>
      <c r="K386" s="37" t="s">
        <v>96</v>
      </c>
      <c r="L386" s="37" t="s">
        <v>96</v>
      </c>
      <c r="M386" s="37">
        <v>52207</v>
      </c>
      <c r="N386" s="38" t="s">
        <v>513</v>
      </c>
      <c r="S386" s="23">
        <f>VLOOKUP(A386,Hoja1!A:D,4,0)</f>
        <v>2</v>
      </c>
      <c r="T386" s="26" t="str">
        <f>VLOOKUP(M386,[1]TIPOLOGIAS!$A:$F,4,0)</f>
        <v>PASTO</v>
      </c>
      <c r="U386" s="26" t="str">
        <f>VLOOKUP(T386,'BASE TARIFA 2025'!C:D,2,0)</f>
        <v>WOMPI SUROCCIDENTE</v>
      </c>
      <c r="V386" s="27">
        <f>VLOOKUP(T386,'BASE TARIFA 2025'!C:F,3,0)</f>
        <v>49671.7</v>
      </c>
      <c r="W386" s="27">
        <f t="shared" ref="W386:W449" si="6">V386*S386</f>
        <v>99343.4</v>
      </c>
    </row>
    <row r="387" spans="1:23" s="37" customFormat="1" ht="14.4" x14ac:dyDescent="0.3">
      <c r="A387" s="37">
        <v>48514</v>
      </c>
      <c r="B387" s="37" t="s">
        <v>4028</v>
      </c>
      <c r="C387" s="37">
        <v>10772008</v>
      </c>
      <c r="D387" s="37" t="s">
        <v>1884</v>
      </c>
      <c r="E387" s="37" t="s">
        <v>1884</v>
      </c>
      <c r="G387" s="37" t="s">
        <v>1885</v>
      </c>
      <c r="H387" s="37" t="s">
        <v>1886</v>
      </c>
      <c r="I387" s="37" t="s">
        <v>1887</v>
      </c>
      <c r="J387" s="37" t="s">
        <v>72</v>
      </c>
      <c r="K387" s="37" t="s">
        <v>96</v>
      </c>
      <c r="L387" s="37" t="s">
        <v>96</v>
      </c>
      <c r="M387" s="37">
        <v>52207</v>
      </c>
      <c r="N387" s="38" t="s">
        <v>327</v>
      </c>
      <c r="S387" s="23">
        <f>VLOOKUP(A387,Hoja1!A:D,4,0)</f>
        <v>1</v>
      </c>
      <c r="T387" s="26" t="str">
        <f>VLOOKUP(M387,[1]TIPOLOGIAS!$A:$F,4,0)</f>
        <v>PASTO</v>
      </c>
      <c r="U387" s="26" t="str">
        <f>VLOOKUP(T387,'BASE TARIFA 2025'!C:D,2,0)</f>
        <v>WOMPI SUROCCIDENTE</v>
      </c>
      <c r="V387" s="27">
        <f>VLOOKUP(T387,'BASE TARIFA 2025'!C:F,3,0)</f>
        <v>49671.7</v>
      </c>
      <c r="W387" s="27">
        <f t="shared" si="6"/>
        <v>49671.7</v>
      </c>
    </row>
    <row r="388" spans="1:23" s="37" customFormat="1" ht="14.4" x14ac:dyDescent="0.3">
      <c r="A388" s="37">
        <v>13849</v>
      </c>
      <c r="B388" s="37" t="s">
        <v>4029</v>
      </c>
      <c r="C388" s="37">
        <v>36312190</v>
      </c>
      <c r="D388" s="37" t="s">
        <v>1888</v>
      </c>
      <c r="E388" s="37" t="s">
        <v>1889</v>
      </c>
      <c r="F388" s="37" t="s">
        <v>1889</v>
      </c>
      <c r="G388" s="37" t="s">
        <v>1890</v>
      </c>
      <c r="H388" s="37" t="s">
        <v>1891</v>
      </c>
      <c r="I388" s="37" t="s">
        <v>1892</v>
      </c>
      <c r="J388" s="37" t="s">
        <v>90</v>
      </c>
      <c r="K388" s="37" t="s">
        <v>155</v>
      </c>
      <c r="L388" s="37" t="s">
        <v>155</v>
      </c>
      <c r="M388" s="37">
        <v>54001</v>
      </c>
      <c r="N388" s="38" t="s">
        <v>430</v>
      </c>
      <c r="S388" s="23">
        <f>VLOOKUP(A388,Hoja1!A:D,4,0)</f>
        <v>2</v>
      </c>
      <c r="T388" s="26" t="str">
        <f>VLOOKUP(M388,[1]TIPOLOGIAS!$A:$F,4,0)</f>
        <v>CUCUTA</v>
      </c>
      <c r="U388" s="26" t="str">
        <f>VLOOKUP(T388,'BASE TARIFA 2025'!C:D,2,0)</f>
        <v>WOMPI SANTANDERES</v>
      </c>
      <c r="V388" s="27">
        <f>VLOOKUP(T388,'BASE TARIFA 2025'!C:F,3,0)</f>
        <v>49671.7</v>
      </c>
      <c r="W388" s="27">
        <f t="shared" si="6"/>
        <v>99343.4</v>
      </c>
    </row>
    <row r="389" spans="1:23" s="37" customFormat="1" ht="14.4" x14ac:dyDescent="0.3">
      <c r="A389" s="37">
        <v>31447</v>
      </c>
      <c r="B389" s="37" t="s">
        <v>4030</v>
      </c>
      <c r="C389" s="37">
        <v>21894255</v>
      </c>
      <c r="D389" s="37" t="s">
        <v>1893</v>
      </c>
      <c r="E389" s="37" t="s">
        <v>1893</v>
      </c>
      <c r="G389" s="37" t="s">
        <v>1894</v>
      </c>
      <c r="H389" s="37" t="s">
        <v>1895</v>
      </c>
      <c r="I389" s="37" t="s">
        <v>1896</v>
      </c>
      <c r="J389" s="37" t="s">
        <v>90</v>
      </c>
      <c r="K389" s="37" t="s">
        <v>155</v>
      </c>
      <c r="L389" s="37" t="s">
        <v>155</v>
      </c>
      <c r="M389" s="37">
        <v>54001</v>
      </c>
      <c r="N389" s="38" t="s">
        <v>323</v>
      </c>
      <c r="S389" s="23">
        <f>VLOOKUP(A389,Hoja1!A:D,4,0)</f>
        <v>2</v>
      </c>
      <c r="T389" s="26" t="str">
        <f>VLOOKUP(M389,[1]TIPOLOGIAS!$A:$F,4,0)</f>
        <v>CUCUTA</v>
      </c>
      <c r="U389" s="26" t="str">
        <f>VLOOKUP(T389,'BASE TARIFA 2025'!C:D,2,0)</f>
        <v>WOMPI SANTANDERES</v>
      </c>
      <c r="V389" s="27">
        <f>VLOOKUP(T389,'BASE TARIFA 2025'!C:F,3,0)</f>
        <v>49671.7</v>
      </c>
      <c r="W389" s="27">
        <f t="shared" si="6"/>
        <v>99343.4</v>
      </c>
    </row>
    <row r="390" spans="1:23" s="37" customFormat="1" ht="14.4" x14ac:dyDescent="0.3">
      <c r="A390" s="37">
        <v>27988</v>
      </c>
      <c r="B390" s="37" t="s">
        <v>4031</v>
      </c>
      <c r="C390" s="37">
        <v>900411976</v>
      </c>
      <c r="D390" s="37" t="s">
        <v>1897</v>
      </c>
      <c r="E390" s="37" t="s">
        <v>1897</v>
      </c>
      <c r="G390" s="37" t="s">
        <v>1898</v>
      </c>
      <c r="H390" s="37" t="s">
        <v>1899</v>
      </c>
      <c r="I390" s="37" t="s">
        <v>1900</v>
      </c>
      <c r="J390" s="37" t="s">
        <v>90</v>
      </c>
      <c r="K390" s="37" t="s">
        <v>155</v>
      </c>
      <c r="L390" s="37" t="s">
        <v>155</v>
      </c>
      <c r="M390" s="37">
        <v>54001</v>
      </c>
      <c r="N390" s="38" t="s">
        <v>322</v>
      </c>
      <c r="S390" s="23">
        <f>VLOOKUP(A390,Hoja1!A:D,4,0)</f>
        <v>1</v>
      </c>
      <c r="T390" s="26" t="str">
        <f>VLOOKUP(M390,[1]TIPOLOGIAS!$A:$F,4,0)</f>
        <v>CUCUTA</v>
      </c>
      <c r="U390" s="26" t="str">
        <f>VLOOKUP(T390,'BASE TARIFA 2025'!C:D,2,0)</f>
        <v>WOMPI SANTANDERES</v>
      </c>
      <c r="V390" s="27">
        <f>VLOOKUP(T390,'BASE TARIFA 2025'!C:F,3,0)</f>
        <v>49671.7</v>
      </c>
      <c r="W390" s="27">
        <f t="shared" si="6"/>
        <v>49671.7</v>
      </c>
    </row>
    <row r="391" spans="1:23" s="37" customFormat="1" ht="14.4" x14ac:dyDescent="0.3">
      <c r="A391" s="37">
        <v>30195</v>
      </c>
      <c r="B391" s="37" t="s">
        <v>4032</v>
      </c>
      <c r="C391" s="37">
        <v>98668669</v>
      </c>
      <c r="D391" s="37" t="s">
        <v>282</v>
      </c>
      <c r="E391" s="37" t="s">
        <v>282</v>
      </c>
      <c r="G391" s="37" t="s">
        <v>283</v>
      </c>
      <c r="H391" s="37" t="s">
        <v>284</v>
      </c>
      <c r="I391" s="37" t="s">
        <v>285</v>
      </c>
      <c r="J391" s="37" t="s">
        <v>90</v>
      </c>
      <c r="K391" s="37" t="s">
        <v>155</v>
      </c>
      <c r="L391" s="37" t="s">
        <v>155</v>
      </c>
      <c r="M391" s="37">
        <v>54001</v>
      </c>
      <c r="N391" s="38" t="s">
        <v>503</v>
      </c>
      <c r="S391" s="23">
        <f>VLOOKUP(A391,Hoja1!A:D,4,0)</f>
        <v>2</v>
      </c>
      <c r="T391" s="26" t="str">
        <f>VLOOKUP(M391,[1]TIPOLOGIAS!$A:$F,4,0)</f>
        <v>CUCUTA</v>
      </c>
      <c r="U391" s="26" t="str">
        <f>VLOOKUP(T391,'BASE TARIFA 2025'!C:D,2,0)</f>
        <v>WOMPI SANTANDERES</v>
      </c>
      <c r="V391" s="27">
        <f>VLOOKUP(T391,'BASE TARIFA 2025'!C:F,3,0)</f>
        <v>49671.7</v>
      </c>
      <c r="W391" s="27">
        <f t="shared" si="6"/>
        <v>99343.4</v>
      </c>
    </row>
    <row r="392" spans="1:23" s="37" customFormat="1" ht="14.4" x14ac:dyDescent="0.3">
      <c r="A392" s="37">
        <v>39687</v>
      </c>
      <c r="B392" s="37" t="s">
        <v>4033</v>
      </c>
      <c r="C392" s="37">
        <v>890306372</v>
      </c>
      <c r="D392" s="37" t="s">
        <v>1901</v>
      </c>
      <c r="E392" s="37" t="s">
        <v>1901</v>
      </c>
      <c r="G392" s="37" t="s">
        <v>1902</v>
      </c>
      <c r="H392" s="37" t="s">
        <v>1903</v>
      </c>
      <c r="I392" s="37" t="s">
        <v>1904</v>
      </c>
      <c r="J392" s="37" t="s">
        <v>90</v>
      </c>
      <c r="K392" s="37" t="s">
        <v>155</v>
      </c>
      <c r="L392" s="37" t="s">
        <v>155</v>
      </c>
      <c r="M392" s="37">
        <v>54001</v>
      </c>
      <c r="N392" s="38" t="s">
        <v>503</v>
      </c>
      <c r="S392" s="23">
        <f>VLOOKUP(A392,Hoja1!A:D,4,0)</f>
        <v>1</v>
      </c>
      <c r="T392" s="26" t="str">
        <f>VLOOKUP(M392,[1]TIPOLOGIAS!$A:$F,4,0)</f>
        <v>CUCUTA</v>
      </c>
      <c r="U392" s="26" t="str">
        <f>VLOOKUP(T392,'BASE TARIFA 2025'!C:D,2,0)</f>
        <v>WOMPI SANTANDERES</v>
      </c>
      <c r="V392" s="27">
        <f>VLOOKUP(T392,'BASE TARIFA 2025'!C:F,3,0)</f>
        <v>49671.7</v>
      </c>
      <c r="W392" s="27">
        <f t="shared" si="6"/>
        <v>49671.7</v>
      </c>
    </row>
    <row r="393" spans="1:23" s="37" customFormat="1" ht="14.4" x14ac:dyDescent="0.3">
      <c r="A393" s="37">
        <v>68947</v>
      </c>
      <c r="B393" s="37" t="s">
        <v>4034</v>
      </c>
      <c r="C393" s="37">
        <v>801002644</v>
      </c>
      <c r="D393" s="37" t="s">
        <v>1905</v>
      </c>
      <c r="E393" s="37" t="s">
        <v>1905</v>
      </c>
      <c r="G393" s="37" t="s">
        <v>1906</v>
      </c>
      <c r="H393" s="37" t="s">
        <v>1907</v>
      </c>
      <c r="I393" s="37" t="s">
        <v>1908</v>
      </c>
      <c r="J393" s="37" t="s">
        <v>90</v>
      </c>
      <c r="K393" s="37" t="s">
        <v>155</v>
      </c>
      <c r="L393" s="37" t="s">
        <v>155</v>
      </c>
      <c r="M393" s="37">
        <v>54001</v>
      </c>
      <c r="N393" s="38" t="s">
        <v>322</v>
      </c>
      <c r="S393" s="23">
        <f>VLOOKUP(A393,Hoja1!A:D,4,0)</f>
        <v>1</v>
      </c>
      <c r="T393" s="26" t="str">
        <f>VLOOKUP(M393,[1]TIPOLOGIAS!$A:$F,4,0)</f>
        <v>CUCUTA</v>
      </c>
      <c r="U393" s="26" t="str">
        <f>VLOOKUP(T393,'BASE TARIFA 2025'!C:D,2,0)</f>
        <v>WOMPI SANTANDERES</v>
      </c>
      <c r="V393" s="27">
        <f>VLOOKUP(T393,'BASE TARIFA 2025'!C:F,3,0)</f>
        <v>49671.7</v>
      </c>
      <c r="W393" s="27">
        <f t="shared" si="6"/>
        <v>49671.7</v>
      </c>
    </row>
    <row r="394" spans="1:23" s="37" customFormat="1" ht="14.4" x14ac:dyDescent="0.3">
      <c r="A394" s="37">
        <v>70058</v>
      </c>
      <c r="B394" s="37" t="s">
        <v>4035</v>
      </c>
      <c r="C394" s="37">
        <v>1075308669</v>
      </c>
      <c r="D394" s="37" t="s">
        <v>1909</v>
      </c>
      <c r="E394" s="37" t="s">
        <v>1909</v>
      </c>
      <c r="G394" s="37" t="s">
        <v>1910</v>
      </c>
      <c r="H394" s="37" t="s">
        <v>1911</v>
      </c>
      <c r="I394" s="37" t="s">
        <v>1912</v>
      </c>
      <c r="J394" s="37" t="s">
        <v>90</v>
      </c>
      <c r="K394" s="37" t="s">
        <v>155</v>
      </c>
      <c r="L394" s="37" t="s">
        <v>155</v>
      </c>
      <c r="M394" s="37">
        <v>54001</v>
      </c>
      <c r="N394" s="38" t="s">
        <v>325</v>
      </c>
      <c r="S394" s="23">
        <f>VLOOKUP(A394,Hoja1!A:D,4,0)</f>
        <v>2</v>
      </c>
      <c r="T394" s="26" t="str">
        <f>VLOOKUP(M394,[1]TIPOLOGIAS!$A:$F,4,0)</f>
        <v>CUCUTA</v>
      </c>
      <c r="U394" s="26" t="str">
        <f>VLOOKUP(T394,'BASE TARIFA 2025'!C:D,2,0)</f>
        <v>WOMPI SANTANDERES</v>
      </c>
      <c r="V394" s="27">
        <f>VLOOKUP(T394,'BASE TARIFA 2025'!C:F,3,0)</f>
        <v>49671.7</v>
      </c>
      <c r="W394" s="27">
        <f t="shared" si="6"/>
        <v>99343.4</v>
      </c>
    </row>
    <row r="395" spans="1:23" s="37" customFormat="1" ht="14.4" x14ac:dyDescent="0.3">
      <c r="A395" s="37">
        <v>67890</v>
      </c>
      <c r="B395" s="37" t="s">
        <v>4036</v>
      </c>
      <c r="C395" s="37">
        <v>36347643</v>
      </c>
      <c r="D395" s="37" t="s">
        <v>290</v>
      </c>
      <c r="E395" s="37" t="s">
        <v>290</v>
      </c>
      <c r="G395" s="37" t="s">
        <v>291</v>
      </c>
      <c r="H395" s="37" t="s">
        <v>292</v>
      </c>
      <c r="I395" s="37" t="s">
        <v>293</v>
      </c>
      <c r="J395" s="37" t="s">
        <v>90</v>
      </c>
      <c r="K395" s="37" t="s">
        <v>155</v>
      </c>
      <c r="L395" s="37" t="s">
        <v>155</v>
      </c>
      <c r="M395" s="37">
        <v>54001</v>
      </c>
      <c r="N395" s="38" t="s">
        <v>503</v>
      </c>
      <c r="S395" s="23">
        <f>VLOOKUP(A395,Hoja1!A:D,4,0)</f>
        <v>2</v>
      </c>
      <c r="T395" s="26" t="str">
        <f>VLOOKUP(M395,[1]TIPOLOGIAS!$A:$F,4,0)</f>
        <v>CUCUTA</v>
      </c>
      <c r="U395" s="26" t="str">
        <f>VLOOKUP(T395,'BASE TARIFA 2025'!C:D,2,0)</f>
        <v>WOMPI SANTANDERES</v>
      </c>
      <c r="V395" s="27">
        <f>VLOOKUP(T395,'BASE TARIFA 2025'!C:F,3,0)</f>
        <v>49671.7</v>
      </c>
      <c r="W395" s="27">
        <f t="shared" si="6"/>
        <v>99343.4</v>
      </c>
    </row>
    <row r="396" spans="1:23" s="37" customFormat="1" ht="14.4" x14ac:dyDescent="0.3">
      <c r="A396" s="37">
        <v>67804</v>
      </c>
      <c r="B396" s="37" t="s">
        <v>4037</v>
      </c>
      <c r="C396" s="37">
        <v>900397839</v>
      </c>
      <c r="D396" s="37" t="s">
        <v>294</v>
      </c>
      <c r="E396" s="37" t="s">
        <v>294</v>
      </c>
      <c r="G396" s="37" t="s">
        <v>295</v>
      </c>
      <c r="H396" s="37" t="s">
        <v>296</v>
      </c>
      <c r="I396" s="37" t="s">
        <v>297</v>
      </c>
      <c r="J396" s="37" t="s">
        <v>90</v>
      </c>
      <c r="K396" s="37" t="s">
        <v>155</v>
      </c>
      <c r="L396" s="37" t="s">
        <v>155</v>
      </c>
      <c r="M396" s="37">
        <v>54001</v>
      </c>
      <c r="N396" s="38" t="s">
        <v>503</v>
      </c>
      <c r="S396" s="23">
        <f>VLOOKUP(A396,Hoja1!A:D,4,0)</f>
        <v>1</v>
      </c>
      <c r="T396" s="26" t="str">
        <f>VLOOKUP(M396,[1]TIPOLOGIAS!$A:$F,4,0)</f>
        <v>CUCUTA</v>
      </c>
      <c r="U396" s="26" t="str">
        <f>VLOOKUP(T396,'BASE TARIFA 2025'!C:D,2,0)</f>
        <v>WOMPI SANTANDERES</v>
      </c>
      <c r="V396" s="27">
        <f>VLOOKUP(T396,'BASE TARIFA 2025'!C:F,3,0)</f>
        <v>49671.7</v>
      </c>
      <c r="W396" s="27">
        <f t="shared" si="6"/>
        <v>49671.7</v>
      </c>
    </row>
    <row r="397" spans="1:23" s="37" customFormat="1" ht="14.4" x14ac:dyDescent="0.3">
      <c r="A397" s="37">
        <v>64277</v>
      </c>
      <c r="B397" s="37" t="s">
        <v>4038</v>
      </c>
      <c r="C397" s="37">
        <v>36346152</v>
      </c>
      <c r="D397" s="37" t="s">
        <v>1913</v>
      </c>
      <c r="E397" s="37" t="s">
        <v>1914</v>
      </c>
      <c r="F397" s="37" t="s">
        <v>1914</v>
      </c>
      <c r="G397" s="37" t="s">
        <v>1915</v>
      </c>
      <c r="H397" s="37" t="s">
        <v>1916</v>
      </c>
      <c r="I397" s="37" t="s">
        <v>1917</v>
      </c>
      <c r="J397" s="37" t="s">
        <v>92</v>
      </c>
      <c r="K397" s="37" t="s">
        <v>1918</v>
      </c>
      <c r="L397" s="37" t="s">
        <v>1918</v>
      </c>
      <c r="M397" s="37">
        <v>68264</v>
      </c>
      <c r="N397" s="38" t="s">
        <v>708</v>
      </c>
      <c r="S397" s="23">
        <f>VLOOKUP(A397,Hoja1!A:D,4,0)</f>
        <v>4</v>
      </c>
      <c r="T397" s="26" t="str">
        <f>VLOOKUP(M397,[1]TIPOLOGIAS!$A:$F,4,0)</f>
        <v>BUCARAMANGA</v>
      </c>
      <c r="U397" s="26" t="str">
        <f>VLOOKUP(T397,'BASE TARIFA 2025'!C:D,2,0)</f>
        <v>WOMPI SANTANDERES</v>
      </c>
      <c r="V397" s="27">
        <f>VLOOKUP(T397,'BASE TARIFA 2025'!C:F,3,0)</f>
        <v>37313</v>
      </c>
      <c r="W397" s="27">
        <f t="shared" si="6"/>
        <v>149252</v>
      </c>
    </row>
    <row r="398" spans="1:23" s="37" customFormat="1" ht="14.4" x14ac:dyDescent="0.3">
      <c r="A398" s="37">
        <v>56762</v>
      </c>
      <c r="B398" s="37" t="s">
        <v>4039</v>
      </c>
      <c r="C398" s="37">
        <v>900651102</v>
      </c>
      <c r="D398" s="37" t="s">
        <v>1919</v>
      </c>
      <c r="E398" s="37" t="s">
        <v>67</v>
      </c>
      <c r="F398" s="37" t="s">
        <v>1919</v>
      </c>
      <c r="G398" s="37" t="s">
        <v>1920</v>
      </c>
      <c r="H398" s="37" t="s">
        <v>1921</v>
      </c>
      <c r="I398" s="37" t="s">
        <v>1922</v>
      </c>
      <c r="J398" s="37" t="s">
        <v>92</v>
      </c>
      <c r="K398" s="37" t="s">
        <v>1923</v>
      </c>
      <c r="L398" s="37" t="s">
        <v>1923</v>
      </c>
      <c r="M398" s="37">
        <v>68318</v>
      </c>
      <c r="N398" s="38" t="s">
        <v>320</v>
      </c>
      <c r="S398" s="23">
        <f>VLOOKUP(A398,Hoja1!A:D,4,0)</f>
        <v>2</v>
      </c>
      <c r="T398" s="26" t="str">
        <f>VLOOKUP(M398,[1]TIPOLOGIAS!$A:$F,4,0)</f>
        <v>BUCARAMANGA</v>
      </c>
      <c r="U398" s="26" t="str">
        <f>VLOOKUP(T398,'BASE TARIFA 2025'!C:D,2,0)</f>
        <v>WOMPI SANTANDERES</v>
      </c>
      <c r="V398" s="27">
        <f>VLOOKUP(T398,'BASE TARIFA 2025'!C:F,3,0)</f>
        <v>37313</v>
      </c>
      <c r="W398" s="27">
        <f t="shared" si="6"/>
        <v>74626</v>
      </c>
    </row>
    <row r="399" spans="1:23" s="37" customFormat="1" ht="14.4" x14ac:dyDescent="0.3">
      <c r="A399" s="37">
        <v>28357</v>
      </c>
      <c r="B399" s="37" t="s">
        <v>4040</v>
      </c>
      <c r="C399" s="37">
        <v>1035427036</v>
      </c>
      <c r="D399" s="37" t="s">
        <v>1924</v>
      </c>
      <c r="E399" s="37" t="s">
        <v>1925</v>
      </c>
      <c r="F399" s="37" t="s">
        <v>1925</v>
      </c>
      <c r="G399" s="37" t="s">
        <v>1926</v>
      </c>
      <c r="H399" s="37" t="s">
        <v>1927</v>
      </c>
      <c r="I399" s="37" t="s">
        <v>1928</v>
      </c>
      <c r="J399" s="37" t="s">
        <v>108</v>
      </c>
      <c r="K399" s="37" t="s">
        <v>154</v>
      </c>
      <c r="L399" s="37" t="s">
        <v>154</v>
      </c>
      <c r="M399" s="37">
        <v>76520</v>
      </c>
      <c r="N399" s="38" t="s">
        <v>430</v>
      </c>
      <c r="S399" s="23">
        <f>VLOOKUP(A399,Hoja1!A:D,4,0)</f>
        <v>2</v>
      </c>
      <c r="T399" s="26" t="str">
        <f>VLOOKUP(M399,[1]TIPOLOGIAS!$A:$F,4,0)</f>
        <v>CALI</v>
      </c>
      <c r="U399" s="26" t="str">
        <f>VLOOKUP(T399,'BASE TARIFA 2025'!C:D,2,0)</f>
        <v>WOMPI SUROCCIDENTE</v>
      </c>
      <c r="V399" s="27">
        <f>VLOOKUP(T399,'BASE TARIFA 2025'!C:F,3,0)</f>
        <v>37313</v>
      </c>
      <c r="W399" s="27">
        <f t="shared" si="6"/>
        <v>74626</v>
      </c>
    </row>
    <row r="400" spans="1:23" s="37" customFormat="1" ht="14.4" x14ac:dyDescent="0.3">
      <c r="A400" s="37">
        <v>18323</v>
      </c>
      <c r="B400" s="37" t="s">
        <v>4041</v>
      </c>
      <c r="C400" s="37">
        <v>900470242</v>
      </c>
      <c r="D400" s="37" t="s">
        <v>1929</v>
      </c>
      <c r="E400" s="37" t="s">
        <v>1930</v>
      </c>
      <c r="F400" s="37" t="s">
        <v>1929</v>
      </c>
      <c r="G400" s="37" t="s">
        <v>1931</v>
      </c>
      <c r="H400" s="37" t="s">
        <v>1932</v>
      </c>
      <c r="I400" s="37" t="s">
        <v>1933</v>
      </c>
      <c r="J400" s="37" t="s">
        <v>108</v>
      </c>
      <c r="K400" s="37" t="s">
        <v>154</v>
      </c>
      <c r="L400" s="37" t="s">
        <v>154</v>
      </c>
      <c r="M400" s="37">
        <v>76520</v>
      </c>
      <c r="N400" s="38" t="s">
        <v>328</v>
      </c>
      <c r="S400" s="23">
        <f>VLOOKUP(A400,Hoja1!A:D,4,0)</f>
        <v>2</v>
      </c>
      <c r="T400" s="26" t="str">
        <f>VLOOKUP(M400,[1]TIPOLOGIAS!$A:$F,4,0)</f>
        <v>CALI</v>
      </c>
      <c r="U400" s="26" t="str">
        <f>VLOOKUP(T400,'BASE TARIFA 2025'!C:D,2,0)</f>
        <v>WOMPI SUROCCIDENTE</v>
      </c>
      <c r="V400" s="27">
        <f>VLOOKUP(T400,'BASE TARIFA 2025'!C:F,3,0)</f>
        <v>37313</v>
      </c>
      <c r="W400" s="27">
        <f t="shared" si="6"/>
        <v>74626</v>
      </c>
    </row>
    <row r="401" spans="1:23" s="37" customFormat="1" ht="14.4" x14ac:dyDescent="0.3">
      <c r="A401" s="37">
        <v>57051</v>
      </c>
      <c r="B401" s="37" t="s">
        <v>4042</v>
      </c>
      <c r="C401" s="37">
        <v>1075311341</v>
      </c>
      <c r="D401" s="37" t="s">
        <v>1934</v>
      </c>
      <c r="E401" s="37" t="s">
        <v>1935</v>
      </c>
      <c r="F401" s="37" t="s">
        <v>1934</v>
      </c>
      <c r="G401" s="37" t="s">
        <v>1936</v>
      </c>
      <c r="H401" s="37" t="s">
        <v>1937</v>
      </c>
      <c r="I401" s="37" t="s">
        <v>1938</v>
      </c>
      <c r="J401" s="37" t="s">
        <v>108</v>
      </c>
      <c r="K401" s="37" t="s">
        <v>154</v>
      </c>
      <c r="L401" s="37" t="s">
        <v>154</v>
      </c>
      <c r="M401" s="37">
        <v>76520</v>
      </c>
      <c r="N401" s="38" t="s">
        <v>323</v>
      </c>
      <c r="S401" s="23">
        <f>VLOOKUP(A401,Hoja1!A:D,4,0)</f>
        <v>2</v>
      </c>
      <c r="T401" s="26" t="str">
        <f>VLOOKUP(M401,[1]TIPOLOGIAS!$A:$F,4,0)</f>
        <v>CALI</v>
      </c>
      <c r="U401" s="26" t="str">
        <f>VLOOKUP(T401,'BASE TARIFA 2025'!C:D,2,0)</f>
        <v>WOMPI SUROCCIDENTE</v>
      </c>
      <c r="V401" s="27">
        <f>VLOOKUP(T401,'BASE TARIFA 2025'!C:F,3,0)</f>
        <v>37313</v>
      </c>
      <c r="W401" s="27">
        <f t="shared" si="6"/>
        <v>74626</v>
      </c>
    </row>
    <row r="402" spans="1:23" s="37" customFormat="1" ht="14.4" x14ac:dyDescent="0.3">
      <c r="A402" s="37">
        <v>58404</v>
      </c>
      <c r="B402" s="37" t="s">
        <v>4043</v>
      </c>
      <c r="C402" s="37">
        <v>17655564</v>
      </c>
      <c r="E402" s="37" t="s">
        <v>1939</v>
      </c>
      <c r="F402" s="37" t="s">
        <v>1939</v>
      </c>
      <c r="G402" s="37" t="s">
        <v>1940</v>
      </c>
      <c r="H402" s="37" t="s">
        <v>1941</v>
      </c>
      <c r="I402" s="37" t="s">
        <v>1942</v>
      </c>
      <c r="J402" s="37" t="s">
        <v>93</v>
      </c>
      <c r="K402" s="37" t="s">
        <v>165</v>
      </c>
      <c r="L402" s="37" t="s">
        <v>166</v>
      </c>
      <c r="M402" s="37">
        <v>70742</v>
      </c>
      <c r="N402" s="38" t="s">
        <v>322</v>
      </c>
      <c r="S402" s="23">
        <f>VLOOKUP(A402,Hoja1!A:D,4,0)</f>
        <v>2</v>
      </c>
      <c r="T402" s="26" t="str">
        <f>VLOOKUP(M402,[1]TIPOLOGIAS!$A:$F,4,0)</f>
        <v>SINCELEJO</v>
      </c>
      <c r="U402" s="26" t="str">
        <f>VLOOKUP(T402,'BASE TARIFA 2025'!C:D,2,0)</f>
        <v>WOMPI COSTA</v>
      </c>
      <c r="V402" s="27">
        <f>VLOOKUP(T402,'BASE TARIFA 2025'!C:F,3,0)</f>
        <v>49671.7</v>
      </c>
      <c r="W402" s="27">
        <f t="shared" si="6"/>
        <v>99343.4</v>
      </c>
    </row>
    <row r="403" spans="1:23" s="37" customFormat="1" ht="14.4" x14ac:dyDescent="0.3">
      <c r="A403" s="37">
        <v>53374</v>
      </c>
      <c r="B403" s="37" t="s">
        <v>4044</v>
      </c>
      <c r="C403" s="37">
        <v>36183212</v>
      </c>
      <c r="D403" s="37" t="s">
        <v>1943</v>
      </c>
      <c r="E403" s="37" t="s">
        <v>1943</v>
      </c>
      <c r="G403" s="37" t="s">
        <v>1944</v>
      </c>
      <c r="H403" s="37" t="s">
        <v>1945</v>
      </c>
      <c r="I403" s="37" t="s">
        <v>1946</v>
      </c>
      <c r="J403" s="37" t="s">
        <v>93</v>
      </c>
      <c r="K403" s="37" t="s">
        <v>167</v>
      </c>
      <c r="L403" s="37" t="s">
        <v>167</v>
      </c>
      <c r="M403" s="37">
        <v>70820</v>
      </c>
      <c r="N403" s="38" t="s">
        <v>324</v>
      </c>
      <c r="S403" s="23">
        <f>VLOOKUP(A403,Hoja1!A:D,4,0)</f>
        <v>4</v>
      </c>
      <c r="T403" s="26" t="str">
        <f>VLOOKUP(M403,[1]TIPOLOGIAS!$A:$F,4,0)</f>
        <v>SINCELEJO</v>
      </c>
      <c r="U403" s="26" t="str">
        <f>VLOOKUP(T403,'BASE TARIFA 2025'!C:D,2,0)</f>
        <v>WOMPI COSTA</v>
      </c>
      <c r="V403" s="27">
        <f>VLOOKUP(T403,'BASE TARIFA 2025'!C:F,3,0)</f>
        <v>49671.7</v>
      </c>
      <c r="W403" s="27">
        <f t="shared" si="6"/>
        <v>198686.8</v>
      </c>
    </row>
    <row r="404" spans="1:23" s="37" customFormat="1" ht="14.4" x14ac:dyDescent="0.3">
      <c r="A404" s="37">
        <v>50490</v>
      </c>
      <c r="B404" s="37" t="s">
        <v>4045</v>
      </c>
      <c r="C404" s="37">
        <v>1088294525</v>
      </c>
      <c r="D404" s="37" t="s">
        <v>1947</v>
      </c>
      <c r="E404" s="37" t="s">
        <v>1948</v>
      </c>
      <c r="F404" s="37" t="s">
        <v>1948</v>
      </c>
      <c r="G404" s="37" t="s">
        <v>1949</v>
      </c>
      <c r="H404" s="37" t="s">
        <v>1950</v>
      </c>
      <c r="I404" s="37" t="s">
        <v>1951</v>
      </c>
      <c r="J404" s="37" t="s">
        <v>93</v>
      </c>
      <c r="K404" s="37" t="s">
        <v>168</v>
      </c>
      <c r="L404" s="37" t="s">
        <v>168</v>
      </c>
      <c r="M404" s="37">
        <v>70823</v>
      </c>
      <c r="N404" s="38" t="s">
        <v>324</v>
      </c>
      <c r="S404" s="23">
        <f>VLOOKUP(A404,Hoja1!A:D,4,0)</f>
        <v>2</v>
      </c>
      <c r="T404" s="26" t="str">
        <f>VLOOKUP(M404,[1]TIPOLOGIAS!$A:$F,4,0)</f>
        <v>SINCELEJO</v>
      </c>
      <c r="U404" s="26" t="str">
        <f>VLOOKUP(T404,'BASE TARIFA 2025'!C:D,2,0)</f>
        <v>WOMPI COSTA</v>
      </c>
      <c r="V404" s="27">
        <f>VLOOKUP(T404,'BASE TARIFA 2025'!C:F,3,0)</f>
        <v>49671.7</v>
      </c>
      <c r="W404" s="27">
        <f t="shared" si="6"/>
        <v>99343.4</v>
      </c>
    </row>
    <row r="405" spans="1:23" s="37" customFormat="1" ht="14.4" x14ac:dyDescent="0.3">
      <c r="A405" s="37">
        <v>39911</v>
      </c>
      <c r="B405" s="37" t="s">
        <v>4046</v>
      </c>
      <c r="C405" s="37">
        <v>7687030</v>
      </c>
      <c r="E405" s="37" t="s">
        <v>1952</v>
      </c>
      <c r="F405" s="37" t="s">
        <v>1952</v>
      </c>
      <c r="G405" s="37" t="s">
        <v>1953</v>
      </c>
      <c r="H405" s="37" t="s">
        <v>1954</v>
      </c>
      <c r="I405" s="37" t="s">
        <v>1955</v>
      </c>
      <c r="J405" s="37" t="s">
        <v>93</v>
      </c>
      <c r="K405" s="37" t="s">
        <v>168</v>
      </c>
      <c r="L405" s="37" t="s">
        <v>168</v>
      </c>
      <c r="M405" s="37">
        <v>70823</v>
      </c>
      <c r="N405" s="38" t="s">
        <v>324</v>
      </c>
      <c r="S405" s="23">
        <f>VLOOKUP(A405,Hoja1!A:D,4,0)</f>
        <v>2</v>
      </c>
      <c r="T405" s="26" t="str">
        <f>VLOOKUP(M405,[1]TIPOLOGIAS!$A:$F,4,0)</f>
        <v>SINCELEJO</v>
      </c>
      <c r="U405" s="26" t="str">
        <f>VLOOKUP(T405,'BASE TARIFA 2025'!C:D,2,0)</f>
        <v>WOMPI COSTA</v>
      </c>
      <c r="V405" s="27">
        <f>VLOOKUP(T405,'BASE TARIFA 2025'!C:F,3,0)</f>
        <v>49671.7</v>
      </c>
      <c r="W405" s="27">
        <f t="shared" si="6"/>
        <v>99343.4</v>
      </c>
    </row>
    <row r="406" spans="1:23" s="37" customFormat="1" ht="14.4" x14ac:dyDescent="0.3">
      <c r="A406" s="37">
        <v>36993</v>
      </c>
      <c r="B406" s="37" t="s">
        <v>4047</v>
      </c>
      <c r="C406" s="37">
        <v>7718323</v>
      </c>
      <c r="D406" s="37" t="s">
        <v>1956</v>
      </c>
      <c r="E406" s="37" t="s">
        <v>1957</v>
      </c>
      <c r="F406" s="37" t="s">
        <v>1956</v>
      </c>
      <c r="G406" s="37" t="s">
        <v>1958</v>
      </c>
      <c r="H406" s="37" t="s">
        <v>1959</v>
      </c>
      <c r="I406" s="37" t="s">
        <v>1960</v>
      </c>
      <c r="J406" s="37" t="s">
        <v>108</v>
      </c>
      <c r="K406" s="37" t="s">
        <v>201</v>
      </c>
      <c r="L406" s="37" t="s">
        <v>201</v>
      </c>
      <c r="M406" s="37">
        <v>76364</v>
      </c>
      <c r="N406" s="38" t="s">
        <v>708</v>
      </c>
      <c r="S406" s="23">
        <f>VLOOKUP(A406,Hoja1!A:D,4,0)</f>
        <v>2</v>
      </c>
      <c r="T406" s="26" t="str">
        <f>VLOOKUP(M406,[1]TIPOLOGIAS!$A:$F,4,0)</f>
        <v>CALI</v>
      </c>
      <c r="U406" s="26" t="str">
        <f>VLOOKUP(T406,'BASE TARIFA 2025'!C:D,2,0)</f>
        <v>WOMPI SUROCCIDENTE</v>
      </c>
      <c r="V406" s="27">
        <f>VLOOKUP(T406,'BASE TARIFA 2025'!C:F,3,0)</f>
        <v>37313</v>
      </c>
      <c r="W406" s="27">
        <f t="shared" si="6"/>
        <v>74626</v>
      </c>
    </row>
    <row r="407" spans="1:23" s="37" customFormat="1" ht="14.4" x14ac:dyDescent="0.3">
      <c r="A407" s="37">
        <v>37409</v>
      </c>
      <c r="B407" s="37" t="s">
        <v>4048</v>
      </c>
      <c r="C407" s="37">
        <v>1075270403</v>
      </c>
      <c r="D407" s="37" t="s">
        <v>1961</v>
      </c>
      <c r="E407" s="37" t="s">
        <v>1961</v>
      </c>
      <c r="G407" s="37" t="s">
        <v>1962</v>
      </c>
      <c r="H407" s="37" t="s">
        <v>1963</v>
      </c>
      <c r="I407" s="37" t="s">
        <v>1964</v>
      </c>
      <c r="J407" s="37" t="s">
        <v>108</v>
      </c>
      <c r="K407" s="37" t="s">
        <v>201</v>
      </c>
      <c r="L407" s="37" t="s">
        <v>201</v>
      </c>
      <c r="M407" s="37">
        <v>76364</v>
      </c>
      <c r="N407" s="38" t="s">
        <v>708</v>
      </c>
      <c r="S407" s="23">
        <f>VLOOKUP(A407,Hoja1!A:D,4,0)</f>
        <v>4</v>
      </c>
      <c r="T407" s="26" t="str">
        <f>VLOOKUP(M407,[1]TIPOLOGIAS!$A:$F,4,0)</f>
        <v>CALI</v>
      </c>
      <c r="U407" s="26" t="str">
        <f>VLOOKUP(T407,'BASE TARIFA 2025'!C:D,2,0)</f>
        <v>WOMPI SUROCCIDENTE</v>
      </c>
      <c r="V407" s="27">
        <f>VLOOKUP(T407,'BASE TARIFA 2025'!C:F,3,0)</f>
        <v>37313</v>
      </c>
      <c r="W407" s="27">
        <f t="shared" si="6"/>
        <v>149252</v>
      </c>
    </row>
    <row r="408" spans="1:23" s="37" customFormat="1" ht="14.4" x14ac:dyDescent="0.3">
      <c r="A408" s="37">
        <v>16748</v>
      </c>
      <c r="B408" s="37" t="s">
        <v>4049</v>
      </c>
      <c r="C408" s="37">
        <v>801002644</v>
      </c>
      <c r="D408" s="37" t="s">
        <v>1965</v>
      </c>
      <c r="E408" s="37" t="s">
        <v>1965</v>
      </c>
      <c r="F408" s="37" t="s">
        <v>1965</v>
      </c>
      <c r="G408" s="37" t="s">
        <v>1966</v>
      </c>
      <c r="H408" s="37" t="s">
        <v>1967</v>
      </c>
      <c r="I408" s="37" t="s">
        <v>1968</v>
      </c>
      <c r="J408" s="37" t="s">
        <v>108</v>
      </c>
      <c r="K408" s="37" t="s">
        <v>201</v>
      </c>
      <c r="L408" s="37" t="s">
        <v>201</v>
      </c>
      <c r="M408" s="37">
        <v>76364</v>
      </c>
      <c r="N408" s="38" t="s">
        <v>708</v>
      </c>
      <c r="S408" s="23">
        <f>VLOOKUP(A408,Hoja1!A:D,4,0)</f>
        <v>2</v>
      </c>
      <c r="T408" s="26" t="str">
        <f>VLOOKUP(M408,[1]TIPOLOGIAS!$A:$F,4,0)</f>
        <v>CALI</v>
      </c>
      <c r="U408" s="26" t="str">
        <f>VLOOKUP(T408,'BASE TARIFA 2025'!C:D,2,0)</f>
        <v>WOMPI SUROCCIDENTE</v>
      </c>
      <c r="V408" s="27">
        <f>VLOOKUP(T408,'BASE TARIFA 2025'!C:F,3,0)</f>
        <v>37313</v>
      </c>
      <c r="W408" s="27">
        <f t="shared" si="6"/>
        <v>74626</v>
      </c>
    </row>
    <row r="409" spans="1:23" s="37" customFormat="1" ht="14.4" x14ac:dyDescent="0.3">
      <c r="A409" s="37">
        <v>35096</v>
      </c>
      <c r="B409" s="37" t="s">
        <v>4050</v>
      </c>
      <c r="C409" s="37">
        <v>1075224615</v>
      </c>
      <c r="D409" s="37" t="s">
        <v>1969</v>
      </c>
      <c r="E409" s="37" t="s">
        <v>1970</v>
      </c>
      <c r="F409" s="37" t="s">
        <v>1970</v>
      </c>
      <c r="G409" s="37" t="s">
        <v>1971</v>
      </c>
      <c r="H409" s="37" t="s">
        <v>1972</v>
      </c>
      <c r="I409" s="37" t="s">
        <v>1973</v>
      </c>
      <c r="J409" s="37" t="s">
        <v>108</v>
      </c>
      <c r="K409" s="37" t="s">
        <v>1974</v>
      </c>
      <c r="L409" s="37" t="s">
        <v>1974</v>
      </c>
      <c r="M409" s="37">
        <v>76377</v>
      </c>
      <c r="N409" s="38" t="s">
        <v>513</v>
      </c>
      <c r="S409" s="23">
        <f>VLOOKUP(A409,Hoja1!A:D,4,0)</f>
        <v>2</v>
      </c>
      <c r="T409" s="26" t="str">
        <f>VLOOKUP(M409,[1]TIPOLOGIAS!$A:$F,4,0)</f>
        <v>CALI</v>
      </c>
      <c r="U409" s="26" t="str">
        <f>VLOOKUP(T409,'BASE TARIFA 2025'!C:D,2,0)</f>
        <v>WOMPI SUROCCIDENTE</v>
      </c>
      <c r="V409" s="27">
        <f>VLOOKUP(T409,'BASE TARIFA 2025'!C:F,3,0)</f>
        <v>37313</v>
      </c>
      <c r="W409" s="27">
        <f t="shared" si="6"/>
        <v>74626</v>
      </c>
    </row>
    <row r="410" spans="1:23" s="37" customFormat="1" ht="14.4" x14ac:dyDescent="0.3">
      <c r="A410" s="37">
        <v>27156</v>
      </c>
      <c r="B410" s="37" t="s">
        <v>4051</v>
      </c>
      <c r="C410" s="37">
        <v>83224064</v>
      </c>
      <c r="D410" s="37" t="s">
        <v>1975</v>
      </c>
      <c r="E410" s="37" t="s">
        <v>1976</v>
      </c>
      <c r="F410" s="37" t="s">
        <v>1976</v>
      </c>
      <c r="G410" s="37" t="s">
        <v>1977</v>
      </c>
      <c r="H410" s="37" t="s">
        <v>1978</v>
      </c>
      <c r="I410" s="37" t="s">
        <v>1979</v>
      </c>
      <c r="J410" s="37" t="s">
        <v>65</v>
      </c>
      <c r="K410" s="37" t="s">
        <v>66</v>
      </c>
      <c r="L410" s="37" t="s">
        <v>66</v>
      </c>
      <c r="M410" s="37">
        <v>5615</v>
      </c>
      <c r="N410" s="38" t="s">
        <v>320</v>
      </c>
      <c r="S410" s="23">
        <f>VLOOKUP(A410,Hoja1!A:D,4,0)</f>
        <v>1</v>
      </c>
      <c r="T410" s="26" t="str">
        <f>VLOOKUP(M410,[1]TIPOLOGIAS!$A:$F,4,0)</f>
        <v>MEDELLIN</v>
      </c>
      <c r="U410" s="26" t="str">
        <f>VLOOKUP(T410,'BASE TARIFA 2025'!C:D,2,0)</f>
        <v>WOMPI NOROCCIDENTE</v>
      </c>
      <c r="V410" s="27">
        <f>VLOOKUP(T410,'BASE TARIFA 2025'!C:F,3,0)</f>
        <v>37313</v>
      </c>
      <c r="W410" s="27">
        <f t="shared" si="6"/>
        <v>37313</v>
      </c>
    </row>
    <row r="411" spans="1:23" s="37" customFormat="1" ht="14.4" x14ac:dyDescent="0.3">
      <c r="A411" s="37">
        <v>25614</v>
      </c>
      <c r="B411" s="37" t="s">
        <v>4052</v>
      </c>
      <c r="C411" s="37">
        <v>55063537</v>
      </c>
      <c r="D411" s="37" t="s">
        <v>1980</v>
      </c>
      <c r="E411" s="37" t="s">
        <v>1981</v>
      </c>
      <c r="F411" s="37" t="s">
        <v>1981</v>
      </c>
      <c r="G411" s="37" t="s">
        <v>1982</v>
      </c>
      <c r="H411" s="37" t="s">
        <v>1983</v>
      </c>
      <c r="I411" s="37" t="s">
        <v>1984</v>
      </c>
      <c r="J411" s="37" t="s">
        <v>65</v>
      </c>
      <c r="K411" s="37" t="s">
        <v>66</v>
      </c>
      <c r="L411" s="37" t="s">
        <v>66</v>
      </c>
      <c r="M411" s="37">
        <v>5615</v>
      </c>
      <c r="N411" s="38" t="s">
        <v>327</v>
      </c>
      <c r="S411" s="23">
        <f>VLOOKUP(A411,Hoja1!A:D,4,0)</f>
        <v>2</v>
      </c>
      <c r="T411" s="26" t="str">
        <f>VLOOKUP(M411,[1]TIPOLOGIAS!$A:$F,4,0)</f>
        <v>MEDELLIN</v>
      </c>
      <c r="U411" s="26" t="str">
        <f>VLOOKUP(T411,'BASE TARIFA 2025'!C:D,2,0)</f>
        <v>WOMPI NOROCCIDENTE</v>
      </c>
      <c r="V411" s="27">
        <f>VLOOKUP(T411,'BASE TARIFA 2025'!C:F,3,0)</f>
        <v>37313</v>
      </c>
      <c r="W411" s="27">
        <f t="shared" si="6"/>
        <v>74626</v>
      </c>
    </row>
    <row r="412" spans="1:23" s="37" customFormat="1" ht="14.4" x14ac:dyDescent="0.3">
      <c r="A412" s="37">
        <v>18978</v>
      </c>
      <c r="B412" s="37" t="s">
        <v>4053</v>
      </c>
      <c r="C412" s="37">
        <v>55162620</v>
      </c>
      <c r="D412" s="37" t="s">
        <v>1985</v>
      </c>
      <c r="E412" s="37" t="s">
        <v>1986</v>
      </c>
      <c r="F412" s="37" t="s">
        <v>1986</v>
      </c>
      <c r="G412" s="37" t="s">
        <v>1987</v>
      </c>
      <c r="H412" s="37" t="s">
        <v>1988</v>
      </c>
      <c r="I412" s="37" t="s">
        <v>1989</v>
      </c>
      <c r="J412" s="37" t="s">
        <v>65</v>
      </c>
      <c r="K412" s="37" t="s">
        <v>66</v>
      </c>
      <c r="L412" s="37" t="s">
        <v>66</v>
      </c>
      <c r="M412" s="37">
        <v>5615</v>
      </c>
      <c r="N412" s="38" t="s">
        <v>320</v>
      </c>
      <c r="S412" s="23">
        <f>VLOOKUP(A412,Hoja1!A:D,4,0)</f>
        <v>4</v>
      </c>
      <c r="T412" s="26" t="str">
        <f>VLOOKUP(M412,[1]TIPOLOGIAS!$A:$F,4,0)</f>
        <v>MEDELLIN</v>
      </c>
      <c r="U412" s="26" t="str">
        <f>VLOOKUP(T412,'BASE TARIFA 2025'!C:D,2,0)</f>
        <v>WOMPI NOROCCIDENTE</v>
      </c>
      <c r="V412" s="27">
        <f>VLOOKUP(T412,'BASE TARIFA 2025'!C:F,3,0)</f>
        <v>37313</v>
      </c>
      <c r="W412" s="27">
        <f t="shared" si="6"/>
        <v>149252</v>
      </c>
    </row>
    <row r="413" spans="1:23" s="37" customFormat="1" ht="14.4" x14ac:dyDescent="0.3">
      <c r="A413" s="37">
        <v>14661</v>
      </c>
      <c r="B413" s="37" t="s">
        <v>4054</v>
      </c>
      <c r="C413" s="37">
        <v>900020155</v>
      </c>
      <c r="D413" s="37" t="s">
        <v>1990</v>
      </c>
      <c r="E413" s="37" t="s">
        <v>1991</v>
      </c>
      <c r="F413" s="37" t="s">
        <v>1991</v>
      </c>
      <c r="G413" s="37" t="s">
        <v>1992</v>
      </c>
      <c r="H413" s="37" t="s">
        <v>1993</v>
      </c>
      <c r="I413" s="37" t="s">
        <v>1994</v>
      </c>
      <c r="J413" s="37" t="s">
        <v>65</v>
      </c>
      <c r="K413" s="37" t="s">
        <v>66</v>
      </c>
      <c r="L413" s="37" t="s">
        <v>66</v>
      </c>
      <c r="M413" s="37">
        <v>5615</v>
      </c>
      <c r="N413" s="38" t="s">
        <v>327</v>
      </c>
      <c r="S413" s="23">
        <f>VLOOKUP(A413,Hoja1!A:D,4,0)</f>
        <v>2</v>
      </c>
      <c r="T413" s="26" t="str">
        <f>VLOOKUP(M413,[1]TIPOLOGIAS!$A:$F,4,0)</f>
        <v>MEDELLIN</v>
      </c>
      <c r="U413" s="26" t="str">
        <f>VLOOKUP(T413,'BASE TARIFA 2025'!C:D,2,0)</f>
        <v>WOMPI NOROCCIDENTE</v>
      </c>
      <c r="V413" s="27">
        <f>VLOOKUP(T413,'BASE TARIFA 2025'!C:F,3,0)</f>
        <v>37313</v>
      </c>
      <c r="W413" s="27">
        <f t="shared" si="6"/>
        <v>74626</v>
      </c>
    </row>
    <row r="414" spans="1:23" s="37" customFormat="1" ht="14.4" x14ac:dyDescent="0.3">
      <c r="A414" s="37">
        <v>63001</v>
      </c>
      <c r="B414" s="37" t="s">
        <v>4055</v>
      </c>
      <c r="C414" s="37">
        <v>900912012</v>
      </c>
      <c r="D414" s="37" t="s">
        <v>286</v>
      </c>
      <c r="E414" s="37" t="s">
        <v>286</v>
      </c>
      <c r="G414" s="37" t="s">
        <v>287</v>
      </c>
      <c r="H414" s="37" t="s">
        <v>288</v>
      </c>
      <c r="I414" s="37" t="s">
        <v>289</v>
      </c>
      <c r="J414" s="37" t="s">
        <v>90</v>
      </c>
      <c r="K414" s="37" t="s">
        <v>155</v>
      </c>
      <c r="L414" s="37" t="s">
        <v>155</v>
      </c>
      <c r="M414" s="37">
        <v>54001</v>
      </c>
      <c r="N414" s="38" t="s">
        <v>503</v>
      </c>
      <c r="S414" s="23">
        <f>VLOOKUP(A414,Hoja1!A:D,4,0)</f>
        <v>1</v>
      </c>
      <c r="T414" s="26" t="str">
        <f>VLOOKUP(M414,[1]TIPOLOGIAS!$A:$F,4,0)</f>
        <v>CUCUTA</v>
      </c>
      <c r="U414" s="26" t="str">
        <f>VLOOKUP(T414,'BASE TARIFA 2025'!C:D,2,0)</f>
        <v>WOMPI SANTANDERES</v>
      </c>
      <c r="V414" s="27">
        <f>VLOOKUP(T414,'BASE TARIFA 2025'!C:F,3,0)</f>
        <v>49671.7</v>
      </c>
      <c r="W414" s="27">
        <f t="shared" si="6"/>
        <v>49671.7</v>
      </c>
    </row>
    <row r="415" spans="1:23" s="37" customFormat="1" ht="14.4" x14ac:dyDescent="0.3">
      <c r="A415" s="37">
        <v>79152</v>
      </c>
      <c r="B415" s="37" t="s">
        <v>4056</v>
      </c>
      <c r="C415" s="37">
        <v>1065598928</v>
      </c>
      <c r="D415" s="37" t="s">
        <v>1995</v>
      </c>
      <c r="E415" s="37" t="s">
        <v>1996</v>
      </c>
      <c r="F415" s="37" t="s">
        <v>1996</v>
      </c>
      <c r="G415" s="37" t="s">
        <v>1997</v>
      </c>
      <c r="H415" s="37" t="s">
        <v>1998</v>
      </c>
      <c r="I415" s="37" t="s">
        <v>1999</v>
      </c>
      <c r="J415" s="37" t="s">
        <v>90</v>
      </c>
      <c r="K415" s="37" t="s">
        <v>155</v>
      </c>
      <c r="L415" s="37" t="s">
        <v>155</v>
      </c>
      <c r="M415" s="37">
        <v>54001</v>
      </c>
      <c r="N415" s="38" t="s">
        <v>323</v>
      </c>
      <c r="S415" s="23">
        <f>VLOOKUP(A415,Hoja1!A:D,4,0)</f>
        <v>3</v>
      </c>
      <c r="T415" s="26" t="str">
        <f>VLOOKUP(M415,[1]TIPOLOGIAS!$A:$F,4,0)</f>
        <v>CUCUTA</v>
      </c>
      <c r="U415" s="26" t="str">
        <f>VLOOKUP(T415,'BASE TARIFA 2025'!C:D,2,0)</f>
        <v>WOMPI SANTANDERES</v>
      </c>
      <c r="V415" s="27">
        <f>VLOOKUP(T415,'BASE TARIFA 2025'!C:F,3,0)</f>
        <v>49671.7</v>
      </c>
      <c r="W415" s="27">
        <f t="shared" si="6"/>
        <v>149015.09999999998</v>
      </c>
    </row>
    <row r="416" spans="1:23" s="37" customFormat="1" ht="14.4" x14ac:dyDescent="0.3">
      <c r="A416" s="37">
        <v>76396</v>
      </c>
      <c r="B416" s="37" t="s">
        <v>4057</v>
      </c>
      <c r="C416" s="37">
        <v>901014521</v>
      </c>
      <c r="D416" s="37" t="s">
        <v>2000</v>
      </c>
      <c r="E416" s="37" t="s">
        <v>2000</v>
      </c>
      <c r="F416" s="37" t="s">
        <v>2000</v>
      </c>
      <c r="G416" s="37" t="s">
        <v>2001</v>
      </c>
      <c r="H416" s="37" t="s">
        <v>2002</v>
      </c>
      <c r="I416" s="37" t="s">
        <v>2003</v>
      </c>
      <c r="J416" s="37" t="s">
        <v>90</v>
      </c>
      <c r="K416" s="37" t="s">
        <v>155</v>
      </c>
      <c r="L416" s="37" t="s">
        <v>155</v>
      </c>
      <c r="M416" s="37">
        <v>54001</v>
      </c>
      <c r="N416" s="38" t="s">
        <v>503</v>
      </c>
      <c r="S416" s="23">
        <f>VLOOKUP(A416,Hoja1!A:D,4,0)</f>
        <v>2</v>
      </c>
      <c r="T416" s="26" t="str">
        <f>VLOOKUP(M416,[1]TIPOLOGIAS!$A:$F,4,0)</f>
        <v>CUCUTA</v>
      </c>
      <c r="U416" s="26" t="str">
        <f>VLOOKUP(T416,'BASE TARIFA 2025'!C:D,2,0)</f>
        <v>WOMPI SANTANDERES</v>
      </c>
      <c r="V416" s="27">
        <f>VLOOKUP(T416,'BASE TARIFA 2025'!C:F,3,0)</f>
        <v>49671.7</v>
      </c>
      <c r="W416" s="27">
        <f t="shared" si="6"/>
        <v>99343.4</v>
      </c>
    </row>
    <row r="417" spans="1:23" s="37" customFormat="1" ht="14.4" x14ac:dyDescent="0.3">
      <c r="A417" s="37">
        <v>78444</v>
      </c>
      <c r="B417" s="37" t="s">
        <v>4058</v>
      </c>
      <c r="C417" s="37">
        <v>1098200028</v>
      </c>
      <c r="D417" s="37" t="s">
        <v>1829</v>
      </c>
      <c r="E417" s="37" t="s">
        <v>1829</v>
      </c>
      <c r="G417" s="37" t="s">
        <v>2004</v>
      </c>
      <c r="H417" s="37" t="s">
        <v>2005</v>
      </c>
      <c r="I417" s="37" t="s">
        <v>2006</v>
      </c>
      <c r="J417" s="37" t="s">
        <v>90</v>
      </c>
      <c r="K417" s="37" t="s">
        <v>155</v>
      </c>
      <c r="L417" s="37" t="s">
        <v>155</v>
      </c>
      <c r="M417" s="37">
        <v>54001</v>
      </c>
      <c r="N417" s="38" t="s">
        <v>503</v>
      </c>
      <c r="S417" s="23">
        <f>VLOOKUP(A417,Hoja1!A:D,4,0)</f>
        <v>3</v>
      </c>
      <c r="T417" s="26" t="str">
        <f>VLOOKUP(M417,[1]TIPOLOGIAS!$A:$F,4,0)</f>
        <v>CUCUTA</v>
      </c>
      <c r="U417" s="26" t="str">
        <f>VLOOKUP(T417,'BASE TARIFA 2025'!C:D,2,0)</f>
        <v>WOMPI SANTANDERES</v>
      </c>
      <c r="V417" s="27">
        <f>VLOOKUP(T417,'BASE TARIFA 2025'!C:F,3,0)</f>
        <v>49671.7</v>
      </c>
      <c r="W417" s="27">
        <f t="shared" si="6"/>
        <v>149015.09999999998</v>
      </c>
    </row>
    <row r="418" spans="1:23" s="37" customFormat="1" ht="14.4" x14ac:dyDescent="0.3">
      <c r="A418" s="37">
        <v>77715</v>
      </c>
      <c r="B418" s="37" t="s">
        <v>4059</v>
      </c>
      <c r="C418" s="37">
        <v>49609355</v>
      </c>
      <c r="D418" s="37" t="s">
        <v>2007</v>
      </c>
      <c r="E418" s="37" t="s">
        <v>2007</v>
      </c>
      <c r="G418" s="37" t="s">
        <v>2008</v>
      </c>
      <c r="H418" s="37" t="s">
        <v>2009</v>
      </c>
      <c r="I418" s="37" t="s">
        <v>2010</v>
      </c>
      <c r="J418" s="37" t="s">
        <v>90</v>
      </c>
      <c r="K418" s="37" t="s">
        <v>155</v>
      </c>
      <c r="L418" s="37" t="s">
        <v>155</v>
      </c>
      <c r="M418" s="37">
        <v>54001</v>
      </c>
      <c r="N418" s="38" t="s">
        <v>503</v>
      </c>
      <c r="S418" s="23">
        <f>VLOOKUP(A418,Hoja1!A:D,4,0)</f>
        <v>2</v>
      </c>
      <c r="T418" s="26" t="str">
        <f>VLOOKUP(M418,[1]TIPOLOGIAS!$A:$F,4,0)</f>
        <v>CUCUTA</v>
      </c>
      <c r="U418" s="26" t="str">
        <f>VLOOKUP(T418,'BASE TARIFA 2025'!C:D,2,0)</f>
        <v>WOMPI SANTANDERES</v>
      </c>
      <c r="V418" s="27">
        <f>VLOOKUP(T418,'BASE TARIFA 2025'!C:F,3,0)</f>
        <v>49671.7</v>
      </c>
      <c r="W418" s="27">
        <f t="shared" si="6"/>
        <v>99343.4</v>
      </c>
    </row>
    <row r="419" spans="1:23" s="37" customFormat="1" ht="14.4" x14ac:dyDescent="0.3">
      <c r="A419" s="37">
        <v>66013</v>
      </c>
      <c r="B419" s="37" t="s">
        <v>4060</v>
      </c>
      <c r="C419" s="37">
        <v>901154313</v>
      </c>
      <c r="D419" s="37" t="s">
        <v>2011</v>
      </c>
      <c r="E419" s="37" t="s">
        <v>2011</v>
      </c>
      <c r="F419" s="37" t="s">
        <v>2011</v>
      </c>
      <c r="G419" s="37" t="s">
        <v>2012</v>
      </c>
      <c r="H419" s="37" t="s">
        <v>2013</v>
      </c>
      <c r="I419" s="37" t="s">
        <v>2014</v>
      </c>
      <c r="J419" s="37" t="s">
        <v>90</v>
      </c>
      <c r="K419" s="37" t="s">
        <v>155</v>
      </c>
      <c r="L419" s="37" t="s">
        <v>155</v>
      </c>
      <c r="M419" s="37">
        <v>54001</v>
      </c>
      <c r="N419" s="38" t="s">
        <v>323</v>
      </c>
      <c r="S419" s="23">
        <f>VLOOKUP(A419,Hoja1!A:D,4,0)</f>
        <v>3</v>
      </c>
      <c r="T419" s="26" t="str">
        <f>VLOOKUP(M419,[1]TIPOLOGIAS!$A:$F,4,0)</f>
        <v>CUCUTA</v>
      </c>
      <c r="U419" s="26" t="str">
        <f>VLOOKUP(T419,'BASE TARIFA 2025'!C:D,2,0)</f>
        <v>WOMPI SANTANDERES</v>
      </c>
      <c r="V419" s="27">
        <f>VLOOKUP(T419,'BASE TARIFA 2025'!C:F,3,0)</f>
        <v>49671.7</v>
      </c>
      <c r="W419" s="27">
        <f t="shared" si="6"/>
        <v>149015.09999999998</v>
      </c>
    </row>
    <row r="420" spans="1:23" s="37" customFormat="1" ht="14.4" x14ac:dyDescent="0.3">
      <c r="A420" s="37">
        <v>59108</v>
      </c>
      <c r="B420" s="37" t="s">
        <v>4061</v>
      </c>
      <c r="C420" s="37">
        <v>71229268</v>
      </c>
      <c r="D420" s="37" t="s">
        <v>1901</v>
      </c>
      <c r="E420" s="37" t="s">
        <v>1901</v>
      </c>
      <c r="F420" s="37" t="s">
        <v>1901</v>
      </c>
      <c r="G420" s="37" t="s">
        <v>2015</v>
      </c>
      <c r="H420" s="37" t="s">
        <v>2016</v>
      </c>
      <c r="I420" s="37" t="s">
        <v>2017</v>
      </c>
      <c r="J420" s="37" t="s">
        <v>90</v>
      </c>
      <c r="K420" s="37" t="s">
        <v>155</v>
      </c>
      <c r="L420" s="37" t="s">
        <v>155</v>
      </c>
      <c r="M420" s="37">
        <v>54001</v>
      </c>
      <c r="N420" s="38" t="s">
        <v>853</v>
      </c>
      <c r="S420" s="23">
        <f>VLOOKUP(A420,Hoja1!A:D,4,0)</f>
        <v>3</v>
      </c>
      <c r="T420" s="26" t="str">
        <f>VLOOKUP(M420,[1]TIPOLOGIAS!$A:$F,4,0)</f>
        <v>CUCUTA</v>
      </c>
      <c r="U420" s="26" t="str">
        <f>VLOOKUP(T420,'BASE TARIFA 2025'!C:D,2,0)</f>
        <v>WOMPI SANTANDERES</v>
      </c>
      <c r="V420" s="27">
        <f>VLOOKUP(T420,'BASE TARIFA 2025'!C:F,3,0)</f>
        <v>49671.7</v>
      </c>
      <c r="W420" s="27">
        <f t="shared" si="6"/>
        <v>149015.09999999998</v>
      </c>
    </row>
    <row r="421" spans="1:23" s="37" customFormat="1" ht="14.4" x14ac:dyDescent="0.3">
      <c r="A421" s="37">
        <v>61400</v>
      </c>
      <c r="B421" s="37" t="s">
        <v>4062</v>
      </c>
      <c r="C421" s="37">
        <v>1152439346</v>
      </c>
      <c r="D421" s="37" t="s">
        <v>2018</v>
      </c>
      <c r="E421" s="37" t="s">
        <v>2019</v>
      </c>
      <c r="F421" s="37" t="s">
        <v>2018</v>
      </c>
      <c r="G421" s="37" t="s">
        <v>2020</v>
      </c>
      <c r="H421" s="37" t="s">
        <v>2021</v>
      </c>
      <c r="I421" s="37" t="s">
        <v>2022</v>
      </c>
      <c r="J421" s="37" t="s">
        <v>108</v>
      </c>
      <c r="K421" s="37" t="s">
        <v>154</v>
      </c>
      <c r="L421" s="37" t="s">
        <v>154</v>
      </c>
      <c r="M421" s="37">
        <v>76520</v>
      </c>
      <c r="N421" s="38" t="s">
        <v>324</v>
      </c>
      <c r="S421" s="23">
        <f>VLOOKUP(A421,Hoja1!A:D,4,0)</f>
        <v>1</v>
      </c>
      <c r="T421" s="26" t="str">
        <f>VLOOKUP(M421,[1]TIPOLOGIAS!$A:$F,4,0)</f>
        <v>CALI</v>
      </c>
      <c r="U421" s="26" t="str">
        <f>VLOOKUP(T421,'BASE TARIFA 2025'!C:D,2,0)</f>
        <v>WOMPI SUROCCIDENTE</v>
      </c>
      <c r="V421" s="27">
        <f>VLOOKUP(T421,'BASE TARIFA 2025'!C:F,3,0)</f>
        <v>37313</v>
      </c>
      <c r="W421" s="27">
        <f t="shared" si="6"/>
        <v>37313</v>
      </c>
    </row>
    <row r="422" spans="1:23" s="37" customFormat="1" ht="14.4" x14ac:dyDescent="0.3">
      <c r="A422" s="37">
        <v>56825</v>
      </c>
      <c r="B422" s="37" t="s">
        <v>4063</v>
      </c>
      <c r="C422" s="37">
        <v>71758980</v>
      </c>
      <c r="D422" s="37" t="s">
        <v>2023</v>
      </c>
      <c r="E422" s="37" t="s">
        <v>2023</v>
      </c>
      <c r="F422" s="37" t="s">
        <v>2023</v>
      </c>
      <c r="G422" s="37" t="s">
        <v>2024</v>
      </c>
      <c r="H422" s="37" t="s">
        <v>2025</v>
      </c>
      <c r="I422" s="37" t="s">
        <v>2026</v>
      </c>
      <c r="J422" s="37" t="s">
        <v>108</v>
      </c>
      <c r="K422" s="37" t="s">
        <v>154</v>
      </c>
      <c r="L422" s="37" t="s">
        <v>154</v>
      </c>
      <c r="M422" s="37">
        <v>76520</v>
      </c>
      <c r="N422" s="38" t="s">
        <v>323</v>
      </c>
      <c r="S422" s="23">
        <f>VLOOKUP(A422,Hoja1!A:D,4,0)</f>
        <v>3</v>
      </c>
      <c r="T422" s="26" t="str">
        <f>VLOOKUP(M422,[1]TIPOLOGIAS!$A:$F,4,0)</f>
        <v>CALI</v>
      </c>
      <c r="U422" s="26" t="str">
        <f>VLOOKUP(T422,'BASE TARIFA 2025'!C:D,2,0)</f>
        <v>WOMPI SUROCCIDENTE</v>
      </c>
      <c r="V422" s="27">
        <f>VLOOKUP(T422,'BASE TARIFA 2025'!C:F,3,0)</f>
        <v>37313</v>
      </c>
      <c r="W422" s="27">
        <f t="shared" si="6"/>
        <v>111939</v>
      </c>
    </row>
    <row r="423" spans="1:23" s="37" customFormat="1" ht="14.4" x14ac:dyDescent="0.3">
      <c r="A423" s="37">
        <v>58468</v>
      </c>
      <c r="B423" s="37" t="s">
        <v>4064</v>
      </c>
      <c r="C423" s="37">
        <v>901038123</v>
      </c>
      <c r="D423" s="37" t="s">
        <v>67</v>
      </c>
      <c r="E423" s="37" t="s">
        <v>2027</v>
      </c>
      <c r="F423" s="37" t="s">
        <v>2027</v>
      </c>
      <c r="G423" s="37" t="s">
        <v>2028</v>
      </c>
      <c r="H423" s="37" t="s">
        <v>2029</v>
      </c>
      <c r="I423" s="37" t="s">
        <v>2030</v>
      </c>
      <c r="J423" s="37" t="s">
        <v>108</v>
      </c>
      <c r="K423" s="37" t="s">
        <v>154</v>
      </c>
      <c r="L423" s="37" t="s">
        <v>154</v>
      </c>
      <c r="M423" s="37">
        <v>76520</v>
      </c>
      <c r="N423" s="38" t="s">
        <v>328</v>
      </c>
      <c r="S423" s="23">
        <f>VLOOKUP(A423,Hoja1!A:D,4,0)</f>
        <v>2</v>
      </c>
      <c r="T423" s="26" t="str">
        <f>VLOOKUP(M423,[1]TIPOLOGIAS!$A:$F,4,0)</f>
        <v>CALI</v>
      </c>
      <c r="U423" s="26" t="str">
        <f>VLOOKUP(T423,'BASE TARIFA 2025'!C:D,2,0)</f>
        <v>WOMPI SUROCCIDENTE</v>
      </c>
      <c r="V423" s="27">
        <f>VLOOKUP(T423,'BASE TARIFA 2025'!C:F,3,0)</f>
        <v>37313</v>
      </c>
      <c r="W423" s="27">
        <f t="shared" si="6"/>
        <v>74626</v>
      </c>
    </row>
    <row r="424" spans="1:23" s="37" customFormat="1" ht="14.4" x14ac:dyDescent="0.3">
      <c r="A424" s="37">
        <v>58469</v>
      </c>
      <c r="B424" s="37" t="s">
        <v>4065</v>
      </c>
      <c r="C424" s="37">
        <v>901038123</v>
      </c>
      <c r="D424" s="37" t="s">
        <v>2031</v>
      </c>
      <c r="E424" s="37" t="s">
        <v>2032</v>
      </c>
      <c r="F424" s="37" t="s">
        <v>2033</v>
      </c>
      <c r="G424" s="37" t="s">
        <v>2034</v>
      </c>
      <c r="H424" s="37" t="s">
        <v>2035</v>
      </c>
      <c r="I424" s="37" t="s">
        <v>2036</v>
      </c>
      <c r="J424" s="37" t="s">
        <v>108</v>
      </c>
      <c r="K424" s="37" t="s">
        <v>154</v>
      </c>
      <c r="L424" s="37" t="s">
        <v>154</v>
      </c>
      <c r="M424" s="37">
        <v>76520</v>
      </c>
      <c r="N424" s="38" t="s">
        <v>324</v>
      </c>
      <c r="S424" s="23">
        <f>VLOOKUP(A424,Hoja1!A:D,4,0)</f>
        <v>2</v>
      </c>
      <c r="T424" s="26" t="str">
        <f>VLOOKUP(M424,[1]TIPOLOGIAS!$A:$F,4,0)</f>
        <v>CALI</v>
      </c>
      <c r="U424" s="26" t="str">
        <f>VLOOKUP(T424,'BASE TARIFA 2025'!C:D,2,0)</f>
        <v>WOMPI SUROCCIDENTE</v>
      </c>
      <c r="V424" s="27">
        <f>VLOOKUP(T424,'BASE TARIFA 2025'!C:F,3,0)</f>
        <v>37313</v>
      </c>
      <c r="W424" s="27">
        <f t="shared" si="6"/>
        <v>74626</v>
      </c>
    </row>
    <row r="425" spans="1:23" s="37" customFormat="1" ht="14.4" x14ac:dyDescent="0.3">
      <c r="A425" s="37">
        <v>75060</v>
      </c>
      <c r="B425" s="37" t="s">
        <v>4066</v>
      </c>
      <c r="C425" s="37">
        <v>1064116488</v>
      </c>
      <c r="D425" s="37" t="s">
        <v>2037</v>
      </c>
      <c r="E425" s="37" t="s">
        <v>2038</v>
      </c>
      <c r="F425" s="37" t="s">
        <v>2037</v>
      </c>
      <c r="G425" s="37" t="s">
        <v>2039</v>
      </c>
      <c r="H425" s="37" t="s">
        <v>2040</v>
      </c>
      <c r="I425" s="37" t="s">
        <v>2041</v>
      </c>
      <c r="J425" s="37" t="s">
        <v>65</v>
      </c>
      <c r="K425" s="37" t="s">
        <v>66</v>
      </c>
      <c r="L425" s="37" t="s">
        <v>66</v>
      </c>
      <c r="M425" s="37">
        <v>5615</v>
      </c>
      <c r="N425" s="38" t="s">
        <v>327</v>
      </c>
      <c r="S425" s="23">
        <f>VLOOKUP(A425,Hoja1!A:D,4,0)</f>
        <v>2</v>
      </c>
      <c r="T425" s="26" t="str">
        <f>VLOOKUP(M425,[1]TIPOLOGIAS!$A:$F,4,0)</f>
        <v>MEDELLIN</v>
      </c>
      <c r="U425" s="26" t="str">
        <f>VLOOKUP(T425,'BASE TARIFA 2025'!C:D,2,0)</f>
        <v>WOMPI NOROCCIDENTE</v>
      </c>
      <c r="V425" s="27">
        <f>VLOOKUP(T425,'BASE TARIFA 2025'!C:F,3,0)</f>
        <v>37313</v>
      </c>
      <c r="W425" s="27">
        <f t="shared" si="6"/>
        <v>74626</v>
      </c>
    </row>
    <row r="426" spans="1:23" s="37" customFormat="1" ht="14.4" x14ac:dyDescent="0.3">
      <c r="A426" s="37">
        <v>77093</v>
      </c>
      <c r="B426" s="37" t="s">
        <v>4067</v>
      </c>
      <c r="C426" s="37">
        <v>1065589072</v>
      </c>
      <c r="D426" s="37" t="s">
        <v>2042</v>
      </c>
      <c r="E426" s="37" t="s">
        <v>2043</v>
      </c>
      <c r="F426" s="37" t="s">
        <v>2042</v>
      </c>
      <c r="G426" s="37" t="s">
        <v>2044</v>
      </c>
      <c r="H426" s="37" t="s">
        <v>2045</v>
      </c>
      <c r="I426" s="37" t="s">
        <v>2046</v>
      </c>
      <c r="J426" s="37" t="s">
        <v>65</v>
      </c>
      <c r="K426" s="37" t="s">
        <v>66</v>
      </c>
      <c r="L426" s="37" t="s">
        <v>66</v>
      </c>
      <c r="M426" s="37">
        <v>5615</v>
      </c>
      <c r="N426" s="38" t="s">
        <v>320</v>
      </c>
      <c r="S426" s="23">
        <f>VLOOKUP(A426,Hoja1!A:D,4,0)</f>
        <v>2</v>
      </c>
      <c r="T426" s="26" t="str">
        <f>VLOOKUP(M426,[1]TIPOLOGIAS!$A:$F,4,0)</f>
        <v>MEDELLIN</v>
      </c>
      <c r="U426" s="26" t="str">
        <f>VLOOKUP(T426,'BASE TARIFA 2025'!C:D,2,0)</f>
        <v>WOMPI NOROCCIDENTE</v>
      </c>
      <c r="V426" s="27">
        <f>VLOOKUP(T426,'BASE TARIFA 2025'!C:F,3,0)</f>
        <v>37313</v>
      </c>
      <c r="W426" s="27">
        <f t="shared" si="6"/>
        <v>74626</v>
      </c>
    </row>
    <row r="427" spans="1:23" s="37" customFormat="1" ht="14.4" x14ac:dyDescent="0.3">
      <c r="A427" s="37">
        <v>75424</v>
      </c>
      <c r="B427" s="37" t="s">
        <v>4068</v>
      </c>
      <c r="C427" s="37">
        <v>49718237</v>
      </c>
      <c r="D427" s="37" t="s">
        <v>2047</v>
      </c>
      <c r="E427" s="37" t="s">
        <v>2048</v>
      </c>
      <c r="F427" s="37" t="s">
        <v>2048</v>
      </c>
      <c r="G427" s="37" t="s">
        <v>2049</v>
      </c>
      <c r="H427" s="37" t="s">
        <v>2050</v>
      </c>
      <c r="I427" s="37" t="s">
        <v>2051</v>
      </c>
      <c r="J427" s="37" t="s">
        <v>65</v>
      </c>
      <c r="K427" s="37" t="s">
        <v>66</v>
      </c>
      <c r="L427" s="37" t="s">
        <v>66</v>
      </c>
      <c r="M427" s="37">
        <v>5615</v>
      </c>
      <c r="N427" s="38" t="s">
        <v>327</v>
      </c>
      <c r="S427" s="23">
        <f>VLOOKUP(A427,Hoja1!A:D,4,0)</f>
        <v>3</v>
      </c>
      <c r="T427" s="26" t="str">
        <f>VLOOKUP(M427,[1]TIPOLOGIAS!$A:$F,4,0)</f>
        <v>MEDELLIN</v>
      </c>
      <c r="U427" s="26" t="str">
        <f>VLOOKUP(T427,'BASE TARIFA 2025'!C:D,2,0)</f>
        <v>WOMPI NOROCCIDENTE</v>
      </c>
      <c r="V427" s="27">
        <f>VLOOKUP(T427,'BASE TARIFA 2025'!C:F,3,0)</f>
        <v>37313</v>
      </c>
      <c r="W427" s="27">
        <f t="shared" si="6"/>
        <v>111939</v>
      </c>
    </row>
    <row r="428" spans="1:23" s="37" customFormat="1" ht="14.4" x14ac:dyDescent="0.3">
      <c r="A428" s="37">
        <v>76687</v>
      </c>
      <c r="B428" s="37" t="s">
        <v>4069</v>
      </c>
      <c r="C428" s="37">
        <v>1065656417</v>
      </c>
      <c r="D428" s="37" t="s">
        <v>2052</v>
      </c>
      <c r="E428" s="37" t="s">
        <v>2053</v>
      </c>
      <c r="F428" s="37" t="s">
        <v>2054</v>
      </c>
      <c r="G428" s="37" t="s">
        <v>2055</v>
      </c>
      <c r="H428" s="37" t="s">
        <v>2056</v>
      </c>
      <c r="I428" s="37" t="s">
        <v>2057</v>
      </c>
      <c r="J428" s="37" t="s">
        <v>65</v>
      </c>
      <c r="K428" s="37" t="s">
        <v>66</v>
      </c>
      <c r="L428" s="37" t="s">
        <v>66</v>
      </c>
      <c r="M428" s="37">
        <v>5615</v>
      </c>
      <c r="N428" s="38" t="s">
        <v>320</v>
      </c>
      <c r="S428" s="23">
        <f>VLOOKUP(A428,Hoja1!A:D,4,0)</f>
        <v>2</v>
      </c>
      <c r="T428" s="26" t="str">
        <f>VLOOKUP(M428,[1]TIPOLOGIAS!$A:$F,4,0)</f>
        <v>MEDELLIN</v>
      </c>
      <c r="U428" s="26" t="str">
        <f>VLOOKUP(T428,'BASE TARIFA 2025'!C:D,2,0)</f>
        <v>WOMPI NOROCCIDENTE</v>
      </c>
      <c r="V428" s="27">
        <f>VLOOKUP(T428,'BASE TARIFA 2025'!C:F,3,0)</f>
        <v>37313</v>
      </c>
      <c r="W428" s="27">
        <f t="shared" si="6"/>
        <v>74626</v>
      </c>
    </row>
    <row r="429" spans="1:23" s="37" customFormat="1" ht="14.4" x14ac:dyDescent="0.3">
      <c r="A429" s="37">
        <v>75059</v>
      </c>
      <c r="B429" s="37" t="s">
        <v>4070</v>
      </c>
      <c r="C429" s="37">
        <v>1067594516</v>
      </c>
      <c r="D429" s="37" t="s">
        <v>2058</v>
      </c>
      <c r="E429" s="37" t="s">
        <v>2058</v>
      </c>
      <c r="F429" s="37" t="s">
        <v>2058</v>
      </c>
      <c r="G429" s="37" t="s">
        <v>2059</v>
      </c>
      <c r="H429" s="37" t="s">
        <v>2060</v>
      </c>
      <c r="I429" s="37" t="s">
        <v>2061</v>
      </c>
      <c r="J429" s="37" t="s">
        <v>65</v>
      </c>
      <c r="K429" s="37" t="s">
        <v>2062</v>
      </c>
      <c r="L429" s="37" t="s">
        <v>2062</v>
      </c>
      <c r="M429" s="37">
        <v>5631</v>
      </c>
      <c r="N429" s="38" t="s">
        <v>325</v>
      </c>
      <c r="S429" s="23">
        <f>VLOOKUP(A429,Hoja1!A:D,4,0)</f>
        <v>2</v>
      </c>
      <c r="T429" s="26" t="str">
        <f>VLOOKUP(M429,[1]TIPOLOGIAS!$A:$F,4,0)</f>
        <v>MEDELLIN</v>
      </c>
      <c r="U429" s="26" t="str">
        <f>VLOOKUP(T429,'BASE TARIFA 2025'!C:D,2,0)</f>
        <v>WOMPI NOROCCIDENTE</v>
      </c>
      <c r="V429" s="27">
        <f>VLOOKUP(T429,'BASE TARIFA 2025'!C:F,3,0)</f>
        <v>37313</v>
      </c>
      <c r="W429" s="27">
        <f t="shared" si="6"/>
        <v>74626</v>
      </c>
    </row>
    <row r="430" spans="1:23" s="37" customFormat="1" ht="14.4" x14ac:dyDescent="0.3">
      <c r="A430" s="37">
        <v>72957</v>
      </c>
      <c r="B430" s="37" t="s">
        <v>4071</v>
      </c>
      <c r="C430" s="37">
        <v>72260553</v>
      </c>
      <c r="E430" s="37" t="s">
        <v>2063</v>
      </c>
      <c r="F430" s="37" t="s">
        <v>2064</v>
      </c>
      <c r="G430" s="37" t="s">
        <v>2065</v>
      </c>
      <c r="H430" s="37" t="s">
        <v>2066</v>
      </c>
      <c r="I430" s="37" t="s">
        <v>2067</v>
      </c>
      <c r="J430" s="37" t="s">
        <v>108</v>
      </c>
      <c r="K430" s="37" t="s">
        <v>154</v>
      </c>
      <c r="L430" s="37" t="s">
        <v>154</v>
      </c>
      <c r="M430" s="37">
        <v>76520</v>
      </c>
      <c r="N430" s="38" t="s">
        <v>708</v>
      </c>
      <c r="S430" s="23">
        <f>VLOOKUP(A430,Hoja1!A:D,4,0)</f>
        <v>2</v>
      </c>
      <c r="T430" s="26" t="str">
        <f>VLOOKUP(M430,[1]TIPOLOGIAS!$A:$F,4,0)</f>
        <v>CALI</v>
      </c>
      <c r="U430" s="26" t="str">
        <f>VLOOKUP(T430,'BASE TARIFA 2025'!C:D,2,0)</f>
        <v>WOMPI SUROCCIDENTE</v>
      </c>
      <c r="V430" s="27">
        <f>VLOOKUP(T430,'BASE TARIFA 2025'!C:F,3,0)</f>
        <v>37313</v>
      </c>
      <c r="W430" s="27">
        <f t="shared" si="6"/>
        <v>74626</v>
      </c>
    </row>
    <row r="431" spans="1:23" s="37" customFormat="1" ht="14.4" x14ac:dyDescent="0.3">
      <c r="A431" s="37">
        <v>72573</v>
      </c>
      <c r="B431" s="37" t="s">
        <v>4072</v>
      </c>
      <c r="C431" s="37">
        <v>1066291207</v>
      </c>
      <c r="D431" s="37" t="s">
        <v>2068</v>
      </c>
      <c r="E431" s="37" t="s">
        <v>2069</v>
      </c>
      <c r="F431" s="37" t="s">
        <v>2070</v>
      </c>
      <c r="G431" s="37" t="s">
        <v>2071</v>
      </c>
      <c r="H431" s="37" t="s">
        <v>2072</v>
      </c>
      <c r="I431" s="37" t="s">
        <v>2073</v>
      </c>
      <c r="J431" s="37" t="s">
        <v>108</v>
      </c>
      <c r="K431" s="37" t="s">
        <v>154</v>
      </c>
      <c r="L431" s="37" t="s">
        <v>154</v>
      </c>
      <c r="M431" s="37">
        <v>76520</v>
      </c>
      <c r="N431" s="38" t="s">
        <v>323</v>
      </c>
      <c r="S431" s="23">
        <f>VLOOKUP(A431,Hoja1!A:D,4,0)</f>
        <v>2</v>
      </c>
      <c r="T431" s="26" t="str">
        <f>VLOOKUP(M431,[1]TIPOLOGIAS!$A:$F,4,0)</f>
        <v>CALI</v>
      </c>
      <c r="U431" s="26" t="str">
        <f>VLOOKUP(T431,'BASE TARIFA 2025'!C:D,2,0)</f>
        <v>WOMPI SUROCCIDENTE</v>
      </c>
      <c r="V431" s="27">
        <f>VLOOKUP(T431,'BASE TARIFA 2025'!C:F,3,0)</f>
        <v>37313</v>
      </c>
      <c r="W431" s="27">
        <f t="shared" si="6"/>
        <v>74626</v>
      </c>
    </row>
    <row r="432" spans="1:23" s="37" customFormat="1" ht="14.4" x14ac:dyDescent="0.3">
      <c r="A432" s="37">
        <v>66078</v>
      </c>
      <c r="B432" s="37" t="s">
        <v>4073</v>
      </c>
      <c r="C432" s="37">
        <v>1065635801</v>
      </c>
      <c r="D432" s="37" t="s">
        <v>2074</v>
      </c>
      <c r="E432" s="37" t="s">
        <v>2075</v>
      </c>
      <c r="F432" s="37" t="s">
        <v>2075</v>
      </c>
      <c r="G432" s="37" t="s">
        <v>2076</v>
      </c>
      <c r="H432" s="37" t="s">
        <v>2077</v>
      </c>
      <c r="I432" s="37" t="s">
        <v>2078</v>
      </c>
      <c r="J432" s="37" t="s">
        <v>108</v>
      </c>
      <c r="K432" s="37" t="s">
        <v>154</v>
      </c>
      <c r="L432" s="37" t="s">
        <v>154</v>
      </c>
      <c r="M432" s="37">
        <v>76520</v>
      </c>
      <c r="N432" s="38" t="s">
        <v>323</v>
      </c>
      <c r="S432" s="23">
        <f>VLOOKUP(A432,Hoja1!A:D,4,0)</f>
        <v>2</v>
      </c>
      <c r="T432" s="26" t="str">
        <f>VLOOKUP(M432,[1]TIPOLOGIAS!$A:$F,4,0)</f>
        <v>CALI</v>
      </c>
      <c r="U432" s="26" t="str">
        <f>VLOOKUP(T432,'BASE TARIFA 2025'!C:D,2,0)</f>
        <v>WOMPI SUROCCIDENTE</v>
      </c>
      <c r="V432" s="27">
        <f>VLOOKUP(T432,'BASE TARIFA 2025'!C:F,3,0)</f>
        <v>37313</v>
      </c>
      <c r="W432" s="27">
        <f t="shared" si="6"/>
        <v>74626</v>
      </c>
    </row>
    <row r="433" spans="1:23" s="37" customFormat="1" ht="14.4" x14ac:dyDescent="0.3">
      <c r="A433" s="37">
        <v>67359</v>
      </c>
      <c r="B433" s="37" t="s">
        <v>4074</v>
      </c>
      <c r="C433" s="37">
        <v>1065639200</v>
      </c>
      <c r="D433" s="37" t="s">
        <v>2079</v>
      </c>
      <c r="E433" s="37" t="s">
        <v>2080</v>
      </c>
      <c r="F433" s="37" t="s">
        <v>2081</v>
      </c>
      <c r="G433" s="37" t="s">
        <v>2082</v>
      </c>
      <c r="H433" s="37" t="s">
        <v>2083</v>
      </c>
      <c r="I433" s="37" t="s">
        <v>2084</v>
      </c>
      <c r="J433" s="37" t="s">
        <v>108</v>
      </c>
      <c r="K433" s="37" t="s">
        <v>154</v>
      </c>
      <c r="L433" s="37" t="s">
        <v>154</v>
      </c>
      <c r="M433" s="37">
        <v>76520</v>
      </c>
      <c r="N433" s="38" t="s">
        <v>708</v>
      </c>
      <c r="S433" s="23">
        <f>VLOOKUP(A433,Hoja1!A:D,4,0)</f>
        <v>2</v>
      </c>
      <c r="T433" s="26" t="str">
        <f>VLOOKUP(M433,[1]TIPOLOGIAS!$A:$F,4,0)</f>
        <v>CALI</v>
      </c>
      <c r="U433" s="26" t="str">
        <f>VLOOKUP(T433,'BASE TARIFA 2025'!C:D,2,0)</f>
        <v>WOMPI SUROCCIDENTE</v>
      </c>
      <c r="V433" s="27">
        <f>VLOOKUP(T433,'BASE TARIFA 2025'!C:F,3,0)</f>
        <v>37313</v>
      </c>
      <c r="W433" s="27">
        <f t="shared" si="6"/>
        <v>74626</v>
      </c>
    </row>
    <row r="434" spans="1:23" s="37" customFormat="1" ht="14.4" x14ac:dyDescent="0.3">
      <c r="A434" s="37">
        <v>68355</v>
      </c>
      <c r="B434" s="37" t="s">
        <v>4075</v>
      </c>
      <c r="C434" s="37">
        <v>1121300546</v>
      </c>
      <c r="D434" s="37" t="s">
        <v>2085</v>
      </c>
      <c r="E434" s="37" t="s">
        <v>2086</v>
      </c>
      <c r="F434" s="37" t="s">
        <v>2086</v>
      </c>
      <c r="G434" s="37" t="s">
        <v>1430</v>
      </c>
      <c r="H434" s="37" t="s">
        <v>2087</v>
      </c>
      <c r="I434" s="37" t="s">
        <v>2088</v>
      </c>
      <c r="J434" s="37" t="s">
        <v>65</v>
      </c>
      <c r="K434" s="37" t="s">
        <v>109</v>
      </c>
      <c r="L434" s="37" t="s">
        <v>109</v>
      </c>
      <c r="M434" s="37">
        <v>5659</v>
      </c>
      <c r="N434" s="38" t="s">
        <v>503</v>
      </c>
      <c r="S434" s="23">
        <f>VLOOKUP(A434,Hoja1!A:D,4,0)</f>
        <v>2</v>
      </c>
      <c r="T434" s="26" t="str">
        <f>VLOOKUP(M434,[1]TIPOLOGIAS!$A:$F,4,0)</f>
        <v>MONTERIA</v>
      </c>
      <c r="U434" s="26" t="str">
        <f>VLOOKUP(T434,'BASE TARIFA 2025'!C:D,2,0)</f>
        <v>WOMPI COSTA</v>
      </c>
      <c r="V434" s="27">
        <f>VLOOKUP(T434,'BASE TARIFA 2025'!C:F,3,0)</f>
        <v>37313</v>
      </c>
      <c r="W434" s="27">
        <f t="shared" si="6"/>
        <v>74626</v>
      </c>
    </row>
    <row r="435" spans="1:23" s="37" customFormat="1" ht="14.4" x14ac:dyDescent="0.3">
      <c r="A435" s="37">
        <v>41093</v>
      </c>
      <c r="B435" s="37" t="s">
        <v>4076</v>
      </c>
      <c r="C435" s="37">
        <v>98645876</v>
      </c>
      <c r="D435" s="37" t="s">
        <v>124</v>
      </c>
      <c r="E435" s="37" t="s">
        <v>2089</v>
      </c>
      <c r="F435" s="37" t="s">
        <v>2089</v>
      </c>
      <c r="G435" s="37" t="s">
        <v>2090</v>
      </c>
      <c r="H435" s="37" t="s">
        <v>2091</v>
      </c>
      <c r="I435" s="37" t="s">
        <v>2092</v>
      </c>
      <c r="J435" s="37" t="s">
        <v>71</v>
      </c>
      <c r="K435" s="37" t="s">
        <v>2093</v>
      </c>
      <c r="L435" s="37" t="s">
        <v>2093</v>
      </c>
      <c r="M435" s="37">
        <v>15762</v>
      </c>
      <c r="N435" s="38" t="s">
        <v>323</v>
      </c>
      <c r="S435" s="23">
        <f>VLOOKUP(A435,Hoja1!A:D,4,0)</f>
        <v>2</v>
      </c>
      <c r="T435" s="26" t="str">
        <f>VLOOKUP(M435,[1]TIPOLOGIAS!$A:$F,4,0)</f>
        <v>TUNJA</v>
      </c>
      <c r="U435" s="26" t="str">
        <f>VLOOKUP(T435,'BASE TARIFA 2025'!C:D,2,0)</f>
        <v>WOMPI SANTANDERES</v>
      </c>
      <c r="V435" s="27">
        <f>VLOOKUP(T435,'BASE TARIFA 2025'!C:F,3,0)</f>
        <v>49671.7</v>
      </c>
      <c r="W435" s="27">
        <f t="shared" si="6"/>
        <v>99343.4</v>
      </c>
    </row>
    <row r="436" spans="1:23" s="37" customFormat="1" ht="14.4" x14ac:dyDescent="0.3">
      <c r="A436" s="37">
        <v>40187</v>
      </c>
      <c r="B436" s="37" t="s">
        <v>4077</v>
      </c>
      <c r="C436" s="37">
        <v>94503783</v>
      </c>
      <c r="E436" s="37" t="s">
        <v>2094</v>
      </c>
      <c r="F436" s="37" t="s">
        <v>2094</v>
      </c>
      <c r="G436" s="37" t="s">
        <v>2095</v>
      </c>
      <c r="H436" s="37" t="s">
        <v>2096</v>
      </c>
      <c r="I436" s="37" t="s">
        <v>2097</v>
      </c>
      <c r="J436" s="37" t="s">
        <v>71</v>
      </c>
      <c r="K436" s="37" t="s">
        <v>2098</v>
      </c>
      <c r="L436" s="37" t="s">
        <v>2098</v>
      </c>
      <c r="M436" s="37">
        <v>15816</v>
      </c>
      <c r="N436" s="38" t="s">
        <v>327</v>
      </c>
      <c r="S436" s="23">
        <f>VLOOKUP(A436,Hoja1!A:D,4,0)</f>
        <v>2</v>
      </c>
      <c r="T436" s="26" t="str">
        <f>VLOOKUP(M436,[1]TIPOLOGIAS!$A:$F,4,0)</f>
        <v>TUNJA</v>
      </c>
      <c r="U436" s="26" t="str">
        <f>VLOOKUP(T436,'BASE TARIFA 2025'!C:D,2,0)</f>
        <v>WOMPI SANTANDERES</v>
      </c>
      <c r="V436" s="27">
        <f>VLOOKUP(T436,'BASE TARIFA 2025'!C:F,3,0)</f>
        <v>49671.7</v>
      </c>
      <c r="W436" s="27">
        <f t="shared" si="6"/>
        <v>99343.4</v>
      </c>
    </row>
    <row r="437" spans="1:23" s="37" customFormat="1" ht="14.4" x14ac:dyDescent="0.3">
      <c r="A437" s="37">
        <v>45938</v>
      </c>
      <c r="B437" s="37" t="s">
        <v>4078</v>
      </c>
      <c r="C437" s="37">
        <v>901246235</v>
      </c>
      <c r="D437" s="37" t="s">
        <v>2099</v>
      </c>
      <c r="E437" s="37" t="s">
        <v>2099</v>
      </c>
      <c r="F437" s="37" t="s">
        <v>2099</v>
      </c>
      <c r="G437" s="37" t="s">
        <v>2100</v>
      </c>
      <c r="H437" s="37" t="s">
        <v>2101</v>
      </c>
      <c r="I437" s="37" t="s">
        <v>2102</v>
      </c>
      <c r="J437" s="37" t="s">
        <v>71</v>
      </c>
      <c r="K437" s="37" t="s">
        <v>2098</v>
      </c>
      <c r="L437" s="37" t="s">
        <v>2098</v>
      </c>
      <c r="M437" s="37">
        <v>15816</v>
      </c>
      <c r="N437" s="38" t="s">
        <v>327</v>
      </c>
      <c r="S437" s="23">
        <f>VLOOKUP(A437,Hoja1!A:D,4,0)</f>
        <v>2</v>
      </c>
      <c r="T437" s="26" t="str">
        <f>VLOOKUP(M437,[1]TIPOLOGIAS!$A:$F,4,0)</f>
        <v>TUNJA</v>
      </c>
      <c r="U437" s="26" t="str">
        <f>VLOOKUP(T437,'BASE TARIFA 2025'!C:D,2,0)</f>
        <v>WOMPI SANTANDERES</v>
      </c>
      <c r="V437" s="27">
        <f>VLOOKUP(T437,'BASE TARIFA 2025'!C:F,3,0)</f>
        <v>49671.7</v>
      </c>
      <c r="W437" s="27">
        <f t="shared" si="6"/>
        <v>99343.4</v>
      </c>
    </row>
    <row r="438" spans="1:23" s="37" customFormat="1" ht="14.4" x14ac:dyDescent="0.3">
      <c r="A438" s="37">
        <v>51699</v>
      </c>
      <c r="B438" s="37" t="s">
        <v>4079</v>
      </c>
      <c r="C438" s="37">
        <v>80111622</v>
      </c>
      <c r="D438" s="37" t="s">
        <v>2103</v>
      </c>
      <c r="E438" s="37" t="s">
        <v>2103</v>
      </c>
      <c r="F438" s="37" t="s">
        <v>2103</v>
      </c>
      <c r="G438" s="37" t="s">
        <v>2104</v>
      </c>
      <c r="H438" s="37" t="s">
        <v>2105</v>
      </c>
      <c r="I438" s="37" t="s">
        <v>2106</v>
      </c>
      <c r="J438" s="37" t="s">
        <v>71</v>
      </c>
      <c r="K438" s="37" t="s">
        <v>2098</v>
      </c>
      <c r="L438" s="37" t="s">
        <v>2098</v>
      </c>
      <c r="M438" s="37">
        <v>15816</v>
      </c>
      <c r="N438" s="38" t="s">
        <v>513</v>
      </c>
      <c r="S438" s="23">
        <f>VLOOKUP(A438,Hoja1!A:D,4,0)</f>
        <v>4</v>
      </c>
      <c r="T438" s="26" t="str">
        <f>VLOOKUP(M438,[1]TIPOLOGIAS!$A:$F,4,0)</f>
        <v>TUNJA</v>
      </c>
      <c r="U438" s="26" t="str">
        <f>VLOOKUP(T438,'BASE TARIFA 2025'!C:D,2,0)</f>
        <v>WOMPI SANTANDERES</v>
      </c>
      <c r="V438" s="27">
        <f>VLOOKUP(T438,'BASE TARIFA 2025'!C:F,3,0)</f>
        <v>49671.7</v>
      </c>
      <c r="W438" s="27">
        <f t="shared" si="6"/>
        <v>198686.8</v>
      </c>
    </row>
    <row r="439" spans="1:23" s="37" customFormat="1" ht="14.4" x14ac:dyDescent="0.3">
      <c r="A439" s="37">
        <v>51038</v>
      </c>
      <c r="B439" s="37" t="s">
        <v>4080</v>
      </c>
      <c r="C439" s="37">
        <v>900220829</v>
      </c>
      <c r="D439" s="37" t="s">
        <v>2107</v>
      </c>
      <c r="E439" s="37" t="s">
        <v>2107</v>
      </c>
      <c r="F439" s="37" t="s">
        <v>2108</v>
      </c>
      <c r="G439" s="37" t="s">
        <v>2109</v>
      </c>
      <c r="H439" s="37" t="s">
        <v>2110</v>
      </c>
      <c r="I439" s="37" t="s">
        <v>2111</v>
      </c>
      <c r="J439" s="37" t="s">
        <v>71</v>
      </c>
      <c r="K439" s="37" t="s">
        <v>81</v>
      </c>
      <c r="L439" s="37" t="s">
        <v>81</v>
      </c>
      <c r="M439" s="37">
        <v>15879</v>
      </c>
      <c r="N439" s="38" t="s">
        <v>322</v>
      </c>
      <c r="S439" s="23">
        <f>VLOOKUP(A439,Hoja1!A:D,4,0)</f>
        <v>2</v>
      </c>
      <c r="T439" s="26" t="str">
        <f>VLOOKUP(M439,[1]TIPOLOGIAS!$A:$F,4,0)</f>
        <v>TUNJA</v>
      </c>
      <c r="U439" s="26" t="str">
        <f>VLOOKUP(T439,'BASE TARIFA 2025'!C:D,2,0)</f>
        <v>WOMPI SANTANDERES</v>
      </c>
      <c r="V439" s="27">
        <f>VLOOKUP(T439,'BASE TARIFA 2025'!C:F,3,0)</f>
        <v>49671.7</v>
      </c>
      <c r="W439" s="27">
        <f t="shared" si="6"/>
        <v>99343.4</v>
      </c>
    </row>
    <row r="440" spans="1:23" s="37" customFormat="1" ht="14.4" x14ac:dyDescent="0.3">
      <c r="A440" s="37">
        <v>38670</v>
      </c>
      <c r="B440" s="37" t="s">
        <v>4081</v>
      </c>
      <c r="C440" s="37">
        <v>806013052</v>
      </c>
      <c r="D440" s="37" t="s">
        <v>2112</v>
      </c>
      <c r="E440" s="37" t="s">
        <v>2112</v>
      </c>
      <c r="F440" s="37" t="s">
        <v>2112</v>
      </c>
      <c r="G440" s="37" t="s">
        <v>2113</v>
      </c>
      <c r="H440" s="37" t="s">
        <v>2114</v>
      </c>
      <c r="I440" s="37" t="s">
        <v>2115</v>
      </c>
      <c r="J440" s="37" t="s">
        <v>77</v>
      </c>
      <c r="K440" s="37" t="s">
        <v>82</v>
      </c>
      <c r="L440" s="37" t="s">
        <v>82</v>
      </c>
      <c r="M440" s="37">
        <v>17050</v>
      </c>
      <c r="N440" s="38" t="s">
        <v>328</v>
      </c>
      <c r="S440" s="23">
        <f>VLOOKUP(A440,Hoja1!A:D,4,0)</f>
        <v>2</v>
      </c>
      <c r="T440" s="26" t="str">
        <f>VLOOKUP(M440,[1]TIPOLOGIAS!$A:$F,4,0)</f>
        <v>MANIZALES</v>
      </c>
      <c r="U440" s="26" t="str">
        <f>VLOOKUP(T440,'BASE TARIFA 2025'!C:D,2,0)</f>
        <v>WOMPI EJE CAFETERO</v>
      </c>
      <c r="V440" s="27">
        <f>VLOOKUP(T440,'BASE TARIFA 2025'!C:F,3,0)</f>
        <v>49671.7</v>
      </c>
      <c r="W440" s="27">
        <f t="shared" si="6"/>
        <v>99343.4</v>
      </c>
    </row>
    <row r="441" spans="1:23" s="37" customFormat="1" ht="14.4" x14ac:dyDescent="0.3">
      <c r="A441" s="37">
        <v>43270</v>
      </c>
      <c r="B441" s="37" t="s">
        <v>4082</v>
      </c>
      <c r="C441" s="37">
        <v>66862923</v>
      </c>
      <c r="D441" s="37" t="s">
        <v>2116</v>
      </c>
      <c r="E441" s="37" t="s">
        <v>2117</v>
      </c>
      <c r="F441" s="37" t="s">
        <v>2118</v>
      </c>
      <c r="G441" s="37" t="s">
        <v>2119</v>
      </c>
      <c r="H441" s="37" t="s">
        <v>2120</v>
      </c>
      <c r="I441" s="37" t="s">
        <v>2121</v>
      </c>
      <c r="J441" s="37" t="s">
        <v>77</v>
      </c>
      <c r="K441" s="37" t="s">
        <v>178</v>
      </c>
      <c r="L441" s="37" t="s">
        <v>178</v>
      </c>
      <c r="M441" s="37">
        <v>17088</v>
      </c>
      <c r="N441" s="38" t="s">
        <v>320</v>
      </c>
      <c r="S441" s="23">
        <f>VLOOKUP(A441,Hoja1!A:D,4,0)</f>
        <v>2</v>
      </c>
      <c r="T441" s="26" t="str">
        <f>VLOOKUP(M441,[1]TIPOLOGIAS!$A:$F,4,0)</f>
        <v>MANIZALES</v>
      </c>
      <c r="U441" s="26" t="str">
        <f>VLOOKUP(T441,'BASE TARIFA 2025'!C:D,2,0)</f>
        <v>WOMPI EJE CAFETERO</v>
      </c>
      <c r="V441" s="27">
        <f>VLOOKUP(T441,'BASE TARIFA 2025'!C:F,3,0)</f>
        <v>49671.7</v>
      </c>
      <c r="W441" s="27">
        <f t="shared" si="6"/>
        <v>99343.4</v>
      </c>
    </row>
    <row r="442" spans="1:23" s="37" customFormat="1" ht="14.4" x14ac:dyDescent="0.3">
      <c r="A442" s="37">
        <v>43271</v>
      </c>
      <c r="B442" s="37" t="s">
        <v>4083</v>
      </c>
      <c r="C442" s="37">
        <v>16212279</v>
      </c>
      <c r="E442" s="37" t="s">
        <v>2122</v>
      </c>
      <c r="F442" s="37" t="s">
        <v>2123</v>
      </c>
      <c r="G442" s="37" t="s">
        <v>2124</v>
      </c>
      <c r="H442" s="37" t="s">
        <v>2125</v>
      </c>
      <c r="I442" s="37" t="s">
        <v>2126</v>
      </c>
      <c r="J442" s="37" t="s">
        <v>77</v>
      </c>
      <c r="K442" s="37" t="s">
        <v>178</v>
      </c>
      <c r="L442" s="37" t="s">
        <v>178</v>
      </c>
      <c r="M442" s="37">
        <v>17088</v>
      </c>
      <c r="N442" s="38" t="s">
        <v>320</v>
      </c>
      <c r="S442" s="23">
        <f>VLOOKUP(A442,Hoja1!A:D,4,0)</f>
        <v>2</v>
      </c>
      <c r="T442" s="26" t="str">
        <f>VLOOKUP(M442,[1]TIPOLOGIAS!$A:$F,4,0)</f>
        <v>MANIZALES</v>
      </c>
      <c r="U442" s="26" t="str">
        <f>VLOOKUP(T442,'BASE TARIFA 2025'!C:D,2,0)</f>
        <v>WOMPI EJE CAFETERO</v>
      </c>
      <c r="V442" s="27">
        <f>VLOOKUP(T442,'BASE TARIFA 2025'!C:F,3,0)</f>
        <v>49671.7</v>
      </c>
      <c r="W442" s="27">
        <f t="shared" si="6"/>
        <v>99343.4</v>
      </c>
    </row>
    <row r="443" spans="1:23" s="37" customFormat="1" ht="14.4" x14ac:dyDescent="0.3">
      <c r="A443" s="37">
        <v>24759</v>
      </c>
      <c r="B443" s="37" t="s">
        <v>4084</v>
      </c>
      <c r="C443" s="37">
        <v>93437085</v>
      </c>
      <c r="D443" s="37" t="s">
        <v>2127</v>
      </c>
      <c r="E443" s="37" t="s">
        <v>2127</v>
      </c>
      <c r="F443" s="37" t="s">
        <v>2128</v>
      </c>
      <c r="G443" s="37" t="s">
        <v>2129</v>
      </c>
      <c r="H443" s="37" t="s">
        <v>2130</v>
      </c>
      <c r="I443" s="37" t="s">
        <v>2131</v>
      </c>
      <c r="J443" s="37" t="s">
        <v>73</v>
      </c>
      <c r="K443" s="37" t="s">
        <v>127</v>
      </c>
      <c r="L443" s="37" t="s">
        <v>127</v>
      </c>
      <c r="M443" s="37">
        <v>19256</v>
      </c>
      <c r="N443" s="38" t="s">
        <v>324</v>
      </c>
      <c r="S443" s="23">
        <f>VLOOKUP(A443,Hoja1!A:D,4,0)</f>
        <v>2</v>
      </c>
      <c r="T443" s="26" t="str">
        <f>VLOOKUP(M443,[1]TIPOLOGIAS!$A:$F,4,0)</f>
        <v>CALI</v>
      </c>
      <c r="U443" s="26" t="str">
        <f>VLOOKUP(T443,'BASE TARIFA 2025'!C:D,2,0)</f>
        <v>WOMPI SUROCCIDENTE</v>
      </c>
      <c r="V443" s="27">
        <f>VLOOKUP(T443,'BASE TARIFA 2025'!C:F,3,0)</f>
        <v>37313</v>
      </c>
      <c r="W443" s="27">
        <f t="shared" si="6"/>
        <v>74626</v>
      </c>
    </row>
    <row r="444" spans="1:23" s="37" customFormat="1" ht="14.4" x14ac:dyDescent="0.3">
      <c r="A444" s="37">
        <v>62622</v>
      </c>
      <c r="B444" s="37" t="s">
        <v>4085</v>
      </c>
      <c r="C444" s="37">
        <v>900078103</v>
      </c>
      <c r="D444" s="37" t="s">
        <v>2132</v>
      </c>
      <c r="E444" s="37" t="s">
        <v>2132</v>
      </c>
      <c r="F444" s="37" t="s">
        <v>184</v>
      </c>
      <c r="G444" s="37" t="s">
        <v>2133</v>
      </c>
      <c r="H444" s="37" t="s">
        <v>2134</v>
      </c>
      <c r="I444" s="37" t="s">
        <v>2135</v>
      </c>
      <c r="J444" s="37" t="s">
        <v>73</v>
      </c>
      <c r="K444" s="37" t="s">
        <v>127</v>
      </c>
      <c r="L444" s="37" t="s">
        <v>127</v>
      </c>
      <c r="M444" s="37">
        <v>19256</v>
      </c>
      <c r="N444" s="38" t="s">
        <v>324</v>
      </c>
      <c r="S444" s="23">
        <f>VLOOKUP(A444,Hoja1!A:D,4,0)</f>
        <v>1</v>
      </c>
      <c r="T444" s="26" t="str">
        <f>VLOOKUP(M444,[1]TIPOLOGIAS!$A:$F,4,0)</f>
        <v>CALI</v>
      </c>
      <c r="U444" s="26" t="str">
        <f>VLOOKUP(T444,'BASE TARIFA 2025'!C:D,2,0)</f>
        <v>WOMPI SUROCCIDENTE</v>
      </c>
      <c r="V444" s="27">
        <f>VLOOKUP(T444,'BASE TARIFA 2025'!C:F,3,0)</f>
        <v>37313</v>
      </c>
      <c r="W444" s="27">
        <f t="shared" si="6"/>
        <v>37313</v>
      </c>
    </row>
    <row r="445" spans="1:23" s="37" customFormat="1" ht="14.4" x14ac:dyDescent="0.3">
      <c r="A445" s="37">
        <v>64784</v>
      </c>
      <c r="B445" s="37" t="s">
        <v>4086</v>
      </c>
      <c r="C445" s="37">
        <v>1075282651</v>
      </c>
      <c r="D445" s="37" t="s">
        <v>2136</v>
      </c>
      <c r="E445" s="37" t="s">
        <v>2137</v>
      </c>
      <c r="F445" s="37" t="s">
        <v>2138</v>
      </c>
      <c r="G445" s="37" t="s">
        <v>2139</v>
      </c>
      <c r="H445" s="37" t="s">
        <v>2140</v>
      </c>
      <c r="I445" s="37" t="s">
        <v>2141</v>
      </c>
      <c r="J445" s="37" t="s">
        <v>73</v>
      </c>
      <c r="K445" s="37" t="s">
        <v>127</v>
      </c>
      <c r="L445" s="37" t="s">
        <v>127</v>
      </c>
      <c r="M445" s="37">
        <v>19256</v>
      </c>
      <c r="N445" s="38" t="s">
        <v>324</v>
      </c>
      <c r="S445" s="23">
        <f>VLOOKUP(A445,Hoja1!A:D,4,0)</f>
        <v>1</v>
      </c>
      <c r="T445" s="26" t="str">
        <f>VLOOKUP(M445,[1]TIPOLOGIAS!$A:$F,4,0)</f>
        <v>CALI</v>
      </c>
      <c r="U445" s="26" t="str">
        <f>VLOOKUP(T445,'BASE TARIFA 2025'!C:D,2,0)</f>
        <v>WOMPI SUROCCIDENTE</v>
      </c>
      <c r="V445" s="27">
        <f>VLOOKUP(T445,'BASE TARIFA 2025'!C:F,3,0)</f>
        <v>37313</v>
      </c>
      <c r="W445" s="27">
        <f t="shared" si="6"/>
        <v>37313</v>
      </c>
    </row>
    <row r="446" spans="1:23" s="37" customFormat="1" ht="14.4" x14ac:dyDescent="0.3">
      <c r="A446" s="37">
        <v>29998</v>
      </c>
      <c r="B446" s="37" t="s">
        <v>4087</v>
      </c>
      <c r="C446" s="37">
        <v>901038123</v>
      </c>
      <c r="D446" s="37" t="s">
        <v>2142</v>
      </c>
      <c r="E446" s="37" t="s">
        <v>2142</v>
      </c>
      <c r="F446" s="37" t="s">
        <v>2142</v>
      </c>
      <c r="G446" s="37" t="s">
        <v>2143</v>
      </c>
      <c r="H446" s="37" t="s">
        <v>2144</v>
      </c>
      <c r="I446" s="37" t="s">
        <v>2145</v>
      </c>
      <c r="J446" s="37" t="s">
        <v>90</v>
      </c>
      <c r="K446" s="37" t="s">
        <v>155</v>
      </c>
      <c r="L446" s="37" t="s">
        <v>155</v>
      </c>
      <c r="M446" s="37">
        <v>54001</v>
      </c>
      <c r="N446" s="38" t="s">
        <v>416</v>
      </c>
      <c r="S446" s="23">
        <f>VLOOKUP(A446,Hoja1!A:D,4,0)</f>
        <v>3</v>
      </c>
      <c r="T446" s="26" t="str">
        <f>VLOOKUP(M446,[1]TIPOLOGIAS!$A:$F,4,0)</f>
        <v>CUCUTA</v>
      </c>
      <c r="U446" s="26" t="str">
        <f>VLOOKUP(T446,'BASE TARIFA 2025'!C:D,2,0)</f>
        <v>WOMPI SANTANDERES</v>
      </c>
      <c r="V446" s="27">
        <f>VLOOKUP(T446,'BASE TARIFA 2025'!C:F,3,0)</f>
        <v>49671.7</v>
      </c>
      <c r="W446" s="27">
        <f t="shared" si="6"/>
        <v>149015.09999999998</v>
      </c>
    </row>
    <row r="447" spans="1:23" s="37" customFormat="1" ht="14.4" x14ac:dyDescent="0.3">
      <c r="A447" s="37">
        <v>13676</v>
      </c>
      <c r="B447" s="37" t="s">
        <v>4088</v>
      </c>
      <c r="C447" s="37">
        <v>27978881</v>
      </c>
      <c r="D447" s="37" t="s">
        <v>2146</v>
      </c>
      <c r="E447" s="37" t="s">
        <v>2146</v>
      </c>
      <c r="F447" s="37" t="s">
        <v>2147</v>
      </c>
      <c r="G447" s="37" t="s">
        <v>2148</v>
      </c>
      <c r="H447" s="37" t="s">
        <v>2149</v>
      </c>
      <c r="I447" s="37" t="s">
        <v>2150</v>
      </c>
      <c r="J447" s="37" t="s">
        <v>90</v>
      </c>
      <c r="K447" s="37" t="s">
        <v>155</v>
      </c>
      <c r="L447" s="37" t="s">
        <v>155</v>
      </c>
      <c r="M447" s="37">
        <v>54001</v>
      </c>
      <c r="N447" s="38" t="s">
        <v>853</v>
      </c>
      <c r="S447" s="23">
        <f>VLOOKUP(A447,Hoja1!A:D,4,0)</f>
        <v>4</v>
      </c>
      <c r="T447" s="26" t="str">
        <f>VLOOKUP(M447,[1]TIPOLOGIAS!$A:$F,4,0)</f>
        <v>CUCUTA</v>
      </c>
      <c r="U447" s="26" t="str">
        <f>VLOOKUP(T447,'BASE TARIFA 2025'!C:D,2,0)</f>
        <v>WOMPI SANTANDERES</v>
      </c>
      <c r="V447" s="27">
        <f>VLOOKUP(T447,'BASE TARIFA 2025'!C:F,3,0)</f>
        <v>49671.7</v>
      </c>
      <c r="W447" s="27">
        <f t="shared" si="6"/>
        <v>198686.8</v>
      </c>
    </row>
    <row r="448" spans="1:23" s="37" customFormat="1" ht="14.4" x14ac:dyDescent="0.3">
      <c r="A448" s="37">
        <v>21147</v>
      </c>
      <c r="B448" s="37" t="s">
        <v>4089</v>
      </c>
      <c r="C448" s="37">
        <v>20803840</v>
      </c>
      <c r="D448" s="37" t="s">
        <v>2151</v>
      </c>
      <c r="E448" s="37" t="s">
        <v>2151</v>
      </c>
      <c r="F448" s="37" t="s">
        <v>2151</v>
      </c>
      <c r="G448" s="37" t="s">
        <v>2152</v>
      </c>
      <c r="H448" s="37" t="s">
        <v>2153</v>
      </c>
      <c r="I448" s="37" t="s">
        <v>2154</v>
      </c>
      <c r="J448" s="37" t="s">
        <v>90</v>
      </c>
      <c r="K448" s="37" t="s">
        <v>155</v>
      </c>
      <c r="L448" s="37" t="s">
        <v>155</v>
      </c>
      <c r="M448" s="37">
        <v>54001</v>
      </c>
      <c r="N448" s="38" t="s">
        <v>416</v>
      </c>
      <c r="S448" s="23">
        <f>VLOOKUP(A448,Hoja1!A:D,4,0)</f>
        <v>2</v>
      </c>
      <c r="T448" s="26" t="str">
        <f>VLOOKUP(M448,[1]TIPOLOGIAS!$A:$F,4,0)</f>
        <v>CUCUTA</v>
      </c>
      <c r="U448" s="26" t="str">
        <f>VLOOKUP(T448,'BASE TARIFA 2025'!C:D,2,0)</f>
        <v>WOMPI SANTANDERES</v>
      </c>
      <c r="V448" s="27">
        <f>VLOOKUP(T448,'BASE TARIFA 2025'!C:F,3,0)</f>
        <v>49671.7</v>
      </c>
      <c r="W448" s="27">
        <f t="shared" si="6"/>
        <v>99343.4</v>
      </c>
    </row>
    <row r="449" spans="1:23" s="37" customFormat="1" ht="14.4" x14ac:dyDescent="0.3">
      <c r="A449" s="37">
        <v>20581</v>
      </c>
      <c r="B449" s="37" t="s">
        <v>4090</v>
      </c>
      <c r="C449" s="37">
        <v>49722200</v>
      </c>
      <c r="D449" s="37" t="s">
        <v>2155</v>
      </c>
      <c r="E449" s="37" t="s">
        <v>2155</v>
      </c>
      <c r="F449" s="37" t="s">
        <v>2155</v>
      </c>
      <c r="G449" s="37" t="s">
        <v>2156</v>
      </c>
      <c r="H449" s="37" t="s">
        <v>2157</v>
      </c>
      <c r="I449" s="37" t="s">
        <v>2158</v>
      </c>
      <c r="J449" s="37" t="s">
        <v>90</v>
      </c>
      <c r="K449" s="37" t="s">
        <v>155</v>
      </c>
      <c r="L449" s="37" t="s">
        <v>155</v>
      </c>
      <c r="M449" s="37">
        <v>54001</v>
      </c>
      <c r="N449" s="38" t="s">
        <v>328</v>
      </c>
      <c r="S449" s="23">
        <f>VLOOKUP(A449,Hoja1!A:D,4,0)</f>
        <v>3</v>
      </c>
      <c r="T449" s="26" t="str">
        <f>VLOOKUP(M449,[1]TIPOLOGIAS!$A:$F,4,0)</f>
        <v>CUCUTA</v>
      </c>
      <c r="U449" s="26" t="str">
        <f>VLOOKUP(T449,'BASE TARIFA 2025'!C:D,2,0)</f>
        <v>WOMPI SANTANDERES</v>
      </c>
      <c r="V449" s="27">
        <f>VLOOKUP(T449,'BASE TARIFA 2025'!C:F,3,0)</f>
        <v>49671.7</v>
      </c>
      <c r="W449" s="27">
        <f t="shared" si="6"/>
        <v>149015.09999999998</v>
      </c>
    </row>
    <row r="450" spans="1:23" s="37" customFormat="1" ht="14.4" x14ac:dyDescent="0.3">
      <c r="A450" s="37">
        <v>14655</v>
      </c>
      <c r="B450" s="37" t="s">
        <v>4091</v>
      </c>
      <c r="C450" s="37">
        <v>33945042</v>
      </c>
      <c r="D450" s="37" t="s">
        <v>2159</v>
      </c>
      <c r="E450" s="37" t="s">
        <v>2159</v>
      </c>
      <c r="F450" s="37" t="s">
        <v>2159</v>
      </c>
      <c r="G450" s="37" t="s">
        <v>2160</v>
      </c>
      <c r="H450" s="37" t="s">
        <v>2161</v>
      </c>
      <c r="I450" s="37" t="s">
        <v>2162</v>
      </c>
      <c r="J450" s="37" t="s">
        <v>90</v>
      </c>
      <c r="K450" s="37" t="s">
        <v>155</v>
      </c>
      <c r="L450" s="37" t="s">
        <v>155</v>
      </c>
      <c r="M450" s="37">
        <v>54001</v>
      </c>
      <c r="N450" s="38" t="s">
        <v>430</v>
      </c>
      <c r="S450" s="23">
        <f>VLOOKUP(A450,Hoja1!A:D,4,0)</f>
        <v>1</v>
      </c>
      <c r="T450" s="26" t="str">
        <f>VLOOKUP(M450,[1]TIPOLOGIAS!$A:$F,4,0)</f>
        <v>CUCUTA</v>
      </c>
      <c r="U450" s="26" t="str">
        <f>VLOOKUP(T450,'BASE TARIFA 2025'!C:D,2,0)</f>
        <v>WOMPI SANTANDERES</v>
      </c>
      <c r="V450" s="27">
        <f>VLOOKUP(T450,'BASE TARIFA 2025'!C:F,3,0)</f>
        <v>49671.7</v>
      </c>
      <c r="W450" s="27">
        <f t="shared" ref="W450:W513" si="7">V450*S450</f>
        <v>49671.7</v>
      </c>
    </row>
    <row r="451" spans="1:23" s="37" customFormat="1" ht="14.4" x14ac:dyDescent="0.3">
      <c r="A451" s="37">
        <v>50417</v>
      </c>
      <c r="B451" s="37" t="s">
        <v>4092</v>
      </c>
      <c r="C451" s="37">
        <v>33945042</v>
      </c>
      <c r="D451" s="37" t="s">
        <v>2163</v>
      </c>
      <c r="E451" s="37" t="s">
        <v>2163</v>
      </c>
      <c r="F451" s="37" t="s">
        <v>2155</v>
      </c>
      <c r="G451" s="37" t="s">
        <v>2164</v>
      </c>
      <c r="H451" s="37" t="s">
        <v>2165</v>
      </c>
      <c r="I451" s="37" t="s">
        <v>2166</v>
      </c>
      <c r="J451" s="37" t="s">
        <v>90</v>
      </c>
      <c r="K451" s="37" t="s">
        <v>155</v>
      </c>
      <c r="L451" s="37" t="s">
        <v>155</v>
      </c>
      <c r="M451" s="37">
        <v>54001</v>
      </c>
      <c r="N451" s="38" t="s">
        <v>503</v>
      </c>
      <c r="S451" s="23">
        <f>VLOOKUP(A451,Hoja1!A:D,4,0)</f>
        <v>1</v>
      </c>
      <c r="T451" s="26" t="str">
        <f>VLOOKUP(M451,[1]TIPOLOGIAS!$A:$F,4,0)</f>
        <v>CUCUTA</v>
      </c>
      <c r="U451" s="26" t="str">
        <f>VLOOKUP(T451,'BASE TARIFA 2025'!C:D,2,0)</f>
        <v>WOMPI SANTANDERES</v>
      </c>
      <c r="V451" s="27">
        <f>VLOOKUP(T451,'BASE TARIFA 2025'!C:F,3,0)</f>
        <v>49671.7</v>
      </c>
      <c r="W451" s="27">
        <f t="shared" si="7"/>
        <v>49671.7</v>
      </c>
    </row>
    <row r="452" spans="1:23" s="37" customFormat="1" ht="14.4" x14ac:dyDescent="0.3">
      <c r="A452" s="37">
        <v>19652</v>
      </c>
      <c r="B452" s="37" t="s">
        <v>4093</v>
      </c>
      <c r="C452" s="37">
        <v>34000929</v>
      </c>
      <c r="D452" s="37" t="s">
        <v>2167</v>
      </c>
      <c r="E452" s="37" t="s">
        <v>2168</v>
      </c>
      <c r="F452" s="37" t="s">
        <v>2168</v>
      </c>
      <c r="G452" s="37" t="s">
        <v>2169</v>
      </c>
      <c r="H452" s="37" t="s">
        <v>2170</v>
      </c>
      <c r="I452" s="37" t="s">
        <v>2171</v>
      </c>
      <c r="J452" s="37" t="s">
        <v>80</v>
      </c>
      <c r="K452" s="37" t="s">
        <v>2172</v>
      </c>
      <c r="L452" s="37" t="s">
        <v>2172</v>
      </c>
      <c r="M452" s="37">
        <v>13430</v>
      </c>
      <c r="N452" s="38" t="s">
        <v>841</v>
      </c>
      <c r="S452" s="23">
        <f>VLOOKUP(A452,Hoja1!A:D,4,0)</f>
        <v>1</v>
      </c>
      <c r="T452" s="26" t="str">
        <f>VLOOKUP(M452,[1]TIPOLOGIAS!$A:$F,4,0)</f>
        <v>CARTAGENA</v>
      </c>
      <c r="U452" s="26" t="str">
        <f>VLOOKUP(T452,'BASE TARIFA 2025'!C:D,2,0)</f>
        <v>WOMPI COSTA</v>
      </c>
      <c r="V452" s="27">
        <f>VLOOKUP(T452,'BASE TARIFA 2025'!C:F,3,0)</f>
        <v>49671.7</v>
      </c>
      <c r="W452" s="27">
        <f t="shared" si="7"/>
        <v>49671.7</v>
      </c>
    </row>
    <row r="453" spans="1:23" s="37" customFormat="1" ht="14.4" x14ac:dyDescent="0.3">
      <c r="A453" s="37">
        <v>32319</v>
      </c>
      <c r="B453" s="37" t="s">
        <v>4094</v>
      </c>
      <c r="C453" s="37">
        <v>93383230</v>
      </c>
      <c r="D453" s="37" t="s">
        <v>2173</v>
      </c>
      <c r="E453" s="37" t="s">
        <v>2174</v>
      </c>
      <c r="F453" s="37" t="s">
        <v>2174</v>
      </c>
      <c r="G453" s="37" t="s">
        <v>2175</v>
      </c>
      <c r="H453" s="37" t="s">
        <v>2176</v>
      </c>
      <c r="I453" s="37" t="s">
        <v>2177</v>
      </c>
      <c r="J453" s="37" t="s">
        <v>80</v>
      </c>
      <c r="K453" s="37" t="s">
        <v>2172</v>
      </c>
      <c r="L453" s="37" t="s">
        <v>2172</v>
      </c>
      <c r="M453" s="37">
        <v>13430</v>
      </c>
      <c r="N453" s="38" t="s">
        <v>841</v>
      </c>
      <c r="S453" s="23">
        <f>VLOOKUP(A453,Hoja1!A:D,4,0)</f>
        <v>1</v>
      </c>
      <c r="T453" s="26" t="str">
        <f>VLOOKUP(M453,[1]TIPOLOGIAS!$A:$F,4,0)</f>
        <v>CARTAGENA</v>
      </c>
      <c r="U453" s="26" t="str">
        <f>VLOOKUP(T453,'BASE TARIFA 2025'!C:D,2,0)</f>
        <v>WOMPI COSTA</v>
      </c>
      <c r="V453" s="27">
        <f>VLOOKUP(T453,'BASE TARIFA 2025'!C:F,3,0)</f>
        <v>49671.7</v>
      </c>
      <c r="W453" s="27">
        <f t="shared" si="7"/>
        <v>49671.7</v>
      </c>
    </row>
    <row r="454" spans="1:23" s="37" customFormat="1" ht="14.4" x14ac:dyDescent="0.3">
      <c r="A454" s="37">
        <v>30509</v>
      </c>
      <c r="B454" s="37" t="s">
        <v>4095</v>
      </c>
      <c r="C454" s="37">
        <v>52257154</v>
      </c>
      <c r="D454" s="37" t="s">
        <v>2178</v>
      </c>
      <c r="E454" s="37" t="s">
        <v>2178</v>
      </c>
      <c r="F454" s="37" t="s">
        <v>2178</v>
      </c>
      <c r="G454" s="37" t="s">
        <v>2179</v>
      </c>
      <c r="H454" s="37" t="s">
        <v>2180</v>
      </c>
      <c r="I454" s="37" t="s">
        <v>2181</v>
      </c>
      <c r="J454" s="37" t="s">
        <v>80</v>
      </c>
      <c r="K454" s="37" t="s">
        <v>2172</v>
      </c>
      <c r="L454" s="37" t="s">
        <v>2172</v>
      </c>
      <c r="M454" s="37">
        <v>13430</v>
      </c>
      <c r="N454" s="38" t="s">
        <v>841</v>
      </c>
      <c r="S454" s="23">
        <f>VLOOKUP(A454,Hoja1!A:D,4,0)</f>
        <v>1</v>
      </c>
      <c r="T454" s="26" t="str">
        <f>VLOOKUP(M454,[1]TIPOLOGIAS!$A:$F,4,0)</f>
        <v>CARTAGENA</v>
      </c>
      <c r="U454" s="26" t="str">
        <f>VLOOKUP(T454,'BASE TARIFA 2025'!C:D,2,0)</f>
        <v>WOMPI COSTA</v>
      </c>
      <c r="V454" s="27">
        <f>VLOOKUP(T454,'BASE TARIFA 2025'!C:F,3,0)</f>
        <v>49671.7</v>
      </c>
      <c r="W454" s="27">
        <f t="shared" si="7"/>
        <v>49671.7</v>
      </c>
    </row>
    <row r="455" spans="1:23" s="37" customFormat="1" ht="14.4" x14ac:dyDescent="0.3">
      <c r="A455" s="37">
        <v>34733</v>
      </c>
      <c r="B455" s="37" t="s">
        <v>4096</v>
      </c>
      <c r="C455" s="37">
        <v>79854361</v>
      </c>
      <c r="D455" s="37" t="s">
        <v>2182</v>
      </c>
      <c r="E455" s="37" t="s">
        <v>170</v>
      </c>
      <c r="F455" s="37" t="s">
        <v>170</v>
      </c>
      <c r="G455" s="37" t="s">
        <v>2183</v>
      </c>
      <c r="H455" s="37" t="s">
        <v>2184</v>
      </c>
      <c r="I455" s="37" t="s">
        <v>2185</v>
      </c>
      <c r="J455" s="37" t="s">
        <v>71</v>
      </c>
      <c r="K455" s="37" t="s">
        <v>169</v>
      </c>
      <c r="L455" s="37" t="s">
        <v>169</v>
      </c>
      <c r="M455" s="37">
        <v>15759</v>
      </c>
      <c r="N455" s="38" t="s">
        <v>328</v>
      </c>
      <c r="S455" s="23">
        <f>VLOOKUP(A455,Hoja1!A:D,4,0)</f>
        <v>1</v>
      </c>
      <c r="T455" s="26" t="str">
        <f>VLOOKUP(M455,[1]TIPOLOGIAS!$A:$F,4,0)</f>
        <v>TUNJA</v>
      </c>
      <c r="U455" s="26" t="str">
        <f>VLOOKUP(T455,'BASE TARIFA 2025'!C:D,2,0)</f>
        <v>WOMPI SANTANDERES</v>
      </c>
      <c r="V455" s="27">
        <f>VLOOKUP(T455,'BASE TARIFA 2025'!C:F,3,0)</f>
        <v>49671.7</v>
      </c>
      <c r="W455" s="27">
        <f t="shared" si="7"/>
        <v>49671.7</v>
      </c>
    </row>
    <row r="456" spans="1:23" s="37" customFormat="1" ht="14.4" x14ac:dyDescent="0.3">
      <c r="A456" s="37">
        <v>34442</v>
      </c>
      <c r="B456" s="37" t="s">
        <v>4097</v>
      </c>
      <c r="C456" s="37">
        <v>79854361</v>
      </c>
      <c r="D456" s="37" t="s">
        <v>2186</v>
      </c>
      <c r="E456" s="37" t="s">
        <v>170</v>
      </c>
      <c r="F456" s="37" t="s">
        <v>170</v>
      </c>
      <c r="G456" s="37" t="s">
        <v>2187</v>
      </c>
      <c r="H456" s="37" t="s">
        <v>2188</v>
      </c>
      <c r="I456" s="37" t="s">
        <v>171</v>
      </c>
      <c r="J456" s="37" t="s">
        <v>71</v>
      </c>
      <c r="K456" s="37" t="s">
        <v>169</v>
      </c>
      <c r="L456" s="37" t="s">
        <v>169</v>
      </c>
      <c r="M456" s="37">
        <v>15759</v>
      </c>
      <c r="N456" s="38" t="s">
        <v>328</v>
      </c>
      <c r="S456" s="23">
        <f>VLOOKUP(A456,Hoja1!A:D,4,0)</f>
        <v>1</v>
      </c>
      <c r="T456" s="26" t="str">
        <f>VLOOKUP(M456,[1]TIPOLOGIAS!$A:$F,4,0)</f>
        <v>TUNJA</v>
      </c>
      <c r="U456" s="26" t="str">
        <f>VLOOKUP(T456,'BASE TARIFA 2025'!C:D,2,0)</f>
        <v>WOMPI SANTANDERES</v>
      </c>
      <c r="V456" s="27">
        <f>VLOOKUP(T456,'BASE TARIFA 2025'!C:F,3,0)</f>
        <v>49671.7</v>
      </c>
      <c r="W456" s="27">
        <f t="shared" si="7"/>
        <v>49671.7</v>
      </c>
    </row>
    <row r="457" spans="1:23" s="37" customFormat="1" ht="14.4" x14ac:dyDescent="0.3">
      <c r="A457" s="37">
        <v>34443</v>
      </c>
      <c r="B457" s="37" t="s">
        <v>4098</v>
      </c>
      <c r="C457" s="37">
        <v>860090873</v>
      </c>
      <c r="D457" s="37" t="s">
        <v>2189</v>
      </c>
      <c r="E457" s="37" t="s">
        <v>2190</v>
      </c>
      <c r="F457" s="37" t="s">
        <v>2190</v>
      </c>
      <c r="G457" s="37" t="s">
        <v>2191</v>
      </c>
      <c r="H457" s="37" t="s">
        <v>2192</v>
      </c>
      <c r="I457" s="37" t="s">
        <v>2193</v>
      </c>
      <c r="J457" s="37" t="s">
        <v>71</v>
      </c>
      <c r="K457" s="37" t="s">
        <v>169</v>
      </c>
      <c r="L457" s="37" t="s">
        <v>169</v>
      </c>
      <c r="M457" s="37">
        <v>15759</v>
      </c>
      <c r="N457" s="38" t="s">
        <v>321</v>
      </c>
      <c r="S457" s="23">
        <f>VLOOKUP(A457,Hoja1!A:D,4,0)</f>
        <v>1</v>
      </c>
      <c r="T457" s="26" t="str">
        <f>VLOOKUP(M457,[1]TIPOLOGIAS!$A:$F,4,0)</f>
        <v>TUNJA</v>
      </c>
      <c r="U457" s="26" t="str">
        <f>VLOOKUP(T457,'BASE TARIFA 2025'!C:D,2,0)</f>
        <v>WOMPI SANTANDERES</v>
      </c>
      <c r="V457" s="27">
        <f>VLOOKUP(T457,'BASE TARIFA 2025'!C:F,3,0)</f>
        <v>49671.7</v>
      </c>
      <c r="W457" s="27">
        <f t="shared" si="7"/>
        <v>49671.7</v>
      </c>
    </row>
    <row r="458" spans="1:23" s="37" customFormat="1" ht="14.4" x14ac:dyDescent="0.3">
      <c r="A458" s="37">
        <v>80922</v>
      </c>
      <c r="B458" s="37" t="s">
        <v>4099</v>
      </c>
      <c r="C458" s="37">
        <v>1007616390</v>
      </c>
      <c r="D458" s="37" t="s">
        <v>2194</v>
      </c>
      <c r="E458" s="37" t="s">
        <v>2195</v>
      </c>
      <c r="F458" s="37" t="s">
        <v>2194</v>
      </c>
      <c r="G458" s="37" t="s">
        <v>2196</v>
      </c>
      <c r="H458" s="37" t="s">
        <v>2197</v>
      </c>
      <c r="I458" s="37" t="s">
        <v>2198</v>
      </c>
      <c r="J458" s="37" t="s">
        <v>73</v>
      </c>
      <c r="K458" s="37" t="s">
        <v>127</v>
      </c>
      <c r="L458" s="37" t="s">
        <v>127</v>
      </c>
      <c r="M458" s="37">
        <v>19256</v>
      </c>
      <c r="N458" s="38" t="s">
        <v>324</v>
      </c>
      <c r="S458" s="23">
        <f>VLOOKUP(A458,Hoja1!A:D,4,0)</f>
        <v>1</v>
      </c>
      <c r="T458" s="26" t="str">
        <f>VLOOKUP(M458,[1]TIPOLOGIAS!$A:$F,4,0)</f>
        <v>CALI</v>
      </c>
      <c r="U458" s="26" t="str">
        <f>VLOOKUP(T458,'BASE TARIFA 2025'!C:D,2,0)</f>
        <v>WOMPI SUROCCIDENTE</v>
      </c>
      <c r="V458" s="27">
        <f>VLOOKUP(T458,'BASE TARIFA 2025'!C:F,3,0)</f>
        <v>37313</v>
      </c>
      <c r="W458" s="27">
        <f t="shared" si="7"/>
        <v>37313</v>
      </c>
    </row>
    <row r="459" spans="1:23" s="37" customFormat="1" ht="14.4" x14ac:dyDescent="0.3">
      <c r="A459" s="37">
        <v>35743</v>
      </c>
      <c r="B459" s="37" t="s">
        <v>4100</v>
      </c>
      <c r="C459" s="37">
        <v>20865643</v>
      </c>
      <c r="D459" s="37" t="s">
        <v>67</v>
      </c>
      <c r="E459" s="37" t="s">
        <v>2199</v>
      </c>
      <c r="F459" s="37" t="s">
        <v>2199</v>
      </c>
      <c r="G459" s="37" t="s">
        <v>2200</v>
      </c>
      <c r="H459" s="37" t="s">
        <v>2201</v>
      </c>
      <c r="I459" s="37" t="s">
        <v>2202</v>
      </c>
      <c r="J459" s="37" t="s">
        <v>73</v>
      </c>
      <c r="K459" s="37" t="s">
        <v>129</v>
      </c>
      <c r="L459" s="37" t="s">
        <v>129</v>
      </c>
      <c r="M459" s="37">
        <v>19743</v>
      </c>
      <c r="N459" s="38" t="s">
        <v>329</v>
      </c>
      <c r="S459" s="23">
        <f>VLOOKUP(A459,Hoja1!A:D,4,0)</f>
        <v>1</v>
      </c>
      <c r="T459" s="26" t="str">
        <f>VLOOKUP(M459,[1]TIPOLOGIAS!$A:$F,4,0)</f>
        <v>CALI</v>
      </c>
      <c r="U459" s="26" t="str">
        <f>VLOOKUP(T459,'BASE TARIFA 2025'!C:D,2,0)</f>
        <v>WOMPI SUROCCIDENTE</v>
      </c>
      <c r="V459" s="27">
        <f>VLOOKUP(T459,'BASE TARIFA 2025'!C:F,3,0)</f>
        <v>37313</v>
      </c>
      <c r="W459" s="27">
        <f t="shared" si="7"/>
        <v>37313</v>
      </c>
    </row>
    <row r="460" spans="1:23" s="37" customFormat="1" ht="14.4" x14ac:dyDescent="0.3">
      <c r="A460" s="37">
        <v>77605</v>
      </c>
      <c r="B460" s="37" t="s">
        <v>4101</v>
      </c>
      <c r="C460" s="37">
        <v>20989428</v>
      </c>
      <c r="D460" s="37" t="s">
        <v>2203</v>
      </c>
      <c r="E460" s="37" t="s">
        <v>2203</v>
      </c>
      <c r="F460" s="37" t="s">
        <v>2203</v>
      </c>
      <c r="G460" s="37" t="s">
        <v>2204</v>
      </c>
      <c r="H460" s="37" t="s">
        <v>2205</v>
      </c>
      <c r="I460" s="37" t="s">
        <v>2206</v>
      </c>
      <c r="J460" s="37" t="s">
        <v>73</v>
      </c>
      <c r="K460" s="37" t="s">
        <v>129</v>
      </c>
      <c r="L460" s="37" t="s">
        <v>129</v>
      </c>
      <c r="M460" s="37">
        <v>19743</v>
      </c>
      <c r="N460" s="38" t="s">
        <v>329</v>
      </c>
      <c r="S460" s="23">
        <f>VLOOKUP(A460,Hoja1!A:D,4,0)</f>
        <v>1</v>
      </c>
      <c r="T460" s="26" t="str">
        <f>VLOOKUP(M460,[1]TIPOLOGIAS!$A:$F,4,0)</f>
        <v>CALI</v>
      </c>
      <c r="U460" s="26" t="str">
        <f>VLOOKUP(T460,'BASE TARIFA 2025'!C:D,2,0)</f>
        <v>WOMPI SUROCCIDENTE</v>
      </c>
      <c r="V460" s="27">
        <f>VLOOKUP(T460,'BASE TARIFA 2025'!C:F,3,0)</f>
        <v>37313</v>
      </c>
      <c r="W460" s="27">
        <f t="shared" si="7"/>
        <v>37313</v>
      </c>
    </row>
    <row r="461" spans="1:23" s="37" customFormat="1" ht="14.4" x14ac:dyDescent="0.3">
      <c r="A461" s="37">
        <v>32380</v>
      </c>
      <c r="B461" s="37" t="s">
        <v>4102</v>
      </c>
      <c r="C461" s="37">
        <v>901166630</v>
      </c>
      <c r="D461" s="37" t="s">
        <v>2207</v>
      </c>
      <c r="E461" s="37" t="s">
        <v>2208</v>
      </c>
      <c r="F461" s="37" t="s">
        <v>2209</v>
      </c>
      <c r="G461" s="37" t="s">
        <v>2210</v>
      </c>
      <c r="H461" s="37" t="s">
        <v>2211</v>
      </c>
      <c r="I461" s="37" t="s">
        <v>2212</v>
      </c>
      <c r="J461" s="37" t="s">
        <v>73</v>
      </c>
      <c r="K461" s="37" t="s">
        <v>130</v>
      </c>
      <c r="L461" s="37" t="s">
        <v>130</v>
      </c>
      <c r="M461" s="37">
        <v>19807</v>
      </c>
      <c r="N461" s="38" t="s">
        <v>320</v>
      </c>
      <c r="S461" s="23">
        <f>VLOOKUP(A461,Hoja1!A:D,4,0)</f>
        <v>1</v>
      </c>
      <c r="T461" s="26" t="str">
        <f>VLOOKUP(M461,[1]TIPOLOGIAS!$A:$F,4,0)</f>
        <v>CALI</v>
      </c>
      <c r="U461" s="26" t="str">
        <f>VLOOKUP(T461,'BASE TARIFA 2025'!C:D,2,0)</f>
        <v>WOMPI SUROCCIDENTE</v>
      </c>
      <c r="V461" s="27">
        <f>VLOOKUP(T461,'BASE TARIFA 2025'!C:F,3,0)</f>
        <v>37313</v>
      </c>
      <c r="W461" s="27">
        <f t="shared" si="7"/>
        <v>37313</v>
      </c>
    </row>
    <row r="462" spans="1:23" s="37" customFormat="1" ht="14.4" x14ac:dyDescent="0.3">
      <c r="A462" s="37">
        <v>53986</v>
      </c>
      <c r="B462" s="37" t="s">
        <v>4103</v>
      </c>
      <c r="C462" s="37">
        <v>91496409</v>
      </c>
      <c r="D462" s="37" t="s">
        <v>67</v>
      </c>
      <c r="E462" s="37" t="s">
        <v>2213</v>
      </c>
      <c r="F462" s="37" t="s">
        <v>2214</v>
      </c>
      <c r="G462" s="37" t="s">
        <v>2215</v>
      </c>
      <c r="H462" s="37" t="s">
        <v>2216</v>
      </c>
      <c r="I462" s="37" t="s">
        <v>2217</v>
      </c>
      <c r="J462" s="37" t="s">
        <v>73</v>
      </c>
      <c r="K462" s="37" t="s">
        <v>130</v>
      </c>
      <c r="L462" s="37" t="s">
        <v>130</v>
      </c>
      <c r="M462" s="37">
        <v>19807</v>
      </c>
      <c r="N462" s="38" t="s">
        <v>320</v>
      </c>
      <c r="S462" s="23">
        <f>VLOOKUP(A462,Hoja1!A:D,4,0)</f>
        <v>1</v>
      </c>
      <c r="T462" s="26" t="str">
        <f>VLOOKUP(M462,[1]TIPOLOGIAS!$A:$F,4,0)</f>
        <v>CALI</v>
      </c>
      <c r="U462" s="26" t="str">
        <f>VLOOKUP(T462,'BASE TARIFA 2025'!C:D,2,0)</f>
        <v>WOMPI SUROCCIDENTE</v>
      </c>
      <c r="V462" s="27">
        <f>VLOOKUP(T462,'BASE TARIFA 2025'!C:F,3,0)</f>
        <v>37313</v>
      </c>
      <c r="W462" s="27">
        <f t="shared" si="7"/>
        <v>37313</v>
      </c>
    </row>
    <row r="463" spans="1:23" s="37" customFormat="1" ht="14.4" x14ac:dyDescent="0.3">
      <c r="A463" s="37">
        <v>53987</v>
      </c>
      <c r="B463" s="37" t="s">
        <v>4104</v>
      </c>
      <c r="C463" s="37">
        <v>91496409</v>
      </c>
      <c r="D463" s="37" t="s">
        <v>2218</v>
      </c>
      <c r="E463" s="37" t="s">
        <v>2219</v>
      </c>
      <c r="F463" s="37" t="s">
        <v>2219</v>
      </c>
      <c r="G463" s="37" t="s">
        <v>2220</v>
      </c>
      <c r="H463" s="37" t="s">
        <v>2221</v>
      </c>
      <c r="I463" s="37" t="s">
        <v>2222</v>
      </c>
      <c r="J463" s="37" t="s">
        <v>83</v>
      </c>
      <c r="K463" s="37" t="s">
        <v>131</v>
      </c>
      <c r="L463" s="37" t="s">
        <v>131</v>
      </c>
      <c r="M463" s="37">
        <v>23162</v>
      </c>
      <c r="N463" s="38" t="s">
        <v>321</v>
      </c>
      <c r="S463" s="23">
        <f>VLOOKUP(A463,Hoja1!A:D,4,0)</f>
        <v>1</v>
      </c>
      <c r="T463" s="26" t="str">
        <f>VLOOKUP(M463,[1]TIPOLOGIAS!$A:$F,4,0)</f>
        <v>MONTERIA</v>
      </c>
      <c r="U463" s="26" t="str">
        <f>VLOOKUP(T463,'BASE TARIFA 2025'!C:D,2,0)</f>
        <v>WOMPI COSTA</v>
      </c>
      <c r="V463" s="27">
        <f>VLOOKUP(T463,'BASE TARIFA 2025'!C:F,3,0)</f>
        <v>37313</v>
      </c>
      <c r="W463" s="27">
        <f t="shared" si="7"/>
        <v>37313</v>
      </c>
    </row>
    <row r="464" spans="1:23" s="37" customFormat="1" ht="14.4" x14ac:dyDescent="0.3">
      <c r="A464" s="37">
        <v>53988</v>
      </c>
      <c r="B464" s="37" t="s">
        <v>4105</v>
      </c>
      <c r="C464" s="37">
        <v>91496409</v>
      </c>
      <c r="D464" s="37" t="s">
        <v>2223</v>
      </c>
      <c r="E464" s="37" t="s">
        <v>2224</v>
      </c>
      <c r="F464" s="37" t="s">
        <v>2224</v>
      </c>
      <c r="G464" s="37" t="s">
        <v>2225</v>
      </c>
      <c r="H464" s="37" t="s">
        <v>2221</v>
      </c>
      <c r="I464" s="37" t="s">
        <v>2222</v>
      </c>
      <c r="J464" s="37" t="s">
        <v>83</v>
      </c>
      <c r="K464" s="37" t="s">
        <v>131</v>
      </c>
      <c r="L464" s="37" t="s">
        <v>131</v>
      </c>
      <c r="M464" s="37">
        <v>23162</v>
      </c>
      <c r="N464" s="38" t="s">
        <v>503</v>
      </c>
      <c r="S464" s="23">
        <f>VLOOKUP(A464,Hoja1!A:D,4,0)</f>
        <v>1</v>
      </c>
      <c r="T464" s="26" t="str">
        <f>VLOOKUP(M464,[1]TIPOLOGIAS!$A:$F,4,0)</f>
        <v>MONTERIA</v>
      </c>
      <c r="U464" s="26" t="str">
        <f>VLOOKUP(T464,'BASE TARIFA 2025'!C:D,2,0)</f>
        <v>WOMPI COSTA</v>
      </c>
      <c r="V464" s="27">
        <f>VLOOKUP(T464,'BASE TARIFA 2025'!C:F,3,0)</f>
        <v>37313</v>
      </c>
      <c r="W464" s="27">
        <f t="shared" si="7"/>
        <v>37313</v>
      </c>
    </row>
    <row r="465" spans="1:23" s="37" customFormat="1" ht="14.4" x14ac:dyDescent="0.3">
      <c r="A465" s="37">
        <v>53989</v>
      </c>
      <c r="B465" s="37" t="s">
        <v>4106</v>
      </c>
      <c r="C465" s="37">
        <v>91496409</v>
      </c>
      <c r="D465" s="37" t="s">
        <v>2226</v>
      </c>
      <c r="E465" s="37" t="s">
        <v>2227</v>
      </c>
      <c r="F465" s="37" t="s">
        <v>2227</v>
      </c>
      <c r="G465" s="37" t="s">
        <v>2228</v>
      </c>
      <c r="H465" s="37" t="s">
        <v>2229</v>
      </c>
      <c r="I465" s="37" t="s">
        <v>2230</v>
      </c>
      <c r="J465" s="37" t="s">
        <v>83</v>
      </c>
      <c r="K465" s="37" t="s">
        <v>131</v>
      </c>
      <c r="L465" s="37" t="s">
        <v>131</v>
      </c>
      <c r="M465" s="37">
        <v>23162</v>
      </c>
      <c r="N465" s="38" t="s">
        <v>321</v>
      </c>
      <c r="S465" s="23">
        <f>VLOOKUP(A465,Hoja1!A:D,4,0)</f>
        <v>1</v>
      </c>
      <c r="T465" s="26" t="str">
        <f>VLOOKUP(M465,[1]TIPOLOGIAS!$A:$F,4,0)</f>
        <v>MONTERIA</v>
      </c>
      <c r="U465" s="26" t="str">
        <f>VLOOKUP(T465,'BASE TARIFA 2025'!C:D,2,0)</f>
        <v>WOMPI COSTA</v>
      </c>
      <c r="V465" s="27">
        <f>VLOOKUP(T465,'BASE TARIFA 2025'!C:F,3,0)</f>
        <v>37313</v>
      </c>
      <c r="W465" s="27">
        <f t="shared" si="7"/>
        <v>37313</v>
      </c>
    </row>
    <row r="466" spans="1:23" s="37" customFormat="1" ht="14.4" x14ac:dyDescent="0.3">
      <c r="A466" s="37">
        <v>77022</v>
      </c>
      <c r="B466" s="37" t="s">
        <v>4107</v>
      </c>
      <c r="C466" s="37">
        <v>1085304724</v>
      </c>
      <c r="D466" s="37" t="s">
        <v>2231</v>
      </c>
      <c r="E466" s="37" t="s">
        <v>2231</v>
      </c>
      <c r="F466" s="37" t="s">
        <v>2232</v>
      </c>
      <c r="G466" s="37" t="s">
        <v>2233</v>
      </c>
      <c r="H466" s="37" t="s">
        <v>2234</v>
      </c>
      <c r="I466" s="37" t="s">
        <v>2235</v>
      </c>
      <c r="J466" s="37" t="s">
        <v>83</v>
      </c>
      <c r="K466" s="37" t="s">
        <v>131</v>
      </c>
      <c r="L466" s="37" t="s">
        <v>131</v>
      </c>
      <c r="M466" s="37">
        <v>23162</v>
      </c>
      <c r="N466" s="38" t="s">
        <v>328</v>
      </c>
      <c r="S466" s="23">
        <f>VLOOKUP(A466,Hoja1!A:D,4,0)</f>
        <v>1</v>
      </c>
      <c r="T466" s="26" t="str">
        <f>VLOOKUP(M466,[1]TIPOLOGIAS!$A:$F,4,0)</f>
        <v>MONTERIA</v>
      </c>
      <c r="U466" s="26" t="str">
        <f>VLOOKUP(T466,'BASE TARIFA 2025'!C:D,2,0)</f>
        <v>WOMPI COSTA</v>
      </c>
      <c r="V466" s="27">
        <f>VLOOKUP(T466,'BASE TARIFA 2025'!C:F,3,0)</f>
        <v>37313</v>
      </c>
      <c r="W466" s="27">
        <f t="shared" si="7"/>
        <v>37313</v>
      </c>
    </row>
    <row r="467" spans="1:23" s="37" customFormat="1" ht="14.4" x14ac:dyDescent="0.3">
      <c r="A467" s="37">
        <v>71552</v>
      </c>
      <c r="B467" s="37" t="s">
        <v>4108</v>
      </c>
      <c r="C467" s="37">
        <v>1102359107</v>
      </c>
      <c r="D467" s="37" t="s">
        <v>238</v>
      </c>
      <c r="E467" s="37" t="s">
        <v>238</v>
      </c>
      <c r="F467" s="37" t="s">
        <v>238</v>
      </c>
      <c r="G467" s="37" t="s">
        <v>239</v>
      </c>
      <c r="H467" s="37" t="s">
        <v>240</v>
      </c>
      <c r="I467" s="37" t="s">
        <v>241</v>
      </c>
      <c r="J467" s="37" t="s">
        <v>83</v>
      </c>
      <c r="K467" s="37" t="s">
        <v>131</v>
      </c>
      <c r="L467" s="37" t="s">
        <v>131</v>
      </c>
      <c r="M467" s="37">
        <v>23162</v>
      </c>
      <c r="N467" s="38" t="s">
        <v>416</v>
      </c>
      <c r="S467" s="23">
        <f>VLOOKUP(A467,Hoja1!A:D,4,0)</f>
        <v>1</v>
      </c>
      <c r="T467" s="26" t="str">
        <f>VLOOKUP(M467,[1]TIPOLOGIAS!$A:$F,4,0)</f>
        <v>MONTERIA</v>
      </c>
      <c r="U467" s="26" t="str">
        <f>VLOOKUP(T467,'BASE TARIFA 2025'!C:D,2,0)</f>
        <v>WOMPI COSTA</v>
      </c>
      <c r="V467" s="27">
        <f>VLOOKUP(T467,'BASE TARIFA 2025'!C:F,3,0)</f>
        <v>37313</v>
      </c>
      <c r="W467" s="27">
        <f t="shared" si="7"/>
        <v>37313</v>
      </c>
    </row>
    <row r="468" spans="1:23" s="37" customFormat="1" ht="14.4" x14ac:dyDescent="0.3">
      <c r="A468" s="37">
        <v>13126</v>
      </c>
      <c r="B468" s="37" t="s">
        <v>4109</v>
      </c>
      <c r="C468" s="37">
        <v>94319765</v>
      </c>
      <c r="D468" s="37" t="s">
        <v>2236</v>
      </c>
      <c r="E468" s="37" t="s">
        <v>2236</v>
      </c>
      <c r="F468" s="37" t="s">
        <v>2236</v>
      </c>
      <c r="G468" s="37" t="s">
        <v>2237</v>
      </c>
      <c r="H468" s="37" t="s">
        <v>2238</v>
      </c>
      <c r="I468" s="37" t="s">
        <v>2239</v>
      </c>
      <c r="J468" s="37" t="s">
        <v>83</v>
      </c>
      <c r="K468" s="37" t="s">
        <v>131</v>
      </c>
      <c r="L468" s="37" t="s">
        <v>131</v>
      </c>
      <c r="M468" s="37">
        <v>23162</v>
      </c>
      <c r="N468" s="38" t="s">
        <v>503</v>
      </c>
      <c r="S468" s="23">
        <f>VLOOKUP(A468,Hoja1!A:D,4,0)</f>
        <v>4</v>
      </c>
      <c r="T468" s="26" t="str">
        <f>VLOOKUP(M468,[1]TIPOLOGIAS!$A:$F,4,0)</f>
        <v>MONTERIA</v>
      </c>
      <c r="U468" s="26" t="str">
        <f>VLOOKUP(T468,'BASE TARIFA 2025'!C:D,2,0)</f>
        <v>WOMPI COSTA</v>
      </c>
      <c r="V468" s="27">
        <f>VLOOKUP(T468,'BASE TARIFA 2025'!C:F,3,0)</f>
        <v>37313</v>
      </c>
      <c r="W468" s="27">
        <f t="shared" si="7"/>
        <v>149252</v>
      </c>
    </row>
    <row r="469" spans="1:23" s="37" customFormat="1" ht="14.4" x14ac:dyDescent="0.3">
      <c r="A469" s="37">
        <v>80952</v>
      </c>
      <c r="B469" s="37" t="s">
        <v>4110</v>
      </c>
      <c r="C469" s="37">
        <v>1113628789</v>
      </c>
      <c r="D469" s="37" t="s">
        <v>2240</v>
      </c>
      <c r="E469" s="37" t="s">
        <v>2240</v>
      </c>
      <c r="F469" s="37" t="s">
        <v>2240</v>
      </c>
      <c r="G469" s="37" t="s">
        <v>2241</v>
      </c>
      <c r="H469" s="37" t="s">
        <v>2242</v>
      </c>
      <c r="I469" s="37" t="s">
        <v>2243</v>
      </c>
      <c r="J469" s="37" t="s">
        <v>83</v>
      </c>
      <c r="K469" s="37" t="s">
        <v>131</v>
      </c>
      <c r="L469" s="37" t="s">
        <v>131</v>
      </c>
      <c r="M469" s="37">
        <v>23162</v>
      </c>
      <c r="N469" s="38" t="s">
        <v>328</v>
      </c>
      <c r="S469" s="23">
        <f>VLOOKUP(A469,Hoja1!A:D,4,0)</f>
        <v>3</v>
      </c>
      <c r="T469" s="26" t="str">
        <f>VLOOKUP(M469,[1]TIPOLOGIAS!$A:$F,4,0)</f>
        <v>MONTERIA</v>
      </c>
      <c r="U469" s="26" t="str">
        <f>VLOOKUP(T469,'BASE TARIFA 2025'!C:D,2,0)</f>
        <v>WOMPI COSTA</v>
      </c>
      <c r="V469" s="27">
        <f>VLOOKUP(T469,'BASE TARIFA 2025'!C:F,3,0)</f>
        <v>37313</v>
      </c>
      <c r="W469" s="27">
        <f t="shared" si="7"/>
        <v>111939</v>
      </c>
    </row>
    <row r="470" spans="1:23" s="37" customFormat="1" ht="14.4" x14ac:dyDescent="0.3">
      <c r="A470" s="37">
        <v>71966</v>
      </c>
      <c r="B470" s="37" t="s">
        <v>4111</v>
      </c>
      <c r="C470" s="37">
        <v>1113695474</v>
      </c>
      <c r="D470" s="37" t="s">
        <v>2244</v>
      </c>
      <c r="E470" s="37" t="s">
        <v>2245</v>
      </c>
      <c r="F470" s="37" t="s">
        <v>2244</v>
      </c>
      <c r="G470" s="37" t="s">
        <v>2246</v>
      </c>
      <c r="H470" s="37" t="s">
        <v>2247</v>
      </c>
      <c r="I470" s="37" t="s">
        <v>2248</v>
      </c>
      <c r="J470" s="37" t="s">
        <v>83</v>
      </c>
      <c r="K470" s="37" t="s">
        <v>131</v>
      </c>
      <c r="L470" s="37" t="s">
        <v>131</v>
      </c>
      <c r="M470" s="37">
        <v>23162</v>
      </c>
      <c r="N470" s="38" t="s">
        <v>328</v>
      </c>
      <c r="S470" s="23">
        <f>VLOOKUP(A470,Hoja1!A:D,4,0)</f>
        <v>2</v>
      </c>
      <c r="T470" s="26" t="str">
        <f>VLOOKUP(M470,[1]TIPOLOGIAS!$A:$F,4,0)</f>
        <v>MONTERIA</v>
      </c>
      <c r="U470" s="26" t="str">
        <f>VLOOKUP(T470,'BASE TARIFA 2025'!C:D,2,0)</f>
        <v>WOMPI COSTA</v>
      </c>
      <c r="V470" s="27">
        <f>VLOOKUP(T470,'BASE TARIFA 2025'!C:F,3,0)</f>
        <v>37313</v>
      </c>
      <c r="W470" s="27">
        <f t="shared" si="7"/>
        <v>74626</v>
      </c>
    </row>
    <row r="471" spans="1:23" s="37" customFormat="1" ht="14.4" x14ac:dyDescent="0.3">
      <c r="A471" s="37">
        <v>69068</v>
      </c>
      <c r="B471" s="37" t="s">
        <v>4112</v>
      </c>
      <c r="C471" s="37">
        <v>1113682948</v>
      </c>
      <c r="D471" s="37" t="s">
        <v>2249</v>
      </c>
      <c r="E471" s="37" t="s">
        <v>2249</v>
      </c>
      <c r="F471" s="37" t="s">
        <v>2249</v>
      </c>
      <c r="G471" s="37" t="s">
        <v>2250</v>
      </c>
      <c r="H471" s="37" t="s">
        <v>2251</v>
      </c>
      <c r="I471" s="37" t="s">
        <v>2252</v>
      </c>
      <c r="J471" s="37" t="s">
        <v>83</v>
      </c>
      <c r="K471" s="37" t="s">
        <v>131</v>
      </c>
      <c r="L471" s="37" t="s">
        <v>131</v>
      </c>
      <c r="M471" s="37">
        <v>23162</v>
      </c>
      <c r="N471" s="38" t="s">
        <v>485</v>
      </c>
      <c r="S471" s="23">
        <f>VLOOKUP(A471,Hoja1!A:D,4,0)</f>
        <v>2</v>
      </c>
      <c r="T471" s="26" t="str">
        <f>VLOOKUP(M471,[1]TIPOLOGIAS!$A:$F,4,0)</f>
        <v>MONTERIA</v>
      </c>
      <c r="U471" s="26" t="str">
        <f>VLOOKUP(T471,'BASE TARIFA 2025'!C:D,2,0)</f>
        <v>WOMPI COSTA</v>
      </c>
      <c r="V471" s="27">
        <f>VLOOKUP(T471,'BASE TARIFA 2025'!C:F,3,0)</f>
        <v>37313</v>
      </c>
      <c r="W471" s="27">
        <f t="shared" si="7"/>
        <v>74626</v>
      </c>
    </row>
    <row r="472" spans="1:23" s="37" customFormat="1" ht="14.4" x14ac:dyDescent="0.3">
      <c r="A472" s="37">
        <v>60371</v>
      </c>
      <c r="B472" s="37" t="s">
        <v>4113</v>
      </c>
      <c r="C472" s="37">
        <v>1114873804</v>
      </c>
      <c r="D472" s="37" t="s">
        <v>2253</v>
      </c>
      <c r="E472" s="37" t="s">
        <v>2253</v>
      </c>
      <c r="F472" s="37" t="s">
        <v>2253</v>
      </c>
      <c r="G472" s="37" t="s">
        <v>2254</v>
      </c>
      <c r="H472" s="37" t="s">
        <v>2255</v>
      </c>
      <c r="I472" s="37" t="s">
        <v>2256</v>
      </c>
      <c r="J472" s="37" t="s">
        <v>83</v>
      </c>
      <c r="K472" s="37" t="s">
        <v>131</v>
      </c>
      <c r="L472" s="37" t="s">
        <v>131</v>
      </c>
      <c r="M472" s="37">
        <v>23162</v>
      </c>
      <c r="N472" s="38" t="s">
        <v>503</v>
      </c>
      <c r="S472" s="23">
        <f>VLOOKUP(A472,Hoja1!A:D,4,0)</f>
        <v>2</v>
      </c>
      <c r="T472" s="26" t="str">
        <f>VLOOKUP(M472,[1]TIPOLOGIAS!$A:$F,4,0)</f>
        <v>MONTERIA</v>
      </c>
      <c r="U472" s="26" t="str">
        <f>VLOOKUP(T472,'BASE TARIFA 2025'!C:D,2,0)</f>
        <v>WOMPI COSTA</v>
      </c>
      <c r="V472" s="27">
        <f>VLOOKUP(T472,'BASE TARIFA 2025'!C:F,3,0)</f>
        <v>37313</v>
      </c>
      <c r="W472" s="27">
        <f t="shared" si="7"/>
        <v>74626</v>
      </c>
    </row>
    <row r="473" spans="1:23" s="37" customFormat="1" ht="14.4" x14ac:dyDescent="0.3">
      <c r="A473" s="37">
        <v>52649</v>
      </c>
      <c r="B473" s="37" t="s">
        <v>4114</v>
      </c>
      <c r="C473" s="37">
        <v>32754406</v>
      </c>
      <c r="D473" s="37" t="s">
        <v>2257</v>
      </c>
      <c r="E473" s="37" t="s">
        <v>2257</v>
      </c>
      <c r="F473" s="37" t="s">
        <v>2257</v>
      </c>
      <c r="G473" s="37" t="s">
        <v>2258</v>
      </c>
      <c r="H473" s="37" t="s">
        <v>2259</v>
      </c>
      <c r="I473" s="37" t="s">
        <v>2260</v>
      </c>
      <c r="J473" s="37" t="s">
        <v>90</v>
      </c>
      <c r="K473" s="37" t="s">
        <v>155</v>
      </c>
      <c r="L473" s="37" t="s">
        <v>155</v>
      </c>
      <c r="M473" s="37">
        <v>54001</v>
      </c>
      <c r="N473" s="38" t="s">
        <v>416</v>
      </c>
      <c r="S473" s="23">
        <f>VLOOKUP(A473,Hoja1!A:D,4,0)</f>
        <v>2</v>
      </c>
      <c r="T473" s="26" t="str">
        <f>VLOOKUP(M473,[1]TIPOLOGIAS!$A:$F,4,0)</f>
        <v>CUCUTA</v>
      </c>
      <c r="U473" s="26" t="str">
        <f>VLOOKUP(T473,'BASE TARIFA 2025'!C:D,2,0)</f>
        <v>WOMPI SANTANDERES</v>
      </c>
      <c r="V473" s="27">
        <f>VLOOKUP(T473,'BASE TARIFA 2025'!C:F,3,0)</f>
        <v>49671.7</v>
      </c>
      <c r="W473" s="27">
        <f t="shared" si="7"/>
        <v>99343.4</v>
      </c>
    </row>
    <row r="474" spans="1:23" s="37" customFormat="1" ht="14.4" x14ac:dyDescent="0.3">
      <c r="A474" s="37">
        <v>40667</v>
      </c>
      <c r="B474" s="37" t="s">
        <v>4115</v>
      </c>
      <c r="C474" s="37">
        <v>66776045</v>
      </c>
      <c r="D474" s="37" t="s">
        <v>2261</v>
      </c>
      <c r="E474" s="37" t="s">
        <v>2261</v>
      </c>
      <c r="F474" s="37" t="s">
        <v>2261</v>
      </c>
      <c r="G474" s="37" t="s">
        <v>2262</v>
      </c>
      <c r="H474" s="37" t="s">
        <v>2263</v>
      </c>
      <c r="I474" s="37" t="s">
        <v>2264</v>
      </c>
      <c r="J474" s="37" t="s">
        <v>90</v>
      </c>
      <c r="K474" s="37" t="s">
        <v>155</v>
      </c>
      <c r="L474" s="37" t="s">
        <v>155</v>
      </c>
      <c r="M474" s="37">
        <v>54001</v>
      </c>
      <c r="N474" s="38" t="s">
        <v>853</v>
      </c>
      <c r="S474" s="23">
        <f>VLOOKUP(A474,Hoja1!A:D,4,0)</f>
        <v>2</v>
      </c>
      <c r="T474" s="26" t="str">
        <f>VLOOKUP(M474,[1]TIPOLOGIAS!$A:$F,4,0)</f>
        <v>CUCUTA</v>
      </c>
      <c r="U474" s="26" t="str">
        <f>VLOOKUP(T474,'BASE TARIFA 2025'!C:D,2,0)</f>
        <v>WOMPI SANTANDERES</v>
      </c>
      <c r="V474" s="27">
        <f>VLOOKUP(T474,'BASE TARIFA 2025'!C:F,3,0)</f>
        <v>49671.7</v>
      </c>
      <c r="W474" s="27">
        <f t="shared" si="7"/>
        <v>99343.4</v>
      </c>
    </row>
    <row r="475" spans="1:23" s="37" customFormat="1" ht="14.4" x14ac:dyDescent="0.3">
      <c r="A475" s="37">
        <v>39487</v>
      </c>
      <c r="B475" s="37" t="s">
        <v>4116</v>
      </c>
      <c r="C475" s="37">
        <v>890306372</v>
      </c>
      <c r="D475" s="37" t="s">
        <v>2265</v>
      </c>
      <c r="E475" s="37" t="s">
        <v>2265</v>
      </c>
      <c r="F475" s="37" t="s">
        <v>2265</v>
      </c>
      <c r="G475" s="37" t="s">
        <v>2266</v>
      </c>
      <c r="H475" s="37" t="s">
        <v>2267</v>
      </c>
      <c r="I475" s="37" t="s">
        <v>2268</v>
      </c>
      <c r="J475" s="37" t="s">
        <v>90</v>
      </c>
      <c r="K475" s="37" t="s">
        <v>155</v>
      </c>
      <c r="L475" s="37" t="s">
        <v>155</v>
      </c>
      <c r="M475" s="37">
        <v>54001</v>
      </c>
      <c r="N475" s="38" t="s">
        <v>416</v>
      </c>
      <c r="S475" s="23">
        <f>VLOOKUP(A475,Hoja1!A:D,4,0)</f>
        <v>1</v>
      </c>
      <c r="T475" s="26" t="str">
        <f>VLOOKUP(M475,[1]TIPOLOGIAS!$A:$F,4,0)</f>
        <v>CUCUTA</v>
      </c>
      <c r="U475" s="26" t="str">
        <f>VLOOKUP(T475,'BASE TARIFA 2025'!C:D,2,0)</f>
        <v>WOMPI SANTANDERES</v>
      </c>
      <c r="V475" s="27">
        <f>VLOOKUP(T475,'BASE TARIFA 2025'!C:F,3,0)</f>
        <v>49671.7</v>
      </c>
      <c r="W475" s="27">
        <f t="shared" si="7"/>
        <v>49671.7</v>
      </c>
    </row>
    <row r="476" spans="1:23" s="37" customFormat="1" ht="14.4" x14ac:dyDescent="0.3">
      <c r="A476" s="37">
        <v>41420</v>
      </c>
      <c r="B476" s="37" t="s">
        <v>4117</v>
      </c>
      <c r="C476" s="37">
        <v>901148765</v>
      </c>
      <c r="D476" s="37" t="s">
        <v>2269</v>
      </c>
      <c r="E476" s="37" t="s">
        <v>2269</v>
      </c>
      <c r="F476" s="37" t="s">
        <v>2270</v>
      </c>
      <c r="G476" s="37" t="s">
        <v>2271</v>
      </c>
      <c r="H476" s="37" t="s">
        <v>2272</v>
      </c>
      <c r="I476" s="37" t="s">
        <v>2273</v>
      </c>
      <c r="J476" s="37" t="s">
        <v>90</v>
      </c>
      <c r="K476" s="37" t="s">
        <v>155</v>
      </c>
      <c r="L476" s="37" t="s">
        <v>155</v>
      </c>
      <c r="M476" s="37">
        <v>54001</v>
      </c>
      <c r="N476" s="38" t="s">
        <v>416</v>
      </c>
      <c r="S476" s="23">
        <f>VLOOKUP(A476,Hoja1!A:D,4,0)</f>
        <v>1</v>
      </c>
      <c r="T476" s="26" t="str">
        <f>VLOOKUP(M476,[1]TIPOLOGIAS!$A:$F,4,0)</f>
        <v>CUCUTA</v>
      </c>
      <c r="U476" s="26" t="str">
        <f>VLOOKUP(T476,'BASE TARIFA 2025'!C:D,2,0)</f>
        <v>WOMPI SANTANDERES</v>
      </c>
      <c r="V476" s="27">
        <f>VLOOKUP(T476,'BASE TARIFA 2025'!C:F,3,0)</f>
        <v>49671.7</v>
      </c>
      <c r="W476" s="27">
        <f t="shared" si="7"/>
        <v>49671.7</v>
      </c>
    </row>
    <row r="477" spans="1:23" s="37" customFormat="1" ht="14.4" x14ac:dyDescent="0.3">
      <c r="A477" s="37">
        <v>65767</v>
      </c>
      <c r="B477" s="37" t="s">
        <v>4118</v>
      </c>
      <c r="C477" s="37">
        <v>1109492676</v>
      </c>
      <c r="D477" s="37" t="s">
        <v>2274</v>
      </c>
      <c r="E477" s="37" t="s">
        <v>2274</v>
      </c>
      <c r="F477" s="37" t="s">
        <v>2274</v>
      </c>
      <c r="G477" s="37" t="s">
        <v>2275</v>
      </c>
      <c r="H477" s="37" t="s">
        <v>2276</v>
      </c>
      <c r="I477" s="37" t="s">
        <v>2277</v>
      </c>
      <c r="J477" s="37" t="s">
        <v>71</v>
      </c>
      <c r="K477" s="37" t="s">
        <v>169</v>
      </c>
      <c r="L477" s="37" t="s">
        <v>169</v>
      </c>
      <c r="M477" s="37">
        <v>15759</v>
      </c>
      <c r="N477" s="38" t="s">
        <v>708</v>
      </c>
      <c r="S477" s="23">
        <f>VLOOKUP(A477,Hoja1!A:D,4,0)</f>
        <v>1</v>
      </c>
      <c r="T477" s="26" t="str">
        <f>VLOOKUP(M477,[1]TIPOLOGIAS!$A:$F,4,0)</f>
        <v>TUNJA</v>
      </c>
      <c r="U477" s="26" t="str">
        <f>VLOOKUP(T477,'BASE TARIFA 2025'!C:D,2,0)</f>
        <v>WOMPI SANTANDERES</v>
      </c>
      <c r="V477" s="27">
        <f>VLOOKUP(T477,'BASE TARIFA 2025'!C:F,3,0)</f>
        <v>49671.7</v>
      </c>
      <c r="W477" s="27">
        <f t="shared" si="7"/>
        <v>49671.7</v>
      </c>
    </row>
    <row r="478" spans="1:23" s="37" customFormat="1" ht="14.4" x14ac:dyDescent="0.3">
      <c r="A478" s="37">
        <v>77431</v>
      </c>
      <c r="B478" s="37" t="s">
        <v>4119</v>
      </c>
      <c r="C478" s="37">
        <v>1118554266</v>
      </c>
      <c r="D478" s="37" t="s">
        <v>2278</v>
      </c>
      <c r="E478" s="37" t="s">
        <v>2279</v>
      </c>
      <c r="F478" s="37" t="s">
        <v>2278</v>
      </c>
      <c r="G478" s="37" t="s">
        <v>2280</v>
      </c>
      <c r="H478" s="37" t="s">
        <v>173</v>
      </c>
      <c r="I478" s="37" t="s">
        <v>2281</v>
      </c>
      <c r="J478" s="37" t="s">
        <v>71</v>
      </c>
      <c r="K478" s="37" t="s">
        <v>169</v>
      </c>
      <c r="L478" s="37" t="s">
        <v>169</v>
      </c>
      <c r="M478" s="37">
        <v>15759</v>
      </c>
      <c r="N478" s="38" t="s">
        <v>708</v>
      </c>
      <c r="S478" s="23">
        <f>VLOOKUP(A478,Hoja1!A:D,4,0)</f>
        <v>2</v>
      </c>
      <c r="T478" s="26" t="str">
        <f>VLOOKUP(M478,[1]TIPOLOGIAS!$A:$F,4,0)</f>
        <v>TUNJA</v>
      </c>
      <c r="U478" s="26" t="str">
        <f>VLOOKUP(T478,'BASE TARIFA 2025'!C:D,2,0)</f>
        <v>WOMPI SANTANDERES</v>
      </c>
      <c r="V478" s="27">
        <f>VLOOKUP(T478,'BASE TARIFA 2025'!C:F,3,0)</f>
        <v>49671.7</v>
      </c>
      <c r="W478" s="27">
        <f t="shared" si="7"/>
        <v>99343.4</v>
      </c>
    </row>
    <row r="479" spans="1:23" s="37" customFormat="1" ht="14.4" x14ac:dyDescent="0.3">
      <c r="A479" s="37">
        <v>74556</v>
      </c>
      <c r="B479" s="37" t="s">
        <v>4120</v>
      </c>
      <c r="C479" s="37">
        <v>47440525</v>
      </c>
      <c r="D479" s="37" t="s">
        <v>2282</v>
      </c>
      <c r="E479" s="37" t="s">
        <v>2282</v>
      </c>
      <c r="F479" s="37" t="s">
        <v>2282</v>
      </c>
      <c r="G479" s="37" t="s">
        <v>2283</v>
      </c>
      <c r="H479" s="37" t="s">
        <v>2284</v>
      </c>
      <c r="I479" s="37" t="s">
        <v>172</v>
      </c>
      <c r="J479" s="37" t="s">
        <v>71</v>
      </c>
      <c r="K479" s="37" t="s">
        <v>169</v>
      </c>
      <c r="L479" s="37" t="s">
        <v>169</v>
      </c>
      <c r="M479" s="37">
        <v>15759</v>
      </c>
      <c r="N479" s="38" t="s">
        <v>416</v>
      </c>
      <c r="S479" s="23">
        <f>VLOOKUP(A479,Hoja1!A:D,4,0)</f>
        <v>1</v>
      </c>
      <c r="T479" s="26" t="str">
        <f>VLOOKUP(M479,[1]TIPOLOGIAS!$A:$F,4,0)</f>
        <v>TUNJA</v>
      </c>
      <c r="U479" s="26" t="str">
        <f>VLOOKUP(T479,'BASE TARIFA 2025'!C:D,2,0)</f>
        <v>WOMPI SANTANDERES</v>
      </c>
      <c r="V479" s="27">
        <f>VLOOKUP(T479,'BASE TARIFA 2025'!C:F,3,0)</f>
        <v>49671.7</v>
      </c>
      <c r="W479" s="27">
        <f t="shared" si="7"/>
        <v>49671.7</v>
      </c>
    </row>
    <row r="480" spans="1:23" s="37" customFormat="1" ht="14.4" x14ac:dyDescent="0.3">
      <c r="A480" s="37">
        <v>34137</v>
      </c>
      <c r="B480" s="37" t="s">
        <v>4121</v>
      </c>
      <c r="C480" s="37">
        <v>1121823729</v>
      </c>
      <c r="D480" s="37" t="s">
        <v>2285</v>
      </c>
      <c r="E480" s="37" t="s">
        <v>2286</v>
      </c>
      <c r="F480" s="37" t="s">
        <v>2287</v>
      </c>
      <c r="G480" s="37" t="s">
        <v>2288</v>
      </c>
      <c r="H480" s="37" t="s">
        <v>2289</v>
      </c>
      <c r="I480" s="37" t="s">
        <v>2290</v>
      </c>
      <c r="J480" s="37" t="s">
        <v>83</v>
      </c>
      <c r="K480" s="37" t="s">
        <v>131</v>
      </c>
      <c r="L480" s="37" t="s">
        <v>131</v>
      </c>
      <c r="M480" s="37">
        <v>23162</v>
      </c>
      <c r="N480" s="38" t="s">
        <v>503</v>
      </c>
      <c r="S480" s="23">
        <f>VLOOKUP(A480,Hoja1!A:D,4,0)</f>
        <v>2</v>
      </c>
      <c r="T480" s="26" t="str">
        <f>VLOOKUP(M480,[1]TIPOLOGIAS!$A:$F,4,0)</f>
        <v>MONTERIA</v>
      </c>
      <c r="U480" s="26" t="str">
        <f>VLOOKUP(T480,'BASE TARIFA 2025'!C:D,2,0)</f>
        <v>WOMPI COSTA</v>
      </c>
      <c r="V480" s="27">
        <f>VLOOKUP(T480,'BASE TARIFA 2025'!C:F,3,0)</f>
        <v>37313</v>
      </c>
      <c r="W480" s="27">
        <f t="shared" si="7"/>
        <v>74626</v>
      </c>
    </row>
    <row r="481" spans="1:23" s="37" customFormat="1" ht="14.4" x14ac:dyDescent="0.3">
      <c r="A481" s="37">
        <v>37695</v>
      </c>
      <c r="B481" s="37" t="s">
        <v>4122</v>
      </c>
      <c r="C481" s="37">
        <v>9431245</v>
      </c>
      <c r="D481" s="37" t="s">
        <v>2291</v>
      </c>
      <c r="E481" s="37" t="s">
        <v>2245</v>
      </c>
      <c r="F481" s="37" t="s">
        <v>2244</v>
      </c>
      <c r="G481" s="37" t="s">
        <v>2292</v>
      </c>
      <c r="H481" s="37" t="s">
        <v>2293</v>
      </c>
      <c r="I481" s="37" t="s">
        <v>2294</v>
      </c>
      <c r="J481" s="37" t="s">
        <v>83</v>
      </c>
      <c r="K481" s="37" t="s">
        <v>131</v>
      </c>
      <c r="L481" s="37" t="s">
        <v>131</v>
      </c>
      <c r="M481" s="37">
        <v>23162</v>
      </c>
      <c r="N481" s="38" t="s">
        <v>503</v>
      </c>
      <c r="S481" s="23">
        <f>VLOOKUP(A481,Hoja1!A:D,4,0)</f>
        <v>1</v>
      </c>
      <c r="T481" s="26" t="str">
        <f>VLOOKUP(M481,[1]TIPOLOGIAS!$A:$F,4,0)</f>
        <v>MONTERIA</v>
      </c>
      <c r="U481" s="26" t="str">
        <f>VLOOKUP(T481,'BASE TARIFA 2025'!C:D,2,0)</f>
        <v>WOMPI COSTA</v>
      </c>
      <c r="V481" s="27">
        <f>VLOOKUP(T481,'BASE TARIFA 2025'!C:F,3,0)</f>
        <v>37313</v>
      </c>
      <c r="W481" s="27">
        <f t="shared" si="7"/>
        <v>37313</v>
      </c>
    </row>
    <row r="482" spans="1:23" s="37" customFormat="1" ht="14.4" x14ac:dyDescent="0.3">
      <c r="A482" s="37">
        <v>37184</v>
      </c>
      <c r="B482" s="37" t="s">
        <v>4123</v>
      </c>
      <c r="C482" s="37">
        <v>41329247</v>
      </c>
      <c r="D482" s="37" t="s">
        <v>2295</v>
      </c>
      <c r="E482" s="37" t="s">
        <v>2296</v>
      </c>
      <c r="F482" s="37" t="s">
        <v>2296</v>
      </c>
      <c r="G482" s="37" t="s">
        <v>2297</v>
      </c>
      <c r="H482" s="37" t="s">
        <v>2298</v>
      </c>
      <c r="I482" s="37" t="s">
        <v>2299</v>
      </c>
      <c r="J482" s="37" t="s">
        <v>83</v>
      </c>
      <c r="K482" s="37" t="s">
        <v>132</v>
      </c>
      <c r="L482" s="37" t="s">
        <v>132</v>
      </c>
      <c r="M482" s="37">
        <v>23807</v>
      </c>
      <c r="N482" s="38" t="s">
        <v>329</v>
      </c>
      <c r="S482" s="23">
        <f>VLOOKUP(A482,Hoja1!A:D,4,0)</f>
        <v>2</v>
      </c>
      <c r="T482" s="26" t="str">
        <f>VLOOKUP(M482,[1]TIPOLOGIAS!$A:$F,4,0)</f>
        <v>MONTERIA</v>
      </c>
      <c r="U482" s="26" t="str">
        <f>VLOOKUP(T482,'BASE TARIFA 2025'!C:D,2,0)</f>
        <v>WOMPI COSTA</v>
      </c>
      <c r="V482" s="27">
        <f>VLOOKUP(T482,'BASE TARIFA 2025'!C:F,3,0)</f>
        <v>37313</v>
      </c>
      <c r="W482" s="27">
        <f t="shared" si="7"/>
        <v>74626</v>
      </c>
    </row>
    <row r="483" spans="1:23" s="37" customFormat="1" ht="14.4" x14ac:dyDescent="0.3">
      <c r="A483" s="37">
        <v>33768</v>
      </c>
      <c r="B483" s="37" t="s">
        <v>4124</v>
      </c>
      <c r="C483" s="37">
        <v>88177710</v>
      </c>
      <c r="D483" s="37" t="s">
        <v>2300</v>
      </c>
      <c r="E483" s="37" t="s">
        <v>2300</v>
      </c>
      <c r="F483" s="37" t="s">
        <v>2300</v>
      </c>
      <c r="G483" s="37" t="s">
        <v>2301</v>
      </c>
      <c r="H483" s="37" t="s">
        <v>2302</v>
      </c>
      <c r="I483" s="37" t="s">
        <v>2303</v>
      </c>
      <c r="J483" s="37" t="s">
        <v>83</v>
      </c>
      <c r="K483" s="37" t="s">
        <v>132</v>
      </c>
      <c r="L483" s="37" t="s">
        <v>132</v>
      </c>
      <c r="M483" s="37">
        <v>23807</v>
      </c>
      <c r="N483" s="38" t="s">
        <v>327</v>
      </c>
      <c r="S483" s="23">
        <f>VLOOKUP(A483,Hoja1!A:D,4,0)</f>
        <v>2</v>
      </c>
      <c r="T483" s="26" t="str">
        <f>VLOOKUP(M483,[1]TIPOLOGIAS!$A:$F,4,0)</f>
        <v>MONTERIA</v>
      </c>
      <c r="U483" s="26" t="str">
        <f>VLOOKUP(T483,'BASE TARIFA 2025'!C:D,2,0)</f>
        <v>WOMPI COSTA</v>
      </c>
      <c r="V483" s="27">
        <f>VLOOKUP(T483,'BASE TARIFA 2025'!C:F,3,0)</f>
        <v>37313</v>
      </c>
      <c r="W483" s="27">
        <f t="shared" si="7"/>
        <v>74626</v>
      </c>
    </row>
    <row r="484" spans="1:23" s="37" customFormat="1" ht="14.4" x14ac:dyDescent="0.3">
      <c r="A484" s="37">
        <v>22910</v>
      </c>
      <c r="B484" s="37" t="s">
        <v>4125</v>
      </c>
      <c r="C484" s="37">
        <v>20398498</v>
      </c>
      <c r="D484" s="37" t="s">
        <v>2304</v>
      </c>
      <c r="E484" s="37" t="s">
        <v>2304</v>
      </c>
      <c r="F484" s="37" t="s">
        <v>2304</v>
      </c>
      <c r="G484" s="37" t="s">
        <v>2305</v>
      </c>
      <c r="H484" s="37" t="s">
        <v>2306</v>
      </c>
      <c r="I484" s="37" t="s">
        <v>2307</v>
      </c>
      <c r="J484" s="37" t="s">
        <v>83</v>
      </c>
      <c r="K484" s="37" t="s">
        <v>132</v>
      </c>
      <c r="L484" s="37" t="s">
        <v>132</v>
      </c>
      <c r="M484" s="37">
        <v>23807</v>
      </c>
      <c r="N484" s="38" t="s">
        <v>327</v>
      </c>
      <c r="S484" s="23">
        <f>VLOOKUP(A484,Hoja1!A:D,4,0)</f>
        <v>1</v>
      </c>
      <c r="T484" s="26" t="str">
        <f>VLOOKUP(M484,[1]TIPOLOGIAS!$A:$F,4,0)</f>
        <v>MONTERIA</v>
      </c>
      <c r="U484" s="26" t="str">
        <f>VLOOKUP(T484,'BASE TARIFA 2025'!C:D,2,0)</f>
        <v>WOMPI COSTA</v>
      </c>
      <c r="V484" s="27">
        <f>VLOOKUP(T484,'BASE TARIFA 2025'!C:F,3,0)</f>
        <v>37313</v>
      </c>
      <c r="W484" s="27">
        <f t="shared" si="7"/>
        <v>37313</v>
      </c>
    </row>
    <row r="485" spans="1:23" s="37" customFormat="1" ht="14.4" x14ac:dyDescent="0.3">
      <c r="A485" s="37">
        <v>43552</v>
      </c>
      <c r="B485" s="37" t="s">
        <v>4126</v>
      </c>
      <c r="C485" s="37">
        <v>11442555</v>
      </c>
      <c r="D485" s="37" t="s">
        <v>2308</v>
      </c>
      <c r="E485" s="37" t="s">
        <v>2308</v>
      </c>
      <c r="G485" s="37" t="s">
        <v>2309</v>
      </c>
      <c r="H485" s="37" t="s">
        <v>2310</v>
      </c>
      <c r="I485" s="37" t="s">
        <v>2311</v>
      </c>
      <c r="J485" s="37" t="s">
        <v>83</v>
      </c>
      <c r="K485" s="37" t="s">
        <v>132</v>
      </c>
      <c r="L485" s="37" t="s">
        <v>132</v>
      </c>
      <c r="M485" s="37">
        <v>23807</v>
      </c>
      <c r="N485" s="38" t="s">
        <v>327</v>
      </c>
      <c r="S485" s="23">
        <f>VLOOKUP(A485,Hoja1!A:D,4,0)</f>
        <v>1</v>
      </c>
      <c r="T485" s="26" t="str">
        <f>VLOOKUP(M485,[1]TIPOLOGIAS!$A:$F,4,0)</f>
        <v>MONTERIA</v>
      </c>
      <c r="U485" s="26" t="str">
        <f>VLOOKUP(T485,'BASE TARIFA 2025'!C:D,2,0)</f>
        <v>WOMPI COSTA</v>
      </c>
      <c r="V485" s="27">
        <f>VLOOKUP(T485,'BASE TARIFA 2025'!C:F,3,0)</f>
        <v>37313</v>
      </c>
      <c r="W485" s="27">
        <f t="shared" si="7"/>
        <v>37313</v>
      </c>
    </row>
    <row r="486" spans="1:23" s="37" customFormat="1" ht="14.4" x14ac:dyDescent="0.3">
      <c r="A486" s="37">
        <v>32607</v>
      </c>
      <c r="B486" s="37" t="s">
        <v>4127</v>
      </c>
      <c r="C486" s="37">
        <v>80550629</v>
      </c>
      <c r="D486" s="37" t="s">
        <v>2312</v>
      </c>
      <c r="E486" s="37" t="s">
        <v>2312</v>
      </c>
      <c r="F486" s="37" t="s">
        <v>2312</v>
      </c>
      <c r="G486" s="37" t="s">
        <v>2313</v>
      </c>
      <c r="H486" s="37" t="s">
        <v>2314</v>
      </c>
      <c r="I486" s="37" t="s">
        <v>2315</v>
      </c>
      <c r="J486" s="37" t="s">
        <v>83</v>
      </c>
      <c r="K486" s="37" t="s">
        <v>132</v>
      </c>
      <c r="L486" s="37" t="s">
        <v>132</v>
      </c>
      <c r="M486" s="37">
        <v>23807</v>
      </c>
      <c r="N486" s="38" t="s">
        <v>327</v>
      </c>
      <c r="S486" s="23">
        <f>VLOOKUP(A486,Hoja1!A:D,4,0)</f>
        <v>1</v>
      </c>
      <c r="T486" s="26" t="str">
        <f>VLOOKUP(M486,[1]TIPOLOGIAS!$A:$F,4,0)</f>
        <v>MONTERIA</v>
      </c>
      <c r="U486" s="26" t="str">
        <f>VLOOKUP(T486,'BASE TARIFA 2025'!C:D,2,0)</f>
        <v>WOMPI COSTA</v>
      </c>
      <c r="V486" s="27">
        <f>VLOOKUP(T486,'BASE TARIFA 2025'!C:F,3,0)</f>
        <v>37313</v>
      </c>
      <c r="W486" s="27">
        <f t="shared" si="7"/>
        <v>37313</v>
      </c>
    </row>
    <row r="487" spans="1:23" s="37" customFormat="1" ht="14.4" x14ac:dyDescent="0.3">
      <c r="A487" s="37">
        <v>74258</v>
      </c>
      <c r="B487" s="37" t="s">
        <v>4128</v>
      </c>
      <c r="C487" s="37">
        <v>1076667973</v>
      </c>
      <c r="D487" s="37" t="s">
        <v>2316</v>
      </c>
      <c r="E487" s="37" t="s">
        <v>2317</v>
      </c>
      <c r="F487" s="37" t="s">
        <v>2317</v>
      </c>
      <c r="G487" s="37" t="s">
        <v>2318</v>
      </c>
      <c r="H487" s="37" t="s">
        <v>2319</v>
      </c>
      <c r="I487" s="37" t="s">
        <v>2320</v>
      </c>
      <c r="J487" s="37" t="s">
        <v>90</v>
      </c>
      <c r="K487" s="37" t="s">
        <v>155</v>
      </c>
      <c r="L487" s="37" t="s">
        <v>155</v>
      </c>
      <c r="M487" s="37">
        <v>54001</v>
      </c>
      <c r="N487" s="38" t="s">
        <v>416</v>
      </c>
      <c r="S487" s="23">
        <f>VLOOKUP(A487,Hoja1!A:D,4,0)</f>
        <v>1</v>
      </c>
      <c r="T487" s="26" t="str">
        <f>VLOOKUP(M487,[1]TIPOLOGIAS!$A:$F,4,0)</f>
        <v>CUCUTA</v>
      </c>
      <c r="U487" s="26" t="str">
        <f>VLOOKUP(T487,'BASE TARIFA 2025'!C:D,2,0)</f>
        <v>WOMPI SANTANDERES</v>
      </c>
      <c r="V487" s="27">
        <f>VLOOKUP(T487,'BASE TARIFA 2025'!C:F,3,0)</f>
        <v>49671.7</v>
      </c>
      <c r="W487" s="27">
        <f t="shared" si="7"/>
        <v>49671.7</v>
      </c>
    </row>
    <row r="488" spans="1:23" s="37" customFormat="1" ht="14.4" x14ac:dyDescent="0.3">
      <c r="A488" s="37">
        <v>11088</v>
      </c>
      <c r="B488" s="37" t="s">
        <v>4129</v>
      </c>
      <c r="C488" s="37">
        <v>46456606</v>
      </c>
      <c r="D488" s="37" t="s">
        <v>2321</v>
      </c>
      <c r="E488" s="37" t="s">
        <v>2321</v>
      </c>
      <c r="F488" s="37" t="s">
        <v>2321</v>
      </c>
      <c r="G488" s="37" t="s">
        <v>2322</v>
      </c>
      <c r="H488" s="37" t="s">
        <v>2323</v>
      </c>
      <c r="I488" s="37" t="s">
        <v>2324</v>
      </c>
      <c r="J488" s="37" t="s">
        <v>90</v>
      </c>
      <c r="K488" s="37" t="s">
        <v>155</v>
      </c>
      <c r="L488" s="37" t="s">
        <v>155</v>
      </c>
      <c r="M488" s="37">
        <v>54001</v>
      </c>
      <c r="N488" s="38" t="s">
        <v>503</v>
      </c>
      <c r="S488" s="23">
        <f>VLOOKUP(A488,Hoja1!A:D,4,0)</f>
        <v>1</v>
      </c>
      <c r="T488" s="26" t="str">
        <f>VLOOKUP(M488,[1]TIPOLOGIAS!$A:$F,4,0)</f>
        <v>CUCUTA</v>
      </c>
      <c r="U488" s="26" t="str">
        <f>VLOOKUP(T488,'BASE TARIFA 2025'!C:D,2,0)</f>
        <v>WOMPI SANTANDERES</v>
      </c>
      <c r="V488" s="27">
        <f>VLOOKUP(T488,'BASE TARIFA 2025'!C:F,3,0)</f>
        <v>49671.7</v>
      </c>
      <c r="W488" s="27">
        <f t="shared" si="7"/>
        <v>49671.7</v>
      </c>
    </row>
    <row r="489" spans="1:23" s="37" customFormat="1" ht="14.4" x14ac:dyDescent="0.3">
      <c r="A489" s="37">
        <v>48358</v>
      </c>
      <c r="B489" s="37" t="s">
        <v>4130</v>
      </c>
      <c r="C489" s="37">
        <v>901379238</v>
      </c>
      <c r="D489" s="37" t="s">
        <v>2325</v>
      </c>
      <c r="E489" s="37" t="s">
        <v>2326</v>
      </c>
      <c r="F489" s="37" t="s">
        <v>2325</v>
      </c>
      <c r="G489" s="37" t="s">
        <v>2327</v>
      </c>
      <c r="H489" s="37" t="s">
        <v>2328</v>
      </c>
      <c r="I489" s="37" t="s">
        <v>2329</v>
      </c>
      <c r="J489" s="37" t="s">
        <v>90</v>
      </c>
      <c r="K489" s="37" t="s">
        <v>155</v>
      </c>
      <c r="L489" s="37" t="s">
        <v>155</v>
      </c>
      <c r="M489" s="37">
        <v>54001</v>
      </c>
      <c r="N489" s="38" t="s">
        <v>416</v>
      </c>
      <c r="S489" s="23">
        <f>VLOOKUP(A489,Hoja1!A:D,4,0)</f>
        <v>1</v>
      </c>
      <c r="T489" s="26" t="str">
        <f>VLOOKUP(M489,[1]TIPOLOGIAS!$A:$F,4,0)</f>
        <v>CUCUTA</v>
      </c>
      <c r="U489" s="26" t="str">
        <f>VLOOKUP(T489,'BASE TARIFA 2025'!C:D,2,0)</f>
        <v>WOMPI SANTANDERES</v>
      </c>
      <c r="V489" s="27">
        <f>VLOOKUP(T489,'BASE TARIFA 2025'!C:F,3,0)</f>
        <v>49671.7</v>
      </c>
      <c r="W489" s="27">
        <f t="shared" si="7"/>
        <v>49671.7</v>
      </c>
    </row>
    <row r="490" spans="1:23" s="37" customFormat="1" ht="14.4" x14ac:dyDescent="0.3">
      <c r="A490" s="37">
        <v>50336</v>
      </c>
      <c r="B490" s="37" t="s">
        <v>4131</v>
      </c>
      <c r="C490" s="37">
        <v>74301286</v>
      </c>
      <c r="D490" s="37" t="s">
        <v>2282</v>
      </c>
      <c r="E490" s="37" t="s">
        <v>2282</v>
      </c>
      <c r="F490" s="37" t="s">
        <v>2282</v>
      </c>
      <c r="G490" s="37" t="s">
        <v>2330</v>
      </c>
      <c r="H490" s="37" t="s">
        <v>100</v>
      </c>
      <c r="I490" s="37" t="s">
        <v>2281</v>
      </c>
      <c r="J490" s="37" t="s">
        <v>71</v>
      </c>
      <c r="K490" s="37" t="s">
        <v>169</v>
      </c>
      <c r="L490" s="37" t="s">
        <v>169</v>
      </c>
      <c r="M490" s="37">
        <v>15759</v>
      </c>
      <c r="N490" s="38" t="s">
        <v>416</v>
      </c>
      <c r="S490" s="23">
        <f>VLOOKUP(A490,Hoja1!A:D,4,0)</f>
        <v>1</v>
      </c>
      <c r="T490" s="26" t="str">
        <f>VLOOKUP(M490,[1]TIPOLOGIAS!$A:$F,4,0)</f>
        <v>TUNJA</v>
      </c>
      <c r="U490" s="26" t="str">
        <f>VLOOKUP(T490,'BASE TARIFA 2025'!C:D,2,0)</f>
        <v>WOMPI SANTANDERES</v>
      </c>
      <c r="V490" s="27">
        <f>VLOOKUP(T490,'BASE TARIFA 2025'!C:F,3,0)</f>
        <v>49671.7</v>
      </c>
      <c r="W490" s="27">
        <f t="shared" si="7"/>
        <v>49671.7</v>
      </c>
    </row>
    <row r="491" spans="1:23" s="37" customFormat="1" ht="14.4" x14ac:dyDescent="0.3">
      <c r="A491" s="37">
        <v>53819</v>
      </c>
      <c r="B491" s="37" t="s">
        <v>4132</v>
      </c>
      <c r="C491" s="37">
        <v>74301286</v>
      </c>
      <c r="D491" s="37" t="s">
        <v>2331</v>
      </c>
      <c r="E491" s="37" t="s">
        <v>2332</v>
      </c>
      <c r="F491" s="37" t="s">
        <v>2333</v>
      </c>
      <c r="G491" s="37" t="s">
        <v>2334</v>
      </c>
      <c r="H491" s="37" t="s">
        <v>2335</v>
      </c>
      <c r="I491" s="37" t="s">
        <v>2336</v>
      </c>
      <c r="J491" s="37" t="s">
        <v>71</v>
      </c>
      <c r="K491" s="37" t="s">
        <v>169</v>
      </c>
      <c r="L491" s="37" t="s">
        <v>169</v>
      </c>
      <c r="M491" s="37">
        <v>15759</v>
      </c>
      <c r="N491" s="38" t="s">
        <v>708</v>
      </c>
      <c r="S491" s="23">
        <f>VLOOKUP(A491,Hoja1!A:D,4,0)</f>
        <v>1</v>
      </c>
      <c r="T491" s="26" t="str">
        <f>VLOOKUP(M491,[1]TIPOLOGIAS!$A:$F,4,0)</f>
        <v>TUNJA</v>
      </c>
      <c r="U491" s="26" t="str">
        <f>VLOOKUP(T491,'BASE TARIFA 2025'!C:D,2,0)</f>
        <v>WOMPI SANTANDERES</v>
      </c>
      <c r="V491" s="27">
        <f>VLOOKUP(T491,'BASE TARIFA 2025'!C:F,3,0)</f>
        <v>49671.7</v>
      </c>
      <c r="W491" s="27">
        <f t="shared" si="7"/>
        <v>49671.7</v>
      </c>
    </row>
    <row r="492" spans="1:23" s="37" customFormat="1" ht="14.4" x14ac:dyDescent="0.3">
      <c r="A492" s="37">
        <v>74576</v>
      </c>
      <c r="B492" s="37" t="s">
        <v>4133</v>
      </c>
      <c r="C492" s="37">
        <v>1052400758</v>
      </c>
      <c r="D492" s="37" t="s">
        <v>2337</v>
      </c>
      <c r="E492" s="37" t="s">
        <v>2338</v>
      </c>
      <c r="F492" s="37" t="s">
        <v>2338</v>
      </c>
      <c r="G492" s="37" t="s">
        <v>2339</v>
      </c>
      <c r="H492" s="37" t="s">
        <v>2340</v>
      </c>
      <c r="I492" s="37" t="s">
        <v>174</v>
      </c>
      <c r="J492" s="37" t="s">
        <v>71</v>
      </c>
      <c r="K492" s="37" t="s">
        <v>169</v>
      </c>
      <c r="L492" s="37" t="s">
        <v>169</v>
      </c>
      <c r="M492" s="37">
        <v>15759</v>
      </c>
      <c r="N492" s="38" t="s">
        <v>328</v>
      </c>
      <c r="S492" s="23">
        <f>VLOOKUP(A492,Hoja1!A:D,4,0)</f>
        <v>1</v>
      </c>
      <c r="T492" s="26" t="str">
        <f>VLOOKUP(M492,[1]TIPOLOGIAS!$A:$F,4,0)</f>
        <v>TUNJA</v>
      </c>
      <c r="U492" s="26" t="str">
        <f>VLOOKUP(T492,'BASE TARIFA 2025'!C:D,2,0)</f>
        <v>WOMPI SANTANDERES</v>
      </c>
      <c r="V492" s="27">
        <f>VLOOKUP(T492,'BASE TARIFA 2025'!C:F,3,0)</f>
        <v>49671.7</v>
      </c>
      <c r="W492" s="27">
        <f t="shared" si="7"/>
        <v>49671.7</v>
      </c>
    </row>
    <row r="493" spans="1:23" s="37" customFormat="1" ht="14.4" x14ac:dyDescent="0.3">
      <c r="A493" s="37">
        <v>72679</v>
      </c>
      <c r="B493" s="37" t="s">
        <v>4134</v>
      </c>
      <c r="C493" s="37">
        <v>1026254765</v>
      </c>
      <c r="D493" s="37" t="s">
        <v>2341</v>
      </c>
      <c r="E493" s="37" t="s">
        <v>2342</v>
      </c>
      <c r="F493" s="37" t="s">
        <v>2342</v>
      </c>
      <c r="G493" s="37" t="s">
        <v>2343</v>
      </c>
      <c r="H493" s="37" t="s">
        <v>2344</v>
      </c>
      <c r="I493" s="37" t="s">
        <v>175</v>
      </c>
      <c r="J493" s="37" t="s">
        <v>71</v>
      </c>
      <c r="K493" s="37" t="s">
        <v>169</v>
      </c>
      <c r="L493" s="37" t="s">
        <v>169</v>
      </c>
      <c r="M493" s="37">
        <v>15759</v>
      </c>
      <c r="N493" s="38" t="s">
        <v>328</v>
      </c>
      <c r="S493" s="23">
        <f>VLOOKUP(A493,Hoja1!A:D,4,0)</f>
        <v>1</v>
      </c>
      <c r="T493" s="26" t="str">
        <f>VLOOKUP(M493,[1]TIPOLOGIAS!$A:$F,4,0)</f>
        <v>TUNJA</v>
      </c>
      <c r="U493" s="26" t="str">
        <f>VLOOKUP(T493,'BASE TARIFA 2025'!C:D,2,0)</f>
        <v>WOMPI SANTANDERES</v>
      </c>
      <c r="V493" s="27">
        <f>VLOOKUP(T493,'BASE TARIFA 2025'!C:F,3,0)</f>
        <v>49671.7</v>
      </c>
      <c r="W493" s="27">
        <f t="shared" si="7"/>
        <v>49671.7</v>
      </c>
    </row>
    <row r="494" spans="1:23" s="37" customFormat="1" ht="14.4" x14ac:dyDescent="0.3">
      <c r="A494" s="37">
        <v>78814</v>
      </c>
      <c r="B494" s="37" t="s">
        <v>4135</v>
      </c>
      <c r="C494" s="37">
        <v>24124969</v>
      </c>
      <c r="D494" s="37" t="s">
        <v>2345</v>
      </c>
      <c r="E494" s="37" t="s">
        <v>170</v>
      </c>
      <c r="F494" s="37" t="s">
        <v>170</v>
      </c>
      <c r="G494" s="37" t="s">
        <v>2346</v>
      </c>
      <c r="H494" s="37" t="s">
        <v>2347</v>
      </c>
      <c r="I494" s="37" t="s">
        <v>2348</v>
      </c>
      <c r="J494" s="37" t="s">
        <v>71</v>
      </c>
      <c r="K494" s="37" t="s">
        <v>169</v>
      </c>
      <c r="L494" s="37" t="s">
        <v>169</v>
      </c>
      <c r="M494" s="37">
        <v>15759</v>
      </c>
      <c r="N494" s="38" t="s">
        <v>416</v>
      </c>
      <c r="S494" s="23">
        <f>VLOOKUP(A494,Hoja1!A:D,4,0)</f>
        <v>1</v>
      </c>
      <c r="T494" s="26" t="str">
        <f>VLOOKUP(M494,[1]TIPOLOGIAS!$A:$F,4,0)</f>
        <v>TUNJA</v>
      </c>
      <c r="U494" s="26" t="str">
        <f>VLOOKUP(T494,'BASE TARIFA 2025'!C:D,2,0)</f>
        <v>WOMPI SANTANDERES</v>
      </c>
      <c r="V494" s="27">
        <f>VLOOKUP(T494,'BASE TARIFA 2025'!C:F,3,0)</f>
        <v>49671.7</v>
      </c>
      <c r="W494" s="27">
        <f t="shared" si="7"/>
        <v>49671.7</v>
      </c>
    </row>
    <row r="495" spans="1:23" s="37" customFormat="1" ht="14.4" x14ac:dyDescent="0.3">
      <c r="A495" s="37">
        <v>53962</v>
      </c>
      <c r="B495" s="37" t="s">
        <v>4136</v>
      </c>
      <c r="C495" s="37">
        <v>74326787</v>
      </c>
      <c r="D495" s="37" t="s">
        <v>2349</v>
      </c>
      <c r="E495" s="37" t="s">
        <v>233</v>
      </c>
      <c r="F495" s="37" t="s">
        <v>233</v>
      </c>
      <c r="G495" s="37" t="s">
        <v>234</v>
      </c>
      <c r="H495" s="37" t="s">
        <v>235</v>
      </c>
      <c r="I495" s="37" t="s">
        <v>236</v>
      </c>
      <c r="J495" s="37" t="s">
        <v>71</v>
      </c>
      <c r="K495" s="37" t="s">
        <v>237</v>
      </c>
      <c r="L495" s="37" t="s">
        <v>237</v>
      </c>
      <c r="M495" s="37">
        <v>15764</v>
      </c>
      <c r="N495" s="38" t="s">
        <v>503</v>
      </c>
      <c r="S495" s="23">
        <f>VLOOKUP(A495,Hoja1!A:D,4,0)</f>
        <v>1</v>
      </c>
      <c r="T495" s="26" t="str">
        <f>VLOOKUP(M495,[1]TIPOLOGIAS!$A:$F,4,0)</f>
        <v>TUNJA</v>
      </c>
      <c r="U495" s="26" t="str">
        <f>VLOOKUP(T495,'BASE TARIFA 2025'!C:D,2,0)</f>
        <v>WOMPI SANTANDERES</v>
      </c>
      <c r="V495" s="27">
        <f>VLOOKUP(T495,'BASE TARIFA 2025'!C:F,3,0)</f>
        <v>49671.7</v>
      </c>
      <c r="W495" s="27">
        <f t="shared" si="7"/>
        <v>49671.7</v>
      </c>
    </row>
    <row r="496" spans="1:23" s="37" customFormat="1" ht="14.4" x14ac:dyDescent="0.3">
      <c r="A496" s="37">
        <v>55441</v>
      </c>
      <c r="B496" s="37" t="s">
        <v>4137</v>
      </c>
      <c r="C496" s="37">
        <v>74301286</v>
      </c>
      <c r="D496" s="37" t="s">
        <v>2350</v>
      </c>
      <c r="E496" s="37" t="s">
        <v>2351</v>
      </c>
      <c r="F496" s="37" t="s">
        <v>2350</v>
      </c>
      <c r="G496" s="37" t="s">
        <v>2352</v>
      </c>
      <c r="H496" s="37" t="s">
        <v>2353</v>
      </c>
      <c r="I496" s="37" t="s">
        <v>2354</v>
      </c>
      <c r="J496" s="37" t="s">
        <v>83</v>
      </c>
      <c r="K496" s="37" t="s">
        <v>132</v>
      </c>
      <c r="L496" s="37" t="s">
        <v>132</v>
      </c>
      <c r="M496" s="37">
        <v>23807</v>
      </c>
      <c r="N496" s="38" t="s">
        <v>327</v>
      </c>
      <c r="S496" s="23">
        <f>VLOOKUP(A496,Hoja1!A:D,4,0)</f>
        <v>1</v>
      </c>
      <c r="T496" s="26" t="str">
        <f>VLOOKUP(M496,[1]TIPOLOGIAS!$A:$F,4,0)</f>
        <v>MONTERIA</v>
      </c>
      <c r="U496" s="26" t="str">
        <f>VLOOKUP(T496,'BASE TARIFA 2025'!C:D,2,0)</f>
        <v>WOMPI COSTA</v>
      </c>
      <c r="V496" s="27">
        <f>VLOOKUP(T496,'BASE TARIFA 2025'!C:F,3,0)</f>
        <v>37313</v>
      </c>
      <c r="W496" s="27">
        <f t="shared" si="7"/>
        <v>37313</v>
      </c>
    </row>
    <row r="497" spans="1:23" s="37" customFormat="1" ht="14.4" x14ac:dyDescent="0.3">
      <c r="A497" s="37">
        <v>72255</v>
      </c>
      <c r="B497" s="37" t="s">
        <v>4138</v>
      </c>
      <c r="C497" s="37">
        <v>901123631</v>
      </c>
      <c r="D497" s="37" t="s">
        <v>2355</v>
      </c>
      <c r="E497" s="37" t="s">
        <v>2355</v>
      </c>
      <c r="F497" s="37" t="s">
        <v>2355</v>
      </c>
      <c r="G497" s="37" t="s">
        <v>2356</v>
      </c>
      <c r="H497" s="37" t="s">
        <v>2357</v>
      </c>
      <c r="I497" s="37" t="s">
        <v>2358</v>
      </c>
      <c r="J497" s="37" t="s">
        <v>68</v>
      </c>
      <c r="K497" s="37" t="s">
        <v>133</v>
      </c>
      <c r="L497" s="37" t="s">
        <v>133</v>
      </c>
      <c r="M497" s="37">
        <v>25473</v>
      </c>
      <c r="N497" s="38" t="s">
        <v>480</v>
      </c>
      <c r="S497" s="23">
        <f>VLOOKUP(A497,Hoja1!A:D,4,0)</f>
        <v>1</v>
      </c>
      <c r="T497" s="26" t="str">
        <f>VLOOKUP(M497,[1]TIPOLOGIAS!$A:$F,4,0)</f>
        <v>BOGOTA</v>
      </c>
      <c r="U497" s="26" t="str">
        <f>VLOOKUP(T497,'BASE TARIFA 2025'!C:D,2,0)</f>
        <v>WOMPI CENTRO</v>
      </c>
      <c r="V497" s="27">
        <f>VLOOKUP(T497,'BASE TARIFA 2025'!C:F,3,0)</f>
        <v>37313</v>
      </c>
      <c r="W497" s="27">
        <f t="shared" si="7"/>
        <v>37313</v>
      </c>
    </row>
    <row r="498" spans="1:23" s="37" customFormat="1" ht="14.4" x14ac:dyDescent="0.3">
      <c r="A498" s="37">
        <v>80380</v>
      </c>
      <c r="B498" s="37" t="s">
        <v>4139</v>
      </c>
      <c r="C498" s="37">
        <v>30334379</v>
      </c>
      <c r="D498" s="37" t="s">
        <v>67</v>
      </c>
      <c r="E498" s="37" t="s">
        <v>2359</v>
      </c>
      <c r="F498" s="37" t="s">
        <v>2359</v>
      </c>
      <c r="G498" s="37" t="s">
        <v>2360</v>
      </c>
      <c r="H498" s="37" t="s">
        <v>2361</v>
      </c>
      <c r="I498" s="37" t="s">
        <v>2362</v>
      </c>
      <c r="J498" s="37" t="s">
        <v>68</v>
      </c>
      <c r="K498" s="37" t="s">
        <v>133</v>
      </c>
      <c r="L498" s="37" t="s">
        <v>133</v>
      </c>
      <c r="M498" s="37">
        <v>25473</v>
      </c>
      <c r="N498" s="38" t="s">
        <v>430</v>
      </c>
      <c r="S498" s="23">
        <f>VLOOKUP(A498,Hoja1!A:D,4,0)</f>
        <v>1</v>
      </c>
      <c r="T498" s="26" t="str">
        <f>VLOOKUP(M498,[1]TIPOLOGIAS!$A:$F,4,0)</f>
        <v>BOGOTA</v>
      </c>
      <c r="U498" s="26" t="str">
        <f>VLOOKUP(T498,'BASE TARIFA 2025'!C:D,2,0)</f>
        <v>WOMPI CENTRO</v>
      </c>
      <c r="V498" s="27">
        <f>VLOOKUP(T498,'BASE TARIFA 2025'!C:F,3,0)</f>
        <v>37313</v>
      </c>
      <c r="W498" s="27">
        <f t="shared" si="7"/>
        <v>37313</v>
      </c>
    </row>
    <row r="499" spans="1:23" s="37" customFormat="1" ht="14.4" x14ac:dyDescent="0.3">
      <c r="A499" s="37">
        <v>73808</v>
      </c>
      <c r="B499" s="37" t="s">
        <v>4140</v>
      </c>
      <c r="C499" s="37">
        <v>34000628</v>
      </c>
      <c r="D499" s="37" t="s">
        <v>242</v>
      </c>
      <c r="E499" s="37" t="s">
        <v>242</v>
      </c>
      <c r="F499" s="37" t="s">
        <v>242</v>
      </c>
      <c r="G499" s="37" t="s">
        <v>243</v>
      </c>
      <c r="H499" s="37" t="s">
        <v>244</v>
      </c>
      <c r="I499" s="37" t="s">
        <v>245</v>
      </c>
      <c r="J499" s="37" t="s">
        <v>68</v>
      </c>
      <c r="K499" s="37" t="s">
        <v>133</v>
      </c>
      <c r="L499" s="37" t="s">
        <v>133</v>
      </c>
      <c r="M499" s="37">
        <v>25473</v>
      </c>
      <c r="N499" s="38" t="s">
        <v>328</v>
      </c>
      <c r="S499" s="23">
        <f>VLOOKUP(A499,Hoja1!A:D,4,0)</f>
        <v>2</v>
      </c>
      <c r="T499" s="26" t="str">
        <f>VLOOKUP(M499,[1]TIPOLOGIAS!$A:$F,4,0)</f>
        <v>BOGOTA</v>
      </c>
      <c r="U499" s="26" t="str">
        <f>VLOOKUP(T499,'BASE TARIFA 2025'!C:D,2,0)</f>
        <v>WOMPI CENTRO</v>
      </c>
      <c r="V499" s="27">
        <f>VLOOKUP(T499,'BASE TARIFA 2025'!C:F,3,0)</f>
        <v>37313</v>
      </c>
      <c r="W499" s="27">
        <f t="shared" si="7"/>
        <v>74626</v>
      </c>
    </row>
    <row r="500" spans="1:23" s="37" customFormat="1" ht="14.4" x14ac:dyDescent="0.3">
      <c r="A500" s="37">
        <v>64755</v>
      </c>
      <c r="B500" s="37" t="s">
        <v>4141</v>
      </c>
      <c r="C500" s="37">
        <v>1053810080</v>
      </c>
      <c r="D500" s="37" t="s">
        <v>2363</v>
      </c>
      <c r="E500" s="37" t="s">
        <v>2363</v>
      </c>
      <c r="F500" s="37" t="s">
        <v>2363</v>
      </c>
      <c r="G500" s="37" t="s">
        <v>2364</v>
      </c>
      <c r="H500" s="37" t="s">
        <v>2365</v>
      </c>
      <c r="I500" s="37" t="s">
        <v>2366</v>
      </c>
      <c r="J500" s="37" t="s">
        <v>68</v>
      </c>
      <c r="K500" s="37" t="s">
        <v>133</v>
      </c>
      <c r="L500" s="37" t="s">
        <v>133</v>
      </c>
      <c r="M500" s="37">
        <v>25473</v>
      </c>
      <c r="N500" s="38" t="s">
        <v>503</v>
      </c>
      <c r="S500" s="23">
        <f>VLOOKUP(A500,Hoja1!A:D,4,0)</f>
        <v>1</v>
      </c>
      <c r="T500" s="26" t="str">
        <f>VLOOKUP(M500,[1]TIPOLOGIAS!$A:$F,4,0)</f>
        <v>BOGOTA</v>
      </c>
      <c r="U500" s="26" t="str">
        <f>VLOOKUP(T500,'BASE TARIFA 2025'!C:D,2,0)</f>
        <v>WOMPI CENTRO</v>
      </c>
      <c r="V500" s="27">
        <f>VLOOKUP(T500,'BASE TARIFA 2025'!C:F,3,0)</f>
        <v>37313</v>
      </c>
      <c r="W500" s="27">
        <f t="shared" si="7"/>
        <v>37313</v>
      </c>
    </row>
    <row r="501" spans="1:23" s="37" customFormat="1" ht="14.4" x14ac:dyDescent="0.3">
      <c r="A501" s="37">
        <v>67736</v>
      </c>
      <c r="B501" s="37" t="s">
        <v>4142</v>
      </c>
      <c r="C501" s="37">
        <v>1053813691</v>
      </c>
      <c r="D501" s="37" t="s">
        <v>2367</v>
      </c>
      <c r="E501" s="37" t="s">
        <v>2367</v>
      </c>
      <c r="F501" s="37" t="s">
        <v>2367</v>
      </c>
      <c r="G501" s="37" t="s">
        <v>2368</v>
      </c>
      <c r="H501" s="37" t="s">
        <v>2369</v>
      </c>
      <c r="I501" s="37" t="s">
        <v>2370</v>
      </c>
      <c r="J501" s="37" t="s">
        <v>68</v>
      </c>
      <c r="K501" s="37" t="s">
        <v>133</v>
      </c>
      <c r="L501" s="37" t="s">
        <v>133</v>
      </c>
      <c r="M501" s="37">
        <v>25473</v>
      </c>
      <c r="N501" s="38" t="s">
        <v>323</v>
      </c>
      <c r="S501" s="23">
        <f>VLOOKUP(A501,Hoja1!A:D,4,0)</f>
        <v>1</v>
      </c>
      <c r="T501" s="26" t="str">
        <f>VLOOKUP(M501,[1]TIPOLOGIAS!$A:$F,4,0)</f>
        <v>BOGOTA</v>
      </c>
      <c r="U501" s="26" t="str">
        <f>VLOOKUP(T501,'BASE TARIFA 2025'!C:D,2,0)</f>
        <v>WOMPI CENTRO</v>
      </c>
      <c r="V501" s="27">
        <f>VLOOKUP(T501,'BASE TARIFA 2025'!C:F,3,0)</f>
        <v>37313</v>
      </c>
      <c r="W501" s="27">
        <f t="shared" si="7"/>
        <v>37313</v>
      </c>
    </row>
    <row r="502" spans="1:23" s="37" customFormat="1" ht="14.4" x14ac:dyDescent="0.3">
      <c r="A502" s="37">
        <v>51031</v>
      </c>
      <c r="B502" s="37" t="s">
        <v>4143</v>
      </c>
      <c r="C502" s="37">
        <v>75084799</v>
      </c>
      <c r="D502" s="37" t="s">
        <v>2371</v>
      </c>
      <c r="E502" s="37" t="s">
        <v>2371</v>
      </c>
      <c r="F502" s="37" t="s">
        <v>2371</v>
      </c>
      <c r="G502" s="37" t="s">
        <v>2372</v>
      </c>
      <c r="H502" s="37" t="s">
        <v>2373</v>
      </c>
      <c r="I502" s="37" t="s">
        <v>2374</v>
      </c>
      <c r="J502" s="37" t="s">
        <v>68</v>
      </c>
      <c r="K502" s="37" t="s">
        <v>133</v>
      </c>
      <c r="L502" s="37" t="s">
        <v>133</v>
      </c>
      <c r="M502" s="37">
        <v>25473</v>
      </c>
      <c r="N502" s="38" t="s">
        <v>503</v>
      </c>
      <c r="S502" s="23">
        <f>VLOOKUP(A502,Hoja1!A:D,4,0)</f>
        <v>1</v>
      </c>
      <c r="T502" s="26" t="str">
        <f>VLOOKUP(M502,[1]TIPOLOGIAS!$A:$F,4,0)</f>
        <v>BOGOTA</v>
      </c>
      <c r="U502" s="26" t="str">
        <f>VLOOKUP(T502,'BASE TARIFA 2025'!C:D,2,0)</f>
        <v>WOMPI CENTRO</v>
      </c>
      <c r="V502" s="27">
        <f>VLOOKUP(T502,'BASE TARIFA 2025'!C:F,3,0)</f>
        <v>37313</v>
      </c>
      <c r="W502" s="27">
        <f t="shared" si="7"/>
        <v>37313</v>
      </c>
    </row>
    <row r="503" spans="1:23" s="37" customFormat="1" ht="14.4" x14ac:dyDescent="0.3">
      <c r="A503" s="37">
        <v>46202</v>
      </c>
      <c r="B503" s="37" t="s">
        <v>4144</v>
      </c>
      <c r="C503" s="37">
        <v>1019021882</v>
      </c>
      <c r="D503" s="37" t="s">
        <v>2375</v>
      </c>
      <c r="E503" s="37" t="s">
        <v>2375</v>
      </c>
      <c r="F503" s="37" t="s">
        <v>2375</v>
      </c>
      <c r="G503" s="37" t="s">
        <v>2376</v>
      </c>
      <c r="H503" s="37" t="s">
        <v>2377</v>
      </c>
      <c r="I503" s="37" t="s">
        <v>2378</v>
      </c>
      <c r="J503" s="37" t="s">
        <v>90</v>
      </c>
      <c r="K503" s="37" t="s">
        <v>155</v>
      </c>
      <c r="L503" s="37" t="s">
        <v>155</v>
      </c>
      <c r="M503" s="37">
        <v>54001</v>
      </c>
      <c r="N503" s="38" t="s">
        <v>328</v>
      </c>
      <c r="S503" s="23">
        <f>VLOOKUP(A503,Hoja1!A:D,4,0)</f>
        <v>1</v>
      </c>
      <c r="T503" s="26" t="str">
        <f>VLOOKUP(M503,[1]TIPOLOGIAS!$A:$F,4,0)</f>
        <v>CUCUTA</v>
      </c>
      <c r="U503" s="26" t="str">
        <f>VLOOKUP(T503,'BASE TARIFA 2025'!C:D,2,0)</f>
        <v>WOMPI SANTANDERES</v>
      </c>
      <c r="V503" s="27">
        <f>VLOOKUP(T503,'BASE TARIFA 2025'!C:F,3,0)</f>
        <v>49671.7</v>
      </c>
      <c r="W503" s="27">
        <f t="shared" si="7"/>
        <v>49671.7</v>
      </c>
    </row>
    <row r="504" spans="1:23" s="37" customFormat="1" ht="14.4" x14ac:dyDescent="0.3">
      <c r="A504" s="37">
        <v>36361</v>
      </c>
      <c r="B504" s="37" t="s">
        <v>4145</v>
      </c>
      <c r="C504" s="37">
        <v>75088769</v>
      </c>
      <c r="D504" s="37" t="s">
        <v>2379</v>
      </c>
      <c r="E504" s="37" t="s">
        <v>2379</v>
      </c>
      <c r="F504" s="37" t="s">
        <v>2379</v>
      </c>
      <c r="G504" s="37" t="s">
        <v>2380</v>
      </c>
      <c r="H504" s="37" t="s">
        <v>2381</v>
      </c>
      <c r="I504" s="37" t="s">
        <v>2382</v>
      </c>
      <c r="J504" s="37" t="s">
        <v>90</v>
      </c>
      <c r="K504" s="37" t="s">
        <v>155</v>
      </c>
      <c r="L504" s="37" t="s">
        <v>155</v>
      </c>
      <c r="M504" s="37">
        <v>54001</v>
      </c>
      <c r="N504" s="38" t="s">
        <v>328</v>
      </c>
      <c r="S504" s="23">
        <f>VLOOKUP(A504,Hoja1!A:D,4,0)</f>
        <v>1</v>
      </c>
      <c r="T504" s="26" t="str">
        <f>VLOOKUP(M504,[1]TIPOLOGIAS!$A:$F,4,0)</f>
        <v>CUCUTA</v>
      </c>
      <c r="U504" s="26" t="str">
        <f>VLOOKUP(T504,'BASE TARIFA 2025'!C:D,2,0)</f>
        <v>WOMPI SANTANDERES</v>
      </c>
      <c r="V504" s="27">
        <f>VLOOKUP(T504,'BASE TARIFA 2025'!C:F,3,0)</f>
        <v>49671.7</v>
      </c>
      <c r="W504" s="27">
        <f t="shared" si="7"/>
        <v>49671.7</v>
      </c>
    </row>
    <row r="505" spans="1:23" s="37" customFormat="1" ht="14.4" x14ac:dyDescent="0.3">
      <c r="A505" s="37">
        <v>36667</v>
      </c>
      <c r="B505" s="37" t="s">
        <v>4146</v>
      </c>
      <c r="C505" s="37">
        <v>75088769</v>
      </c>
      <c r="D505" s="37" t="s">
        <v>2383</v>
      </c>
      <c r="E505" s="37" t="s">
        <v>2383</v>
      </c>
      <c r="F505" s="37" t="s">
        <v>2383</v>
      </c>
      <c r="G505" s="37" t="s">
        <v>2384</v>
      </c>
      <c r="H505" s="37" t="s">
        <v>2385</v>
      </c>
      <c r="I505" s="37" t="s">
        <v>2386</v>
      </c>
      <c r="J505" s="37" t="s">
        <v>90</v>
      </c>
      <c r="K505" s="37" t="s">
        <v>155</v>
      </c>
      <c r="L505" s="37" t="s">
        <v>155</v>
      </c>
      <c r="M505" s="37">
        <v>54001</v>
      </c>
      <c r="N505" s="38" t="s">
        <v>328</v>
      </c>
      <c r="S505" s="23">
        <f>VLOOKUP(A505,Hoja1!A:D,4,0)</f>
        <v>1</v>
      </c>
      <c r="T505" s="26" t="str">
        <f>VLOOKUP(M505,[1]TIPOLOGIAS!$A:$F,4,0)</f>
        <v>CUCUTA</v>
      </c>
      <c r="U505" s="26" t="str">
        <f>VLOOKUP(T505,'BASE TARIFA 2025'!C:D,2,0)</f>
        <v>WOMPI SANTANDERES</v>
      </c>
      <c r="V505" s="27">
        <f>VLOOKUP(T505,'BASE TARIFA 2025'!C:F,3,0)</f>
        <v>49671.7</v>
      </c>
      <c r="W505" s="27">
        <f t="shared" si="7"/>
        <v>49671.7</v>
      </c>
    </row>
    <row r="506" spans="1:23" s="37" customFormat="1" ht="14.4" x14ac:dyDescent="0.3">
      <c r="A506" s="37">
        <v>25757</v>
      </c>
      <c r="B506" s="37" t="s">
        <v>4147</v>
      </c>
      <c r="C506" s="37">
        <v>25158336</v>
      </c>
      <c r="D506" s="37" t="s">
        <v>2387</v>
      </c>
      <c r="E506" s="37" t="s">
        <v>2388</v>
      </c>
      <c r="F506" s="37" t="s">
        <v>2388</v>
      </c>
      <c r="G506" s="37" t="s">
        <v>2389</v>
      </c>
      <c r="H506" s="37" t="s">
        <v>2390</v>
      </c>
      <c r="I506" s="37" t="s">
        <v>2391</v>
      </c>
      <c r="J506" s="37" t="s">
        <v>90</v>
      </c>
      <c r="K506" s="37" t="s">
        <v>155</v>
      </c>
      <c r="L506" s="37" t="s">
        <v>155</v>
      </c>
      <c r="M506" s="37">
        <v>54001</v>
      </c>
      <c r="N506" s="38" t="s">
        <v>513</v>
      </c>
      <c r="S506" s="23">
        <f>VLOOKUP(A506,Hoja1!A:D,4,0)</f>
        <v>1</v>
      </c>
      <c r="T506" s="26" t="str">
        <f>VLOOKUP(M506,[1]TIPOLOGIAS!$A:$F,4,0)</f>
        <v>CUCUTA</v>
      </c>
      <c r="U506" s="26" t="str">
        <f>VLOOKUP(T506,'BASE TARIFA 2025'!C:D,2,0)</f>
        <v>WOMPI SANTANDERES</v>
      </c>
      <c r="V506" s="27">
        <f>VLOOKUP(T506,'BASE TARIFA 2025'!C:F,3,0)</f>
        <v>49671.7</v>
      </c>
      <c r="W506" s="27">
        <f t="shared" si="7"/>
        <v>49671.7</v>
      </c>
    </row>
    <row r="507" spans="1:23" s="37" customFormat="1" ht="14.4" x14ac:dyDescent="0.3">
      <c r="A507" s="37">
        <v>15094</v>
      </c>
      <c r="B507" s="37" t="s">
        <v>4148</v>
      </c>
      <c r="C507" s="37">
        <v>15987417</v>
      </c>
      <c r="D507" s="37" t="s">
        <v>2392</v>
      </c>
      <c r="E507" s="37" t="s">
        <v>2392</v>
      </c>
      <c r="F507" s="37" t="s">
        <v>2393</v>
      </c>
      <c r="G507" s="37" t="s">
        <v>2394</v>
      </c>
      <c r="H507" s="37" t="s">
        <v>2395</v>
      </c>
      <c r="I507" s="37" t="s">
        <v>2396</v>
      </c>
      <c r="J507" s="37" t="s">
        <v>90</v>
      </c>
      <c r="K507" s="37" t="s">
        <v>155</v>
      </c>
      <c r="L507" s="37" t="s">
        <v>155</v>
      </c>
      <c r="M507" s="37">
        <v>54001</v>
      </c>
      <c r="N507" s="38" t="s">
        <v>503</v>
      </c>
      <c r="S507" s="23">
        <f>VLOOKUP(A507,Hoja1!A:D,4,0)</f>
        <v>5</v>
      </c>
      <c r="T507" s="26" t="str">
        <f>VLOOKUP(M507,[1]TIPOLOGIAS!$A:$F,4,0)</f>
        <v>CUCUTA</v>
      </c>
      <c r="U507" s="26" t="str">
        <f>VLOOKUP(T507,'BASE TARIFA 2025'!C:D,2,0)</f>
        <v>WOMPI SANTANDERES</v>
      </c>
      <c r="V507" s="27">
        <f>VLOOKUP(T507,'BASE TARIFA 2025'!C:F,3,0)</f>
        <v>49671.7</v>
      </c>
      <c r="W507" s="27">
        <f t="shared" si="7"/>
        <v>248358.5</v>
      </c>
    </row>
    <row r="508" spans="1:23" s="37" customFormat="1" ht="14.4" x14ac:dyDescent="0.3">
      <c r="A508" s="37">
        <v>15643</v>
      </c>
      <c r="B508" s="37" t="s">
        <v>4149</v>
      </c>
      <c r="C508" s="37">
        <v>10260031</v>
      </c>
      <c r="D508" s="37" t="s">
        <v>2397</v>
      </c>
      <c r="E508" s="37" t="s">
        <v>2397</v>
      </c>
      <c r="F508" s="37" t="s">
        <v>2397</v>
      </c>
      <c r="G508" s="37" t="s">
        <v>2398</v>
      </c>
      <c r="H508" s="37" t="s">
        <v>2399</v>
      </c>
      <c r="I508" s="37" t="s">
        <v>2400</v>
      </c>
      <c r="J508" s="37" t="s">
        <v>90</v>
      </c>
      <c r="K508" s="37" t="s">
        <v>155</v>
      </c>
      <c r="L508" s="37" t="s">
        <v>155</v>
      </c>
      <c r="M508" s="37">
        <v>54001</v>
      </c>
      <c r="N508" s="38" t="s">
        <v>328</v>
      </c>
      <c r="S508" s="23">
        <f>VLOOKUP(A508,Hoja1!A:D,4,0)</f>
        <v>1</v>
      </c>
      <c r="T508" s="26" t="str">
        <f>VLOOKUP(M508,[1]TIPOLOGIAS!$A:$F,4,0)</f>
        <v>CUCUTA</v>
      </c>
      <c r="U508" s="26" t="str">
        <f>VLOOKUP(T508,'BASE TARIFA 2025'!C:D,2,0)</f>
        <v>WOMPI SANTANDERES</v>
      </c>
      <c r="V508" s="27">
        <f>VLOOKUP(T508,'BASE TARIFA 2025'!C:F,3,0)</f>
        <v>49671.7</v>
      </c>
      <c r="W508" s="27">
        <f t="shared" si="7"/>
        <v>49671.7</v>
      </c>
    </row>
    <row r="509" spans="1:23" s="37" customFormat="1" ht="14.4" x14ac:dyDescent="0.3">
      <c r="A509" s="37">
        <v>79134</v>
      </c>
      <c r="B509" s="37" t="s">
        <v>4150</v>
      </c>
      <c r="C509" s="37">
        <v>1110485794</v>
      </c>
      <c r="D509" s="37" t="s">
        <v>2401</v>
      </c>
      <c r="E509" s="37" t="s">
        <v>2401</v>
      </c>
      <c r="F509" s="37" t="s">
        <v>2401</v>
      </c>
      <c r="G509" s="37" t="s">
        <v>2402</v>
      </c>
      <c r="H509" s="37" t="s">
        <v>2403</v>
      </c>
      <c r="I509" s="37" t="s">
        <v>2404</v>
      </c>
      <c r="J509" s="37" t="s">
        <v>90</v>
      </c>
      <c r="K509" s="37" t="s">
        <v>155</v>
      </c>
      <c r="L509" s="37" t="s">
        <v>155</v>
      </c>
      <c r="M509" s="37">
        <v>54001</v>
      </c>
      <c r="N509" s="38" t="s">
        <v>430</v>
      </c>
      <c r="S509" s="23">
        <f>VLOOKUP(A509,Hoja1!A:D,4,0)</f>
        <v>1</v>
      </c>
      <c r="T509" s="26" t="str">
        <f>VLOOKUP(M509,[1]TIPOLOGIAS!$A:$F,4,0)</f>
        <v>CUCUTA</v>
      </c>
      <c r="U509" s="26" t="str">
        <f>VLOOKUP(T509,'BASE TARIFA 2025'!C:D,2,0)</f>
        <v>WOMPI SANTANDERES</v>
      </c>
      <c r="V509" s="27">
        <f>VLOOKUP(T509,'BASE TARIFA 2025'!C:F,3,0)</f>
        <v>49671.7</v>
      </c>
      <c r="W509" s="27">
        <f t="shared" si="7"/>
        <v>49671.7</v>
      </c>
    </row>
    <row r="510" spans="1:23" s="37" customFormat="1" ht="14.4" x14ac:dyDescent="0.3">
      <c r="A510" s="37">
        <v>79132</v>
      </c>
      <c r="B510" s="37" t="s">
        <v>4151</v>
      </c>
      <c r="C510" s="37">
        <v>1083928675</v>
      </c>
      <c r="D510" s="37" t="s">
        <v>2405</v>
      </c>
      <c r="E510" s="37" t="s">
        <v>2405</v>
      </c>
      <c r="F510" s="37" t="s">
        <v>2406</v>
      </c>
      <c r="G510" s="37" t="s">
        <v>2407</v>
      </c>
      <c r="H510" s="37" t="s">
        <v>2408</v>
      </c>
      <c r="I510" s="37" t="s">
        <v>2409</v>
      </c>
      <c r="J510" s="37" t="s">
        <v>90</v>
      </c>
      <c r="K510" s="37" t="s">
        <v>155</v>
      </c>
      <c r="L510" s="37" t="s">
        <v>155</v>
      </c>
      <c r="M510" s="37">
        <v>54001</v>
      </c>
      <c r="N510" s="38" t="s">
        <v>503</v>
      </c>
      <c r="S510" s="23">
        <f>VLOOKUP(A510,Hoja1!A:D,4,0)</f>
        <v>1</v>
      </c>
      <c r="T510" s="26" t="str">
        <f>VLOOKUP(M510,[1]TIPOLOGIAS!$A:$F,4,0)</f>
        <v>CUCUTA</v>
      </c>
      <c r="U510" s="26" t="str">
        <f>VLOOKUP(T510,'BASE TARIFA 2025'!C:D,2,0)</f>
        <v>WOMPI SANTANDERES</v>
      </c>
      <c r="V510" s="27">
        <f>VLOOKUP(T510,'BASE TARIFA 2025'!C:F,3,0)</f>
        <v>49671.7</v>
      </c>
      <c r="W510" s="27">
        <f t="shared" si="7"/>
        <v>49671.7</v>
      </c>
    </row>
    <row r="511" spans="1:23" s="37" customFormat="1" ht="14.4" x14ac:dyDescent="0.3">
      <c r="A511" s="37">
        <v>61419</v>
      </c>
      <c r="B511" s="37" t="s">
        <v>4152</v>
      </c>
      <c r="C511" s="37">
        <v>96355845</v>
      </c>
      <c r="D511" s="37" t="s">
        <v>2410</v>
      </c>
      <c r="E511" s="37" t="s">
        <v>2411</v>
      </c>
      <c r="F511" s="37" t="s">
        <v>2411</v>
      </c>
      <c r="G511" s="37" t="s">
        <v>2412</v>
      </c>
      <c r="H511" s="37" t="s">
        <v>2413</v>
      </c>
      <c r="I511" s="37" t="s">
        <v>2414</v>
      </c>
      <c r="J511" s="37" t="s">
        <v>77</v>
      </c>
      <c r="K511" s="37" t="s">
        <v>177</v>
      </c>
      <c r="L511" s="37" t="s">
        <v>177</v>
      </c>
      <c r="M511" s="37">
        <v>17174</v>
      </c>
      <c r="N511" s="38" t="s">
        <v>320</v>
      </c>
      <c r="S511" s="23">
        <f>VLOOKUP(A511,Hoja1!A:D,4,0)</f>
        <v>1</v>
      </c>
      <c r="T511" s="26" t="str">
        <f>VLOOKUP(M511,[1]TIPOLOGIAS!$A:$F,4,0)</f>
        <v>MANIZALES</v>
      </c>
      <c r="U511" s="26" t="str">
        <f>VLOOKUP(T511,'BASE TARIFA 2025'!C:D,2,0)</f>
        <v>WOMPI EJE CAFETERO</v>
      </c>
      <c r="V511" s="27">
        <f>VLOOKUP(T511,'BASE TARIFA 2025'!C:F,3,0)</f>
        <v>49671.7</v>
      </c>
      <c r="W511" s="27">
        <f t="shared" si="7"/>
        <v>49671.7</v>
      </c>
    </row>
    <row r="512" spans="1:23" s="37" customFormat="1" ht="14.4" x14ac:dyDescent="0.3">
      <c r="A512" s="37">
        <v>16270</v>
      </c>
      <c r="B512" s="37" t="s">
        <v>4153</v>
      </c>
      <c r="C512" s="37">
        <v>42132201</v>
      </c>
      <c r="D512" s="37" t="s">
        <v>2415</v>
      </c>
      <c r="E512" s="37" t="s">
        <v>2416</v>
      </c>
      <c r="F512" s="37" t="s">
        <v>2416</v>
      </c>
      <c r="G512" s="37" t="s">
        <v>2417</v>
      </c>
      <c r="H512" s="37" t="s">
        <v>2418</v>
      </c>
      <c r="I512" s="37" t="s">
        <v>2419</v>
      </c>
      <c r="J512" s="37" t="s">
        <v>73</v>
      </c>
      <c r="K512" s="37" t="s">
        <v>183</v>
      </c>
      <c r="L512" s="37" t="s">
        <v>183</v>
      </c>
      <c r="M512" s="37">
        <v>19212</v>
      </c>
      <c r="N512" s="38" t="s">
        <v>327</v>
      </c>
      <c r="S512" s="23">
        <f>VLOOKUP(A512,Hoja1!A:D,4,0)</f>
        <v>1</v>
      </c>
      <c r="T512" s="26" t="str">
        <f>VLOOKUP(M512,[1]TIPOLOGIAS!$A:$F,4,0)</f>
        <v>CALI</v>
      </c>
      <c r="U512" s="26" t="str">
        <f>VLOOKUP(T512,'BASE TARIFA 2025'!C:D,2,0)</f>
        <v>WOMPI SUROCCIDENTE</v>
      </c>
      <c r="V512" s="27">
        <f>VLOOKUP(T512,'BASE TARIFA 2025'!C:F,3,0)</f>
        <v>37313</v>
      </c>
      <c r="W512" s="27">
        <f t="shared" si="7"/>
        <v>37313</v>
      </c>
    </row>
    <row r="513" spans="1:23" s="37" customFormat="1" ht="14.4" x14ac:dyDescent="0.3">
      <c r="A513" s="37">
        <v>80388</v>
      </c>
      <c r="B513" s="37" t="s">
        <v>4154</v>
      </c>
      <c r="C513" s="37">
        <v>1005286945</v>
      </c>
      <c r="D513" s="37" t="s">
        <v>2420</v>
      </c>
      <c r="E513" s="37" t="s">
        <v>2421</v>
      </c>
      <c r="F513" s="37" t="s">
        <v>2421</v>
      </c>
      <c r="G513" s="37" t="s">
        <v>2422</v>
      </c>
      <c r="H513" s="37" t="s">
        <v>2423</v>
      </c>
      <c r="I513" s="37" t="s">
        <v>2424</v>
      </c>
      <c r="J513" s="37" t="s">
        <v>73</v>
      </c>
      <c r="K513" s="37" t="s">
        <v>183</v>
      </c>
      <c r="L513" s="37" t="s">
        <v>183</v>
      </c>
      <c r="M513" s="37">
        <v>19212</v>
      </c>
      <c r="N513" s="38" t="s">
        <v>327</v>
      </c>
      <c r="S513" s="23">
        <f>VLOOKUP(A513,Hoja1!A:D,4,0)</f>
        <v>1</v>
      </c>
      <c r="T513" s="26" t="str">
        <f>VLOOKUP(M513,[1]TIPOLOGIAS!$A:$F,4,0)</f>
        <v>CALI</v>
      </c>
      <c r="U513" s="26" t="str">
        <f>VLOOKUP(T513,'BASE TARIFA 2025'!C:D,2,0)</f>
        <v>WOMPI SUROCCIDENTE</v>
      </c>
      <c r="V513" s="27">
        <f>VLOOKUP(T513,'BASE TARIFA 2025'!C:F,3,0)</f>
        <v>37313</v>
      </c>
      <c r="W513" s="27">
        <f t="shared" si="7"/>
        <v>37313</v>
      </c>
    </row>
    <row r="514" spans="1:23" s="37" customFormat="1" ht="14.4" x14ac:dyDescent="0.3">
      <c r="A514" s="37">
        <v>80959</v>
      </c>
      <c r="B514" s="37" t="s">
        <v>4155</v>
      </c>
      <c r="C514" s="37">
        <v>901403130</v>
      </c>
      <c r="D514" s="37" t="s">
        <v>67</v>
      </c>
      <c r="E514" s="37" t="s">
        <v>2425</v>
      </c>
      <c r="F514" s="37" t="s">
        <v>2425</v>
      </c>
      <c r="G514" s="37" t="s">
        <v>2426</v>
      </c>
      <c r="H514" s="37" t="s">
        <v>2427</v>
      </c>
      <c r="I514" s="37" t="s">
        <v>2428</v>
      </c>
      <c r="J514" s="37" t="s">
        <v>73</v>
      </c>
      <c r="K514" s="37" t="s">
        <v>183</v>
      </c>
      <c r="L514" s="37" t="s">
        <v>183</v>
      </c>
      <c r="M514" s="37">
        <v>19212</v>
      </c>
      <c r="N514" s="38" t="s">
        <v>327</v>
      </c>
      <c r="S514" s="23">
        <f>VLOOKUP(A514,Hoja1!A:D,4,0)</f>
        <v>1</v>
      </c>
      <c r="T514" s="26" t="str">
        <f>VLOOKUP(M514,[1]TIPOLOGIAS!$A:$F,4,0)</f>
        <v>CALI</v>
      </c>
      <c r="U514" s="26" t="str">
        <f>VLOOKUP(T514,'BASE TARIFA 2025'!C:D,2,0)</f>
        <v>WOMPI SUROCCIDENTE</v>
      </c>
      <c r="V514" s="27">
        <f>VLOOKUP(T514,'BASE TARIFA 2025'!C:F,3,0)</f>
        <v>37313</v>
      </c>
      <c r="W514" s="27">
        <f t="shared" ref="W514:W577" si="8">V514*S514</f>
        <v>37313</v>
      </c>
    </row>
    <row r="515" spans="1:23" s="37" customFormat="1" ht="14.4" x14ac:dyDescent="0.3">
      <c r="A515" s="37">
        <v>79648</v>
      </c>
      <c r="B515" s="37" t="s">
        <v>4156</v>
      </c>
      <c r="C515" s="37">
        <v>900381458</v>
      </c>
      <c r="D515" s="37" t="s">
        <v>2429</v>
      </c>
      <c r="E515" s="37" t="s">
        <v>2429</v>
      </c>
      <c r="F515" s="37" t="s">
        <v>2429</v>
      </c>
      <c r="G515" s="37" t="s">
        <v>2430</v>
      </c>
      <c r="H515" s="37" t="s">
        <v>2431</v>
      </c>
      <c r="I515" s="37" t="s">
        <v>2432</v>
      </c>
      <c r="J515" s="37" t="s">
        <v>73</v>
      </c>
      <c r="K515" s="37" t="s">
        <v>183</v>
      </c>
      <c r="L515" s="37" t="s">
        <v>183</v>
      </c>
      <c r="M515" s="37">
        <v>19212</v>
      </c>
      <c r="N515" s="38" t="s">
        <v>327</v>
      </c>
      <c r="S515" s="23">
        <f>VLOOKUP(A515,Hoja1!A:D,4,0)</f>
        <v>1</v>
      </c>
      <c r="T515" s="26" t="str">
        <f>VLOOKUP(M515,[1]TIPOLOGIAS!$A:$F,4,0)</f>
        <v>CALI</v>
      </c>
      <c r="U515" s="26" t="str">
        <f>VLOOKUP(T515,'BASE TARIFA 2025'!C:D,2,0)</f>
        <v>WOMPI SUROCCIDENTE</v>
      </c>
      <c r="V515" s="27">
        <f>VLOOKUP(T515,'BASE TARIFA 2025'!C:F,3,0)</f>
        <v>37313</v>
      </c>
      <c r="W515" s="27">
        <f t="shared" si="8"/>
        <v>37313</v>
      </c>
    </row>
    <row r="516" spans="1:23" s="37" customFormat="1" ht="14.4" x14ac:dyDescent="0.3">
      <c r="A516" s="37">
        <v>79195</v>
      </c>
      <c r="B516" s="37" t="s">
        <v>4157</v>
      </c>
      <c r="C516" s="37">
        <v>1088261920</v>
      </c>
      <c r="D516" s="37" t="s">
        <v>2433</v>
      </c>
      <c r="E516" s="37" t="s">
        <v>2433</v>
      </c>
      <c r="F516" s="37" t="s">
        <v>2433</v>
      </c>
      <c r="G516" s="37" t="s">
        <v>2434</v>
      </c>
      <c r="H516" s="37" t="s">
        <v>2435</v>
      </c>
      <c r="I516" s="37" t="s">
        <v>2436</v>
      </c>
      <c r="J516" s="37" t="s">
        <v>73</v>
      </c>
      <c r="K516" s="37" t="s">
        <v>183</v>
      </c>
      <c r="L516" s="37" t="s">
        <v>183</v>
      </c>
      <c r="M516" s="37">
        <v>19212</v>
      </c>
      <c r="N516" s="38" t="s">
        <v>327</v>
      </c>
      <c r="S516" s="23">
        <f>VLOOKUP(A516,Hoja1!A:D,4,0)</f>
        <v>1</v>
      </c>
      <c r="T516" s="26" t="str">
        <f>VLOOKUP(M516,[1]TIPOLOGIAS!$A:$F,4,0)</f>
        <v>CALI</v>
      </c>
      <c r="U516" s="26" t="str">
        <f>VLOOKUP(T516,'BASE TARIFA 2025'!C:D,2,0)</f>
        <v>WOMPI SUROCCIDENTE</v>
      </c>
      <c r="V516" s="27">
        <f>VLOOKUP(T516,'BASE TARIFA 2025'!C:F,3,0)</f>
        <v>37313</v>
      </c>
      <c r="W516" s="27">
        <f t="shared" si="8"/>
        <v>37313</v>
      </c>
    </row>
    <row r="517" spans="1:23" s="37" customFormat="1" ht="14.4" x14ac:dyDescent="0.3">
      <c r="A517" s="37">
        <v>75477</v>
      </c>
      <c r="B517" s="37" t="s">
        <v>4158</v>
      </c>
      <c r="C517" s="37">
        <v>901608925</v>
      </c>
      <c r="D517" s="37" t="s">
        <v>2437</v>
      </c>
      <c r="E517" s="37" t="s">
        <v>2437</v>
      </c>
      <c r="F517" s="37" t="s">
        <v>2437</v>
      </c>
      <c r="G517" s="37" t="s">
        <v>2438</v>
      </c>
      <c r="H517" s="37" t="s">
        <v>2439</v>
      </c>
      <c r="I517" s="37" t="s">
        <v>2440</v>
      </c>
      <c r="J517" s="37" t="s">
        <v>83</v>
      </c>
      <c r="K517" s="37" t="s">
        <v>2441</v>
      </c>
      <c r="L517" s="37" t="s">
        <v>2441</v>
      </c>
      <c r="M517" s="37">
        <v>23068</v>
      </c>
      <c r="N517" s="38" t="s">
        <v>480</v>
      </c>
      <c r="S517" s="23">
        <f>VLOOKUP(A517,Hoja1!A:D,4,0)</f>
        <v>1</v>
      </c>
      <c r="T517" s="26" t="str">
        <f>VLOOKUP(M517,[1]TIPOLOGIAS!$A:$F,4,0)</f>
        <v>MONTERIA</v>
      </c>
      <c r="U517" s="26" t="str">
        <f>VLOOKUP(T517,'BASE TARIFA 2025'!C:D,2,0)</f>
        <v>WOMPI COSTA</v>
      </c>
      <c r="V517" s="27">
        <f>VLOOKUP(T517,'BASE TARIFA 2025'!C:F,3,0)</f>
        <v>37313</v>
      </c>
      <c r="W517" s="27">
        <f t="shared" si="8"/>
        <v>37313</v>
      </c>
    </row>
    <row r="518" spans="1:23" s="37" customFormat="1" ht="14.4" x14ac:dyDescent="0.3">
      <c r="A518" s="37">
        <v>71028</v>
      </c>
      <c r="B518" s="37" t="s">
        <v>4159</v>
      </c>
      <c r="C518" s="37">
        <v>901403130</v>
      </c>
      <c r="D518" s="37" t="s">
        <v>2442</v>
      </c>
      <c r="E518" s="37" t="s">
        <v>2442</v>
      </c>
      <c r="F518" s="37" t="s">
        <v>2443</v>
      </c>
      <c r="G518" s="37" t="s">
        <v>2444</v>
      </c>
      <c r="H518" s="37" t="s">
        <v>2445</v>
      </c>
      <c r="I518" s="37" t="s">
        <v>2446</v>
      </c>
      <c r="J518" s="37" t="s">
        <v>83</v>
      </c>
      <c r="K518" s="37" t="s">
        <v>2441</v>
      </c>
      <c r="L518" s="37" t="s">
        <v>2441</v>
      </c>
      <c r="M518" s="37">
        <v>23068</v>
      </c>
      <c r="N518" s="38" t="s">
        <v>480</v>
      </c>
      <c r="S518" s="23">
        <f>VLOOKUP(A518,Hoja1!A:D,4,0)</f>
        <v>1</v>
      </c>
      <c r="T518" s="26" t="str">
        <f>VLOOKUP(M518,[1]TIPOLOGIAS!$A:$F,4,0)</f>
        <v>MONTERIA</v>
      </c>
      <c r="U518" s="26" t="str">
        <f>VLOOKUP(T518,'BASE TARIFA 2025'!C:D,2,0)</f>
        <v>WOMPI COSTA</v>
      </c>
      <c r="V518" s="27">
        <f>VLOOKUP(T518,'BASE TARIFA 2025'!C:F,3,0)</f>
        <v>37313</v>
      </c>
      <c r="W518" s="27">
        <f t="shared" si="8"/>
        <v>37313</v>
      </c>
    </row>
    <row r="519" spans="1:23" s="37" customFormat="1" ht="14.4" x14ac:dyDescent="0.3">
      <c r="A519" s="37">
        <v>60598</v>
      </c>
      <c r="B519" s="37" t="s">
        <v>4160</v>
      </c>
      <c r="C519" s="37">
        <v>4415330</v>
      </c>
      <c r="D519" s="37" t="s">
        <v>2447</v>
      </c>
      <c r="E519" s="37" t="s">
        <v>2447</v>
      </c>
      <c r="F519" s="37" t="s">
        <v>2447</v>
      </c>
      <c r="G519" s="37" t="s">
        <v>2448</v>
      </c>
      <c r="H519" s="37" t="s">
        <v>2449</v>
      </c>
      <c r="I519" s="37" t="s">
        <v>2450</v>
      </c>
      <c r="J519" s="37" t="s">
        <v>83</v>
      </c>
      <c r="K519" s="37" t="s">
        <v>2441</v>
      </c>
      <c r="L519" s="37" t="s">
        <v>2441</v>
      </c>
      <c r="M519" s="37">
        <v>23068</v>
      </c>
      <c r="N519" s="38" t="s">
        <v>480</v>
      </c>
      <c r="S519" s="23">
        <f>VLOOKUP(A519,Hoja1!A:D,4,0)</f>
        <v>1</v>
      </c>
      <c r="T519" s="26" t="str">
        <f>VLOOKUP(M519,[1]TIPOLOGIAS!$A:$F,4,0)</f>
        <v>MONTERIA</v>
      </c>
      <c r="U519" s="26" t="str">
        <f>VLOOKUP(T519,'BASE TARIFA 2025'!C:D,2,0)</f>
        <v>WOMPI COSTA</v>
      </c>
      <c r="V519" s="27">
        <f>VLOOKUP(T519,'BASE TARIFA 2025'!C:F,3,0)</f>
        <v>37313</v>
      </c>
      <c r="W519" s="27">
        <f t="shared" si="8"/>
        <v>37313</v>
      </c>
    </row>
    <row r="520" spans="1:23" s="37" customFormat="1" ht="14.4" x14ac:dyDescent="0.3">
      <c r="A520" s="37">
        <v>33895</v>
      </c>
      <c r="B520" s="37" t="s">
        <v>4161</v>
      </c>
      <c r="C520" s="37">
        <v>901042503</v>
      </c>
      <c r="D520" s="37" t="s">
        <v>2451</v>
      </c>
      <c r="E520" s="37" t="s">
        <v>2451</v>
      </c>
      <c r="F520" s="37" t="s">
        <v>2451</v>
      </c>
      <c r="G520" s="37" t="s">
        <v>2452</v>
      </c>
      <c r="H520" s="37" t="s">
        <v>2453</v>
      </c>
      <c r="I520" s="37" t="s">
        <v>2454</v>
      </c>
      <c r="J520" s="37" t="s">
        <v>83</v>
      </c>
      <c r="K520" s="37" t="s">
        <v>2441</v>
      </c>
      <c r="L520" s="37" t="s">
        <v>2441</v>
      </c>
      <c r="M520" s="37">
        <v>23068</v>
      </c>
      <c r="N520" s="38" t="s">
        <v>480</v>
      </c>
      <c r="S520" s="23">
        <f>VLOOKUP(A520,Hoja1!A:D,4,0)</f>
        <v>1</v>
      </c>
      <c r="T520" s="26" t="str">
        <f>VLOOKUP(M520,[1]TIPOLOGIAS!$A:$F,4,0)</f>
        <v>MONTERIA</v>
      </c>
      <c r="U520" s="26" t="str">
        <f>VLOOKUP(T520,'BASE TARIFA 2025'!C:D,2,0)</f>
        <v>WOMPI COSTA</v>
      </c>
      <c r="V520" s="27">
        <f>VLOOKUP(T520,'BASE TARIFA 2025'!C:F,3,0)</f>
        <v>37313</v>
      </c>
      <c r="W520" s="27">
        <f t="shared" si="8"/>
        <v>37313</v>
      </c>
    </row>
    <row r="521" spans="1:23" s="37" customFormat="1" ht="14.4" x14ac:dyDescent="0.3">
      <c r="A521" s="37">
        <v>26919</v>
      </c>
      <c r="B521" s="37" t="s">
        <v>4162</v>
      </c>
      <c r="C521" s="37">
        <v>11294043</v>
      </c>
      <c r="D521" s="37" t="s">
        <v>67</v>
      </c>
      <c r="E521" s="37" t="s">
        <v>2455</v>
      </c>
      <c r="F521" s="37" t="s">
        <v>2455</v>
      </c>
      <c r="G521" s="37" t="s">
        <v>2456</v>
      </c>
      <c r="H521" s="37" t="s">
        <v>135</v>
      </c>
      <c r="I521" s="37" t="s">
        <v>136</v>
      </c>
      <c r="J521" s="37" t="s">
        <v>68</v>
      </c>
      <c r="K521" s="37" t="s">
        <v>134</v>
      </c>
      <c r="L521" s="37" t="s">
        <v>134</v>
      </c>
      <c r="M521" s="37">
        <v>25486</v>
      </c>
      <c r="N521" s="38" t="s">
        <v>503</v>
      </c>
      <c r="S521" s="23">
        <f>VLOOKUP(A521,Hoja1!A:D,4,0)</f>
        <v>1</v>
      </c>
      <c r="T521" s="26" t="str">
        <f>VLOOKUP(M521,[1]TIPOLOGIAS!$A:$F,4,0)</f>
        <v>BOGOTA</v>
      </c>
      <c r="U521" s="26" t="str">
        <f>VLOOKUP(T521,'BASE TARIFA 2025'!C:D,2,0)</f>
        <v>WOMPI CENTRO</v>
      </c>
      <c r="V521" s="27">
        <f>VLOOKUP(T521,'BASE TARIFA 2025'!C:F,3,0)</f>
        <v>37313</v>
      </c>
      <c r="W521" s="27">
        <f t="shared" si="8"/>
        <v>37313</v>
      </c>
    </row>
    <row r="522" spans="1:23" s="37" customFormat="1" ht="14.4" x14ac:dyDescent="0.3">
      <c r="A522" s="37">
        <v>78886</v>
      </c>
      <c r="B522" s="37" t="s">
        <v>4163</v>
      </c>
      <c r="C522" s="37">
        <v>13617959</v>
      </c>
      <c r="D522" s="37" t="s">
        <v>2457</v>
      </c>
      <c r="E522" s="37" t="s">
        <v>2458</v>
      </c>
      <c r="F522" s="37" t="s">
        <v>2458</v>
      </c>
      <c r="G522" s="37" t="s">
        <v>2459</v>
      </c>
      <c r="H522" s="37" t="s">
        <v>2460</v>
      </c>
      <c r="I522" s="37" t="s">
        <v>2461</v>
      </c>
      <c r="J522" s="37" t="s">
        <v>68</v>
      </c>
      <c r="K522" s="37" t="s">
        <v>134</v>
      </c>
      <c r="L522" s="37" t="s">
        <v>134</v>
      </c>
      <c r="M522" s="37">
        <v>25486</v>
      </c>
      <c r="N522" s="38" t="s">
        <v>503</v>
      </c>
      <c r="S522" s="23">
        <f>VLOOKUP(A522,Hoja1!A:D,4,0)</f>
        <v>1</v>
      </c>
      <c r="T522" s="26" t="str">
        <f>VLOOKUP(M522,[1]TIPOLOGIAS!$A:$F,4,0)</f>
        <v>BOGOTA</v>
      </c>
      <c r="U522" s="26" t="str">
        <f>VLOOKUP(T522,'BASE TARIFA 2025'!C:D,2,0)</f>
        <v>WOMPI CENTRO</v>
      </c>
      <c r="V522" s="27">
        <f>VLOOKUP(T522,'BASE TARIFA 2025'!C:F,3,0)</f>
        <v>37313</v>
      </c>
      <c r="W522" s="27">
        <f t="shared" si="8"/>
        <v>37313</v>
      </c>
    </row>
    <row r="523" spans="1:23" s="37" customFormat="1" ht="14.4" x14ac:dyDescent="0.3">
      <c r="A523" s="37">
        <v>75853</v>
      </c>
      <c r="B523" s="37" t="s">
        <v>4164</v>
      </c>
      <c r="C523" s="37">
        <v>1101176439</v>
      </c>
      <c r="D523" s="37" t="s">
        <v>67</v>
      </c>
      <c r="E523" s="37" t="s">
        <v>2462</v>
      </c>
      <c r="F523" s="37" t="s">
        <v>2463</v>
      </c>
      <c r="G523" s="37" t="s">
        <v>2464</v>
      </c>
      <c r="H523" s="37" t="s">
        <v>2465</v>
      </c>
      <c r="I523" s="37" t="s">
        <v>2466</v>
      </c>
      <c r="J523" s="37" t="s">
        <v>68</v>
      </c>
      <c r="K523" s="37" t="s">
        <v>2467</v>
      </c>
      <c r="L523" s="37" t="s">
        <v>2467</v>
      </c>
      <c r="M523" s="37">
        <v>25491</v>
      </c>
      <c r="N523" s="38" t="s">
        <v>503</v>
      </c>
      <c r="S523" s="23">
        <f>VLOOKUP(A523,Hoja1!A:D,4,0)</f>
        <v>1</v>
      </c>
      <c r="T523" s="26" t="str">
        <f>VLOOKUP(M523,[1]TIPOLOGIAS!$A:$F,4,0)</f>
        <v>BOGOTA</v>
      </c>
      <c r="U523" s="26" t="str">
        <f>VLOOKUP(T523,'BASE TARIFA 2025'!C:D,2,0)</f>
        <v>WOMPI CENTRO</v>
      </c>
      <c r="V523" s="27">
        <f>VLOOKUP(T523,'BASE TARIFA 2025'!C:F,3,0)</f>
        <v>37313</v>
      </c>
      <c r="W523" s="27">
        <f t="shared" si="8"/>
        <v>37313</v>
      </c>
    </row>
    <row r="524" spans="1:23" s="37" customFormat="1" ht="14.4" x14ac:dyDescent="0.3">
      <c r="A524" s="37">
        <v>37010</v>
      </c>
      <c r="B524" s="37" t="s">
        <v>4165</v>
      </c>
      <c r="C524" s="37">
        <v>28307566</v>
      </c>
      <c r="D524" s="37" t="s">
        <v>67</v>
      </c>
      <c r="E524" s="37" t="s">
        <v>2468</v>
      </c>
      <c r="F524" s="37" t="s">
        <v>2468</v>
      </c>
      <c r="G524" s="37" t="s">
        <v>2469</v>
      </c>
      <c r="H524" s="37" t="s">
        <v>2470</v>
      </c>
      <c r="I524" s="37" t="s">
        <v>2471</v>
      </c>
      <c r="J524" s="37" t="s">
        <v>68</v>
      </c>
      <c r="K524" s="37" t="s">
        <v>2467</v>
      </c>
      <c r="L524" s="37" t="s">
        <v>2467</v>
      </c>
      <c r="M524" s="37">
        <v>25491</v>
      </c>
      <c r="N524" s="38" t="s">
        <v>503</v>
      </c>
      <c r="S524" s="23">
        <f>VLOOKUP(A524,Hoja1!A:D,4,0)</f>
        <v>1</v>
      </c>
      <c r="T524" s="26" t="str">
        <f>VLOOKUP(M524,[1]TIPOLOGIAS!$A:$F,4,0)</f>
        <v>BOGOTA</v>
      </c>
      <c r="U524" s="26" t="str">
        <f>VLOOKUP(T524,'BASE TARIFA 2025'!C:D,2,0)</f>
        <v>WOMPI CENTRO</v>
      </c>
      <c r="V524" s="27">
        <f>VLOOKUP(T524,'BASE TARIFA 2025'!C:F,3,0)</f>
        <v>37313</v>
      </c>
      <c r="W524" s="27">
        <f t="shared" si="8"/>
        <v>37313</v>
      </c>
    </row>
    <row r="525" spans="1:23" s="37" customFormat="1" ht="14.4" x14ac:dyDescent="0.3">
      <c r="A525" s="37">
        <v>18344</v>
      </c>
      <c r="B525" s="37" t="s">
        <v>4166</v>
      </c>
      <c r="C525" s="37">
        <v>800253616</v>
      </c>
      <c r="D525" s="37" t="s">
        <v>2472</v>
      </c>
      <c r="E525" s="37" t="s">
        <v>2472</v>
      </c>
      <c r="F525" s="37" t="s">
        <v>2472</v>
      </c>
      <c r="G525" s="37" t="s">
        <v>2473</v>
      </c>
      <c r="H525" s="37" t="s">
        <v>2474</v>
      </c>
      <c r="I525" s="37" t="s">
        <v>2475</v>
      </c>
      <c r="J525" s="37" t="s">
        <v>68</v>
      </c>
      <c r="K525" s="37" t="s">
        <v>2467</v>
      </c>
      <c r="L525" s="37" t="s">
        <v>2467</v>
      </c>
      <c r="M525" s="37">
        <v>25491</v>
      </c>
      <c r="N525" s="38" t="s">
        <v>513</v>
      </c>
      <c r="S525" s="23">
        <f>VLOOKUP(A525,Hoja1!A:D,4,0)</f>
        <v>1</v>
      </c>
      <c r="T525" s="26" t="str">
        <f>VLOOKUP(M525,[1]TIPOLOGIAS!$A:$F,4,0)</f>
        <v>BOGOTA</v>
      </c>
      <c r="U525" s="26" t="str">
        <f>VLOOKUP(T525,'BASE TARIFA 2025'!C:D,2,0)</f>
        <v>WOMPI CENTRO</v>
      </c>
      <c r="V525" s="27">
        <f>VLOOKUP(T525,'BASE TARIFA 2025'!C:F,3,0)</f>
        <v>37313</v>
      </c>
      <c r="W525" s="27">
        <f t="shared" si="8"/>
        <v>37313</v>
      </c>
    </row>
    <row r="526" spans="1:23" s="37" customFormat="1" ht="14.4" x14ac:dyDescent="0.3">
      <c r="A526" s="37">
        <v>77186</v>
      </c>
      <c r="B526" s="37" t="s">
        <v>4167</v>
      </c>
      <c r="C526" s="37">
        <v>9192909</v>
      </c>
      <c r="D526" s="37" t="s">
        <v>67</v>
      </c>
      <c r="E526" s="37" t="s">
        <v>2476</v>
      </c>
      <c r="F526" s="37" t="s">
        <v>2476</v>
      </c>
      <c r="G526" s="37" t="s">
        <v>2477</v>
      </c>
      <c r="H526" s="37" t="s">
        <v>2478</v>
      </c>
      <c r="I526" s="37" t="s">
        <v>2479</v>
      </c>
      <c r="J526" s="37" t="s">
        <v>68</v>
      </c>
      <c r="K526" s="37" t="s">
        <v>2467</v>
      </c>
      <c r="L526" s="37" t="s">
        <v>2467</v>
      </c>
      <c r="M526" s="37">
        <v>25491</v>
      </c>
      <c r="N526" s="38" t="s">
        <v>503</v>
      </c>
      <c r="S526" s="23">
        <f>VLOOKUP(A526,Hoja1!A:D,4,0)</f>
        <v>1</v>
      </c>
      <c r="T526" s="26" t="str">
        <f>VLOOKUP(M526,[1]TIPOLOGIAS!$A:$F,4,0)</f>
        <v>BOGOTA</v>
      </c>
      <c r="U526" s="26" t="str">
        <f>VLOOKUP(T526,'BASE TARIFA 2025'!C:D,2,0)</f>
        <v>WOMPI CENTRO</v>
      </c>
      <c r="V526" s="27">
        <f>VLOOKUP(T526,'BASE TARIFA 2025'!C:F,3,0)</f>
        <v>37313</v>
      </c>
      <c r="W526" s="27">
        <f t="shared" si="8"/>
        <v>37313</v>
      </c>
    </row>
    <row r="527" spans="1:23" s="37" customFormat="1" ht="14.4" x14ac:dyDescent="0.3">
      <c r="A527" s="37">
        <v>77808</v>
      </c>
      <c r="B527" s="37" t="s">
        <v>4168</v>
      </c>
      <c r="C527" s="37">
        <v>43740682</v>
      </c>
      <c r="D527" s="37" t="s">
        <v>2480</v>
      </c>
      <c r="E527" s="37" t="s">
        <v>2481</v>
      </c>
      <c r="F527" s="37" t="s">
        <v>2481</v>
      </c>
      <c r="G527" s="37" t="s">
        <v>2482</v>
      </c>
      <c r="H527" s="37" t="s">
        <v>2483</v>
      </c>
      <c r="I527" s="37" t="s">
        <v>2484</v>
      </c>
      <c r="J527" s="37" t="s">
        <v>68</v>
      </c>
      <c r="K527" s="37" t="s">
        <v>137</v>
      </c>
      <c r="L527" s="37" t="s">
        <v>137</v>
      </c>
      <c r="M527" s="37">
        <v>25580</v>
      </c>
      <c r="N527" s="38" t="s">
        <v>513</v>
      </c>
      <c r="S527" s="23">
        <f>VLOOKUP(A527,Hoja1!A:D,4,0)</f>
        <v>1</v>
      </c>
      <c r="T527" s="26" t="str">
        <f>VLOOKUP(M527,[1]TIPOLOGIAS!$A:$F,4,0)</f>
        <v>BOGOTA</v>
      </c>
      <c r="U527" s="26" t="str">
        <f>VLOOKUP(T527,'BASE TARIFA 2025'!C:D,2,0)</f>
        <v>WOMPI CENTRO</v>
      </c>
      <c r="V527" s="27">
        <f>VLOOKUP(T527,'BASE TARIFA 2025'!C:F,3,0)</f>
        <v>37313</v>
      </c>
      <c r="W527" s="27">
        <f t="shared" si="8"/>
        <v>37313</v>
      </c>
    </row>
    <row r="528" spans="1:23" s="37" customFormat="1" ht="14.4" x14ac:dyDescent="0.3">
      <c r="A528" s="37">
        <v>76748</v>
      </c>
      <c r="B528" s="37" t="s">
        <v>3657</v>
      </c>
      <c r="C528" s="37">
        <v>92510386</v>
      </c>
      <c r="D528" s="37" t="s">
        <v>2485</v>
      </c>
      <c r="E528" s="37" t="s">
        <v>2486</v>
      </c>
      <c r="F528" s="37" t="s">
        <v>2486</v>
      </c>
      <c r="G528" s="37" t="s">
        <v>2487</v>
      </c>
      <c r="H528" s="37" t="s">
        <v>2488</v>
      </c>
      <c r="I528" s="37" t="s">
        <v>2489</v>
      </c>
      <c r="J528" s="37" t="s">
        <v>68</v>
      </c>
      <c r="K528" s="37" t="s">
        <v>2490</v>
      </c>
      <c r="L528" s="37" t="s">
        <v>2490</v>
      </c>
      <c r="M528" s="37">
        <v>25596</v>
      </c>
      <c r="N528" s="38" t="s">
        <v>503</v>
      </c>
      <c r="S528" s="23">
        <f>VLOOKUP(A528,Hoja1!A:D,4,0)</f>
        <v>2</v>
      </c>
      <c r="T528" s="26" t="str">
        <f>VLOOKUP(M528,[1]TIPOLOGIAS!$A:$F,4,0)</f>
        <v>BOGOTA</v>
      </c>
      <c r="U528" s="26" t="str">
        <f>VLOOKUP(T528,'BASE TARIFA 2025'!C:D,2,0)</f>
        <v>WOMPI CENTRO</v>
      </c>
      <c r="V528" s="27">
        <f>VLOOKUP(T528,'BASE TARIFA 2025'!C:F,3,0)</f>
        <v>37313</v>
      </c>
      <c r="W528" s="27">
        <f t="shared" si="8"/>
        <v>74626</v>
      </c>
    </row>
    <row r="529" spans="1:23" s="37" customFormat="1" ht="14.4" x14ac:dyDescent="0.3">
      <c r="A529" s="37">
        <v>72306</v>
      </c>
      <c r="B529" s="37" t="s">
        <v>3653</v>
      </c>
      <c r="C529" s="37">
        <v>64919335</v>
      </c>
      <c r="D529" s="37" t="s">
        <v>2491</v>
      </c>
      <c r="E529" s="37" t="s">
        <v>2491</v>
      </c>
      <c r="F529" s="37" t="s">
        <v>993</v>
      </c>
      <c r="G529" s="37" t="s">
        <v>2492</v>
      </c>
      <c r="H529" s="37" t="s">
        <v>2493</v>
      </c>
      <c r="I529" s="37" t="s">
        <v>2494</v>
      </c>
      <c r="J529" s="37" t="s">
        <v>68</v>
      </c>
      <c r="K529" s="37" t="s">
        <v>2490</v>
      </c>
      <c r="L529" s="37" t="s">
        <v>2490</v>
      </c>
      <c r="M529" s="37">
        <v>25596</v>
      </c>
      <c r="N529" s="38" t="s">
        <v>503</v>
      </c>
      <c r="S529" s="23">
        <f>VLOOKUP(A529,Hoja1!A:D,4,0)</f>
        <v>2</v>
      </c>
      <c r="T529" s="26" t="str">
        <f>VLOOKUP(M529,[1]TIPOLOGIAS!$A:$F,4,0)</f>
        <v>BOGOTA</v>
      </c>
      <c r="U529" s="26" t="str">
        <f>VLOOKUP(T529,'BASE TARIFA 2025'!C:D,2,0)</f>
        <v>WOMPI CENTRO</v>
      </c>
      <c r="V529" s="27">
        <f>VLOOKUP(T529,'BASE TARIFA 2025'!C:F,3,0)</f>
        <v>37313</v>
      </c>
      <c r="W529" s="27">
        <f t="shared" si="8"/>
        <v>74626</v>
      </c>
    </row>
    <row r="530" spans="1:23" s="37" customFormat="1" ht="14.4" x14ac:dyDescent="0.3">
      <c r="A530" s="37">
        <v>65311</v>
      </c>
      <c r="B530" s="37" t="s">
        <v>3648</v>
      </c>
      <c r="C530" s="37">
        <v>64581471</v>
      </c>
      <c r="D530" s="37" t="s">
        <v>2495</v>
      </c>
      <c r="E530" s="37" t="s">
        <v>2495</v>
      </c>
      <c r="F530" s="37" t="s">
        <v>2496</v>
      </c>
      <c r="G530" s="37" t="s">
        <v>2497</v>
      </c>
      <c r="H530" s="37" t="s">
        <v>2498</v>
      </c>
      <c r="I530" s="37" t="s">
        <v>2499</v>
      </c>
      <c r="J530" s="37" t="s">
        <v>68</v>
      </c>
      <c r="K530" s="37" t="s">
        <v>2490</v>
      </c>
      <c r="L530" s="37" t="s">
        <v>2490</v>
      </c>
      <c r="M530" s="37">
        <v>25596</v>
      </c>
      <c r="N530" s="38" t="s">
        <v>503</v>
      </c>
      <c r="S530" s="23">
        <f>VLOOKUP(A530,Hoja1!A:D,4,0)</f>
        <v>2</v>
      </c>
      <c r="T530" s="26" t="str">
        <f>VLOOKUP(M530,[1]TIPOLOGIAS!$A:$F,4,0)</f>
        <v>BOGOTA</v>
      </c>
      <c r="U530" s="26" t="str">
        <f>VLOOKUP(T530,'BASE TARIFA 2025'!C:D,2,0)</f>
        <v>WOMPI CENTRO</v>
      </c>
      <c r="V530" s="27">
        <f>VLOOKUP(T530,'BASE TARIFA 2025'!C:F,3,0)</f>
        <v>37313</v>
      </c>
      <c r="W530" s="27">
        <f t="shared" si="8"/>
        <v>74626</v>
      </c>
    </row>
    <row r="531" spans="1:23" s="37" customFormat="1" ht="14.4" x14ac:dyDescent="0.3">
      <c r="A531" s="37">
        <v>40167</v>
      </c>
      <c r="B531" s="37" t="s">
        <v>4169</v>
      </c>
      <c r="C531" s="37">
        <v>64581899</v>
      </c>
      <c r="D531" s="37" t="s">
        <v>2500</v>
      </c>
      <c r="E531" s="37" t="s">
        <v>2501</v>
      </c>
      <c r="F531" s="37" t="s">
        <v>2501</v>
      </c>
      <c r="G531" s="37" t="s">
        <v>2502</v>
      </c>
      <c r="H531" s="37" t="s">
        <v>2503</v>
      </c>
      <c r="I531" s="37" t="s">
        <v>2504</v>
      </c>
      <c r="J531" s="37" t="s">
        <v>68</v>
      </c>
      <c r="K531" s="37" t="s">
        <v>2505</v>
      </c>
      <c r="L531" s="37" t="s">
        <v>2505</v>
      </c>
      <c r="M531" s="37">
        <v>25736</v>
      </c>
      <c r="N531" s="38" t="s">
        <v>329</v>
      </c>
      <c r="S531" s="23">
        <f>VLOOKUP(A531,Hoja1!A:D,4,0)</f>
        <v>1</v>
      </c>
      <c r="T531" s="26" t="str">
        <f>VLOOKUP(M531,[1]TIPOLOGIAS!$A:$F,4,0)</f>
        <v>BOGOTA</v>
      </c>
      <c r="U531" s="26" t="str">
        <f>VLOOKUP(T531,'BASE TARIFA 2025'!C:D,2,0)</f>
        <v>WOMPI CENTRO</v>
      </c>
      <c r="V531" s="27">
        <f>VLOOKUP(T531,'BASE TARIFA 2025'!C:F,3,0)</f>
        <v>37313</v>
      </c>
      <c r="W531" s="27">
        <f t="shared" si="8"/>
        <v>37313</v>
      </c>
    </row>
    <row r="532" spans="1:23" s="37" customFormat="1" ht="14.4" x14ac:dyDescent="0.3">
      <c r="A532" s="37">
        <v>35260</v>
      </c>
      <c r="B532" s="37" t="s">
        <v>4170</v>
      </c>
      <c r="C532" s="37">
        <v>900638635</v>
      </c>
      <c r="D532" s="37" t="s">
        <v>70</v>
      </c>
      <c r="E532" s="37" t="s">
        <v>2506</v>
      </c>
      <c r="F532" s="37" t="s">
        <v>2507</v>
      </c>
      <c r="G532" s="37" t="s">
        <v>2508</v>
      </c>
      <c r="H532" s="37" t="s">
        <v>2509</v>
      </c>
      <c r="I532" s="37" t="s">
        <v>2510</v>
      </c>
      <c r="J532" s="37" t="s">
        <v>68</v>
      </c>
      <c r="K532" s="37" t="s">
        <v>2505</v>
      </c>
      <c r="L532" s="37" t="s">
        <v>2505</v>
      </c>
      <c r="M532" s="37">
        <v>25736</v>
      </c>
      <c r="N532" s="38" t="s">
        <v>503</v>
      </c>
      <c r="S532" s="23">
        <f>VLOOKUP(A532,Hoja1!A:D,4,0)</f>
        <v>1</v>
      </c>
      <c r="T532" s="26" t="str">
        <f>VLOOKUP(M532,[1]TIPOLOGIAS!$A:$F,4,0)</f>
        <v>BOGOTA</v>
      </c>
      <c r="U532" s="26" t="str">
        <f>VLOOKUP(T532,'BASE TARIFA 2025'!C:D,2,0)</f>
        <v>WOMPI CENTRO</v>
      </c>
      <c r="V532" s="27">
        <f>VLOOKUP(T532,'BASE TARIFA 2025'!C:F,3,0)</f>
        <v>37313</v>
      </c>
      <c r="W532" s="27">
        <f t="shared" si="8"/>
        <v>37313</v>
      </c>
    </row>
    <row r="533" spans="1:23" s="37" customFormat="1" ht="14.4" x14ac:dyDescent="0.3">
      <c r="A533" s="37">
        <v>38719</v>
      </c>
      <c r="B533" s="37" t="s">
        <v>4171</v>
      </c>
      <c r="C533" s="37">
        <v>92533159</v>
      </c>
      <c r="E533" s="37" t="s">
        <v>2511</v>
      </c>
      <c r="F533" s="37" t="s">
        <v>2512</v>
      </c>
      <c r="G533" s="37" t="s">
        <v>2513</v>
      </c>
      <c r="H533" s="37" t="s">
        <v>2514</v>
      </c>
      <c r="I533" s="37" t="s">
        <v>2515</v>
      </c>
      <c r="J533" s="37" t="s">
        <v>68</v>
      </c>
      <c r="K533" s="37" t="s">
        <v>2505</v>
      </c>
      <c r="L533" s="37" t="s">
        <v>2505</v>
      </c>
      <c r="M533" s="37">
        <v>25736</v>
      </c>
      <c r="N533" s="38" t="s">
        <v>503</v>
      </c>
      <c r="S533" s="23">
        <f>VLOOKUP(A533,Hoja1!A:D,4,0)</f>
        <v>3</v>
      </c>
      <c r="T533" s="26" t="str">
        <f>VLOOKUP(M533,[1]TIPOLOGIAS!$A:$F,4,0)</f>
        <v>BOGOTA</v>
      </c>
      <c r="U533" s="26" t="str">
        <f>VLOOKUP(T533,'BASE TARIFA 2025'!C:D,2,0)</f>
        <v>WOMPI CENTRO</v>
      </c>
      <c r="V533" s="27">
        <f>VLOOKUP(T533,'BASE TARIFA 2025'!C:F,3,0)</f>
        <v>37313</v>
      </c>
      <c r="W533" s="27">
        <f t="shared" si="8"/>
        <v>111939</v>
      </c>
    </row>
    <row r="534" spans="1:23" s="37" customFormat="1" ht="14.4" x14ac:dyDescent="0.3">
      <c r="A534" s="37">
        <v>39870</v>
      </c>
      <c r="B534" s="37" t="s">
        <v>4172</v>
      </c>
      <c r="C534" s="37">
        <v>800253616</v>
      </c>
      <c r="D534" s="37" t="s">
        <v>128</v>
      </c>
      <c r="E534" s="37" t="s">
        <v>2516</v>
      </c>
      <c r="F534" s="37" t="s">
        <v>2516</v>
      </c>
      <c r="G534" s="37" t="s">
        <v>2517</v>
      </c>
      <c r="H534" s="37" t="s">
        <v>2518</v>
      </c>
      <c r="I534" s="37" t="s">
        <v>2519</v>
      </c>
      <c r="J534" s="37" t="s">
        <v>68</v>
      </c>
      <c r="K534" s="37" t="s">
        <v>2505</v>
      </c>
      <c r="L534" s="37" t="s">
        <v>2505</v>
      </c>
      <c r="M534" s="37">
        <v>25736</v>
      </c>
      <c r="N534" s="38" t="s">
        <v>503</v>
      </c>
      <c r="S534" s="23">
        <f>VLOOKUP(A534,Hoja1!A:D,4,0)</f>
        <v>1</v>
      </c>
      <c r="T534" s="26" t="str">
        <f>VLOOKUP(M534,[1]TIPOLOGIAS!$A:$F,4,0)</f>
        <v>BOGOTA</v>
      </c>
      <c r="U534" s="26" t="str">
        <f>VLOOKUP(T534,'BASE TARIFA 2025'!C:D,2,0)</f>
        <v>WOMPI CENTRO</v>
      </c>
      <c r="V534" s="27">
        <f>VLOOKUP(T534,'BASE TARIFA 2025'!C:F,3,0)</f>
        <v>37313</v>
      </c>
      <c r="W534" s="27">
        <f t="shared" si="8"/>
        <v>37313</v>
      </c>
    </row>
    <row r="535" spans="1:23" s="37" customFormat="1" ht="14.4" x14ac:dyDescent="0.3">
      <c r="A535" s="37">
        <v>33522</v>
      </c>
      <c r="B535" s="37" t="s">
        <v>4173</v>
      </c>
      <c r="C535" s="37">
        <v>1143337129</v>
      </c>
      <c r="D535" s="37" t="s">
        <v>67</v>
      </c>
      <c r="E535" s="37" t="s">
        <v>2520</v>
      </c>
      <c r="F535" s="37" t="s">
        <v>2520</v>
      </c>
      <c r="G535" s="37" t="s">
        <v>2521</v>
      </c>
      <c r="H535" s="37" t="s">
        <v>2522</v>
      </c>
      <c r="I535" s="37" t="s">
        <v>2523</v>
      </c>
      <c r="J535" s="37" t="s">
        <v>68</v>
      </c>
      <c r="K535" s="37" t="s">
        <v>2505</v>
      </c>
      <c r="L535" s="37" t="s">
        <v>2505</v>
      </c>
      <c r="M535" s="37">
        <v>25736</v>
      </c>
      <c r="N535" s="38" t="s">
        <v>329</v>
      </c>
      <c r="S535" s="23">
        <f>VLOOKUP(A535,Hoja1!A:D,4,0)</f>
        <v>2</v>
      </c>
      <c r="T535" s="26" t="str">
        <f>VLOOKUP(M535,[1]TIPOLOGIAS!$A:$F,4,0)</f>
        <v>BOGOTA</v>
      </c>
      <c r="U535" s="26" t="str">
        <f>VLOOKUP(T535,'BASE TARIFA 2025'!C:D,2,0)</f>
        <v>WOMPI CENTRO</v>
      </c>
      <c r="V535" s="27">
        <f>VLOOKUP(T535,'BASE TARIFA 2025'!C:F,3,0)</f>
        <v>37313</v>
      </c>
      <c r="W535" s="27">
        <f t="shared" si="8"/>
        <v>74626</v>
      </c>
    </row>
    <row r="536" spans="1:23" s="37" customFormat="1" ht="14.4" x14ac:dyDescent="0.3">
      <c r="A536" s="37">
        <v>24567</v>
      </c>
      <c r="B536" s="37" t="s">
        <v>4174</v>
      </c>
      <c r="C536" s="37">
        <v>900925006</v>
      </c>
      <c r="D536" s="37" t="s">
        <v>2524</v>
      </c>
      <c r="E536" s="37" t="s">
        <v>2524</v>
      </c>
      <c r="F536" s="37" t="s">
        <v>2525</v>
      </c>
      <c r="G536" s="37" t="s">
        <v>2526</v>
      </c>
      <c r="H536" s="37" t="s">
        <v>2527</v>
      </c>
      <c r="I536" s="37" t="s">
        <v>2528</v>
      </c>
      <c r="J536" s="37" t="s">
        <v>68</v>
      </c>
      <c r="K536" s="37" t="s">
        <v>2505</v>
      </c>
      <c r="L536" s="37" t="s">
        <v>2505</v>
      </c>
      <c r="M536" s="37">
        <v>25736</v>
      </c>
      <c r="N536" s="38" t="s">
        <v>329</v>
      </c>
      <c r="S536" s="23">
        <f>VLOOKUP(A536,Hoja1!A:D,4,0)</f>
        <v>1</v>
      </c>
      <c r="T536" s="26" t="str">
        <f>VLOOKUP(M536,[1]TIPOLOGIAS!$A:$F,4,0)</f>
        <v>BOGOTA</v>
      </c>
      <c r="U536" s="26" t="str">
        <f>VLOOKUP(T536,'BASE TARIFA 2025'!C:D,2,0)</f>
        <v>WOMPI CENTRO</v>
      </c>
      <c r="V536" s="27">
        <f>VLOOKUP(T536,'BASE TARIFA 2025'!C:F,3,0)</f>
        <v>37313</v>
      </c>
      <c r="W536" s="27">
        <f t="shared" si="8"/>
        <v>37313</v>
      </c>
    </row>
    <row r="537" spans="1:23" s="37" customFormat="1" ht="14.4" x14ac:dyDescent="0.3">
      <c r="A537" s="37">
        <v>17271</v>
      </c>
      <c r="B537" s="37" t="s">
        <v>4175</v>
      </c>
      <c r="C537" s="37">
        <v>5937128</v>
      </c>
      <c r="D537" s="37" t="s">
        <v>2529</v>
      </c>
      <c r="E537" s="37" t="s">
        <v>2529</v>
      </c>
      <c r="F537" s="37" t="s">
        <v>2530</v>
      </c>
      <c r="G537" s="37" t="s">
        <v>2531</v>
      </c>
      <c r="H537" s="37" t="s">
        <v>2532</v>
      </c>
      <c r="I537" s="37" t="s">
        <v>2533</v>
      </c>
      <c r="J537" s="37" t="s">
        <v>68</v>
      </c>
      <c r="K537" s="37" t="s">
        <v>2505</v>
      </c>
      <c r="L537" s="37" t="s">
        <v>2505</v>
      </c>
      <c r="M537" s="37">
        <v>25736</v>
      </c>
      <c r="N537" s="38" t="s">
        <v>503</v>
      </c>
      <c r="S537" s="23">
        <f>VLOOKUP(A537,Hoja1!A:D,4,0)</f>
        <v>2</v>
      </c>
      <c r="T537" s="26" t="str">
        <f>VLOOKUP(M537,[1]TIPOLOGIAS!$A:$F,4,0)</f>
        <v>BOGOTA</v>
      </c>
      <c r="U537" s="26" t="str">
        <f>VLOOKUP(T537,'BASE TARIFA 2025'!C:D,2,0)</f>
        <v>WOMPI CENTRO</v>
      </c>
      <c r="V537" s="27">
        <f>VLOOKUP(T537,'BASE TARIFA 2025'!C:F,3,0)</f>
        <v>37313</v>
      </c>
      <c r="W537" s="27">
        <f t="shared" si="8"/>
        <v>74626</v>
      </c>
    </row>
    <row r="538" spans="1:23" s="37" customFormat="1" ht="14.4" x14ac:dyDescent="0.3">
      <c r="A538" s="37">
        <v>16255</v>
      </c>
      <c r="B538" s="37" t="s">
        <v>4176</v>
      </c>
      <c r="C538" s="37">
        <v>93366285</v>
      </c>
      <c r="D538" s="37" t="s">
        <v>2534</v>
      </c>
      <c r="E538" s="37" t="s">
        <v>2535</v>
      </c>
      <c r="F538" s="37" t="s">
        <v>2535</v>
      </c>
      <c r="G538" s="37" t="s">
        <v>2536</v>
      </c>
      <c r="H538" s="37" t="s">
        <v>2537</v>
      </c>
      <c r="I538" s="37" t="s">
        <v>2538</v>
      </c>
      <c r="J538" s="37" t="s">
        <v>68</v>
      </c>
      <c r="K538" s="37" t="s">
        <v>138</v>
      </c>
      <c r="L538" s="37" t="s">
        <v>138</v>
      </c>
      <c r="M538" s="37">
        <v>25754</v>
      </c>
      <c r="N538" s="38" t="s">
        <v>321</v>
      </c>
      <c r="S538" s="23">
        <f>VLOOKUP(A538,Hoja1!A:D,4,0)</f>
        <v>2</v>
      </c>
      <c r="T538" s="26" t="str">
        <f>VLOOKUP(M538,[1]TIPOLOGIAS!$A:$F,4,0)</f>
        <v>BOGOTA</v>
      </c>
      <c r="U538" s="26" t="str">
        <f>VLOOKUP(T538,'BASE TARIFA 2025'!C:D,2,0)</f>
        <v>WOMPI CENTRO</v>
      </c>
      <c r="V538" s="27">
        <f>VLOOKUP(T538,'BASE TARIFA 2025'!C:F,3,0)</f>
        <v>37313</v>
      </c>
      <c r="W538" s="27">
        <f t="shared" si="8"/>
        <v>74626</v>
      </c>
    </row>
    <row r="539" spans="1:23" s="37" customFormat="1" ht="14.4" x14ac:dyDescent="0.3">
      <c r="A539" s="37">
        <v>78083</v>
      </c>
      <c r="B539" s="37" t="s">
        <v>4177</v>
      </c>
      <c r="C539" s="37">
        <v>1110518655</v>
      </c>
      <c r="D539" s="37" t="s">
        <v>2539</v>
      </c>
      <c r="E539" s="37" t="s">
        <v>2540</v>
      </c>
      <c r="F539" s="37" t="s">
        <v>2541</v>
      </c>
      <c r="G539" s="37" t="s">
        <v>2542</v>
      </c>
      <c r="H539" s="37" t="s">
        <v>2543</v>
      </c>
      <c r="I539" s="37" t="s">
        <v>2544</v>
      </c>
      <c r="J539" s="37" t="s">
        <v>68</v>
      </c>
      <c r="K539" s="37" t="s">
        <v>138</v>
      </c>
      <c r="L539" s="37" t="s">
        <v>138</v>
      </c>
      <c r="M539" s="37">
        <v>25754</v>
      </c>
      <c r="N539" s="38" t="s">
        <v>321</v>
      </c>
      <c r="S539" s="23">
        <f>VLOOKUP(A539,Hoja1!A:D,4,0)</f>
        <v>1</v>
      </c>
      <c r="T539" s="26" t="str">
        <f>VLOOKUP(M539,[1]TIPOLOGIAS!$A:$F,4,0)</f>
        <v>BOGOTA</v>
      </c>
      <c r="U539" s="26" t="str">
        <f>VLOOKUP(T539,'BASE TARIFA 2025'!C:D,2,0)</f>
        <v>WOMPI CENTRO</v>
      </c>
      <c r="V539" s="27">
        <f>VLOOKUP(T539,'BASE TARIFA 2025'!C:F,3,0)</f>
        <v>37313</v>
      </c>
      <c r="W539" s="27">
        <f t="shared" si="8"/>
        <v>37313</v>
      </c>
    </row>
    <row r="540" spans="1:23" s="37" customFormat="1" ht="14.4" x14ac:dyDescent="0.3">
      <c r="A540" s="37">
        <v>78528</v>
      </c>
      <c r="B540" s="37" t="s">
        <v>4178</v>
      </c>
      <c r="C540" s="37">
        <v>1104706033</v>
      </c>
      <c r="D540" s="37" t="s">
        <v>2545</v>
      </c>
      <c r="E540" s="37" t="s">
        <v>2545</v>
      </c>
      <c r="G540" s="37" t="s">
        <v>2546</v>
      </c>
      <c r="H540" s="37" t="s">
        <v>2547</v>
      </c>
      <c r="I540" s="37" t="s">
        <v>2548</v>
      </c>
      <c r="J540" s="37" t="s">
        <v>68</v>
      </c>
      <c r="K540" s="37" t="s">
        <v>138</v>
      </c>
      <c r="L540" s="37" t="s">
        <v>138</v>
      </c>
      <c r="M540" s="37">
        <v>25754</v>
      </c>
      <c r="N540" s="38" t="s">
        <v>485</v>
      </c>
      <c r="S540" s="23">
        <f>VLOOKUP(A540,Hoja1!A:D,4,0)</f>
        <v>2</v>
      </c>
      <c r="T540" s="26" t="str">
        <f>VLOOKUP(M540,[1]TIPOLOGIAS!$A:$F,4,0)</f>
        <v>BOGOTA</v>
      </c>
      <c r="U540" s="26" t="str">
        <f>VLOOKUP(T540,'BASE TARIFA 2025'!C:D,2,0)</f>
        <v>WOMPI CENTRO</v>
      </c>
      <c r="V540" s="27">
        <f>VLOOKUP(T540,'BASE TARIFA 2025'!C:F,3,0)</f>
        <v>37313</v>
      </c>
      <c r="W540" s="27">
        <f t="shared" si="8"/>
        <v>74626</v>
      </c>
    </row>
    <row r="541" spans="1:23" s="37" customFormat="1" ht="14.4" x14ac:dyDescent="0.3">
      <c r="A541" s="37">
        <v>78382</v>
      </c>
      <c r="B541" s="37" t="s">
        <v>4179</v>
      </c>
      <c r="C541" s="37">
        <v>1088026850</v>
      </c>
      <c r="D541" s="37" t="s">
        <v>2549</v>
      </c>
      <c r="E541" s="37" t="s">
        <v>2550</v>
      </c>
      <c r="F541" s="37" t="s">
        <v>2549</v>
      </c>
      <c r="G541" s="37" t="s">
        <v>2551</v>
      </c>
      <c r="H541" s="37" t="s">
        <v>2552</v>
      </c>
      <c r="I541" s="37" t="s">
        <v>2553</v>
      </c>
      <c r="J541" s="37" t="s">
        <v>90</v>
      </c>
      <c r="K541" s="37" t="s">
        <v>155</v>
      </c>
      <c r="L541" s="37" t="s">
        <v>155</v>
      </c>
      <c r="M541" s="37">
        <v>54001</v>
      </c>
      <c r="N541" s="38" t="s">
        <v>503</v>
      </c>
      <c r="S541" s="23">
        <f>VLOOKUP(A541,Hoja1!A:D,4,0)</f>
        <v>3</v>
      </c>
      <c r="T541" s="26" t="str">
        <f>VLOOKUP(M541,[1]TIPOLOGIAS!$A:$F,4,0)</f>
        <v>CUCUTA</v>
      </c>
      <c r="U541" s="26" t="str">
        <f>VLOOKUP(T541,'BASE TARIFA 2025'!C:D,2,0)</f>
        <v>WOMPI SANTANDERES</v>
      </c>
      <c r="V541" s="27">
        <f>VLOOKUP(T541,'BASE TARIFA 2025'!C:F,3,0)</f>
        <v>49671.7</v>
      </c>
      <c r="W541" s="27">
        <f t="shared" si="8"/>
        <v>149015.09999999998</v>
      </c>
    </row>
    <row r="542" spans="1:23" s="37" customFormat="1" ht="14.4" x14ac:dyDescent="0.3">
      <c r="A542" s="37">
        <v>77676</v>
      </c>
      <c r="B542" s="37" t="s">
        <v>4180</v>
      </c>
      <c r="C542" s="37">
        <v>19363882</v>
      </c>
      <c r="E542" s="37" t="s">
        <v>1399</v>
      </c>
      <c r="F542" s="37" t="s">
        <v>2554</v>
      </c>
      <c r="G542" s="37" t="s">
        <v>2555</v>
      </c>
      <c r="H542" s="37" t="s">
        <v>2556</v>
      </c>
      <c r="I542" s="37" t="s">
        <v>2557</v>
      </c>
      <c r="J542" s="37" t="s">
        <v>90</v>
      </c>
      <c r="K542" s="37" t="s">
        <v>155</v>
      </c>
      <c r="L542" s="37" t="s">
        <v>155</v>
      </c>
      <c r="M542" s="37">
        <v>54001</v>
      </c>
      <c r="N542" s="38" t="s">
        <v>430</v>
      </c>
      <c r="S542" s="23">
        <f>VLOOKUP(A542,Hoja1!A:D,4,0)</f>
        <v>1</v>
      </c>
      <c r="T542" s="26" t="str">
        <f>VLOOKUP(M542,[1]TIPOLOGIAS!$A:$F,4,0)</f>
        <v>CUCUTA</v>
      </c>
      <c r="U542" s="26" t="str">
        <f>VLOOKUP(T542,'BASE TARIFA 2025'!C:D,2,0)</f>
        <v>WOMPI SANTANDERES</v>
      </c>
      <c r="V542" s="27">
        <f>VLOOKUP(T542,'BASE TARIFA 2025'!C:F,3,0)</f>
        <v>49671.7</v>
      </c>
      <c r="W542" s="27">
        <f t="shared" si="8"/>
        <v>49671.7</v>
      </c>
    </row>
    <row r="543" spans="1:23" s="37" customFormat="1" ht="14.4" x14ac:dyDescent="0.3">
      <c r="A543" s="37">
        <v>78381</v>
      </c>
      <c r="B543" s="37" t="s">
        <v>4181</v>
      </c>
      <c r="C543" s="37">
        <v>1110461982</v>
      </c>
      <c r="D543" s="37" t="s">
        <v>2558</v>
      </c>
      <c r="E543" s="37" t="s">
        <v>2559</v>
      </c>
      <c r="F543" s="37" t="s">
        <v>2559</v>
      </c>
      <c r="G543" s="37" t="s">
        <v>2560</v>
      </c>
      <c r="H543" s="37" t="s">
        <v>2561</v>
      </c>
      <c r="I543" s="37" t="s">
        <v>2562</v>
      </c>
      <c r="J543" s="37" t="s">
        <v>90</v>
      </c>
      <c r="K543" s="37" t="s">
        <v>155</v>
      </c>
      <c r="L543" s="37" t="s">
        <v>155</v>
      </c>
      <c r="M543" s="37">
        <v>54001</v>
      </c>
      <c r="N543" s="38" t="s">
        <v>513</v>
      </c>
      <c r="S543" s="23">
        <f>VLOOKUP(A543,Hoja1!A:D,4,0)</f>
        <v>1</v>
      </c>
      <c r="T543" s="26" t="str">
        <f>VLOOKUP(M543,[1]TIPOLOGIAS!$A:$F,4,0)</f>
        <v>CUCUTA</v>
      </c>
      <c r="U543" s="26" t="str">
        <f>VLOOKUP(T543,'BASE TARIFA 2025'!C:D,2,0)</f>
        <v>WOMPI SANTANDERES</v>
      </c>
      <c r="V543" s="27">
        <f>VLOOKUP(T543,'BASE TARIFA 2025'!C:F,3,0)</f>
        <v>49671.7</v>
      </c>
      <c r="W543" s="27">
        <f t="shared" si="8"/>
        <v>49671.7</v>
      </c>
    </row>
    <row r="544" spans="1:23" s="37" customFormat="1" ht="14.4" x14ac:dyDescent="0.3">
      <c r="A544" s="37">
        <v>75410</v>
      </c>
      <c r="B544" s="37" t="s">
        <v>4182</v>
      </c>
      <c r="C544" s="37">
        <v>46450200</v>
      </c>
      <c r="D544" s="37" t="s">
        <v>67</v>
      </c>
      <c r="E544" s="37" t="s">
        <v>2563</v>
      </c>
      <c r="F544" s="37" t="s">
        <v>2563</v>
      </c>
      <c r="G544" s="37" t="s">
        <v>2564</v>
      </c>
      <c r="H544" s="37" t="s">
        <v>2565</v>
      </c>
      <c r="I544" s="37" t="s">
        <v>2566</v>
      </c>
      <c r="J544" s="37" t="s">
        <v>90</v>
      </c>
      <c r="K544" s="37" t="s">
        <v>155</v>
      </c>
      <c r="L544" s="37" t="s">
        <v>155</v>
      </c>
      <c r="M544" s="37">
        <v>54001</v>
      </c>
      <c r="N544" s="38" t="s">
        <v>503</v>
      </c>
      <c r="S544" s="23">
        <f>VLOOKUP(A544,Hoja1!A:D,4,0)</f>
        <v>1</v>
      </c>
      <c r="T544" s="26" t="str">
        <f>VLOOKUP(M544,[1]TIPOLOGIAS!$A:$F,4,0)</f>
        <v>CUCUTA</v>
      </c>
      <c r="U544" s="26" t="str">
        <f>VLOOKUP(T544,'BASE TARIFA 2025'!C:D,2,0)</f>
        <v>WOMPI SANTANDERES</v>
      </c>
      <c r="V544" s="27">
        <f>VLOOKUP(T544,'BASE TARIFA 2025'!C:F,3,0)</f>
        <v>49671.7</v>
      </c>
      <c r="W544" s="27">
        <f t="shared" si="8"/>
        <v>49671.7</v>
      </c>
    </row>
    <row r="545" spans="1:23" s="37" customFormat="1" ht="14.4" x14ac:dyDescent="0.3">
      <c r="A545" s="37">
        <v>73076</v>
      </c>
      <c r="B545" s="37" t="s">
        <v>4183</v>
      </c>
      <c r="C545" s="37">
        <v>80111905</v>
      </c>
      <c r="D545" s="37" t="s">
        <v>67</v>
      </c>
      <c r="E545" s="37" t="s">
        <v>2567</v>
      </c>
      <c r="F545" s="37" t="s">
        <v>2567</v>
      </c>
      <c r="G545" s="37" t="s">
        <v>2568</v>
      </c>
      <c r="H545" s="37" t="s">
        <v>2569</v>
      </c>
      <c r="I545" s="37" t="s">
        <v>2570</v>
      </c>
      <c r="J545" s="37" t="s">
        <v>90</v>
      </c>
      <c r="K545" s="37" t="s">
        <v>155</v>
      </c>
      <c r="L545" s="37" t="s">
        <v>155</v>
      </c>
      <c r="M545" s="37">
        <v>54001</v>
      </c>
      <c r="N545" s="38" t="s">
        <v>430</v>
      </c>
      <c r="S545" s="23">
        <f>VLOOKUP(A545,Hoja1!A:D,4,0)</f>
        <v>1</v>
      </c>
      <c r="T545" s="26" t="str">
        <f>VLOOKUP(M545,[1]TIPOLOGIAS!$A:$F,4,0)</f>
        <v>CUCUTA</v>
      </c>
      <c r="U545" s="26" t="str">
        <f>VLOOKUP(T545,'BASE TARIFA 2025'!C:D,2,0)</f>
        <v>WOMPI SANTANDERES</v>
      </c>
      <c r="V545" s="27">
        <f>VLOOKUP(T545,'BASE TARIFA 2025'!C:F,3,0)</f>
        <v>49671.7</v>
      </c>
      <c r="W545" s="27">
        <f t="shared" si="8"/>
        <v>49671.7</v>
      </c>
    </row>
    <row r="546" spans="1:23" s="37" customFormat="1" ht="14.4" x14ac:dyDescent="0.3">
      <c r="A546" s="37">
        <v>70850</v>
      </c>
      <c r="B546" s="37" t="s">
        <v>4184</v>
      </c>
      <c r="C546" s="37">
        <v>1110448327</v>
      </c>
      <c r="D546" s="37" t="s">
        <v>2571</v>
      </c>
      <c r="E546" s="37" t="s">
        <v>2572</v>
      </c>
      <c r="F546" s="37" t="s">
        <v>2572</v>
      </c>
      <c r="G546" s="37" t="s">
        <v>2573</v>
      </c>
      <c r="H546" s="37" t="s">
        <v>2408</v>
      </c>
      <c r="I546" s="37" t="s">
        <v>2574</v>
      </c>
      <c r="J546" s="37" t="s">
        <v>90</v>
      </c>
      <c r="K546" s="37" t="s">
        <v>155</v>
      </c>
      <c r="L546" s="37" t="s">
        <v>155</v>
      </c>
      <c r="M546" s="37">
        <v>54001</v>
      </c>
      <c r="N546" s="38" t="s">
        <v>513</v>
      </c>
      <c r="S546" s="23">
        <f>VLOOKUP(A546,Hoja1!A:D,4,0)</f>
        <v>2</v>
      </c>
      <c r="T546" s="26" t="str">
        <f>VLOOKUP(M546,[1]TIPOLOGIAS!$A:$F,4,0)</f>
        <v>CUCUTA</v>
      </c>
      <c r="U546" s="26" t="str">
        <f>VLOOKUP(T546,'BASE TARIFA 2025'!C:D,2,0)</f>
        <v>WOMPI SANTANDERES</v>
      </c>
      <c r="V546" s="27">
        <f>VLOOKUP(T546,'BASE TARIFA 2025'!C:F,3,0)</f>
        <v>49671.7</v>
      </c>
      <c r="W546" s="27">
        <f t="shared" si="8"/>
        <v>99343.4</v>
      </c>
    </row>
    <row r="547" spans="1:23" s="37" customFormat="1" ht="14.4" x14ac:dyDescent="0.3">
      <c r="A547" s="37">
        <v>67622</v>
      </c>
      <c r="B547" s="37" t="s">
        <v>4185</v>
      </c>
      <c r="C547" s="37">
        <v>65763427</v>
      </c>
      <c r="D547" s="37" t="s">
        <v>2575</v>
      </c>
      <c r="E547" s="37" t="s">
        <v>2575</v>
      </c>
      <c r="F547" s="37" t="s">
        <v>2575</v>
      </c>
      <c r="G547" s="37" t="s">
        <v>2576</v>
      </c>
      <c r="H547" s="37" t="s">
        <v>2577</v>
      </c>
      <c r="I547" s="37" t="s">
        <v>2578</v>
      </c>
      <c r="J547" s="37" t="s">
        <v>83</v>
      </c>
      <c r="K547" s="37" t="s">
        <v>2441</v>
      </c>
      <c r="L547" s="37" t="s">
        <v>2441</v>
      </c>
      <c r="M547" s="37">
        <v>23068</v>
      </c>
      <c r="N547" s="38" t="s">
        <v>480</v>
      </c>
      <c r="S547" s="23">
        <f>VLOOKUP(A547,Hoja1!A:D,4,0)</f>
        <v>2</v>
      </c>
      <c r="T547" s="26" t="str">
        <f>VLOOKUP(M547,[1]TIPOLOGIAS!$A:$F,4,0)</f>
        <v>MONTERIA</v>
      </c>
      <c r="U547" s="26" t="str">
        <f>VLOOKUP(T547,'BASE TARIFA 2025'!C:D,2,0)</f>
        <v>WOMPI COSTA</v>
      </c>
      <c r="V547" s="27">
        <f>VLOOKUP(T547,'BASE TARIFA 2025'!C:F,3,0)</f>
        <v>37313</v>
      </c>
      <c r="W547" s="27">
        <f t="shared" si="8"/>
        <v>74626</v>
      </c>
    </row>
    <row r="548" spans="1:23" s="37" customFormat="1" ht="14.4" x14ac:dyDescent="0.3">
      <c r="A548" s="37">
        <v>67380</v>
      </c>
      <c r="B548" s="37" t="s">
        <v>4186</v>
      </c>
      <c r="C548" s="37">
        <v>1110492992</v>
      </c>
      <c r="D548" s="37" t="s">
        <v>2579</v>
      </c>
      <c r="E548" s="37" t="s">
        <v>2580</v>
      </c>
      <c r="F548" s="37" t="s">
        <v>2580</v>
      </c>
      <c r="G548" s="37" t="s">
        <v>2581</v>
      </c>
      <c r="H548" s="37" t="s">
        <v>2582</v>
      </c>
      <c r="I548" s="37" t="s">
        <v>2583</v>
      </c>
      <c r="J548" s="37" t="s">
        <v>83</v>
      </c>
      <c r="K548" s="37" t="s">
        <v>185</v>
      </c>
      <c r="L548" s="37" t="s">
        <v>185</v>
      </c>
      <c r="M548" s="37">
        <v>23670</v>
      </c>
      <c r="N548" s="38" t="s">
        <v>324</v>
      </c>
      <c r="S548" s="23">
        <f>VLOOKUP(A548,Hoja1!A:D,4,0)</f>
        <v>2</v>
      </c>
      <c r="T548" s="26" t="str">
        <f>VLOOKUP(M548,[1]TIPOLOGIAS!$A:$F,4,0)</f>
        <v>MONTERIA</v>
      </c>
      <c r="U548" s="26" t="str">
        <f>VLOOKUP(T548,'BASE TARIFA 2025'!C:D,2,0)</f>
        <v>WOMPI COSTA</v>
      </c>
      <c r="V548" s="27">
        <f>VLOOKUP(T548,'BASE TARIFA 2025'!C:F,3,0)</f>
        <v>37313</v>
      </c>
      <c r="W548" s="27">
        <f t="shared" si="8"/>
        <v>74626</v>
      </c>
    </row>
    <row r="549" spans="1:23" s="37" customFormat="1" ht="14.4" x14ac:dyDescent="0.3">
      <c r="A549" s="37">
        <v>65316</v>
      </c>
      <c r="B549" s="37" t="s">
        <v>4187</v>
      </c>
      <c r="C549" s="37">
        <v>6030761</v>
      </c>
      <c r="D549" s="37" t="s">
        <v>2584</v>
      </c>
      <c r="E549" s="37" t="s">
        <v>2584</v>
      </c>
      <c r="F549" s="37" t="s">
        <v>2584</v>
      </c>
      <c r="G549" s="37" t="s">
        <v>2585</v>
      </c>
      <c r="H549" s="37" t="s">
        <v>2586</v>
      </c>
      <c r="I549" s="37" t="s">
        <v>2587</v>
      </c>
      <c r="J549" s="37" t="s">
        <v>83</v>
      </c>
      <c r="K549" s="37" t="s">
        <v>185</v>
      </c>
      <c r="L549" s="37" t="s">
        <v>185</v>
      </c>
      <c r="M549" s="37">
        <v>23670</v>
      </c>
      <c r="N549" s="38" t="s">
        <v>324</v>
      </c>
      <c r="S549" s="23">
        <f>VLOOKUP(A549,Hoja1!A:D,4,0)</f>
        <v>2</v>
      </c>
      <c r="T549" s="26" t="str">
        <f>VLOOKUP(M549,[1]TIPOLOGIAS!$A:$F,4,0)</f>
        <v>MONTERIA</v>
      </c>
      <c r="U549" s="26" t="str">
        <f>VLOOKUP(T549,'BASE TARIFA 2025'!C:D,2,0)</f>
        <v>WOMPI COSTA</v>
      </c>
      <c r="V549" s="27">
        <f>VLOOKUP(T549,'BASE TARIFA 2025'!C:F,3,0)</f>
        <v>37313</v>
      </c>
      <c r="W549" s="27">
        <f t="shared" si="8"/>
        <v>74626</v>
      </c>
    </row>
    <row r="550" spans="1:23" s="37" customFormat="1" ht="14.4" x14ac:dyDescent="0.3">
      <c r="A550" s="37">
        <v>63485</v>
      </c>
      <c r="B550" s="37" t="s">
        <v>4188</v>
      </c>
      <c r="C550" s="37">
        <v>80111905</v>
      </c>
      <c r="D550" s="37" t="s">
        <v>2588</v>
      </c>
      <c r="E550" s="37" t="s">
        <v>2589</v>
      </c>
      <c r="F550" s="37" t="s">
        <v>2589</v>
      </c>
      <c r="G550" s="37" t="s">
        <v>2590</v>
      </c>
      <c r="H550" s="37" t="s">
        <v>2591</v>
      </c>
      <c r="I550" s="37" t="s">
        <v>2592</v>
      </c>
      <c r="J550" s="37" t="s">
        <v>83</v>
      </c>
      <c r="K550" s="37" t="s">
        <v>186</v>
      </c>
      <c r="L550" s="37" t="s">
        <v>186</v>
      </c>
      <c r="M550" s="37">
        <v>23672</v>
      </c>
      <c r="N550" s="38" t="s">
        <v>327</v>
      </c>
      <c r="S550" s="23">
        <f>VLOOKUP(A550,Hoja1!A:D,4,0)</f>
        <v>2</v>
      </c>
      <c r="T550" s="26" t="str">
        <f>VLOOKUP(M550,[1]TIPOLOGIAS!$A:$F,4,0)</f>
        <v>MONTERIA</v>
      </c>
      <c r="U550" s="26" t="str">
        <f>VLOOKUP(T550,'BASE TARIFA 2025'!C:D,2,0)</f>
        <v>WOMPI COSTA</v>
      </c>
      <c r="V550" s="27">
        <f>VLOOKUP(T550,'BASE TARIFA 2025'!C:F,3,0)</f>
        <v>37313</v>
      </c>
      <c r="W550" s="27">
        <f t="shared" si="8"/>
        <v>74626</v>
      </c>
    </row>
    <row r="551" spans="1:23" s="37" customFormat="1" ht="14.4" x14ac:dyDescent="0.3">
      <c r="A551" s="37">
        <v>64973</v>
      </c>
      <c r="B551" s="37" t="s">
        <v>3647</v>
      </c>
      <c r="C551" s="37">
        <v>65553424</v>
      </c>
      <c r="D551" s="37" t="s">
        <v>2593</v>
      </c>
      <c r="E551" s="37" t="s">
        <v>2594</v>
      </c>
      <c r="F551" s="37" t="s">
        <v>2594</v>
      </c>
      <c r="G551" s="37" t="s">
        <v>2595</v>
      </c>
      <c r="H551" s="37" t="s">
        <v>2596</v>
      </c>
      <c r="I551" s="37" t="s">
        <v>2597</v>
      </c>
      <c r="J551" s="37" t="s">
        <v>83</v>
      </c>
      <c r="K551" s="37" t="s">
        <v>186</v>
      </c>
      <c r="L551" s="37" t="s">
        <v>186</v>
      </c>
      <c r="M551" s="37">
        <v>23672</v>
      </c>
      <c r="N551" s="38" t="s">
        <v>327</v>
      </c>
      <c r="S551" s="23">
        <f>VLOOKUP(A551,Hoja1!A:D,4,0)</f>
        <v>1</v>
      </c>
      <c r="T551" s="26" t="str">
        <f>VLOOKUP(M551,[1]TIPOLOGIAS!$A:$F,4,0)</f>
        <v>MONTERIA</v>
      </c>
      <c r="U551" s="26" t="str">
        <f>VLOOKUP(T551,'BASE TARIFA 2025'!C:D,2,0)</f>
        <v>WOMPI COSTA</v>
      </c>
      <c r="V551" s="27">
        <f>VLOOKUP(T551,'BASE TARIFA 2025'!C:F,3,0)</f>
        <v>37313</v>
      </c>
      <c r="W551" s="27">
        <f t="shared" si="8"/>
        <v>37313</v>
      </c>
    </row>
    <row r="552" spans="1:23" s="37" customFormat="1" ht="14.4" x14ac:dyDescent="0.3">
      <c r="A552" s="37">
        <v>65322</v>
      </c>
      <c r="B552" s="37" t="s">
        <v>4189</v>
      </c>
      <c r="C552" s="37">
        <v>65732523</v>
      </c>
      <c r="D552" s="37" t="s">
        <v>67</v>
      </c>
      <c r="E552" s="37" t="s">
        <v>2598</v>
      </c>
      <c r="F552" s="37" t="s">
        <v>2599</v>
      </c>
      <c r="G552" s="37" t="s">
        <v>2600</v>
      </c>
      <c r="H552" s="37" t="s">
        <v>2601</v>
      </c>
      <c r="I552" s="37" t="s">
        <v>2602</v>
      </c>
      <c r="J552" s="37" t="s">
        <v>68</v>
      </c>
      <c r="K552" s="37" t="s">
        <v>2603</v>
      </c>
      <c r="L552" s="37" t="s">
        <v>2603</v>
      </c>
      <c r="M552" s="37">
        <v>25513</v>
      </c>
      <c r="N552" s="38" t="s">
        <v>708</v>
      </c>
      <c r="S552" s="23">
        <f>VLOOKUP(A552,Hoja1!A:D,4,0)</f>
        <v>1</v>
      </c>
      <c r="T552" s="26" t="str">
        <f>VLOOKUP(M552,[1]TIPOLOGIAS!$A:$F,4,0)</f>
        <v>BOGOTA</v>
      </c>
      <c r="U552" s="26" t="str">
        <f>VLOOKUP(T552,'BASE TARIFA 2025'!C:D,2,0)</f>
        <v>WOMPI CENTRO</v>
      </c>
      <c r="V552" s="27">
        <f>VLOOKUP(T552,'BASE TARIFA 2025'!C:F,3,0)</f>
        <v>37313</v>
      </c>
      <c r="W552" s="27">
        <f t="shared" si="8"/>
        <v>37313</v>
      </c>
    </row>
    <row r="553" spans="1:23" s="37" customFormat="1" ht="14.4" x14ac:dyDescent="0.3">
      <c r="A553" s="37">
        <v>18095</v>
      </c>
      <c r="B553" s="37" t="s">
        <v>4190</v>
      </c>
      <c r="C553" s="37">
        <v>14234425</v>
      </c>
      <c r="D553" s="37" t="s">
        <v>67</v>
      </c>
      <c r="E553" s="37" t="s">
        <v>2604</v>
      </c>
      <c r="F553" s="37" t="s">
        <v>2604</v>
      </c>
      <c r="G553" s="37" t="s">
        <v>2605</v>
      </c>
      <c r="H553" s="37" t="s">
        <v>2606</v>
      </c>
      <c r="I553" s="37" t="s">
        <v>2607</v>
      </c>
      <c r="J553" s="37" t="s">
        <v>68</v>
      </c>
      <c r="K553" s="37" t="s">
        <v>2603</v>
      </c>
      <c r="L553" s="37" t="s">
        <v>2603</v>
      </c>
      <c r="M553" s="37">
        <v>25513</v>
      </c>
      <c r="N553" s="38" t="s">
        <v>324</v>
      </c>
      <c r="S553" s="23">
        <f>VLOOKUP(A553,Hoja1!A:D,4,0)</f>
        <v>6</v>
      </c>
      <c r="T553" s="26" t="str">
        <f>VLOOKUP(M553,[1]TIPOLOGIAS!$A:$F,4,0)</f>
        <v>BOGOTA</v>
      </c>
      <c r="U553" s="26" t="str">
        <f>VLOOKUP(T553,'BASE TARIFA 2025'!C:D,2,0)</f>
        <v>WOMPI CENTRO</v>
      </c>
      <c r="V553" s="27">
        <f>VLOOKUP(T553,'BASE TARIFA 2025'!C:F,3,0)</f>
        <v>37313</v>
      </c>
      <c r="W553" s="27">
        <f t="shared" si="8"/>
        <v>223878</v>
      </c>
    </row>
    <row r="554" spans="1:23" s="37" customFormat="1" ht="14.4" x14ac:dyDescent="0.3">
      <c r="A554" s="37">
        <v>64175</v>
      </c>
      <c r="B554" s="37" t="s">
        <v>4191</v>
      </c>
      <c r="C554" s="37">
        <v>28936832</v>
      </c>
      <c r="D554" s="37" t="s">
        <v>67</v>
      </c>
      <c r="E554" s="37" t="s">
        <v>2608</v>
      </c>
      <c r="F554" s="37" t="s">
        <v>2608</v>
      </c>
      <c r="G554" s="37" t="s">
        <v>2609</v>
      </c>
      <c r="H554" s="37" t="s">
        <v>2610</v>
      </c>
      <c r="I554" s="37" t="s">
        <v>2611</v>
      </c>
      <c r="J554" s="37" t="s">
        <v>68</v>
      </c>
      <c r="K554" s="37" t="s">
        <v>2603</v>
      </c>
      <c r="L554" s="37" t="s">
        <v>2603</v>
      </c>
      <c r="M554" s="37">
        <v>25513</v>
      </c>
      <c r="N554" s="38" t="s">
        <v>324</v>
      </c>
      <c r="S554" s="23">
        <f>VLOOKUP(A554,Hoja1!A:D,4,0)</f>
        <v>2</v>
      </c>
      <c r="T554" s="26" t="str">
        <f>VLOOKUP(M554,[1]TIPOLOGIAS!$A:$F,4,0)</f>
        <v>BOGOTA</v>
      </c>
      <c r="U554" s="26" t="str">
        <f>VLOOKUP(T554,'BASE TARIFA 2025'!C:D,2,0)</f>
        <v>WOMPI CENTRO</v>
      </c>
      <c r="V554" s="27">
        <f>VLOOKUP(T554,'BASE TARIFA 2025'!C:F,3,0)</f>
        <v>37313</v>
      </c>
      <c r="W554" s="27">
        <f t="shared" si="8"/>
        <v>74626</v>
      </c>
    </row>
    <row r="555" spans="1:23" s="37" customFormat="1" ht="14.4" x14ac:dyDescent="0.3">
      <c r="A555" s="37">
        <v>61235</v>
      </c>
      <c r="B555" s="37" t="s">
        <v>4192</v>
      </c>
      <c r="C555" s="37">
        <v>1110547024</v>
      </c>
      <c r="D555" s="37" t="s">
        <v>2612</v>
      </c>
      <c r="E555" s="37" t="s">
        <v>2612</v>
      </c>
      <c r="F555" s="37" t="s">
        <v>2612</v>
      </c>
      <c r="G555" s="37" t="s">
        <v>2613</v>
      </c>
      <c r="H555" s="37" t="s">
        <v>2614</v>
      </c>
      <c r="I555" s="37" t="s">
        <v>2615</v>
      </c>
      <c r="J555" s="37" t="s">
        <v>68</v>
      </c>
      <c r="K555" s="37" t="s">
        <v>2603</v>
      </c>
      <c r="L555" s="37" t="s">
        <v>2603</v>
      </c>
      <c r="M555" s="37">
        <v>25513</v>
      </c>
      <c r="N555" s="38" t="s">
        <v>324</v>
      </c>
      <c r="S555" s="23">
        <f>VLOOKUP(A555,Hoja1!A:D,4,0)</f>
        <v>2</v>
      </c>
      <c r="T555" s="26" t="str">
        <f>VLOOKUP(M555,[1]TIPOLOGIAS!$A:$F,4,0)</f>
        <v>BOGOTA</v>
      </c>
      <c r="U555" s="26" t="str">
        <f>VLOOKUP(T555,'BASE TARIFA 2025'!C:D,2,0)</f>
        <v>WOMPI CENTRO</v>
      </c>
      <c r="V555" s="27">
        <f>VLOOKUP(T555,'BASE TARIFA 2025'!C:F,3,0)</f>
        <v>37313</v>
      </c>
      <c r="W555" s="27">
        <f t="shared" si="8"/>
        <v>74626</v>
      </c>
    </row>
    <row r="556" spans="1:23" s="37" customFormat="1" ht="14.4" x14ac:dyDescent="0.3">
      <c r="A556" s="37">
        <v>61606</v>
      </c>
      <c r="B556" s="37" t="s">
        <v>4193</v>
      </c>
      <c r="C556" s="37">
        <v>1006124226</v>
      </c>
      <c r="D556" s="37" t="s">
        <v>2616</v>
      </c>
      <c r="E556" s="37" t="s">
        <v>2617</v>
      </c>
      <c r="F556" s="37" t="s">
        <v>2617</v>
      </c>
      <c r="G556" s="37" t="s">
        <v>2618</v>
      </c>
      <c r="H556" s="37" t="s">
        <v>2619</v>
      </c>
      <c r="I556" s="37" t="s">
        <v>2620</v>
      </c>
      <c r="J556" s="37" t="s">
        <v>68</v>
      </c>
      <c r="K556" s="37" t="s">
        <v>187</v>
      </c>
      <c r="L556" s="37" t="s">
        <v>187</v>
      </c>
      <c r="M556" s="37">
        <v>25645</v>
      </c>
      <c r="N556" s="38" t="s">
        <v>320</v>
      </c>
      <c r="S556" s="23">
        <f>VLOOKUP(A556,Hoja1!A:D,4,0)</f>
        <v>2</v>
      </c>
      <c r="T556" s="26" t="str">
        <f>VLOOKUP(M556,[1]TIPOLOGIAS!$A:$F,4,0)</f>
        <v>BOGOTA</v>
      </c>
      <c r="U556" s="26" t="str">
        <f>VLOOKUP(T556,'BASE TARIFA 2025'!C:D,2,0)</f>
        <v>WOMPI CENTRO</v>
      </c>
      <c r="V556" s="27">
        <f>VLOOKUP(T556,'BASE TARIFA 2025'!C:F,3,0)</f>
        <v>37313</v>
      </c>
      <c r="W556" s="27">
        <f t="shared" si="8"/>
        <v>74626</v>
      </c>
    </row>
    <row r="557" spans="1:23" s="37" customFormat="1" ht="14.4" x14ac:dyDescent="0.3">
      <c r="A557" s="37">
        <v>60996</v>
      </c>
      <c r="B557" s="37" t="s">
        <v>3645</v>
      </c>
      <c r="C557" s="37">
        <v>1005703282</v>
      </c>
      <c r="D557" s="37" t="s">
        <v>2621</v>
      </c>
      <c r="E557" s="37" t="s">
        <v>2621</v>
      </c>
      <c r="F557" s="37" t="s">
        <v>2621</v>
      </c>
      <c r="G557" s="37" t="s">
        <v>2622</v>
      </c>
      <c r="H557" s="37" t="s">
        <v>2623</v>
      </c>
      <c r="I557" s="37" t="s">
        <v>2624</v>
      </c>
      <c r="J557" s="37" t="s">
        <v>68</v>
      </c>
      <c r="K557" s="37" t="s">
        <v>187</v>
      </c>
      <c r="L557" s="37" t="s">
        <v>187</v>
      </c>
      <c r="M557" s="37">
        <v>25645</v>
      </c>
      <c r="N557" s="38" t="s">
        <v>320</v>
      </c>
      <c r="S557" s="23">
        <f>VLOOKUP(A557,Hoja1!A:D,4,0)</f>
        <v>2</v>
      </c>
      <c r="T557" s="26" t="str">
        <f>VLOOKUP(M557,[1]TIPOLOGIAS!$A:$F,4,0)</f>
        <v>BOGOTA</v>
      </c>
      <c r="U557" s="26" t="str">
        <f>VLOOKUP(T557,'BASE TARIFA 2025'!C:D,2,0)</f>
        <v>WOMPI CENTRO</v>
      </c>
      <c r="V557" s="27">
        <f>VLOOKUP(T557,'BASE TARIFA 2025'!C:F,3,0)</f>
        <v>37313</v>
      </c>
      <c r="W557" s="27">
        <f t="shared" si="8"/>
        <v>74626</v>
      </c>
    </row>
    <row r="558" spans="1:23" s="37" customFormat="1" ht="14.4" x14ac:dyDescent="0.3">
      <c r="A558" s="37">
        <v>59249</v>
      </c>
      <c r="B558" s="37" t="s">
        <v>4194</v>
      </c>
      <c r="C558" s="37">
        <v>38140611</v>
      </c>
      <c r="D558" s="37" t="s">
        <v>2625</v>
      </c>
      <c r="E558" s="37" t="s">
        <v>2626</v>
      </c>
      <c r="F558" s="37" t="s">
        <v>2627</v>
      </c>
      <c r="G558" s="37" t="s">
        <v>2628</v>
      </c>
      <c r="H558" s="37" t="s">
        <v>2629</v>
      </c>
      <c r="I558" s="37" t="s">
        <v>2630</v>
      </c>
      <c r="J558" s="37" t="s">
        <v>68</v>
      </c>
      <c r="K558" s="37" t="s">
        <v>112</v>
      </c>
      <c r="L558" s="37" t="s">
        <v>112</v>
      </c>
      <c r="M558" s="37">
        <v>25658</v>
      </c>
      <c r="N558" s="38" t="s">
        <v>329</v>
      </c>
      <c r="S558" s="23">
        <f>VLOOKUP(A558,Hoja1!A:D,4,0)</f>
        <v>2</v>
      </c>
      <c r="T558" s="26" t="str">
        <f>VLOOKUP(M558,[1]TIPOLOGIAS!$A:$F,4,0)</f>
        <v>BOGOTA</v>
      </c>
      <c r="U558" s="26" t="str">
        <f>VLOOKUP(T558,'BASE TARIFA 2025'!C:D,2,0)</f>
        <v>WOMPI CENTRO</v>
      </c>
      <c r="V558" s="27">
        <f>VLOOKUP(T558,'BASE TARIFA 2025'!C:F,3,0)</f>
        <v>37313</v>
      </c>
      <c r="W558" s="27">
        <f t="shared" si="8"/>
        <v>74626</v>
      </c>
    </row>
    <row r="559" spans="1:23" s="37" customFormat="1" ht="14.4" x14ac:dyDescent="0.3">
      <c r="A559" s="37">
        <v>58685</v>
      </c>
      <c r="B559" s="37" t="s">
        <v>4195</v>
      </c>
      <c r="C559" s="37">
        <v>65808373</v>
      </c>
      <c r="D559" s="37" t="s">
        <v>67</v>
      </c>
      <c r="E559" s="37" t="s">
        <v>2631</v>
      </c>
      <c r="F559" s="37" t="s">
        <v>2631</v>
      </c>
      <c r="G559" s="37" t="s">
        <v>2632</v>
      </c>
      <c r="H559" s="37" t="s">
        <v>2633</v>
      </c>
      <c r="I559" s="37" t="s">
        <v>2634</v>
      </c>
      <c r="J559" s="37" t="s">
        <v>68</v>
      </c>
      <c r="K559" s="37" t="s">
        <v>112</v>
      </c>
      <c r="L559" s="37" t="s">
        <v>112</v>
      </c>
      <c r="M559" s="37">
        <v>25658</v>
      </c>
      <c r="N559" s="38" t="s">
        <v>329</v>
      </c>
      <c r="S559" s="23">
        <f>VLOOKUP(A559,Hoja1!A:D,4,0)</f>
        <v>2</v>
      </c>
      <c r="T559" s="26" t="str">
        <f>VLOOKUP(M559,[1]TIPOLOGIAS!$A:$F,4,0)</f>
        <v>BOGOTA</v>
      </c>
      <c r="U559" s="26" t="str">
        <f>VLOOKUP(T559,'BASE TARIFA 2025'!C:D,2,0)</f>
        <v>WOMPI CENTRO</v>
      </c>
      <c r="V559" s="27">
        <f>VLOOKUP(T559,'BASE TARIFA 2025'!C:F,3,0)</f>
        <v>37313</v>
      </c>
      <c r="W559" s="27">
        <f t="shared" si="8"/>
        <v>74626</v>
      </c>
    </row>
    <row r="560" spans="1:23" s="37" customFormat="1" ht="14.4" x14ac:dyDescent="0.3">
      <c r="A560" s="37">
        <v>60123</v>
      </c>
      <c r="B560" s="37" t="s">
        <v>4196</v>
      </c>
      <c r="C560" s="37">
        <v>28815896</v>
      </c>
      <c r="D560" s="37" t="s">
        <v>2635</v>
      </c>
      <c r="E560" s="37" t="s">
        <v>2635</v>
      </c>
      <c r="G560" s="37" t="s">
        <v>2636</v>
      </c>
      <c r="H560" s="37" t="s">
        <v>2637</v>
      </c>
      <c r="I560" s="37" t="s">
        <v>2638</v>
      </c>
      <c r="J560" s="37" t="s">
        <v>68</v>
      </c>
      <c r="K560" s="37" t="s">
        <v>138</v>
      </c>
      <c r="L560" s="37" t="s">
        <v>138</v>
      </c>
      <c r="M560" s="37">
        <v>25754</v>
      </c>
      <c r="N560" s="38" t="s">
        <v>485</v>
      </c>
      <c r="S560" s="23">
        <f>VLOOKUP(A560,Hoja1!A:D,4,0)</f>
        <v>2</v>
      </c>
      <c r="T560" s="26" t="str">
        <f>VLOOKUP(M560,[1]TIPOLOGIAS!$A:$F,4,0)</f>
        <v>BOGOTA</v>
      </c>
      <c r="U560" s="26" t="str">
        <f>VLOOKUP(T560,'BASE TARIFA 2025'!C:D,2,0)</f>
        <v>WOMPI CENTRO</v>
      </c>
      <c r="V560" s="27">
        <f>VLOOKUP(T560,'BASE TARIFA 2025'!C:F,3,0)</f>
        <v>37313</v>
      </c>
      <c r="W560" s="27">
        <f t="shared" si="8"/>
        <v>74626</v>
      </c>
    </row>
    <row r="561" spans="1:23" s="37" customFormat="1" ht="14.4" x14ac:dyDescent="0.3">
      <c r="A561" s="37">
        <v>55942</v>
      </c>
      <c r="B561" s="37" t="s">
        <v>3641</v>
      </c>
      <c r="C561" s="37">
        <v>1005715081</v>
      </c>
      <c r="D561" s="37" t="s">
        <v>2639</v>
      </c>
      <c r="E561" s="37" t="s">
        <v>2639</v>
      </c>
      <c r="G561" s="37" t="s">
        <v>2640</v>
      </c>
      <c r="H561" s="37" t="s">
        <v>2641</v>
      </c>
      <c r="I561" s="37" t="s">
        <v>2642</v>
      </c>
      <c r="J561" s="37" t="s">
        <v>68</v>
      </c>
      <c r="K561" s="37" t="s">
        <v>138</v>
      </c>
      <c r="L561" s="37" t="s">
        <v>138</v>
      </c>
      <c r="M561" s="37">
        <v>25754</v>
      </c>
      <c r="N561" s="38" t="s">
        <v>513</v>
      </c>
      <c r="S561" s="23">
        <f>VLOOKUP(A561,Hoja1!A:D,4,0)</f>
        <v>2</v>
      </c>
      <c r="T561" s="26" t="str">
        <f>VLOOKUP(M561,[1]TIPOLOGIAS!$A:$F,4,0)</f>
        <v>BOGOTA</v>
      </c>
      <c r="U561" s="26" t="str">
        <f>VLOOKUP(T561,'BASE TARIFA 2025'!C:D,2,0)</f>
        <v>WOMPI CENTRO</v>
      </c>
      <c r="V561" s="27">
        <f>VLOOKUP(T561,'BASE TARIFA 2025'!C:F,3,0)</f>
        <v>37313</v>
      </c>
      <c r="W561" s="27">
        <f t="shared" si="8"/>
        <v>74626</v>
      </c>
    </row>
    <row r="562" spans="1:23" s="37" customFormat="1" ht="14.4" x14ac:dyDescent="0.3">
      <c r="A562" s="37">
        <v>55066</v>
      </c>
      <c r="B562" s="37" t="s">
        <v>3640</v>
      </c>
      <c r="C562" s="37">
        <v>1105613162</v>
      </c>
      <c r="D562" s="37" t="s">
        <v>2643</v>
      </c>
      <c r="E562" s="37" t="s">
        <v>250</v>
      </c>
      <c r="F562" s="37" t="s">
        <v>250</v>
      </c>
      <c r="G562" s="37" t="s">
        <v>251</v>
      </c>
      <c r="H562" s="37" t="s">
        <v>252</v>
      </c>
      <c r="I562" s="37" t="s">
        <v>253</v>
      </c>
      <c r="J562" s="37" t="s">
        <v>68</v>
      </c>
      <c r="K562" s="37" t="s">
        <v>138</v>
      </c>
      <c r="L562" s="37" t="s">
        <v>138</v>
      </c>
      <c r="M562" s="37">
        <v>25754</v>
      </c>
      <c r="N562" s="38" t="s">
        <v>320</v>
      </c>
      <c r="S562" s="23">
        <f>VLOOKUP(A562,Hoja1!A:D,4,0)</f>
        <v>1</v>
      </c>
      <c r="T562" s="26" t="str">
        <f>VLOOKUP(M562,[1]TIPOLOGIAS!$A:$F,4,0)</f>
        <v>BOGOTA</v>
      </c>
      <c r="U562" s="26" t="str">
        <f>VLOOKUP(T562,'BASE TARIFA 2025'!C:D,2,0)</f>
        <v>WOMPI CENTRO</v>
      </c>
      <c r="V562" s="27">
        <f>VLOOKUP(T562,'BASE TARIFA 2025'!C:F,3,0)</f>
        <v>37313</v>
      </c>
      <c r="W562" s="27">
        <f t="shared" si="8"/>
        <v>37313</v>
      </c>
    </row>
    <row r="563" spans="1:23" s="37" customFormat="1" ht="14.4" x14ac:dyDescent="0.3">
      <c r="A563" s="37">
        <v>54100</v>
      </c>
      <c r="B563" s="37" t="s">
        <v>4197</v>
      </c>
      <c r="C563" s="37">
        <v>65553424</v>
      </c>
      <c r="D563" s="37" t="s">
        <v>254</v>
      </c>
      <c r="E563" s="37" t="s">
        <v>254</v>
      </c>
      <c r="G563" s="37" t="s">
        <v>255</v>
      </c>
      <c r="H563" s="37" t="s">
        <v>256</v>
      </c>
      <c r="I563" s="37" t="s">
        <v>257</v>
      </c>
      <c r="J563" s="37" t="s">
        <v>68</v>
      </c>
      <c r="K563" s="37" t="s">
        <v>138</v>
      </c>
      <c r="L563" s="37" t="s">
        <v>138</v>
      </c>
      <c r="M563" s="37">
        <v>25754</v>
      </c>
      <c r="N563" s="38" t="s">
        <v>328</v>
      </c>
      <c r="S563" s="23">
        <f>VLOOKUP(A563,Hoja1!A:D,4,0)</f>
        <v>1</v>
      </c>
      <c r="T563" s="26" t="str">
        <f>VLOOKUP(M563,[1]TIPOLOGIAS!$A:$F,4,0)</f>
        <v>BOGOTA</v>
      </c>
      <c r="U563" s="26" t="str">
        <f>VLOOKUP(T563,'BASE TARIFA 2025'!C:D,2,0)</f>
        <v>WOMPI CENTRO</v>
      </c>
      <c r="V563" s="27">
        <f>VLOOKUP(T563,'BASE TARIFA 2025'!C:F,3,0)</f>
        <v>37313</v>
      </c>
      <c r="W563" s="27">
        <f t="shared" si="8"/>
        <v>37313</v>
      </c>
    </row>
    <row r="564" spans="1:23" s="37" customFormat="1" ht="14.4" x14ac:dyDescent="0.3">
      <c r="A564" s="37">
        <v>53378</v>
      </c>
      <c r="B564" s="37" t="s">
        <v>4198</v>
      </c>
      <c r="C564" s="37">
        <v>65766868</v>
      </c>
      <c r="D564" s="37" t="s">
        <v>2644</v>
      </c>
      <c r="E564" s="37" t="s">
        <v>2644</v>
      </c>
      <c r="F564" s="37" t="s">
        <v>2645</v>
      </c>
      <c r="G564" s="37" t="s">
        <v>2646</v>
      </c>
      <c r="H564" s="37" t="s">
        <v>2647</v>
      </c>
      <c r="I564" s="37" t="s">
        <v>2648</v>
      </c>
      <c r="J564" s="37" t="s">
        <v>68</v>
      </c>
      <c r="K564" s="37" t="s">
        <v>138</v>
      </c>
      <c r="L564" s="37" t="s">
        <v>138</v>
      </c>
      <c r="M564" s="37">
        <v>25754</v>
      </c>
      <c r="N564" s="38" t="s">
        <v>503</v>
      </c>
      <c r="S564" s="23">
        <f>VLOOKUP(A564,Hoja1!A:D,4,0)</f>
        <v>2</v>
      </c>
      <c r="T564" s="26" t="str">
        <f>VLOOKUP(M564,[1]TIPOLOGIAS!$A:$F,4,0)</f>
        <v>BOGOTA</v>
      </c>
      <c r="U564" s="26" t="str">
        <f>VLOOKUP(T564,'BASE TARIFA 2025'!C:D,2,0)</f>
        <v>WOMPI CENTRO</v>
      </c>
      <c r="V564" s="27">
        <f>VLOOKUP(T564,'BASE TARIFA 2025'!C:F,3,0)</f>
        <v>37313</v>
      </c>
      <c r="W564" s="27">
        <f t="shared" si="8"/>
        <v>74626</v>
      </c>
    </row>
    <row r="565" spans="1:23" s="37" customFormat="1" ht="14.4" x14ac:dyDescent="0.3">
      <c r="A565" s="37">
        <v>54471</v>
      </c>
      <c r="B565" s="37" t="s">
        <v>4199</v>
      </c>
      <c r="C565" s="37">
        <v>1110573514</v>
      </c>
      <c r="D565" s="37" t="s">
        <v>2649</v>
      </c>
      <c r="E565" s="37" t="s">
        <v>2649</v>
      </c>
      <c r="F565" s="37" t="s">
        <v>2649</v>
      </c>
      <c r="G565" s="37" t="s">
        <v>2650</v>
      </c>
      <c r="H565" s="37" t="s">
        <v>2651</v>
      </c>
      <c r="I565" s="37" t="s">
        <v>2652</v>
      </c>
      <c r="J565" s="37" t="s">
        <v>68</v>
      </c>
      <c r="K565" s="37" t="s">
        <v>138</v>
      </c>
      <c r="L565" s="37" t="s">
        <v>138</v>
      </c>
      <c r="M565" s="37">
        <v>25754</v>
      </c>
      <c r="N565" s="38" t="s">
        <v>841</v>
      </c>
      <c r="S565" s="23">
        <f>VLOOKUP(A565,Hoja1!A:D,4,0)</f>
        <v>3</v>
      </c>
      <c r="T565" s="26" t="str">
        <f>VLOOKUP(M565,[1]TIPOLOGIAS!$A:$F,4,0)</f>
        <v>BOGOTA</v>
      </c>
      <c r="U565" s="26" t="str">
        <f>VLOOKUP(T565,'BASE TARIFA 2025'!C:D,2,0)</f>
        <v>WOMPI CENTRO</v>
      </c>
      <c r="V565" s="27">
        <f>VLOOKUP(T565,'BASE TARIFA 2025'!C:F,3,0)</f>
        <v>37313</v>
      </c>
      <c r="W565" s="27">
        <f t="shared" si="8"/>
        <v>111939</v>
      </c>
    </row>
    <row r="566" spans="1:23" s="37" customFormat="1" ht="14.4" x14ac:dyDescent="0.3">
      <c r="A566" s="37">
        <v>49350</v>
      </c>
      <c r="B566" s="37" t="s">
        <v>4200</v>
      </c>
      <c r="C566" s="37">
        <v>65553424</v>
      </c>
      <c r="D566" s="37" t="s">
        <v>2653</v>
      </c>
      <c r="E566" s="37" t="s">
        <v>2653</v>
      </c>
      <c r="F566" s="37" t="s">
        <v>2654</v>
      </c>
      <c r="G566" s="37" t="s">
        <v>2655</v>
      </c>
      <c r="H566" s="37" t="s">
        <v>2656</v>
      </c>
      <c r="I566" s="37" t="s">
        <v>2657</v>
      </c>
      <c r="J566" s="37" t="s">
        <v>68</v>
      </c>
      <c r="K566" s="37" t="s">
        <v>138</v>
      </c>
      <c r="L566" s="37" t="s">
        <v>138</v>
      </c>
      <c r="M566" s="37">
        <v>25754</v>
      </c>
      <c r="N566" s="38" t="s">
        <v>328</v>
      </c>
      <c r="S566" s="23">
        <f>VLOOKUP(A566,Hoja1!A:D,4,0)</f>
        <v>1</v>
      </c>
      <c r="T566" s="26" t="str">
        <f>VLOOKUP(M566,[1]TIPOLOGIAS!$A:$F,4,0)</f>
        <v>BOGOTA</v>
      </c>
      <c r="U566" s="26" t="str">
        <f>VLOOKUP(T566,'BASE TARIFA 2025'!C:D,2,0)</f>
        <v>WOMPI CENTRO</v>
      </c>
      <c r="V566" s="27">
        <f>VLOOKUP(T566,'BASE TARIFA 2025'!C:F,3,0)</f>
        <v>37313</v>
      </c>
      <c r="W566" s="27">
        <f t="shared" si="8"/>
        <v>37313</v>
      </c>
    </row>
    <row r="567" spans="1:23" s="37" customFormat="1" ht="14.4" x14ac:dyDescent="0.3">
      <c r="A567" s="37">
        <v>50893</v>
      </c>
      <c r="B567" s="37" t="s">
        <v>4201</v>
      </c>
      <c r="C567" s="37">
        <v>1030641597</v>
      </c>
      <c r="D567" s="37" t="s">
        <v>2658</v>
      </c>
      <c r="E567" s="37" t="s">
        <v>2659</v>
      </c>
      <c r="F567" s="37" t="s">
        <v>2659</v>
      </c>
      <c r="G567" s="37" t="s">
        <v>2660</v>
      </c>
      <c r="H567" s="37" t="s">
        <v>2661</v>
      </c>
      <c r="I567" s="37" t="s">
        <v>2662</v>
      </c>
      <c r="J567" s="37" t="s">
        <v>68</v>
      </c>
      <c r="K567" s="37" t="s">
        <v>138</v>
      </c>
      <c r="L567" s="37" t="s">
        <v>138</v>
      </c>
      <c r="M567" s="37">
        <v>25754</v>
      </c>
      <c r="N567" s="38" t="s">
        <v>503</v>
      </c>
      <c r="S567" s="23">
        <f>VLOOKUP(A567,Hoja1!A:D,4,0)</f>
        <v>2</v>
      </c>
      <c r="T567" s="26" t="str">
        <f>VLOOKUP(M567,[1]TIPOLOGIAS!$A:$F,4,0)</f>
        <v>BOGOTA</v>
      </c>
      <c r="U567" s="26" t="str">
        <f>VLOOKUP(T567,'BASE TARIFA 2025'!C:D,2,0)</f>
        <v>WOMPI CENTRO</v>
      </c>
      <c r="V567" s="27">
        <f>VLOOKUP(T567,'BASE TARIFA 2025'!C:F,3,0)</f>
        <v>37313</v>
      </c>
      <c r="W567" s="27">
        <f t="shared" si="8"/>
        <v>74626</v>
      </c>
    </row>
    <row r="568" spans="1:23" s="37" customFormat="1" ht="14.4" x14ac:dyDescent="0.3">
      <c r="A568" s="37">
        <v>46763</v>
      </c>
      <c r="B568" s="37" t="s">
        <v>4202</v>
      </c>
      <c r="C568" s="37">
        <v>80111905</v>
      </c>
      <c r="D568" s="37" t="s">
        <v>2663</v>
      </c>
      <c r="E568" s="37" t="s">
        <v>2663</v>
      </c>
      <c r="F568" s="37" t="s">
        <v>2664</v>
      </c>
      <c r="G568" s="37" t="s">
        <v>2665</v>
      </c>
      <c r="H568" s="37" t="s">
        <v>2666</v>
      </c>
      <c r="I568" s="37" t="s">
        <v>2667</v>
      </c>
      <c r="J568" s="37" t="s">
        <v>90</v>
      </c>
      <c r="K568" s="37" t="s">
        <v>155</v>
      </c>
      <c r="L568" s="37" t="s">
        <v>155</v>
      </c>
      <c r="M568" s="37">
        <v>54001</v>
      </c>
      <c r="N568" s="38" t="s">
        <v>853</v>
      </c>
      <c r="S568" s="23">
        <f>VLOOKUP(A568,Hoja1!A:D,4,0)</f>
        <v>3</v>
      </c>
      <c r="T568" s="26" t="str">
        <f>VLOOKUP(M568,[1]TIPOLOGIAS!$A:$F,4,0)</f>
        <v>CUCUTA</v>
      </c>
      <c r="U568" s="26" t="str">
        <f>VLOOKUP(T568,'BASE TARIFA 2025'!C:D,2,0)</f>
        <v>WOMPI SANTANDERES</v>
      </c>
      <c r="V568" s="27">
        <f>VLOOKUP(T568,'BASE TARIFA 2025'!C:F,3,0)</f>
        <v>49671.7</v>
      </c>
      <c r="W568" s="27">
        <f t="shared" si="8"/>
        <v>149015.09999999998</v>
      </c>
    </row>
    <row r="569" spans="1:23" s="37" customFormat="1" ht="14.4" x14ac:dyDescent="0.3">
      <c r="A569" s="37">
        <v>43949</v>
      </c>
      <c r="B569" s="37" t="s">
        <v>4203</v>
      </c>
      <c r="C569" s="37">
        <v>1110535285</v>
      </c>
      <c r="D569" s="37" t="s">
        <v>2668</v>
      </c>
      <c r="E569" s="37" t="s">
        <v>67</v>
      </c>
      <c r="F569" s="37" t="s">
        <v>2669</v>
      </c>
      <c r="G569" s="37" t="s">
        <v>2670</v>
      </c>
      <c r="H569" s="37" t="s">
        <v>2671</v>
      </c>
      <c r="I569" s="37" t="s">
        <v>2672</v>
      </c>
      <c r="J569" s="37" t="s">
        <v>90</v>
      </c>
      <c r="K569" s="37" t="s">
        <v>155</v>
      </c>
      <c r="L569" s="37" t="s">
        <v>155</v>
      </c>
      <c r="M569" s="37">
        <v>54001</v>
      </c>
      <c r="N569" s="38" t="s">
        <v>503</v>
      </c>
      <c r="S569" s="23">
        <f>VLOOKUP(A569,Hoja1!A:D,4,0)</f>
        <v>3</v>
      </c>
      <c r="T569" s="26" t="str">
        <f>VLOOKUP(M569,[1]TIPOLOGIAS!$A:$F,4,0)</f>
        <v>CUCUTA</v>
      </c>
      <c r="U569" s="26" t="str">
        <f>VLOOKUP(T569,'BASE TARIFA 2025'!C:D,2,0)</f>
        <v>WOMPI SANTANDERES</v>
      </c>
      <c r="V569" s="27">
        <f>VLOOKUP(T569,'BASE TARIFA 2025'!C:F,3,0)</f>
        <v>49671.7</v>
      </c>
      <c r="W569" s="27">
        <f t="shared" si="8"/>
        <v>149015.09999999998</v>
      </c>
    </row>
    <row r="570" spans="1:23" s="37" customFormat="1" ht="14.4" x14ac:dyDescent="0.3">
      <c r="A570" s="37">
        <v>43218</v>
      </c>
      <c r="B570" s="37" t="s">
        <v>4204</v>
      </c>
      <c r="C570" s="37">
        <v>1110527349</v>
      </c>
      <c r="D570" s="37" t="s">
        <v>67</v>
      </c>
      <c r="E570" s="37" t="s">
        <v>1407</v>
      </c>
      <c r="F570" s="37" t="s">
        <v>2673</v>
      </c>
      <c r="G570" s="37" t="s">
        <v>2674</v>
      </c>
      <c r="H570" s="37" t="s">
        <v>2675</v>
      </c>
      <c r="I570" s="37" t="s">
        <v>2676</v>
      </c>
      <c r="J570" s="37" t="s">
        <v>90</v>
      </c>
      <c r="K570" s="37" t="s">
        <v>155</v>
      </c>
      <c r="L570" s="37" t="s">
        <v>155</v>
      </c>
      <c r="M570" s="37">
        <v>54001</v>
      </c>
      <c r="N570" s="38" t="s">
        <v>503</v>
      </c>
      <c r="S570" s="23">
        <f>VLOOKUP(A570,Hoja1!A:D,4,0)</f>
        <v>3</v>
      </c>
      <c r="T570" s="26" t="str">
        <f>VLOOKUP(M570,[1]TIPOLOGIAS!$A:$F,4,0)</f>
        <v>CUCUTA</v>
      </c>
      <c r="U570" s="26" t="str">
        <f>VLOOKUP(T570,'BASE TARIFA 2025'!C:D,2,0)</f>
        <v>WOMPI SANTANDERES</v>
      </c>
      <c r="V570" s="27">
        <f>VLOOKUP(T570,'BASE TARIFA 2025'!C:F,3,0)</f>
        <v>49671.7</v>
      </c>
      <c r="W570" s="27">
        <f t="shared" si="8"/>
        <v>149015.09999999998</v>
      </c>
    </row>
    <row r="571" spans="1:23" s="37" customFormat="1" ht="14.4" x14ac:dyDescent="0.3">
      <c r="A571" s="37">
        <v>40034</v>
      </c>
      <c r="B571" s="37" t="s">
        <v>4205</v>
      </c>
      <c r="C571" s="37">
        <v>1110539404</v>
      </c>
      <c r="D571" s="37" t="s">
        <v>2677</v>
      </c>
      <c r="E571" s="37" t="s">
        <v>2677</v>
      </c>
      <c r="F571" s="37" t="s">
        <v>2678</v>
      </c>
      <c r="G571" s="37" t="s">
        <v>2679</v>
      </c>
      <c r="H571" s="37" t="s">
        <v>2680</v>
      </c>
      <c r="I571" s="37" t="s">
        <v>2681</v>
      </c>
      <c r="J571" s="37" t="s">
        <v>90</v>
      </c>
      <c r="K571" s="37" t="s">
        <v>155</v>
      </c>
      <c r="L571" s="37" t="s">
        <v>155</v>
      </c>
      <c r="M571" s="37">
        <v>54001</v>
      </c>
      <c r="N571" s="38" t="s">
        <v>853</v>
      </c>
      <c r="S571" s="23">
        <f>VLOOKUP(A571,Hoja1!A:D,4,0)</f>
        <v>2</v>
      </c>
      <c r="T571" s="26" t="str">
        <f>VLOOKUP(M571,[1]TIPOLOGIAS!$A:$F,4,0)</f>
        <v>CUCUTA</v>
      </c>
      <c r="U571" s="26" t="str">
        <f>VLOOKUP(T571,'BASE TARIFA 2025'!C:D,2,0)</f>
        <v>WOMPI SANTANDERES</v>
      </c>
      <c r="V571" s="27">
        <f>VLOOKUP(T571,'BASE TARIFA 2025'!C:F,3,0)</f>
        <v>49671.7</v>
      </c>
      <c r="W571" s="27">
        <f t="shared" si="8"/>
        <v>99343.4</v>
      </c>
    </row>
    <row r="572" spans="1:23" s="37" customFormat="1" ht="14.4" x14ac:dyDescent="0.3">
      <c r="A572" s="37">
        <v>29051</v>
      </c>
      <c r="B572" s="37" t="s">
        <v>4206</v>
      </c>
      <c r="C572" s="37">
        <v>822000897</v>
      </c>
      <c r="D572" s="37" t="s">
        <v>1423</v>
      </c>
      <c r="E572" s="37" t="s">
        <v>1423</v>
      </c>
      <c r="F572" s="37" t="s">
        <v>2682</v>
      </c>
      <c r="G572" s="37" t="s">
        <v>2683</v>
      </c>
      <c r="H572" s="37" t="s">
        <v>2684</v>
      </c>
      <c r="I572" s="37" t="s">
        <v>2685</v>
      </c>
      <c r="J572" s="37" t="s">
        <v>90</v>
      </c>
      <c r="K572" s="37" t="s">
        <v>155</v>
      </c>
      <c r="L572" s="37" t="s">
        <v>155</v>
      </c>
      <c r="M572" s="37">
        <v>54001</v>
      </c>
      <c r="N572" s="38" t="s">
        <v>503</v>
      </c>
      <c r="S572" s="23">
        <f>VLOOKUP(A572,Hoja1!A:D,4,0)</f>
        <v>1</v>
      </c>
      <c r="T572" s="26" t="str">
        <f>VLOOKUP(M572,[1]TIPOLOGIAS!$A:$F,4,0)</f>
        <v>CUCUTA</v>
      </c>
      <c r="U572" s="26" t="str">
        <f>VLOOKUP(T572,'BASE TARIFA 2025'!C:D,2,0)</f>
        <v>WOMPI SANTANDERES</v>
      </c>
      <c r="V572" s="27">
        <f>VLOOKUP(T572,'BASE TARIFA 2025'!C:F,3,0)</f>
        <v>49671.7</v>
      </c>
      <c r="W572" s="27">
        <f t="shared" si="8"/>
        <v>49671.7</v>
      </c>
    </row>
    <row r="573" spans="1:23" s="37" customFormat="1" ht="14.4" x14ac:dyDescent="0.3">
      <c r="A573" s="37">
        <v>17385</v>
      </c>
      <c r="B573" s="37" t="s">
        <v>4207</v>
      </c>
      <c r="C573" s="37">
        <v>5937128</v>
      </c>
      <c r="D573" s="37" t="s">
        <v>67</v>
      </c>
      <c r="E573" s="37" t="s">
        <v>2686</v>
      </c>
      <c r="F573" s="37" t="s">
        <v>2686</v>
      </c>
      <c r="G573" s="37" t="s">
        <v>2687</v>
      </c>
      <c r="H573" s="37" t="s">
        <v>2688</v>
      </c>
      <c r="I573" s="37" t="s">
        <v>2689</v>
      </c>
      <c r="J573" s="37" t="s">
        <v>90</v>
      </c>
      <c r="K573" s="37" t="s">
        <v>155</v>
      </c>
      <c r="L573" s="37" t="s">
        <v>155</v>
      </c>
      <c r="M573" s="37">
        <v>54001</v>
      </c>
      <c r="N573" s="38" t="s">
        <v>853</v>
      </c>
      <c r="S573" s="23">
        <f>VLOOKUP(A573,Hoja1!A:D,4,0)</f>
        <v>1</v>
      </c>
      <c r="T573" s="26" t="str">
        <f>VLOOKUP(M573,[1]TIPOLOGIAS!$A:$F,4,0)</f>
        <v>CUCUTA</v>
      </c>
      <c r="U573" s="26" t="str">
        <f>VLOOKUP(T573,'BASE TARIFA 2025'!C:D,2,0)</f>
        <v>WOMPI SANTANDERES</v>
      </c>
      <c r="V573" s="27">
        <f>VLOOKUP(T573,'BASE TARIFA 2025'!C:F,3,0)</f>
        <v>49671.7</v>
      </c>
      <c r="W573" s="27">
        <f t="shared" si="8"/>
        <v>49671.7</v>
      </c>
    </row>
    <row r="574" spans="1:23" s="37" customFormat="1" ht="14.4" x14ac:dyDescent="0.3">
      <c r="A574" s="37">
        <v>17384</v>
      </c>
      <c r="B574" s="37" t="s">
        <v>4208</v>
      </c>
      <c r="C574" s="37">
        <v>5937128</v>
      </c>
      <c r="D574" s="37" t="s">
        <v>2690</v>
      </c>
      <c r="E574" s="37" t="s">
        <v>2691</v>
      </c>
      <c r="F574" s="37" t="s">
        <v>2691</v>
      </c>
      <c r="G574" s="37" t="s">
        <v>2692</v>
      </c>
      <c r="H574" s="37" t="s">
        <v>2693</v>
      </c>
      <c r="I574" s="37" t="s">
        <v>2694</v>
      </c>
      <c r="J574" s="37" t="s">
        <v>72</v>
      </c>
      <c r="K574" s="37" t="s">
        <v>2695</v>
      </c>
      <c r="L574" s="37" t="s">
        <v>2695</v>
      </c>
      <c r="M574" s="37">
        <v>52540</v>
      </c>
      <c r="N574" s="38" t="s">
        <v>325</v>
      </c>
      <c r="S574" s="23">
        <f>VLOOKUP(A574,Hoja1!A:D,4,0)</f>
        <v>1</v>
      </c>
      <c r="T574" s="26" t="str">
        <f>VLOOKUP(M574,[1]TIPOLOGIAS!$A:$F,4,0)</f>
        <v>PASTO</v>
      </c>
      <c r="U574" s="26" t="str">
        <f>VLOOKUP(T574,'BASE TARIFA 2025'!C:D,2,0)</f>
        <v>WOMPI SUROCCIDENTE</v>
      </c>
      <c r="V574" s="27">
        <f>VLOOKUP(T574,'BASE TARIFA 2025'!C:F,3,0)</f>
        <v>49671.7</v>
      </c>
      <c r="W574" s="27">
        <f t="shared" si="8"/>
        <v>49671.7</v>
      </c>
    </row>
    <row r="575" spans="1:23" s="37" customFormat="1" ht="14.4" x14ac:dyDescent="0.3">
      <c r="A575" s="37">
        <v>16749</v>
      </c>
      <c r="B575" s="37" t="s">
        <v>4209</v>
      </c>
      <c r="C575" s="37">
        <v>801002644</v>
      </c>
      <c r="D575" s="37" t="s">
        <v>2690</v>
      </c>
      <c r="E575" s="37" t="s">
        <v>2691</v>
      </c>
      <c r="F575" s="37" t="s">
        <v>2691</v>
      </c>
      <c r="G575" s="37" t="s">
        <v>2696</v>
      </c>
      <c r="H575" s="37" t="s">
        <v>2697</v>
      </c>
      <c r="I575" s="37" t="s">
        <v>2698</v>
      </c>
      <c r="J575" s="37" t="s">
        <v>72</v>
      </c>
      <c r="K575" s="37" t="s">
        <v>2695</v>
      </c>
      <c r="L575" s="37" t="s">
        <v>2695</v>
      </c>
      <c r="M575" s="37">
        <v>52540</v>
      </c>
      <c r="N575" s="38" t="s">
        <v>327</v>
      </c>
      <c r="S575" s="23">
        <f>VLOOKUP(A575,Hoja1!A:D,4,0)</f>
        <v>2</v>
      </c>
      <c r="T575" s="26" t="str">
        <f>VLOOKUP(M575,[1]TIPOLOGIAS!$A:$F,4,0)</f>
        <v>PASTO</v>
      </c>
      <c r="U575" s="26" t="str">
        <f>VLOOKUP(T575,'BASE TARIFA 2025'!C:D,2,0)</f>
        <v>WOMPI SUROCCIDENTE</v>
      </c>
      <c r="V575" s="27">
        <f>VLOOKUP(T575,'BASE TARIFA 2025'!C:F,3,0)</f>
        <v>49671.7</v>
      </c>
      <c r="W575" s="27">
        <f t="shared" si="8"/>
        <v>99343.4</v>
      </c>
    </row>
    <row r="576" spans="1:23" s="37" customFormat="1" ht="14.4" x14ac:dyDescent="0.3">
      <c r="A576" s="37">
        <v>17466</v>
      </c>
      <c r="B576" s="37" t="s">
        <v>4210</v>
      </c>
      <c r="C576" s="37">
        <v>93409662</v>
      </c>
      <c r="D576" s="37" t="s">
        <v>2699</v>
      </c>
      <c r="E576" s="37" t="s">
        <v>2700</v>
      </c>
      <c r="F576" s="37" t="s">
        <v>2700</v>
      </c>
      <c r="G576" s="37" t="s">
        <v>2701</v>
      </c>
      <c r="H576" s="37" t="s">
        <v>2702</v>
      </c>
      <c r="I576" s="37" t="s">
        <v>2703</v>
      </c>
      <c r="J576" s="37" t="s">
        <v>72</v>
      </c>
      <c r="K576" s="37" t="s">
        <v>2695</v>
      </c>
      <c r="L576" s="37" t="s">
        <v>2695</v>
      </c>
      <c r="M576" s="37">
        <v>52540</v>
      </c>
      <c r="N576" s="38" t="s">
        <v>327</v>
      </c>
      <c r="S576" s="23">
        <f>VLOOKUP(A576,Hoja1!A:D,4,0)</f>
        <v>2</v>
      </c>
      <c r="T576" s="26" t="str">
        <f>VLOOKUP(M576,[1]TIPOLOGIAS!$A:$F,4,0)</f>
        <v>PASTO</v>
      </c>
      <c r="U576" s="26" t="str">
        <f>VLOOKUP(T576,'BASE TARIFA 2025'!C:D,2,0)</f>
        <v>WOMPI SUROCCIDENTE</v>
      </c>
      <c r="V576" s="27">
        <f>VLOOKUP(T576,'BASE TARIFA 2025'!C:F,3,0)</f>
        <v>49671.7</v>
      </c>
      <c r="W576" s="27">
        <f t="shared" si="8"/>
        <v>99343.4</v>
      </c>
    </row>
    <row r="577" spans="1:23" s="37" customFormat="1" ht="14.4" x14ac:dyDescent="0.3">
      <c r="A577" s="37">
        <v>64431</v>
      </c>
      <c r="B577" s="37" t="s">
        <v>4211</v>
      </c>
      <c r="C577" s="37">
        <v>901523817</v>
      </c>
      <c r="D577" s="37" t="s">
        <v>67</v>
      </c>
      <c r="E577" s="37" t="s">
        <v>2704</v>
      </c>
      <c r="F577" s="37" t="s">
        <v>2705</v>
      </c>
      <c r="G577" s="37" t="s">
        <v>2706</v>
      </c>
      <c r="H577" s="37" t="s">
        <v>2707</v>
      </c>
      <c r="I577" s="37" t="s">
        <v>2708</v>
      </c>
      <c r="J577" s="37" t="s">
        <v>72</v>
      </c>
      <c r="K577" s="37" t="s">
        <v>2695</v>
      </c>
      <c r="L577" s="37" t="s">
        <v>2695</v>
      </c>
      <c r="M577" s="37">
        <v>52540</v>
      </c>
      <c r="N577" s="38" t="s">
        <v>327</v>
      </c>
      <c r="S577" s="23">
        <f>VLOOKUP(A577,Hoja1!A:D,4,0)</f>
        <v>1</v>
      </c>
      <c r="T577" s="26" t="str">
        <f>VLOOKUP(M577,[1]TIPOLOGIAS!$A:$F,4,0)</f>
        <v>PASTO</v>
      </c>
      <c r="U577" s="26" t="str">
        <f>VLOOKUP(T577,'BASE TARIFA 2025'!C:D,2,0)</f>
        <v>WOMPI SUROCCIDENTE</v>
      </c>
      <c r="V577" s="27">
        <f>VLOOKUP(T577,'BASE TARIFA 2025'!C:F,3,0)</f>
        <v>49671.7</v>
      </c>
      <c r="W577" s="27">
        <f t="shared" si="8"/>
        <v>49671.7</v>
      </c>
    </row>
    <row r="578" spans="1:23" s="37" customFormat="1" ht="14.4" x14ac:dyDescent="0.3">
      <c r="A578" s="37">
        <v>75801</v>
      </c>
      <c r="B578" s="37" t="s">
        <v>4212</v>
      </c>
      <c r="C578" s="37">
        <v>1102797894</v>
      </c>
      <c r="D578" s="37" t="s">
        <v>2709</v>
      </c>
      <c r="E578" s="37" t="s">
        <v>2710</v>
      </c>
      <c r="F578" s="37" t="s">
        <v>2710</v>
      </c>
      <c r="G578" s="37" t="s">
        <v>2711</v>
      </c>
      <c r="H578" s="37" t="s">
        <v>2712</v>
      </c>
      <c r="I578" s="37" t="s">
        <v>2713</v>
      </c>
      <c r="J578" s="37" t="s">
        <v>72</v>
      </c>
      <c r="K578" s="37" t="s">
        <v>2695</v>
      </c>
      <c r="L578" s="37" t="s">
        <v>2695</v>
      </c>
      <c r="M578" s="37">
        <v>52540</v>
      </c>
      <c r="N578" s="38" t="s">
        <v>329</v>
      </c>
      <c r="S578" s="23">
        <f>VLOOKUP(A578,Hoja1!A:D,4,0)</f>
        <v>1</v>
      </c>
      <c r="T578" s="26" t="str">
        <f>VLOOKUP(M578,[1]TIPOLOGIAS!$A:$F,4,0)</f>
        <v>PASTO</v>
      </c>
      <c r="U578" s="26" t="str">
        <f>VLOOKUP(T578,'BASE TARIFA 2025'!C:D,2,0)</f>
        <v>WOMPI SUROCCIDENTE</v>
      </c>
      <c r="V578" s="27">
        <f>VLOOKUP(T578,'BASE TARIFA 2025'!C:F,3,0)</f>
        <v>49671.7</v>
      </c>
      <c r="W578" s="27">
        <f t="shared" ref="W578:W641" si="9">V578*S578</f>
        <v>49671.7</v>
      </c>
    </row>
    <row r="579" spans="1:23" s="37" customFormat="1" ht="14.4" x14ac:dyDescent="0.3">
      <c r="A579" s="37">
        <v>79791</v>
      </c>
      <c r="B579" s="37" t="s">
        <v>4213</v>
      </c>
      <c r="C579" s="37">
        <v>85468980</v>
      </c>
      <c r="D579" s="37" t="s">
        <v>2714</v>
      </c>
      <c r="E579" s="37" t="s">
        <v>2714</v>
      </c>
      <c r="F579" s="37" t="s">
        <v>2714</v>
      </c>
      <c r="G579" s="37" t="s">
        <v>2715</v>
      </c>
      <c r="H579" s="37" t="s">
        <v>2716</v>
      </c>
      <c r="I579" s="37" t="s">
        <v>2717</v>
      </c>
      <c r="J579" s="37" t="s">
        <v>72</v>
      </c>
      <c r="K579" s="37" t="s">
        <v>192</v>
      </c>
      <c r="L579" s="37" t="s">
        <v>192</v>
      </c>
      <c r="M579" s="37">
        <v>52678</v>
      </c>
      <c r="N579" s="38" t="s">
        <v>708</v>
      </c>
      <c r="S579" s="23">
        <f>VLOOKUP(A579,Hoja1!A:D,4,0)</f>
        <v>1</v>
      </c>
      <c r="T579" s="26" t="str">
        <f>VLOOKUP(M579,[1]TIPOLOGIAS!$A:$F,4,0)</f>
        <v>PASTO</v>
      </c>
      <c r="U579" s="26" t="str">
        <f>VLOOKUP(T579,'BASE TARIFA 2025'!C:D,2,0)</f>
        <v>WOMPI SUROCCIDENTE</v>
      </c>
      <c r="V579" s="27">
        <f>VLOOKUP(T579,'BASE TARIFA 2025'!C:F,3,0)</f>
        <v>49671.7</v>
      </c>
      <c r="W579" s="27">
        <f t="shared" si="9"/>
        <v>49671.7</v>
      </c>
    </row>
    <row r="580" spans="1:23" s="37" customFormat="1" ht="14.4" x14ac:dyDescent="0.3">
      <c r="A580" s="37">
        <v>80623</v>
      </c>
      <c r="B580" s="37" t="s">
        <v>4214</v>
      </c>
      <c r="C580" s="37">
        <v>55240430</v>
      </c>
      <c r="D580" s="37" t="s">
        <v>2718</v>
      </c>
      <c r="E580" s="37" t="s">
        <v>2718</v>
      </c>
      <c r="F580" s="37" t="s">
        <v>2718</v>
      </c>
      <c r="G580" s="37" t="s">
        <v>2719</v>
      </c>
      <c r="H580" s="37" t="s">
        <v>2720</v>
      </c>
      <c r="I580" s="37" t="s">
        <v>2721</v>
      </c>
      <c r="J580" s="37" t="s">
        <v>72</v>
      </c>
      <c r="K580" s="37" t="s">
        <v>192</v>
      </c>
      <c r="L580" s="37" t="s">
        <v>192</v>
      </c>
      <c r="M580" s="37">
        <v>52678</v>
      </c>
      <c r="N580" s="38" t="s">
        <v>324</v>
      </c>
      <c r="S580" s="23">
        <f>VLOOKUP(A580,Hoja1!A:D,4,0)</f>
        <v>1</v>
      </c>
      <c r="T580" s="26" t="str">
        <f>VLOOKUP(M580,[1]TIPOLOGIAS!$A:$F,4,0)</f>
        <v>PASTO</v>
      </c>
      <c r="U580" s="26" t="str">
        <f>VLOOKUP(T580,'BASE TARIFA 2025'!C:D,2,0)</f>
        <v>WOMPI SUROCCIDENTE</v>
      </c>
      <c r="V580" s="27">
        <f>VLOOKUP(T580,'BASE TARIFA 2025'!C:F,3,0)</f>
        <v>49671.7</v>
      </c>
      <c r="W580" s="27">
        <f t="shared" si="9"/>
        <v>49671.7</v>
      </c>
    </row>
    <row r="581" spans="1:23" s="37" customFormat="1" ht="14.4" x14ac:dyDescent="0.3">
      <c r="A581" s="37">
        <v>76165</v>
      </c>
      <c r="B581" s="37" t="s">
        <v>4215</v>
      </c>
      <c r="C581" s="37">
        <v>1082977459</v>
      </c>
      <c r="D581" s="37" t="s">
        <v>2722</v>
      </c>
      <c r="E581" s="37" t="s">
        <v>2722</v>
      </c>
      <c r="F581" s="37" t="s">
        <v>2723</v>
      </c>
      <c r="G581" s="37" t="s">
        <v>2724</v>
      </c>
      <c r="H581" s="37" t="s">
        <v>2725</v>
      </c>
      <c r="I581" s="37" t="s">
        <v>2726</v>
      </c>
      <c r="J581" s="37" t="s">
        <v>72</v>
      </c>
      <c r="K581" s="37" t="s">
        <v>192</v>
      </c>
      <c r="L581" s="37" t="s">
        <v>192</v>
      </c>
      <c r="M581" s="37">
        <v>52678</v>
      </c>
      <c r="N581" s="38" t="s">
        <v>324</v>
      </c>
      <c r="S581" s="23">
        <f>VLOOKUP(A581,Hoja1!A:D,4,0)</f>
        <v>1</v>
      </c>
      <c r="T581" s="26" t="str">
        <f>VLOOKUP(M581,[1]TIPOLOGIAS!$A:$F,4,0)</f>
        <v>PASTO</v>
      </c>
      <c r="U581" s="26" t="str">
        <f>VLOOKUP(T581,'BASE TARIFA 2025'!C:D,2,0)</f>
        <v>WOMPI SUROCCIDENTE</v>
      </c>
      <c r="V581" s="27">
        <f>VLOOKUP(T581,'BASE TARIFA 2025'!C:F,3,0)</f>
        <v>49671.7</v>
      </c>
      <c r="W581" s="27">
        <f t="shared" si="9"/>
        <v>49671.7</v>
      </c>
    </row>
    <row r="582" spans="1:23" s="37" customFormat="1" ht="14.4" x14ac:dyDescent="0.3">
      <c r="A582" s="37">
        <v>61372</v>
      </c>
      <c r="B582" s="37" t="s">
        <v>4216</v>
      </c>
      <c r="C582" s="37">
        <v>1082972451</v>
      </c>
      <c r="D582" s="37" t="s">
        <v>1423</v>
      </c>
      <c r="E582" s="37" t="s">
        <v>2682</v>
      </c>
      <c r="F582" s="37" t="s">
        <v>2682</v>
      </c>
      <c r="G582" s="37" t="s">
        <v>2727</v>
      </c>
      <c r="H582" s="37" t="s">
        <v>2728</v>
      </c>
      <c r="I582" s="37" t="s">
        <v>2729</v>
      </c>
      <c r="J582" s="37" t="s">
        <v>90</v>
      </c>
      <c r="K582" s="37" t="s">
        <v>193</v>
      </c>
      <c r="L582" s="37" t="s">
        <v>193</v>
      </c>
      <c r="M582" s="37">
        <v>54172</v>
      </c>
      <c r="N582" s="38" t="s">
        <v>324</v>
      </c>
      <c r="S582" s="23">
        <f>VLOOKUP(A582,Hoja1!A:D,4,0)</f>
        <v>1</v>
      </c>
      <c r="T582" s="26" t="str">
        <f>VLOOKUP(M582,[1]TIPOLOGIAS!$A:$F,4,0)</f>
        <v>CUCUTA</v>
      </c>
      <c r="U582" s="26" t="str">
        <f>VLOOKUP(T582,'BASE TARIFA 2025'!C:D,2,0)</f>
        <v>WOMPI SANTANDERES</v>
      </c>
      <c r="V582" s="27">
        <f>VLOOKUP(T582,'BASE TARIFA 2025'!C:F,3,0)</f>
        <v>49671.7</v>
      </c>
      <c r="W582" s="27">
        <f t="shared" si="9"/>
        <v>49671.7</v>
      </c>
    </row>
    <row r="583" spans="1:23" s="37" customFormat="1" ht="14.4" x14ac:dyDescent="0.3">
      <c r="A583" s="37">
        <v>58669</v>
      </c>
      <c r="B583" s="37" t="s">
        <v>4217</v>
      </c>
      <c r="C583" s="37">
        <v>1128225240</v>
      </c>
      <c r="D583" s="37" t="s">
        <v>2730</v>
      </c>
      <c r="E583" s="37" t="s">
        <v>2730</v>
      </c>
      <c r="F583" s="37" t="s">
        <v>2730</v>
      </c>
      <c r="G583" s="37" t="s">
        <v>2731</v>
      </c>
      <c r="H583" s="37" t="s">
        <v>2732</v>
      </c>
      <c r="I583" s="37" t="s">
        <v>2733</v>
      </c>
      <c r="J583" s="37" t="s">
        <v>90</v>
      </c>
      <c r="K583" s="37" t="s">
        <v>193</v>
      </c>
      <c r="L583" s="37" t="s">
        <v>193</v>
      </c>
      <c r="M583" s="37">
        <v>54172</v>
      </c>
      <c r="N583" s="38" t="s">
        <v>324</v>
      </c>
      <c r="S583" s="23">
        <f>VLOOKUP(A583,Hoja1!A:D,4,0)</f>
        <v>4</v>
      </c>
      <c r="T583" s="26" t="str">
        <f>VLOOKUP(M583,[1]TIPOLOGIAS!$A:$F,4,0)</f>
        <v>CUCUTA</v>
      </c>
      <c r="U583" s="26" t="str">
        <f>VLOOKUP(T583,'BASE TARIFA 2025'!C:D,2,0)</f>
        <v>WOMPI SANTANDERES</v>
      </c>
      <c r="V583" s="27">
        <f>VLOOKUP(T583,'BASE TARIFA 2025'!C:F,3,0)</f>
        <v>49671.7</v>
      </c>
      <c r="W583" s="27">
        <f t="shared" si="9"/>
        <v>198686.8</v>
      </c>
    </row>
    <row r="584" spans="1:23" s="37" customFormat="1" ht="14.4" x14ac:dyDescent="0.3">
      <c r="A584" s="37">
        <v>51576</v>
      </c>
      <c r="B584" s="37" t="s">
        <v>4218</v>
      </c>
      <c r="C584" s="37">
        <v>7633128</v>
      </c>
      <c r="D584" s="37" t="s">
        <v>2734</v>
      </c>
      <c r="E584" s="37" t="s">
        <v>2734</v>
      </c>
      <c r="F584" s="37" t="s">
        <v>2734</v>
      </c>
      <c r="G584" s="37" t="s">
        <v>2735</v>
      </c>
      <c r="H584" s="37" t="s">
        <v>2736</v>
      </c>
      <c r="I584" s="37" t="s">
        <v>2737</v>
      </c>
      <c r="J584" s="37" t="s">
        <v>68</v>
      </c>
      <c r="K584" s="37" t="s">
        <v>138</v>
      </c>
      <c r="L584" s="37" t="s">
        <v>138</v>
      </c>
      <c r="M584" s="37">
        <v>25754</v>
      </c>
      <c r="N584" s="38" t="s">
        <v>503</v>
      </c>
      <c r="S584" s="23">
        <f>VLOOKUP(A584,Hoja1!A:D,4,0)</f>
        <v>1</v>
      </c>
      <c r="T584" s="26" t="str">
        <f>VLOOKUP(M584,[1]TIPOLOGIAS!$A:$F,4,0)</f>
        <v>BOGOTA</v>
      </c>
      <c r="U584" s="26" t="str">
        <f>VLOOKUP(T584,'BASE TARIFA 2025'!C:D,2,0)</f>
        <v>WOMPI CENTRO</v>
      </c>
      <c r="V584" s="27">
        <f>VLOOKUP(T584,'BASE TARIFA 2025'!C:F,3,0)</f>
        <v>37313</v>
      </c>
      <c r="W584" s="27">
        <f t="shared" si="9"/>
        <v>37313</v>
      </c>
    </row>
    <row r="585" spans="1:23" s="37" customFormat="1" ht="14.4" x14ac:dyDescent="0.3">
      <c r="A585" s="37">
        <v>47287</v>
      </c>
      <c r="B585" s="37" t="s">
        <v>4219</v>
      </c>
      <c r="C585" s="37">
        <v>1124054560</v>
      </c>
      <c r="D585" s="37" t="s">
        <v>2738</v>
      </c>
      <c r="E585" s="37" t="s">
        <v>2738</v>
      </c>
      <c r="F585" s="37" t="s">
        <v>2738</v>
      </c>
      <c r="G585" s="37" t="s">
        <v>2739</v>
      </c>
      <c r="H585" s="37" t="s">
        <v>2740</v>
      </c>
      <c r="I585" s="37" t="s">
        <v>2741</v>
      </c>
      <c r="J585" s="37" t="s">
        <v>68</v>
      </c>
      <c r="K585" s="37" t="s">
        <v>138</v>
      </c>
      <c r="L585" s="37" t="s">
        <v>138</v>
      </c>
      <c r="M585" s="37">
        <v>25754</v>
      </c>
      <c r="N585" s="38" t="s">
        <v>853</v>
      </c>
      <c r="S585" s="23">
        <f>VLOOKUP(A585,Hoja1!A:D,4,0)</f>
        <v>2</v>
      </c>
      <c r="T585" s="26" t="str">
        <f>VLOOKUP(M585,[1]TIPOLOGIAS!$A:$F,4,0)</f>
        <v>BOGOTA</v>
      </c>
      <c r="U585" s="26" t="str">
        <f>VLOOKUP(T585,'BASE TARIFA 2025'!C:D,2,0)</f>
        <v>WOMPI CENTRO</v>
      </c>
      <c r="V585" s="27">
        <f>VLOOKUP(T585,'BASE TARIFA 2025'!C:F,3,0)</f>
        <v>37313</v>
      </c>
      <c r="W585" s="27">
        <f t="shared" si="9"/>
        <v>74626</v>
      </c>
    </row>
    <row r="586" spans="1:23" s="37" customFormat="1" ht="14.4" x14ac:dyDescent="0.3">
      <c r="A586" s="37">
        <v>35236</v>
      </c>
      <c r="B586" s="37" t="s">
        <v>4220</v>
      </c>
      <c r="C586" s="37">
        <v>1073979411</v>
      </c>
      <c r="D586" s="37" t="s">
        <v>2742</v>
      </c>
      <c r="E586" s="37" t="s">
        <v>2742</v>
      </c>
      <c r="F586" s="37" t="s">
        <v>2742</v>
      </c>
      <c r="G586" s="37" t="s">
        <v>2743</v>
      </c>
      <c r="H586" s="37" t="s">
        <v>2744</v>
      </c>
      <c r="I586" s="37" t="s">
        <v>2745</v>
      </c>
      <c r="J586" s="37" t="s">
        <v>68</v>
      </c>
      <c r="K586" s="37" t="s">
        <v>138</v>
      </c>
      <c r="L586" s="37" t="s">
        <v>138</v>
      </c>
      <c r="M586" s="37">
        <v>25754</v>
      </c>
      <c r="N586" s="38" t="s">
        <v>503</v>
      </c>
      <c r="S586" s="23">
        <f>VLOOKUP(A586,Hoja1!A:D,4,0)</f>
        <v>2</v>
      </c>
      <c r="T586" s="26" t="str">
        <f>VLOOKUP(M586,[1]TIPOLOGIAS!$A:$F,4,0)</f>
        <v>BOGOTA</v>
      </c>
      <c r="U586" s="26" t="str">
        <f>VLOOKUP(T586,'BASE TARIFA 2025'!C:D,2,0)</f>
        <v>WOMPI CENTRO</v>
      </c>
      <c r="V586" s="27">
        <f>VLOOKUP(T586,'BASE TARIFA 2025'!C:F,3,0)</f>
        <v>37313</v>
      </c>
      <c r="W586" s="27">
        <f t="shared" si="9"/>
        <v>74626</v>
      </c>
    </row>
    <row r="587" spans="1:23" s="37" customFormat="1" ht="14.4" x14ac:dyDescent="0.3">
      <c r="A587" s="37">
        <v>78552</v>
      </c>
      <c r="B587" s="37" t="s">
        <v>4221</v>
      </c>
      <c r="C587" s="37">
        <v>98343083</v>
      </c>
      <c r="D587" s="37" t="s">
        <v>2746</v>
      </c>
      <c r="E587" s="37" t="s">
        <v>2747</v>
      </c>
      <c r="F587" s="37" t="s">
        <v>2747</v>
      </c>
      <c r="G587" s="37" t="s">
        <v>2748</v>
      </c>
      <c r="H587" s="37" t="s">
        <v>2749</v>
      </c>
      <c r="I587" s="37" t="s">
        <v>2750</v>
      </c>
      <c r="J587" s="37" t="s">
        <v>68</v>
      </c>
      <c r="K587" s="37" t="s">
        <v>138</v>
      </c>
      <c r="L587" s="37" t="s">
        <v>138</v>
      </c>
      <c r="M587" s="37">
        <v>25754</v>
      </c>
      <c r="N587" s="38" t="s">
        <v>503</v>
      </c>
      <c r="S587" s="23">
        <f>VLOOKUP(A587,Hoja1!A:D,4,0)</f>
        <v>1</v>
      </c>
      <c r="T587" s="26" t="str">
        <f>VLOOKUP(M587,[1]TIPOLOGIAS!$A:$F,4,0)</f>
        <v>BOGOTA</v>
      </c>
      <c r="U587" s="26" t="str">
        <f>VLOOKUP(T587,'BASE TARIFA 2025'!C:D,2,0)</f>
        <v>WOMPI CENTRO</v>
      </c>
      <c r="V587" s="27">
        <f>VLOOKUP(T587,'BASE TARIFA 2025'!C:F,3,0)</f>
        <v>37313</v>
      </c>
      <c r="W587" s="27">
        <f t="shared" si="9"/>
        <v>37313</v>
      </c>
    </row>
    <row r="588" spans="1:23" s="37" customFormat="1" ht="14.4" x14ac:dyDescent="0.3">
      <c r="A588" s="37">
        <v>11043</v>
      </c>
      <c r="B588" s="37" t="s">
        <v>4222</v>
      </c>
      <c r="C588" s="37">
        <v>4486102</v>
      </c>
      <c r="D588" s="37" t="s">
        <v>2751</v>
      </c>
      <c r="E588" s="37" t="s">
        <v>2752</v>
      </c>
      <c r="F588" s="37" t="s">
        <v>2751</v>
      </c>
      <c r="G588" s="37" t="s">
        <v>2753</v>
      </c>
      <c r="H588" s="37" t="s">
        <v>2754</v>
      </c>
      <c r="I588" s="37" t="s">
        <v>2755</v>
      </c>
      <c r="J588" s="37" t="s">
        <v>68</v>
      </c>
      <c r="K588" s="37" t="s">
        <v>138</v>
      </c>
      <c r="L588" s="37" t="s">
        <v>138</v>
      </c>
      <c r="M588" s="37">
        <v>25754</v>
      </c>
      <c r="N588" s="38" t="s">
        <v>853</v>
      </c>
      <c r="S588" s="23">
        <f>VLOOKUP(A588,Hoja1!A:D,4,0)</f>
        <v>1</v>
      </c>
      <c r="T588" s="26" t="str">
        <f>VLOOKUP(M588,[1]TIPOLOGIAS!$A:$F,4,0)</f>
        <v>BOGOTA</v>
      </c>
      <c r="U588" s="26" t="str">
        <f>VLOOKUP(T588,'BASE TARIFA 2025'!C:D,2,0)</f>
        <v>WOMPI CENTRO</v>
      </c>
      <c r="V588" s="27">
        <f>VLOOKUP(T588,'BASE TARIFA 2025'!C:F,3,0)</f>
        <v>37313</v>
      </c>
      <c r="W588" s="27">
        <f t="shared" si="9"/>
        <v>37313</v>
      </c>
    </row>
    <row r="589" spans="1:23" s="37" customFormat="1" ht="14.4" x14ac:dyDescent="0.3">
      <c r="A589" s="37">
        <v>15601</v>
      </c>
      <c r="B589" s="37" t="s">
        <v>4223</v>
      </c>
      <c r="C589" s="37">
        <v>900113903</v>
      </c>
      <c r="D589" s="37" t="s">
        <v>67</v>
      </c>
      <c r="E589" s="37" t="s">
        <v>67</v>
      </c>
      <c r="F589" s="37" t="s">
        <v>2756</v>
      </c>
      <c r="G589" s="37" t="s">
        <v>2757</v>
      </c>
      <c r="H589" s="37" t="s">
        <v>2758</v>
      </c>
      <c r="I589" s="37" t="s">
        <v>2759</v>
      </c>
      <c r="J589" s="37" t="s">
        <v>68</v>
      </c>
      <c r="K589" s="37" t="s">
        <v>138</v>
      </c>
      <c r="L589" s="37" t="s">
        <v>138</v>
      </c>
      <c r="M589" s="37">
        <v>25754</v>
      </c>
      <c r="N589" s="38" t="s">
        <v>841</v>
      </c>
      <c r="S589" s="23">
        <f>VLOOKUP(A589,Hoja1!A:D,4,0)</f>
        <v>4</v>
      </c>
      <c r="T589" s="26" t="str">
        <f>VLOOKUP(M589,[1]TIPOLOGIAS!$A:$F,4,0)</f>
        <v>BOGOTA</v>
      </c>
      <c r="U589" s="26" t="str">
        <f>VLOOKUP(T589,'BASE TARIFA 2025'!C:D,2,0)</f>
        <v>WOMPI CENTRO</v>
      </c>
      <c r="V589" s="27">
        <f>VLOOKUP(T589,'BASE TARIFA 2025'!C:F,3,0)</f>
        <v>37313</v>
      </c>
      <c r="W589" s="27">
        <f t="shared" si="9"/>
        <v>149252</v>
      </c>
    </row>
    <row r="590" spans="1:23" s="37" customFormat="1" ht="14.4" x14ac:dyDescent="0.3">
      <c r="A590" s="37">
        <v>17046</v>
      </c>
      <c r="B590" s="37" t="s">
        <v>4224</v>
      </c>
      <c r="C590" s="37">
        <v>3082327</v>
      </c>
      <c r="E590" s="37" t="s">
        <v>2760</v>
      </c>
      <c r="F590" s="37" t="s">
        <v>2761</v>
      </c>
      <c r="G590" s="37" t="s">
        <v>2762</v>
      </c>
      <c r="H590" s="37" t="s">
        <v>2763</v>
      </c>
      <c r="I590" s="37" t="s">
        <v>2764</v>
      </c>
      <c r="J590" s="37" t="s">
        <v>68</v>
      </c>
      <c r="K590" s="37" t="s">
        <v>138</v>
      </c>
      <c r="L590" s="37" t="s">
        <v>138</v>
      </c>
      <c r="M590" s="37">
        <v>25754</v>
      </c>
      <c r="N590" s="38" t="s">
        <v>485</v>
      </c>
      <c r="S590" s="23">
        <f>VLOOKUP(A590,Hoja1!A:D,4,0)</f>
        <v>1</v>
      </c>
      <c r="T590" s="26" t="str">
        <f>VLOOKUP(M590,[1]TIPOLOGIAS!$A:$F,4,0)</f>
        <v>BOGOTA</v>
      </c>
      <c r="U590" s="26" t="str">
        <f>VLOOKUP(T590,'BASE TARIFA 2025'!C:D,2,0)</f>
        <v>WOMPI CENTRO</v>
      </c>
      <c r="V590" s="27">
        <f>VLOOKUP(T590,'BASE TARIFA 2025'!C:F,3,0)</f>
        <v>37313</v>
      </c>
      <c r="W590" s="27">
        <f t="shared" si="9"/>
        <v>37313</v>
      </c>
    </row>
    <row r="591" spans="1:23" s="37" customFormat="1" ht="14.4" x14ac:dyDescent="0.3">
      <c r="A591" s="37">
        <v>17236</v>
      </c>
      <c r="B591" s="37" t="s">
        <v>4225</v>
      </c>
      <c r="C591" s="37">
        <v>1019033081</v>
      </c>
      <c r="D591" s="37" t="s">
        <v>67</v>
      </c>
      <c r="E591" s="37" t="s">
        <v>2765</v>
      </c>
      <c r="F591" s="37" t="s">
        <v>2765</v>
      </c>
      <c r="G591" s="37" t="s">
        <v>2766</v>
      </c>
      <c r="H591" s="37" t="s">
        <v>2767</v>
      </c>
      <c r="I591" s="37" t="s">
        <v>2768</v>
      </c>
      <c r="J591" s="37" t="s">
        <v>68</v>
      </c>
      <c r="K591" s="37" t="s">
        <v>138</v>
      </c>
      <c r="L591" s="37" t="s">
        <v>138</v>
      </c>
      <c r="M591" s="37">
        <v>25754</v>
      </c>
      <c r="N591" s="38" t="s">
        <v>503</v>
      </c>
      <c r="S591" s="23">
        <f>VLOOKUP(A591,Hoja1!A:D,4,0)</f>
        <v>1</v>
      </c>
      <c r="T591" s="26" t="str">
        <f>VLOOKUP(M591,[1]TIPOLOGIAS!$A:$F,4,0)</f>
        <v>BOGOTA</v>
      </c>
      <c r="U591" s="26" t="str">
        <f>VLOOKUP(T591,'BASE TARIFA 2025'!C:D,2,0)</f>
        <v>WOMPI CENTRO</v>
      </c>
      <c r="V591" s="27">
        <f>VLOOKUP(T591,'BASE TARIFA 2025'!C:F,3,0)</f>
        <v>37313</v>
      </c>
      <c r="W591" s="27">
        <f t="shared" si="9"/>
        <v>37313</v>
      </c>
    </row>
    <row r="592" spans="1:23" s="37" customFormat="1" ht="14.4" x14ac:dyDescent="0.3">
      <c r="A592" s="37">
        <v>20628</v>
      </c>
      <c r="B592" s="37" t="s">
        <v>4226</v>
      </c>
      <c r="C592" s="37">
        <v>79640367</v>
      </c>
      <c r="D592" s="37" t="s">
        <v>2769</v>
      </c>
      <c r="E592" s="37" t="s">
        <v>2769</v>
      </c>
      <c r="F592" s="37" t="s">
        <v>2770</v>
      </c>
      <c r="G592" s="37" t="s">
        <v>2771</v>
      </c>
      <c r="H592" s="37" t="s">
        <v>2772</v>
      </c>
      <c r="I592" s="37" t="s">
        <v>2773</v>
      </c>
      <c r="J592" s="37" t="s">
        <v>90</v>
      </c>
      <c r="K592" s="37" t="s">
        <v>155</v>
      </c>
      <c r="L592" s="37" t="s">
        <v>155</v>
      </c>
      <c r="M592" s="37">
        <v>54001</v>
      </c>
      <c r="N592" s="38" t="s">
        <v>853</v>
      </c>
      <c r="S592" s="23">
        <f>VLOOKUP(A592,Hoja1!A:D,4,0)</f>
        <v>6</v>
      </c>
      <c r="T592" s="26" t="str">
        <f>VLOOKUP(M592,[1]TIPOLOGIAS!$A:$F,4,0)</f>
        <v>CUCUTA</v>
      </c>
      <c r="U592" s="26" t="str">
        <f>VLOOKUP(T592,'BASE TARIFA 2025'!C:D,2,0)</f>
        <v>WOMPI SANTANDERES</v>
      </c>
      <c r="V592" s="27">
        <f>VLOOKUP(T592,'BASE TARIFA 2025'!C:F,3,0)</f>
        <v>49671.7</v>
      </c>
      <c r="W592" s="27">
        <f t="shared" si="9"/>
        <v>298030.19999999995</v>
      </c>
    </row>
    <row r="593" spans="1:23" s="37" customFormat="1" ht="14.4" x14ac:dyDescent="0.3">
      <c r="A593" s="37">
        <v>16746</v>
      </c>
      <c r="B593" s="37" t="s">
        <v>4227</v>
      </c>
      <c r="C593" s="37">
        <v>801002644</v>
      </c>
      <c r="D593" s="37" t="s">
        <v>2774</v>
      </c>
      <c r="E593" s="37" t="s">
        <v>2774</v>
      </c>
      <c r="F593" s="37" t="s">
        <v>2774</v>
      </c>
      <c r="G593" s="37" t="s">
        <v>2775</v>
      </c>
      <c r="H593" s="37" t="s">
        <v>2776</v>
      </c>
      <c r="I593" s="37" t="s">
        <v>2777</v>
      </c>
      <c r="J593" s="37" t="s">
        <v>90</v>
      </c>
      <c r="K593" s="37" t="s">
        <v>155</v>
      </c>
      <c r="L593" s="37" t="s">
        <v>155</v>
      </c>
      <c r="M593" s="37">
        <v>54001</v>
      </c>
      <c r="N593" s="38" t="s">
        <v>416</v>
      </c>
      <c r="S593" s="23">
        <f>VLOOKUP(A593,Hoja1!A:D,4,0)</f>
        <v>1</v>
      </c>
      <c r="T593" s="26" t="str">
        <f>VLOOKUP(M593,[1]TIPOLOGIAS!$A:$F,4,0)</f>
        <v>CUCUTA</v>
      </c>
      <c r="U593" s="26" t="str">
        <f>VLOOKUP(T593,'BASE TARIFA 2025'!C:D,2,0)</f>
        <v>WOMPI SANTANDERES</v>
      </c>
      <c r="V593" s="27">
        <f>VLOOKUP(T593,'BASE TARIFA 2025'!C:F,3,0)</f>
        <v>49671.7</v>
      </c>
      <c r="W593" s="27">
        <f t="shared" si="9"/>
        <v>49671.7</v>
      </c>
    </row>
    <row r="594" spans="1:23" s="37" customFormat="1" ht="14.4" x14ac:dyDescent="0.3">
      <c r="A594" s="37">
        <v>17978</v>
      </c>
      <c r="B594" s="37" t="s">
        <v>4228</v>
      </c>
      <c r="C594" s="37">
        <v>1032357568</v>
      </c>
      <c r="D594" s="37" t="s">
        <v>67</v>
      </c>
      <c r="E594" s="37" t="s">
        <v>2778</v>
      </c>
      <c r="F594" s="37" t="s">
        <v>2778</v>
      </c>
      <c r="G594" s="37" t="s">
        <v>2779</v>
      </c>
      <c r="H594" s="37" t="s">
        <v>2780</v>
      </c>
      <c r="I594" s="37" t="s">
        <v>2781</v>
      </c>
      <c r="J594" s="37" t="s">
        <v>90</v>
      </c>
      <c r="K594" s="37" t="s">
        <v>155</v>
      </c>
      <c r="L594" s="37" t="s">
        <v>155</v>
      </c>
      <c r="M594" s="37">
        <v>54001</v>
      </c>
      <c r="N594" s="38" t="s">
        <v>430</v>
      </c>
      <c r="S594" s="23">
        <f>VLOOKUP(A594,Hoja1!A:D,4,0)</f>
        <v>2</v>
      </c>
      <c r="T594" s="26" t="str">
        <f>VLOOKUP(M594,[1]TIPOLOGIAS!$A:$F,4,0)</f>
        <v>CUCUTA</v>
      </c>
      <c r="U594" s="26" t="str">
        <f>VLOOKUP(T594,'BASE TARIFA 2025'!C:D,2,0)</f>
        <v>WOMPI SANTANDERES</v>
      </c>
      <c r="V594" s="27">
        <f>VLOOKUP(T594,'BASE TARIFA 2025'!C:F,3,0)</f>
        <v>49671.7</v>
      </c>
      <c r="W594" s="27">
        <f t="shared" si="9"/>
        <v>99343.4</v>
      </c>
    </row>
    <row r="595" spans="1:23" s="37" customFormat="1" ht="14.4" x14ac:dyDescent="0.3">
      <c r="A595" s="37">
        <v>21493</v>
      </c>
      <c r="B595" s="37" t="s">
        <v>4229</v>
      </c>
      <c r="C595" s="37">
        <v>16667817</v>
      </c>
      <c r="D595" s="37" t="s">
        <v>2782</v>
      </c>
      <c r="E595" s="37" t="s">
        <v>2783</v>
      </c>
      <c r="F595" s="37" t="s">
        <v>2782</v>
      </c>
      <c r="G595" s="37" t="s">
        <v>2784</v>
      </c>
      <c r="H595" s="37" t="s">
        <v>2785</v>
      </c>
      <c r="I595" s="37" t="s">
        <v>2786</v>
      </c>
      <c r="J595" s="37" t="s">
        <v>68</v>
      </c>
      <c r="K595" s="37" t="s">
        <v>138</v>
      </c>
      <c r="L595" s="37" t="s">
        <v>138</v>
      </c>
      <c r="M595" s="37">
        <v>25754</v>
      </c>
      <c r="N595" s="38" t="s">
        <v>503</v>
      </c>
      <c r="S595" s="23">
        <f>VLOOKUP(A595,Hoja1!A:D,4,0)</f>
        <v>2</v>
      </c>
      <c r="T595" s="26" t="str">
        <f>VLOOKUP(M595,[1]TIPOLOGIAS!$A:$F,4,0)</f>
        <v>BOGOTA</v>
      </c>
      <c r="U595" s="26" t="str">
        <f>VLOOKUP(T595,'BASE TARIFA 2025'!C:D,2,0)</f>
        <v>WOMPI CENTRO</v>
      </c>
      <c r="V595" s="27">
        <f>VLOOKUP(T595,'BASE TARIFA 2025'!C:F,3,0)</f>
        <v>37313</v>
      </c>
      <c r="W595" s="27">
        <f t="shared" si="9"/>
        <v>74626</v>
      </c>
    </row>
    <row r="596" spans="1:23" s="37" customFormat="1" ht="14.4" x14ac:dyDescent="0.3">
      <c r="A596" s="37">
        <v>17567</v>
      </c>
      <c r="B596" s="37" t="s">
        <v>4230</v>
      </c>
      <c r="C596" s="37">
        <v>35510963</v>
      </c>
      <c r="D596" s="37" t="s">
        <v>2787</v>
      </c>
      <c r="E596" s="37" t="s">
        <v>2788</v>
      </c>
      <c r="F596" s="37" t="s">
        <v>2789</v>
      </c>
      <c r="G596" s="37" t="s">
        <v>2790</v>
      </c>
      <c r="H596" s="37" t="s">
        <v>2791</v>
      </c>
      <c r="I596" s="37" t="s">
        <v>2792</v>
      </c>
      <c r="J596" s="37" t="s">
        <v>68</v>
      </c>
      <c r="K596" s="37" t="s">
        <v>138</v>
      </c>
      <c r="L596" s="37" t="s">
        <v>138</v>
      </c>
      <c r="M596" s="37">
        <v>25754</v>
      </c>
      <c r="N596" s="38" t="s">
        <v>328</v>
      </c>
      <c r="S596" s="23">
        <f>VLOOKUP(A596,Hoja1!A:D,4,0)</f>
        <v>2</v>
      </c>
      <c r="T596" s="26" t="str">
        <f>VLOOKUP(M596,[1]TIPOLOGIAS!$A:$F,4,0)</f>
        <v>BOGOTA</v>
      </c>
      <c r="U596" s="26" t="str">
        <f>VLOOKUP(T596,'BASE TARIFA 2025'!C:D,2,0)</f>
        <v>WOMPI CENTRO</v>
      </c>
      <c r="V596" s="27">
        <f>VLOOKUP(T596,'BASE TARIFA 2025'!C:F,3,0)</f>
        <v>37313</v>
      </c>
      <c r="W596" s="27">
        <f t="shared" si="9"/>
        <v>74626</v>
      </c>
    </row>
    <row r="597" spans="1:23" s="37" customFormat="1" ht="14.4" x14ac:dyDescent="0.3">
      <c r="A597" s="37">
        <v>22822</v>
      </c>
      <c r="B597" s="37" t="s">
        <v>4231</v>
      </c>
      <c r="C597" s="37">
        <v>41320027</v>
      </c>
      <c r="D597" s="37" t="s">
        <v>246</v>
      </c>
      <c r="E597" s="37" t="s">
        <v>246</v>
      </c>
      <c r="F597" s="37" t="s">
        <v>246</v>
      </c>
      <c r="G597" s="37" t="s">
        <v>247</v>
      </c>
      <c r="H597" s="37" t="s">
        <v>248</v>
      </c>
      <c r="I597" s="37" t="s">
        <v>249</v>
      </c>
      <c r="J597" s="37" t="s">
        <v>68</v>
      </c>
      <c r="K597" s="37" t="s">
        <v>138</v>
      </c>
      <c r="L597" s="37" t="s">
        <v>138</v>
      </c>
      <c r="M597" s="37">
        <v>25754</v>
      </c>
      <c r="N597" s="38" t="s">
        <v>328</v>
      </c>
      <c r="S597" s="23">
        <f>VLOOKUP(A597,Hoja1!A:D,4,0)</f>
        <v>3</v>
      </c>
      <c r="T597" s="26" t="str">
        <f>VLOOKUP(M597,[1]TIPOLOGIAS!$A:$F,4,0)</f>
        <v>BOGOTA</v>
      </c>
      <c r="U597" s="26" t="str">
        <f>VLOOKUP(T597,'BASE TARIFA 2025'!C:D,2,0)</f>
        <v>WOMPI CENTRO</v>
      </c>
      <c r="V597" s="27">
        <f>VLOOKUP(T597,'BASE TARIFA 2025'!C:F,3,0)</f>
        <v>37313</v>
      </c>
      <c r="W597" s="27">
        <f t="shared" si="9"/>
        <v>111939</v>
      </c>
    </row>
    <row r="598" spans="1:23" s="37" customFormat="1" ht="14.4" x14ac:dyDescent="0.3">
      <c r="A598" s="37">
        <v>21792</v>
      </c>
      <c r="B598" s="37" t="s">
        <v>4232</v>
      </c>
      <c r="C598" s="37">
        <v>53063313</v>
      </c>
      <c r="D598" s="37" t="s">
        <v>2793</v>
      </c>
      <c r="E598" s="37" t="s">
        <v>2793</v>
      </c>
      <c r="F598" s="37" t="s">
        <v>2794</v>
      </c>
      <c r="G598" s="37" t="s">
        <v>2795</v>
      </c>
      <c r="H598" s="37" t="s">
        <v>2796</v>
      </c>
      <c r="I598" s="37" t="s">
        <v>2797</v>
      </c>
      <c r="J598" s="37" t="s">
        <v>68</v>
      </c>
      <c r="K598" s="37" t="s">
        <v>138</v>
      </c>
      <c r="L598" s="37" t="s">
        <v>138</v>
      </c>
      <c r="M598" s="37">
        <v>25754</v>
      </c>
      <c r="N598" s="38" t="s">
        <v>485</v>
      </c>
      <c r="S598" s="23">
        <f>VLOOKUP(A598,Hoja1!A:D,4,0)</f>
        <v>2</v>
      </c>
      <c r="T598" s="26" t="str">
        <f>VLOOKUP(M598,[1]TIPOLOGIAS!$A:$F,4,0)</f>
        <v>BOGOTA</v>
      </c>
      <c r="U598" s="26" t="str">
        <f>VLOOKUP(T598,'BASE TARIFA 2025'!C:D,2,0)</f>
        <v>WOMPI CENTRO</v>
      </c>
      <c r="V598" s="27">
        <f>VLOOKUP(T598,'BASE TARIFA 2025'!C:F,3,0)</f>
        <v>37313</v>
      </c>
      <c r="W598" s="27">
        <f t="shared" si="9"/>
        <v>74626</v>
      </c>
    </row>
    <row r="599" spans="1:23" s="37" customFormat="1" ht="14.4" x14ac:dyDescent="0.3">
      <c r="A599" s="37">
        <v>22540</v>
      </c>
      <c r="B599" s="37" t="s">
        <v>4233</v>
      </c>
      <c r="C599" s="37">
        <v>900364915</v>
      </c>
      <c r="D599" s="37" t="s">
        <v>2798</v>
      </c>
      <c r="E599" s="37" t="s">
        <v>2798</v>
      </c>
      <c r="F599" s="37" t="s">
        <v>2799</v>
      </c>
      <c r="G599" s="37" t="s">
        <v>2800</v>
      </c>
      <c r="H599" s="37" t="s">
        <v>2801</v>
      </c>
      <c r="I599" s="37" t="s">
        <v>2802</v>
      </c>
      <c r="J599" s="37" t="s">
        <v>68</v>
      </c>
      <c r="K599" s="37" t="s">
        <v>138</v>
      </c>
      <c r="L599" s="37" t="s">
        <v>138</v>
      </c>
      <c r="M599" s="37">
        <v>25754</v>
      </c>
      <c r="N599" s="38" t="s">
        <v>485</v>
      </c>
      <c r="S599" s="23">
        <f>VLOOKUP(A599,Hoja1!A:D,4,0)</f>
        <v>1</v>
      </c>
      <c r="T599" s="26" t="str">
        <f>VLOOKUP(M599,[1]TIPOLOGIAS!$A:$F,4,0)</f>
        <v>BOGOTA</v>
      </c>
      <c r="U599" s="26" t="str">
        <f>VLOOKUP(T599,'BASE TARIFA 2025'!C:D,2,0)</f>
        <v>WOMPI CENTRO</v>
      </c>
      <c r="V599" s="27">
        <f>VLOOKUP(T599,'BASE TARIFA 2025'!C:F,3,0)</f>
        <v>37313</v>
      </c>
      <c r="W599" s="27">
        <f t="shared" si="9"/>
        <v>37313</v>
      </c>
    </row>
    <row r="600" spans="1:23" s="37" customFormat="1" ht="14.4" x14ac:dyDescent="0.3">
      <c r="A600" s="37">
        <v>24244</v>
      </c>
      <c r="B600" s="37" t="s">
        <v>4234</v>
      </c>
      <c r="C600" s="37">
        <v>79136311</v>
      </c>
      <c r="D600" s="37" t="s">
        <v>67</v>
      </c>
      <c r="E600" s="37" t="s">
        <v>2803</v>
      </c>
      <c r="F600" s="37" t="s">
        <v>2803</v>
      </c>
      <c r="G600" s="37" t="s">
        <v>2804</v>
      </c>
      <c r="H600" s="37" t="s">
        <v>2805</v>
      </c>
      <c r="I600" s="37" t="s">
        <v>2806</v>
      </c>
      <c r="J600" s="37" t="s">
        <v>68</v>
      </c>
      <c r="K600" s="37" t="s">
        <v>138</v>
      </c>
      <c r="L600" s="37" t="s">
        <v>138</v>
      </c>
      <c r="M600" s="37">
        <v>25754</v>
      </c>
      <c r="N600" s="38" t="s">
        <v>841</v>
      </c>
      <c r="S600" s="23">
        <f>VLOOKUP(A600,Hoja1!A:D,4,0)</f>
        <v>1</v>
      </c>
      <c r="T600" s="26" t="str">
        <f>VLOOKUP(M600,[1]TIPOLOGIAS!$A:$F,4,0)</f>
        <v>BOGOTA</v>
      </c>
      <c r="U600" s="26" t="str">
        <f>VLOOKUP(T600,'BASE TARIFA 2025'!C:D,2,0)</f>
        <v>WOMPI CENTRO</v>
      </c>
      <c r="V600" s="27">
        <f>VLOOKUP(T600,'BASE TARIFA 2025'!C:F,3,0)</f>
        <v>37313</v>
      </c>
      <c r="W600" s="27">
        <f t="shared" si="9"/>
        <v>37313</v>
      </c>
    </row>
    <row r="601" spans="1:23" s="37" customFormat="1" ht="14.4" x14ac:dyDescent="0.3">
      <c r="A601" s="37">
        <v>24510</v>
      </c>
      <c r="B601" s="37" t="s">
        <v>4235</v>
      </c>
      <c r="C601" s="37">
        <v>80187741</v>
      </c>
      <c r="D601" s="37" t="s">
        <v>67</v>
      </c>
      <c r="E601" s="37" t="s">
        <v>2807</v>
      </c>
      <c r="F601" s="37" t="s">
        <v>2807</v>
      </c>
      <c r="G601" s="37" t="s">
        <v>2808</v>
      </c>
      <c r="H601" s="37" t="s">
        <v>2809</v>
      </c>
      <c r="I601" s="37" t="s">
        <v>2810</v>
      </c>
      <c r="J601" s="37" t="s">
        <v>68</v>
      </c>
      <c r="K601" s="37" t="s">
        <v>138</v>
      </c>
      <c r="L601" s="37" t="s">
        <v>138</v>
      </c>
      <c r="M601" s="37">
        <v>25754</v>
      </c>
      <c r="N601" s="38" t="s">
        <v>503</v>
      </c>
      <c r="S601" s="23">
        <f>VLOOKUP(A601,Hoja1!A:D,4,0)</f>
        <v>3</v>
      </c>
      <c r="T601" s="26" t="str">
        <f>VLOOKUP(M601,[1]TIPOLOGIAS!$A:$F,4,0)</f>
        <v>BOGOTA</v>
      </c>
      <c r="U601" s="26" t="str">
        <f>VLOOKUP(T601,'BASE TARIFA 2025'!C:D,2,0)</f>
        <v>WOMPI CENTRO</v>
      </c>
      <c r="V601" s="27">
        <f>VLOOKUP(T601,'BASE TARIFA 2025'!C:F,3,0)</f>
        <v>37313</v>
      </c>
      <c r="W601" s="27">
        <f t="shared" si="9"/>
        <v>111939</v>
      </c>
    </row>
    <row r="602" spans="1:23" s="37" customFormat="1" ht="14.4" x14ac:dyDescent="0.3">
      <c r="A602" s="37">
        <v>25708</v>
      </c>
      <c r="B602" s="37" t="s">
        <v>4236</v>
      </c>
      <c r="C602" s="37">
        <v>52236739</v>
      </c>
      <c r="D602" s="37" t="s">
        <v>2811</v>
      </c>
      <c r="E602" s="37" t="s">
        <v>2811</v>
      </c>
      <c r="F602" s="37" t="s">
        <v>2812</v>
      </c>
      <c r="G602" s="37" t="s">
        <v>2813</v>
      </c>
      <c r="H602" s="37" t="s">
        <v>2814</v>
      </c>
      <c r="I602" s="37" t="s">
        <v>2815</v>
      </c>
      <c r="J602" s="37" t="s">
        <v>68</v>
      </c>
      <c r="K602" s="37" t="s">
        <v>138</v>
      </c>
      <c r="L602" s="37" t="s">
        <v>138</v>
      </c>
      <c r="M602" s="37">
        <v>25754</v>
      </c>
      <c r="N602" s="38" t="s">
        <v>328</v>
      </c>
      <c r="S602" s="23">
        <f>VLOOKUP(A602,Hoja1!A:D,4,0)</f>
        <v>1</v>
      </c>
      <c r="T602" s="26" t="str">
        <f>VLOOKUP(M602,[1]TIPOLOGIAS!$A:$F,4,0)</f>
        <v>BOGOTA</v>
      </c>
      <c r="U602" s="26" t="str">
        <f>VLOOKUP(T602,'BASE TARIFA 2025'!C:D,2,0)</f>
        <v>WOMPI CENTRO</v>
      </c>
      <c r="V602" s="27">
        <f>VLOOKUP(T602,'BASE TARIFA 2025'!C:F,3,0)</f>
        <v>37313</v>
      </c>
      <c r="W602" s="27">
        <f t="shared" si="9"/>
        <v>37313</v>
      </c>
    </row>
    <row r="603" spans="1:23" s="37" customFormat="1" ht="14.4" x14ac:dyDescent="0.3">
      <c r="A603" s="37">
        <v>25527</v>
      </c>
      <c r="B603" s="37" t="s">
        <v>4237</v>
      </c>
      <c r="C603" s="37">
        <v>1013579237</v>
      </c>
      <c r="D603" s="37" t="s">
        <v>2816</v>
      </c>
      <c r="E603" s="37" t="s">
        <v>2817</v>
      </c>
      <c r="F603" s="37" t="s">
        <v>2817</v>
      </c>
      <c r="G603" s="37" t="s">
        <v>2818</v>
      </c>
      <c r="H603" s="37" t="s">
        <v>2819</v>
      </c>
      <c r="I603" s="37" t="s">
        <v>2820</v>
      </c>
      <c r="J603" s="37" t="s">
        <v>86</v>
      </c>
      <c r="K603" s="37" t="s">
        <v>194</v>
      </c>
      <c r="L603" s="37" t="s">
        <v>194</v>
      </c>
      <c r="M603" s="37">
        <v>66318</v>
      </c>
      <c r="N603" s="38" t="s">
        <v>322</v>
      </c>
      <c r="S603" s="23">
        <f>VLOOKUP(A603,Hoja1!A:D,4,0)</f>
        <v>3</v>
      </c>
      <c r="T603" s="26" t="str">
        <f>VLOOKUP(M603,[1]TIPOLOGIAS!$A:$F,4,0)</f>
        <v>PEREIRA</v>
      </c>
      <c r="U603" s="26" t="str">
        <f>VLOOKUP(T603,'BASE TARIFA 2025'!C:D,2,0)</f>
        <v>WOMPI EJE CAFETERO</v>
      </c>
      <c r="V603" s="27">
        <f>VLOOKUP(T603,'BASE TARIFA 2025'!C:F,3,0)</f>
        <v>37313</v>
      </c>
      <c r="W603" s="27">
        <f t="shared" si="9"/>
        <v>111939</v>
      </c>
    </row>
    <row r="604" spans="1:23" s="37" customFormat="1" ht="14.4" x14ac:dyDescent="0.3">
      <c r="A604" s="37">
        <v>26847</v>
      </c>
      <c r="B604" s="37" t="s">
        <v>4238</v>
      </c>
      <c r="C604" s="37">
        <v>1019018018</v>
      </c>
      <c r="D604" s="37" t="s">
        <v>182</v>
      </c>
      <c r="E604" s="37" t="s">
        <v>182</v>
      </c>
      <c r="F604" s="37" t="s">
        <v>182</v>
      </c>
      <c r="G604" s="37" t="s">
        <v>2821</v>
      </c>
      <c r="H604" s="37" t="s">
        <v>2822</v>
      </c>
      <c r="I604" s="37" t="s">
        <v>2823</v>
      </c>
      <c r="J604" s="37" t="s">
        <v>86</v>
      </c>
      <c r="K604" s="37" t="s">
        <v>194</v>
      </c>
      <c r="L604" s="37" t="s">
        <v>194</v>
      </c>
      <c r="M604" s="37">
        <v>66318</v>
      </c>
      <c r="N604" s="38" t="s">
        <v>853</v>
      </c>
      <c r="S604" s="23">
        <f>VLOOKUP(A604,Hoja1!A:D,4,0)</f>
        <v>2</v>
      </c>
      <c r="T604" s="26" t="str">
        <f>VLOOKUP(M604,[1]TIPOLOGIAS!$A:$F,4,0)</f>
        <v>PEREIRA</v>
      </c>
      <c r="U604" s="26" t="str">
        <f>VLOOKUP(T604,'BASE TARIFA 2025'!C:D,2,0)</f>
        <v>WOMPI EJE CAFETERO</v>
      </c>
      <c r="V604" s="27">
        <f>VLOOKUP(T604,'BASE TARIFA 2025'!C:F,3,0)</f>
        <v>37313</v>
      </c>
      <c r="W604" s="27">
        <f t="shared" si="9"/>
        <v>74626</v>
      </c>
    </row>
    <row r="605" spans="1:23" s="37" customFormat="1" ht="14.4" x14ac:dyDescent="0.3">
      <c r="A605" s="37">
        <v>28697</v>
      </c>
      <c r="B605" s="37" t="s">
        <v>3630</v>
      </c>
      <c r="C605" s="37">
        <v>1030674988</v>
      </c>
      <c r="D605" s="37" t="s">
        <v>2824</v>
      </c>
      <c r="E605" s="37" t="s">
        <v>2824</v>
      </c>
      <c r="G605" s="37" t="s">
        <v>2825</v>
      </c>
      <c r="H605" s="37" t="s">
        <v>2826</v>
      </c>
      <c r="I605" s="37" t="s">
        <v>2827</v>
      </c>
      <c r="J605" s="37" t="s">
        <v>86</v>
      </c>
      <c r="K605" s="37" t="s">
        <v>194</v>
      </c>
      <c r="L605" s="37" t="s">
        <v>194</v>
      </c>
      <c r="M605" s="37">
        <v>66318</v>
      </c>
      <c r="N605" s="38" t="s">
        <v>322</v>
      </c>
      <c r="S605" s="23">
        <f>VLOOKUP(A605,Hoja1!A:D,4,0)</f>
        <v>2</v>
      </c>
      <c r="T605" s="26" t="str">
        <f>VLOOKUP(M605,[1]TIPOLOGIAS!$A:$F,4,0)</f>
        <v>PEREIRA</v>
      </c>
      <c r="U605" s="26" t="str">
        <f>VLOOKUP(T605,'BASE TARIFA 2025'!C:D,2,0)</f>
        <v>WOMPI EJE CAFETERO</v>
      </c>
      <c r="V605" s="27">
        <f>VLOOKUP(T605,'BASE TARIFA 2025'!C:F,3,0)</f>
        <v>37313</v>
      </c>
      <c r="W605" s="27">
        <f t="shared" si="9"/>
        <v>74626</v>
      </c>
    </row>
    <row r="606" spans="1:23" s="37" customFormat="1" ht="14.4" x14ac:dyDescent="0.3">
      <c r="A606" s="37">
        <v>26396</v>
      </c>
      <c r="B606" s="37" t="s">
        <v>4239</v>
      </c>
      <c r="C606" s="37">
        <v>805029815</v>
      </c>
      <c r="D606" s="37" t="s">
        <v>2828</v>
      </c>
      <c r="E606" s="37" t="s">
        <v>2829</v>
      </c>
      <c r="F606" s="37" t="s">
        <v>2829</v>
      </c>
      <c r="G606" s="37" t="s">
        <v>2830</v>
      </c>
      <c r="H606" s="37" t="s">
        <v>2831</v>
      </c>
      <c r="I606" s="37" t="s">
        <v>2832</v>
      </c>
      <c r="J606" s="37" t="s">
        <v>86</v>
      </c>
      <c r="K606" s="37" t="s">
        <v>195</v>
      </c>
      <c r="L606" s="37" t="s">
        <v>195</v>
      </c>
      <c r="M606" s="37">
        <v>66682</v>
      </c>
      <c r="N606" s="38" t="s">
        <v>322</v>
      </c>
      <c r="S606" s="23">
        <f>VLOOKUP(A606,Hoja1!A:D,4,0)</f>
        <v>2</v>
      </c>
      <c r="T606" s="26" t="str">
        <f>VLOOKUP(M606,[1]TIPOLOGIAS!$A:$F,4,0)</f>
        <v>PEREIRA</v>
      </c>
      <c r="U606" s="26" t="str">
        <f>VLOOKUP(T606,'BASE TARIFA 2025'!C:D,2,0)</f>
        <v>WOMPI EJE CAFETERO</v>
      </c>
      <c r="V606" s="27">
        <f>VLOOKUP(T606,'BASE TARIFA 2025'!C:F,3,0)</f>
        <v>37313</v>
      </c>
      <c r="W606" s="27">
        <f t="shared" si="9"/>
        <v>74626</v>
      </c>
    </row>
    <row r="607" spans="1:23" s="37" customFormat="1" ht="14.4" x14ac:dyDescent="0.3">
      <c r="A607" s="37">
        <v>26399</v>
      </c>
      <c r="B607" s="37" t="s">
        <v>4240</v>
      </c>
      <c r="C607" s="37">
        <v>900627646</v>
      </c>
      <c r="D607" s="37" t="s">
        <v>2833</v>
      </c>
      <c r="E607" s="37" t="s">
        <v>2834</v>
      </c>
      <c r="F607" s="37" t="s">
        <v>2834</v>
      </c>
      <c r="G607" s="37" t="s">
        <v>2835</v>
      </c>
      <c r="H607" s="37" t="s">
        <v>2836</v>
      </c>
      <c r="I607" s="37" t="s">
        <v>2837</v>
      </c>
      <c r="J607" s="37" t="s">
        <v>86</v>
      </c>
      <c r="K607" s="37" t="s">
        <v>195</v>
      </c>
      <c r="L607" s="37" t="s">
        <v>195</v>
      </c>
      <c r="M607" s="37">
        <v>66682</v>
      </c>
      <c r="N607" s="38" t="s">
        <v>322</v>
      </c>
      <c r="S607" s="23">
        <f>VLOOKUP(A607,Hoja1!A:D,4,0)</f>
        <v>2</v>
      </c>
      <c r="T607" s="26" t="str">
        <f>VLOOKUP(M607,[1]TIPOLOGIAS!$A:$F,4,0)</f>
        <v>PEREIRA</v>
      </c>
      <c r="U607" s="26" t="str">
        <f>VLOOKUP(T607,'BASE TARIFA 2025'!C:D,2,0)</f>
        <v>WOMPI EJE CAFETERO</v>
      </c>
      <c r="V607" s="27">
        <f>VLOOKUP(T607,'BASE TARIFA 2025'!C:F,3,0)</f>
        <v>37313</v>
      </c>
      <c r="W607" s="27">
        <f t="shared" si="9"/>
        <v>74626</v>
      </c>
    </row>
    <row r="608" spans="1:23" s="37" customFormat="1" ht="14.4" x14ac:dyDescent="0.3">
      <c r="A608" s="37">
        <v>27456</v>
      </c>
      <c r="B608" s="37" t="s">
        <v>4241</v>
      </c>
      <c r="C608" s="37">
        <v>31324852</v>
      </c>
      <c r="D608" s="37" t="s">
        <v>2838</v>
      </c>
      <c r="E608" s="37" t="s">
        <v>2839</v>
      </c>
      <c r="F608" s="37" t="s">
        <v>2839</v>
      </c>
      <c r="G608" s="37" t="s">
        <v>2840</v>
      </c>
      <c r="H608" s="37" t="s">
        <v>2841</v>
      </c>
      <c r="I608" s="37" t="s">
        <v>2842</v>
      </c>
      <c r="J608" s="37" t="s">
        <v>86</v>
      </c>
      <c r="K608" s="37" t="s">
        <v>195</v>
      </c>
      <c r="L608" s="37" t="s">
        <v>195</v>
      </c>
      <c r="M608" s="37">
        <v>66682</v>
      </c>
      <c r="N608" s="38" t="s">
        <v>322</v>
      </c>
      <c r="S608" s="23">
        <f>VLOOKUP(A608,Hoja1!A:D,4,0)</f>
        <v>2</v>
      </c>
      <c r="T608" s="26" t="str">
        <f>VLOOKUP(M608,[1]TIPOLOGIAS!$A:$F,4,0)</f>
        <v>PEREIRA</v>
      </c>
      <c r="U608" s="26" t="str">
        <f>VLOOKUP(T608,'BASE TARIFA 2025'!C:D,2,0)</f>
        <v>WOMPI EJE CAFETERO</v>
      </c>
      <c r="V608" s="27">
        <f>VLOOKUP(T608,'BASE TARIFA 2025'!C:F,3,0)</f>
        <v>37313</v>
      </c>
      <c r="W608" s="27">
        <f t="shared" si="9"/>
        <v>74626</v>
      </c>
    </row>
    <row r="609" spans="1:23" s="37" customFormat="1" ht="14.4" x14ac:dyDescent="0.3">
      <c r="A609" s="37">
        <v>31830</v>
      </c>
      <c r="B609" s="37" t="s">
        <v>4242</v>
      </c>
      <c r="C609" s="37">
        <v>1019033081</v>
      </c>
      <c r="D609" s="37" t="s">
        <v>67</v>
      </c>
      <c r="E609" s="37" t="s">
        <v>302</v>
      </c>
      <c r="F609" s="37" t="s">
        <v>302</v>
      </c>
      <c r="G609" s="37" t="s">
        <v>303</v>
      </c>
      <c r="H609" s="37" t="s">
        <v>304</v>
      </c>
      <c r="I609" s="37" t="s">
        <v>305</v>
      </c>
      <c r="J609" s="37" t="s">
        <v>86</v>
      </c>
      <c r="K609" s="37" t="s">
        <v>195</v>
      </c>
      <c r="L609" s="37" t="s">
        <v>195</v>
      </c>
      <c r="M609" s="37">
        <v>66682</v>
      </c>
      <c r="N609" s="38" t="s">
        <v>328</v>
      </c>
      <c r="S609" s="23">
        <f>VLOOKUP(A609,Hoja1!A:D,4,0)</f>
        <v>1</v>
      </c>
      <c r="T609" s="26" t="str">
        <f>VLOOKUP(M609,[1]TIPOLOGIAS!$A:$F,4,0)</f>
        <v>PEREIRA</v>
      </c>
      <c r="U609" s="26" t="str">
        <f>VLOOKUP(T609,'BASE TARIFA 2025'!C:D,2,0)</f>
        <v>WOMPI EJE CAFETERO</v>
      </c>
      <c r="V609" s="27">
        <f>VLOOKUP(T609,'BASE TARIFA 2025'!C:F,3,0)</f>
        <v>37313</v>
      </c>
      <c r="W609" s="27">
        <f t="shared" si="9"/>
        <v>37313</v>
      </c>
    </row>
    <row r="610" spans="1:23" s="37" customFormat="1" ht="14.4" x14ac:dyDescent="0.3">
      <c r="A610" s="37">
        <v>33186</v>
      </c>
      <c r="B610" s="37" t="s">
        <v>4243</v>
      </c>
      <c r="C610" s="37">
        <v>13513844</v>
      </c>
      <c r="E610" s="37" t="s">
        <v>2843</v>
      </c>
      <c r="F610" s="37" t="s">
        <v>2843</v>
      </c>
      <c r="G610" s="37" t="s">
        <v>2844</v>
      </c>
      <c r="H610" s="37" t="s">
        <v>2845</v>
      </c>
      <c r="I610" s="37" t="s">
        <v>2846</v>
      </c>
      <c r="J610" s="37" t="s">
        <v>86</v>
      </c>
      <c r="K610" s="37" t="s">
        <v>195</v>
      </c>
      <c r="L610" s="37" t="s">
        <v>195</v>
      </c>
      <c r="M610" s="37">
        <v>66682</v>
      </c>
      <c r="N610" s="38" t="s">
        <v>328</v>
      </c>
      <c r="S610" s="23">
        <f>VLOOKUP(A610,Hoja1!A:D,4,0)</f>
        <v>2</v>
      </c>
      <c r="T610" s="26" t="str">
        <f>VLOOKUP(M610,[1]TIPOLOGIAS!$A:$F,4,0)</f>
        <v>PEREIRA</v>
      </c>
      <c r="U610" s="26" t="str">
        <f>VLOOKUP(T610,'BASE TARIFA 2025'!C:D,2,0)</f>
        <v>WOMPI EJE CAFETERO</v>
      </c>
      <c r="V610" s="27">
        <f>VLOOKUP(T610,'BASE TARIFA 2025'!C:F,3,0)</f>
        <v>37313</v>
      </c>
      <c r="W610" s="27">
        <f t="shared" si="9"/>
        <v>74626</v>
      </c>
    </row>
    <row r="611" spans="1:23" s="37" customFormat="1" ht="14.4" x14ac:dyDescent="0.3">
      <c r="A611" s="37">
        <v>33563</v>
      </c>
      <c r="B611" s="37" t="s">
        <v>4244</v>
      </c>
      <c r="C611" s="37">
        <v>35510717</v>
      </c>
      <c r="D611" s="37" t="s">
        <v>2847</v>
      </c>
      <c r="E611" s="37" t="s">
        <v>2847</v>
      </c>
      <c r="F611" s="37" t="s">
        <v>2847</v>
      </c>
      <c r="G611" s="37" t="s">
        <v>2848</v>
      </c>
      <c r="H611" s="37" t="s">
        <v>2849</v>
      </c>
      <c r="I611" s="37" t="s">
        <v>2850</v>
      </c>
      <c r="J611" s="37" t="s">
        <v>86</v>
      </c>
      <c r="K611" s="37" t="s">
        <v>195</v>
      </c>
      <c r="L611" s="37" t="s">
        <v>195</v>
      </c>
      <c r="M611" s="37">
        <v>66682</v>
      </c>
      <c r="N611" s="38" t="s">
        <v>328</v>
      </c>
      <c r="S611" s="23">
        <f>VLOOKUP(A611,Hoja1!A:D,4,0)</f>
        <v>2</v>
      </c>
      <c r="T611" s="26" t="str">
        <f>VLOOKUP(M611,[1]TIPOLOGIAS!$A:$F,4,0)</f>
        <v>PEREIRA</v>
      </c>
      <c r="U611" s="26" t="str">
        <f>VLOOKUP(T611,'BASE TARIFA 2025'!C:D,2,0)</f>
        <v>WOMPI EJE CAFETERO</v>
      </c>
      <c r="V611" s="27">
        <f>VLOOKUP(T611,'BASE TARIFA 2025'!C:F,3,0)</f>
        <v>37313</v>
      </c>
      <c r="W611" s="27">
        <f t="shared" si="9"/>
        <v>74626</v>
      </c>
    </row>
    <row r="612" spans="1:23" s="37" customFormat="1" ht="14.4" x14ac:dyDescent="0.3">
      <c r="A612" s="37">
        <v>29218</v>
      </c>
      <c r="B612" s="37" t="s">
        <v>4245</v>
      </c>
      <c r="C612" s="37">
        <v>79581644</v>
      </c>
      <c r="D612" s="37" t="s">
        <v>2851</v>
      </c>
      <c r="E612" s="37" t="s">
        <v>2851</v>
      </c>
      <c r="F612" s="37" t="s">
        <v>2851</v>
      </c>
      <c r="G612" s="37" t="s">
        <v>2852</v>
      </c>
      <c r="H612" s="37" t="s">
        <v>2853</v>
      </c>
      <c r="I612" s="37" t="s">
        <v>2854</v>
      </c>
      <c r="J612" s="37" t="s">
        <v>86</v>
      </c>
      <c r="K612" s="37" t="s">
        <v>195</v>
      </c>
      <c r="L612" s="37" t="s">
        <v>195</v>
      </c>
      <c r="M612" s="37">
        <v>66682</v>
      </c>
      <c r="N612" s="38" t="s">
        <v>322</v>
      </c>
      <c r="S612" s="23">
        <f>VLOOKUP(A612,Hoja1!A:D,4,0)</f>
        <v>1</v>
      </c>
      <c r="T612" s="26" t="str">
        <f>VLOOKUP(M612,[1]TIPOLOGIAS!$A:$F,4,0)</f>
        <v>PEREIRA</v>
      </c>
      <c r="U612" s="26" t="str">
        <f>VLOOKUP(T612,'BASE TARIFA 2025'!C:D,2,0)</f>
        <v>WOMPI EJE CAFETERO</v>
      </c>
      <c r="V612" s="27">
        <f>VLOOKUP(T612,'BASE TARIFA 2025'!C:F,3,0)</f>
        <v>37313</v>
      </c>
      <c r="W612" s="27">
        <f t="shared" si="9"/>
        <v>37313</v>
      </c>
    </row>
    <row r="613" spans="1:23" s="37" customFormat="1" ht="14.4" x14ac:dyDescent="0.3">
      <c r="A613" s="37">
        <v>32122</v>
      </c>
      <c r="B613" s="37" t="s">
        <v>4246</v>
      </c>
      <c r="C613" s="37">
        <v>51834939</v>
      </c>
      <c r="D613" s="37" t="s">
        <v>2855</v>
      </c>
      <c r="E613" s="37" t="s">
        <v>2855</v>
      </c>
      <c r="F613" s="37" t="s">
        <v>2856</v>
      </c>
      <c r="G613" s="37" t="s">
        <v>2857</v>
      </c>
      <c r="H613" s="37" t="s">
        <v>2858</v>
      </c>
      <c r="I613" s="37" t="s">
        <v>2859</v>
      </c>
      <c r="J613" s="37" t="s">
        <v>86</v>
      </c>
      <c r="K613" s="37" t="s">
        <v>195</v>
      </c>
      <c r="L613" s="37" t="s">
        <v>195</v>
      </c>
      <c r="M613" s="37">
        <v>66682</v>
      </c>
      <c r="N613" s="38" t="s">
        <v>328</v>
      </c>
      <c r="S613" s="23">
        <f>VLOOKUP(A613,Hoja1!A:D,4,0)</f>
        <v>2</v>
      </c>
      <c r="T613" s="26" t="str">
        <f>VLOOKUP(M613,[1]TIPOLOGIAS!$A:$F,4,0)</f>
        <v>PEREIRA</v>
      </c>
      <c r="U613" s="26" t="str">
        <f>VLOOKUP(T613,'BASE TARIFA 2025'!C:D,2,0)</f>
        <v>WOMPI EJE CAFETERO</v>
      </c>
      <c r="V613" s="27">
        <f>VLOOKUP(T613,'BASE TARIFA 2025'!C:F,3,0)</f>
        <v>37313</v>
      </c>
      <c r="W613" s="27">
        <f t="shared" si="9"/>
        <v>74626</v>
      </c>
    </row>
    <row r="614" spans="1:23" s="37" customFormat="1" ht="14.4" x14ac:dyDescent="0.3">
      <c r="A614" s="37">
        <v>32052</v>
      </c>
      <c r="B614" s="37" t="s">
        <v>4247</v>
      </c>
      <c r="C614" s="37">
        <v>1032407373</v>
      </c>
      <c r="D614" s="37" t="s">
        <v>306</v>
      </c>
      <c r="E614" s="37" t="s">
        <v>306</v>
      </c>
      <c r="F614" s="37" t="s">
        <v>306</v>
      </c>
      <c r="G614" s="37" t="s">
        <v>307</v>
      </c>
      <c r="H614" s="37" t="s">
        <v>308</v>
      </c>
      <c r="I614" s="37" t="s">
        <v>309</v>
      </c>
      <c r="J614" s="37" t="s">
        <v>86</v>
      </c>
      <c r="K614" s="37" t="s">
        <v>195</v>
      </c>
      <c r="L614" s="37" t="s">
        <v>195</v>
      </c>
      <c r="M614" s="37">
        <v>66682</v>
      </c>
      <c r="N614" s="38" t="s">
        <v>328</v>
      </c>
      <c r="S614" s="23">
        <f>VLOOKUP(A614,Hoja1!A:D,4,0)</f>
        <v>2</v>
      </c>
      <c r="T614" s="26" t="str">
        <f>VLOOKUP(M614,[1]TIPOLOGIAS!$A:$F,4,0)</f>
        <v>PEREIRA</v>
      </c>
      <c r="U614" s="26" t="str">
        <f>VLOOKUP(T614,'BASE TARIFA 2025'!C:D,2,0)</f>
        <v>WOMPI EJE CAFETERO</v>
      </c>
      <c r="V614" s="27">
        <f>VLOOKUP(T614,'BASE TARIFA 2025'!C:F,3,0)</f>
        <v>37313</v>
      </c>
      <c r="W614" s="27">
        <f t="shared" si="9"/>
        <v>74626</v>
      </c>
    </row>
    <row r="615" spans="1:23" s="37" customFormat="1" ht="14.4" x14ac:dyDescent="0.3">
      <c r="A615" s="37">
        <v>32415</v>
      </c>
      <c r="B615" s="37" t="s">
        <v>4248</v>
      </c>
      <c r="C615" s="37">
        <v>1144128226</v>
      </c>
      <c r="D615" s="37" t="s">
        <v>2860</v>
      </c>
      <c r="E615" s="37" t="s">
        <v>2860</v>
      </c>
      <c r="F615" s="37" t="s">
        <v>2860</v>
      </c>
      <c r="G615" s="37" t="s">
        <v>2861</v>
      </c>
      <c r="H615" s="37" t="s">
        <v>2862</v>
      </c>
      <c r="I615" s="37" t="s">
        <v>2863</v>
      </c>
      <c r="J615" s="37" t="s">
        <v>92</v>
      </c>
      <c r="K615" s="37" t="s">
        <v>197</v>
      </c>
      <c r="L615" s="37" t="s">
        <v>197</v>
      </c>
      <c r="M615" s="37">
        <v>68079</v>
      </c>
      <c r="N615" s="38" t="s">
        <v>324</v>
      </c>
      <c r="S615" s="23">
        <f>VLOOKUP(A615,Hoja1!A:D,4,0)</f>
        <v>2</v>
      </c>
      <c r="T615" s="26" t="str">
        <f>VLOOKUP(M615,[1]TIPOLOGIAS!$A:$F,4,0)</f>
        <v>BUCARAMANGA</v>
      </c>
      <c r="U615" s="26" t="str">
        <f>VLOOKUP(T615,'BASE TARIFA 2025'!C:D,2,0)</f>
        <v>WOMPI SANTANDERES</v>
      </c>
      <c r="V615" s="27">
        <f>VLOOKUP(T615,'BASE TARIFA 2025'!C:F,3,0)</f>
        <v>37313</v>
      </c>
      <c r="W615" s="27">
        <f t="shared" si="9"/>
        <v>74626</v>
      </c>
    </row>
    <row r="616" spans="1:23" s="37" customFormat="1" ht="14.4" x14ac:dyDescent="0.3">
      <c r="A616" s="37">
        <v>33918</v>
      </c>
      <c r="B616" s="37" t="s">
        <v>4249</v>
      </c>
      <c r="C616" s="37">
        <v>900835258</v>
      </c>
      <c r="D616" s="37" t="s">
        <v>2864</v>
      </c>
      <c r="E616" s="37" t="s">
        <v>2865</v>
      </c>
      <c r="F616" s="37" t="s">
        <v>2865</v>
      </c>
      <c r="G616" s="37" t="s">
        <v>2866</v>
      </c>
      <c r="H616" s="37" t="s">
        <v>2867</v>
      </c>
      <c r="I616" s="37" t="s">
        <v>2868</v>
      </c>
      <c r="J616" s="37" t="s">
        <v>92</v>
      </c>
      <c r="K616" s="37" t="s">
        <v>198</v>
      </c>
      <c r="L616" s="37" t="s">
        <v>198</v>
      </c>
      <c r="M616" s="37">
        <v>68081</v>
      </c>
      <c r="N616" s="38" t="s">
        <v>853</v>
      </c>
      <c r="S616" s="23">
        <f>VLOOKUP(A616,Hoja1!A:D,4,0)</f>
        <v>2</v>
      </c>
      <c r="T616" s="26" t="str">
        <f>VLOOKUP(M616,[1]TIPOLOGIAS!$A:$F,4,0)</f>
        <v>BUCARAMANGA</v>
      </c>
      <c r="U616" s="26" t="str">
        <f>VLOOKUP(T616,'BASE TARIFA 2025'!C:D,2,0)</f>
        <v>WOMPI SANTANDERES</v>
      </c>
      <c r="V616" s="27">
        <f>VLOOKUP(T616,'BASE TARIFA 2025'!C:F,3,0)</f>
        <v>37313</v>
      </c>
      <c r="W616" s="27">
        <f t="shared" si="9"/>
        <v>74626</v>
      </c>
    </row>
    <row r="617" spans="1:23" s="37" customFormat="1" ht="14.4" x14ac:dyDescent="0.3">
      <c r="A617" s="37">
        <v>34158</v>
      </c>
      <c r="B617" s="37" t="s">
        <v>4250</v>
      </c>
      <c r="C617" s="37">
        <v>1010198889</v>
      </c>
      <c r="D617" s="37" t="s">
        <v>2869</v>
      </c>
      <c r="E617" s="37" t="s">
        <v>2870</v>
      </c>
      <c r="F617" s="37" t="s">
        <v>2870</v>
      </c>
      <c r="G617" s="37" t="s">
        <v>2871</v>
      </c>
      <c r="H617" s="37" t="s">
        <v>2872</v>
      </c>
      <c r="I617" s="37" t="s">
        <v>2873</v>
      </c>
      <c r="J617" s="37" t="s">
        <v>92</v>
      </c>
      <c r="K617" s="37" t="s">
        <v>198</v>
      </c>
      <c r="L617" s="37" t="s">
        <v>198</v>
      </c>
      <c r="M617" s="37">
        <v>68081</v>
      </c>
      <c r="N617" s="38" t="s">
        <v>853</v>
      </c>
      <c r="S617" s="23">
        <f>VLOOKUP(A617,Hoja1!A:D,4,0)</f>
        <v>4</v>
      </c>
      <c r="T617" s="26" t="str">
        <f>VLOOKUP(M617,[1]TIPOLOGIAS!$A:$F,4,0)</f>
        <v>BUCARAMANGA</v>
      </c>
      <c r="U617" s="26" t="str">
        <f>VLOOKUP(T617,'BASE TARIFA 2025'!C:D,2,0)</f>
        <v>WOMPI SANTANDERES</v>
      </c>
      <c r="V617" s="27">
        <f>VLOOKUP(T617,'BASE TARIFA 2025'!C:F,3,0)</f>
        <v>37313</v>
      </c>
      <c r="W617" s="27">
        <f t="shared" si="9"/>
        <v>149252</v>
      </c>
    </row>
    <row r="618" spans="1:23" s="37" customFormat="1" ht="14.4" x14ac:dyDescent="0.3">
      <c r="A618" s="37">
        <v>35053</v>
      </c>
      <c r="B618" s="37" t="s">
        <v>4251</v>
      </c>
      <c r="C618" s="37">
        <v>53115070</v>
      </c>
      <c r="E618" s="37" t="s">
        <v>2874</v>
      </c>
      <c r="F618" s="37" t="s">
        <v>2875</v>
      </c>
      <c r="G618" s="37" t="s">
        <v>2876</v>
      </c>
      <c r="H618" s="37" t="s">
        <v>2877</v>
      </c>
      <c r="I618" s="37" t="s">
        <v>2878</v>
      </c>
      <c r="J618" s="37" t="s">
        <v>92</v>
      </c>
      <c r="K618" s="37" t="s">
        <v>198</v>
      </c>
      <c r="L618" s="37" t="s">
        <v>198</v>
      </c>
      <c r="M618" s="37">
        <v>68081</v>
      </c>
      <c r="N618" s="38" t="s">
        <v>853</v>
      </c>
      <c r="S618" s="23">
        <f>VLOOKUP(A618,Hoja1!A:D,4,0)</f>
        <v>1</v>
      </c>
      <c r="T618" s="26" t="str">
        <f>VLOOKUP(M618,[1]TIPOLOGIAS!$A:$F,4,0)</f>
        <v>BUCARAMANGA</v>
      </c>
      <c r="U618" s="26" t="str">
        <f>VLOOKUP(T618,'BASE TARIFA 2025'!C:D,2,0)</f>
        <v>WOMPI SANTANDERES</v>
      </c>
      <c r="V618" s="27">
        <f>VLOOKUP(T618,'BASE TARIFA 2025'!C:F,3,0)</f>
        <v>37313</v>
      </c>
      <c r="W618" s="27">
        <f t="shared" si="9"/>
        <v>37313</v>
      </c>
    </row>
    <row r="619" spans="1:23" s="37" customFormat="1" ht="14.4" x14ac:dyDescent="0.3">
      <c r="A619" s="37">
        <v>34769</v>
      </c>
      <c r="B619" s="37" t="s">
        <v>4252</v>
      </c>
      <c r="C619" s="37">
        <v>94514551</v>
      </c>
      <c r="D619" s="37" t="s">
        <v>2879</v>
      </c>
      <c r="E619" s="37" t="s">
        <v>2874</v>
      </c>
      <c r="F619" s="37" t="s">
        <v>2880</v>
      </c>
      <c r="G619" s="37" t="s">
        <v>2881</v>
      </c>
      <c r="H619" s="37" t="s">
        <v>2882</v>
      </c>
      <c r="I619" s="37" t="s">
        <v>2883</v>
      </c>
      <c r="J619" s="37" t="s">
        <v>92</v>
      </c>
      <c r="K619" s="37" t="s">
        <v>198</v>
      </c>
      <c r="L619" s="37" t="s">
        <v>198</v>
      </c>
      <c r="M619" s="37">
        <v>68081</v>
      </c>
      <c r="N619" s="38" t="s">
        <v>430</v>
      </c>
      <c r="S619" s="23">
        <f>VLOOKUP(A619,Hoja1!A:D,4,0)</f>
        <v>2</v>
      </c>
      <c r="T619" s="26" t="str">
        <f>VLOOKUP(M619,[1]TIPOLOGIAS!$A:$F,4,0)</f>
        <v>BUCARAMANGA</v>
      </c>
      <c r="U619" s="26" t="str">
        <f>VLOOKUP(T619,'BASE TARIFA 2025'!C:D,2,0)</f>
        <v>WOMPI SANTANDERES</v>
      </c>
      <c r="V619" s="27">
        <f>VLOOKUP(T619,'BASE TARIFA 2025'!C:F,3,0)</f>
        <v>37313</v>
      </c>
      <c r="W619" s="27">
        <f t="shared" si="9"/>
        <v>74626</v>
      </c>
    </row>
    <row r="620" spans="1:23" s="37" customFormat="1" ht="14.4" x14ac:dyDescent="0.3">
      <c r="A620" s="37">
        <v>34821</v>
      </c>
      <c r="B620" s="37" t="s">
        <v>4253</v>
      </c>
      <c r="C620" s="37">
        <v>53115070</v>
      </c>
      <c r="D620" s="37" t="s">
        <v>67</v>
      </c>
      <c r="E620" s="37" t="s">
        <v>2884</v>
      </c>
      <c r="F620" s="37" t="s">
        <v>2884</v>
      </c>
      <c r="G620" s="37" t="s">
        <v>2885</v>
      </c>
      <c r="H620" s="37" t="s">
        <v>2886</v>
      </c>
      <c r="I620" s="37" t="s">
        <v>2887</v>
      </c>
      <c r="J620" s="37" t="s">
        <v>90</v>
      </c>
      <c r="K620" s="37" t="s">
        <v>155</v>
      </c>
      <c r="L620" s="37" t="s">
        <v>155</v>
      </c>
      <c r="M620" s="37">
        <v>54001</v>
      </c>
      <c r="N620" s="38" t="s">
        <v>328</v>
      </c>
      <c r="S620" s="23">
        <f>VLOOKUP(A620,Hoja1!A:D,4,0)</f>
        <v>2</v>
      </c>
      <c r="T620" s="26" t="str">
        <f>VLOOKUP(M620,[1]TIPOLOGIAS!$A:$F,4,0)</f>
        <v>CUCUTA</v>
      </c>
      <c r="U620" s="26" t="str">
        <f>VLOOKUP(T620,'BASE TARIFA 2025'!C:D,2,0)</f>
        <v>WOMPI SANTANDERES</v>
      </c>
      <c r="V620" s="27">
        <f>VLOOKUP(T620,'BASE TARIFA 2025'!C:F,3,0)</f>
        <v>49671.7</v>
      </c>
      <c r="W620" s="27">
        <f t="shared" si="9"/>
        <v>99343.4</v>
      </c>
    </row>
    <row r="621" spans="1:23" s="37" customFormat="1" ht="14.4" x14ac:dyDescent="0.3">
      <c r="A621" s="37">
        <v>35879</v>
      </c>
      <c r="B621" s="37" t="s">
        <v>4254</v>
      </c>
      <c r="C621" s="37">
        <v>39689554</v>
      </c>
      <c r="D621" s="37" t="s">
        <v>67</v>
      </c>
      <c r="E621" s="37" t="s">
        <v>2884</v>
      </c>
      <c r="F621" s="37" t="s">
        <v>2884</v>
      </c>
      <c r="G621" s="37" t="s">
        <v>2888</v>
      </c>
      <c r="H621" s="37" t="s">
        <v>2889</v>
      </c>
      <c r="I621" s="37" t="s">
        <v>2890</v>
      </c>
      <c r="J621" s="37" t="s">
        <v>90</v>
      </c>
      <c r="K621" s="37" t="s">
        <v>155</v>
      </c>
      <c r="L621" s="37" t="s">
        <v>155</v>
      </c>
      <c r="M621" s="37">
        <v>54001</v>
      </c>
      <c r="N621" s="38" t="s">
        <v>328</v>
      </c>
      <c r="S621" s="23">
        <f>VLOOKUP(A621,Hoja1!A:D,4,0)</f>
        <v>2</v>
      </c>
      <c r="T621" s="26" t="str">
        <f>VLOOKUP(M621,[1]TIPOLOGIAS!$A:$F,4,0)</f>
        <v>CUCUTA</v>
      </c>
      <c r="U621" s="26" t="str">
        <f>VLOOKUP(T621,'BASE TARIFA 2025'!C:D,2,0)</f>
        <v>WOMPI SANTANDERES</v>
      </c>
      <c r="V621" s="27">
        <f>VLOOKUP(T621,'BASE TARIFA 2025'!C:F,3,0)</f>
        <v>49671.7</v>
      </c>
      <c r="W621" s="27">
        <f t="shared" si="9"/>
        <v>99343.4</v>
      </c>
    </row>
    <row r="622" spans="1:23" s="37" customFormat="1" ht="14.4" x14ac:dyDescent="0.3">
      <c r="A622" s="37">
        <v>37034</v>
      </c>
      <c r="B622" s="37" t="s">
        <v>4255</v>
      </c>
      <c r="C622" s="37">
        <v>80489945</v>
      </c>
      <c r="D622" s="37" t="s">
        <v>2891</v>
      </c>
      <c r="E622" s="37" t="s">
        <v>2891</v>
      </c>
      <c r="F622" s="37" t="s">
        <v>2891</v>
      </c>
      <c r="G622" s="37" t="s">
        <v>2892</v>
      </c>
      <c r="H622" s="37" t="s">
        <v>2688</v>
      </c>
      <c r="I622" s="37" t="s">
        <v>2893</v>
      </c>
      <c r="J622" s="37" t="s">
        <v>90</v>
      </c>
      <c r="K622" s="37" t="s">
        <v>155</v>
      </c>
      <c r="L622" s="37" t="s">
        <v>155</v>
      </c>
      <c r="M622" s="37">
        <v>54001</v>
      </c>
      <c r="N622" s="38" t="s">
        <v>503</v>
      </c>
      <c r="S622" s="23">
        <f>VLOOKUP(A622,Hoja1!A:D,4,0)</f>
        <v>2</v>
      </c>
      <c r="T622" s="26" t="str">
        <f>VLOOKUP(M622,[1]TIPOLOGIAS!$A:$F,4,0)</f>
        <v>CUCUTA</v>
      </c>
      <c r="U622" s="26" t="str">
        <f>VLOOKUP(T622,'BASE TARIFA 2025'!C:D,2,0)</f>
        <v>WOMPI SANTANDERES</v>
      </c>
      <c r="V622" s="27">
        <f>VLOOKUP(T622,'BASE TARIFA 2025'!C:F,3,0)</f>
        <v>49671.7</v>
      </c>
      <c r="W622" s="27">
        <f t="shared" si="9"/>
        <v>99343.4</v>
      </c>
    </row>
    <row r="623" spans="1:23" s="37" customFormat="1" ht="14.4" x14ac:dyDescent="0.3">
      <c r="A623" s="37">
        <v>34309</v>
      </c>
      <c r="B623" s="37" t="s">
        <v>4256</v>
      </c>
      <c r="C623" s="37">
        <v>42089414</v>
      </c>
      <c r="D623" s="37" t="s">
        <v>67</v>
      </c>
      <c r="E623" s="37" t="s">
        <v>2894</v>
      </c>
      <c r="F623" s="37" t="s">
        <v>2894</v>
      </c>
      <c r="G623" s="37" t="s">
        <v>2895</v>
      </c>
      <c r="H623" s="37" t="s">
        <v>2896</v>
      </c>
      <c r="I623" s="37" t="s">
        <v>2897</v>
      </c>
      <c r="J623" s="37" t="s">
        <v>90</v>
      </c>
      <c r="K623" s="37" t="s">
        <v>155</v>
      </c>
      <c r="L623" s="37" t="s">
        <v>155</v>
      </c>
      <c r="M623" s="37">
        <v>54001</v>
      </c>
      <c r="N623" s="38" t="s">
        <v>503</v>
      </c>
      <c r="S623" s="23">
        <f>VLOOKUP(A623,Hoja1!A:D,4,0)</f>
        <v>3</v>
      </c>
      <c r="T623" s="26" t="str">
        <f>VLOOKUP(M623,[1]TIPOLOGIAS!$A:$F,4,0)</f>
        <v>CUCUTA</v>
      </c>
      <c r="U623" s="26" t="str">
        <f>VLOOKUP(T623,'BASE TARIFA 2025'!C:D,2,0)</f>
        <v>WOMPI SANTANDERES</v>
      </c>
      <c r="V623" s="27">
        <f>VLOOKUP(T623,'BASE TARIFA 2025'!C:F,3,0)</f>
        <v>49671.7</v>
      </c>
      <c r="W623" s="27">
        <f t="shared" si="9"/>
        <v>149015.09999999998</v>
      </c>
    </row>
    <row r="624" spans="1:23" s="37" customFormat="1" ht="14.4" x14ac:dyDescent="0.3">
      <c r="A624" s="37">
        <v>35653</v>
      </c>
      <c r="B624" s="37" t="s">
        <v>4257</v>
      </c>
      <c r="C624" s="37">
        <v>1118299396</v>
      </c>
      <c r="D624" s="37" t="s">
        <v>1484</v>
      </c>
      <c r="E624" s="37" t="s">
        <v>1484</v>
      </c>
      <c r="F624" s="37" t="s">
        <v>1484</v>
      </c>
      <c r="G624" s="37" t="s">
        <v>2898</v>
      </c>
      <c r="H624" s="37" t="s">
        <v>2899</v>
      </c>
      <c r="I624" s="37" t="s">
        <v>2900</v>
      </c>
      <c r="J624" s="37" t="s">
        <v>90</v>
      </c>
      <c r="K624" s="37" t="s">
        <v>155</v>
      </c>
      <c r="L624" s="37" t="s">
        <v>155</v>
      </c>
      <c r="M624" s="37">
        <v>54001</v>
      </c>
      <c r="N624" s="38" t="s">
        <v>328</v>
      </c>
      <c r="S624" s="23">
        <f>VLOOKUP(A624,Hoja1!A:D,4,0)</f>
        <v>1</v>
      </c>
      <c r="T624" s="26" t="str">
        <f>VLOOKUP(M624,[1]TIPOLOGIAS!$A:$F,4,0)</f>
        <v>CUCUTA</v>
      </c>
      <c r="U624" s="26" t="str">
        <f>VLOOKUP(T624,'BASE TARIFA 2025'!C:D,2,0)</f>
        <v>WOMPI SANTANDERES</v>
      </c>
      <c r="V624" s="27">
        <f>VLOOKUP(T624,'BASE TARIFA 2025'!C:F,3,0)</f>
        <v>49671.7</v>
      </c>
      <c r="W624" s="27">
        <f t="shared" si="9"/>
        <v>49671.7</v>
      </c>
    </row>
    <row r="625" spans="1:23" s="37" customFormat="1" ht="14.4" x14ac:dyDescent="0.3">
      <c r="A625" s="37">
        <v>38327</v>
      </c>
      <c r="B625" s="37" t="s">
        <v>4258</v>
      </c>
      <c r="C625" s="37">
        <v>4159131</v>
      </c>
      <c r="D625" s="37" t="s">
        <v>67</v>
      </c>
      <c r="E625" s="37" t="s">
        <v>2901</v>
      </c>
      <c r="F625" s="37" t="s">
        <v>2902</v>
      </c>
      <c r="G625" s="37" t="s">
        <v>2903</v>
      </c>
      <c r="H625" s="37" t="s">
        <v>2904</v>
      </c>
      <c r="I625" s="37" t="s">
        <v>2905</v>
      </c>
      <c r="J625" s="37" t="s">
        <v>90</v>
      </c>
      <c r="K625" s="37" t="s">
        <v>155</v>
      </c>
      <c r="L625" s="37" t="s">
        <v>155</v>
      </c>
      <c r="M625" s="37">
        <v>54001</v>
      </c>
      <c r="N625" s="38" t="s">
        <v>853</v>
      </c>
      <c r="S625" s="23">
        <f>VLOOKUP(A625,Hoja1!A:D,4,0)</f>
        <v>2</v>
      </c>
      <c r="T625" s="26" t="str">
        <f>VLOOKUP(M625,[1]TIPOLOGIAS!$A:$F,4,0)</f>
        <v>CUCUTA</v>
      </c>
      <c r="U625" s="26" t="str">
        <f>VLOOKUP(T625,'BASE TARIFA 2025'!C:D,2,0)</f>
        <v>WOMPI SANTANDERES</v>
      </c>
      <c r="V625" s="27">
        <f>VLOOKUP(T625,'BASE TARIFA 2025'!C:F,3,0)</f>
        <v>49671.7</v>
      </c>
      <c r="W625" s="27">
        <f t="shared" si="9"/>
        <v>99343.4</v>
      </c>
    </row>
    <row r="626" spans="1:23" s="37" customFormat="1" ht="14.4" x14ac:dyDescent="0.3">
      <c r="A626" s="37">
        <v>40458</v>
      </c>
      <c r="B626" s="37" t="s">
        <v>4259</v>
      </c>
      <c r="C626" s="37">
        <v>1032369298</v>
      </c>
      <c r="D626" s="37" t="s">
        <v>2906</v>
      </c>
      <c r="E626" s="37" t="s">
        <v>2906</v>
      </c>
      <c r="F626" s="37" t="s">
        <v>2906</v>
      </c>
      <c r="G626" s="37" t="s">
        <v>2907</v>
      </c>
      <c r="H626" s="37" t="s">
        <v>2908</v>
      </c>
      <c r="I626" s="37" t="s">
        <v>2909</v>
      </c>
      <c r="J626" s="37" t="s">
        <v>90</v>
      </c>
      <c r="K626" s="37" t="s">
        <v>155</v>
      </c>
      <c r="L626" s="37" t="s">
        <v>155</v>
      </c>
      <c r="M626" s="37">
        <v>54001</v>
      </c>
      <c r="N626" s="38" t="s">
        <v>513</v>
      </c>
      <c r="S626" s="23">
        <f>VLOOKUP(A626,Hoja1!A:D,4,0)</f>
        <v>1</v>
      </c>
      <c r="T626" s="26" t="str">
        <f>VLOOKUP(M626,[1]TIPOLOGIAS!$A:$F,4,0)</f>
        <v>CUCUTA</v>
      </c>
      <c r="U626" s="26" t="str">
        <f>VLOOKUP(T626,'BASE TARIFA 2025'!C:D,2,0)</f>
        <v>WOMPI SANTANDERES</v>
      </c>
      <c r="V626" s="27">
        <f>VLOOKUP(T626,'BASE TARIFA 2025'!C:F,3,0)</f>
        <v>49671.7</v>
      </c>
      <c r="W626" s="27">
        <f t="shared" si="9"/>
        <v>49671.7</v>
      </c>
    </row>
    <row r="627" spans="1:23" s="37" customFormat="1" ht="14.4" x14ac:dyDescent="0.3">
      <c r="A627" s="37">
        <v>39488</v>
      </c>
      <c r="B627" s="37" t="s">
        <v>4260</v>
      </c>
      <c r="C627" s="37">
        <v>890306372</v>
      </c>
      <c r="E627" s="37" t="s">
        <v>2910</v>
      </c>
      <c r="F627" s="37" t="s">
        <v>2910</v>
      </c>
      <c r="G627" s="37" t="s">
        <v>2911</v>
      </c>
      <c r="H627" s="37" t="s">
        <v>2912</v>
      </c>
      <c r="I627" s="37" t="s">
        <v>2913</v>
      </c>
      <c r="J627" s="37" t="s">
        <v>90</v>
      </c>
      <c r="K627" s="37" t="s">
        <v>155</v>
      </c>
      <c r="L627" s="37" t="s">
        <v>155</v>
      </c>
      <c r="M627" s="37">
        <v>54001</v>
      </c>
      <c r="N627" s="38" t="s">
        <v>853</v>
      </c>
      <c r="S627" s="23">
        <f>VLOOKUP(A627,Hoja1!A:D,4,0)</f>
        <v>1</v>
      </c>
      <c r="T627" s="26" t="str">
        <f>VLOOKUP(M627,[1]TIPOLOGIAS!$A:$F,4,0)</f>
        <v>CUCUTA</v>
      </c>
      <c r="U627" s="26" t="str">
        <f>VLOOKUP(T627,'BASE TARIFA 2025'!C:D,2,0)</f>
        <v>WOMPI SANTANDERES</v>
      </c>
      <c r="V627" s="27">
        <f>VLOOKUP(T627,'BASE TARIFA 2025'!C:F,3,0)</f>
        <v>49671.7</v>
      </c>
      <c r="W627" s="27">
        <f t="shared" si="9"/>
        <v>49671.7</v>
      </c>
    </row>
    <row r="628" spans="1:23" s="37" customFormat="1" ht="14.4" x14ac:dyDescent="0.3">
      <c r="A628" s="37">
        <v>41145</v>
      </c>
      <c r="B628" s="37" t="s">
        <v>4261</v>
      </c>
      <c r="C628" s="37">
        <v>1144189178</v>
      </c>
      <c r="D628" s="37" t="s">
        <v>67</v>
      </c>
      <c r="E628" s="37" t="s">
        <v>2914</v>
      </c>
      <c r="F628" s="37" t="s">
        <v>2914</v>
      </c>
      <c r="G628" s="37" t="s">
        <v>2915</v>
      </c>
      <c r="H628" s="37" t="s">
        <v>2916</v>
      </c>
      <c r="I628" s="37" t="s">
        <v>2917</v>
      </c>
      <c r="J628" s="37" t="s">
        <v>90</v>
      </c>
      <c r="K628" s="37" t="s">
        <v>155</v>
      </c>
      <c r="L628" s="37" t="s">
        <v>155</v>
      </c>
      <c r="M628" s="37">
        <v>54001</v>
      </c>
      <c r="N628" s="38" t="s">
        <v>503</v>
      </c>
      <c r="S628" s="23">
        <f>VLOOKUP(A628,Hoja1!A:D,4,0)</f>
        <v>2</v>
      </c>
      <c r="T628" s="26" t="str">
        <f>VLOOKUP(M628,[1]TIPOLOGIAS!$A:$F,4,0)</f>
        <v>CUCUTA</v>
      </c>
      <c r="U628" s="26" t="str">
        <f>VLOOKUP(T628,'BASE TARIFA 2025'!C:D,2,0)</f>
        <v>WOMPI SANTANDERES</v>
      </c>
      <c r="V628" s="27">
        <f>VLOOKUP(T628,'BASE TARIFA 2025'!C:F,3,0)</f>
        <v>49671.7</v>
      </c>
      <c r="W628" s="27">
        <f t="shared" si="9"/>
        <v>99343.4</v>
      </c>
    </row>
    <row r="629" spans="1:23" s="37" customFormat="1" ht="14.4" x14ac:dyDescent="0.3">
      <c r="A629" s="37">
        <v>77340</v>
      </c>
      <c r="B629" s="37" t="s">
        <v>4262</v>
      </c>
      <c r="C629" s="37">
        <v>66981567</v>
      </c>
      <c r="D629" s="37" t="s">
        <v>2918</v>
      </c>
      <c r="E629" s="37" t="s">
        <v>2918</v>
      </c>
      <c r="F629" s="37" t="s">
        <v>2918</v>
      </c>
      <c r="G629" s="37" t="s">
        <v>2919</v>
      </c>
      <c r="H629" s="37" t="s">
        <v>2920</v>
      </c>
      <c r="I629" s="37" t="s">
        <v>2921</v>
      </c>
      <c r="J629" s="37" t="s">
        <v>90</v>
      </c>
      <c r="K629" s="37" t="s">
        <v>155</v>
      </c>
      <c r="L629" s="37" t="s">
        <v>155</v>
      </c>
      <c r="M629" s="37">
        <v>54001</v>
      </c>
      <c r="N629" s="38" t="s">
        <v>430</v>
      </c>
      <c r="S629" s="23">
        <f>VLOOKUP(A629,Hoja1!A:D,4,0)</f>
        <v>2</v>
      </c>
      <c r="T629" s="26" t="str">
        <f>VLOOKUP(M629,[1]TIPOLOGIAS!$A:$F,4,0)</f>
        <v>CUCUTA</v>
      </c>
      <c r="U629" s="26" t="str">
        <f>VLOOKUP(T629,'BASE TARIFA 2025'!C:D,2,0)</f>
        <v>WOMPI SANTANDERES</v>
      </c>
      <c r="V629" s="27">
        <f>VLOOKUP(T629,'BASE TARIFA 2025'!C:F,3,0)</f>
        <v>49671.7</v>
      </c>
      <c r="W629" s="27">
        <f t="shared" si="9"/>
        <v>99343.4</v>
      </c>
    </row>
    <row r="630" spans="1:23" s="37" customFormat="1" ht="14.4" x14ac:dyDescent="0.3">
      <c r="A630" s="37">
        <v>78068</v>
      </c>
      <c r="B630" s="37" t="s">
        <v>4263</v>
      </c>
      <c r="C630" s="37">
        <v>91493829</v>
      </c>
      <c r="D630" s="37" t="s">
        <v>2922</v>
      </c>
      <c r="E630" s="37" t="s">
        <v>2923</v>
      </c>
      <c r="F630" s="37" t="s">
        <v>2923</v>
      </c>
      <c r="G630" s="37" t="s">
        <v>2924</v>
      </c>
      <c r="H630" s="37" t="s">
        <v>2925</v>
      </c>
      <c r="I630" s="37" t="s">
        <v>2926</v>
      </c>
      <c r="J630" s="37" t="s">
        <v>68</v>
      </c>
      <c r="K630" s="37" t="s">
        <v>138</v>
      </c>
      <c r="L630" s="37" t="s">
        <v>138</v>
      </c>
      <c r="M630" s="37">
        <v>25754</v>
      </c>
      <c r="N630" s="38" t="s">
        <v>503</v>
      </c>
      <c r="S630" s="23">
        <f>VLOOKUP(A630,Hoja1!A:D,4,0)</f>
        <v>3</v>
      </c>
      <c r="T630" s="26" t="str">
        <f>VLOOKUP(M630,[1]TIPOLOGIAS!$A:$F,4,0)</f>
        <v>BOGOTA</v>
      </c>
      <c r="U630" s="26" t="str">
        <f>VLOOKUP(T630,'BASE TARIFA 2025'!C:D,2,0)</f>
        <v>WOMPI CENTRO</v>
      </c>
      <c r="V630" s="27">
        <f>VLOOKUP(T630,'BASE TARIFA 2025'!C:F,3,0)</f>
        <v>37313</v>
      </c>
      <c r="W630" s="27">
        <f t="shared" si="9"/>
        <v>111939</v>
      </c>
    </row>
    <row r="631" spans="1:23" s="37" customFormat="1" ht="14.4" x14ac:dyDescent="0.3">
      <c r="A631" s="37">
        <v>78240</v>
      </c>
      <c r="B631" s="37" t="s">
        <v>4264</v>
      </c>
      <c r="C631" s="37">
        <v>1012425308</v>
      </c>
      <c r="D631" s="37" t="s">
        <v>2927</v>
      </c>
      <c r="E631" s="37" t="s">
        <v>2927</v>
      </c>
      <c r="F631" s="37" t="s">
        <v>2927</v>
      </c>
      <c r="G631" s="37" t="s">
        <v>2928</v>
      </c>
      <c r="H631" s="37" t="s">
        <v>2929</v>
      </c>
      <c r="I631" s="37" t="s">
        <v>2930</v>
      </c>
      <c r="J631" s="37" t="s">
        <v>68</v>
      </c>
      <c r="K631" s="37" t="s">
        <v>138</v>
      </c>
      <c r="L631" s="37" t="s">
        <v>138</v>
      </c>
      <c r="M631" s="37">
        <v>25754</v>
      </c>
      <c r="N631" s="38" t="s">
        <v>841</v>
      </c>
      <c r="S631" s="23">
        <f>VLOOKUP(A631,Hoja1!A:D,4,0)</f>
        <v>2</v>
      </c>
      <c r="T631" s="26" t="str">
        <f>VLOOKUP(M631,[1]TIPOLOGIAS!$A:$F,4,0)</f>
        <v>BOGOTA</v>
      </c>
      <c r="U631" s="26" t="str">
        <f>VLOOKUP(T631,'BASE TARIFA 2025'!C:D,2,0)</f>
        <v>WOMPI CENTRO</v>
      </c>
      <c r="V631" s="27">
        <f>VLOOKUP(T631,'BASE TARIFA 2025'!C:F,3,0)</f>
        <v>37313</v>
      </c>
      <c r="W631" s="27">
        <f t="shared" si="9"/>
        <v>74626</v>
      </c>
    </row>
    <row r="632" spans="1:23" s="37" customFormat="1" ht="14.4" x14ac:dyDescent="0.3">
      <c r="A632" s="37">
        <v>78241</v>
      </c>
      <c r="B632" s="37" t="s">
        <v>4265</v>
      </c>
      <c r="C632" s="37">
        <v>1080187193</v>
      </c>
      <c r="D632" s="37" t="s">
        <v>2931</v>
      </c>
      <c r="E632" s="37" t="s">
        <v>2932</v>
      </c>
      <c r="F632" s="37" t="s">
        <v>2932</v>
      </c>
      <c r="G632" s="37" t="s">
        <v>2933</v>
      </c>
      <c r="H632" s="37" t="s">
        <v>2934</v>
      </c>
      <c r="I632" s="37" t="s">
        <v>2935</v>
      </c>
      <c r="J632" s="37" t="s">
        <v>68</v>
      </c>
      <c r="K632" s="37" t="s">
        <v>138</v>
      </c>
      <c r="L632" s="37" t="s">
        <v>138</v>
      </c>
      <c r="M632" s="37">
        <v>25754</v>
      </c>
      <c r="N632" s="38" t="s">
        <v>503</v>
      </c>
      <c r="S632" s="23">
        <f>VLOOKUP(A632,Hoja1!A:D,4,0)</f>
        <v>3</v>
      </c>
      <c r="T632" s="26" t="str">
        <f>VLOOKUP(M632,[1]TIPOLOGIAS!$A:$F,4,0)</f>
        <v>BOGOTA</v>
      </c>
      <c r="U632" s="26" t="str">
        <f>VLOOKUP(T632,'BASE TARIFA 2025'!C:D,2,0)</f>
        <v>WOMPI CENTRO</v>
      </c>
      <c r="V632" s="27">
        <f>VLOOKUP(T632,'BASE TARIFA 2025'!C:F,3,0)</f>
        <v>37313</v>
      </c>
      <c r="W632" s="27">
        <f t="shared" si="9"/>
        <v>111939</v>
      </c>
    </row>
    <row r="633" spans="1:23" s="37" customFormat="1" ht="14.4" x14ac:dyDescent="0.3">
      <c r="A633" s="37">
        <v>79288</v>
      </c>
      <c r="B633" s="37" t="s">
        <v>4266</v>
      </c>
      <c r="C633" s="37">
        <v>16706827</v>
      </c>
      <c r="D633" s="37" t="s">
        <v>2936</v>
      </c>
      <c r="E633" s="37" t="s">
        <v>2937</v>
      </c>
      <c r="F633" s="37" t="s">
        <v>2938</v>
      </c>
      <c r="G633" s="37" t="s">
        <v>2939</v>
      </c>
      <c r="H633" s="37" t="s">
        <v>2940</v>
      </c>
      <c r="I633" s="37" t="s">
        <v>2941</v>
      </c>
      <c r="J633" s="37" t="s">
        <v>68</v>
      </c>
      <c r="K633" s="37" t="s">
        <v>138</v>
      </c>
      <c r="L633" s="37" t="s">
        <v>138</v>
      </c>
      <c r="M633" s="37">
        <v>25754</v>
      </c>
      <c r="N633" s="38" t="s">
        <v>321</v>
      </c>
      <c r="S633" s="23">
        <f>VLOOKUP(A633,Hoja1!A:D,4,0)</f>
        <v>3</v>
      </c>
      <c r="T633" s="26" t="str">
        <f>VLOOKUP(M633,[1]TIPOLOGIAS!$A:$F,4,0)</f>
        <v>BOGOTA</v>
      </c>
      <c r="U633" s="26" t="str">
        <f>VLOOKUP(T633,'BASE TARIFA 2025'!C:D,2,0)</f>
        <v>WOMPI CENTRO</v>
      </c>
      <c r="V633" s="27">
        <f>VLOOKUP(T633,'BASE TARIFA 2025'!C:F,3,0)</f>
        <v>37313</v>
      </c>
      <c r="W633" s="27">
        <f t="shared" si="9"/>
        <v>111939</v>
      </c>
    </row>
    <row r="634" spans="1:23" s="37" customFormat="1" ht="14.4" x14ac:dyDescent="0.3">
      <c r="A634" s="37">
        <v>79656</v>
      </c>
      <c r="B634" s="37" t="s">
        <v>4267</v>
      </c>
      <c r="C634" s="37">
        <v>901407185</v>
      </c>
      <c r="D634" s="37" t="s">
        <v>88</v>
      </c>
      <c r="E634" s="37" t="s">
        <v>2942</v>
      </c>
      <c r="F634" s="37" t="s">
        <v>2942</v>
      </c>
      <c r="G634" s="37" t="s">
        <v>2943</v>
      </c>
      <c r="H634" s="37" t="s">
        <v>2944</v>
      </c>
      <c r="I634" s="37" t="s">
        <v>2945</v>
      </c>
      <c r="J634" s="37" t="s">
        <v>68</v>
      </c>
      <c r="K634" s="37" t="s">
        <v>138</v>
      </c>
      <c r="L634" s="37" t="s">
        <v>138</v>
      </c>
      <c r="M634" s="37">
        <v>25754</v>
      </c>
      <c r="N634" s="38" t="s">
        <v>503</v>
      </c>
      <c r="S634" s="23">
        <f>VLOOKUP(A634,Hoja1!A:D,4,0)</f>
        <v>1</v>
      </c>
      <c r="T634" s="26" t="str">
        <f>VLOOKUP(M634,[1]TIPOLOGIAS!$A:$F,4,0)</f>
        <v>BOGOTA</v>
      </c>
      <c r="U634" s="26" t="str">
        <f>VLOOKUP(T634,'BASE TARIFA 2025'!C:D,2,0)</f>
        <v>WOMPI CENTRO</v>
      </c>
      <c r="V634" s="27">
        <f>VLOOKUP(T634,'BASE TARIFA 2025'!C:F,3,0)</f>
        <v>37313</v>
      </c>
      <c r="W634" s="27">
        <f t="shared" si="9"/>
        <v>37313</v>
      </c>
    </row>
    <row r="635" spans="1:23" s="37" customFormat="1" ht="14.4" x14ac:dyDescent="0.3">
      <c r="A635" s="37">
        <v>80244</v>
      </c>
      <c r="B635" s="37" t="s">
        <v>4268</v>
      </c>
      <c r="C635" s="37">
        <v>79902110</v>
      </c>
      <c r="D635" s="37" t="s">
        <v>2946</v>
      </c>
      <c r="E635" s="37" t="s">
        <v>2947</v>
      </c>
      <c r="F635" s="37" t="s">
        <v>2947</v>
      </c>
      <c r="G635" s="37" t="s">
        <v>2948</v>
      </c>
      <c r="H635" s="37" t="s">
        <v>2949</v>
      </c>
      <c r="I635" s="37" t="s">
        <v>2950</v>
      </c>
      <c r="J635" s="37" t="s">
        <v>68</v>
      </c>
      <c r="K635" s="37" t="s">
        <v>138</v>
      </c>
      <c r="L635" s="37" t="s">
        <v>138</v>
      </c>
      <c r="M635" s="37">
        <v>25754</v>
      </c>
      <c r="N635" s="38" t="s">
        <v>513</v>
      </c>
      <c r="S635" s="23">
        <f>VLOOKUP(A635,Hoja1!A:D,4,0)</f>
        <v>3</v>
      </c>
      <c r="T635" s="26" t="str">
        <f>VLOOKUP(M635,[1]TIPOLOGIAS!$A:$F,4,0)</f>
        <v>BOGOTA</v>
      </c>
      <c r="U635" s="26" t="str">
        <f>VLOOKUP(T635,'BASE TARIFA 2025'!C:D,2,0)</f>
        <v>WOMPI CENTRO</v>
      </c>
      <c r="V635" s="27">
        <f>VLOOKUP(T635,'BASE TARIFA 2025'!C:F,3,0)</f>
        <v>37313</v>
      </c>
      <c r="W635" s="27">
        <f t="shared" si="9"/>
        <v>111939</v>
      </c>
    </row>
    <row r="636" spans="1:23" s="37" customFormat="1" ht="14.4" x14ac:dyDescent="0.3">
      <c r="A636" s="37">
        <v>80115</v>
      </c>
      <c r="B636" s="37" t="s">
        <v>4269</v>
      </c>
      <c r="C636" s="37">
        <v>12206322</v>
      </c>
      <c r="D636" s="37" t="s">
        <v>85</v>
      </c>
      <c r="E636" s="37" t="s">
        <v>2951</v>
      </c>
      <c r="F636" s="37" t="s">
        <v>2951</v>
      </c>
      <c r="G636" s="37" t="s">
        <v>2952</v>
      </c>
      <c r="H636" s="37" t="s">
        <v>2953</v>
      </c>
      <c r="I636" s="37" t="s">
        <v>2954</v>
      </c>
      <c r="J636" s="37" t="s">
        <v>68</v>
      </c>
      <c r="K636" s="37" t="s">
        <v>138</v>
      </c>
      <c r="L636" s="37" t="s">
        <v>138</v>
      </c>
      <c r="M636" s="37">
        <v>25754</v>
      </c>
      <c r="N636" s="38" t="s">
        <v>321</v>
      </c>
      <c r="S636" s="23">
        <f>VLOOKUP(A636,Hoja1!A:D,4,0)</f>
        <v>1</v>
      </c>
      <c r="T636" s="26" t="str">
        <f>VLOOKUP(M636,[1]TIPOLOGIAS!$A:$F,4,0)</f>
        <v>BOGOTA</v>
      </c>
      <c r="U636" s="26" t="str">
        <f>VLOOKUP(T636,'BASE TARIFA 2025'!C:D,2,0)</f>
        <v>WOMPI CENTRO</v>
      </c>
      <c r="V636" s="27">
        <f>VLOOKUP(T636,'BASE TARIFA 2025'!C:F,3,0)</f>
        <v>37313</v>
      </c>
      <c r="W636" s="27">
        <f t="shared" si="9"/>
        <v>37313</v>
      </c>
    </row>
    <row r="637" spans="1:23" s="37" customFormat="1" ht="14.4" x14ac:dyDescent="0.3">
      <c r="A637" s="37">
        <v>80651</v>
      </c>
      <c r="B637" s="37" t="s">
        <v>4270</v>
      </c>
      <c r="C637" s="37">
        <v>28053959</v>
      </c>
      <c r="D637" s="37" t="s">
        <v>2955</v>
      </c>
      <c r="E637" s="37" t="s">
        <v>2956</v>
      </c>
      <c r="F637" s="37" t="s">
        <v>2957</v>
      </c>
      <c r="G637" s="37" t="s">
        <v>2958</v>
      </c>
      <c r="H637" s="37" t="s">
        <v>2959</v>
      </c>
      <c r="I637" s="37" t="s">
        <v>2960</v>
      </c>
      <c r="J637" s="37" t="s">
        <v>68</v>
      </c>
      <c r="K637" s="37" t="s">
        <v>138</v>
      </c>
      <c r="L637" s="37" t="s">
        <v>138</v>
      </c>
      <c r="M637" s="37">
        <v>25754</v>
      </c>
      <c r="N637" s="38" t="s">
        <v>513</v>
      </c>
      <c r="S637" s="23">
        <f>VLOOKUP(A637,Hoja1!A:D,4,0)</f>
        <v>3</v>
      </c>
      <c r="T637" s="26" t="str">
        <f>VLOOKUP(M637,[1]TIPOLOGIAS!$A:$F,4,0)</f>
        <v>BOGOTA</v>
      </c>
      <c r="U637" s="26" t="str">
        <f>VLOOKUP(T637,'BASE TARIFA 2025'!C:D,2,0)</f>
        <v>WOMPI CENTRO</v>
      </c>
      <c r="V637" s="27">
        <f>VLOOKUP(T637,'BASE TARIFA 2025'!C:F,3,0)</f>
        <v>37313</v>
      </c>
      <c r="W637" s="27">
        <f t="shared" si="9"/>
        <v>111939</v>
      </c>
    </row>
    <row r="638" spans="1:23" s="37" customFormat="1" ht="14.4" x14ac:dyDescent="0.3">
      <c r="A638" s="37">
        <v>80431</v>
      </c>
      <c r="B638" s="37" t="s">
        <v>4271</v>
      </c>
      <c r="C638" s="37">
        <v>901830353</v>
      </c>
      <c r="D638" s="37" t="s">
        <v>2961</v>
      </c>
      <c r="E638" s="37" t="s">
        <v>2962</v>
      </c>
      <c r="F638" s="37" t="s">
        <v>2963</v>
      </c>
      <c r="G638" s="37" t="s">
        <v>2964</v>
      </c>
      <c r="H638" s="37" t="s">
        <v>2965</v>
      </c>
      <c r="I638" s="37" t="s">
        <v>2966</v>
      </c>
      <c r="J638" s="37" t="s">
        <v>68</v>
      </c>
      <c r="K638" s="37" t="s">
        <v>138</v>
      </c>
      <c r="L638" s="37" t="s">
        <v>138</v>
      </c>
      <c r="M638" s="37">
        <v>25754</v>
      </c>
      <c r="N638" s="38" t="s">
        <v>513</v>
      </c>
      <c r="S638" s="23">
        <f>VLOOKUP(A638,Hoja1!A:D,4,0)</f>
        <v>1</v>
      </c>
      <c r="T638" s="26" t="str">
        <f>VLOOKUP(M638,[1]TIPOLOGIAS!$A:$F,4,0)</f>
        <v>BOGOTA</v>
      </c>
      <c r="U638" s="26" t="str">
        <f>VLOOKUP(T638,'BASE TARIFA 2025'!C:D,2,0)</f>
        <v>WOMPI CENTRO</v>
      </c>
      <c r="V638" s="27">
        <f>VLOOKUP(T638,'BASE TARIFA 2025'!C:F,3,0)</f>
        <v>37313</v>
      </c>
      <c r="W638" s="27">
        <f t="shared" si="9"/>
        <v>37313</v>
      </c>
    </row>
    <row r="639" spans="1:23" s="37" customFormat="1" ht="14.4" x14ac:dyDescent="0.3">
      <c r="A639" s="37">
        <v>42327</v>
      </c>
      <c r="B639" s="37" t="s">
        <v>4272</v>
      </c>
      <c r="C639" s="37">
        <v>1012433757</v>
      </c>
      <c r="D639" s="37" t="s">
        <v>67</v>
      </c>
      <c r="E639" s="37" t="s">
        <v>2967</v>
      </c>
      <c r="F639" s="37" t="s">
        <v>2967</v>
      </c>
      <c r="G639" s="37" t="s">
        <v>2968</v>
      </c>
      <c r="H639" s="37" t="s">
        <v>2969</v>
      </c>
      <c r="I639" s="37" t="s">
        <v>2970</v>
      </c>
      <c r="J639" s="37" t="s">
        <v>72</v>
      </c>
      <c r="K639" s="37" t="s">
        <v>2971</v>
      </c>
      <c r="L639" s="37" t="s">
        <v>2972</v>
      </c>
      <c r="M639" s="37">
        <v>52051</v>
      </c>
      <c r="N639" s="38" t="s">
        <v>320</v>
      </c>
      <c r="S639" s="23">
        <f>VLOOKUP(A639,Hoja1!A:D,4,0)</f>
        <v>6</v>
      </c>
      <c r="T639" s="26" t="str">
        <f>VLOOKUP(M639,[1]TIPOLOGIAS!$A:$F,4,0)</f>
        <v>PASTO</v>
      </c>
      <c r="U639" s="26" t="str">
        <f>VLOOKUP(T639,'BASE TARIFA 2025'!C:D,2,0)</f>
        <v>WOMPI SUROCCIDENTE</v>
      </c>
      <c r="V639" s="27">
        <f>VLOOKUP(T639,'BASE TARIFA 2025'!C:F,3,0)</f>
        <v>49671.7</v>
      </c>
      <c r="W639" s="27">
        <f t="shared" si="9"/>
        <v>298030.19999999995</v>
      </c>
    </row>
    <row r="640" spans="1:23" s="37" customFormat="1" ht="14.4" x14ac:dyDescent="0.3">
      <c r="A640" s="37">
        <v>42329</v>
      </c>
      <c r="B640" s="37" t="s">
        <v>4273</v>
      </c>
      <c r="C640" s="37">
        <v>1022408241</v>
      </c>
      <c r="D640" s="37" t="s">
        <v>2973</v>
      </c>
      <c r="E640" s="37" t="s">
        <v>2974</v>
      </c>
      <c r="F640" s="37" t="s">
        <v>2975</v>
      </c>
      <c r="G640" s="37" t="s">
        <v>2976</v>
      </c>
      <c r="H640" s="37" t="s">
        <v>2977</v>
      </c>
      <c r="I640" s="37" t="s">
        <v>2978</v>
      </c>
      <c r="J640" s="37" t="s">
        <v>92</v>
      </c>
      <c r="K640" s="37" t="s">
        <v>198</v>
      </c>
      <c r="L640" s="37" t="s">
        <v>198</v>
      </c>
      <c r="M640" s="37">
        <v>68081</v>
      </c>
      <c r="N640" s="38" t="s">
        <v>430</v>
      </c>
      <c r="S640" s="23">
        <f>VLOOKUP(A640,Hoja1!A:D,4,0)</f>
        <v>2</v>
      </c>
      <c r="T640" s="26" t="str">
        <f>VLOOKUP(M640,[1]TIPOLOGIAS!$A:$F,4,0)</f>
        <v>BUCARAMANGA</v>
      </c>
      <c r="U640" s="26" t="str">
        <f>VLOOKUP(T640,'BASE TARIFA 2025'!C:D,2,0)</f>
        <v>WOMPI SANTANDERES</v>
      </c>
      <c r="V640" s="27">
        <f>VLOOKUP(T640,'BASE TARIFA 2025'!C:F,3,0)</f>
        <v>37313</v>
      </c>
      <c r="W640" s="27">
        <f t="shared" si="9"/>
        <v>74626</v>
      </c>
    </row>
    <row r="641" spans="1:23" s="37" customFormat="1" ht="14.4" x14ac:dyDescent="0.3">
      <c r="A641" s="37">
        <v>42417</v>
      </c>
      <c r="B641" s="37" t="s">
        <v>4274</v>
      </c>
      <c r="C641" s="37">
        <v>890306372</v>
      </c>
      <c r="D641" s="37" t="s">
        <v>2979</v>
      </c>
      <c r="E641" s="37" t="s">
        <v>2980</v>
      </c>
      <c r="F641" s="37" t="s">
        <v>2980</v>
      </c>
      <c r="G641" s="37" t="s">
        <v>2981</v>
      </c>
      <c r="H641" s="37" t="s">
        <v>2982</v>
      </c>
      <c r="I641" s="37" t="s">
        <v>2983</v>
      </c>
      <c r="J641" s="37" t="s">
        <v>92</v>
      </c>
      <c r="K641" s="37" t="s">
        <v>198</v>
      </c>
      <c r="L641" s="37" t="s">
        <v>198</v>
      </c>
      <c r="M641" s="37">
        <v>68081</v>
      </c>
      <c r="N641" s="38" t="s">
        <v>322</v>
      </c>
      <c r="S641" s="23">
        <f>VLOOKUP(A641,Hoja1!A:D,4,0)</f>
        <v>1</v>
      </c>
      <c r="T641" s="26" t="str">
        <f>VLOOKUP(M641,[1]TIPOLOGIAS!$A:$F,4,0)</f>
        <v>BUCARAMANGA</v>
      </c>
      <c r="U641" s="26" t="str">
        <f>VLOOKUP(T641,'BASE TARIFA 2025'!C:D,2,0)</f>
        <v>WOMPI SANTANDERES</v>
      </c>
      <c r="V641" s="27">
        <f>VLOOKUP(T641,'BASE TARIFA 2025'!C:F,3,0)</f>
        <v>37313</v>
      </c>
      <c r="W641" s="27">
        <f t="shared" si="9"/>
        <v>37313</v>
      </c>
    </row>
    <row r="642" spans="1:23" s="37" customFormat="1" ht="14.4" x14ac:dyDescent="0.3">
      <c r="A642" s="37">
        <v>42663</v>
      </c>
      <c r="B642" s="37" t="s">
        <v>4275</v>
      </c>
      <c r="C642" s="37">
        <v>14274460</v>
      </c>
      <c r="D642" s="37" t="s">
        <v>2984</v>
      </c>
      <c r="E642" s="37" t="s">
        <v>2984</v>
      </c>
      <c r="F642" s="37" t="s">
        <v>2984</v>
      </c>
      <c r="G642" s="37" t="s">
        <v>2985</v>
      </c>
      <c r="H642" s="37" t="s">
        <v>2986</v>
      </c>
      <c r="I642" s="37" t="s">
        <v>2987</v>
      </c>
      <c r="J642" s="37" t="s">
        <v>92</v>
      </c>
      <c r="K642" s="37" t="s">
        <v>80</v>
      </c>
      <c r="L642" s="37" t="s">
        <v>80</v>
      </c>
      <c r="M642" s="37">
        <v>68101</v>
      </c>
      <c r="N642" s="38" t="s">
        <v>327</v>
      </c>
      <c r="S642" s="23">
        <f>VLOOKUP(A642,Hoja1!A:D,4,0)</f>
        <v>2</v>
      </c>
      <c r="T642" s="26" t="str">
        <f>VLOOKUP(M642,[1]TIPOLOGIAS!$A:$F,4,0)</f>
        <v>TUNJA</v>
      </c>
      <c r="U642" s="26" t="str">
        <f>VLOOKUP(T642,'BASE TARIFA 2025'!C:D,2,0)</f>
        <v>WOMPI SANTANDERES</v>
      </c>
      <c r="V642" s="27">
        <f>VLOOKUP(T642,'BASE TARIFA 2025'!C:F,3,0)</f>
        <v>49671.7</v>
      </c>
      <c r="W642" s="27">
        <f t="shared" ref="W642:W705" si="10">V642*S642</f>
        <v>99343.4</v>
      </c>
    </row>
    <row r="643" spans="1:23" s="37" customFormat="1" ht="14.4" x14ac:dyDescent="0.3">
      <c r="A643" s="37">
        <v>43766</v>
      </c>
      <c r="B643" s="37" t="s">
        <v>4276</v>
      </c>
      <c r="C643" s="37">
        <v>52755576</v>
      </c>
      <c r="D643" s="37" t="s">
        <v>2988</v>
      </c>
      <c r="E643" s="37" t="s">
        <v>67</v>
      </c>
      <c r="F643" s="37" t="s">
        <v>2988</v>
      </c>
      <c r="G643" s="37" t="s">
        <v>2989</v>
      </c>
      <c r="H643" s="37" t="s">
        <v>2990</v>
      </c>
      <c r="I643" s="37" t="s">
        <v>2991</v>
      </c>
      <c r="J643" s="37" t="s">
        <v>92</v>
      </c>
      <c r="K643" s="37" t="s">
        <v>80</v>
      </c>
      <c r="L643" s="37" t="s">
        <v>80</v>
      </c>
      <c r="M643" s="37">
        <v>68101</v>
      </c>
      <c r="N643" s="38" t="s">
        <v>327</v>
      </c>
      <c r="S643" s="23">
        <f>VLOOKUP(A643,Hoja1!A:D,4,0)</f>
        <v>2</v>
      </c>
      <c r="T643" s="26" t="str">
        <f>VLOOKUP(M643,[1]TIPOLOGIAS!$A:$F,4,0)</f>
        <v>TUNJA</v>
      </c>
      <c r="U643" s="26" t="str">
        <f>VLOOKUP(T643,'BASE TARIFA 2025'!C:D,2,0)</f>
        <v>WOMPI SANTANDERES</v>
      </c>
      <c r="V643" s="27">
        <f>VLOOKUP(T643,'BASE TARIFA 2025'!C:F,3,0)</f>
        <v>49671.7</v>
      </c>
      <c r="W643" s="27">
        <f t="shared" si="10"/>
        <v>99343.4</v>
      </c>
    </row>
    <row r="644" spans="1:23" s="37" customFormat="1" ht="14.4" x14ac:dyDescent="0.3">
      <c r="A644" s="37">
        <v>44033</v>
      </c>
      <c r="B644" s="37" t="s">
        <v>4277</v>
      </c>
      <c r="C644" s="37">
        <v>53049846</v>
      </c>
      <c r="D644" s="37" t="s">
        <v>2992</v>
      </c>
      <c r="E644" s="37" t="s">
        <v>2993</v>
      </c>
      <c r="F644" s="37" t="s">
        <v>2993</v>
      </c>
      <c r="G644" s="37" t="s">
        <v>2994</v>
      </c>
      <c r="H644" s="37" t="s">
        <v>2995</v>
      </c>
      <c r="I644" s="37" t="s">
        <v>2996</v>
      </c>
      <c r="J644" s="37" t="s">
        <v>92</v>
      </c>
      <c r="K644" s="37" t="s">
        <v>316</v>
      </c>
      <c r="L644" s="37" t="s">
        <v>316</v>
      </c>
      <c r="M644" s="37">
        <v>68147</v>
      </c>
      <c r="N644" s="38" t="s">
        <v>853</v>
      </c>
      <c r="S644" s="23">
        <f>VLOOKUP(A644,Hoja1!A:D,4,0)</f>
        <v>2</v>
      </c>
      <c r="T644" s="26" t="str">
        <f>VLOOKUP(M644,[1]TIPOLOGIAS!$A:$F,4,0)</f>
        <v>BUCARAMANGA</v>
      </c>
      <c r="U644" s="26" t="str">
        <f>VLOOKUP(T644,'BASE TARIFA 2025'!C:D,2,0)</f>
        <v>WOMPI SANTANDERES</v>
      </c>
      <c r="V644" s="27">
        <f>VLOOKUP(T644,'BASE TARIFA 2025'!C:F,3,0)</f>
        <v>37313</v>
      </c>
      <c r="W644" s="27">
        <f t="shared" si="10"/>
        <v>74626</v>
      </c>
    </row>
    <row r="645" spans="1:23" s="37" customFormat="1" ht="14.4" x14ac:dyDescent="0.3">
      <c r="A645" s="37">
        <v>46195</v>
      </c>
      <c r="B645" s="37" t="s">
        <v>4278</v>
      </c>
      <c r="C645" s="37">
        <v>51932280</v>
      </c>
      <c r="D645" s="37" t="s">
        <v>2997</v>
      </c>
      <c r="E645" s="37" t="s">
        <v>2997</v>
      </c>
      <c r="F645" s="37" t="s">
        <v>2997</v>
      </c>
      <c r="G645" s="37" t="s">
        <v>2998</v>
      </c>
      <c r="H645" s="37" t="s">
        <v>2999</v>
      </c>
      <c r="I645" s="37" t="s">
        <v>3000</v>
      </c>
      <c r="J645" s="37" t="s">
        <v>92</v>
      </c>
      <c r="K645" s="37" t="s">
        <v>316</v>
      </c>
      <c r="L645" s="37" t="s">
        <v>316</v>
      </c>
      <c r="M645" s="37">
        <v>68147</v>
      </c>
      <c r="N645" s="38" t="s">
        <v>853</v>
      </c>
      <c r="S645" s="23">
        <f>VLOOKUP(A645,Hoja1!A:D,4,0)</f>
        <v>2</v>
      </c>
      <c r="T645" s="26" t="str">
        <f>VLOOKUP(M645,[1]TIPOLOGIAS!$A:$F,4,0)</f>
        <v>BUCARAMANGA</v>
      </c>
      <c r="U645" s="26" t="str">
        <f>VLOOKUP(T645,'BASE TARIFA 2025'!C:D,2,0)</f>
        <v>WOMPI SANTANDERES</v>
      </c>
      <c r="V645" s="27">
        <f>VLOOKUP(T645,'BASE TARIFA 2025'!C:F,3,0)</f>
        <v>37313</v>
      </c>
      <c r="W645" s="27">
        <f t="shared" si="10"/>
        <v>74626</v>
      </c>
    </row>
    <row r="646" spans="1:23" s="37" customFormat="1" ht="14.4" x14ac:dyDescent="0.3">
      <c r="A646" s="37">
        <v>43591</v>
      </c>
      <c r="B646" s="37" t="s">
        <v>4279</v>
      </c>
      <c r="C646" s="37">
        <v>901165287</v>
      </c>
      <c r="D646" s="37" t="s">
        <v>3001</v>
      </c>
      <c r="E646" s="37" t="s">
        <v>3002</v>
      </c>
      <c r="F646" s="37" t="s">
        <v>3002</v>
      </c>
      <c r="G646" s="37" t="s">
        <v>3003</v>
      </c>
      <c r="H646" s="37" t="s">
        <v>3004</v>
      </c>
      <c r="I646" s="37" t="s">
        <v>3005</v>
      </c>
      <c r="J646" s="37" t="s">
        <v>92</v>
      </c>
      <c r="K646" s="37" t="s">
        <v>3006</v>
      </c>
      <c r="L646" s="37" t="s">
        <v>3006</v>
      </c>
      <c r="M646" s="37">
        <v>68167</v>
      </c>
      <c r="N646" s="38" t="s">
        <v>708</v>
      </c>
      <c r="S646" s="23">
        <f>VLOOKUP(A646,Hoja1!A:D,4,0)</f>
        <v>2</v>
      </c>
      <c r="T646" s="26" t="str">
        <f>VLOOKUP(M646,[1]TIPOLOGIAS!$A:$F,4,0)</f>
        <v>BUCARAMANGA</v>
      </c>
      <c r="U646" s="26" t="str">
        <f>VLOOKUP(T646,'BASE TARIFA 2025'!C:D,2,0)</f>
        <v>WOMPI SANTANDERES</v>
      </c>
      <c r="V646" s="27">
        <f>VLOOKUP(T646,'BASE TARIFA 2025'!C:F,3,0)</f>
        <v>37313</v>
      </c>
      <c r="W646" s="27">
        <f t="shared" si="10"/>
        <v>74626</v>
      </c>
    </row>
    <row r="647" spans="1:23" s="37" customFormat="1" ht="14.4" x14ac:dyDescent="0.3">
      <c r="A647" s="37">
        <v>43595</v>
      </c>
      <c r="B647" s="37" t="s">
        <v>4280</v>
      </c>
      <c r="C647" s="37">
        <v>1034518</v>
      </c>
      <c r="D647" s="37" t="s">
        <v>3007</v>
      </c>
      <c r="E647" s="37" t="s">
        <v>3007</v>
      </c>
      <c r="F647" s="37" t="s">
        <v>3007</v>
      </c>
      <c r="G647" s="37" t="s">
        <v>3008</v>
      </c>
      <c r="H647" s="37" t="s">
        <v>3009</v>
      </c>
      <c r="I647" s="37" t="s">
        <v>3010</v>
      </c>
      <c r="J647" s="37" t="s">
        <v>92</v>
      </c>
      <c r="K647" s="37" t="s">
        <v>3006</v>
      </c>
      <c r="L647" s="37" t="s">
        <v>3006</v>
      </c>
      <c r="M647" s="37">
        <v>68167</v>
      </c>
      <c r="N647" s="38" t="s">
        <v>708</v>
      </c>
      <c r="S647" s="23">
        <f>VLOOKUP(A647,Hoja1!A:D,4,0)</f>
        <v>2</v>
      </c>
      <c r="T647" s="26" t="str">
        <f>VLOOKUP(M647,[1]TIPOLOGIAS!$A:$F,4,0)</f>
        <v>BUCARAMANGA</v>
      </c>
      <c r="U647" s="26" t="str">
        <f>VLOOKUP(T647,'BASE TARIFA 2025'!C:D,2,0)</f>
        <v>WOMPI SANTANDERES</v>
      </c>
      <c r="V647" s="27">
        <f>VLOOKUP(T647,'BASE TARIFA 2025'!C:F,3,0)</f>
        <v>37313</v>
      </c>
      <c r="W647" s="27">
        <f t="shared" si="10"/>
        <v>74626</v>
      </c>
    </row>
    <row r="648" spans="1:23" s="37" customFormat="1" ht="14.4" x14ac:dyDescent="0.3">
      <c r="A648" s="37">
        <v>47605</v>
      </c>
      <c r="B648" s="37" t="s">
        <v>4281</v>
      </c>
      <c r="C648" s="37">
        <v>52316901</v>
      </c>
      <c r="D648" s="37" t="s">
        <v>3011</v>
      </c>
      <c r="E648" s="37" t="s">
        <v>3011</v>
      </c>
      <c r="F648" s="37" t="s">
        <v>3011</v>
      </c>
      <c r="G648" s="37" t="s">
        <v>3012</v>
      </c>
      <c r="H648" s="37" t="s">
        <v>3013</v>
      </c>
      <c r="I648" s="37" t="s">
        <v>3014</v>
      </c>
      <c r="J648" s="37" t="s">
        <v>92</v>
      </c>
      <c r="K648" s="37" t="s">
        <v>3006</v>
      </c>
      <c r="L648" s="37" t="s">
        <v>3006</v>
      </c>
      <c r="M648" s="37">
        <v>68167</v>
      </c>
      <c r="N648" s="38" t="s">
        <v>708</v>
      </c>
      <c r="S648" s="23">
        <f>VLOOKUP(A648,Hoja1!A:D,4,0)</f>
        <v>1</v>
      </c>
      <c r="T648" s="26" t="str">
        <f>VLOOKUP(M648,[1]TIPOLOGIAS!$A:$F,4,0)</f>
        <v>BUCARAMANGA</v>
      </c>
      <c r="U648" s="26" t="str">
        <f>VLOOKUP(T648,'BASE TARIFA 2025'!C:D,2,0)</f>
        <v>WOMPI SANTANDERES</v>
      </c>
      <c r="V648" s="27">
        <f>VLOOKUP(T648,'BASE TARIFA 2025'!C:F,3,0)</f>
        <v>37313</v>
      </c>
      <c r="W648" s="27">
        <f t="shared" si="10"/>
        <v>37313</v>
      </c>
    </row>
    <row r="649" spans="1:23" s="37" customFormat="1" ht="14.4" x14ac:dyDescent="0.3">
      <c r="A649" s="37">
        <v>47175</v>
      </c>
      <c r="B649" s="37" t="s">
        <v>4282</v>
      </c>
      <c r="C649" s="37">
        <v>1071302150</v>
      </c>
      <c r="D649" s="37" t="s">
        <v>3015</v>
      </c>
      <c r="E649" s="37" t="s">
        <v>3015</v>
      </c>
      <c r="F649" s="37" t="s">
        <v>3015</v>
      </c>
      <c r="G649" s="37" t="s">
        <v>3016</v>
      </c>
      <c r="H649" s="37" t="s">
        <v>3017</v>
      </c>
      <c r="I649" s="37" t="s">
        <v>3018</v>
      </c>
      <c r="J649" s="37" t="s">
        <v>93</v>
      </c>
      <c r="K649" s="37" t="s">
        <v>206</v>
      </c>
      <c r="L649" s="37" t="s">
        <v>206</v>
      </c>
      <c r="M649" s="37">
        <v>70215</v>
      </c>
      <c r="N649" s="38" t="s">
        <v>708</v>
      </c>
      <c r="S649" s="23">
        <f>VLOOKUP(A649,Hoja1!A:D,4,0)</f>
        <v>2</v>
      </c>
      <c r="T649" s="26" t="str">
        <f>VLOOKUP(M649,[1]TIPOLOGIAS!$A:$F,4,0)</f>
        <v>SINCELEJO</v>
      </c>
      <c r="U649" s="26" t="str">
        <f>VLOOKUP(T649,'BASE TARIFA 2025'!C:D,2,0)</f>
        <v>WOMPI COSTA</v>
      </c>
      <c r="V649" s="27">
        <f>VLOOKUP(T649,'BASE TARIFA 2025'!C:F,3,0)</f>
        <v>49671.7</v>
      </c>
      <c r="W649" s="27">
        <f t="shared" si="10"/>
        <v>99343.4</v>
      </c>
    </row>
    <row r="650" spans="1:23" s="37" customFormat="1" ht="14.4" x14ac:dyDescent="0.3">
      <c r="A650" s="37">
        <v>46824</v>
      </c>
      <c r="B650" s="37" t="s">
        <v>4283</v>
      </c>
      <c r="C650" s="37">
        <v>39745060</v>
      </c>
      <c r="D650" s="37" t="s">
        <v>3019</v>
      </c>
      <c r="E650" s="37" t="s">
        <v>3020</v>
      </c>
      <c r="F650" s="37" t="s">
        <v>3020</v>
      </c>
      <c r="G650" s="37" t="s">
        <v>3021</v>
      </c>
      <c r="H650" s="37" t="s">
        <v>3022</v>
      </c>
      <c r="I650" s="37" t="s">
        <v>3023</v>
      </c>
      <c r="J650" s="37" t="s">
        <v>93</v>
      </c>
      <c r="K650" s="37" t="s">
        <v>208</v>
      </c>
      <c r="L650" s="37" t="s">
        <v>208</v>
      </c>
      <c r="M650" s="37">
        <v>70235</v>
      </c>
      <c r="N650" s="38" t="s">
        <v>322</v>
      </c>
      <c r="S650" s="23">
        <f>VLOOKUP(A650,Hoja1!A:D,4,0)</f>
        <v>1</v>
      </c>
      <c r="T650" s="26" t="str">
        <f>VLOOKUP(M650,[1]TIPOLOGIAS!$A:$F,4,0)</f>
        <v>SINCELEJO</v>
      </c>
      <c r="U650" s="26" t="str">
        <f>VLOOKUP(T650,'BASE TARIFA 2025'!C:D,2,0)</f>
        <v>WOMPI COSTA</v>
      </c>
      <c r="V650" s="27">
        <f>VLOOKUP(T650,'BASE TARIFA 2025'!C:F,3,0)</f>
        <v>49671.7</v>
      </c>
      <c r="W650" s="27">
        <f t="shared" si="10"/>
        <v>49671.7</v>
      </c>
    </row>
    <row r="651" spans="1:23" s="37" customFormat="1" ht="14.4" x14ac:dyDescent="0.3">
      <c r="A651" s="37">
        <v>46887</v>
      </c>
      <c r="B651" s="37" t="s">
        <v>4284</v>
      </c>
      <c r="C651" s="37">
        <v>79826217</v>
      </c>
      <c r="D651" s="37" t="s">
        <v>3024</v>
      </c>
      <c r="E651" s="37" t="s">
        <v>3024</v>
      </c>
      <c r="F651" s="37" t="s">
        <v>3024</v>
      </c>
      <c r="G651" s="37" t="s">
        <v>3025</v>
      </c>
      <c r="H651" s="37" t="s">
        <v>3026</v>
      </c>
      <c r="I651" s="37" t="s">
        <v>3027</v>
      </c>
      <c r="J651" s="37" t="s">
        <v>93</v>
      </c>
      <c r="K651" s="37" t="s">
        <v>208</v>
      </c>
      <c r="L651" s="37" t="s">
        <v>208</v>
      </c>
      <c r="M651" s="37">
        <v>70235</v>
      </c>
      <c r="N651" s="38" t="s">
        <v>322</v>
      </c>
      <c r="S651" s="23">
        <f>VLOOKUP(A651,Hoja1!A:D,4,0)</f>
        <v>2</v>
      </c>
      <c r="T651" s="26" t="str">
        <f>VLOOKUP(M651,[1]TIPOLOGIAS!$A:$F,4,0)</f>
        <v>SINCELEJO</v>
      </c>
      <c r="U651" s="26" t="str">
        <f>VLOOKUP(T651,'BASE TARIFA 2025'!C:D,2,0)</f>
        <v>WOMPI COSTA</v>
      </c>
      <c r="V651" s="27">
        <f>VLOOKUP(T651,'BASE TARIFA 2025'!C:F,3,0)</f>
        <v>49671.7</v>
      </c>
      <c r="W651" s="27">
        <f t="shared" si="10"/>
        <v>99343.4</v>
      </c>
    </row>
    <row r="652" spans="1:23" s="37" customFormat="1" ht="14.4" x14ac:dyDescent="0.3">
      <c r="A652" s="37">
        <v>47023</v>
      </c>
      <c r="B652" s="37" t="s">
        <v>4285</v>
      </c>
      <c r="C652" s="37">
        <v>52696226</v>
      </c>
      <c r="D652" s="37" t="s">
        <v>3028</v>
      </c>
      <c r="E652" s="37" t="s">
        <v>3029</v>
      </c>
      <c r="F652" s="37" t="s">
        <v>3029</v>
      </c>
      <c r="G652" s="37" t="s">
        <v>3030</v>
      </c>
      <c r="H652" s="37" t="s">
        <v>3031</v>
      </c>
      <c r="I652" s="37" t="s">
        <v>3032</v>
      </c>
      <c r="J652" s="37" t="s">
        <v>90</v>
      </c>
      <c r="K652" s="37" t="s">
        <v>155</v>
      </c>
      <c r="L652" s="37" t="s">
        <v>155</v>
      </c>
      <c r="M652" s="37">
        <v>54001</v>
      </c>
      <c r="N652" s="38" t="s">
        <v>841</v>
      </c>
      <c r="S652" s="23">
        <f>VLOOKUP(A652,Hoja1!A:D,4,0)</f>
        <v>2</v>
      </c>
      <c r="T652" s="26" t="str">
        <f>VLOOKUP(M652,[1]TIPOLOGIAS!$A:$F,4,0)</f>
        <v>CUCUTA</v>
      </c>
      <c r="U652" s="26" t="str">
        <f>VLOOKUP(T652,'BASE TARIFA 2025'!C:D,2,0)</f>
        <v>WOMPI SANTANDERES</v>
      </c>
      <c r="V652" s="27">
        <f>VLOOKUP(T652,'BASE TARIFA 2025'!C:F,3,0)</f>
        <v>49671.7</v>
      </c>
      <c r="W652" s="27">
        <f t="shared" si="10"/>
        <v>99343.4</v>
      </c>
    </row>
    <row r="653" spans="1:23" s="37" customFormat="1" ht="14.4" x14ac:dyDescent="0.3">
      <c r="A653" s="37">
        <v>47025</v>
      </c>
      <c r="B653" s="37" t="s">
        <v>4286</v>
      </c>
      <c r="C653" s="37">
        <v>53115070</v>
      </c>
      <c r="D653" s="37" t="s">
        <v>67</v>
      </c>
      <c r="E653" s="37" t="s">
        <v>3033</v>
      </c>
      <c r="F653" s="37" t="s">
        <v>3033</v>
      </c>
      <c r="G653" s="37" t="s">
        <v>3034</v>
      </c>
      <c r="H653" s="37" t="s">
        <v>3035</v>
      </c>
      <c r="I653" s="37" t="s">
        <v>3036</v>
      </c>
      <c r="J653" s="37" t="s">
        <v>90</v>
      </c>
      <c r="K653" s="37" t="s">
        <v>155</v>
      </c>
      <c r="L653" s="37" t="s">
        <v>155</v>
      </c>
      <c r="M653" s="37">
        <v>54001</v>
      </c>
      <c r="N653" s="38" t="s">
        <v>430</v>
      </c>
      <c r="S653" s="23">
        <f>VLOOKUP(A653,Hoja1!A:D,4,0)</f>
        <v>2</v>
      </c>
      <c r="T653" s="26" t="str">
        <f>VLOOKUP(M653,[1]TIPOLOGIAS!$A:$F,4,0)</f>
        <v>CUCUTA</v>
      </c>
      <c r="U653" s="26" t="str">
        <f>VLOOKUP(T653,'BASE TARIFA 2025'!C:D,2,0)</f>
        <v>WOMPI SANTANDERES</v>
      </c>
      <c r="V653" s="27">
        <f>VLOOKUP(T653,'BASE TARIFA 2025'!C:F,3,0)</f>
        <v>49671.7</v>
      </c>
      <c r="W653" s="27">
        <f t="shared" si="10"/>
        <v>99343.4</v>
      </c>
    </row>
    <row r="654" spans="1:23" s="37" customFormat="1" ht="14.4" x14ac:dyDescent="0.3">
      <c r="A654" s="37">
        <v>48078</v>
      </c>
      <c r="B654" s="37" t="s">
        <v>4287</v>
      </c>
      <c r="C654" s="37">
        <v>52236739</v>
      </c>
      <c r="D654" s="37" t="s">
        <v>67</v>
      </c>
      <c r="E654" s="37" t="s">
        <v>3037</v>
      </c>
      <c r="F654" s="37" t="s">
        <v>3038</v>
      </c>
      <c r="G654" s="37" t="s">
        <v>3039</v>
      </c>
      <c r="H654" s="37" t="s">
        <v>3040</v>
      </c>
      <c r="I654" s="37" t="s">
        <v>3041</v>
      </c>
      <c r="J654" s="37" t="s">
        <v>90</v>
      </c>
      <c r="K654" s="37" t="s">
        <v>155</v>
      </c>
      <c r="L654" s="37" t="s">
        <v>155</v>
      </c>
      <c r="M654" s="37">
        <v>54001</v>
      </c>
      <c r="N654" s="38" t="s">
        <v>853</v>
      </c>
      <c r="S654" s="23">
        <f>VLOOKUP(A654,Hoja1!A:D,4,0)</f>
        <v>2</v>
      </c>
      <c r="T654" s="26" t="str">
        <f>VLOOKUP(M654,[1]TIPOLOGIAS!$A:$F,4,0)</f>
        <v>CUCUTA</v>
      </c>
      <c r="U654" s="26" t="str">
        <f>VLOOKUP(T654,'BASE TARIFA 2025'!C:D,2,0)</f>
        <v>WOMPI SANTANDERES</v>
      </c>
      <c r="V654" s="27">
        <f>VLOOKUP(T654,'BASE TARIFA 2025'!C:F,3,0)</f>
        <v>49671.7</v>
      </c>
      <c r="W654" s="27">
        <f t="shared" si="10"/>
        <v>99343.4</v>
      </c>
    </row>
    <row r="655" spans="1:23" s="37" customFormat="1" ht="14.4" x14ac:dyDescent="0.3">
      <c r="A655" s="37">
        <v>47416</v>
      </c>
      <c r="B655" s="37" t="s">
        <v>4288</v>
      </c>
      <c r="C655" s="37">
        <v>900582515</v>
      </c>
      <c r="D655" s="37" t="s">
        <v>3042</v>
      </c>
      <c r="E655" s="37" t="s">
        <v>3043</v>
      </c>
      <c r="F655" s="37" t="s">
        <v>3043</v>
      </c>
      <c r="G655" s="37" t="s">
        <v>3044</v>
      </c>
      <c r="H655" s="37" t="s">
        <v>3045</v>
      </c>
      <c r="I655" s="37" t="s">
        <v>3046</v>
      </c>
      <c r="J655" s="37" t="s">
        <v>90</v>
      </c>
      <c r="K655" s="37" t="s">
        <v>155</v>
      </c>
      <c r="L655" s="37" t="s">
        <v>155</v>
      </c>
      <c r="M655" s="37">
        <v>54001</v>
      </c>
      <c r="N655" s="38" t="s">
        <v>322</v>
      </c>
      <c r="S655" s="23">
        <f>VLOOKUP(A655,Hoja1!A:D,4,0)</f>
        <v>4</v>
      </c>
      <c r="T655" s="26" t="str">
        <f>VLOOKUP(M655,[1]TIPOLOGIAS!$A:$F,4,0)</f>
        <v>CUCUTA</v>
      </c>
      <c r="U655" s="26" t="str">
        <f>VLOOKUP(T655,'BASE TARIFA 2025'!C:D,2,0)</f>
        <v>WOMPI SANTANDERES</v>
      </c>
      <c r="V655" s="27">
        <f>VLOOKUP(T655,'BASE TARIFA 2025'!C:F,3,0)</f>
        <v>49671.7</v>
      </c>
      <c r="W655" s="27">
        <f t="shared" si="10"/>
        <v>198686.8</v>
      </c>
    </row>
    <row r="656" spans="1:23" s="37" customFormat="1" ht="14.4" x14ac:dyDescent="0.3">
      <c r="A656" s="37">
        <v>49817</v>
      </c>
      <c r="B656" s="37" t="s">
        <v>4289</v>
      </c>
      <c r="C656" s="37">
        <v>66837815</v>
      </c>
      <c r="D656" s="37" t="s">
        <v>67</v>
      </c>
      <c r="E656" s="37" t="s">
        <v>3047</v>
      </c>
      <c r="F656" s="37" t="s">
        <v>2571</v>
      </c>
      <c r="G656" s="37" t="s">
        <v>3048</v>
      </c>
      <c r="H656" s="37" t="s">
        <v>3049</v>
      </c>
      <c r="I656" s="37" t="s">
        <v>3050</v>
      </c>
      <c r="J656" s="37" t="s">
        <v>90</v>
      </c>
      <c r="K656" s="37" t="s">
        <v>155</v>
      </c>
      <c r="L656" s="37" t="s">
        <v>155</v>
      </c>
      <c r="M656" s="37">
        <v>54001</v>
      </c>
      <c r="N656" s="38" t="s">
        <v>853</v>
      </c>
      <c r="S656" s="23">
        <f>VLOOKUP(A656,Hoja1!A:D,4,0)</f>
        <v>1</v>
      </c>
      <c r="T656" s="26" t="str">
        <f>VLOOKUP(M656,[1]TIPOLOGIAS!$A:$F,4,0)</f>
        <v>CUCUTA</v>
      </c>
      <c r="U656" s="26" t="str">
        <f>VLOOKUP(T656,'BASE TARIFA 2025'!C:D,2,0)</f>
        <v>WOMPI SANTANDERES</v>
      </c>
      <c r="V656" s="27">
        <f>VLOOKUP(T656,'BASE TARIFA 2025'!C:F,3,0)</f>
        <v>49671.7</v>
      </c>
      <c r="W656" s="27">
        <f t="shared" si="10"/>
        <v>49671.7</v>
      </c>
    </row>
    <row r="657" spans="1:23" s="37" customFormat="1" ht="14.4" x14ac:dyDescent="0.3">
      <c r="A657" s="37">
        <v>48848</v>
      </c>
      <c r="B657" s="37" t="s">
        <v>4290</v>
      </c>
      <c r="C657" s="37">
        <v>51987636</v>
      </c>
      <c r="D657" s="37" t="s">
        <v>3051</v>
      </c>
      <c r="E657" s="37" t="s">
        <v>3052</v>
      </c>
      <c r="F657" s="37" t="s">
        <v>3052</v>
      </c>
      <c r="G657" s="37" t="s">
        <v>3053</v>
      </c>
      <c r="H657" s="37" t="s">
        <v>3054</v>
      </c>
      <c r="I657" s="37" t="s">
        <v>3055</v>
      </c>
      <c r="J657" s="37" t="s">
        <v>90</v>
      </c>
      <c r="K657" s="37" t="s">
        <v>155</v>
      </c>
      <c r="L657" s="37" t="s">
        <v>155</v>
      </c>
      <c r="M657" s="37">
        <v>54001</v>
      </c>
      <c r="N657" s="38" t="s">
        <v>853</v>
      </c>
      <c r="S657" s="23">
        <f>VLOOKUP(A657,Hoja1!A:D,4,0)</f>
        <v>2</v>
      </c>
      <c r="T657" s="26" t="str">
        <f>VLOOKUP(M657,[1]TIPOLOGIAS!$A:$F,4,0)</f>
        <v>CUCUTA</v>
      </c>
      <c r="U657" s="26" t="str">
        <f>VLOOKUP(T657,'BASE TARIFA 2025'!C:D,2,0)</f>
        <v>WOMPI SANTANDERES</v>
      </c>
      <c r="V657" s="27">
        <f>VLOOKUP(T657,'BASE TARIFA 2025'!C:F,3,0)</f>
        <v>49671.7</v>
      </c>
      <c r="W657" s="27">
        <f t="shared" si="10"/>
        <v>99343.4</v>
      </c>
    </row>
    <row r="658" spans="1:23" s="37" customFormat="1" ht="14.4" x14ac:dyDescent="0.3">
      <c r="A658" s="37">
        <v>48858</v>
      </c>
      <c r="B658" s="37" t="s">
        <v>4291</v>
      </c>
      <c r="C658" s="37">
        <v>890306372</v>
      </c>
      <c r="D658" s="37" t="s">
        <v>3056</v>
      </c>
      <c r="E658" s="37" t="s">
        <v>3057</v>
      </c>
      <c r="F658" s="37" t="s">
        <v>3057</v>
      </c>
      <c r="G658" s="37" t="s">
        <v>3058</v>
      </c>
      <c r="H658" s="37" t="s">
        <v>3059</v>
      </c>
      <c r="I658" s="37" t="s">
        <v>3060</v>
      </c>
      <c r="J658" s="37" t="s">
        <v>90</v>
      </c>
      <c r="K658" s="37" t="s">
        <v>155</v>
      </c>
      <c r="L658" s="37" t="s">
        <v>155</v>
      </c>
      <c r="M658" s="37">
        <v>54001</v>
      </c>
      <c r="N658" s="38" t="s">
        <v>328</v>
      </c>
      <c r="S658" s="23">
        <f>VLOOKUP(A658,Hoja1!A:D,4,0)</f>
        <v>1</v>
      </c>
      <c r="T658" s="26" t="str">
        <f>VLOOKUP(M658,[1]TIPOLOGIAS!$A:$F,4,0)</f>
        <v>CUCUTA</v>
      </c>
      <c r="U658" s="26" t="str">
        <f>VLOOKUP(T658,'BASE TARIFA 2025'!C:D,2,0)</f>
        <v>WOMPI SANTANDERES</v>
      </c>
      <c r="V658" s="27">
        <f>VLOOKUP(T658,'BASE TARIFA 2025'!C:F,3,0)</f>
        <v>49671.7</v>
      </c>
      <c r="W658" s="27">
        <f t="shared" si="10"/>
        <v>49671.7</v>
      </c>
    </row>
    <row r="659" spans="1:23" s="37" customFormat="1" ht="14.4" x14ac:dyDescent="0.3">
      <c r="A659" s="37">
        <v>49980</v>
      </c>
      <c r="B659" s="37" t="s">
        <v>4292</v>
      </c>
      <c r="C659" s="37">
        <v>52984616</v>
      </c>
      <c r="D659" s="37" t="s">
        <v>3061</v>
      </c>
      <c r="E659" s="37" t="s">
        <v>3057</v>
      </c>
      <c r="F659" s="37" t="s">
        <v>3062</v>
      </c>
      <c r="G659" s="37" t="s">
        <v>3063</v>
      </c>
      <c r="H659" s="37" t="s">
        <v>3064</v>
      </c>
      <c r="I659" s="37" t="s">
        <v>3065</v>
      </c>
      <c r="J659" s="37" t="s">
        <v>90</v>
      </c>
      <c r="K659" s="37" t="s">
        <v>155</v>
      </c>
      <c r="L659" s="37" t="s">
        <v>155</v>
      </c>
      <c r="M659" s="37">
        <v>54001</v>
      </c>
      <c r="N659" s="38" t="s">
        <v>328</v>
      </c>
      <c r="S659" s="23">
        <f>VLOOKUP(A659,Hoja1!A:D,4,0)</f>
        <v>2</v>
      </c>
      <c r="T659" s="26" t="str">
        <f>VLOOKUP(M659,[1]TIPOLOGIAS!$A:$F,4,0)</f>
        <v>CUCUTA</v>
      </c>
      <c r="U659" s="26" t="str">
        <f>VLOOKUP(T659,'BASE TARIFA 2025'!C:D,2,0)</f>
        <v>WOMPI SANTANDERES</v>
      </c>
      <c r="V659" s="27">
        <f>VLOOKUP(T659,'BASE TARIFA 2025'!C:F,3,0)</f>
        <v>49671.7</v>
      </c>
      <c r="W659" s="27">
        <f t="shared" si="10"/>
        <v>99343.4</v>
      </c>
    </row>
    <row r="660" spans="1:23" s="37" customFormat="1" ht="14.4" x14ac:dyDescent="0.3">
      <c r="A660" s="37">
        <v>49567</v>
      </c>
      <c r="B660" s="37" t="s">
        <v>4293</v>
      </c>
      <c r="C660" s="37">
        <v>80826314</v>
      </c>
      <c r="E660" s="37" t="s">
        <v>2774</v>
      </c>
      <c r="F660" s="37" t="s">
        <v>2774</v>
      </c>
      <c r="G660" s="37" t="s">
        <v>3066</v>
      </c>
      <c r="H660" s="37" t="s">
        <v>3067</v>
      </c>
      <c r="I660" s="37" t="s">
        <v>3068</v>
      </c>
      <c r="J660" s="37" t="s">
        <v>90</v>
      </c>
      <c r="K660" s="37" t="s">
        <v>155</v>
      </c>
      <c r="L660" s="37" t="s">
        <v>155</v>
      </c>
      <c r="M660" s="37">
        <v>54001</v>
      </c>
      <c r="N660" s="38" t="s">
        <v>416</v>
      </c>
      <c r="S660" s="23">
        <f>VLOOKUP(A660,Hoja1!A:D,4,0)</f>
        <v>2</v>
      </c>
      <c r="T660" s="26" t="str">
        <f>VLOOKUP(M660,[1]TIPOLOGIAS!$A:$F,4,0)</f>
        <v>CUCUTA</v>
      </c>
      <c r="U660" s="26" t="str">
        <f>VLOOKUP(T660,'BASE TARIFA 2025'!C:D,2,0)</f>
        <v>WOMPI SANTANDERES</v>
      </c>
      <c r="V660" s="27">
        <f>VLOOKUP(T660,'BASE TARIFA 2025'!C:F,3,0)</f>
        <v>49671.7</v>
      </c>
      <c r="W660" s="27">
        <f t="shared" si="10"/>
        <v>99343.4</v>
      </c>
    </row>
    <row r="661" spans="1:23" s="37" customFormat="1" ht="14.4" x14ac:dyDescent="0.3">
      <c r="A661" s="37">
        <v>51640</v>
      </c>
      <c r="B661" s="37" t="s">
        <v>3639</v>
      </c>
      <c r="C661" s="37">
        <v>28964121</v>
      </c>
      <c r="D661" s="37" t="s">
        <v>67</v>
      </c>
      <c r="E661" s="37" t="s">
        <v>1484</v>
      </c>
      <c r="F661" s="37" t="s">
        <v>1484</v>
      </c>
      <c r="G661" s="37" t="s">
        <v>3069</v>
      </c>
      <c r="H661" s="37" t="s">
        <v>2688</v>
      </c>
      <c r="I661" s="37" t="s">
        <v>3070</v>
      </c>
      <c r="J661" s="37" t="s">
        <v>90</v>
      </c>
      <c r="K661" s="37" t="s">
        <v>155</v>
      </c>
      <c r="L661" s="37" t="s">
        <v>155</v>
      </c>
      <c r="M661" s="37">
        <v>54001</v>
      </c>
      <c r="N661" s="38" t="s">
        <v>503</v>
      </c>
      <c r="S661" s="23">
        <f>VLOOKUP(A661,Hoja1!A:D,4,0)</f>
        <v>2</v>
      </c>
      <c r="T661" s="26" t="str">
        <f>VLOOKUP(M661,[1]TIPOLOGIAS!$A:$F,4,0)</f>
        <v>CUCUTA</v>
      </c>
      <c r="U661" s="26" t="str">
        <f>VLOOKUP(T661,'BASE TARIFA 2025'!C:D,2,0)</f>
        <v>WOMPI SANTANDERES</v>
      </c>
      <c r="V661" s="27">
        <f>VLOOKUP(T661,'BASE TARIFA 2025'!C:F,3,0)</f>
        <v>49671.7</v>
      </c>
      <c r="W661" s="27">
        <f t="shared" si="10"/>
        <v>99343.4</v>
      </c>
    </row>
    <row r="662" spans="1:23" s="37" customFormat="1" ht="14.4" x14ac:dyDescent="0.3">
      <c r="A662" s="37">
        <v>50209</v>
      </c>
      <c r="B662" s="37" t="s">
        <v>4294</v>
      </c>
      <c r="C662" s="37">
        <v>51911277</v>
      </c>
      <c r="D662" s="37" t="s">
        <v>3071</v>
      </c>
      <c r="E662" s="37" t="s">
        <v>3071</v>
      </c>
      <c r="F662" s="37" t="s">
        <v>3071</v>
      </c>
      <c r="G662" s="37" t="s">
        <v>3072</v>
      </c>
      <c r="H662" s="37" t="s">
        <v>3073</v>
      </c>
      <c r="I662" s="37" t="s">
        <v>3074</v>
      </c>
      <c r="J662" s="37" t="s">
        <v>72</v>
      </c>
      <c r="K662" s="37" t="s">
        <v>89</v>
      </c>
      <c r="L662" s="37" t="s">
        <v>89</v>
      </c>
      <c r="M662" s="37">
        <v>52110</v>
      </c>
      <c r="N662" s="38" t="s">
        <v>325</v>
      </c>
      <c r="S662" s="23">
        <f>VLOOKUP(A662,Hoja1!A:D,4,0)</f>
        <v>2</v>
      </c>
      <c r="T662" s="26" t="str">
        <f>VLOOKUP(M662,[1]TIPOLOGIAS!$A:$F,4,0)</f>
        <v>PASTO</v>
      </c>
      <c r="U662" s="26" t="str">
        <f>VLOOKUP(T662,'BASE TARIFA 2025'!C:D,2,0)</f>
        <v>WOMPI SUROCCIDENTE</v>
      </c>
      <c r="V662" s="27">
        <f>VLOOKUP(T662,'BASE TARIFA 2025'!C:F,3,0)</f>
        <v>49671.7</v>
      </c>
      <c r="W662" s="27">
        <f t="shared" si="10"/>
        <v>99343.4</v>
      </c>
    </row>
    <row r="663" spans="1:23" s="37" customFormat="1" ht="14.4" x14ac:dyDescent="0.3">
      <c r="A663" s="37">
        <v>50411</v>
      </c>
      <c r="B663" s="37" t="s">
        <v>4295</v>
      </c>
      <c r="C663" s="37">
        <v>52446199</v>
      </c>
      <c r="D663" s="37" t="s">
        <v>3075</v>
      </c>
      <c r="E663" s="37" t="s">
        <v>3075</v>
      </c>
      <c r="F663" s="37" t="s">
        <v>3076</v>
      </c>
      <c r="G663" s="37" t="s">
        <v>3077</v>
      </c>
      <c r="H663" s="37" t="s">
        <v>3078</v>
      </c>
      <c r="I663" s="37" t="s">
        <v>3079</v>
      </c>
      <c r="J663" s="37" t="s">
        <v>72</v>
      </c>
      <c r="K663" s="37" t="s">
        <v>89</v>
      </c>
      <c r="L663" s="37" t="s">
        <v>89</v>
      </c>
      <c r="M663" s="37">
        <v>52110</v>
      </c>
      <c r="N663" s="38" t="s">
        <v>323</v>
      </c>
      <c r="S663" s="23">
        <f>VLOOKUP(A663,Hoja1!A:D,4,0)</f>
        <v>2</v>
      </c>
      <c r="T663" s="26" t="str">
        <f>VLOOKUP(M663,[1]TIPOLOGIAS!$A:$F,4,0)</f>
        <v>PASTO</v>
      </c>
      <c r="U663" s="26" t="str">
        <f>VLOOKUP(T663,'BASE TARIFA 2025'!C:D,2,0)</f>
        <v>WOMPI SUROCCIDENTE</v>
      </c>
      <c r="V663" s="27">
        <f>VLOOKUP(T663,'BASE TARIFA 2025'!C:F,3,0)</f>
        <v>49671.7</v>
      </c>
      <c r="W663" s="27">
        <f t="shared" si="10"/>
        <v>99343.4</v>
      </c>
    </row>
    <row r="664" spans="1:23" s="37" customFormat="1" ht="14.4" x14ac:dyDescent="0.3">
      <c r="A664" s="37">
        <v>50846</v>
      </c>
      <c r="B664" s="37" t="s">
        <v>4296</v>
      </c>
      <c r="C664" s="37">
        <v>51647614</v>
      </c>
      <c r="D664" s="37" t="s">
        <v>3080</v>
      </c>
      <c r="E664" s="37" t="s">
        <v>3080</v>
      </c>
      <c r="F664" s="37" t="s">
        <v>3080</v>
      </c>
      <c r="G664" s="37" t="s">
        <v>3081</v>
      </c>
      <c r="H664" s="37" t="s">
        <v>3082</v>
      </c>
      <c r="I664" s="37" t="s">
        <v>3083</v>
      </c>
      <c r="J664" s="37" t="s">
        <v>72</v>
      </c>
      <c r="K664" s="37" t="s">
        <v>89</v>
      </c>
      <c r="L664" s="37" t="s">
        <v>89</v>
      </c>
      <c r="M664" s="37">
        <v>52110</v>
      </c>
      <c r="N664" s="38" t="s">
        <v>323</v>
      </c>
      <c r="S664" s="23">
        <f>VLOOKUP(A664,Hoja1!A:D,4,0)</f>
        <v>1</v>
      </c>
      <c r="T664" s="26" t="str">
        <f>VLOOKUP(M664,[1]TIPOLOGIAS!$A:$F,4,0)</f>
        <v>PASTO</v>
      </c>
      <c r="U664" s="26" t="str">
        <f>VLOOKUP(T664,'BASE TARIFA 2025'!C:D,2,0)</f>
        <v>WOMPI SUROCCIDENTE</v>
      </c>
      <c r="V664" s="27">
        <f>VLOOKUP(T664,'BASE TARIFA 2025'!C:F,3,0)</f>
        <v>49671.7</v>
      </c>
      <c r="W664" s="27">
        <f t="shared" si="10"/>
        <v>49671.7</v>
      </c>
    </row>
    <row r="665" spans="1:23" s="37" customFormat="1" ht="14.4" x14ac:dyDescent="0.3">
      <c r="A665" s="37">
        <v>50060</v>
      </c>
      <c r="B665" s="37" t="s">
        <v>4297</v>
      </c>
      <c r="C665" s="37">
        <v>1033736872</v>
      </c>
      <c r="D665" s="37" t="s">
        <v>97</v>
      </c>
      <c r="E665" s="37" t="s">
        <v>3084</v>
      </c>
      <c r="F665" s="37" t="s">
        <v>3084</v>
      </c>
      <c r="G665" s="37" t="s">
        <v>3085</v>
      </c>
      <c r="H665" s="37" t="s">
        <v>3086</v>
      </c>
      <c r="I665" s="37" t="s">
        <v>3087</v>
      </c>
      <c r="J665" s="37" t="s">
        <v>72</v>
      </c>
      <c r="K665" s="37" t="s">
        <v>3088</v>
      </c>
      <c r="L665" s="37" t="s">
        <v>3088</v>
      </c>
      <c r="M665" s="37">
        <v>52560</v>
      </c>
      <c r="N665" s="38" t="s">
        <v>321</v>
      </c>
      <c r="S665" s="23">
        <f>VLOOKUP(A665,Hoja1!A:D,4,0)</f>
        <v>2</v>
      </c>
      <c r="T665" s="26" t="str">
        <f>VLOOKUP(M665,[1]TIPOLOGIAS!$A:$F,4,0)</f>
        <v>PASTO</v>
      </c>
      <c r="U665" s="26" t="str">
        <f>VLOOKUP(T665,'BASE TARIFA 2025'!C:D,2,0)</f>
        <v>WOMPI SUROCCIDENTE</v>
      </c>
      <c r="V665" s="27">
        <f>VLOOKUP(T665,'BASE TARIFA 2025'!C:F,3,0)</f>
        <v>49671.7</v>
      </c>
      <c r="W665" s="27">
        <f t="shared" si="10"/>
        <v>99343.4</v>
      </c>
    </row>
    <row r="666" spans="1:23" s="37" customFormat="1" ht="14.4" x14ac:dyDescent="0.3">
      <c r="A666" s="37">
        <v>52737</v>
      </c>
      <c r="B666" s="37" t="s">
        <v>4298</v>
      </c>
      <c r="C666" s="37">
        <v>80164040</v>
      </c>
      <c r="D666" s="37" t="s">
        <v>3089</v>
      </c>
      <c r="E666" s="37" t="s">
        <v>3090</v>
      </c>
      <c r="F666" s="37" t="s">
        <v>3090</v>
      </c>
      <c r="G666" s="37" t="s">
        <v>3091</v>
      </c>
      <c r="H666" s="37" t="s">
        <v>3092</v>
      </c>
      <c r="I666" s="37" t="s">
        <v>3093</v>
      </c>
      <c r="J666" s="37" t="s">
        <v>72</v>
      </c>
      <c r="K666" s="37" t="s">
        <v>3094</v>
      </c>
      <c r="L666" s="37" t="s">
        <v>3094</v>
      </c>
      <c r="M666" s="37">
        <v>52612</v>
      </c>
      <c r="N666" s="38" t="s">
        <v>430</v>
      </c>
      <c r="S666" s="23">
        <f>VLOOKUP(A666,Hoja1!A:D,4,0)</f>
        <v>2</v>
      </c>
      <c r="T666" s="26" t="str">
        <f>VLOOKUP(M666,[1]TIPOLOGIAS!$A:$F,4,0)</f>
        <v>PASTO</v>
      </c>
      <c r="U666" s="26" t="str">
        <f>VLOOKUP(T666,'BASE TARIFA 2025'!C:D,2,0)</f>
        <v>WOMPI SUROCCIDENTE</v>
      </c>
      <c r="V666" s="27">
        <f>VLOOKUP(T666,'BASE TARIFA 2025'!C:F,3,0)</f>
        <v>49671.7</v>
      </c>
      <c r="W666" s="27">
        <f t="shared" si="10"/>
        <v>99343.4</v>
      </c>
    </row>
    <row r="667" spans="1:23" s="37" customFormat="1" ht="14.4" x14ac:dyDescent="0.3">
      <c r="A667" s="37">
        <v>53867</v>
      </c>
      <c r="B667" s="37" t="s">
        <v>4299</v>
      </c>
      <c r="C667" s="37">
        <v>31958119</v>
      </c>
      <c r="D667" s="37" t="s">
        <v>3095</v>
      </c>
      <c r="E667" s="37" t="s">
        <v>3096</v>
      </c>
      <c r="F667" s="37" t="s">
        <v>3096</v>
      </c>
      <c r="G667" s="37" t="s">
        <v>3097</v>
      </c>
      <c r="H667" s="37" t="s">
        <v>3098</v>
      </c>
      <c r="I667" s="37" t="s">
        <v>3099</v>
      </c>
      <c r="J667" s="37" t="s">
        <v>72</v>
      </c>
      <c r="K667" s="37" t="s">
        <v>3094</v>
      </c>
      <c r="L667" s="37" t="s">
        <v>3094</v>
      </c>
      <c r="M667" s="37">
        <v>52612</v>
      </c>
      <c r="N667" s="38" t="s">
        <v>430</v>
      </c>
      <c r="S667" s="23">
        <f>VLOOKUP(A667,Hoja1!A:D,4,0)</f>
        <v>1</v>
      </c>
      <c r="T667" s="26" t="str">
        <f>VLOOKUP(M667,[1]TIPOLOGIAS!$A:$F,4,0)</f>
        <v>PASTO</v>
      </c>
      <c r="U667" s="26" t="str">
        <f>VLOOKUP(T667,'BASE TARIFA 2025'!C:D,2,0)</f>
        <v>WOMPI SUROCCIDENTE</v>
      </c>
      <c r="V667" s="27">
        <f>VLOOKUP(T667,'BASE TARIFA 2025'!C:F,3,0)</f>
        <v>49671.7</v>
      </c>
      <c r="W667" s="27">
        <f t="shared" si="10"/>
        <v>49671.7</v>
      </c>
    </row>
    <row r="668" spans="1:23" s="37" customFormat="1" ht="14.4" x14ac:dyDescent="0.3">
      <c r="A668" s="37">
        <v>53070</v>
      </c>
      <c r="B668" s="37" t="s">
        <v>4300</v>
      </c>
      <c r="C668" s="37">
        <v>24230645</v>
      </c>
      <c r="D668" s="37" t="s">
        <v>3100</v>
      </c>
      <c r="E668" s="37" t="s">
        <v>3101</v>
      </c>
      <c r="F668" s="37" t="s">
        <v>3101</v>
      </c>
      <c r="G668" s="37" t="s">
        <v>3102</v>
      </c>
      <c r="H668" s="37" t="s">
        <v>3103</v>
      </c>
      <c r="I668" s="37" t="s">
        <v>3104</v>
      </c>
      <c r="J668" s="37" t="s">
        <v>72</v>
      </c>
      <c r="K668" s="37" t="s">
        <v>3094</v>
      </c>
      <c r="L668" s="37" t="s">
        <v>3094</v>
      </c>
      <c r="M668" s="37">
        <v>52612</v>
      </c>
      <c r="N668" s="38" t="s">
        <v>430</v>
      </c>
      <c r="S668" s="23">
        <f>VLOOKUP(A668,Hoja1!A:D,4,0)</f>
        <v>2</v>
      </c>
      <c r="T668" s="26" t="str">
        <f>VLOOKUP(M668,[1]TIPOLOGIAS!$A:$F,4,0)</f>
        <v>PASTO</v>
      </c>
      <c r="U668" s="26" t="str">
        <f>VLOOKUP(T668,'BASE TARIFA 2025'!C:D,2,0)</f>
        <v>WOMPI SUROCCIDENTE</v>
      </c>
      <c r="V668" s="27">
        <f>VLOOKUP(T668,'BASE TARIFA 2025'!C:F,3,0)</f>
        <v>49671.7</v>
      </c>
      <c r="W668" s="27">
        <f t="shared" si="10"/>
        <v>99343.4</v>
      </c>
    </row>
    <row r="669" spans="1:23" s="37" customFormat="1" ht="14.4" x14ac:dyDescent="0.3">
      <c r="A669" s="37">
        <v>54560</v>
      </c>
      <c r="B669" s="37" t="s">
        <v>4301</v>
      </c>
      <c r="C669" s="37">
        <v>901407185</v>
      </c>
      <c r="E669" s="37" t="s">
        <v>3105</v>
      </c>
      <c r="F669" s="37" t="s">
        <v>3105</v>
      </c>
      <c r="G669" s="37" t="s">
        <v>3106</v>
      </c>
      <c r="H669" s="37" t="s">
        <v>3107</v>
      </c>
      <c r="I669" s="37" t="s">
        <v>3108</v>
      </c>
      <c r="J669" s="37" t="s">
        <v>101</v>
      </c>
      <c r="K669" s="37" t="s">
        <v>3109</v>
      </c>
      <c r="L669" s="37" t="s">
        <v>3109</v>
      </c>
      <c r="M669" s="37">
        <v>73352</v>
      </c>
      <c r="N669" s="38" t="s">
        <v>853</v>
      </c>
      <c r="S669" s="23">
        <f>VLOOKUP(A669,Hoja1!A:D,4,0)</f>
        <v>1</v>
      </c>
      <c r="T669" s="26" t="str">
        <f>VLOOKUP(M669,[1]TIPOLOGIAS!$A:$F,4,0)</f>
        <v>IBAGUE</v>
      </c>
      <c r="U669" s="26" t="str">
        <f>VLOOKUP(T669,'BASE TARIFA 2025'!C:D,2,0)</f>
        <v>WOMPI ORIENTE</v>
      </c>
      <c r="V669" s="27">
        <f>VLOOKUP(T669,'BASE TARIFA 2025'!C:F,3,0)</f>
        <v>49671.7</v>
      </c>
      <c r="W669" s="27">
        <f t="shared" si="10"/>
        <v>49671.7</v>
      </c>
    </row>
    <row r="670" spans="1:23" s="37" customFormat="1" ht="14.4" x14ac:dyDescent="0.3">
      <c r="A670" s="37">
        <v>55789</v>
      </c>
      <c r="B670" s="37" t="s">
        <v>4302</v>
      </c>
      <c r="C670" s="37">
        <v>37796762</v>
      </c>
      <c r="D670" s="37" t="s">
        <v>3110</v>
      </c>
      <c r="E670" s="37" t="s">
        <v>3110</v>
      </c>
      <c r="F670" s="37" t="s">
        <v>3110</v>
      </c>
      <c r="G670" s="37" t="s">
        <v>3111</v>
      </c>
      <c r="H670" s="37" t="s">
        <v>3112</v>
      </c>
      <c r="I670" s="37" t="s">
        <v>3113</v>
      </c>
      <c r="J670" s="37" t="s">
        <v>101</v>
      </c>
      <c r="K670" s="37" t="s">
        <v>3109</v>
      </c>
      <c r="L670" s="37" t="s">
        <v>3109</v>
      </c>
      <c r="M670" s="37">
        <v>73352</v>
      </c>
      <c r="N670" s="38" t="s">
        <v>853</v>
      </c>
      <c r="S670" s="23">
        <f>VLOOKUP(A670,Hoja1!A:D,4,0)</f>
        <v>2</v>
      </c>
      <c r="T670" s="26" t="str">
        <f>VLOOKUP(M670,[1]TIPOLOGIAS!$A:$F,4,0)</f>
        <v>IBAGUE</v>
      </c>
      <c r="U670" s="26" t="str">
        <f>VLOOKUP(T670,'BASE TARIFA 2025'!C:D,2,0)</f>
        <v>WOMPI ORIENTE</v>
      </c>
      <c r="V670" s="27">
        <f>VLOOKUP(T670,'BASE TARIFA 2025'!C:F,3,0)</f>
        <v>49671.7</v>
      </c>
      <c r="W670" s="27">
        <f t="shared" si="10"/>
        <v>99343.4</v>
      </c>
    </row>
    <row r="671" spans="1:23" s="37" customFormat="1" ht="14.4" x14ac:dyDescent="0.3">
      <c r="A671" s="37">
        <v>55686</v>
      </c>
      <c r="B671" s="37" t="s">
        <v>4303</v>
      </c>
      <c r="C671" s="37">
        <v>1019023514</v>
      </c>
      <c r="D671" s="37" t="s">
        <v>3114</v>
      </c>
      <c r="E671" s="37" t="s">
        <v>3114</v>
      </c>
      <c r="F671" s="37" t="s">
        <v>3114</v>
      </c>
      <c r="G671" s="37" t="s">
        <v>3115</v>
      </c>
      <c r="H671" s="37" t="s">
        <v>3116</v>
      </c>
      <c r="I671" s="37" t="s">
        <v>3117</v>
      </c>
      <c r="J671" s="37" t="s">
        <v>101</v>
      </c>
      <c r="K671" s="37" t="s">
        <v>3109</v>
      </c>
      <c r="L671" s="37" t="s">
        <v>3109</v>
      </c>
      <c r="M671" s="37">
        <v>73352</v>
      </c>
      <c r="N671" s="38" t="s">
        <v>853</v>
      </c>
      <c r="S671" s="23">
        <f>VLOOKUP(A671,Hoja1!A:D,4,0)</f>
        <v>2</v>
      </c>
      <c r="T671" s="26" t="str">
        <f>VLOOKUP(M671,[1]TIPOLOGIAS!$A:$F,4,0)</f>
        <v>IBAGUE</v>
      </c>
      <c r="U671" s="26" t="str">
        <f>VLOOKUP(T671,'BASE TARIFA 2025'!C:D,2,0)</f>
        <v>WOMPI ORIENTE</v>
      </c>
      <c r="V671" s="27">
        <f>VLOOKUP(T671,'BASE TARIFA 2025'!C:F,3,0)</f>
        <v>49671.7</v>
      </c>
      <c r="W671" s="27">
        <f t="shared" si="10"/>
        <v>99343.4</v>
      </c>
    </row>
    <row r="672" spans="1:23" s="37" customFormat="1" ht="14.4" x14ac:dyDescent="0.3">
      <c r="A672" s="37">
        <v>58582</v>
      </c>
      <c r="B672" s="37" t="s">
        <v>4304</v>
      </c>
      <c r="C672" s="37">
        <v>80100968</v>
      </c>
      <c r="D672" s="37" t="s">
        <v>3118</v>
      </c>
      <c r="E672" s="37" t="s">
        <v>3118</v>
      </c>
      <c r="F672" s="37" t="s">
        <v>3118</v>
      </c>
      <c r="G672" s="37" t="s">
        <v>3119</v>
      </c>
      <c r="H672" s="37" t="s">
        <v>3120</v>
      </c>
      <c r="I672" s="37" t="s">
        <v>3121</v>
      </c>
      <c r="J672" s="37" t="s">
        <v>101</v>
      </c>
      <c r="K672" s="37" t="s">
        <v>3109</v>
      </c>
      <c r="L672" s="37" t="s">
        <v>3109</v>
      </c>
      <c r="M672" s="37">
        <v>73352</v>
      </c>
      <c r="N672" s="38" t="s">
        <v>853</v>
      </c>
      <c r="S672" s="23">
        <f>VLOOKUP(A672,Hoja1!A:D,4,0)</f>
        <v>2</v>
      </c>
      <c r="T672" s="26" t="str">
        <f>VLOOKUP(M672,[1]TIPOLOGIAS!$A:$F,4,0)</f>
        <v>IBAGUE</v>
      </c>
      <c r="U672" s="26" t="str">
        <f>VLOOKUP(T672,'BASE TARIFA 2025'!C:D,2,0)</f>
        <v>WOMPI ORIENTE</v>
      </c>
      <c r="V672" s="27">
        <f>VLOOKUP(T672,'BASE TARIFA 2025'!C:F,3,0)</f>
        <v>49671.7</v>
      </c>
      <c r="W672" s="27">
        <f t="shared" si="10"/>
        <v>99343.4</v>
      </c>
    </row>
    <row r="673" spans="1:23" s="37" customFormat="1" ht="14.4" x14ac:dyDescent="0.3">
      <c r="A673" s="37">
        <v>53675</v>
      </c>
      <c r="B673" s="37" t="s">
        <v>4305</v>
      </c>
      <c r="C673" s="37">
        <v>1019054697</v>
      </c>
      <c r="D673" s="37" t="s">
        <v>67</v>
      </c>
      <c r="E673" s="37" t="s">
        <v>3122</v>
      </c>
      <c r="F673" s="37" t="s">
        <v>3122</v>
      </c>
      <c r="G673" s="37" t="s">
        <v>3123</v>
      </c>
      <c r="H673" s="37" t="s">
        <v>3124</v>
      </c>
      <c r="I673" s="37" t="s">
        <v>3125</v>
      </c>
      <c r="J673" s="37" t="s">
        <v>101</v>
      </c>
      <c r="K673" s="37" t="s">
        <v>3126</v>
      </c>
      <c r="L673" s="37" t="s">
        <v>3126</v>
      </c>
      <c r="M673" s="37">
        <v>73443</v>
      </c>
      <c r="N673" s="38" t="s">
        <v>416</v>
      </c>
      <c r="S673" s="23">
        <f>VLOOKUP(A673,Hoja1!A:D,4,0)</f>
        <v>2</v>
      </c>
      <c r="T673" s="26" t="str">
        <f>VLOOKUP(M673,[1]TIPOLOGIAS!$A:$F,4,0)</f>
        <v>IBAGUE</v>
      </c>
      <c r="U673" s="26" t="str">
        <f>VLOOKUP(T673,'BASE TARIFA 2025'!C:D,2,0)</f>
        <v>WOMPI ORIENTE</v>
      </c>
      <c r="V673" s="27">
        <f>VLOOKUP(T673,'BASE TARIFA 2025'!C:F,3,0)</f>
        <v>49671.7</v>
      </c>
      <c r="W673" s="27">
        <f t="shared" si="10"/>
        <v>99343.4</v>
      </c>
    </row>
    <row r="674" spans="1:23" s="37" customFormat="1" ht="14.4" x14ac:dyDescent="0.3">
      <c r="A674" s="37">
        <v>57626</v>
      </c>
      <c r="B674" s="37" t="s">
        <v>4306</v>
      </c>
      <c r="C674" s="37">
        <v>901456623</v>
      </c>
      <c r="D674" s="37" t="s">
        <v>3127</v>
      </c>
      <c r="E674" s="37" t="s">
        <v>3127</v>
      </c>
      <c r="F674" s="37" t="s">
        <v>3127</v>
      </c>
      <c r="G674" s="37" t="s">
        <v>3128</v>
      </c>
      <c r="H674" s="37" t="s">
        <v>3129</v>
      </c>
      <c r="I674" s="37" t="s">
        <v>3130</v>
      </c>
      <c r="J674" s="37" t="s">
        <v>101</v>
      </c>
      <c r="K674" s="37" t="s">
        <v>3126</v>
      </c>
      <c r="L674" s="37" t="s">
        <v>3126</v>
      </c>
      <c r="M674" s="37">
        <v>73443</v>
      </c>
      <c r="N674" s="38" t="s">
        <v>416</v>
      </c>
      <c r="S674" s="23">
        <f>VLOOKUP(A674,Hoja1!A:D,4,0)</f>
        <v>3</v>
      </c>
      <c r="T674" s="26" t="str">
        <f>VLOOKUP(M674,[1]TIPOLOGIAS!$A:$F,4,0)</f>
        <v>IBAGUE</v>
      </c>
      <c r="U674" s="26" t="str">
        <f>VLOOKUP(T674,'BASE TARIFA 2025'!C:D,2,0)</f>
        <v>WOMPI ORIENTE</v>
      </c>
      <c r="V674" s="27">
        <f>VLOOKUP(T674,'BASE TARIFA 2025'!C:F,3,0)</f>
        <v>49671.7</v>
      </c>
      <c r="W674" s="27">
        <f t="shared" si="10"/>
        <v>149015.09999999998</v>
      </c>
    </row>
    <row r="675" spans="1:23" s="37" customFormat="1" ht="14.4" x14ac:dyDescent="0.3">
      <c r="A675" s="37">
        <v>57628</v>
      </c>
      <c r="B675" s="37" t="s">
        <v>4307</v>
      </c>
      <c r="C675" s="37">
        <v>1032390597</v>
      </c>
      <c r="D675" s="37" t="s">
        <v>3131</v>
      </c>
      <c r="E675" s="37" t="s">
        <v>3131</v>
      </c>
      <c r="F675" s="37" t="s">
        <v>3131</v>
      </c>
      <c r="G675" s="37" t="s">
        <v>3132</v>
      </c>
      <c r="H675" s="37" t="s">
        <v>3133</v>
      </c>
      <c r="I675" s="37" t="s">
        <v>3134</v>
      </c>
      <c r="J675" s="37" t="s">
        <v>101</v>
      </c>
      <c r="K675" s="37" t="s">
        <v>3126</v>
      </c>
      <c r="L675" s="37" t="s">
        <v>3126</v>
      </c>
      <c r="M675" s="37">
        <v>73443</v>
      </c>
      <c r="N675" s="38" t="s">
        <v>416</v>
      </c>
      <c r="S675" s="23">
        <f>VLOOKUP(A675,Hoja1!A:D,4,0)</f>
        <v>4</v>
      </c>
      <c r="T675" s="26" t="str">
        <f>VLOOKUP(M675,[1]TIPOLOGIAS!$A:$F,4,0)</f>
        <v>IBAGUE</v>
      </c>
      <c r="U675" s="26" t="str">
        <f>VLOOKUP(T675,'BASE TARIFA 2025'!C:D,2,0)</f>
        <v>WOMPI ORIENTE</v>
      </c>
      <c r="V675" s="27">
        <f>VLOOKUP(T675,'BASE TARIFA 2025'!C:F,3,0)</f>
        <v>49671.7</v>
      </c>
      <c r="W675" s="27">
        <f t="shared" si="10"/>
        <v>198686.8</v>
      </c>
    </row>
    <row r="676" spans="1:23" s="37" customFormat="1" ht="14.4" x14ac:dyDescent="0.3">
      <c r="A676" s="37">
        <v>57734</v>
      </c>
      <c r="B676" s="37" t="s">
        <v>4308</v>
      </c>
      <c r="C676" s="37">
        <v>79618120</v>
      </c>
      <c r="D676" s="37" t="s">
        <v>3135</v>
      </c>
      <c r="E676" s="37" t="s">
        <v>3135</v>
      </c>
      <c r="F676" s="37" t="s">
        <v>3136</v>
      </c>
      <c r="G676" s="37" t="s">
        <v>3137</v>
      </c>
      <c r="H676" s="37" t="s">
        <v>3138</v>
      </c>
      <c r="I676" s="37" t="s">
        <v>3139</v>
      </c>
      <c r="J676" s="37" t="s">
        <v>101</v>
      </c>
      <c r="K676" s="37" t="s">
        <v>3126</v>
      </c>
      <c r="L676" s="37" t="s">
        <v>3126</v>
      </c>
      <c r="M676" s="37">
        <v>73443</v>
      </c>
      <c r="N676" s="38" t="s">
        <v>416</v>
      </c>
      <c r="S676" s="23">
        <f>VLOOKUP(A676,Hoja1!A:D,4,0)</f>
        <v>2</v>
      </c>
      <c r="T676" s="26" t="str">
        <f>VLOOKUP(M676,[1]TIPOLOGIAS!$A:$F,4,0)</f>
        <v>IBAGUE</v>
      </c>
      <c r="U676" s="26" t="str">
        <f>VLOOKUP(T676,'BASE TARIFA 2025'!C:D,2,0)</f>
        <v>WOMPI ORIENTE</v>
      </c>
      <c r="V676" s="27">
        <f>VLOOKUP(T676,'BASE TARIFA 2025'!C:F,3,0)</f>
        <v>49671.7</v>
      </c>
      <c r="W676" s="27">
        <f t="shared" si="10"/>
        <v>99343.4</v>
      </c>
    </row>
    <row r="677" spans="1:23" s="37" customFormat="1" ht="14.4" x14ac:dyDescent="0.3">
      <c r="A677" s="37">
        <v>59396</v>
      </c>
      <c r="B677" s="37" t="s">
        <v>4309</v>
      </c>
      <c r="C677" s="37">
        <v>1013603673</v>
      </c>
      <c r="D677" s="37" t="s">
        <v>3140</v>
      </c>
      <c r="E677" s="37" t="s">
        <v>3141</v>
      </c>
      <c r="F677" s="37" t="s">
        <v>3141</v>
      </c>
      <c r="G677" s="37" t="s">
        <v>3142</v>
      </c>
      <c r="H677" s="37" t="s">
        <v>3143</v>
      </c>
      <c r="I677" s="37" t="s">
        <v>3144</v>
      </c>
      <c r="J677" s="37" t="s">
        <v>108</v>
      </c>
      <c r="K677" s="37" t="s">
        <v>209</v>
      </c>
      <c r="L677" s="37" t="s">
        <v>209</v>
      </c>
      <c r="M677" s="37">
        <v>76122</v>
      </c>
      <c r="N677" s="38" t="s">
        <v>325</v>
      </c>
      <c r="S677" s="23">
        <f>VLOOKUP(A677,Hoja1!A:D,4,0)</f>
        <v>2</v>
      </c>
      <c r="T677" s="26" t="str">
        <f>VLOOKUP(M677,[1]TIPOLOGIAS!$A:$F,4,0)</f>
        <v>PEREIRA</v>
      </c>
      <c r="U677" s="26" t="str">
        <f>VLOOKUP(T677,'BASE TARIFA 2025'!C:D,2,0)</f>
        <v>WOMPI EJE CAFETERO</v>
      </c>
      <c r="V677" s="27">
        <f>VLOOKUP(T677,'BASE TARIFA 2025'!C:F,3,0)</f>
        <v>37313</v>
      </c>
      <c r="W677" s="27">
        <f t="shared" si="10"/>
        <v>74626</v>
      </c>
    </row>
    <row r="678" spans="1:23" s="37" customFormat="1" ht="14.4" x14ac:dyDescent="0.3">
      <c r="A678" s="37">
        <v>59293</v>
      </c>
      <c r="B678" s="37" t="s">
        <v>4310</v>
      </c>
      <c r="C678" s="37">
        <v>1014281611</v>
      </c>
      <c r="D678" s="37" t="s">
        <v>3145</v>
      </c>
      <c r="E678" s="37" t="s">
        <v>3146</v>
      </c>
      <c r="F678" s="37" t="s">
        <v>3146</v>
      </c>
      <c r="G678" s="37" t="s">
        <v>3147</v>
      </c>
      <c r="H678" s="37" t="s">
        <v>3148</v>
      </c>
      <c r="I678" s="37" t="s">
        <v>3149</v>
      </c>
      <c r="J678" s="37" t="s">
        <v>108</v>
      </c>
      <c r="K678" s="37" t="s">
        <v>209</v>
      </c>
      <c r="L678" s="37" t="s">
        <v>209</v>
      </c>
      <c r="M678" s="37">
        <v>76122</v>
      </c>
      <c r="N678" s="38" t="s">
        <v>325</v>
      </c>
      <c r="S678" s="23">
        <f>VLOOKUP(A678,Hoja1!A:D,4,0)</f>
        <v>1</v>
      </c>
      <c r="T678" s="26" t="str">
        <f>VLOOKUP(M678,[1]TIPOLOGIAS!$A:$F,4,0)</f>
        <v>PEREIRA</v>
      </c>
      <c r="U678" s="26" t="str">
        <f>VLOOKUP(T678,'BASE TARIFA 2025'!C:D,2,0)</f>
        <v>WOMPI EJE CAFETERO</v>
      </c>
      <c r="V678" s="27">
        <f>VLOOKUP(T678,'BASE TARIFA 2025'!C:F,3,0)</f>
        <v>37313</v>
      </c>
      <c r="W678" s="27">
        <f t="shared" si="10"/>
        <v>37313</v>
      </c>
    </row>
    <row r="679" spans="1:23" s="37" customFormat="1" ht="14.4" x14ac:dyDescent="0.3">
      <c r="A679" s="37">
        <v>77688</v>
      </c>
      <c r="B679" s="37" t="s">
        <v>4311</v>
      </c>
      <c r="C679" s="37">
        <v>1085339353</v>
      </c>
      <c r="D679" s="37" t="s">
        <v>3150</v>
      </c>
      <c r="E679" s="37" t="s">
        <v>3151</v>
      </c>
      <c r="F679" s="37" t="s">
        <v>3151</v>
      </c>
      <c r="G679" s="37" t="s">
        <v>3152</v>
      </c>
      <c r="H679" s="37" t="s">
        <v>3153</v>
      </c>
      <c r="I679" s="37" t="s">
        <v>3154</v>
      </c>
      <c r="J679" s="37" t="s">
        <v>108</v>
      </c>
      <c r="K679" s="37" t="s">
        <v>209</v>
      </c>
      <c r="L679" s="37" t="s">
        <v>209</v>
      </c>
      <c r="M679" s="37">
        <v>76122</v>
      </c>
      <c r="N679" s="38" t="s">
        <v>325</v>
      </c>
      <c r="S679" s="23">
        <f>VLOOKUP(A679,Hoja1!A:D,4,0)</f>
        <v>1</v>
      </c>
      <c r="T679" s="26" t="str">
        <f>VLOOKUP(M679,[1]TIPOLOGIAS!$A:$F,4,0)</f>
        <v>PEREIRA</v>
      </c>
      <c r="U679" s="26" t="str">
        <f>VLOOKUP(T679,'BASE TARIFA 2025'!C:D,2,0)</f>
        <v>WOMPI EJE CAFETERO</v>
      </c>
      <c r="V679" s="27">
        <f>VLOOKUP(T679,'BASE TARIFA 2025'!C:F,3,0)</f>
        <v>37313</v>
      </c>
      <c r="W679" s="27">
        <f t="shared" si="10"/>
        <v>37313</v>
      </c>
    </row>
    <row r="680" spans="1:23" s="37" customFormat="1" ht="14.4" x14ac:dyDescent="0.3">
      <c r="A680" s="37">
        <v>76903</v>
      </c>
      <c r="B680" s="37" t="s">
        <v>4312</v>
      </c>
      <c r="C680" s="37">
        <v>1089848067</v>
      </c>
      <c r="D680" s="37" t="s">
        <v>3155</v>
      </c>
      <c r="E680" s="37" t="s">
        <v>3156</v>
      </c>
      <c r="F680" s="37" t="s">
        <v>3156</v>
      </c>
      <c r="G680" s="37" t="s">
        <v>3157</v>
      </c>
      <c r="H680" s="37" t="s">
        <v>3158</v>
      </c>
      <c r="I680" s="37" t="s">
        <v>3159</v>
      </c>
      <c r="J680" s="37" t="s">
        <v>108</v>
      </c>
      <c r="K680" s="37" t="s">
        <v>209</v>
      </c>
      <c r="L680" s="37" t="s">
        <v>209</v>
      </c>
      <c r="M680" s="37">
        <v>76122</v>
      </c>
      <c r="N680" s="38" t="s">
        <v>325</v>
      </c>
      <c r="S680" s="23">
        <f>VLOOKUP(A680,Hoja1!A:D,4,0)</f>
        <v>2</v>
      </c>
      <c r="T680" s="26" t="str">
        <f>VLOOKUP(M680,[1]TIPOLOGIAS!$A:$F,4,0)</f>
        <v>PEREIRA</v>
      </c>
      <c r="U680" s="26" t="str">
        <f>VLOOKUP(T680,'BASE TARIFA 2025'!C:D,2,0)</f>
        <v>WOMPI EJE CAFETERO</v>
      </c>
      <c r="V680" s="27">
        <f>VLOOKUP(T680,'BASE TARIFA 2025'!C:F,3,0)</f>
        <v>37313</v>
      </c>
      <c r="W680" s="27">
        <f t="shared" si="10"/>
        <v>74626</v>
      </c>
    </row>
    <row r="681" spans="1:23" s="37" customFormat="1" ht="14.4" x14ac:dyDescent="0.3">
      <c r="A681" s="37">
        <v>74770</v>
      </c>
      <c r="B681" s="37" t="s">
        <v>4313</v>
      </c>
      <c r="C681" s="37">
        <v>901356173</v>
      </c>
      <c r="D681" s="37" t="s">
        <v>3160</v>
      </c>
      <c r="E681" s="37" t="s">
        <v>67</v>
      </c>
      <c r="F681" s="37" t="s">
        <v>3160</v>
      </c>
      <c r="G681" s="37" t="s">
        <v>3161</v>
      </c>
      <c r="H681" s="37" t="s">
        <v>3162</v>
      </c>
      <c r="I681" s="37" t="s">
        <v>3163</v>
      </c>
      <c r="J681" s="37" t="s">
        <v>108</v>
      </c>
      <c r="K681" s="37" t="s">
        <v>209</v>
      </c>
      <c r="L681" s="37" t="s">
        <v>209</v>
      </c>
      <c r="M681" s="37">
        <v>76122</v>
      </c>
      <c r="N681" s="38" t="s">
        <v>327</v>
      </c>
      <c r="S681" s="23">
        <f>VLOOKUP(A681,Hoja1!A:D,4,0)</f>
        <v>1</v>
      </c>
      <c r="T681" s="26" t="str">
        <f>VLOOKUP(M681,[1]TIPOLOGIAS!$A:$F,4,0)</f>
        <v>PEREIRA</v>
      </c>
      <c r="U681" s="26" t="str">
        <f>VLOOKUP(T681,'BASE TARIFA 2025'!C:D,2,0)</f>
        <v>WOMPI EJE CAFETERO</v>
      </c>
      <c r="V681" s="27">
        <f>VLOOKUP(T681,'BASE TARIFA 2025'!C:F,3,0)</f>
        <v>37313</v>
      </c>
      <c r="W681" s="27">
        <f t="shared" si="10"/>
        <v>37313</v>
      </c>
    </row>
    <row r="682" spans="1:23" s="37" customFormat="1" ht="14.4" x14ac:dyDescent="0.3">
      <c r="A682" s="37">
        <v>74771</v>
      </c>
      <c r="B682" s="37" t="s">
        <v>4314</v>
      </c>
      <c r="C682" s="37">
        <v>901356173</v>
      </c>
      <c r="D682" s="37" t="s">
        <v>67</v>
      </c>
      <c r="E682" s="37" t="s">
        <v>3164</v>
      </c>
      <c r="F682" s="37" t="s">
        <v>3164</v>
      </c>
      <c r="G682" s="37" t="s">
        <v>3165</v>
      </c>
      <c r="H682" s="37" t="s">
        <v>3166</v>
      </c>
      <c r="I682" s="37" t="s">
        <v>3167</v>
      </c>
      <c r="J682" s="37" t="s">
        <v>108</v>
      </c>
      <c r="K682" s="37" t="s">
        <v>209</v>
      </c>
      <c r="L682" s="37" t="s">
        <v>209</v>
      </c>
      <c r="M682" s="37">
        <v>76122</v>
      </c>
      <c r="N682" s="38" t="s">
        <v>327</v>
      </c>
      <c r="S682" s="23">
        <f>VLOOKUP(A682,Hoja1!A:D,4,0)</f>
        <v>1</v>
      </c>
      <c r="T682" s="26" t="str">
        <f>VLOOKUP(M682,[1]TIPOLOGIAS!$A:$F,4,0)</f>
        <v>PEREIRA</v>
      </c>
      <c r="U682" s="26" t="str">
        <f>VLOOKUP(T682,'BASE TARIFA 2025'!C:D,2,0)</f>
        <v>WOMPI EJE CAFETERO</v>
      </c>
      <c r="V682" s="27">
        <f>VLOOKUP(T682,'BASE TARIFA 2025'!C:F,3,0)</f>
        <v>37313</v>
      </c>
      <c r="W682" s="27">
        <f t="shared" si="10"/>
        <v>37313</v>
      </c>
    </row>
    <row r="683" spans="1:23" s="37" customFormat="1" ht="14.4" x14ac:dyDescent="0.3">
      <c r="A683" s="37">
        <v>68830</v>
      </c>
      <c r="B683" s="37" t="s">
        <v>3651</v>
      </c>
      <c r="C683" s="37">
        <v>1085263077</v>
      </c>
      <c r="D683" s="37" t="s">
        <v>3168</v>
      </c>
      <c r="E683" s="37" t="s">
        <v>3169</v>
      </c>
      <c r="F683" s="37" t="s">
        <v>3168</v>
      </c>
      <c r="G683" s="37" t="s">
        <v>3170</v>
      </c>
      <c r="H683" s="37" t="s">
        <v>3171</v>
      </c>
      <c r="I683" s="37" t="s">
        <v>3172</v>
      </c>
      <c r="J683" s="37" t="s">
        <v>108</v>
      </c>
      <c r="K683" s="37" t="s">
        <v>209</v>
      </c>
      <c r="L683" s="37" t="s">
        <v>209</v>
      </c>
      <c r="M683" s="37">
        <v>76122</v>
      </c>
      <c r="N683" s="38" t="s">
        <v>416</v>
      </c>
      <c r="S683" s="23">
        <f>VLOOKUP(A683,Hoja1!A:D,4,0)</f>
        <v>2</v>
      </c>
      <c r="T683" s="26" t="str">
        <f>VLOOKUP(M683,[1]TIPOLOGIAS!$A:$F,4,0)</f>
        <v>PEREIRA</v>
      </c>
      <c r="U683" s="26" t="str">
        <f>VLOOKUP(T683,'BASE TARIFA 2025'!C:D,2,0)</f>
        <v>WOMPI EJE CAFETERO</v>
      </c>
      <c r="V683" s="27">
        <f>VLOOKUP(T683,'BASE TARIFA 2025'!C:F,3,0)</f>
        <v>37313</v>
      </c>
      <c r="W683" s="27">
        <f t="shared" si="10"/>
        <v>74626</v>
      </c>
    </row>
    <row r="684" spans="1:23" s="37" customFormat="1" ht="14.4" x14ac:dyDescent="0.3">
      <c r="A684" s="37">
        <v>69325</v>
      </c>
      <c r="B684" s="37" t="s">
        <v>3652</v>
      </c>
      <c r="C684" s="37">
        <v>12972361</v>
      </c>
      <c r="D684" s="37" t="s">
        <v>3173</v>
      </c>
      <c r="E684" s="37" t="s">
        <v>3173</v>
      </c>
      <c r="F684" s="37" t="s">
        <v>3173</v>
      </c>
      <c r="G684" s="37" t="s">
        <v>3174</v>
      </c>
      <c r="H684" s="37" t="s">
        <v>3175</v>
      </c>
      <c r="I684" s="37" t="s">
        <v>3176</v>
      </c>
      <c r="J684" s="37" t="s">
        <v>108</v>
      </c>
      <c r="K684" s="37" t="s">
        <v>209</v>
      </c>
      <c r="L684" s="37" t="s">
        <v>209</v>
      </c>
      <c r="M684" s="37">
        <v>76122</v>
      </c>
      <c r="N684" s="38" t="s">
        <v>327</v>
      </c>
      <c r="S684" s="23">
        <f>VLOOKUP(A684,Hoja1!A:D,4,0)</f>
        <v>1</v>
      </c>
      <c r="T684" s="26" t="str">
        <f>VLOOKUP(M684,[1]TIPOLOGIAS!$A:$F,4,0)</f>
        <v>PEREIRA</v>
      </c>
      <c r="U684" s="26" t="str">
        <f>VLOOKUP(T684,'BASE TARIFA 2025'!C:D,2,0)</f>
        <v>WOMPI EJE CAFETERO</v>
      </c>
      <c r="V684" s="27">
        <f>VLOOKUP(T684,'BASE TARIFA 2025'!C:F,3,0)</f>
        <v>37313</v>
      </c>
      <c r="W684" s="27">
        <f t="shared" si="10"/>
        <v>37313</v>
      </c>
    </row>
    <row r="685" spans="1:23" s="37" customFormat="1" ht="14.4" x14ac:dyDescent="0.3">
      <c r="A685" s="37">
        <v>67437</v>
      </c>
      <c r="B685" s="37" t="s">
        <v>4315</v>
      </c>
      <c r="C685" s="37">
        <v>5206909</v>
      </c>
      <c r="D685" s="37" t="s">
        <v>3177</v>
      </c>
      <c r="E685" s="37" t="s">
        <v>3177</v>
      </c>
      <c r="G685" s="37" t="s">
        <v>3178</v>
      </c>
      <c r="H685" s="37" t="s">
        <v>3179</v>
      </c>
      <c r="I685" s="37" t="s">
        <v>3180</v>
      </c>
      <c r="J685" s="37" t="s">
        <v>108</v>
      </c>
      <c r="K685" s="37" t="s">
        <v>210</v>
      </c>
      <c r="L685" s="37" t="s">
        <v>210</v>
      </c>
      <c r="M685" s="37">
        <v>76275</v>
      </c>
      <c r="N685" s="38" t="s">
        <v>325</v>
      </c>
      <c r="S685" s="23">
        <f>VLOOKUP(A685,Hoja1!A:D,4,0)</f>
        <v>2</v>
      </c>
      <c r="T685" s="26" t="str">
        <f>VLOOKUP(M685,[1]TIPOLOGIAS!$A:$F,4,0)</f>
        <v>CALI</v>
      </c>
      <c r="U685" s="26" t="str">
        <f>VLOOKUP(T685,'BASE TARIFA 2025'!C:D,2,0)</f>
        <v>WOMPI SUROCCIDENTE</v>
      </c>
      <c r="V685" s="27">
        <f>VLOOKUP(T685,'BASE TARIFA 2025'!C:F,3,0)</f>
        <v>37313</v>
      </c>
      <c r="W685" s="27">
        <f t="shared" si="10"/>
        <v>74626</v>
      </c>
    </row>
    <row r="686" spans="1:23" s="37" customFormat="1" ht="14.4" x14ac:dyDescent="0.3">
      <c r="A686" s="37">
        <v>60484</v>
      </c>
      <c r="B686" s="37" t="s">
        <v>4316</v>
      </c>
      <c r="C686" s="37">
        <v>901447446</v>
      </c>
      <c r="D686" s="37" t="s">
        <v>99</v>
      </c>
      <c r="E686" s="37" t="s">
        <v>3181</v>
      </c>
      <c r="F686" s="37" t="s">
        <v>3181</v>
      </c>
      <c r="G686" s="37" t="s">
        <v>3182</v>
      </c>
      <c r="H686" s="37" t="s">
        <v>2688</v>
      </c>
      <c r="I686" s="37" t="s">
        <v>2893</v>
      </c>
      <c r="J686" s="37" t="s">
        <v>90</v>
      </c>
      <c r="K686" s="37" t="s">
        <v>155</v>
      </c>
      <c r="L686" s="37" t="s">
        <v>155</v>
      </c>
      <c r="M686" s="37">
        <v>54001</v>
      </c>
      <c r="N686" s="38" t="s">
        <v>328</v>
      </c>
      <c r="S686" s="23">
        <f>VLOOKUP(A686,Hoja1!A:D,4,0)</f>
        <v>1</v>
      </c>
      <c r="T686" s="26" t="str">
        <f>VLOOKUP(M686,[1]TIPOLOGIAS!$A:$F,4,0)</f>
        <v>CUCUTA</v>
      </c>
      <c r="U686" s="26" t="str">
        <f>VLOOKUP(T686,'BASE TARIFA 2025'!C:D,2,0)</f>
        <v>WOMPI SANTANDERES</v>
      </c>
      <c r="V686" s="27">
        <f>VLOOKUP(T686,'BASE TARIFA 2025'!C:F,3,0)</f>
        <v>49671.7</v>
      </c>
      <c r="W686" s="27">
        <f t="shared" si="10"/>
        <v>49671.7</v>
      </c>
    </row>
    <row r="687" spans="1:23" s="37" customFormat="1" ht="14.4" x14ac:dyDescent="0.3">
      <c r="A687" s="37">
        <v>60485</v>
      </c>
      <c r="B687" s="37" t="s">
        <v>4317</v>
      </c>
      <c r="C687" s="37">
        <v>901447446</v>
      </c>
      <c r="D687" s="37" t="s">
        <v>3183</v>
      </c>
      <c r="E687" s="37" t="s">
        <v>3184</v>
      </c>
      <c r="F687" s="37" t="s">
        <v>3185</v>
      </c>
      <c r="G687" s="37" t="s">
        <v>3186</v>
      </c>
      <c r="H687" s="37" t="s">
        <v>3187</v>
      </c>
      <c r="I687" s="37" t="s">
        <v>3188</v>
      </c>
      <c r="J687" s="37" t="s">
        <v>90</v>
      </c>
      <c r="K687" s="37" t="s">
        <v>155</v>
      </c>
      <c r="L687" s="37" t="s">
        <v>155</v>
      </c>
      <c r="M687" s="37">
        <v>54001</v>
      </c>
      <c r="N687" s="38" t="s">
        <v>853</v>
      </c>
      <c r="S687" s="23">
        <f>VLOOKUP(A687,Hoja1!A:D,4,0)</f>
        <v>1</v>
      </c>
      <c r="T687" s="26" t="str">
        <f>VLOOKUP(M687,[1]TIPOLOGIAS!$A:$F,4,0)</f>
        <v>CUCUTA</v>
      </c>
      <c r="U687" s="26" t="str">
        <f>VLOOKUP(T687,'BASE TARIFA 2025'!C:D,2,0)</f>
        <v>WOMPI SANTANDERES</v>
      </c>
      <c r="V687" s="27">
        <f>VLOOKUP(T687,'BASE TARIFA 2025'!C:F,3,0)</f>
        <v>49671.7</v>
      </c>
      <c r="W687" s="27">
        <f t="shared" si="10"/>
        <v>49671.7</v>
      </c>
    </row>
    <row r="688" spans="1:23" s="37" customFormat="1" ht="14.4" x14ac:dyDescent="0.3">
      <c r="A688" s="37">
        <v>62838</v>
      </c>
      <c r="B688" s="37" t="s">
        <v>4318</v>
      </c>
      <c r="C688" s="37">
        <v>27141737</v>
      </c>
      <c r="E688" s="37" t="s">
        <v>3189</v>
      </c>
      <c r="F688" s="37" t="s">
        <v>3189</v>
      </c>
      <c r="G688" s="37" t="s">
        <v>3190</v>
      </c>
      <c r="H688" s="37" t="s">
        <v>3191</v>
      </c>
      <c r="I688" s="37" t="s">
        <v>3192</v>
      </c>
      <c r="J688" s="37" t="s">
        <v>90</v>
      </c>
      <c r="K688" s="37" t="s">
        <v>155</v>
      </c>
      <c r="L688" s="37" t="s">
        <v>155</v>
      </c>
      <c r="M688" s="37">
        <v>54001</v>
      </c>
      <c r="N688" s="38" t="s">
        <v>853</v>
      </c>
      <c r="S688" s="23">
        <f>VLOOKUP(A688,Hoja1!A:D,4,0)</f>
        <v>2</v>
      </c>
      <c r="T688" s="26" t="str">
        <f>VLOOKUP(M688,[1]TIPOLOGIAS!$A:$F,4,0)</f>
        <v>CUCUTA</v>
      </c>
      <c r="U688" s="26" t="str">
        <f>VLOOKUP(T688,'BASE TARIFA 2025'!C:D,2,0)</f>
        <v>WOMPI SANTANDERES</v>
      </c>
      <c r="V688" s="27">
        <f>VLOOKUP(T688,'BASE TARIFA 2025'!C:F,3,0)</f>
        <v>49671.7</v>
      </c>
      <c r="W688" s="27">
        <f t="shared" si="10"/>
        <v>99343.4</v>
      </c>
    </row>
    <row r="689" spans="1:23" s="37" customFormat="1" ht="14.4" x14ac:dyDescent="0.3">
      <c r="A689" s="37">
        <v>46135</v>
      </c>
      <c r="B689" s="37" t="s">
        <v>4319</v>
      </c>
      <c r="C689" s="37">
        <v>1085251982</v>
      </c>
      <c r="E689" s="37" t="s">
        <v>3193</v>
      </c>
      <c r="F689" s="37" t="s">
        <v>3193</v>
      </c>
      <c r="G689" s="37" t="s">
        <v>3194</v>
      </c>
      <c r="H689" s="37" t="s">
        <v>3195</v>
      </c>
      <c r="I689" s="37" t="s">
        <v>3196</v>
      </c>
      <c r="J689" s="37" t="s">
        <v>90</v>
      </c>
      <c r="K689" s="37" t="s">
        <v>155</v>
      </c>
      <c r="L689" s="37" t="s">
        <v>155</v>
      </c>
      <c r="M689" s="37">
        <v>54001</v>
      </c>
      <c r="N689" s="38" t="s">
        <v>430</v>
      </c>
      <c r="S689" s="23">
        <f>VLOOKUP(A689,Hoja1!A:D,4,0)</f>
        <v>4</v>
      </c>
      <c r="T689" s="26" t="str">
        <f>VLOOKUP(M689,[1]TIPOLOGIAS!$A:$F,4,0)</f>
        <v>CUCUTA</v>
      </c>
      <c r="U689" s="26" t="str">
        <f>VLOOKUP(T689,'BASE TARIFA 2025'!C:D,2,0)</f>
        <v>WOMPI SANTANDERES</v>
      </c>
      <c r="V689" s="27">
        <f>VLOOKUP(T689,'BASE TARIFA 2025'!C:F,3,0)</f>
        <v>49671.7</v>
      </c>
      <c r="W689" s="27">
        <f t="shared" si="10"/>
        <v>198686.8</v>
      </c>
    </row>
    <row r="690" spans="1:23" s="37" customFormat="1" ht="14.4" x14ac:dyDescent="0.3">
      <c r="A690" s="37">
        <v>29031</v>
      </c>
      <c r="B690" s="37" t="s">
        <v>4320</v>
      </c>
      <c r="C690" s="37">
        <v>900779107</v>
      </c>
      <c r="D690" s="37" t="s">
        <v>3197</v>
      </c>
      <c r="E690" s="37" t="s">
        <v>1424</v>
      </c>
      <c r="F690" s="37" t="s">
        <v>1424</v>
      </c>
      <c r="G690" s="37" t="s">
        <v>3198</v>
      </c>
      <c r="H690" s="37" t="s">
        <v>3199</v>
      </c>
      <c r="I690" s="37" t="s">
        <v>3200</v>
      </c>
      <c r="J690" s="37" t="s">
        <v>90</v>
      </c>
      <c r="K690" s="37" t="s">
        <v>155</v>
      </c>
      <c r="L690" s="37" t="s">
        <v>155</v>
      </c>
      <c r="M690" s="37">
        <v>54001</v>
      </c>
      <c r="N690" s="38" t="s">
        <v>503</v>
      </c>
      <c r="S690" s="23">
        <f>VLOOKUP(A690,Hoja1!A:D,4,0)</f>
        <v>1</v>
      </c>
      <c r="T690" s="26" t="str">
        <f>VLOOKUP(M690,[1]TIPOLOGIAS!$A:$F,4,0)</f>
        <v>CUCUTA</v>
      </c>
      <c r="U690" s="26" t="str">
        <f>VLOOKUP(T690,'BASE TARIFA 2025'!C:D,2,0)</f>
        <v>WOMPI SANTANDERES</v>
      </c>
      <c r="V690" s="27">
        <f>VLOOKUP(T690,'BASE TARIFA 2025'!C:F,3,0)</f>
        <v>49671.7</v>
      </c>
      <c r="W690" s="27">
        <f t="shared" si="10"/>
        <v>49671.7</v>
      </c>
    </row>
    <row r="691" spans="1:23" s="37" customFormat="1" ht="14.4" x14ac:dyDescent="0.3">
      <c r="A691" s="37">
        <v>28302</v>
      </c>
      <c r="B691" s="37" t="s">
        <v>4321</v>
      </c>
      <c r="C691" s="37">
        <v>1085278071</v>
      </c>
      <c r="E691" s="37" t="s">
        <v>1411</v>
      </c>
      <c r="F691" s="37" t="s">
        <v>1411</v>
      </c>
      <c r="G691" s="37" t="s">
        <v>3201</v>
      </c>
      <c r="H691" s="37" t="s">
        <v>3202</v>
      </c>
      <c r="I691" s="37" t="s">
        <v>3203</v>
      </c>
      <c r="J691" s="37" t="s">
        <v>90</v>
      </c>
      <c r="K691" s="37" t="s">
        <v>155</v>
      </c>
      <c r="L691" s="37" t="s">
        <v>155</v>
      </c>
      <c r="M691" s="37">
        <v>54001</v>
      </c>
      <c r="N691" s="38" t="s">
        <v>513</v>
      </c>
      <c r="S691" s="23">
        <f>VLOOKUP(A691,Hoja1!A:D,4,0)</f>
        <v>2</v>
      </c>
      <c r="T691" s="26" t="str">
        <f>VLOOKUP(M691,[1]TIPOLOGIAS!$A:$F,4,0)</f>
        <v>CUCUTA</v>
      </c>
      <c r="U691" s="26" t="str">
        <f>VLOOKUP(T691,'BASE TARIFA 2025'!C:D,2,0)</f>
        <v>WOMPI SANTANDERES</v>
      </c>
      <c r="V691" s="27">
        <f>VLOOKUP(T691,'BASE TARIFA 2025'!C:F,3,0)</f>
        <v>49671.7</v>
      </c>
      <c r="W691" s="27">
        <f t="shared" si="10"/>
        <v>99343.4</v>
      </c>
    </row>
    <row r="692" spans="1:23" s="37" customFormat="1" ht="14.4" x14ac:dyDescent="0.3">
      <c r="A692" s="37">
        <v>29176</v>
      </c>
      <c r="B692" s="37" t="s">
        <v>4322</v>
      </c>
      <c r="C692" s="37">
        <v>94489262</v>
      </c>
      <c r="D692" s="37" t="s">
        <v>3204</v>
      </c>
      <c r="E692" s="37" t="s">
        <v>3205</v>
      </c>
      <c r="F692" s="37" t="s">
        <v>3205</v>
      </c>
      <c r="G692" s="37" t="s">
        <v>3206</v>
      </c>
      <c r="H692" s="37" t="s">
        <v>3207</v>
      </c>
      <c r="I692" s="37" t="s">
        <v>3208</v>
      </c>
      <c r="J692" s="37" t="s">
        <v>90</v>
      </c>
      <c r="K692" s="37" t="s">
        <v>155</v>
      </c>
      <c r="L692" s="37" t="s">
        <v>155</v>
      </c>
      <c r="M692" s="37">
        <v>54001</v>
      </c>
      <c r="N692" s="38" t="s">
        <v>513</v>
      </c>
      <c r="S692" s="23">
        <f>VLOOKUP(A692,Hoja1!A:D,4,0)</f>
        <v>1</v>
      </c>
      <c r="T692" s="26" t="str">
        <f>VLOOKUP(M692,[1]TIPOLOGIAS!$A:$F,4,0)</f>
        <v>CUCUTA</v>
      </c>
      <c r="U692" s="26" t="str">
        <f>VLOOKUP(T692,'BASE TARIFA 2025'!C:D,2,0)</f>
        <v>WOMPI SANTANDERES</v>
      </c>
      <c r="V692" s="27">
        <f>VLOOKUP(T692,'BASE TARIFA 2025'!C:F,3,0)</f>
        <v>49671.7</v>
      </c>
      <c r="W692" s="27">
        <f t="shared" si="10"/>
        <v>49671.7</v>
      </c>
    </row>
    <row r="693" spans="1:23" s="37" customFormat="1" ht="14.4" x14ac:dyDescent="0.3">
      <c r="A693" s="37">
        <v>11012</v>
      </c>
      <c r="B693" s="37" t="s">
        <v>4323</v>
      </c>
      <c r="C693" s="37">
        <v>30743986</v>
      </c>
      <c r="D693" s="37" t="s">
        <v>3209</v>
      </c>
      <c r="E693" s="37" t="s">
        <v>3210</v>
      </c>
      <c r="F693" s="37" t="s">
        <v>3210</v>
      </c>
      <c r="G693" s="37" t="s">
        <v>3211</v>
      </c>
      <c r="H693" s="37" t="s">
        <v>3212</v>
      </c>
      <c r="I693" s="37" t="s">
        <v>3213</v>
      </c>
      <c r="J693" s="37" t="s">
        <v>92</v>
      </c>
      <c r="K693" s="37" t="s">
        <v>314</v>
      </c>
      <c r="L693" s="37" t="s">
        <v>314</v>
      </c>
      <c r="M693" s="37">
        <v>68162</v>
      </c>
      <c r="N693" s="38" t="s">
        <v>708</v>
      </c>
      <c r="S693" s="23">
        <f>VLOOKUP(A693,Hoja1!A:D,4,0)</f>
        <v>3</v>
      </c>
      <c r="T693" s="26" t="str">
        <f>VLOOKUP(M693,[1]TIPOLOGIAS!$A:$F,4,0)</f>
        <v>BUCARAMANGA</v>
      </c>
      <c r="U693" s="26" t="str">
        <f>VLOOKUP(T693,'BASE TARIFA 2025'!C:D,2,0)</f>
        <v>WOMPI SANTANDERES</v>
      </c>
      <c r="V693" s="27">
        <f>VLOOKUP(T693,'BASE TARIFA 2025'!C:F,3,0)</f>
        <v>37313</v>
      </c>
      <c r="W693" s="27">
        <f t="shared" si="10"/>
        <v>111939</v>
      </c>
    </row>
    <row r="694" spans="1:23" s="37" customFormat="1" ht="14.4" x14ac:dyDescent="0.3">
      <c r="A694" s="37">
        <v>14065</v>
      </c>
      <c r="B694" s="37" t="s">
        <v>4324</v>
      </c>
      <c r="C694" s="37">
        <v>94486745</v>
      </c>
      <c r="D694" s="37" t="s">
        <v>3214</v>
      </c>
      <c r="E694" s="37" t="s">
        <v>3215</v>
      </c>
      <c r="F694" s="37" t="s">
        <v>3215</v>
      </c>
      <c r="G694" s="37" t="s">
        <v>3216</v>
      </c>
      <c r="H694" s="37" t="s">
        <v>3217</v>
      </c>
      <c r="I694" s="37" t="s">
        <v>3218</v>
      </c>
      <c r="J694" s="37" t="s">
        <v>92</v>
      </c>
      <c r="K694" s="37" t="s">
        <v>314</v>
      </c>
      <c r="L694" s="37" t="s">
        <v>314</v>
      </c>
      <c r="M694" s="37">
        <v>68162</v>
      </c>
      <c r="N694" s="38" t="s">
        <v>708</v>
      </c>
      <c r="S694" s="23">
        <f>VLOOKUP(A694,Hoja1!A:D,4,0)</f>
        <v>4</v>
      </c>
      <c r="T694" s="26" t="str">
        <f>VLOOKUP(M694,[1]TIPOLOGIAS!$A:$F,4,0)</f>
        <v>BUCARAMANGA</v>
      </c>
      <c r="U694" s="26" t="str">
        <f>VLOOKUP(T694,'BASE TARIFA 2025'!C:D,2,0)</f>
        <v>WOMPI SANTANDERES</v>
      </c>
      <c r="V694" s="27">
        <f>VLOOKUP(T694,'BASE TARIFA 2025'!C:F,3,0)</f>
        <v>37313</v>
      </c>
      <c r="W694" s="27">
        <f t="shared" si="10"/>
        <v>149252</v>
      </c>
    </row>
    <row r="695" spans="1:23" s="37" customFormat="1" ht="14.4" x14ac:dyDescent="0.3">
      <c r="A695" s="37">
        <v>74776</v>
      </c>
      <c r="B695" s="37" t="s">
        <v>4325</v>
      </c>
      <c r="C695" s="37">
        <v>901356173</v>
      </c>
      <c r="D695" s="37" t="s">
        <v>3219</v>
      </c>
      <c r="E695" s="37" t="s">
        <v>3220</v>
      </c>
      <c r="F695" s="37" t="s">
        <v>3221</v>
      </c>
      <c r="G695" s="37" t="s">
        <v>3222</v>
      </c>
      <c r="H695" s="37" t="s">
        <v>3223</v>
      </c>
      <c r="I695" s="37" t="s">
        <v>3224</v>
      </c>
      <c r="J695" s="37" t="s">
        <v>92</v>
      </c>
      <c r="K695" s="37" t="s">
        <v>314</v>
      </c>
      <c r="L695" s="37" t="s">
        <v>314</v>
      </c>
      <c r="M695" s="37">
        <v>68162</v>
      </c>
      <c r="N695" s="38" t="s">
        <v>708</v>
      </c>
      <c r="S695" s="23">
        <f>VLOOKUP(A695,Hoja1!A:D,4,0)</f>
        <v>1</v>
      </c>
      <c r="T695" s="26" t="str">
        <f>VLOOKUP(M695,[1]TIPOLOGIAS!$A:$F,4,0)</f>
        <v>BUCARAMANGA</v>
      </c>
      <c r="U695" s="26" t="str">
        <f>VLOOKUP(T695,'BASE TARIFA 2025'!C:D,2,0)</f>
        <v>WOMPI SANTANDERES</v>
      </c>
      <c r="V695" s="27">
        <f>VLOOKUP(T695,'BASE TARIFA 2025'!C:F,3,0)</f>
        <v>37313</v>
      </c>
      <c r="W695" s="27">
        <f t="shared" si="10"/>
        <v>37313</v>
      </c>
    </row>
    <row r="696" spans="1:23" s="37" customFormat="1" ht="14.4" x14ac:dyDescent="0.3">
      <c r="A696" s="37">
        <v>45669</v>
      </c>
      <c r="B696" s="37" t="s">
        <v>4326</v>
      </c>
      <c r="C696" s="37">
        <v>901295781</v>
      </c>
      <c r="D696" s="37" t="s">
        <v>3225</v>
      </c>
      <c r="E696" s="37" t="s">
        <v>3225</v>
      </c>
      <c r="F696" s="37" t="s">
        <v>3225</v>
      </c>
      <c r="G696" s="37" t="s">
        <v>3226</v>
      </c>
      <c r="H696" s="37" t="s">
        <v>3227</v>
      </c>
      <c r="I696" s="37" t="s">
        <v>3228</v>
      </c>
      <c r="J696" s="37" t="s">
        <v>92</v>
      </c>
      <c r="K696" s="37" t="s">
        <v>314</v>
      </c>
      <c r="L696" s="37" t="s">
        <v>314</v>
      </c>
      <c r="M696" s="37">
        <v>68162</v>
      </c>
      <c r="N696" s="38" t="s">
        <v>708</v>
      </c>
      <c r="S696" s="23">
        <f>VLOOKUP(A696,Hoja1!A:D,4,0)</f>
        <v>1</v>
      </c>
      <c r="T696" s="26" t="str">
        <f>VLOOKUP(M696,[1]TIPOLOGIAS!$A:$F,4,0)</f>
        <v>BUCARAMANGA</v>
      </c>
      <c r="U696" s="26" t="str">
        <f>VLOOKUP(T696,'BASE TARIFA 2025'!C:D,2,0)</f>
        <v>WOMPI SANTANDERES</v>
      </c>
      <c r="V696" s="27">
        <f>VLOOKUP(T696,'BASE TARIFA 2025'!C:F,3,0)</f>
        <v>37313</v>
      </c>
      <c r="W696" s="27">
        <f t="shared" si="10"/>
        <v>37313</v>
      </c>
    </row>
    <row r="697" spans="1:23" s="37" customFormat="1" ht="14.4" x14ac:dyDescent="0.3">
      <c r="A697" s="37">
        <v>45668</v>
      </c>
      <c r="B697" s="37" t="s">
        <v>4327</v>
      </c>
      <c r="C697" s="37">
        <v>901295781</v>
      </c>
      <c r="D697" s="37" t="s">
        <v>3229</v>
      </c>
      <c r="E697" s="37" t="s">
        <v>3229</v>
      </c>
      <c r="F697" s="37" t="s">
        <v>3230</v>
      </c>
      <c r="G697" s="37" t="s">
        <v>3231</v>
      </c>
      <c r="H697" s="37" t="s">
        <v>3232</v>
      </c>
      <c r="I697" s="37" t="s">
        <v>3233</v>
      </c>
      <c r="J697" s="37" t="s">
        <v>92</v>
      </c>
      <c r="K697" s="37" t="s">
        <v>314</v>
      </c>
      <c r="L697" s="37" t="s">
        <v>314</v>
      </c>
      <c r="M697" s="37">
        <v>68162</v>
      </c>
      <c r="N697" s="38" t="s">
        <v>708</v>
      </c>
      <c r="S697" s="23">
        <f>VLOOKUP(A697,Hoja1!A:D,4,0)</f>
        <v>1</v>
      </c>
      <c r="T697" s="26" t="str">
        <f>VLOOKUP(M697,[1]TIPOLOGIAS!$A:$F,4,0)</f>
        <v>BUCARAMANGA</v>
      </c>
      <c r="U697" s="26" t="str">
        <f>VLOOKUP(T697,'BASE TARIFA 2025'!C:D,2,0)</f>
        <v>WOMPI SANTANDERES</v>
      </c>
      <c r="V697" s="27">
        <f>VLOOKUP(T697,'BASE TARIFA 2025'!C:F,3,0)</f>
        <v>37313</v>
      </c>
      <c r="W697" s="27">
        <f t="shared" si="10"/>
        <v>37313</v>
      </c>
    </row>
    <row r="698" spans="1:23" s="37" customFormat="1" ht="14.4" x14ac:dyDescent="0.3">
      <c r="A698" s="37">
        <v>13140</v>
      </c>
      <c r="B698" s="37" t="s">
        <v>3625</v>
      </c>
      <c r="C698" s="37">
        <v>890201571</v>
      </c>
      <c r="D698" s="37" t="s">
        <v>3234</v>
      </c>
      <c r="E698" s="37" t="s">
        <v>3235</v>
      </c>
      <c r="F698" s="37" t="s">
        <v>3235</v>
      </c>
      <c r="G698" s="37" t="s">
        <v>3236</v>
      </c>
      <c r="H698" s="37" t="s">
        <v>3237</v>
      </c>
      <c r="I698" s="37" t="s">
        <v>3238</v>
      </c>
      <c r="J698" s="37" t="s">
        <v>101</v>
      </c>
      <c r="K698" s="37" t="s">
        <v>3239</v>
      </c>
      <c r="L698" s="37" t="s">
        <v>3239</v>
      </c>
      <c r="M698" s="37">
        <v>73148</v>
      </c>
      <c r="N698" s="38" t="s">
        <v>321</v>
      </c>
      <c r="S698" s="23">
        <f>VLOOKUP(A698,Hoja1!A:D,4,0)</f>
        <v>2</v>
      </c>
      <c r="T698" s="26" t="str">
        <f>VLOOKUP(M698,[1]TIPOLOGIAS!$A:$F,4,0)</f>
        <v>BOGOTA</v>
      </c>
      <c r="U698" s="26" t="str">
        <f>VLOOKUP(T698,'BASE TARIFA 2025'!C:D,2,0)</f>
        <v>WOMPI CENTRO</v>
      </c>
      <c r="V698" s="27">
        <f>VLOOKUP(T698,'BASE TARIFA 2025'!C:F,3,0)</f>
        <v>37313</v>
      </c>
      <c r="W698" s="27">
        <f t="shared" si="10"/>
        <v>74626</v>
      </c>
    </row>
    <row r="699" spans="1:23" s="37" customFormat="1" ht="14.4" x14ac:dyDescent="0.3">
      <c r="A699" s="37">
        <v>17084</v>
      </c>
      <c r="B699" s="37" t="s">
        <v>3628</v>
      </c>
      <c r="C699" s="37">
        <v>63325940</v>
      </c>
      <c r="D699" s="37" t="s">
        <v>3240</v>
      </c>
      <c r="E699" s="37" t="s">
        <v>3241</v>
      </c>
      <c r="F699" s="37" t="s">
        <v>3242</v>
      </c>
      <c r="G699" s="37" t="s">
        <v>3243</v>
      </c>
      <c r="H699" s="37" t="s">
        <v>3244</v>
      </c>
      <c r="I699" s="37" t="s">
        <v>3245</v>
      </c>
      <c r="J699" s="37" t="s">
        <v>101</v>
      </c>
      <c r="K699" s="37" t="s">
        <v>3239</v>
      </c>
      <c r="L699" s="37" t="s">
        <v>3239</v>
      </c>
      <c r="M699" s="37">
        <v>73148</v>
      </c>
      <c r="N699" s="38" t="s">
        <v>321</v>
      </c>
      <c r="S699" s="23">
        <f>VLOOKUP(A699,Hoja1!A:D,4,0)</f>
        <v>2</v>
      </c>
      <c r="T699" s="26" t="str">
        <f>VLOOKUP(M699,[1]TIPOLOGIAS!$A:$F,4,0)</f>
        <v>BOGOTA</v>
      </c>
      <c r="U699" s="26" t="str">
        <f>VLOOKUP(T699,'BASE TARIFA 2025'!C:D,2,0)</f>
        <v>WOMPI CENTRO</v>
      </c>
      <c r="V699" s="27">
        <f>VLOOKUP(T699,'BASE TARIFA 2025'!C:F,3,0)</f>
        <v>37313</v>
      </c>
      <c r="W699" s="27">
        <f t="shared" si="10"/>
        <v>74626</v>
      </c>
    </row>
    <row r="700" spans="1:23" s="37" customFormat="1" ht="14.4" x14ac:dyDescent="0.3">
      <c r="A700" s="37">
        <v>14461</v>
      </c>
      <c r="B700" s="37" t="s">
        <v>3627</v>
      </c>
      <c r="C700" s="37">
        <v>91264647</v>
      </c>
      <c r="D700" s="37" t="s">
        <v>3246</v>
      </c>
      <c r="E700" s="37" t="s">
        <v>3247</v>
      </c>
      <c r="F700" s="37" t="s">
        <v>3247</v>
      </c>
      <c r="G700" s="37" t="s">
        <v>3248</v>
      </c>
      <c r="H700" s="37" t="s">
        <v>3249</v>
      </c>
      <c r="I700" s="37" t="s">
        <v>3250</v>
      </c>
      <c r="J700" s="37" t="s">
        <v>101</v>
      </c>
      <c r="K700" s="37" t="s">
        <v>159</v>
      </c>
      <c r="L700" s="37" t="s">
        <v>159</v>
      </c>
      <c r="M700" s="37">
        <v>73411</v>
      </c>
      <c r="N700" s="38" t="s">
        <v>320</v>
      </c>
      <c r="S700" s="23">
        <f>VLOOKUP(A700,Hoja1!A:D,4,0)</f>
        <v>3</v>
      </c>
      <c r="T700" s="26" t="str">
        <f>VLOOKUP(M700,[1]TIPOLOGIAS!$A:$F,4,0)</f>
        <v>IBAGUE</v>
      </c>
      <c r="U700" s="26" t="str">
        <f>VLOOKUP(T700,'BASE TARIFA 2025'!C:D,2,0)</f>
        <v>WOMPI ORIENTE</v>
      </c>
      <c r="V700" s="27">
        <f>VLOOKUP(T700,'BASE TARIFA 2025'!C:F,3,0)</f>
        <v>49671.7</v>
      </c>
      <c r="W700" s="27">
        <f t="shared" si="10"/>
        <v>149015.09999999998</v>
      </c>
    </row>
    <row r="701" spans="1:23" s="37" customFormat="1" ht="14.4" x14ac:dyDescent="0.3">
      <c r="A701" s="37">
        <v>78525</v>
      </c>
      <c r="B701" s="37" t="s">
        <v>4328</v>
      </c>
      <c r="C701" s="37">
        <v>1095820348</v>
      </c>
      <c r="D701" s="37" t="s">
        <v>3251</v>
      </c>
      <c r="E701" s="37" t="s">
        <v>3252</v>
      </c>
      <c r="F701" s="37" t="s">
        <v>3252</v>
      </c>
      <c r="G701" s="37" t="s">
        <v>3253</v>
      </c>
      <c r="H701" s="37" t="s">
        <v>3254</v>
      </c>
      <c r="I701" s="37" t="s">
        <v>3255</v>
      </c>
      <c r="J701" s="37" t="s">
        <v>101</v>
      </c>
      <c r="K701" s="37" t="s">
        <v>159</v>
      </c>
      <c r="L701" s="37" t="s">
        <v>159</v>
      </c>
      <c r="M701" s="37">
        <v>73411</v>
      </c>
      <c r="N701" s="38" t="s">
        <v>320</v>
      </c>
      <c r="S701" s="23">
        <f>VLOOKUP(A701,Hoja1!A:D,4,0)</f>
        <v>1</v>
      </c>
      <c r="T701" s="26" t="str">
        <f>VLOOKUP(M701,[1]TIPOLOGIAS!$A:$F,4,0)</f>
        <v>IBAGUE</v>
      </c>
      <c r="U701" s="26" t="str">
        <f>VLOOKUP(T701,'BASE TARIFA 2025'!C:D,2,0)</f>
        <v>WOMPI ORIENTE</v>
      </c>
      <c r="V701" s="27">
        <f>VLOOKUP(T701,'BASE TARIFA 2025'!C:F,3,0)</f>
        <v>49671.7</v>
      </c>
      <c r="W701" s="27">
        <f t="shared" si="10"/>
        <v>49671.7</v>
      </c>
    </row>
    <row r="702" spans="1:23" s="37" customFormat="1" ht="14.4" x14ac:dyDescent="0.3">
      <c r="A702" s="37">
        <v>74166</v>
      </c>
      <c r="B702" s="37" t="s">
        <v>4329</v>
      </c>
      <c r="C702" s="37">
        <v>1095828132</v>
      </c>
      <c r="D702" s="37" t="s">
        <v>3256</v>
      </c>
      <c r="E702" s="37" t="s">
        <v>3257</v>
      </c>
      <c r="F702" s="37" t="s">
        <v>3257</v>
      </c>
      <c r="G702" s="37" t="s">
        <v>3258</v>
      </c>
      <c r="H702" s="37" t="s">
        <v>3259</v>
      </c>
      <c r="I702" s="37" t="s">
        <v>3260</v>
      </c>
      <c r="J702" s="37" t="s">
        <v>101</v>
      </c>
      <c r="K702" s="37" t="s">
        <v>159</v>
      </c>
      <c r="L702" s="37" t="s">
        <v>159</v>
      </c>
      <c r="M702" s="37">
        <v>73411</v>
      </c>
      <c r="N702" s="38" t="s">
        <v>320</v>
      </c>
      <c r="S702" s="23">
        <f>VLOOKUP(A702,Hoja1!A:D,4,0)</f>
        <v>1</v>
      </c>
      <c r="T702" s="26" t="str">
        <f>VLOOKUP(M702,[1]TIPOLOGIAS!$A:$F,4,0)</f>
        <v>IBAGUE</v>
      </c>
      <c r="U702" s="26" t="str">
        <f>VLOOKUP(T702,'BASE TARIFA 2025'!C:D,2,0)</f>
        <v>WOMPI ORIENTE</v>
      </c>
      <c r="V702" s="27">
        <f>VLOOKUP(T702,'BASE TARIFA 2025'!C:F,3,0)</f>
        <v>49671.7</v>
      </c>
      <c r="W702" s="27">
        <f t="shared" si="10"/>
        <v>49671.7</v>
      </c>
    </row>
    <row r="703" spans="1:23" s="37" customFormat="1" ht="14.4" x14ac:dyDescent="0.3">
      <c r="A703" s="37">
        <v>74054</v>
      </c>
      <c r="B703" s="37" t="s">
        <v>3655</v>
      </c>
      <c r="C703" s="37">
        <v>93400268</v>
      </c>
      <c r="D703" s="37" t="s">
        <v>67</v>
      </c>
      <c r="E703" s="37" t="s">
        <v>3261</v>
      </c>
      <c r="F703" s="37" t="s">
        <v>3261</v>
      </c>
      <c r="G703" s="37" t="s">
        <v>3262</v>
      </c>
      <c r="H703" s="37" t="s">
        <v>3263</v>
      </c>
      <c r="I703" s="37" t="s">
        <v>3264</v>
      </c>
      <c r="J703" s="37" t="s">
        <v>101</v>
      </c>
      <c r="K703" s="37" t="s">
        <v>159</v>
      </c>
      <c r="L703" s="37" t="s">
        <v>159</v>
      </c>
      <c r="M703" s="37">
        <v>73411</v>
      </c>
      <c r="N703" s="38" t="s">
        <v>320</v>
      </c>
      <c r="S703" s="23">
        <f>VLOOKUP(A703,Hoja1!A:D,4,0)</f>
        <v>2</v>
      </c>
      <c r="T703" s="26" t="str">
        <f>VLOOKUP(M703,[1]TIPOLOGIAS!$A:$F,4,0)</f>
        <v>IBAGUE</v>
      </c>
      <c r="U703" s="26" t="str">
        <f>VLOOKUP(T703,'BASE TARIFA 2025'!C:D,2,0)</f>
        <v>WOMPI ORIENTE</v>
      </c>
      <c r="V703" s="27">
        <f>VLOOKUP(T703,'BASE TARIFA 2025'!C:F,3,0)</f>
        <v>49671.7</v>
      </c>
      <c r="W703" s="27">
        <f t="shared" si="10"/>
        <v>99343.4</v>
      </c>
    </row>
    <row r="704" spans="1:23" s="37" customFormat="1" ht="14.4" x14ac:dyDescent="0.3">
      <c r="A704" s="37">
        <v>67350</v>
      </c>
      <c r="B704" s="37" t="s">
        <v>4330</v>
      </c>
      <c r="C704" s="37">
        <v>1093779674</v>
      </c>
      <c r="D704" s="37" t="s">
        <v>67</v>
      </c>
      <c r="E704" s="37" t="s">
        <v>3265</v>
      </c>
      <c r="F704" s="37" t="s">
        <v>3265</v>
      </c>
      <c r="G704" s="37" t="s">
        <v>3266</v>
      </c>
      <c r="H704" s="37" t="s">
        <v>3267</v>
      </c>
      <c r="I704" s="37" t="s">
        <v>3268</v>
      </c>
      <c r="J704" s="37" t="s">
        <v>101</v>
      </c>
      <c r="K704" s="37" t="s">
        <v>159</v>
      </c>
      <c r="L704" s="37" t="s">
        <v>159</v>
      </c>
      <c r="M704" s="37">
        <v>73411</v>
      </c>
      <c r="N704" s="38" t="s">
        <v>480</v>
      </c>
      <c r="S704" s="23">
        <f>VLOOKUP(A704,Hoja1!A:D,4,0)</f>
        <v>1</v>
      </c>
      <c r="T704" s="26" t="str">
        <f>VLOOKUP(M704,[1]TIPOLOGIAS!$A:$F,4,0)</f>
        <v>IBAGUE</v>
      </c>
      <c r="U704" s="26" t="str">
        <f>VLOOKUP(T704,'BASE TARIFA 2025'!C:D,2,0)</f>
        <v>WOMPI ORIENTE</v>
      </c>
      <c r="V704" s="27">
        <f>VLOOKUP(T704,'BASE TARIFA 2025'!C:F,3,0)</f>
        <v>49671.7</v>
      </c>
      <c r="W704" s="27">
        <f t="shared" si="10"/>
        <v>49671.7</v>
      </c>
    </row>
    <row r="705" spans="1:23" s="37" customFormat="1" ht="14.4" x14ac:dyDescent="0.3">
      <c r="A705" s="37">
        <v>45683</v>
      </c>
      <c r="B705" s="37" t="s">
        <v>4331</v>
      </c>
      <c r="C705" s="37">
        <v>63451250</v>
      </c>
      <c r="D705" s="37" t="s">
        <v>3269</v>
      </c>
      <c r="E705" s="37" t="s">
        <v>3270</v>
      </c>
      <c r="F705" s="37" t="s">
        <v>3270</v>
      </c>
      <c r="G705" s="37" t="s">
        <v>3271</v>
      </c>
      <c r="H705" s="37" t="s">
        <v>3272</v>
      </c>
      <c r="I705" s="37" t="s">
        <v>3273</v>
      </c>
      <c r="J705" s="37" t="s">
        <v>101</v>
      </c>
      <c r="K705" s="37" t="s">
        <v>159</v>
      </c>
      <c r="L705" s="37" t="s">
        <v>159</v>
      </c>
      <c r="M705" s="37">
        <v>73411</v>
      </c>
      <c r="N705" s="38" t="s">
        <v>320</v>
      </c>
      <c r="S705" s="23">
        <f>VLOOKUP(A705,Hoja1!A:D,4,0)</f>
        <v>3</v>
      </c>
      <c r="T705" s="26" t="str">
        <f>VLOOKUP(M705,[1]TIPOLOGIAS!$A:$F,4,0)</f>
        <v>IBAGUE</v>
      </c>
      <c r="U705" s="26" t="str">
        <f>VLOOKUP(T705,'BASE TARIFA 2025'!C:D,2,0)</f>
        <v>WOMPI ORIENTE</v>
      </c>
      <c r="V705" s="27">
        <f>VLOOKUP(T705,'BASE TARIFA 2025'!C:F,3,0)</f>
        <v>49671.7</v>
      </c>
      <c r="W705" s="27">
        <f t="shared" si="10"/>
        <v>149015.09999999998</v>
      </c>
    </row>
    <row r="706" spans="1:23" s="37" customFormat="1" ht="14.4" x14ac:dyDescent="0.3">
      <c r="A706" s="37">
        <v>36258</v>
      </c>
      <c r="B706" s="37" t="s">
        <v>4332</v>
      </c>
      <c r="C706" s="37">
        <v>1093779674</v>
      </c>
      <c r="D706" s="37" t="s">
        <v>3274</v>
      </c>
      <c r="E706" s="37" t="s">
        <v>3274</v>
      </c>
      <c r="F706" s="37" t="s">
        <v>3274</v>
      </c>
      <c r="G706" s="37" t="s">
        <v>3275</v>
      </c>
      <c r="H706" s="37" t="s">
        <v>3276</v>
      </c>
      <c r="I706" s="37" t="s">
        <v>3277</v>
      </c>
      <c r="J706" s="37" t="s">
        <v>101</v>
      </c>
      <c r="K706" s="37" t="s">
        <v>3278</v>
      </c>
      <c r="L706" s="37" t="s">
        <v>3278</v>
      </c>
      <c r="M706" s="37">
        <v>73449</v>
      </c>
      <c r="N706" s="38" t="s">
        <v>841</v>
      </c>
      <c r="S706" s="23">
        <f>VLOOKUP(A706,Hoja1!A:D,4,0)</f>
        <v>1</v>
      </c>
      <c r="T706" s="26" t="str">
        <f>VLOOKUP(M706,[1]TIPOLOGIAS!$A:$F,4,0)</f>
        <v>BOGOTA</v>
      </c>
      <c r="U706" s="26" t="str">
        <f>VLOOKUP(T706,'BASE TARIFA 2025'!C:D,2,0)</f>
        <v>WOMPI CENTRO</v>
      </c>
      <c r="V706" s="27">
        <f>VLOOKUP(T706,'BASE TARIFA 2025'!C:F,3,0)</f>
        <v>37313</v>
      </c>
      <c r="W706" s="27">
        <f t="shared" ref="W706:W769" si="11">V706*S706</f>
        <v>37313</v>
      </c>
    </row>
    <row r="707" spans="1:23" s="37" customFormat="1" ht="14.4" x14ac:dyDescent="0.3">
      <c r="A707" s="37">
        <v>39812</v>
      </c>
      <c r="B707" s="37" t="s">
        <v>4333</v>
      </c>
      <c r="C707" s="37">
        <v>79119751</v>
      </c>
      <c r="D707" s="37" t="s">
        <v>3279</v>
      </c>
      <c r="E707" s="37" t="s">
        <v>67</v>
      </c>
      <c r="F707" s="37" t="s">
        <v>3279</v>
      </c>
      <c r="G707" s="37" t="s">
        <v>3280</v>
      </c>
      <c r="H707" s="37" t="s">
        <v>3281</v>
      </c>
      <c r="I707" s="37" t="s">
        <v>3282</v>
      </c>
      <c r="J707" s="37" t="s">
        <v>101</v>
      </c>
      <c r="K707" s="37" t="s">
        <v>3278</v>
      </c>
      <c r="L707" s="37" t="s">
        <v>3278</v>
      </c>
      <c r="M707" s="37">
        <v>73449</v>
      </c>
      <c r="N707" s="38" t="s">
        <v>841</v>
      </c>
      <c r="S707" s="23">
        <f>VLOOKUP(A707,Hoja1!A:D,4,0)</f>
        <v>3</v>
      </c>
      <c r="T707" s="26" t="str">
        <f>VLOOKUP(M707,[1]TIPOLOGIAS!$A:$F,4,0)</f>
        <v>BOGOTA</v>
      </c>
      <c r="U707" s="26" t="str">
        <f>VLOOKUP(T707,'BASE TARIFA 2025'!C:D,2,0)</f>
        <v>WOMPI CENTRO</v>
      </c>
      <c r="V707" s="27">
        <f>VLOOKUP(T707,'BASE TARIFA 2025'!C:F,3,0)</f>
        <v>37313</v>
      </c>
      <c r="W707" s="27">
        <f t="shared" si="11"/>
        <v>111939</v>
      </c>
    </row>
    <row r="708" spans="1:23" s="37" customFormat="1" ht="14.4" x14ac:dyDescent="0.3">
      <c r="A708" s="37">
        <v>60871</v>
      </c>
      <c r="B708" s="37" t="s">
        <v>4334</v>
      </c>
      <c r="C708" s="37">
        <v>52759529</v>
      </c>
      <c r="D708" s="37" t="s">
        <v>3283</v>
      </c>
      <c r="E708" s="37" t="s">
        <v>3283</v>
      </c>
      <c r="F708" s="37" t="s">
        <v>3283</v>
      </c>
      <c r="G708" s="37" t="s">
        <v>3284</v>
      </c>
      <c r="H708" s="37" t="s">
        <v>3285</v>
      </c>
      <c r="I708" s="37" t="s">
        <v>3286</v>
      </c>
      <c r="J708" s="37" t="s">
        <v>101</v>
      </c>
      <c r="K708" s="37" t="s">
        <v>3278</v>
      </c>
      <c r="L708" s="37" t="s">
        <v>3278</v>
      </c>
      <c r="M708" s="37">
        <v>73449</v>
      </c>
      <c r="N708" s="38" t="s">
        <v>841</v>
      </c>
      <c r="S708" s="23">
        <f>VLOOKUP(A708,Hoja1!A:D,4,0)</f>
        <v>2</v>
      </c>
      <c r="T708" s="26" t="str">
        <f>VLOOKUP(M708,[1]TIPOLOGIAS!$A:$F,4,0)</f>
        <v>BOGOTA</v>
      </c>
      <c r="U708" s="26" t="str">
        <f>VLOOKUP(T708,'BASE TARIFA 2025'!C:D,2,0)</f>
        <v>WOMPI CENTRO</v>
      </c>
      <c r="V708" s="27">
        <f>VLOOKUP(T708,'BASE TARIFA 2025'!C:F,3,0)</f>
        <v>37313</v>
      </c>
      <c r="W708" s="27">
        <f t="shared" si="11"/>
        <v>74626</v>
      </c>
    </row>
    <row r="709" spans="1:23" s="37" customFormat="1" ht="14.4" x14ac:dyDescent="0.3">
      <c r="A709" s="37">
        <v>60881</v>
      </c>
      <c r="B709" s="37" t="s">
        <v>4335</v>
      </c>
      <c r="C709" s="37">
        <v>1092385991</v>
      </c>
      <c r="D709" s="37" t="s">
        <v>3287</v>
      </c>
      <c r="E709" s="37" t="s">
        <v>67</v>
      </c>
      <c r="F709" s="37" t="s">
        <v>3287</v>
      </c>
      <c r="G709" s="37" t="s">
        <v>3288</v>
      </c>
      <c r="H709" s="37" t="s">
        <v>3289</v>
      </c>
      <c r="I709" s="37" t="s">
        <v>3290</v>
      </c>
      <c r="J709" s="37" t="s">
        <v>101</v>
      </c>
      <c r="K709" s="37" t="s">
        <v>3278</v>
      </c>
      <c r="L709" s="37" t="s">
        <v>3278</v>
      </c>
      <c r="M709" s="37">
        <v>73449</v>
      </c>
      <c r="N709" s="38" t="s">
        <v>841</v>
      </c>
      <c r="S709" s="23">
        <f>VLOOKUP(A709,Hoja1!A:D,4,0)</f>
        <v>2</v>
      </c>
      <c r="T709" s="26" t="str">
        <f>VLOOKUP(M709,[1]TIPOLOGIAS!$A:$F,4,0)</f>
        <v>BOGOTA</v>
      </c>
      <c r="U709" s="26" t="str">
        <f>VLOOKUP(T709,'BASE TARIFA 2025'!C:D,2,0)</f>
        <v>WOMPI CENTRO</v>
      </c>
      <c r="V709" s="27">
        <f>VLOOKUP(T709,'BASE TARIFA 2025'!C:F,3,0)</f>
        <v>37313</v>
      </c>
      <c r="W709" s="27">
        <f t="shared" si="11"/>
        <v>74626</v>
      </c>
    </row>
    <row r="710" spans="1:23" s="37" customFormat="1" ht="14.4" x14ac:dyDescent="0.3">
      <c r="A710" s="37">
        <v>60126</v>
      </c>
      <c r="B710" s="37" t="s">
        <v>4336</v>
      </c>
      <c r="C710" s="37">
        <v>38943721</v>
      </c>
      <c r="D710" s="37" t="s">
        <v>3291</v>
      </c>
      <c r="E710" s="37" t="s">
        <v>3291</v>
      </c>
      <c r="F710" s="37" t="s">
        <v>3291</v>
      </c>
      <c r="G710" s="37" t="s">
        <v>3292</v>
      </c>
      <c r="H710" s="37" t="s">
        <v>3293</v>
      </c>
      <c r="I710" s="37" t="s">
        <v>3294</v>
      </c>
      <c r="J710" s="37" t="s">
        <v>101</v>
      </c>
      <c r="K710" s="37" t="s">
        <v>3278</v>
      </c>
      <c r="L710" s="37" t="s">
        <v>3278</v>
      </c>
      <c r="M710" s="37">
        <v>73449</v>
      </c>
      <c r="N710" s="38" t="s">
        <v>841</v>
      </c>
      <c r="S710" s="23">
        <f>VLOOKUP(A710,Hoja1!A:D,4,0)</f>
        <v>2</v>
      </c>
      <c r="T710" s="26" t="str">
        <f>VLOOKUP(M710,[1]TIPOLOGIAS!$A:$F,4,0)</f>
        <v>BOGOTA</v>
      </c>
      <c r="U710" s="26" t="str">
        <f>VLOOKUP(T710,'BASE TARIFA 2025'!C:D,2,0)</f>
        <v>WOMPI CENTRO</v>
      </c>
      <c r="V710" s="27">
        <f>VLOOKUP(T710,'BASE TARIFA 2025'!C:F,3,0)</f>
        <v>37313</v>
      </c>
      <c r="W710" s="27">
        <f t="shared" si="11"/>
        <v>74626</v>
      </c>
    </row>
    <row r="711" spans="1:23" s="37" customFormat="1" ht="14.4" x14ac:dyDescent="0.3">
      <c r="A711" s="37">
        <v>60148</v>
      </c>
      <c r="B711" s="37" t="s">
        <v>4337</v>
      </c>
      <c r="C711" s="37">
        <v>80894393</v>
      </c>
      <c r="D711" s="37" t="s">
        <v>70</v>
      </c>
      <c r="E711" s="37" t="s">
        <v>3295</v>
      </c>
      <c r="F711" s="37" t="s">
        <v>3295</v>
      </c>
      <c r="G711" s="37" t="s">
        <v>3296</v>
      </c>
      <c r="H711" s="37" t="s">
        <v>3297</v>
      </c>
      <c r="I711" s="37" t="s">
        <v>3298</v>
      </c>
      <c r="J711" s="37" t="s">
        <v>101</v>
      </c>
      <c r="K711" s="37" t="s">
        <v>3299</v>
      </c>
      <c r="L711" s="37" t="s">
        <v>3299</v>
      </c>
      <c r="M711" s="37">
        <v>73547</v>
      </c>
      <c r="N711" s="38" t="s">
        <v>323</v>
      </c>
      <c r="S711" s="23">
        <f>VLOOKUP(A711,Hoja1!A:D,4,0)</f>
        <v>4</v>
      </c>
      <c r="T711" s="26" t="str">
        <f>VLOOKUP(M711,[1]TIPOLOGIAS!$A:$F,4,0)</f>
        <v>IBAGUE</v>
      </c>
      <c r="U711" s="26" t="str">
        <f>VLOOKUP(T711,'BASE TARIFA 2025'!C:D,2,0)</f>
        <v>WOMPI ORIENTE</v>
      </c>
      <c r="V711" s="27">
        <f>VLOOKUP(T711,'BASE TARIFA 2025'!C:F,3,0)</f>
        <v>49671.7</v>
      </c>
      <c r="W711" s="27">
        <f t="shared" si="11"/>
        <v>198686.8</v>
      </c>
    </row>
    <row r="712" spans="1:23" s="37" customFormat="1" ht="14.4" x14ac:dyDescent="0.3">
      <c r="A712" s="37">
        <v>60507</v>
      </c>
      <c r="B712" s="37" t="s">
        <v>4338</v>
      </c>
      <c r="C712" s="37">
        <v>1026259444</v>
      </c>
      <c r="D712" s="37" t="s">
        <v>3300</v>
      </c>
      <c r="E712" s="37" t="s">
        <v>3301</v>
      </c>
      <c r="F712" s="37" t="s">
        <v>3301</v>
      </c>
      <c r="G712" s="37" t="s">
        <v>3302</v>
      </c>
      <c r="H712" s="37" t="s">
        <v>3303</v>
      </c>
      <c r="I712" s="37" t="s">
        <v>3304</v>
      </c>
      <c r="J712" s="37" t="s">
        <v>108</v>
      </c>
      <c r="K712" s="37" t="s">
        <v>211</v>
      </c>
      <c r="L712" s="37" t="s">
        <v>211</v>
      </c>
      <c r="M712" s="37">
        <v>76306</v>
      </c>
      <c r="N712" s="38" t="s">
        <v>328</v>
      </c>
      <c r="S712" s="23">
        <f>VLOOKUP(A712,Hoja1!A:D,4,0)</f>
        <v>2</v>
      </c>
      <c r="T712" s="26" t="str">
        <f>VLOOKUP(M712,[1]TIPOLOGIAS!$A:$F,4,0)</f>
        <v>CALI</v>
      </c>
      <c r="U712" s="26" t="str">
        <f>VLOOKUP(T712,'BASE TARIFA 2025'!C:D,2,0)</f>
        <v>WOMPI SUROCCIDENTE</v>
      </c>
      <c r="V712" s="27">
        <f>VLOOKUP(T712,'BASE TARIFA 2025'!C:F,3,0)</f>
        <v>37313</v>
      </c>
      <c r="W712" s="27">
        <f t="shared" si="11"/>
        <v>74626</v>
      </c>
    </row>
    <row r="713" spans="1:23" s="37" customFormat="1" ht="14.4" x14ac:dyDescent="0.3">
      <c r="A713" s="37">
        <v>60681</v>
      </c>
      <c r="B713" s="37" t="s">
        <v>4339</v>
      </c>
      <c r="C713" s="37">
        <v>900242173</v>
      </c>
      <c r="D713" s="37" t="s">
        <v>3305</v>
      </c>
      <c r="E713" s="37" t="s">
        <v>3305</v>
      </c>
      <c r="F713" s="37" t="s">
        <v>3306</v>
      </c>
      <c r="G713" s="37" t="s">
        <v>3307</v>
      </c>
      <c r="H713" s="37" t="s">
        <v>3308</v>
      </c>
      <c r="I713" s="37" t="s">
        <v>3309</v>
      </c>
      <c r="J713" s="37" t="s">
        <v>108</v>
      </c>
      <c r="K713" s="37" t="s">
        <v>211</v>
      </c>
      <c r="L713" s="37" t="s">
        <v>211</v>
      </c>
      <c r="M713" s="37">
        <v>76306</v>
      </c>
      <c r="N713" s="38" t="s">
        <v>328</v>
      </c>
      <c r="S713" s="23">
        <f>VLOOKUP(A713,Hoja1!A:D,4,0)</f>
        <v>2</v>
      </c>
      <c r="T713" s="26" t="str">
        <f>VLOOKUP(M713,[1]TIPOLOGIAS!$A:$F,4,0)</f>
        <v>CALI</v>
      </c>
      <c r="U713" s="26" t="str">
        <f>VLOOKUP(T713,'BASE TARIFA 2025'!C:D,2,0)</f>
        <v>WOMPI SUROCCIDENTE</v>
      </c>
      <c r="V713" s="27">
        <f>VLOOKUP(T713,'BASE TARIFA 2025'!C:F,3,0)</f>
        <v>37313</v>
      </c>
      <c r="W713" s="27">
        <f t="shared" si="11"/>
        <v>74626</v>
      </c>
    </row>
    <row r="714" spans="1:23" s="37" customFormat="1" ht="14.4" x14ac:dyDescent="0.3">
      <c r="A714" s="37">
        <v>58951</v>
      </c>
      <c r="B714" s="37" t="s">
        <v>4340</v>
      </c>
      <c r="C714" s="37">
        <v>1143871872</v>
      </c>
      <c r="D714" s="37" t="s">
        <v>3310</v>
      </c>
      <c r="E714" s="37" t="s">
        <v>3310</v>
      </c>
      <c r="F714" s="37" t="s">
        <v>3310</v>
      </c>
      <c r="G714" s="37" t="s">
        <v>3311</v>
      </c>
      <c r="H714" s="37" t="s">
        <v>3312</v>
      </c>
      <c r="I714" s="37" t="s">
        <v>3313</v>
      </c>
      <c r="J714" s="37" t="s">
        <v>65</v>
      </c>
      <c r="K714" s="37" t="s">
        <v>181</v>
      </c>
      <c r="L714" s="37" t="s">
        <v>181</v>
      </c>
      <c r="M714" s="37">
        <v>5088</v>
      </c>
      <c r="N714" s="38" t="s">
        <v>480</v>
      </c>
      <c r="S714" s="23">
        <f>VLOOKUP(A714,Hoja1!A:D,4,0)</f>
        <v>1</v>
      </c>
      <c r="T714" s="26" t="str">
        <f>VLOOKUP(M714,[1]TIPOLOGIAS!$A:$F,4,0)</f>
        <v>MEDELLIN</v>
      </c>
      <c r="U714" s="26" t="str">
        <f>VLOOKUP(T714,'BASE TARIFA 2025'!C:D,2,0)</f>
        <v>WOMPI NOROCCIDENTE</v>
      </c>
      <c r="V714" s="27">
        <f>VLOOKUP(T714,'BASE TARIFA 2025'!C:F,3,0)</f>
        <v>37313</v>
      </c>
      <c r="W714" s="27">
        <f t="shared" si="11"/>
        <v>37313</v>
      </c>
    </row>
    <row r="715" spans="1:23" s="37" customFormat="1" ht="14.4" x14ac:dyDescent="0.3">
      <c r="A715" s="37">
        <v>59062</v>
      </c>
      <c r="B715" s="37" t="s">
        <v>4341</v>
      </c>
      <c r="C715" s="37">
        <v>9867832</v>
      </c>
      <c r="D715" s="37" t="s">
        <v>3314</v>
      </c>
      <c r="E715" s="37" t="s">
        <v>3315</v>
      </c>
      <c r="F715" s="37" t="s">
        <v>3315</v>
      </c>
      <c r="G715" s="37" t="s">
        <v>3316</v>
      </c>
      <c r="H715" s="37" t="s">
        <v>3317</v>
      </c>
      <c r="I715" s="37" t="s">
        <v>3318</v>
      </c>
      <c r="J715" s="37" t="s">
        <v>90</v>
      </c>
      <c r="K715" s="37" t="s">
        <v>155</v>
      </c>
      <c r="L715" s="37" t="s">
        <v>155</v>
      </c>
      <c r="M715" s="37">
        <v>54001</v>
      </c>
      <c r="N715" s="38" t="s">
        <v>853</v>
      </c>
      <c r="S715" s="23">
        <f>VLOOKUP(A715,Hoja1!A:D,4,0)</f>
        <v>2</v>
      </c>
      <c r="T715" s="26" t="str">
        <f>VLOOKUP(M715,[1]TIPOLOGIAS!$A:$F,4,0)</f>
        <v>CUCUTA</v>
      </c>
      <c r="U715" s="26" t="str">
        <f>VLOOKUP(T715,'BASE TARIFA 2025'!C:D,2,0)</f>
        <v>WOMPI SANTANDERES</v>
      </c>
      <c r="V715" s="27">
        <f>VLOOKUP(T715,'BASE TARIFA 2025'!C:F,3,0)</f>
        <v>49671.7</v>
      </c>
      <c r="W715" s="27">
        <f t="shared" si="11"/>
        <v>99343.4</v>
      </c>
    </row>
    <row r="716" spans="1:23" s="37" customFormat="1" ht="14.4" x14ac:dyDescent="0.3">
      <c r="A716" s="37">
        <v>61293</v>
      </c>
      <c r="B716" s="37" t="s">
        <v>4342</v>
      </c>
      <c r="C716" s="37">
        <v>1033739678</v>
      </c>
      <c r="D716" s="37" t="s">
        <v>3319</v>
      </c>
      <c r="E716" s="37" t="s">
        <v>3320</v>
      </c>
      <c r="F716" s="37" t="s">
        <v>3320</v>
      </c>
      <c r="G716" s="37" t="s">
        <v>3321</v>
      </c>
      <c r="H716" s="37" t="s">
        <v>3322</v>
      </c>
      <c r="I716" s="37" t="s">
        <v>3323</v>
      </c>
      <c r="J716" s="37" t="s">
        <v>90</v>
      </c>
      <c r="K716" s="37" t="s">
        <v>155</v>
      </c>
      <c r="L716" s="37" t="s">
        <v>155</v>
      </c>
      <c r="M716" s="37">
        <v>54001</v>
      </c>
      <c r="N716" s="38" t="s">
        <v>853</v>
      </c>
      <c r="S716" s="23">
        <f>VLOOKUP(A716,Hoja1!A:D,4,0)</f>
        <v>2</v>
      </c>
      <c r="T716" s="26" t="str">
        <f>VLOOKUP(M716,[1]TIPOLOGIAS!$A:$F,4,0)</f>
        <v>CUCUTA</v>
      </c>
      <c r="U716" s="26" t="str">
        <f>VLOOKUP(T716,'BASE TARIFA 2025'!C:D,2,0)</f>
        <v>WOMPI SANTANDERES</v>
      </c>
      <c r="V716" s="27">
        <f>VLOOKUP(T716,'BASE TARIFA 2025'!C:F,3,0)</f>
        <v>49671.7</v>
      </c>
      <c r="W716" s="27">
        <f t="shared" si="11"/>
        <v>99343.4</v>
      </c>
    </row>
    <row r="717" spans="1:23" s="37" customFormat="1" ht="14.4" x14ac:dyDescent="0.3">
      <c r="A717" s="37">
        <v>62211</v>
      </c>
      <c r="B717" s="37" t="s">
        <v>4343</v>
      </c>
      <c r="C717" s="37">
        <v>53115973</v>
      </c>
      <c r="D717" s="37" t="s">
        <v>3324</v>
      </c>
      <c r="E717" s="37" t="s">
        <v>3325</v>
      </c>
      <c r="F717" s="37" t="s">
        <v>3326</v>
      </c>
      <c r="G717" s="37" t="s">
        <v>3327</v>
      </c>
      <c r="H717" s="37" t="s">
        <v>3328</v>
      </c>
      <c r="I717" s="37" t="s">
        <v>3329</v>
      </c>
      <c r="J717" s="37" t="s">
        <v>90</v>
      </c>
      <c r="K717" s="37" t="s">
        <v>155</v>
      </c>
      <c r="L717" s="37" t="s">
        <v>155</v>
      </c>
      <c r="M717" s="37">
        <v>54001</v>
      </c>
      <c r="N717" s="38" t="s">
        <v>853</v>
      </c>
      <c r="S717" s="23">
        <f>VLOOKUP(A717,Hoja1!A:D,4,0)</f>
        <v>2</v>
      </c>
      <c r="T717" s="26" t="str">
        <f>VLOOKUP(M717,[1]TIPOLOGIAS!$A:$F,4,0)</f>
        <v>CUCUTA</v>
      </c>
      <c r="U717" s="26" t="str">
        <f>VLOOKUP(T717,'BASE TARIFA 2025'!C:D,2,0)</f>
        <v>WOMPI SANTANDERES</v>
      </c>
      <c r="V717" s="27">
        <f>VLOOKUP(T717,'BASE TARIFA 2025'!C:F,3,0)</f>
        <v>49671.7</v>
      </c>
      <c r="W717" s="27">
        <f t="shared" si="11"/>
        <v>99343.4</v>
      </c>
    </row>
    <row r="718" spans="1:23" s="37" customFormat="1" ht="14.4" x14ac:dyDescent="0.3">
      <c r="A718" s="37">
        <v>62351</v>
      </c>
      <c r="B718" s="37" t="s">
        <v>4344</v>
      </c>
      <c r="C718" s="37">
        <v>51725221</v>
      </c>
      <c r="D718" s="37" t="s">
        <v>70</v>
      </c>
      <c r="E718" s="37" t="s">
        <v>3330</v>
      </c>
      <c r="F718" s="37" t="s">
        <v>3331</v>
      </c>
      <c r="G718" s="37" t="s">
        <v>3332</v>
      </c>
      <c r="H718" s="37" t="s">
        <v>3333</v>
      </c>
      <c r="I718" s="37" t="s">
        <v>3334</v>
      </c>
      <c r="J718" s="37" t="s">
        <v>90</v>
      </c>
      <c r="K718" s="37" t="s">
        <v>155</v>
      </c>
      <c r="L718" s="37" t="s">
        <v>155</v>
      </c>
      <c r="M718" s="37">
        <v>54001</v>
      </c>
      <c r="N718" s="38" t="s">
        <v>853</v>
      </c>
      <c r="S718" s="23">
        <f>VLOOKUP(A718,Hoja1!A:D,4,0)</f>
        <v>2</v>
      </c>
      <c r="T718" s="26" t="str">
        <f>VLOOKUP(M718,[1]TIPOLOGIAS!$A:$F,4,0)</f>
        <v>CUCUTA</v>
      </c>
      <c r="U718" s="26" t="str">
        <f>VLOOKUP(T718,'BASE TARIFA 2025'!C:D,2,0)</f>
        <v>WOMPI SANTANDERES</v>
      </c>
      <c r="V718" s="27">
        <f>VLOOKUP(T718,'BASE TARIFA 2025'!C:F,3,0)</f>
        <v>49671.7</v>
      </c>
      <c r="W718" s="27">
        <f t="shared" si="11"/>
        <v>99343.4</v>
      </c>
    </row>
    <row r="719" spans="1:23" s="37" customFormat="1" ht="14.4" x14ac:dyDescent="0.3">
      <c r="A719" s="37">
        <v>62354</v>
      </c>
      <c r="B719" s="37" t="s">
        <v>4345</v>
      </c>
      <c r="C719" s="37">
        <v>52474592</v>
      </c>
      <c r="D719" s="37" t="s">
        <v>3335</v>
      </c>
      <c r="E719" s="37" t="s">
        <v>3336</v>
      </c>
      <c r="F719" s="37" t="s">
        <v>3337</v>
      </c>
      <c r="G719" s="37" t="s">
        <v>3338</v>
      </c>
      <c r="H719" s="37" t="s">
        <v>3339</v>
      </c>
      <c r="I719" s="37" t="s">
        <v>3340</v>
      </c>
      <c r="J719" s="37" t="s">
        <v>90</v>
      </c>
      <c r="K719" s="37" t="s">
        <v>155</v>
      </c>
      <c r="L719" s="37" t="s">
        <v>155</v>
      </c>
      <c r="M719" s="37">
        <v>54001</v>
      </c>
      <c r="N719" s="38" t="s">
        <v>841</v>
      </c>
      <c r="S719" s="23">
        <f>VLOOKUP(A719,Hoja1!A:D,4,0)</f>
        <v>4</v>
      </c>
      <c r="T719" s="26" t="str">
        <f>VLOOKUP(M719,[1]TIPOLOGIAS!$A:$F,4,0)</f>
        <v>CUCUTA</v>
      </c>
      <c r="U719" s="26" t="str">
        <f>VLOOKUP(T719,'BASE TARIFA 2025'!C:D,2,0)</f>
        <v>WOMPI SANTANDERES</v>
      </c>
      <c r="V719" s="27">
        <f>VLOOKUP(T719,'BASE TARIFA 2025'!C:F,3,0)</f>
        <v>49671.7</v>
      </c>
      <c r="W719" s="27">
        <f t="shared" si="11"/>
        <v>198686.8</v>
      </c>
    </row>
    <row r="720" spans="1:23" s="37" customFormat="1" ht="14.4" x14ac:dyDescent="0.3">
      <c r="A720" s="37">
        <v>62364</v>
      </c>
      <c r="B720" s="37" t="s">
        <v>4346</v>
      </c>
      <c r="C720" s="37">
        <v>1127341880</v>
      </c>
      <c r="D720" s="37" t="s">
        <v>126</v>
      </c>
      <c r="E720" s="37" t="s">
        <v>2769</v>
      </c>
      <c r="F720" s="37" t="s">
        <v>2769</v>
      </c>
      <c r="G720" s="37" t="s">
        <v>3341</v>
      </c>
      <c r="H720" s="37" t="s">
        <v>3342</v>
      </c>
      <c r="I720" s="37" t="s">
        <v>3343</v>
      </c>
      <c r="J720" s="37" t="s">
        <v>90</v>
      </c>
      <c r="K720" s="37" t="s">
        <v>155</v>
      </c>
      <c r="L720" s="37" t="s">
        <v>155</v>
      </c>
      <c r="M720" s="37">
        <v>54001</v>
      </c>
      <c r="N720" s="38" t="s">
        <v>503</v>
      </c>
      <c r="S720" s="23">
        <f>VLOOKUP(A720,Hoja1!A:D,4,0)</f>
        <v>2</v>
      </c>
      <c r="T720" s="26" t="str">
        <f>VLOOKUP(M720,[1]TIPOLOGIAS!$A:$F,4,0)</f>
        <v>CUCUTA</v>
      </c>
      <c r="U720" s="26" t="str">
        <f>VLOOKUP(T720,'BASE TARIFA 2025'!C:D,2,0)</f>
        <v>WOMPI SANTANDERES</v>
      </c>
      <c r="V720" s="27">
        <f>VLOOKUP(T720,'BASE TARIFA 2025'!C:F,3,0)</f>
        <v>49671.7</v>
      </c>
      <c r="W720" s="27">
        <f t="shared" si="11"/>
        <v>99343.4</v>
      </c>
    </row>
    <row r="721" spans="1:23" s="37" customFormat="1" ht="14.4" x14ac:dyDescent="0.3">
      <c r="A721" s="37">
        <v>63161</v>
      </c>
      <c r="B721" s="37" t="s">
        <v>3646</v>
      </c>
      <c r="C721" s="37">
        <v>66977059</v>
      </c>
      <c r="D721" s="37" t="s">
        <v>3344</v>
      </c>
      <c r="E721" s="37" t="s">
        <v>3345</v>
      </c>
      <c r="F721" s="37" t="s">
        <v>3345</v>
      </c>
      <c r="G721" s="37" t="s">
        <v>3346</v>
      </c>
      <c r="H721" s="37" t="s">
        <v>3347</v>
      </c>
      <c r="I721" s="37" t="s">
        <v>3348</v>
      </c>
      <c r="J721" s="37" t="s">
        <v>90</v>
      </c>
      <c r="K721" s="37" t="s">
        <v>155</v>
      </c>
      <c r="L721" s="37" t="s">
        <v>155</v>
      </c>
      <c r="M721" s="37">
        <v>54001</v>
      </c>
      <c r="N721" s="38" t="s">
        <v>841</v>
      </c>
      <c r="S721" s="23">
        <f>VLOOKUP(A721,Hoja1!A:D,4,0)</f>
        <v>2</v>
      </c>
      <c r="T721" s="26" t="str">
        <f>VLOOKUP(M721,[1]TIPOLOGIAS!$A:$F,4,0)</f>
        <v>CUCUTA</v>
      </c>
      <c r="U721" s="26" t="str">
        <f>VLOOKUP(T721,'BASE TARIFA 2025'!C:D,2,0)</f>
        <v>WOMPI SANTANDERES</v>
      </c>
      <c r="V721" s="27">
        <f>VLOOKUP(T721,'BASE TARIFA 2025'!C:F,3,0)</f>
        <v>49671.7</v>
      </c>
      <c r="W721" s="27">
        <f t="shared" si="11"/>
        <v>99343.4</v>
      </c>
    </row>
    <row r="722" spans="1:23" s="37" customFormat="1" ht="14.4" x14ac:dyDescent="0.3">
      <c r="A722" s="37">
        <v>63474</v>
      </c>
      <c r="B722" s="37" t="s">
        <v>4347</v>
      </c>
      <c r="C722" s="37">
        <v>26586322</v>
      </c>
      <c r="E722" s="37" t="s">
        <v>3349</v>
      </c>
      <c r="F722" s="37" t="s">
        <v>3349</v>
      </c>
      <c r="G722" s="37" t="s">
        <v>3350</v>
      </c>
      <c r="H722" s="37" t="s">
        <v>3351</v>
      </c>
      <c r="I722" s="37" t="s">
        <v>3352</v>
      </c>
      <c r="J722" s="37" t="s">
        <v>90</v>
      </c>
      <c r="K722" s="37" t="s">
        <v>155</v>
      </c>
      <c r="L722" s="37" t="s">
        <v>155</v>
      </c>
      <c r="M722" s="37">
        <v>54001</v>
      </c>
      <c r="N722" s="38" t="s">
        <v>513</v>
      </c>
      <c r="S722" s="23">
        <f>VLOOKUP(A722,Hoja1!A:D,4,0)</f>
        <v>2</v>
      </c>
      <c r="T722" s="26" t="str">
        <f>VLOOKUP(M722,[1]TIPOLOGIAS!$A:$F,4,0)</f>
        <v>CUCUTA</v>
      </c>
      <c r="U722" s="26" t="str">
        <f>VLOOKUP(T722,'BASE TARIFA 2025'!C:D,2,0)</f>
        <v>WOMPI SANTANDERES</v>
      </c>
      <c r="V722" s="27">
        <f>VLOOKUP(T722,'BASE TARIFA 2025'!C:F,3,0)</f>
        <v>49671.7</v>
      </c>
      <c r="W722" s="27">
        <f t="shared" si="11"/>
        <v>99343.4</v>
      </c>
    </row>
    <row r="723" spans="1:23" s="37" customFormat="1" ht="14.4" x14ac:dyDescent="0.3">
      <c r="A723" s="37">
        <v>63569</v>
      </c>
      <c r="B723" s="37" t="s">
        <v>4348</v>
      </c>
      <c r="C723" s="37">
        <v>1143934897</v>
      </c>
      <c r="D723" s="37" t="s">
        <v>3353</v>
      </c>
      <c r="E723" s="37" t="s">
        <v>3354</v>
      </c>
      <c r="F723" s="37" t="s">
        <v>3354</v>
      </c>
      <c r="G723" s="37" t="s">
        <v>3355</v>
      </c>
      <c r="H723" s="37" t="s">
        <v>3356</v>
      </c>
      <c r="I723" s="37" t="s">
        <v>3357</v>
      </c>
      <c r="J723" s="37" t="s">
        <v>90</v>
      </c>
      <c r="K723" s="37" t="s">
        <v>155</v>
      </c>
      <c r="L723" s="37" t="s">
        <v>155</v>
      </c>
      <c r="M723" s="37">
        <v>54001</v>
      </c>
      <c r="N723" s="38" t="s">
        <v>513</v>
      </c>
      <c r="S723" s="23">
        <f>VLOOKUP(A723,Hoja1!A:D,4,0)</f>
        <v>2</v>
      </c>
      <c r="T723" s="26" t="str">
        <f>VLOOKUP(M723,[1]TIPOLOGIAS!$A:$F,4,0)</f>
        <v>CUCUTA</v>
      </c>
      <c r="U723" s="26" t="str">
        <f>VLOOKUP(T723,'BASE TARIFA 2025'!C:D,2,0)</f>
        <v>WOMPI SANTANDERES</v>
      </c>
      <c r="V723" s="27">
        <f>VLOOKUP(T723,'BASE TARIFA 2025'!C:F,3,0)</f>
        <v>49671.7</v>
      </c>
      <c r="W723" s="27">
        <f t="shared" si="11"/>
        <v>99343.4</v>
      </c>
    </row>
    <row r="724" spans="1:23" s="37" customFormat="1" ht="14.4" x14ac:dyDescent="0.3">
      <c r="A724" s="37">
        <v>64801</v>
      </c>
      <c r="B724" s="37" t="s">
        <v>4349</v>
      </c>
      <c r="C724" s="37">
        <v>14473678</v>
      </c>
      <c r="D724" s="37" t="s">
        <v>3358</v>
      </c>
      <c r="E724" s="37" t="s">
        <v>3359</v>
      </c>
      <c r="F724" s="37" t="s">
        <v>3359</v>
      </c>
      <c r="G724" s="37" t="s">
        <v>3360</v>
      </c>
      <c r="H724" s="37" t="s">
        <v>3361</v>
      </c>
      <c r="I724" s="37" t="s">
        <v>3362</v>
      </c>
      <c r="J724" s="37" t="s">
        <v>90</v>
      </c>
      <c r="K724" s="37" t="s">
        <v>155</v>
      </c>
      <c r="L724" s="37" t="s">
        <v>155</v>
      </c>
      <c r="M724" s="37">
        <v>54001</v>
      </c>
      <c r="N724" s="38" t="s">
        <v>853</v>
      </c>
      <c r="S724" s="23">
        <f>VLOOKUP(A724,Hoja1!A:D,4,0)</f>
        <v>1</v>
      </c>
      <c r="T724" s="26" t="str">
        <f>VLOOKUP(M724,[1]TIPOLOGIAS!$A:$F,4,0)</f>
        <v>CUCUTA</v>
      </c>
      <c r="U724" s="26" t="str">
        <f>VLOOKUP(T724,'BASE TARIFA 2025'!C:D,2,0)</f>
        <v>WOMPI SANTANDERES</v>
      </c>
      <c r="V724" s="27">
        <f>VLOOKUP(T724,'BASE TARIFA 2025'!C:F,3,0)</f>
        <v>49671.7</v>
      </c>
      <c r="W724" s="27">
        <f t="shared" si="11"/>
        <v>49671.7</v>
      </c>
    </row>
    <row r="725" spans="1:23" s="37" customFormat="1" ht="14.4" x14ac:dyDescent="0.3">
      <c r="A725" s="37">
        <v>64806</v>
      </c>
      <c r="B725" s="37" t="s">
        <v>4350</v>
      </c>
      <c r="C725" s="37">
        <v>1010091940</v>
      </c>
      <c r="D725" s="37" t="s">
        <v>3363</v>
      </c>
      <c r="E725" s="37" t="s">
        <v>3364</v>
      </c>
      <c r="F725" s="37" t="s">
        <v>3364</v>
      </c>
      <c r="G725" s="37" t="s">
        <v>3365</v>
      </c>
      <c r="H725" s="37" t="s">
        <v>3366</v>
      </c>
      <c r="I725" s="37" t="s">
        <v>3367</v>
      </c>
      <c r="J725" s="37" t="s">
        <v>90</v>
      </c>
      <c r="K725" s="37" t="s">
        <v>155</v>
      </c>
      <c r="L725" s="37" t="s">
        <v>155</v>
      </c>
      <c r="M725" s="37">
        <v>54001</v>
      </c>
      <c r="N725" s="38" t="s">
        <v>416</v>
      </c>
      <c r="S725" s="23">
        <f>VLOOKUP(A725,Hoja1!A:D,4,0)</f>
        <v>1</v>
      </c>
      <c r="T725" s="26" t="str">
        <f>VLOOKUP(M725,[1]TIPOLOGIAS!$A:$F,4,0)</f>
        <v>CUCUTA</v>
      </c>
      <c r="U725" s="26" t="str">
        <f>VLOOKUP(T725,'BASE TARIFA 2025'!C:D,2,0)</f>
        <v>WOMPI SANTANDERES</v>
      </c>
      <c r="V725" s="27">
        <f>VLOOKUP(T725,'BASE TARIFA 2025'!C:F,3,0)</f>
        <v>49671.7</v>
      </c>
      <c r="W725" s="27">
        <f t="shared" si="11"/>
        <v>49671.7</v>
      </c>
    </row>
    <row r="726" spans="1:23" s="37" customFormat="1" ht="14.4" x14ac:dyDescent="0.3">
      <c r="A726" s="37">
        <v>62963</v>
      </c>
      <c r="B726" s="37" t="s">
        <v>4351</v>
      </c>
      <c r="C726" s="37">
        <v>52448844</v>
      </c>
      <c r="D726" s="37" t="s">
        <v>3368</v>
      </c>
      <c r="E726" s="37" t="s">
        <v>3369</v>
      </c>
      <c r="F726" s="37" t="s">
        <v>3370</v>
      </c>
      <c r="G726" s="37" t="s">
        <v>3371</v>
      </c>
      <c r="H726" s="37" t="s">
        <v>3372</v>
      </c>
      <c r="I726" s="37" t="s">
        <v>3373</v>
      </c>
      <c r="J726" s="37" t="s">
        <v>90</v>
      </c>
      <c r="K726" s="37" t="s">
        <v>155</v>
      </c>
      <c r="L726" s="37" t="s">
        <v>155</v>
      </c>
      <c r="M726" s="37">
        <v>54001</v>
      </c>
      <c r="N726" s="38" t="s">
        <v>853</v>
      </c>
      <c r="S726" s="23">
        <f>VLOOKUP(A726,Hoja1!A:D,4,0)</f>
        <v>2</v>
      </c>
      <c r="T726" s="26" t="str">
        <f>VLOOKUP(M726,[1]TIPOLOGIAS!$A:$F,4,0)</f>
        <v>CUCUTA</v>
      </c>
      <c r="U726" s="26" t="str">
        <f>VLOOKUP(T726,'BASE TARIFA 2025'!C:D,2,0)</f>
        <v>WOMPI SANTANDERES</v>
      </c>
      <c r="V726" s="27">
        <f>VLOOKUP(T726,'BASE TARIFA 2025'!C:F,3,0)</f>
        <v>49671.7</v>
      </c>
      <c r="W726" s="27">
        <f t="shared" si="11"/>
        <v>99343.4</v>
      </c>
    </row>
    <row r="727" spans="1:23" s="37" customFormat="1" ht="14.4" x14ac:dyDescent="0.3">
      <c r="A727" s="37">
        <v>68406</v>
      </c>
      <c r="B727" s="37" t="s">
        <v>4352</v>
      </c>
      <c r="C727" s="37">
        <v>1143924441</v>
      </c>
      <c r="D727" s="37" t="s">
        <v>67</v>
      </c>
      <c r="E727" s="37" t="s">
        <v>3374</v>
      </c>
      <c r="F727" s="37" t="s">
        <v>3375</v>
      </c>
      <c r="G727" s="37" t="s">
        <v>3376</v>
      </c>
      <c r="H727" s="37" t="s">
        <v>3377</v>
      </c>
      <c r="I727" s="37" t="s">
        <v>3378</v>
      </c>
      <c r="J727" s="37" t="s">
        <v>101</v>
      </c>
      <c r="K727" s="37" t="s">
        <v>3299</v>
      </c>
      <c r="L727" s="37" t="s">
        <v>3299</v>
      </c>
      <c r="M727" s="37">
        <v>73547</v>
      </c>
      <c r="N727" s="38" t="s">
        <v>323</v>
      </c>
      <c r="S727" s="23">
        <f>VLOOKUP(A727,Hoja1!A:D,4,0)</f>
        <v>3</v>
      </c>
      <c r="T727" s="26" t="str">
        <f>VLOOKUP(M727,[1]TIPOLOGIAS!$A:$F,4,0)</f>
        <v>IBAGUE</v>
      </c>
      <c r="U727" s="26" t="str">
        <f>VLOOKUP(T727,'BASE TARIFA 2025'!C:D,2,0)</f>
        <v>WOMPI ORIENTE</v>
      </c>
      <c r="V727" s="27">
        <f>VLOOKUP(T727,'BASE TARIFA 2025'!C:F,3,0)</f>
        <v>49671.7</v>
      </c>
      <c r="W727" s="27">
        <f t="shared" si="11"/>
        <v>149015.09999999998</v>
      </c>
    </row>
    <row r="728" spans="1:23" s="37" customFormat="1" ht="14.4" x14ac:dyDescent="0.3">
      <c r="A728" s="37">
        <v>68304</v>
      </c>
      <c r="B728" s="37" t="s">
        <v>3650</v>
      </c>
      <c r="C728" s="37">
        <v>66950308</v>
      </c>
      <c r="D728" s="37" t="s">
        <v>67</v>
      </c>
      <c r="E728" s="37" t="s">
        <v>3379</v>
      </c>
      <c r="F728" s="37" t="s">
        <v>3379</v>
      </c>
      <c r="G728" s="37" t="s">
        <v>3380</v>
      </c>
      <c r="H728" s="37" t="s">
        <v>3381</v>
      </c>
      <c r="I728" s="37" t="s">
        <v>3382</v>
      </c>
      <c r="J728" s="37" t="s">
        <v>101</v>
      </c>
      <c r="K728" s="37" t="s">
        <v>3299</v>
      </c>
      <c r="L728" s="37" t="s">
        <v>3299</v>
      </c>
      <c r="M728" s="37">
        <v>73547</v>
      </c>
      <c r="N728" s="38" t="s">
        <v>323</v>
      </c>
      <c r="S728" s="23">
        <f>VLOOKUP(A728,Hoja1!A:D,4,0)</f>
        <v>3</v>
      </c>
      <c r="T728" s="26" t="str">
        <f>VLOOKUP(M728,[1]TIPOLOGIAS!$A:$F,4,0)</f>
        <v>IBAGUE</v>
      </c>
      <c r="U728" s="26" t="str">
        <f>VLOOKUP(T728,'BASE TARIFA 2025'!C:D,2,0)</f>
        <v>WOMPI ORIENTE</v>
      </c>
      <c r="V728" s="27">
        <f>VLOOKUP(T728,'BASE TARIFA 2025'!C:F,3,0)</f>
        <v>49671.7</v>
      </c>
      <c r="W728" s="27">
        <f t="shared" si="11"/>
        <v>149015.09999999998</v>
      </c>
    </row>
    <row r="729" spans="1:23" s="37" customFormat="1" ht="14.4" x14ac:dyDescent="0.3">
      <c r="A729" s="37">
        <v>66110</v>
      </c>
      <c r="B729" s="37" t="s">
        <v>4353</v>
      </c>
      <c r="C729" s="37">
        <v>1127576490</v>
      </c>
      <c r="D729" s="37" t="s">
        <v>67</v>
      </c>
      <c r="E729" s="37" t="s">
        <v>3383</v>
      </c>
      <c r="F729" s="37" t="s">
        <v>3383</v>
      </c>
      <c r="G729" s="37" t="s">
        <v>3384</v>
      </c>
      <c r="H729" s="37" t="s">
        <v>3385</v>
      </c>
      <c r="I729" s="37" t="s">
        <v>3386</v>
      </c>
      <c r="J729" s="37" t="s">
        <v>101</v>
      </c>
      <c r="K729" s="37" t="s">
        <v>3299</v>
      </c>
      <c r="L729" s="37" t="s">
        <v>3299</v>
      </c>
      <c r="M729" s="37">
        <v>73547</v>
      </c>
      <c r="N729" s="38" t="s">
        <v>323</v>
      </c>
      <c r="S729" s="23">
        <f>VLOOKUP(A729,Hoja1!A:D,4,0)</f>
        <v>2</v>
      </c>
      <c r="T729" s="26" t="str">
        <f>VLOOKUP(M729,[1]TIPOLOGIAS!$A:$F,4,0)</f>
        <v>IBAGUE</v>
      </c>
      <c r="U729" s="26" t="str">
        <f>VLOOKUP(T729,'BASE TARIFA 2025'!C:D,2,0)</f>
        <v>WOMPI ORIENTE</v>
      </c>
      <c r="V729" s="27">
        <f>VLOOKUP(T729,'BASE TARIFA 2025'!C:F,3,0)</f>
        <v>49671.7</v>
      </c>
      <c r="W729" s="27">
        <f t="shared" si="11"/>
        <v>99343.4</v>
      </c>
    </row>
    <row r="730" spans="1:23" s="37" customFormat="1" ht="14.4" x14ac:dyDescent="0.3">
      <c r="A730" s="37">
        <v>66111</v>
      </c>
      <c r="B730" s="37" t="s">
        <v>4354</v>
      </c>
      <c r="C730" s="37">
        <v>1018479482</v>
      </c>
      <c r="D730" s="37" t="s">
        <v>3387</v>
      </c>
      <c r="E730" s="37" t="s">
        <v>3388</v>
      </c>
      <c r="F730" s="37" t="s">
        <v>3388</v>
      </c>
      <c r="G730" s="37" t="s">
        <v>3389</v>
      </c>
      <c r="H730" s="37" t="s">
        <v>3390</v>
      </c>
      <c r="I730" s="37" t="s">
        <v>3391</v>
      </c>
      <c r="J730" s="37" t="s">
        <v>108</v>
      </c>
      <c r="K730" s="37" t="s">
        <v>160</v>
      </c>
      <c r="L730" s="37" t="s">
        <v>160</v>
      </c>
      <c r="M730" s="37">
        <v>76248</v>
      </c>
      <c r="N730" s="38" t="s">
        <v>322</v>
      </c>
      <c r="S730" s="23">
        <f>VLOOKUP(A730,Hoja1!A:D,4,0)</f>
        <v>2</v>
      </c>
      <c r="T730" s="26" t="str">
        <f>VLOOKUP(M730,[1]TIPOLOGIAS!$A:$F,4,0)</f>
        <v>CALI</v>
      </c>
      <c r="U730" s="26" t="str">
        <f>VLOOKUP(T730,'BASE TARIFA 2025'!C:D,2,0)</f>
        <v>WOMPI SUROCCIDENTE</v>
      </c>
      <c r="V730" s="27">
        <f>VLOOKUP(T730,'BASE TARIFA 2025'!C:F,3,0)</f>
        <v>37313</v>
      </c>
      <c r="W730" s="27">
        <f t="shared" si="11"/>
        <v>74626</v>
      </c>
    </row>
    <row r="731" spans="1:23" s="37" customFormat="1" ht="14.4" x14ac:dyDescent="0.3">
      <c r="A731" s="37">
        <v>66163</v>
      </c>
      <c r="B731" s="37" t="s">
        <v>4355</v>
      </c>
      <c r="C731" s="37">
        <v>901458726</v>
      </c>
      <c r="D731" s="37" t="s">
        <v>3392</v>
      </c>
      <c r="E731" s="37" t="s">
        <v>3392</v>
      </c>
      <c r="F731" s="37" t="s">
        <v>3392</v>
      </c>
      <c r="G731" s="37" t="s">
        <v>3393</v>
      </c>
      <c r="H731" s="37" t="s">
        <v>3394</v>
      </c>
      <c r="I731" s="37" t="s">
        <v>3395</v>
      </c>
      <c r="J731" s="37" t="s">
        <v>108</v>
      </c>
      <c r="K731" s="37" t="s">
        <v>160</v>
      </c>
      <c r="L731" s="37" t="s">
        <v>160</v>
      </c>
      <c r="M731" s="37">
        <v>76248</v>
      </c>
      <c r="N731" s="38" t="s">
        <v>322</v>
      </c>
      <c r="S731" s="23">
        <f>VLOOKUP(A731,Hoja1!A:D,4,0)</f>
        <v>3</v>
      </c>
      <c r="T731" s="26" t="str">
        <f>VLOOKUP(M731,[1]TIPOLOGIAS!$A:$F,4,0)</f>
        <v>CALI</v>
      </c>
      <c r="U731" s="26" t="str">
        <f>VLOOKUP(T731,'BASE TARIFA 2025'!C:D,2,0)</f>
        <v>WOMPI SUROCCIDENTE</v>
      </c>
      <c r="V731" s="27">
        <f>VLOOKUP(T731,'BASE TARIFA 2025'!C:F,3,0)</f>
        <v>37313</v>
      </c>
      <c r="W731" s="27">
        <f t="shared" si="11"/>
        <v>111939</v>
      </c>
    </row>
    <row r="732" spans="1:23" s="37" customFormat="1" ht="14.4" x14ac:dyDescent="0.3">
      <c r="A732" s="37">
        <v>67387</v>
      </c>
      <c r="B732" s="37" t="s">
        <v>4356</v>
      </c>
      <c r="C732" s="37">
        <v>1019055530</v>
      </c>
      <c r="D732" s="37" t="s">
        <v>3396</v>
      </c>
      <c r="E732" s="37" t="s">
        <v>3396</v>
      </c>
      <c r="G732" s="37" t="s">
        <v>3397</v>
      </c>
      <c r="H732" s="37" t="s">
        <v>3398</v>
      </c>
      <c r="I732" s="37" t="s">
        <v>3399</v>
      </c>
      <c r="J732" s="37" t="s">
        <v>108</v>
      </c>
      <c r="K732" s="37" t="s">
        <v>160</v>
      </c>
      <c r="L732" s="37" t="s">
        <v>160</v>
      </c>
      <c r="M732" s="37">
        <v>76248</v>
      </c>
      <c r="N732" s="38" t="s">
        <v>328</v>
      </c>
      <c r="S732" s="23">
        <f>VLOOKUP(A732,Hoja1!A:D,4,0)</f>
        <v>2</v>
      </c>
      <c r="T732" s="26" t="str">
        <f>VLOOKUP(M732,[1]TIPOLOGIAS!$A:$F,4,0)</f>
        <v>CALI</v>
      </c>
      <c r="U732" s="26" t="str">
        <f>VLOOKUP(T732,'BASE TARIFA 2025'!C:D,2,0)</f>
        <v>WOMPI SUROCCIDENTE</v>
      </c>
      <c r="V732" s="27">
        <f>VLOOKUP(T732,'BASE TARIFA 2025'!C:F,3,0)</f>
        <v>37313</v>
      </c>
      <c r="W732" s="27">
        <f t="shared" si="11"/>
        <v>74626</v>
      </c>
    </row>
    <row r="733" spans="1:23" s="37" customFormat="1" ht="14.4" x14ac:dyDescent="0.3">
      <c r="A733" s="37">
        <v>67688</v>
      </c>
      <c r="B733" s="37" t="s">
        <v>4357</v>
      </c>
      <c r="C733" s="37">
        <v>901461662</v>
      </c>
      <c r="D733" s="37" t="s">
        <v>3400</v>
      </c>
      <c r="E733" s="37" t="s">
        <v>3400</v>
      </c>
      <c r="F733" s="37" t="s">
        <v>3400</v>
      </c>
      <c r="G733" s="37" t="s">
        <v>3401</v>
      </c>
      <c r="H733" s="37" t="s">
        <v>3402</v>
      </c>
      <c r="I733" s="37" t="s">
        <v>3403</v>
      </c>
      <c r="J733" s="37" t="s">
        <v>110</v>
      </c>
      <c r="K733" s="37" t="s">
        <v>3404</v>
      </c>
      <c r="L733" s="37" t="s">
        <v>3404</v>
      </c>
      <c r="M733" s="37">
        <v>85230</v>
      </c>
      <c r="N733" s="38" t="s">
        <v>503</v>
      </c>
      <c r="S733" s="23">
        <f>VLOOKUP(A733,Hoja1!A:D,4,0)</f>
        <v>2</v>
      </c>
      <c r="T733" s="26" t="str">
        <f>VLOOKUP(M733,[1]TIPOLOGIAS!$A:$F,4,0)</f>
        <v>YOPAL</v>
      </c>
      <c r="U733" s="26" t="str">
        <f>VLOOKUP(T733,'BASE TARIFA 2025'!C:D,2,0)</f>
        <v>WOMPI ORIENTE</v>
      </c>
      <c r="V733" s="27">
        <f>VLOOKUP(T733,'BASE TARIFA 2025'!C:F,3,0)</f>
        <v>49671.7</v>
      </c>
      <c r="W733" s="27">
        <f t="shared" si="11"/>
        <v>99343.4</v>
      </c>
    </row>
    <row r="734" spans="1:23" s="37" customFormat="1" ht="14.4" x14ac:dyDescent="0.3">
      <c r="A734" s="37">
        <v>66607</v>
      </c>
      <c r="B734" s="37" t="s">
        <v>4358</v>
      </c>
      <c r="C734" s="37">
        <v>1006596623</v>
      </c>
      <c r="D734" s="37" t="s">
        <v>67</v>
      </c>
      <c r="E734" s="37" t="s">
        <v>3405</v>
      </c>
      <c r="F734" s="37" t="s">
        <v>3405</v>
      </c>
      <c r="G734" s="37" t="s">
        <v>3406</v>
      </c>
      <c r="H734" s="37" t="s">
        <v>3407</v>
      </c>
      <c r="I734" s="37" t="s">
        <v>3408</v>
      </c>
      <c r="J734" s="37" t="s">
        <v>110</v>
      </c>
      <c r="K734" s="37" t="s">
        <v>3404</v>
      </c>
      <c r="L734" s="37" t="s">
        <v>3404</v>
      </c>
      <c r="M734" s="37">
        <v>85230</v>
      </c>
      <c r="N734" s="38" t="s">
        <v>503</v>
      </c>
      <c r="S734" s="23">
        <f>VLOOKUP(A734,Hoja1!A:D,4,0)</f>
        <v>2</v>
      </c>
      <c r="T734" s="26" t="str">
        <f>VLOOKUP(M734,[1]TIPOLOGIAS!$A:$F,4,0)</f>
        <v>YOPAL</v>
      </c>
      <c r="U734" s="26" t="str">
        <f>VLOOKUP(T734,'BASE TARIFA 2025'!C:D,2,0)</f>
        <v>WOMPI ORIENTE</v>
      </c>
      <c r="V734" s="27">
        <f>VLOOKUP(T734,'BASE TARIFA 2025'!C:F,3,0)</f>
        <v>49671.7</v>
      </c>
      <c r="W734" s="27">
        <f t="shared" si="11"/>
        <v>99343.4</v>
      </c>
    </row>
    <row r="735" spans="1:23" s="37" customFormat="1" ht="14.4" x14ac:dyDescent="0.3">
      <c r="A735" s="37">
        <v>68570</v>
      </c>
      <c r="B735" s="37" t="s">
        <v>4359</v>
      </c>
      <c r="C735" s="37">
        <v>1143844042</v>
      </c>
      <c r="D735" s="37" t="s">
        <v>67</v>
      </c>
      <c r="E735" s="37" t="s">
        <v>3409</v>
      </c>
      <c r="F735" s="37" t="s">
        <v>3409</v>
      </c>
      <c r="G735" s="37" t="s">
        <v>3410</v>
      </c>
      <c r="H735" s="37" t="s">
        <v>3411</v>
      </c>
      <c r="I735" s="37" t="s">
        <v>3412</v>
      </c>
      <c r="J735" s="37" t="s">
        <v>110</v>
      </c>
      <c r="K735" s="37" t="s">
        <v>3404</v>
      </c>
      <c r="L735" s="37" t="s">
        <v>3404</v>
      </c>
      <c r="M735" s="37">
        <v>85230</v>
      </c>
      <c r="N735" s="38" t="s">
        <v>503</v>
      </c>
      <c r="S735" s="23">
        <f>VLOOKUP(A735,Hoja1!A:D,4,0)</f>
        <v>5</v>
      </c>
      <c r="T735" s="26" t="str">
        <f>VLOOKUP(M735,[1]TIPOLOGIAS!$A:$F,4,0)</f>
        <v>YOPAL</v>
      </c>
      <c r="U735" s="26" t="str">
        <f>VLOOKUP(T735,'BASE TARIFA 2025'!C:D,2,0)</f>
        <v>WOMPI ORIENTE</v>
      </c>
      <c r="V735" s="27">
        <f>VLOOKUP(T735,'BASE TARIFA 2025'!C:F,3,0)</f>
        <v>49671.7</v>
      </c>
      <c r="W735" s="27">
        <f t="shared" si="11"/>
        <v>248358.5</v>
      </c>
    </row>
    <row r="736" spans="1:23" s="37" customFormat="1" ht="14.4" x14ac:dyDescent="0.3">
      <c r="A736" s="37">
        <v>68417</v>
      </c>
      <c r="B736" s="37" t="s">
        <v>4360</v>
      </c>
      <c r="C736" s="37">
        <v>1012431163</v>
      </c>
      <c r="D736" s="37" t="s">
        <v>67</v>
      </c>
      <c r="E736" s="37" t="s">
        <v>3413</v>
      </c>
      <c r="F736" s="37" t="s">
        <v>3413</v>
      </c>
      <c r="G736" s="37" t="s">
        <v>3414</v>
      </c>
      <c r="H736" s="37" t="s">
        <v>3415</v>
      </c>
      <c r="I736" s="37" t="s">
        <v>3416</v>
      </c>
      <c r="J736" s="37" t="s">
        <v>110</v>
      </c>
      <c r="K736" s="37" t="s">
        <v>3404</v>
      </c>
      <c r="L736" s="37" t="s">
        <v>3404</v>
      </c>
      <c r="M736" s="37">
        <v>85230</v>
      </c>
      <c r="N736" s="38" t="s">
        <v>513</v>
      </c>
      <c r="S736" s="23">
        <f>VLOOKUP(A736,Hoja1!A:D,4,0)</f>
        <v>2</v>
      </c>
      <c r="T736" s="26" t="str">
        <f>VLOOKUP(M736,[1]TIPOLOGIAS!$A:$F,4,0)</f>
        <v>YOPAL</v>
      </c>
      <c r="U736" s="26" t="str">
        <f>VLOOKUP(T736,'BASE TARIFA 2025'!C:D,2,0)</f>
        <v>WOMPI ORIENTE</v>
      </c>
      <c r="V736" s="27">
        <f>VLOOKUP(T736,'BASE TARIFA 2025'!C:F,3,0)</f>
        <v>49671.7</v>
      </c>
      <c r="W736" s="27">
        <f t="shared" si="11"/>
        <v>99343.4</v>
      </c>
    </row>
    <row r="737" spans="1:23" s="37" customFormat="1" ht="14.4" x14ac:dyDescent="0.3">
      <c r="A737" s="37">
        <v>69277</v>
      </c>
      <c r="B737" s="37" t="s">
        <v>4361</v>
      </c>
      <c r="C737" s="37">
        <v>52118036</v>
      </c>
      <c r="D737" s="37" t="s">
        <v>67</v>
      </c>
      <c r="E737" s="37" t="s">
        <v>3417</v>
      </c>
      <c r="F737" s="37" t="s">
        <v>3417</v>
      </c>
      <c r="G737" s="37" t="s">
        <v>3418</v>
      </c>
      <c r="H737" s="37" t="s">
        <v>3419</v>
      </c>
      <c r="I737" s="37" t="s">
        <v>3420</v>
      </c>
      <c r="J737" s="37" t="s">
        <v>110</v>
      </c>
      <c r="K737" s="37" t="s">
        <v>3404</v>
      </c>
      <c r="L737" s="37" t="s">
        <v>3404</v>
      </c>
      <c r="M737" s="37">
        <v>85230</v>
      </c>
      <c r="N737" s="38" t="s">
        <v>513</v>
      </c>
      <c r="S737" s="23">
        <f>VLOOKUP(A737,Hoja1!A:D,4,0)</f>
        <v>2</v>
      </c>
      <c r="T737" s="26" t="str">
        <f>VLOOKUP(M737,[1]TIPOLOGIAS!$A:$F,4,0)</f>
        <v>YOPAL</v>
      </c>
      <c r="U737" s="26" t="str">
        <f>VLOOKUP(T737,'BASE TARIFA 2025'!C:D,2,0)</f>
        <v>WOMPI ORIENTE</v>
      </c>
      <c r="V737" s="27">
        <f>VLOOKUP(T737,'BASE TARIFA 2025'!C:F,3,0)</f>
        <v>49671.7</v>
      </c>
      <c r="W737" s="27">
        <f t="shared" si="11"/>
        <v>99343.4</v>
      </c>
    </row>
    <row r="738" spans="1:23" s="37" customFormat="1" ht="14.4" x14ac:dyDescent="0.3">
      <c r="A738" s="37">
        <v>69060</v>
      </c>
      <c r="B738" s="37" t="s">
        <v>4362</v>
      </c>
      <c r="C738" s="37">
        <v>6100516</v>
      </c>
      <c r="D738" s="37" t="s">
        <v>67</v>
      </c>
      <c r="E738" s="37" t="s">
        <v>67</v>
      </c>
      <c r="F738" s="37" t="s">
        <v>3421</v>
      </c>
      <c r="G738" s="37" t="s">
        <v>3422</v>
      </c>
      <c r="H738" s="37" t="s">
        <v>3423</v>
      </c>
      <c r="I738" s="37" t="s">
        <v>3424</v>
      </c>
      <c r="J738" s="37" t="s">
        <v>110</v>
      </c>
      <c r="K738" s="37" t="s">
        <v>3404</v>
      </c>
      <c r="L738" s="37" t="s">
        <v>3404</v>
      </c>
      <c r="M738" s="37">
        <v>85230</v>
      </c>
      <c r="N738" s="38" t="s">
        <v>513</v>
      </c>
      <c r="S738" s="23">
        <f>VLOOKUP(A738,Hoja1!A:D,4,0)</f>
        <v>3</v>
      </c>
      <c r="T738" s="26" t="str">
        <f>VLOOKUP(M738,[1]TIPOLOGIAS!$A:$F,4,0)</f>
        <v>YOPAL</v>
      </c>
      <c r="U738" s="26" t="str">
        <f>VLOOKUP(T738,'BASE TARIFA 2025'!C:D,2,0)</f>
        <v>WOMPI ORIENTE</v>
      </c>
      <c r="V738" s="27">
        <f>VLOOKUP(T738,'BASE TARIFA 2025'!C:F,3,0)</f>
        <v>49671.7</v>
      </c>
      <c r="W738" s="27">
        <f t="shared" si="11"/>
        <v>149015.09999999998</v>
      </c>
    </row>
    <row r="739" spans="1:23" s="37" customFormat="1" ht="14.4" x14ac:dyDescent="0.3">
      <c r="A739" s="37">
        <v>68833</v>
      </c>
      <c r="B739" s="37" t="s">
        <v>4363</v>
      </c>
      <c r="C739" s="37">
        <v>1144202340</v>
      </c>
      <c r="D739" s="37" t="s">
        <v>3425</v>
      </c>
      <c r="E739" s="37" t="s">
        <v>3425</v>
      </c>
      <c r="F739" s="37" t="s">
        <v>3425</v>
      </c>
      <c r="G739" s="37" t="s">
        <v>212</v>
      </c>
      <c r="H739" s="37" t="s">
        <v>213</v>
      </c>
      <c r="I739" s="37" t="s">
        <v>214</v>
      </c>
      <c r="J739" s="37" t="s">
        <v>65</v>
      </c>
      <c r="K739" s="37" t="s">
        <v>181</v>
      </c>
      <c r="L739" s="37" t="s">
        <v>181</v>
      </c>
      <c r="M739" s="37">
        <v>5088</v>
      </c>
      <c r="N739" s="38" t="s">
        <v>328</v>
      </c>
      <c r="S739" s="23">
        <f>VLOOKUP(A739,Hoja1!A:D,4,0)</f>
        <v>2</v>
      </c>
      <c r="T739" s="26" t="str">
        <f>VLOOKUP(M739,[1]TIPOLOGIAS!$A:$F,4,0)</f>
        <v>MEDELLIN</v>
      </c>
      <c r="U739" s="26" t="str">
        <f>VLOOKUP(T739,'BASE TARIFA 2025'!C:D,2,0)</f>
        <v>WOMPI NOROCCIDENTE</v>
      </c>
      <c r="V739" s="27">
        <f>VLOOKUP(T739,'BASE TARIFA 2025'!C:F,3,0)</f>
        <v>37313</v>
      </c>
      <c r="W739" s="27">
        <f t="shared" si="11"/>
        <v>74626</v>
      </c>
    </row>
    <row r="740" spans="1:23" s="37" customFormat="1" ht="14.4" x14ac:dyDescent="0.3">
      <c r="A740" s="37">
        <v>71233</v>
      </c>
      <c r="B740" s="37" t="s">
        <v>4364</v>
      </c>
      <c r="C740" s="37">
        <v>31840955</v>
      </c>
      <c r="D740" s="37" t="s">
        <v>3426</v>
      </c>
      <c r="E740" s="37" t="s">
        <v>3427</v>
      </c>
      <c r="F740" s="37" t="s">
        <v>3426</v>
      </c>
      <c r="G740" s="37" t="s">
        <v>3428</v>
      </c>
      <c r="H740" s="37" t="s">
        <v>3429</v>
      </c>
      <c r="I740" s="37" t="s">
        <v>3430</v>
      </c>
      <c r="J740" s="37" t="s">
        <v>65</v>
      </c>
      <c r="K740" s="37" t="s">
        <v>181</v>
      </c>
      <c r="L740" s="37" t="s">
        <v>181</v>
      </c>
      <c r="M740" s="37">
        <v>5088</v>
      </c>
      <c r="N740" s="38" t="s">
        <v>503</v>
      </c>
      <c r="S740" s="23">
        <f>VLOOKUP(A740,Hoja1!A:D,4,0)</f>
        <v>2</v>
      </c>
      <c r="T740" s="26" t="str">
        <f>VLOOKUP(M740,[1]TIPOLOGIAS!$A:$F,4,0)</f>
        <v>MEDELLIN</v>
      </c>
      <c r="U740" s="26" t="str">
        <f>VLOOKUP(T740,'BASE TARIFA 2025'!C:D,2,0)</f>
        <v>WOMPI NOROCCIDENTE</v>
      </c>
      <c r="V740" s="27">
        <f>VLOOKUP(T740,'BASE TARIFA 2025'!C:F,3,0)</f>
        <v>37313</v>
      </c>
      <c r="W740" s="27">
        <f t="shared" si="11"/>
        <v>74626</v>
      </c>
    </row>
    <row r="741" spans="1:23" s="37" customFormat="1" ht="14.4" x14ac:dyDescent="0.3">
      <c r="A741" s="37">
        <v>70870</v>
      </c>
      <c r="B741" s="37" t="s">
        <v>4365</v>
      </c>
      <c r="C741" s="37">
        <v>38141185</v>
      </c>
      <c r="D741" s="37" t="s">
        <v>3431</v>
      </c>
      <c r="E741" s="37" t="s">
        <v>3431</v>
      </c>
      <c r="G741" s="37" t="s">
        <v>218</v>
      </c>
      <c r="H741" s="37" t="s">
        <v>219</v>
      </c>
      <c r="I741" s="37" t="s">
        <v>220</v>
      </c>
      <c r="J741" s="37" t="s">
        <v>65</v>
      </c>
      <c r="K741" s="37" t="s">
        <v>181</v>
      </c>
      <c r="L741" s="37" t="s">
        <v>181</v>
      </c>
      <c r="M741" s="37">
        <v>5088</v>
      </c>
      <c r="N741" s="38" t="s">
        <v>328</v>
      </c>
      <c r="S741" s="23">
        <f>VLOOKUP(A741,Hoja1!A:D,4,0)</f>
        <v>1</v>
      </c>
      <c r="T741" s="26" t="str">
        <f>VLOOKUP(M741,[1]TIPOLOGIAS!$A:$F,4,0)</f>
        <v>MEDELLIN</v>
      </c>
      <c r="U741" s="26" t="str">
        <f>VLOOKUP(T741,'BASE TARIFA 2025'!C:D,2,0)</f>
        <v>WOMPI NOROCCIDENTE</v>
      </c>
      <c r="V741" s="27">
        <f>VLOOKUP(T741,'BASE TARIFA 2025'!C:F,3,0)</f>
        <v>37313</v>
      </c>
      <c r="W741" s="27">
        <f t="shared" si="11"/>
        <v>37313</v>
      </c>
    </row>
    <row r="742" spans="1:23" s="37" customFormat="1" ht="14.4" x14ac:dyDescent="0.3">
      <c r="A742" s="37">
        <v>71431</v>
      </c>
      <c r="B742" s="37" t="s">
        <v>4366</v>
      </c>
      <c r="C742" s="37">
        <v>1094885321</v>
      </c>
      <c r="D742" s="37" t="s">
        <v>3432</v>
      </c>
      <c r="E742" s="37" t="s">
        <v>3433</v>
      </c>
      <c r="F742" s="37" t="s">
        <v>3432</v>
      </c>
      <c r="G742" s="37" t="s">
        <v>3434</v>
      </c>
      <c r="H742" s="37" t="s">
        <v>3435</v>
      </c>
      <c r="I742" s="37" t="s">
        <v>3436</v>
      </c>
      <c r="J742" s="37" t="s">
        <v>65</v>
      </c>
      <c r="K742" s="37" t="s">
        <v>181</v>
      </c>
      <c r="L742" s="37" t="s">
        <v>181</v>
      </c>
      <c r="M742" s="37">
        <v>5088</v>
      </c>
      <c r="N742" s="38" t="s">
        <v>503</v>
      </c>
      <c r="S742" s="23">
        <f>VLOOKUP(A742,Hoja1!A:D,4,0)</f>
        <v>2</v>
      </c>
      <c r="T742" s="26" t="str">
        <f>VLOOKUP(M742,[1]TIPOLOGIAS!$A:$F,4,0)</f>
        <v>MEDELLIN</v>
      </c>
      <c r="U742" s="26" t="str">
        <f>VLOOKUP(T742,'BASE TARIFA 2025'!C:D,2,0)</f>
        <v>WOMPI NOROCCIDENTE</v>
      </c>
      <c r="V742" s="27">
        <f>VLOOKUP(T742,'BASE TARIFA 2025'!C:F,3,0)</f>
        <v>37313</v>
      </c>
      <c r="W742" s="27">
        <f t="shared" si="11"/>
        <v>74626</v>
      </c>
    </row>
    <row r="743" spans="1:23" s="37" customFormat="1" ht="14.4" x14ac:dyDescent="0.3">
      <c r="A743" s="37">
        <v>70872</v>
      </c>
      <c r="B743" s="37" t="s">
        <v>4367</v>
      </c>
      <c r="C743" s="37">
        <v>52541206</v>
      </c>
      <c r="D743" s="37" t="s">
        <v>3437</v>
      </c>
      <c r="E743" s="37" t="s">
        <v>3437</v>
      </c>
      <c r="F743" s="37" t="s">
        <v>3437</v>
      </c>
      <c r="G743" s="37" t="s">
        <v>215</v>
      </c>
      <c r="H743" s="37" t="s">
        <v>216</v>
      </c>
      <c r="I743" s="37" t="s">
        <v>217</v>
      </c>
      <c r="J743" s="37" t="s">
        <v>65</v>
      </c>
      <c r="K743" s="37" t="s">
        <v>181</v>
      </c>
      <c r="L743" s="37" t="s">
        <v>181</v>
      </c>
      <c r="M743" s="37">
        <v>5088</v>
      </c>
      <c r="N743" s="38" t="s">
        <v>328</v>
      </c>
      <c r="S743" s="23">
        <f>VLOOKUP(A743,Hoja1!A:D,4,0)</f>
        <v>2</v>
      </c>
      <c r="T743" s="26" t="str">
        <f>VLOOKUP(M743,[1]TIPOLOGIAS!$A:$F,4,0)</f>
        <v>MEDELLIN</v>
      </c>
      <c r="U743" s="26" t="str">
        <f>VLOOKUP(T743,'BASE TARIFA 2025'!C:D,2,0)</f>
        <v>WOMPI NOROCCIDENTE</v>
      </c>
      <c r="V743" s="27">
        <f>VLOOKUP(T743,'BASE TARIFA 2025'!C:F,3,0)</f>
        <v>37313</v>
      </c>
      <c r="W743" s="27">
        <f t="shared" si="11"/>
        <v>74626</v>
      </c>
    </row>
    <row r="744" spans="1:23" s="37" customFormat="1" ht="14.4" x14ac:dyDescent="0.3">
      <c r="A744" s="37">
        <v>70861</v>
      </c>
      <c r="B744" s="37" t="s">
        <v>4368</v>
      </c>
      <c r="C744" s="37">
        <v>9846799</v>
      </c>
      <c r="D744" s="37" t="s">
        <v>3438</v>
      </c>
      <c r="E744" s="37" t="s">
        <v>3438</v>
      </c>
      <c r="F744" s="37" t="s">
        <v>3438</v>
      </c>
      <c r="G744" s="37" t="s">
        <v>3439</v>
      </c>
      <c r="H744" s="37" t="s">
        <v>3440</v>
      </c>
      <c r="I744" s="37" t="s">
        <v>3441</v>
      </c>
      <c r="J744" s="37" t="s">
        <v>65</v>
      </c>
      <c r="K744" s="37" t="s">
        <v>181</v>
      </c>
      <c r="L744" s="37" t="s">
        <v>181</v>
      </c>
      <c r="M744" s="37">
        <v>5088</v>
      </c>
      <c r="N744" s="38" t="s">
        <v>416</v>
      </c>
      <c r="S744" s="23">
        <f>VLOOKUP(A744,Hoja1!A:D,4,0)</f>
        <v>2</v>
      </c>
      <c r="T744" s="26" t="str">
        <f>VLOOKUP(M744,[1]TIPOLOGIAS!$A:$F,4,0)</f>
        <v>MEDELLIN</v>
      </c>
      <c r="U744" s="26" t="str">
        <f>VLOOKUP(T744,'BASE TARIFA 2025'!C:D,2,0)</f>
        <v>WOMPI NOROCCIDENTE</v>
      </c>
      <c r="V744" s="27">
        <f>VLOOKUP(T744,'BASE TARIFA 2025'!C:F,3,0)</f>
        <v>37313</v>
      </c>
      <c r="W744" s="27">
        <f t="shared" si="11"/>
        <v>74626</v>
      </c>
    </row>
    <row r="745" spans="1:23" s="37" customFormat="1" ht="14.4" x14ac:dyDescent="0.3">
      <c r="A745" s="37">
        <v>71167</v>
      </c>
      <c r="B745" s="37" t="s">
        <v>4369</v>
      </c>
      <c r="C745" s="37">
        <v>80072824</v>
      </c>
      <c r="D745" s="37" t="s">
        <v>3442</v>
      </c>
      <c r="E745" s="37" t="s">
        <v>3443</v>
      </c>
      <c r="F745" s="37" t="s">
        <v>3443</v>
      </c>
      <c r="G745" s="37" t="s">
        <v>3444</v>
      </c>
      <c r="H745" s="37" t="s">
        <v>3445</v>
      </c>
      <c r="I745" s="37" t="s">
        <v>3446</v>
      </c>
      <c r="J745" s="37" t="s">
        <v>65</v>
      </c>
      <c r="K745" s="37" t="s">
        <v>181</v>
      </c>
      <c r="L745" s="37" t="s">
        <v>181</v>
      </c>
      <c r="M745" s="37">
        <v>5088</v>
      </c>
      <c r="N745" s="38" t="s">
        <v>480</v>
      </c>
      <c r="S745" s="23">
        <f>VLOOKUP(A745,Hoja1!A:D,4,0)</f>
        <v>2</v>
      </c>
      <c r="T745" s="26" t="str">
        <f>VLOOKUP(M745,[1]TIPOLOGIAS!$A:$F,4,0)</f>
        <v>MEDELLIN</v>
      </c>
      <c r="U745" s="26" t="str">
        <f>VLOOKUP(T745,'BASE TARIFA 2025'!C:D,2,0)</f>
        <v>WOMPI NOROCCIDENTE</v>
      </c>
      <c r="V745" s="27">
        <f>VLOOKUP(T745,'BASE TARIFA 2025'!C:F,3,0)</f>
        <v>37313</v>
      </c>
      <c r="W745" s="27">
        <f t="shared" si="11"/>
        <v>74626</v>
      </c>
    </row>
    <row r="746" spans="1:23" s="37" customFormat="1" ht="14.4" x14ac:dyDescent="0.3">
      <c r="A746" s="37">
        <v>71780</v>
      </c>
      <c r="B746" s="37" t="s">
        <v>4370</v>
      </c>
      <c r="C746" s="37">
        <v>51591048</v>
      </c>
      <c r="D746" s="37" t="s">
        <v>3447</v>
      </c>
      <c r="E746" s="37" t="s">
        <v>3447</v>
      </c>
      <c r="F746" s="37" t="s">
        <v>3448</v>
      </c>
      <c r="G746" s="37" t="s">
        <v>3449</v>
      </c>
      <c r="H746" s="37" t="s">
        <v>3450</v>
      </c>
      <c r="I746" s="37" t="s">
        <v>3451</v>
      </c>
      <c r="J746" s="37" t="s">
        <v>65</v>
      </c>
      <c r="K746" s="37" t="s">
        <v>181</v>
      </c>
      <c r="L746" s="37" t="s">
        <v>181</v>
      </c>
      <c r="M746" s="37">
        <v>5088</v>
      </c>
      <c r="N746" s="38" t="s">
        <v>480</v>
      </c>
      <c r="S746" s="23">
        <f>VLOOKUP(A746,Hoja1!A:D,4,0)</f>
        <v>1</v>
      </c>
      <c r="T746" s="26" t="str">
        <f>VLOOKUP(M746,[1]TIPOLOGIAS!$A:$F,4,0)</f>
        <v>MEDELLIN</v>
      </c>
      <c r="U746" s="26" t="str">
        <f>VLOOKUP(T746,'BASE TARIFA 2025'!C:D,2,0)</f>
        <v>WOMPI NOROCCIDENTE</v>
      </c>
      <c r="V746" s="27">
        <f>VLOOKUP(T746,'BASE TARIFA 2025'!C:F,3,0)</f>
        <v>37313</v>
      </c>
      <c r="W746" s="27">
        <f t="shared" si="11"/>
        <v>37313</v>
      </c>
    </row>
    <row r="747" spans="1:23" s="37" customFormat="1" ht="14.4" x14ac:dyDescent="0.3">
      <c r="A747" s="37">
        <v>71765</v>
      </c>
      <c r="B747" s="37" t="s">
        <v>4371</v>
      </c>
      <c r="C747" s="37">
        <v>1107064177</v>
      </c>
      <c r="D747" s="37" t="s">
        <v>3452</v>
      </c>
      <c r="E747" s="37" t="s">
        <v>3453</v>
      </c>
      <c r="F747" s="37" t="s">
        <v>3454</v>
      </c>
      <c r="G747" s="37" t="s">
        <v>3455</v>
      </c>
      <c r="H747" s="37" t="s">
        <v>3456</v>
      </c>
      <c r="I747" s="37" t="s">
        <v>3457</v>
      </c>
      <c r="J747" s="37" t="s">
        <v>65</v>
      </c>
      <c r="K747" s="37" t="s">
        <v>181</v>
      </c>
      <c r="L747" s="37" t="s">
        <v>181</v>
      </c>
      <c r="M747" s="37">
        <v>5088</v>
      </c>
      <c r="N747" s="38" t="s">
        <v>328</v>
      </c>
      <c r="S747" s="23">
        <f>VLOOKUP(A747,Hoja1!A:D,4,0)</f>
        <v>2</v>
      </c>
      <c r="T747" s="26" t="str">
        <f>VLOOKUP(M747,[1]TIPOLOGIAS!$A:$F,4,0)</f>
        <v>MEDELLIN</v>
      </c>
      <c r="U747" s="26" t="str">
        <f>VLOOKUP(T747,'BASE TARIFA 2025'!C:D,2,0)</f>
        <v>WOMPI NOROCCIDENTE</v>
      </c>
      <c r="V747" s="27">
        <f>VLOOKUP(T747,'BASE TARIFA 2025'!C:F,3,0)</f>
        <v>37313</v>
      </c>
      <c r="W747" s="27">
        <f t="shared" si="11"/>
        <v>74626</v>
      </c>
    </row>
    <row r="748" spans="1:23" s="37" customFormat="1" ht="14.4" x14ac:dyDescent="0.3">
      <c r="A748" s="37">
        <v>72539</v>
      </c>
      <c r="B748" s="37" t="s">
        <v>4372</v>
      </c>
      <c r="C748" s="37">
        <v>1094165025</v>
      </c>
      <c r="D748" s="37" t="s">
        <v>3458</v>
      </c>
      <c r="E748" s="37" t="s">
        <v>310</v>
      </c>
      <c r="F748" s="37" t="s">
        <v>310</v>
      </c>
      <c r="G748" s="37" t="s">
        <v>311</v>
      </c>
      <c r="H748" s="37" t="s">
        <v>312</v>
      </c>
      <c r="I748" s="37" t="s">
        <v>313</v>
      </c>
      <c r="J748" s="37" t="s">
        <v>90</v>
      </c>
      <c r="K748" s="37" t="s">
        <v>155</v>
      </c>
      <c r="L748" s="37" t="s">
        <v>155</v>
      </c>
      <c r="M748" s="37">
        <v>54001</v>
      </c>
      <c r="N748" s="38" t="s">
        <v>503</v>
      </c>
      <c r="S748" s="23">
        <f>VLOOKUP(A748,Hoja1!A:D,4,0)</f>
        <v>2</v>
      </c>
      <c r="T748" s="26" t="str">
        <f>VLOOKUP(M748,[1]TIPOLOGIAS!$A:$F,4,0)</f>
        <v>CUCUTA</v>
      </c>
      <c r="U748" s="26" t="str">
        <f>VLOOKUP(T748,'BASE TARIFA 2025'!C:D,2,0)</f>
        <v>WOMPI SANTANDERES</v>
      </c>
      <c r="V748" s="27">
        <f>VLOOKUP(T748,'BASE TARIFA 2025'!C:F,3,0)</f>
        <v>49671.7</v>
      </c>
      <c r="W748" s="27">
        <f t="shared" si="11"/>
        <v>99343.4</v>
      </c>
    </row>
    <row r="749" spans="1:23" s="37" customFormat="1" ht="14.4" x14ac:dyDescent="0.3">
      <c r="A749" s="37">
        <v>72176</v>
      </c>
      <c r="B749" s="37" t="s">
        <v>4373</v>
      </c>
      <c r="C749" s="37">
        <v>1059604126</v>
      </c>
      <c r="D749" s="37" t="s">
        <v>3459</v>
      </c>
      <c r="E749" s="37" t="s">
        <v>3460</v>
      </c>
      <c r="F749" s="37" t="s">
        <v>3461</v>
      </c>
      <c r="G749" s="37" t="s">
        <v>3462</v>
      </c>
      <c r="H749" s="37" t="s">
        <v>3463</v>
      </c>
      <c r="I749" s="37" t="s">
        <v>3464</v>
      </c>
      <c r="J749" s="37" t="s">
        <v>90</v>
      </c>
      <c r="K749" s="37" t="s">
        <v>155</v>
      </c>
      <c r="L749" s="37" t="s">
        <v>155</v>
      </c>
      <c r="M749" s="37">
        <v>54001</v>
      </c>
      <c r="N749" s="38" t="s">
        <v>513</v>
      </c>
      <c r="S749" s="23">
        <f>VLOOKUP(A749,Hoja1!A:D,4,0)</f>
        <v>2</v>
      </c>
      <c r="T749" s="26" t="str">
        <f>VLOOKUP(M749,[1]TIPOLOGIAS!$A:$F,4,0)</f>
        <v>CUCUTA</v>
      </c>
      <c r="U749" s="26" t="str">
        <f>VLOOKUP(T749,'BASE TARIFA 2025'!C:D,2,0)</f>
        <v>WOMPI SANTANDERES</v>
      </c>
      <c r="V749" s="27">
        <f>VLOOKUP(T749,'BASE TARIFA 2025'!C:F,3,0)</f>
        <v>49671.7</v>
      </c>
      <c r="W749" s="27">
        <f t="shared" si="11"/>
        <v>99343.4</v>
      </c>
    </row>
    <row r="750" spans="1:23" s="37" customFormat="1" ht="14.4" x14ac:dyDescent="0.3">
      <c r="A750" s="37">
        <v>72177</v>
      </c>
      <c r="B750" s="37" t="s">
        <v>4374</v>
      </c>
      <c r="C750" s="37">
        <v>31970507</v>
      </c>
      <c r="D750" s="37" t="s">
        <v>3465</v>
      </c>
      <c r="E750" s="37" t="s">
        <v>3466</v>
      </c>
      <c r="F750" s="37" t="s">
        <v>3466</v>
      </c>
      <c r="G750" s="37" t="s">
        <v>3467</v>
      </c>
      <c r="H750" s="37" t="s">
        <v>3468</v>
      </c>
      <c r="I750" s="37" t="s">
        <v>3469</v>
      </c>
      <c r="J750" s="37" t="s">
        <v>90</v>
      </c>
      <c r="K750" s="37" t="s">
        <v>155</v>
      </c>
      <c r="L750" s="37" t="s">
        <v>155</v>
      </c>
      <c r="M750" s="37">
        <v>54001</v>
      </c>
      <c r="N750" s="38" t="s">
        <v>503</v>
      </c>
      <c r="S750" s="23">
        <f>VLOOKUP(A750,Hoja1!A:D,4,0)</f>
        <v>2</v>
      </c>
      <c r="T750" s="26" t="str">
        <f>VLOOKUP(M750,[1]TIPOLOGIAS!$A:$F,4,0)</f>
        <v>CUCUTA</v>
      </c>
      <c r="U750" s="26" t="str">
        <f>VLOOKUP(T750,'BASE TARIFA 2025'!C:D,2,0)</f>
        <v>WOMPI SANTANDERES</v>
      </c>
      <c r="V750" s="27">
        <f>VLOOKUP(T750,'BASE TARIFA 2025'!C:F,3,0)</f>
        <v>49671.7</v>
      </c>
      <c r="W750" s="27">
        <f t="shared" si="11"/>
        <v>99343.4</v>
      </c>
    </row>
    <row r="751" spans="1:23" s="37" customFormat="1" ht="14.4" x14ac:dyDescent="0.3">
      <c r="A751" s="37">
        <v>73490</v>
      </c>
      <c r="B751" s="37" t="s">
        <v>4375</v>
      </c>
      <c r="C751" s="37">
        <v>1014281611</v>
      </c>
      <c r="D751" s="37" t="s">
        <v>3470</v>
      </c>
      <c r="E751" s="37" t="s">
        <v>3471</v>
      </c>
      <c r="F751" s="37" t="s">
        <v>3471</v>
      </c>
      <c r="G751" s="37" t="s">
        <v>3472</v>
      </c>
      <c r="H751" s="37" t="s">
        <v>3473</v>
      </c>
      <c r="I751" s="37" t="s">
        <v>3474</v>
      </c>
      <c r="J751" s="37" t="s">
        <v>90</v>
      </c>
      <c r="K751" s="37" t="s">
        <v>155</v>
      </c>
      <c r="L751" s="37" t="s">
        <v>155</v>
      </c>
      <c r="M751" s="37">
        <v>54001</v>
      </c>
      <c r="N751" s="38" t="s">
        <v>513</v>
      </c>
      <c r="S751" s="23">
        <f>VLOOKUP(A751,Hoja1!A:D,4,0)</f>
        <v>1</v>
      </c>
      <c r="T751" s="26" t="str">
        <f>VLOOKUP(M751,[1]TIPOLOGIAS!$A:$F,4,0)</f>
        <v>CUCUTA</v>
      </c>
      <c r="U751" s="26" t="str">
        <f>VLOOKUP(T751,'BASE TARIFA 2025'!C:D,2,0)</f>
        <v>WOMPI SANTANDERES</v>
      </c>
      <c r="V751" s="27">
        <f>VLOOKUP(T751,'BASE TARIFA 2025'!C:F,3,0)</f>
        <v>49671.7</v>
      </c>
      <c r="W751" s="27">
        <f t="shared" si="11"/>
        <v>49671.7</v>
      </c>
    </row>
    <row r="752" spans="1:23" s="37" customFormat="1" ht="14.4" x14ac:dyDescent="0.3">
      <c r="A752" s="37">
        <v>73695</v>
      </c>
      <c r="B752" s="37" t="s">
        <v>3654</v>
      </c>
      <c r="C752" s="37">
        <v>4245561</v>
      </c>
      <c r="D752" s="37" t="s">
        <v>3475</v>
      </c>
      <c r="E752" s="37" t="s">
        <v>3476</v>
      </c>
      <c r="F752" s="37" t="s">
        <v>3476</v>
      </c>
      <c r="G752" s="37" t="s">
        <v>3477</v>
      </c>
      <c r="H752" s="37" t="s">
        <v>3478</v>
      </c>
      <c r="I752" s="37" t="s">
        <v>3479</v>
      </c>
      <c r="J752" s="37" t="s">
        <v>90</v>
      </c>
      <c r="K752" s="37" t="s">
        <v>155</v>
      </c>
      <c r="L752" s="37" t="s">
        <v>155</v>
      </c>
      <c r="M752" s="37">
        <v>54001</v>
      </c>
      <c r="N752" s="38" t="s">
        <v>513</v>
      </c>
      <c r="S752" s="23">
        <f>VLOOKUP(A752,Hoja1!A:D,4,0)</f>
        <v>2</v>
      </c>
      <c r="T752" s="26" t="str">
        <f>VLOOKUP(M752,[1]TIPOLOGIAS!$A:$F,4,0)</f>
        <v>CUCUTA</v>
      </c>
      <c r="U752" s="26" t="str">
        <f>VLOOKUP(T752,'BASE TARIFA 2025'!C:D,2,0)</f>
        <v>WOMPI SANTANDERES</v>
      </c>
      <c r="V752" s="27">
        <f>VLOOKUP(T752,'BASE TARIFA 2025'!C:F,3,0)</f>
        <v>49671.7</v>
      </c>
      <c r="W752" s="27">
        <f t="shared" si="11"/>
        <v>99343.4</v>
      </c>
    </row>
    <row r="753" spans="1:23" s="37" customFormat="1" ht="14.4" x14ac:dyDescent="0.3">
      <c r="A753" s="37">
        <v>73703</v>
      </c>
      <c r="B753" s="37" t="s">
        <v>4376</v>
      </c>
      <c r="C753" s="37">
        <v>1000505553</v>
      </c>
      <c r="D753" s="37" t="s">
        <v>3480</v>
      </c>
      <c r="E753" s="37" t="s">
        <v>3481</v>
      </c>
      <c r="F753" s="37" t="s">
        <v>3481</v>
      </c>
      <c r="G753" s="37" t="s">
        <v>3482</v>
      </c>
      <c r="H753" s="37" t="s">
        <v>3483</v>
      </c>
      <c r="I753" s="37" t="s">
        <v>3484</v>
      </c>
      <c r="J753" s="37" t="s">
        <v>90</v>
      </c>
      <c r="K753" s="37" t="s">
        <v>155</v>
      </c>
      <c r="L753" s="37" t="s">
        <v>155</v>
      </c>
      <c r="M753" s="37">
        <v>54001</v>
      </c>
      <c r="N753" s="38" t="s">
        <v>503</v>
      </c>
      <c r="S753" s="23">
        <f>VLOOKUP(A753,Hoja1!A:D,4,0)</f>
        <v>2</v>
      </c>
      <c r="T753" s="26" t="str">
        <f>VLOOKUP(M753,[1]TIPOLOGIAS!$A:$F,4,0)</f>
        <v>CUCUTA</v>
      </c>
      <c r="U753" s="26" t="str">
        <f>VLOOKUP(T753,'BASE TARIFA 2025'!C:D,2,0)</f>
        <v>WOMPI SANTANDERES</v>
      </c>
      <c r="V753" s="27">
        <f>VLOOKUP(T753,'BASE TARIFA 2025'!C:F,3,0)</f>
        <v>49671.7</v>
      </c>
      <c r="W753" s="27">
        <f t="shared" si="11"/>
        <v>99343.4</v>
      </c>
    </row>
    <row r="754" spans="1:23" s="37" customFormat="1" ht="14.4" x14ac:dyDescent="0.3">
      <c r="A754" s="37">
        <v>73736</v>
      </c>
      <c r="B754" s="37" t="s">
        <v>4377</v>
      </c>
      <c r="C754" s="37">
        <v>1010091940</v>
      </c>
      <c r="D754" s="37" t="s">
        <v>3485</v>
      </c>
      <c r="E754" s="37" t="s">
        <v>1424</v>
      </c>
      <c r="F754" s="37" t="s">
        <v>1424</v>
      </c>
      <c r="G754" s="37" t="s">
        <v>3486</v>
      </c>
      <c r="H754" s="37" t="s">
        <v>3487</v>
      </c>
      <c r="I754" s="37" t="s">
        <v>3488</v>
      </c>
      <c r="J754" s="37" t="s">
        <v>90</v>
      </c>
      <c r="K754" s="37" t="s">
        <v>155</v>
      </c>
      <c r="L754" s="37" t="s">
        <v>155</v>
      </c>
      <c r="M754" s="37">
        <v>54001</v>
      </c>
      <c r="N754" s="38" t="s">
        <v>416</v>
      </c>
      <c r="S754" s="23">
        <f>VLOOKUP(A754,Hoja1!A:D,4,0)</f>
        <v>1</v>
      </c>
      <c r="T754" s="26" t="str">
        <f>VLOOKUP(M754,[1]TIPOLOGIAS!$A:$F,4,0)</f>
        <v>CUCUTA</v>
      </c>
      <c r="U754" s="26" t="str">
        <f>VLOOKUP(T754,'BASE TARIFA 2025'!C:D,2,0)</f>
        <v>WOMPI SANTANDERES</v>
      </c>
      <c r="V754" s="27">
        <f>VLOOKUP(T754,'BASE TARIFA 2025'!C:F,3,0)</f>
        <v>49671.7</v>
      </c>
      <c r="W754" s="27">
        <f t="shared" si="11"/>
        <v>49671.7</v>
      </c>
    </row>
    <row r="755" spans="1:23" s="37" customFormat="1" ht="14.4" x14ac:dyDescent="0.3">
      <c r="A755" s="37">
        <v>74518</v>
      </c>
      <c r="B755" s="37" t="s">
        <v>4378</v>
      </c>
      <c r="C755" s="37">
        <v>1005053971</v>
      </c>
      <c r="D755" s="37" t="s">
        <v>3489</v>
      </c>
      <c r="E755" s="37" t="s">
        <v>1403</v>
      </c>
      <c r="F755" s="37" t="s">
        <v>1403</v>
      </c>
      <c r="G755" s="37" t="s">
        <v>3490</v>
      </c>
      <c r="H755" s="37" t="s">
        <v>3491</v>
      </c>
      <c r="I755" s="37" t="s">
        <v>3492</v>
      </c>
      <c r="J755" s="37" t="s">
        <v>90</v>
      </c>
      <c r="K755" s="37" t="s">
        <v>155</v>
      </c>
      <c r="L755" s="37" t="s">
        <v>155</v>
      </c>
      <c r="M755" s="37">
        <v>54001</v>
      </c>
      <c r="N755" s="38" t="s">
        <v>503</v>
      </c>
      <c r="S755" s="23">
        <f>VLOOKUP(A755,Hoja1!A:D,4,0)</f>
        <v>2</v>
      </c>
      <c r="T755" s="26" t="str">
        <f>VLOOKUP(M755,[1]TIPOLOGIAS!$A:$F,4,0)</f>
        <v>CUCUTA</v>
      </c>
      <c r="U755" s="26" t="str">
        <f>VLOOKUP(T755,'BASE TARIFA 2025'!C:D,2,0)</f>
        <v>WOMPI SANTANDERES</v>
      </c>
      <c r="V755" s="27">
        <f>VLOOKUP(T755,'BASE TARIFA 2025'!C:F,3,0)</f>
        <v>49671.7</v>
      </c>
      <c r="W755" s="27">
        <f t="shared" si="11"/>
        <v>99343.4</v>
      </c>
    </row>
    <row r="756" spans="1:23" s="37" customFormat="1" ht="14.4" x14ac:dyDescent="0.3">
      <c r="A756" s="37">
        <v>72640</v>
      </c>
      <c r="B756" s="37" t="s">
        <v>4379</v>
      </c>
      <c r="C756" s="37">
        <v>1144133573</v>
      </c>
      <c r="D756" s="37" t="s">
        <v>3493</v>
      </c>
      <c r="E756" s="37" t="s">
        <v>3494</v>
      </c>
      <c r="F756" s="37" t="s">
        <v>3495</v>
      </c>
      <c r="G756" s="37" t="s">
        <v>3496</v>
      </c>
      <c r="H756" s="37" t="s">
        <v>3497</v>
      </c>
      <c r="I756" s="37" t="s">
        <v>3498</v>
      </c>
      <c r="J756" s="37" t="s">
        <v>86</v>
      </c>
      <c r="K756" s="37" t="s">
        <v>161</v>
      </c>
      <c r="L756" s="37" t="s">
        <v>161</v>
      </c>
      <c r="M756" s="37">
        <v>66170</v>
      </c>
      <c r="N756" s="38" t="s">
        <v>323</v>
      </c>
      <c r="S756" s="23">
        <f>VLOOKUP(A756,Hoja1!A:D,4,0)</f>
        <v>1</v>
      </c>
      <c r="T756" s="26" t="str">
        <f>VLOOKUP(M756,[1]TIPOLOGIAS!$A:$F,4,0)</f>
        <v>PEREIRA</v>
      </c>
      <c r="U756" s="26" t="str">
        <f>VLOOKUP(T756,'BASE TARIFA 2025'!C:D,2,0)</f>
        <v>WOMPI EJE CAFETERO</v>
      </c>
      <c r="V756" s="27">
        <f>VLOOKUP(T756,'BASE TARIFA 2025'!C:F,3,0)</f>
        <v>37313</v>
      </c>
      <c r="W756" s="27">
        <f t="shared" si="11"/>
        <v>37313</v>
      </c>
    </row>
    <row r="757" spans="1:23" s="37" customFormat="1" ht="14.4" x14ac:dyDescent="0.3">
      <c r="A757" s="37">
        <v>72740</v>
      </c>
      <c r="B757" s="37" t="s">
        <v>4380</v>
      </c>
      <c r="C757" s="37">
        <v>1235250894</v>
      </c>
      <c r="D757" s="37" t="s">
        <v>3499</v>
      </c>
      <c r="E757" s="37" t="s">
        <v>3500</v>
      </c>
      <c r="F757" s="37" t="s">
        <v>3500</v>
      </c>
      <c r="G757" s="37" t="s">
        <v>3501</v>
      </c>
      <c r="H757" s="37" t="s">
        <v>3502</v>
      </c>
      <c r="I757" s="37" t="s">
        <v>3503</v>
      </c>
      <c r="J757" s="37" t="s">
        <v>86</v>
      </c>
      <c r="K757" s="37" t="s">
        <v>161</v>
      </c>
      <c r="L757" s="37" t="s">
        <v>161</v>
      </c>
      <c r="M757" s="37">
        <v>66170</v>
      </c>
      <c r="N757" s="38" t="s">
        <v>328</v>
      </c>
      <c r="S757" s="23">
        <f>VLOOKUP(A757,Hoja1!A:D,4,0)</f>
        <v>2</v>
      </c>
      <c r="T757" s="26" t="str">
        <f>VLOOKUP(M757,[1]TIPOLOGIAS!$A:$F,4,0)</f>
        <v>PEREIRA</v>
      </c>
      <c r="U757" s="26" t="str">
        <f>VLOOKUP(T757,'BASE TARIFA 2025'!C:D,2,0)</f>
        <v>WOMPI EJE CAFETERO</v>
      </c>
      <c r="V757" s="27">
        <f>VLOOKUP(T757,'BASE TARIFA 2025'!C:F,3,0)</f>
        <v>37313</v>
      </c>
      <c r="W757" s="27">
        <f t="shared" si="11"/>
        <v>74626</v>
      </c>
    </row>
    <row r="758" spans="1:23" s="37" customFormat="1" ht="14.4" x14ac:dyDescent="0.3">
      <c r="A758" s="37">
        <v>74887</v>
      </c>
      <c r="B758" s="37" t="s">
        <v>4381</v>
      </c>
      <c r="C758" s="37">
        <v>80801899</v>
      </c>
      <c r="D758" s="37" t="s">
        <v>3504</v>
      </c>
      <c r="E758" s="37" t="s">
        <v>3505</v>
      </c>
      <c r="F758" s="37" t="s">
        <v>3506</v>
      </c>
      <c r="G758" s="37" t="s">
        <v>3507</v>
      </c>
      <c r="H758" s="37" t="s">
        <v>3508</v>
      </c>
      <c r="I758" s="37" t="s">
        <v>3509</v>
      </c>
      <c r="J758" s="37" t="s">
        <v>86</v>
      </c>
      <c r="K758" s="37" t="s">
        <v>161</v>
      </c>
      <c r="L758" s="37" t="s">
        <v>161</v>
      </c>
      <c r="M758" s="37">
        <v>66170</v>
      </c>
      <c r="N758" s="38" t="s">
        <v>323</v>
      </c>
      <c r="S758" s="23">
        <f>VLOOKUP(A758,Hoja1!A:D,4,0)</f>
        <v>4</v>
      </c>
      <c r="T758" s="26" t="str">
        <f>VLOOKUP(M758,[1]TIPOLOGIAS!$A:$F,4,0)</f>
        <v>PEREIRA</v>
      </c>
      <c r="U758" s="26" t="str">
        <f>VLOOKUP(T758,'BASE TARIFA 2025'!C:D,2,0)</f>
        <v>WOMPI EJE CAFETERO</v>
      </c>
      <c r="V758" s="27">
        <f>VLOOKUP(T758,'BASE TARIFA 2025'!C:F,3,0)</f>
        <v>37313</v>
      </c>
      <c r="W758" s="27">
        <f t="shared" si="11"/>
        <v>149252</v>
      </c>
    </row>
    <row r="759" spans="1:23" s="37" customFormat="1" ht="14.4" x14ac:dyDescent="0.3">
      <c r="A759" s="37">
        <v>74889</v>
      </c>
      <c r="B759" s="37" t="s">
        <v>4382</v>
      </c>
      <c r="C759" s="37">
        <v>830061125</v>
      </c>
      <c r="D759" s="37" t="s">
        <v>3510</v>
      </c>
      <c r="E759" s="37" t="s">
        <v>3511</v>
      </c>
      <c r="F759" s="37" t="s">
        <v>3510</v>
      </c>
      <c r="G759" s="37" t="s">
        <v>3512</v>
      </c>
      <c r="H759" s="37" t="s">
        <v>3513</v>
      </c>
      <c r="I759" s="37" t="s">
        <v>3514</v>
      </c>
      <c r="J759" s="37" t="s">
        <v>86</v>
      </c>
      <c r="K759" s="37" t="s">
        <v>161</v>
      </c>
      <c r="L759" s="37" t="s">
        <v>161</v>
      </c>
      <c r="M759" s="37">
        <v>66170</v>
      </c>
      <c r="N759" s="38" t="s">
        <v>328</v>
      </c>
      <c r="S759" s="23">
        <f>VLOOKUP(A759,Hoja1!A:D,4,0)</f>
        <v>2</v>
      </c>
      <c r="T759" s="26" t="str">
        <f>VLOOKUP(M759,[1]TIPOLOGIAS!$A:$F,4,0)</f>
        <v>PEREIRA</v>
      </c>
      <c r="U759" s="26" t="str">
        <f>VLOOKUP(T759,'BASE TARIFA 2025'!C:D,2,0)</f>
        <v>WOMPI EJE CAFETERO</v>
      </c>
      <c r="V759" s="27">
        <f>VLOOKUP(T759,'BASE TARIFA 2025'!C:F,3,0)</f>
        <v>37313</v>
      </c>
      <c r="W759" s="27">
        <f t="shared" si="11"/>
        <v>74626</v>
      </c>
    </row>
    <row r="760" spans="1:23" s="37" customFormat="1" ht="14.4" x14ac:dyDescent="0.3">
      <c r="A760" s="37">
        <v>74893</v>
      </c>
      <c r="B760" s="37" t="s">
        <v>4383</v>
      </c>
      <c r="C760" s="37">
        <v>1013654533</v>
      </c>
      <c r="D760" s="37" t="s">
        <v>3515</v>
      </c>
      <c r="E760" s="37" t="s">
        <v>3515</v>
      </c>
      <c r="F760" s="37" t="s">
        <v>3515</v>
      </c>
      <c r="G760" s="37" t="s">
        <v>3516</v>
      </c>
      <c r="H760" s="37" t="s">
        <v>3517</v>
      </c>
      <c r="I760" s="37" t="s">
        <v>3518</v>
      </c>
      <c r="J760" s="37" t="s">
        <v>86</v>
      </c>
      <c r="K760" s="37" t="s">
        <v>161</v>
      </c>
      <c r="L760" s="37" t="s">
        <v>161</v>
      </c>
      <c r="M760" s="37">
        <v>66170</v>
      </c>
      <c r="N760" s="38" t="s">
        <v>329</v>
      </c>
      <c r="S760" s="23">
        <f>VLOOKUP(A760,Hoja1!A:D,4,0)</f>
        <v>5</v>
      </c>
      <c r="T760" s="26" t="str">
        <f>VLOOKUP(M760,[1]TIPOLOGIAS!$A:$F,4,0)</f>
        <v>PEREIRA</v>
      </c>
      <c r="U760" s="26" t="str">
        <f>VLOOKUP(T760,'BASE TARIFA 2025'!C:D,2,0)</f>
        <v>WOMPI EJE CAFETERO</v>
      </c>
      <c r="V760" s="27">
        <f>VLOOKUP(T760,'BASE TARIFA 2025'!C:F,3,0)</f>
        <v>37313</v>
      </c>
      <c r="W760" s="27">
        <f t="shared" si="11"/>
        <v>186565</v>
      </c>
    </row>
    <row r="761" spans="1:23" s="37" customFormat="1" ht="14.4" x14ac:dyDescent="0.3">
      <c r="A761" s="37">
        <v>74970</v>
      </c>
      <c r="B761" s="37" t="s">
        <v>4384</v>
      </c>
      <c r="C761" s="37">
        <v>39802419</v>
      </c>
      <c r="D761" s="37" t="s">
        <v>298</v>
      </c>
      <c r="E761" s="37" t="s">
        <v>298</v>
      </c>
      <c r="F761" s="37" t="s">
        <v>3519</v>
      </c>
      <c r="G761" s="37" t="s">
        <v>299</v>
      </c>
      <c r="H761" s="37" t="s">
        <v>300</v>
      </c>
      <c r="I761" s="37" t="s">
        <v>301</v>
      </c>
      <c r="J761" s="37" t="s">
        <v>86</v>
      </c>
      <c r="K761" s="37" t="s">
        <v>161</v>
      </c>
      <c r="L761" s="37" t="s">
        <v>161</v>
      </c>
      <c r="M761" s="37">
        <v>66170</v>
      </c>
      <c r="N761" s="38" t="s">
        <v>328</v>
      </c>
      <c r="S761" s="23">
        <f>VLOOKUP(A761,Hoja1!A:D,4,0)</f>
        <v>1</v>
      </c>
      <c r="T761" s="26" t="str">
        <f>VLOOKUP(M761,[1]TIPOLOGIAS!$A:$F,4,0)</f>
        <v>PEREIRA</v>
      </c>
      <c r="U761" s="26" t="str">
        <f>VLOOKUP(T761,'BASE TARIFA 2025'!C:D,2,0)</f>
        <v>WOMPI EJE CAFETERO</v>
      </c>
      <c r="V761" s="27">
        <f>VLOOKUP(T761,'BASE TARIFA 2025'!C:F,3,0)</f>
        <v>37313</v>
      </c>
      <c r="W761" s="27">
        <f t="shared" si="11"/>
        <v>37313</v>
      </c>
    </row>
    <row r="762" spans="1:23" s="37" customFormat="1" ht="14.4" x14ac:dyDescent="0.3">
      <c r="A762" s="37">
        <v>74971</v>
      </c>
      <c r="B762" s="37" t="s">
        <v>4385</v>
      </c>
      <c r="C762" s="37">
        <v>23474065</v>
      </c>
      <c r="D762" s="37" t="s">
        <v>3520</v>
      </c>
      <c r="E762" s="37" t="s">
        <v>3520</v>
      </c>
      <c r="F762" s="37" t="s">
        <v>3520</v>
      </c>
      <c r="G762" s="37" t="s">
        <v>3521</v>
      </c>
      <c r="H762" s="37" t="s">
        <v>3522</v>
      </c>
      <c r="I762" s="37" t="s">
        <v>3523</v>
      </c>
      <c r="J762" s="37" t="s">
        <v>110</v>
      </c>
      <c r="K762" s="37" t="s">
        <v>3404</v>
      </c>
      <c r="L762" s="37" t="s">
        <v>3404</v>
      </c>
      <c r="M762" s="37">
        <v>85230</v>
      </c>
      <c r="N762" s="38" t="s">
        <v>513</v>
      </c>
      <c r="S762" s="23">
        <f>VLOOKUP(A762,Hoja1!A:D,4,0)</f>
        <v>1</v>
      </c>
      <c r="T762" s="26" t="str">
        <f>VLOOKUP(M762,[1]TIPOLOGIAS!$A:$F,4,0)</f>
        <v>YOPAL</v>
      </c>
      <c r="U762" s="26" t="str">
        <f>VLOOKUP(T762,'BASE TARIFA 2025'!C:D,2,0)</f>
        <v>WOMPI ORIENTE</v>
      </c>
      <c r="V762" s="27">
        <f>VLOOKUP(T762,'BASE TARIFA 2025'!C:F,3,0)</f>
        <v>49671.7</v>
      </c>
      <c r="W762" s="27">
        <f t="shared" si="11"/>
        <v>49671.7</v>
      </c>
    </row>
    <row r="763" spans="1:23" s="37" customFormat="1" ht="14.4" x14ac:dyDescent="0.3">
      <c r="A763" s="37">
        <v>75125</v>
      </c>
      <c r="B763" s="37" t="s">
        <v>4386</v>
      </c>
      <c r="C763" s="37">
        <v>39644168</v>
      </c>
      <c r="E763" s="37" t="s">
        <v>3524</v>
      </c>
      <c r="F763" s="37" t="s">
        <v>3524</v>
      </c>
      <c r="G763" s="37" t="s">
        <v>3525</v>
      </c>
      <c r="H763" s="37" t="s">
        <v>3526</v>
      </c>
      <c r="I763" s="37" t="s">
        <v>3527</v>
      </c>
      <c r="J763" s="37" t="s">
        <v>111</v>
      </c>
      <c r="K763" s="37" t="s">
        <v>122</v>
      </c>
      <c r="L763" s="37" t="s">
        <v>122</v>
      </c>
      <c r="M763" s="37">
        <v>86749</v>
      </c>
      <c r="N763" s="38" t="s">
        <v>503</v>
      </c>
      <c r="S763" s="23">
        <f>VLOOKUP(A763,Hoja1!A:D,4,0)</f>
        <v>2</v>
      </c>
      <c r="T763" s="26" t="str">
        <f>VLOOKUP(M763,[1]TIPOLOGIAS!$A:$F,4,0)</f>
        <v>PASTO</v>
      </c>
      <c r="U763" s="26" t="str">
        <f>VLOOKUP(T763,'BASE TARIFA 2025'!C:D,2,0)</f>
        <v>WOMPI SUROCCIDENTE</v>
      </c>
      <c r="V763" s="27">
        <f>VLOOKUP(T763,'BASE TARIFA 2025'!C:F,3,0)</f>
        <v>49671.7</v>
      </c>
      <c r="W763" s="27">
        <f t="shared" si="11"/>
        <v>99343.4</v>
      </c>
    </row>
    <row r="764" spans="1:23" s="37" customFormat="1" ht="14.4" x14ac:dyDescent="0.3">
      <c r="A764" s="37">
        <v>75112</v>
      </c>
      <c r="B764" s="37" t="s">
        <v>4387</v>
      </c>
      <c r="C764" s="37">
        <v>16744927</v>
      </c>
      <c r="D764" s="37" t="s">
        <v>3528</v>
      </c>
      <c r="E764" s="37" t="s">
        <v>3529</v>
      </c>
      <c r="F764" s="37" t="s">
        <v>3529</v>
      </c>
      <c r="G764" s="37" t="s">
        <v>3530</v>
      </c>
      <c r="H764" s="37" t="s">
        <v>3531</v>
      </c>
      <c r="I764" s="37" t="s">
        <v>3532</v>
      </c>
      <c r="J764" s="37" t="s">
        <v>111</v>
      </c>
      <c r="K764" s="37" t="s">
        <v>122</v>
      </c>
      <c r="L764" s="37" t="s">
        <v>122</v>
      </c>
      <c r="M764" s="37">
        <v>86749</v>
      </c>
      <c r="N764" s="38" t="s">
        <v>503</v>
      </c>
      <c r="S764" s="23">
        <f>VLOOKUP(A764,Hoja1!A:D,4,0)</f>
        <v>1</v>
      </c>
      <c r="T764" s="26" t="str">
        <f>VLOOKUP(M764,[1]TIPOLOGIAS!$A:$F,4,0)</f>
        <v>PASTO</v>
      </c>
      <c r="U764" s="26" t="str">
        <f>VLOOKUP(T764,'BASE TARIFA 2025'!C:D,2,0)</f>
        <v>WOMPI SUROCCIDENTE</v>
      </c>
      <c r="V764" s="27">
        <f>VLOOKUP(T764,'BASE TARIFA 2025'!C:F,3,0)</f>
        <v>49671.7</v>
      </c>
      <c r="W764" s="27">
        <f t="shared" si="11"/>
        <v>49671.7</v>
      </c>
    </row>
    <row r="765" spans="1:23" s="37" customFormat="1" ht="14.4" x14ac:dyDescent="0.3">
      <c r="A765" s="37">
        <v>74242</v>
      </c>
      <c r="B765" s="37" t="s">
        <v>4388</v>
      </c>
      <c r="C765" s="37">
        <v>29813227</v>
      </c>
      <c r="D765" s="37" t="s">
        <v>3533</v>
      </c>
      <c r="E765" s="37" t="s">
        <v>3534</v>
      </c>
      <c r="F765" s="37" t="s">
        <v>3533</v>
      </c>
      <c r="G765" s="37" t="s">
        <v>3535</v>
      </c>
      <c r="H765" s="37" t="s">
        <v>3536</v>
      </c>
      <c r="I765" s="37" t="s">
        <v>3537</v>
      </c>
      <c r="J765" s="37" t="s">
        <v>111</v>
      </c>
      <c r="K765" s="37" t="s">
        <v>122</v>
      </c>
      <c r="L765" s="37" t="s">
        <v>122</v>
      </c>
      <c r="M765" s="37">
        <v>86749</v>
      </c>
      <c r="N765" s="38" t="s">
        <v>503</v>
      </c>
      <c r="S765" s="23">
        <f>VLOOKUP(A765,Hoja1!A:D,4,0)</f>
        <v>2</v>
      </c>
      <c r="T765" s="26" t="str">
        <f>VLOOKUP(M765,[1]TIPOLOGIAS!$A:$F,4,0)</f>
        <v>PASTO</v>
      </c>
      <c r="U765" s="26" t="str">
        <f>VLOOKUP(T765,'BASE TARIFA 2025'!C:D,2,0)</f>
        <v>WOMPI SUROCCIDENTE</v>
      </c>
      <c r="V765" s="27">
        <f>VLOOKUP(T765,'BASE TARIFA 2025'!C:F,3,0)</f>
        <v>49671.7</v>
      </c>
      <c r="W765" s="27">
        <f t="shared" si="11"/>
        <v>99343.4</v>
      </c>
    </row>
    <row r="766" spans="1:23" s="37" customFormat="1" ht="14.4" x14ac:dyDescent="0.3">
      <c r="A766" s="37">
        <v>75302</v>
      </c>
      <c r="B766" s="37" t="s">
        <v>4389</v>
      </c>
      <c r="C766" s="37">
        <v>1113362086</v>
      </c>
      <c r="D766" s="37" t="s">
        <v>3538</v>
      </c>
      <c r="E766" s="37" t="s">
        <v>3539</v>
      </c>
      <c r="F766" s="37" t="s">
        <v>3539</v>
      </c>
      <c r="G766" s="37" t="s">
        <v>3540</v>
      </c>
      <c r="H766" s="37" t="s">
        <v>3541</v>
      </c>
      <c r="I766" s="37" t="s">
        <v>3542</v>
      </c>
      <c r="J766" s="37" t="s">
        <v>65</v>
      </c>
      <c r="K766" s="37" t="s">
        <v>123</v>
      </c>
      <c r="L766" s="37" t="s">
        <v>123</v>
      </c>
      <c r="M766" s="37">
        <v>5001</v>
      </c>
      <c r="N766" s="38" t="s">
        <v>503</v>
      </c>
      <c r="S766" s="23">
        <f>VLOOKUP(A766,Hoja1!A:D,4,0)</f>
        <v>1</v>
      </c>
      <c r="T766" s="26" t="str">
        <f>VLOOKUP(M766,[1]TIPOLOGIAS!$A:$F,4,0)</f>
        <v>MEDELLIN</v>
      </c>
      <c r="U766" s="26" t="str">
        <f>VLOOKUP(T766,'BASE TARIFA 2025'!C:D,2,0)</f>
        <v>WOMPI NOROCCIDENTE</v>
      </c>
      <c r="V766" s="27">
        <f>VLOOKUP(T766,'BASE TARIFA 2025'!C:F,3,0)</f>
        <v>37313</v>
      </c>
      <c r="W766" s="27">
        <f t="shared" si="11"/>
        <v>37313</v>
      </c>
    </row>
    <row r="767" spans="1:23" s="37" customFormat="1" ht="14.4" x14ac:dyDescent="0.3">
      <c r="A767" s="37">
        <v>75604</v>
      </c>
      <c r="B767" s="37" t="s">
        <v>4390</v>
      </c>
      <c r="C767" s="37">
        <v>4149841</v>
      </c>
      <c r="D767" s="37" t="s">
        <v>3543</v>
      </c>
      <c r="E767" s="37" t="s">
        <v>3544</v>
      </c>
      <c r="F767" s="37" t="s">
        <v>3544</v>
      </c>
      <c r="G767" s="37" t="s">
        <v>3545</v>
      </c>
      <c r="H767" s="37" t="s">
        <v>3546</v>
      </c>
      <c r="I767" s="37" t="s">
        <v>3547</v>
      </c>
      <c r="J767" s="37" t="s">
        <v>65</v>
      </c>
      <c r="K767" s="37" t="s">
        <v>123</v>
      </c>
      <c r="L767" s="37" t="s">
        <v>123</v>
      </c>
      <c r="M767" s="37">
        <v>5001</v>
      </c>
      <c r="N767" s="38" t="s">
        <v>328</v>
      </c>
      <c r="S767" s="23">
        <f>VLOOKUP(A767,Hoja1!A:D,4,0)</f>
        <v>2</v>
      </c>
      <c r="T767" s="26" t="str">
        <f>VLOOKUP(M767,[1]TIPOLOGIAS!$A:$F,4,0)</f>
        <v>MEDELLIN</v>
      </c>
      <c r="U767" s="26" t="str">
        <f>VLOOKUP(T767,'BASE TARIFA 2025'!C:D,2,0)</f>
        <v>WOMPI NOROCCIDENTE</v>
      </c>
      <c r="V767" s="27">
        <f>VLOOKUP(T767,'BASE TARIFA 2025'!C:F,3,0)</f>
        <v>37313</v>
      </c>
      <c r="W767" s="27">
        <f t="shared" si="11"/>
        <v>74626</v>
      </c>
    </row>
    <row r="768" spans="1:23" s="37" customFormat="1" ht="14.4" x14ac:dyDescent="0.3">
      <c r="A768" s="37">
        <v>75650</v>
      </c>
      <c r="B768" s="37" t="s">
        <v>4391</v>
      </c>
      <c r="C768" s="37">
        <v>1061533071</v>
      </c>
      <c r="D768" s="37" t="s">
        <v>3548</v>
      </c>
      <c r="E768" s="37" t="s">
        <v>3549</v>
      </c>
      <c r="F768" s="37" t="s">
        <v>3549</v>
      </c>
      <c r="G768" s="37" t="s">
        <v>3550</v>
      </c>
      <c r="H768" s="37" t="s">
        <v>3551</v>
      </c>
      <c r="I768" s="37" t="s">
        <v>3552</v>
      </c>
      <c r="J768" s="37" t="s">
        <v>65</v>
      </c>
      <c r="K768" s="37" t="s">
        <v>123</v>
      </c>
      <c r="L768" s="37" t="s">
        <v>123</v>
      </c>
      <c r="M768" s="37">
        <v>5001</v>
      </c>
      <c r="N768" s="38" t="s">
        <v>503</v>
      </c>
      <c r="S768" s="23">
        <f>VLOOKUP(A768,Hoja1!A:D,4,0)</f>
        <v>2</v>
      </c>
      <c r="T768" s="26" t="str">
        <f>VLOOKUP(M768,[1]TIPOLOGIAS!$A:$F,4,0)</f>
        <v>MEDELLIN</v>
      </c>
      <c r="U768" s="26" t="str">
        <f>VLOOKUP(T768,'BASE TARIFA 2025'!C:D,2,0)</f>
        <v>WOMPI NOROCCIDENTE</v>
      </c>
      <c r="V768" s="27">
        <f>VLOOKUP(T768,'BASE TARIFA 2025'!C:F,3,0)</f>
        <v>37313</v>
      </c>
      <c r="W768" s="27">
        <f t="shared" si="11"/>
        <v>74626</v>
      </c>
    </row>
    <row r="769" spans="1:23" s="37" customFormat="1" ht="14.4" x14ac:dyDescent="0.3">
      <c r="A769" s="37">
        <v>74801</v>
      </c>
      <c r="B769" s="37" t="s">
        <v>4392</v>
      </c>
      <c r="C769" s="37">
        <v>1109540710</v>
      </c>
      <c r="D769" s="37" t="s">
        <v>229</v>
      </c>
      <c r="E769" s="37" t="s">
        <v>229</v>
      </c>
      <c r="G769" s="37" t="s">
        <v>230</v>
      </c>
      <c r="H769" s="37" t="s">
        <v>231</v>
      </c>
      <c r="I769" s="37" t="s">
        <v>232</v>
      </c>
      <c r="J769" s="37" t="s">
        <v>65</v>
      </c>
      <c r="K769" s="37" t="s">
        <v>123</v>
      </c>
      <c r="L769" s="37" t="s">
        <v>123</v>
      </c>
      <c r="M769" s="37">
        <v>5001</v>
      </c>
      <c r="N769" s="38" t="s">
        <v>328</v>
      </c>
      <c r="S769" s="23">
        <f>VLOOKUP(A769,Hoja1!A:D,4,0)</f>
        <v>2</v>
      </c>
      <c r="T769" s="26" t="str">
        <f>VLOOKUP(M769,[1]TIPOLOGIAS!$A:$F,4,0)</f>
        <v>MEDELLIN</v>
      </c>
      <c r="U769" s="26" t="str">
        <f>VLOOKUP(T769,'BASE TARIFA 2025'!C:D,2,0)</f>
        <v>WOMPI NOROCCIDENTE</v>
      </c>
      <c r="V769" s="27">
        <f>VLOOKUP(T769,'BASE TARIFA 2025'!C:F,3,0)</f>
        <v>37313</v>
      </c>
      <c r="W769" s="27">
        <f t="shared" si="11"/>
        <v>74626</v>
      </c>
    </row>
    <row r="770" spans="1:23" s="37" customFormat="1" ht="14.4" x14ac:dyDescent="0.3">
      <c r="A770" s="37">
        <v>74802</v>
      </c>
      <c r="B770" s="37" t="s">
        <v>4393</v>
      </c>
      <c r="C770" s="37">
        <v>1144176944</v>
      </c>
      <c r="D770" s="37" t="s">
        <v>225</v>
      </c>
      <c r="E770" s="37" t="s">
        <v>225</v>
      </c>
      <c r="G770" s="37" t="s">
        <v>226</v>
      </c>
      <c r="H770" s="37" t="s">
        <v>227</v>
      </c>
      <c r="I770" s="37" t="s">
        <v>228</v>
      </c>
      <c r="J770" s="37" t="s">
        <v>65</v>
      </c>
      <c r="K770" s="37" t="s">
        <v>123</v>
      </c>
      <c r="L770" s="37" t="s">
        <v>123</v>
      </c>
      <c r="M770" s="37">
        <v>5001</v>
      </c>
      <c r="N770" s="38" t="s">
        <v>328</v>
      </c>
      <c r="S770" s="23">
        <f>VLOOKUP(A770,Hoja1!A:D,4,0)</f>
        <v>2</v>
      </c>
      <c r="T770" s="26" t="str">
        <f>VLOOKUP(M770,[1]TIPOLOGIAS!$A:$F,4,0)</f>
        <v>MEDELLIN</v>
      </c>
      <c r="U770" s="26" t="str">
        <f>VLOOKUP(T770,'BASE TARIFA 2025'!C:D,2,0)</f>
        <v>WOMPI NOROCCIDENTE</v>
      </c>
      <c r="V770" s="27">
        <f>VLOOKUP(T770,'BASE TARIFA 2025'!C:F,3,0)</f>
        <v>37313</v>
      </c>
      <c r="W770" s="27">
        <f t="shared" ref="W770:W784" si="12">V770*S770</f>
        <v>74626</v>
      </c>
    </row>
    <row r="771" spans="1:23" s="37" customFormat="1" ht="14.4" x14ac:dyDescent="0.3">
      <c r="A771" s="37">
        <v>75933</v>
      </c>
      <c r="B771" s="37" t="s">
        <v>4394</v>
      </c>
      <c r="C771" s="37">
        <v>1127383873</v>
      </c>
      <c r="D771" s="37" t="s">
        <v>221</v>
      </c>
      <c r="E771" s="37" t="s">
        <v>221</v>
      </c>
      <c r="F771" s="37" t="s">
        <v>3553</v>
      </c>
      <c r="G771" s="37" t="s">
        <v>222</v>
      </c>
      <c r="H771" s="37" t="s">
        <v>223</v>
      </c>
      <c r="I771" s="37" t="s">
        <v>224</v>
      </c>
      <c r="J771" s="37" t="s">
        <v>65</v>
      </c>
      <c r="K771" s="37" t="s">
        <v>123</v>
      </c>
      <c r="L771" s="37" t="s">
        <v>123</v>
      </c>
      <c r="M771" s="37">
        <v>5001</v>
      </c>
      <c r="N771" s="38" t="s">
        <v>328</v>
      </c>
      <c r="S771" s="23">
        <f>VLOOKUP(A771,Hoja1!A:D,4,0)</f>
        <v>2</v>
      </c>
      <c r="T771" s="26" t="str">
        <f>VLOOKUP(M771,[1]TIPOLOGIAS!$A:$F,4,0)</f>
        <v>MEDELLIN</v>
      </c>
      <c r="U771" s="26" t="str">
        <f>VLOOKUP(T771,'BASE TARIFA 2025'!C:D,2,0)</f>
        <v>WOMPI NOROCCIDENTE</v>
      </c>
      <c r="V771" s="27">
        <f>VLOOKUP(T771,'BASE TARIFA 2025'!C:F,3,0)</f>
        <v>37313</v>
      </c>
      <c r="W771" s="27">
        <f t="shared" si="12"/>
        <v>74626</v>
      </c>
    </row>
    <row r="772" spans="1:23" s="37" customFormat="1" ht="14.4" x14ac:dyDescent="0.3">
      <c r="A772" s="37">
        <v>75948</v>
      </c>
      <c r="B772" s="37" t="s">
        <v>4395</v>
      </c>
      <c r="C772" s="37">
        <v>38556030</v>
      </c>
      <c r="D772" s="37" t="s">
        <v>3554</v>
      </c>
      <c r="E772" s="37" t="s">
        <v>67</v>
      </c>
      <c r="F772" s="37" t="s">
        <v>3555</v>
      </c>
      <c r="G772" s="37" t="s">
        <v>3556</v>
      </c>
      <c r="H772" s="37" t="s">
        <v>3557</v>
      </c>
      <c r="I772" s="37" t="s">
        <v>3558</v>
      </c>
      <c r="J772" s="37" t="s">
        <v>65</v>
      </c>
      <c r="K772" s="37" t="s">
        <v>181</v>
      </c>
      <c r="L772" s="37" t="s">
        <v>181</v>
      </c>
      <c r="M772" s="37">
        <v>5088</v>
      </c>
      <c r="N772" s="38" t="s">
        <v>416</v>
      </c>
      <c r="S772" s="23">
        <f>VLOOKUP(A772,Hoja1!A:D,4,0)</f>
        <v>2</v>
      </c>
      <c r="T772" s="26" t="str">
        <f>VLOOKUP(M772,[1]TIPOLOGIAS!$A:$F,4,0)</f>
        <v>MEDELLIN</v>
      </c>
      <c r="U772" s="26" t="str">
        <f>VLOOKUP(T772,'BASE TARIFA 2025'!C:D,2,0)</f>
        <v>WOMPI NOROCCIDENTE</v>
      </c>
      <c r="V772" s="27">
        <f>VLOOKUP(T772,'BASE TARIFA 2025'!C:F,3,0)</f>
        <v>37313</v>
      </c>
      <c r="W772" s="27">
        <f t="shared" si="12"/>
        <v>74626</v>
      </c>
    </row>
    <row r="773" spans="1:23" s="37" customFormat="1" ht="14.4" x14ac:dyDescent="0.3">
      <c r="A773" s="37">
        <v>76080</v>
      </c>
      <c r="B773" s="37" t="s">
        <v>4396</v>
      </c>
      <c r="C773" s="37">
        <v>900183060</v>
      </c>
      <c r="D773" s="37" t="s">
        <v>67</v>
      </c>
      <c r="E773" s="37" t="s">
        <v>3559</v>
      </c>
      <c r="F773" s="37" t="s">
        <v>3560</v>
      </c>
      <c r="G773" s="37" t="s">
        <v>3561</v>
      </c>
      <c r="H773" s="37" t="s">
        <v>3562</v>
      </c>
      <c r="I773" s="37" t="s">
        <v>3563</v>
      </c>
      <c r="J773" s="37" t="s">
        <v>65</v>
      </c>
      <c r="K773" s="37" t="s">
        <v>181</v>
      </c>
      <c r="L773" s="37" t="s">
        <v>181</v>
      </c>
      <c r="M773" s="37">
        <v>5088</v>
      </c>
      <c r="N773" s="38" t="s">
        <v>328</v>
      </c>
      <c r="S773" s="23">
        <f>VLOOKUP(A773,Hoja1!A:D,4,0)</f>
        <v>2</v>
      </c>
      <c r="T773" s="26" t="str">
        <f>VLOOKUP(M773,[1]TIPOLOGIAS!$A:$F,4,0)</f>
        <v>MEDELLIN</v>
      </c>
      <c r="U773" s="26" t="str">
        <f>VLOOKUP(T773,'BASE TARIFA 2025'!C:D,2,0)</f>
        <v>WOMPI NOROCCIDENTE</v>
      </c>
      <c r="V773" s="27">
        <f>VLOOKUP(T773,'BASE TARIFA 2025'!C:F,3,0)</f>
        <v>37313</v>
      </c>
      <c r="W773" s="27">
        <f t="shared" si="12"/>
        <v>74626</v>
      </c>
    </row>
    <row r="774" spans="1:23" s="37" customFormat="1" ht="14.4" x14ac:dyDescent="0.3">
      <c r="A774" s="37">
        <v>75782</v>
      </c>
      <c r="B774" s="37" t="s">
        <v>4397</v>
      </c>
      <c r="C774" s="37">
        <v>29121983</v>
      </c>
      <c r="D774" s="37" t="s">
        <v>67</v>
      </c>
      <c r="E774" s="37" t="s">
        <v>3564</v>
      </c>
      <c r="F774" s="37" t="s">
        <v>3564</v>
      </c>
      <c r="G774" s="37" t="s">
        <v>3565</v>
      </c>
      <c r="H774" s="37" t="s">
        <v>3566</v>
      </c>
      <c r="I774" s="37" t="s">
        <v>3567</v>
      </c>
      <c r="J774" s="37" t="s">
        <v>65</v>
      </c>
      <c r="K774" s="37" t="s">
        <v>181</v>
      </c>
      <c r="L774" s="37" t="s">
        <v>181</v>
      </c>
      <c r="M774" s="37">
        <v>5088</v>
      </c>
      <c r="N774" s="38" t="s">
        <v>328</v>
      </c>
      <c r="S774" s="23">
        <f>VLOOKUP(A774,Hoja1!A:D,4,0)</f>
        <v>1</v>
      </c>
      <c r="T774" s="26" t="str">
        <f>VLOOKUP(M774,[1]TIPOLOGIAS!$A:$F,4,0)</f>
        <v>MEDELLIN</v>
      </c>
      <c r="U774" s="26" t="str">
        <f>VLOOKUP(T774,'BASE TARIFA 2025'!C:D,2,0)</f>
        <v>WOMPI NOROCCIDENTE</v>
      </c>
      <c r="V774" s="27">
        <f>VLOOKUP(T774,'BASE TARIFA 2025'!C:F,3,0)</f>
        <v>37313</v>
      </c>
      <c r="W774" s="27">
        <f t="shared" si="12"/>
        <v>37313</v>
      </c>
    </row>
    <row r="775" spans="1:23" s="37" customFormat="1" ht="14.4" x14ac:dyDescent="0.3">
      <c r="A775" s="37">
        <v>75792</v>
      </c>
      <c r="B775" s="37" t="s">
        <v>4398</v>
      </c>
      <c r="C775" s="37">
        <v>94506037</v>
      </c>
      <c r="D775" s="37" t="s">
        <v>67</v>
      </c>
      <c r="E775" s="37" t="s">
        <v>3568</v>
      </c>
      <c r="F775" s="37" t="s">
        <v>3569</v>
      </c>
      <c r="G775" s="37" t="s">
        <v>3570</v>
      </c>
      <c r="H775" s="37" t="s">
        <v>3571</v>
      </c>
      <c r="I775" s="37" t="s">
        <v>3572</v>
      </c>
      <c r="J775" s="37" t="s">
        <v>65</v>
      </c>
      <c r="K775" s="37" t="s">
        <v>181</v>
      </c>
      <c r="L775" s="37" t="s">
        <v>181</v>
      </c>
      <c r="M775" s="37">
        <v>5088</v>
      </c>
      <c r="N775" s="38" t="s">
        <v>480</v>
      </c>
      <c r="S775" s="23">
        <f>VLOOKUP(A775,Hoja1!A:D,4,0)</f>
        <v>2</v>
      </c>
      <c r="T775" s="26" t="str">
        <f>VLOOKUP(M775,[1]TIPOLOGIAS!$A:$F,4,0)</f>
        <v>MEDELLIN</v>
      </c>
      <c r="U775" s="26" t="str">
        <f>VLOOKUP(T775,'BASE TARIFA 2025'!C:D,2,0)</f>
        <v>WOMPI NOROCCIDENTE</v>
      </c>
      <c r="V775" s="27">
        <f>VLOOKUP(T775,'BASE TARIFA 2025'!C:F,3,0)</f>
        <v>37313</v>
      </c>
      <c r="W775" s="27">
        <f t="shared" si="12"/>
        <v>74626</v>
      </c>
    </row>
    <row r="776" spans="1:23" s="37" customFormat="1" ht="14.4" x14ac:dyDescent="0.3">
      <c r="A776" s="37">
        <v>75908</v>
      </c>
      <c r="B776" s="37" t="s">
        <v>4399</v>
      </c>
      <c r="C776" s="37">
        <v>14139757</v>
      </c>
      <c r="D776" s="37" t="s">
        <v>3573</v>
      </c>
      <c r="E776" s="37" t="s">
        <v>3574</v>
      </c>
      <c r="F776" s="37" t="s">
        <v>3575</v>
      </c>
      <c r="G776" s="37" t="s">
        <v>3576</v>
      </c>
      <c r="H776" s="37" t="s">
        <v>3577</v>
      </c>
      <c r="I776" s="37" t="s">
        <v>3578</v>
      </c>
      <c r="J776" s="37" t="s">
        <v>65</v>
      </c>
      <c r="K776" s="37" t="s">
        <v>181</v>
      </c>
      <c r="L776" s="37" t="s">
        <v>181</v>
      </c>
      <c r="M776" s="37">
        <v>5088</v>
      </c>
      <c r="N776" s="38" t="s">
        <v>328</v>
      </c>
      <c r="S776" s="23">
        <f>VLOOKUP(A776,Hoja1!A:D,4,0)</f>
        <v>2</v>
      </c>
      <c r="T776" s="26" t="str">
        <f>VLOOKUP(M776,[1]TIPOLOGIAS!$A:$F,4,0)</f>
        <v>MEDELLIN</v>
      </c>
      <c r="U776" s="26" t="str">
        <f>VLOOKUP(T776,'BASE TARIFA 2025'!C:D,2,0)</f>
        <v>WOMPI NOROCCIDENTE</v>
      </c>
      <c r="V776" s="27">
        <f>VLOOKUP(T776,'BASE TARIFA 2025'!C:F,3,0)</f>
        <v>37313</v>
      </c>
      <c r="W776" s="27">
        <f t="shared" si="12"/>
        <v>74626</v>
      </c>
    </row>
    <row r="777" spans="1:23" s="37" customFormat="1" ht="14.4" x14ac:dyDescent="0.3">
      <c r="A777" s="37">
        <v>76581</v>
      </c>
      <c r="B777" s="37" t="s">
        <v>4400</v>
      </c>
      <c r="C777" s="37">
        <v>38680767</v>
      </c>
      <c r="D777" s="37" t="s">
        <v>3579</v>
      </c>
      <c r="E777" s="37" t="s">
        <v>3580</v>
      </c>
      <c r="F777" s="37" t="s">
        <v>3579</v>
      </c>
      <c r="G777" s="37" t="s">
        <v>3581</v>
      </c>
      <c r="H777" s="37" t="s">
        <v>3582</v>
      </c>
      <c r="I777" s="37" t="s">
        <v>3583</v>
      </c>
      <c r="J777" s="37" t="s">
        <v>86</v>
      </c>
      <c r="K777" s="37" t="s">
        <v>161</v>
      </c>
      <c r="L777" s="37" t="s">
        <v>161</v>
      </c>
      <c r="M777" s="37">
        <v>66170</v>
      </c>
      <c r="N777" s="38" t="s">
        <v>329</v>
      </c>
      <c r="S777" s="23">
        <f>VLOOKUP(A777,Hoja1!A:D,4,0)</f>
        <v>2</v>
      </c>
      <c r="T777" s="26" t="str">
        <f>VLOOKUP(M777,[1]TIPOLOGIAS!$A:$F,4,0)</f>
        <v>PEREIRA</v>
      </c>
      <c r="U777" s="26" t="str">
        <f>VLOOKUP(T777,'BASE TARIFA 2025'!C:D,2,0)</f>
        <v>WOMPI EJE CAFETERO</v>
      </c>
      <c r="V777" s="27">
        <f>VLOOKUP(T777,'BASE TARIFA 2025'!C:F,3,0)</f>
        <v>37313</v>
      </c>
      <c r="W777" s="27">
        <f t="shared" si="12"/>
        <v>74626</v>
      </c>
    </row>
    <row r="778" spans="1:23" s="37" customFormat="1" ht="14.4" x14ac:dyDescent="0.3">
      <c r="A778" s="37">
        <v>76940</v>
      </c>
      <c r="B778" s="37" t="s">
        <v>4401</v>
      </c>
      <c r="C778" s="37">
        <v>79659179</v>
      </c>
      <c r="D778" s="37" t="s">
        <v>3584</v>
      </c>
      <c r="E778" s="37" t="s">
        <v>3585</v>
      </c>
      <c r="F778" s="37" t="s">
        <v>3586</v>
      </c>
      <c r="G778" s="37" t="s">
        <v>3587</v>
      </c>
      <c r="H778" s="37" t="s">
        <v>3588</v>
      </c>
      <c r="I778" s="37" t="s">
        <v>3589</v>
      </c>
      <c r="J778" s="37" t="s">
        <v>86</v>
      </c>
      <c r="K778" s="37" t="s">
        <v>161</v>
      </c>
      <c r="L778" s="37" t="s">
        <v>161</v>
      </c>
      <c r="M778" s="37">
        <v>66170</v>
      </c>
      <c r="N778" s="38" t="s">
        <v>503</v>
      </c>
      <c r="S778" s="23">
        <f>VLOOKUP(A778,Hoja1!A:D,4,0)</f>
        <v>2</v>
      </c>
      <c r="T778" s="26" t="str">
        <f>VLOOKUP(M778,[1]TIPOLOGIAS!$A:$F,4,0)</f>
        <v>PEREIRA</v>
      </c>
      <c r="U778" s="26" t="str">
        <f>VLOOKUP(T778,'BASE TARIFA 2025'!C:D,2,0)</f>
        <v>WOMPI EJE CAFETERO</v>
      </c>
      <c r="V778" s="27">
        <f>VLOOKUP(T778,'BASE TARIFA 2025'!C:F,3,0)</f>
        <v>37313</v>
      </c>
      <c r="W778" s="27">
        <f t="shared" si="12"/>
        <v>74626</v>
      </c>
    </row>
    <row r="779" spans="1:23" s="37" customFormat="1" ht="14.4" x14ac:dyDescent="0.3">
      <c r="A779" s="37">
        <v>76790</v>
      </c>
      <c r="B779" s="37" t="s">
        <v>4402</v>
      </c>
      <c r="C779" s="37">
        <v>1007382479</v>
      </c>
      <c r="D779" s="37" t="s">
        <v>3590</v>
      </c>
      <c r="E779" s="37" t="s">
        <v>3591</v>
      </c>
      <c r="F779" s="37" t="s">
        <v>3590</v>
      </c>
      <c r="G779" s="37" t="s">
        <v>3592</v>
      </c>
      <c r="H779" s="37" t="s">
        <v>3593</v>
      </c>
      <c r="I779" s="37" t="s">
        <v>3594</v>
      </c>
      <c r="J779" s="37" t="s">
        <v>86</v>
      </c>
      <c r="K779" s="37" t="s">
        <v>161</v>
      </c>
      <c r="L779" s="37" t="s">
        <v>161</v>
      </c>
      <c r="M779" s="37">
        <v>66170</v>
      </c>
      <c r="N779" s="38" t="s">
        <v>329</v>
      </c>
      <c r="S779" s="23">
        <f>VLOOKUP(A779,Hoja1!A:D,4,0)</f>
        <v>3</v>
      </c>
      <c r="T779" s="26" t="str">
        <f>VLOOKUP(M779,[1]TIPOLOGIAS!$A:$F,4,0)</f>
        <v>PEREIRA</v>
      </c>
      <c r="U779" s="26" t="str">
        <f>VLOOKUP(T779,'BASE TARIFA 2025'!C:D,2,0)</f>
        <v>WOMPI EJE CAFETERO</v>
      </c>
      <c r="V779" s="27">
        <f>VLOOKUP(T779,'BASE TARIFA 2025'!C:F,3,0)</f>
        <v>37313</v>
      </c>
      <c r="W779" s="27">
        <f t="shared" si="12"/>
        <v>111939</v>
      </c>
    </row>
    <row r="780" spans="1:23" s="37" customFormat="1" ht="14.4" x14ac:dyDescent="0.3">
      <c r="A780" s="37">
        <v>76791</v>
      </c>
      <c r="B780" s="37" t="s">
        <v>4403</v>
      </c>
      <c r="C780" s="37">
        <v>1007226135</v>
      </c>
      <c r="D780" s="37" t="s">
        <v>3595</v>
      </c>
      <c r="E780" s="37" t="s">
        <v>3596</v>
      </c>
      <c r="F780" s="37" t="s">
        <v>3597</v>
      </c>
      <c r="G780" s="37" t="s">
        <v>3598</v>
      </c>
      <c r="H780" s="37" t="s">
        <v>3599</v>
      </c>
      <c r="I780" s="37" t="s">
        <v>3600</v>
      </c>
      <c r="J780" s="37" t="s">
        <v>86</v>
      </c>
      <c r="K780" s="37" t="s">
        <v>161</v>
      </c>
      <c r="L780" s="37" t="s">
        <v>161</v>
      </c>
      <c r="M780" s="37">
        <v>66170</v>
      </c>
      <c r="N780" s="38" t="s">
        <v>328</v>
      </c>
      <c r="S780" s="23">
        <f>VLOOKUP(A780,Hoja1!A:D,4,0)</f>
        <v>2</v>
      </c>
      <c r="T780" s="26" t="str">
        <f>VLOOKUP(M780,[1]TIPOLOGIAS!$A:$F,4,0)</f>
        <v>PEREIRA</v>
      </c>
      <c r="U780" s="26" t="str">
        <f>VLOOKUP(T780,'BASE TARIFA 2025'!C:D,2,0)</f>
        <v>WOMPI EJE CAFETERO</v>
      </c>
      <c r="V780" s="27">
        <f>VLOOKUP(T780,'BASE TARIFA 2025'!C:F,3,0)</f>
        <v>37313</v>
      </c>
      <c r="W780" s="27">
        <f t="shared" si="12"/>
        <v>74626</v>
      </c>
    </row>
    <row r="781" spans="1:23" s="37" customFormat="1" ht="14.4" x14ac:dyDescent="0.3">
      <c r="A781" s="37">
        <v>77005</v>
      </c>
      <c r="B781" s="37" t="s">
        <v>4404</v>
      </c>
      <c r="C781" s="37">
        <v>16536858</v>
      </c>
      <c r="D781" s="37" t="s">
        <v>3601</v>
      </c>
      <c r="E781" s="37" t="s">
        <v>3601</v>
      </c>
      <c r="F781" s="37" t="s">
        <v>3601</v>
      </c>
      <c r="G781" s="37" t="s">
        <v>3602</v>
      </c>
      <c r="H781" s="37" t="s">
        <v>3603</v>
      </c>
      <c r="I781" s="37" t="s">
        <v>3604</v>
      </c>
      <c r="J781" s="37" t="s">
        <v>86</v>
      </c>
      <c r="K781" s="37" t="s">
        <v>161</v>
      </c>
      <c r="L781" s="37" t="s">
        <v>161</v>
      </c>
      <c r="M781" s="37">
        <v>66170</v>
      </c>
      <c r="N781" s="38" t="s">
        <v>323</v>
      </c>
      <c r="S781" s="23">
        <f>VLOOKUP(A781,Hoja1!A:D,4,0)</f>
        <v>1</v>
      </c>
      <c r="T781" s="26" t="str">
        <f>VLOOKUP(M781,[1]TIPOLOGIAS!$A:$F,4,0)</f>
        <v>PEREIRA</v>
      </c>
      <c r="U781" s="26" t="str">
        <f>VLOOKUP(T781,'BASE TARIFA 2025'!C:D,2,0)</f>
        <v>WOMPI EJE CAFETERO</v>
      </c>
      <c r="V781" s="27">
        <f>VLOOKUP(T781,'BASE TARIFA 2025'!C:F,3,0)</f>
        <v>37313</v>
      </c>
      <c r="W781" s="27">
        <f t="shared" si="12"/>
        <v>37313</v>
      </c>
    </row>
    <row r="782" spans="1:23" s="37" customFormat="1" ht="14.4" x14ac:dyDescent="0.3">
      <c r="A782" s="37">
        <v>77222</v>
      </c>
      <c r="B782" s="37" t="s">
        <v>4405</v>
      </c>
      <c r="C782" s="37">
        <v>1144179705</v>
      </c>
      <c r="D782" s="37" t="s">
        <v>3605</v>
      </c>
      <c r="E782" s="37" t="s">
        <v>3605</v>
      </c>
      <c r="F782" s="37" t="s">
        <v>3605</v>
      </c>
      <c r="G782" s="37" t="s">
        <v>3606</v>
      </c>
      <c r="H782" s="37" t="s">
        <v>3607</v>
      </c>
      <c r="I782" s="37" t="s">
        <v>3608</v>
      </c>
      <c r="J782" s="37" t="s">
        <v>86</v>
      </c>
      <c r="K782" s="37" t="s">
        <v>161</v>
      </c>
      <c r="L782" s="37" t="s">
        <v>161</v>
      </c>
      <c r="M782" s="37">
        <v>66170</v>
      </c>
      <c r="N782" s="38" t="s">
        <v>323</v>
      </c>
      <c r="S782" s="23">
        <f>VLOOKUP(A782,Hoja1!A:D,4,0)</f>
        <v>2</v>
      </c>
      <c r="T782" s="26" t="str">
        <f>VLOOKUP(M782,[1]TIPOLOGIAS!$A:$F,4,0)</f>
        <v>PEREIRA</v>
      </c>
      <c r="U782" s="26" t="str">
        <f>VLOOKUP(T782,'BASE TARIFA 2025'!C:D,2,0)</f>
        <v>WOMPI EJE CAFETERO</v>
      </c>
      <c r="V782" s="27">
        <f>VLOOKUP(T782,'BASE TARIFA 2025'!C:F,3,0)</f>
        <v>37313</v>
      </c>
      <c r="W782" s="27">
        <f t="shared" si="12"/>
        <v>74626</v>
      </c>
    </row>
    <row r="783" spans="1:23" s="37" customFormat="1" ht="14.4" x14ac:dyDescent="0.3">
      <c r="A783" s="37">
        <v>76365</v>
      </c>
      <c r="B783" s="37" t="s">
        <v>4406</v>
      </c>
      <c r="C783" s="37">
        <v>6108964</v>
      </c>
      <c r="D783" s="37" t="s">
        <v>3609</v>
      </c>
      <c r="E783" s="37" t="s">
        <v>3610</v>
      </c>
      <c r="F783" s="37" t="s">
        <v>3609</v>
      </c>
      <c r="G783" s="37" t="s">
        <v>3611</v>
      </c>
      <c r="H783" s="37" t="s">
        <v>3612</v>
      </c>
      <c r="I783" s="37" t="s">
        <v>3613</v>
      </c>
      <c r="J783" s="37" t="s">
        <v>86</v>
      </c>
      <c r="K783" s="37" t="s">
        <v>161</v>
      </c>
      <c r="L783" s="37" t="s">
        <v>161</v>
      </c>
      <c r="M783" s="37">
        <v>66170</v>
      </c>
      <c r="N783" s="38" t="s">
        <v>503</v>
      </c>
      <c r="S783" s="23">
        <f>VLOOKUP(A783,Hoja1!A:D,4,0)</f>
        <v>2</v>
      </c>
      <c r="T783" s="26" t="str">
        <f>VLOOKUP(M783,[1]TIPOLOGIAS!$A:$F,4,0)</f>
        <v>PEREIRA</v>
      </c>
      <c r="U783" s="26" t="str">
        <f>VLOOKUP(T783,'BASE TARIFA 2025'!C:D,2,0)</f>
        <v>WOMPI EJE CAFETERO</v>
      </c>
      <c r="V783" s="27">
        <f>VLOOKUP(T783,'BASE TARIFA 2025'!C:F,3,0)</f>
        <v>37313</v>
      </c>
      <c r="W783" s="27">
        <f t="shared" si="12"/>
        <v>74626</v>
      </c>
    </row>
    <row r="784" spans="1:23" s="37" customFormat="1" ht="14.4" x14ac:dyDescent="0.3">
      <c r="A784" s="37">
        <v>76112</v>
      </c>
      <c r="B784" s="37" t="s">
        <v>4407</v>
      </c>
      <c r="C784" s="37">
        <v>65764053</v>
      </c>
      <c r="D784" s="37" t="s">
        <v>3614</v>
      </c>
      <c r="E784" s="37" t="s">
        <v>3615</v>
      </c>
      <c r="F784" s="37" t="s">
        <v>3615</v>
      </c>
      <c r="G784" s="37" t="s">
        <v>3616</v>
      </c>
      <c r="H784" s="37" t="s">
        <v>3617</v>
      </c>
      <c r="I784" s="37" t="s">
        <v>3618</v>
      </c>
      <c r="J784" s="37" t="s">
        <v>86</v>
      </c>
      <c r="K784" s="37" t="s">
        <v>161</v>
      </c>
      <c r="L784" s="37" t="s">
        <v>161</v>
      </c>
      <c r="M784" s="37">
        <v>66170</v>
      </c>
      <c r="N784" s="38" t="s">
        <v>430</v>
      </c>
      <c r="S784" s="23">
        <f>VLOOKUP(A784,Hoja1!A:D,4,0)</f>
        <v>2</v>
      </c>
      <c r="T784" s="26" t="str">
        <f>VLOOKUP(M784,[1]TIPOLOGIAS!$A:$F,4,0)</f>
        <v>PEREIRA</v>
      </c>
      <c r="U784" s="26" t="str">
        <f>VLOOKUP(T784,'BASE TARIFA 2025'!C:D,2,0)</f>
        <v>WOMPI EJE CAFETERO</v>
      </c>
      <c r="V784" s="27">
        <f>VLOOKUP(T784,'BASE TARIFA 2025'!C:F,3,0)</f>
        <v>37313</v>
      </c>
      <c r="W784" s="27">
        <f t="shared" si="12"/>
        <v>74626</v>
      </c>
    </row>
    <row r="785" spans="23:23" ht="15" customHeight="1" x14ac:dyDescent="0.3">
      <c r="W785" s="39">
        <f>SUM(W2:W784)</f>
        <v>60581743.899999984</v>
      </c>
    </row>
  </sheetData>
  <autoFilter ref="A1:W785" xr:uid="{9158D991-50BB-498F-AF85-38F1C1C6DBE3}"/>
  <conditionalFormatting sqref="A1:A1048576">
    <cfRule type="duplicateValues" dxfId="16" priority="5"/>
    <cfRule type="duplicateValues" dxfId="15" priority="9"/>
    <cfRule type="duplicateValues" dxfId="14" priority="1010"/>
    <cfRule type="duplicateValues" dxfId="13" priority="1011"/>
  </conditionalFormatting>
  <conditionalFormatting sqref="A785:A1048576">
    <cfRule type="duplicateValues" dxfId="12" priority="1016"/>
    <cfRule type="duplicateValues" dxfId="11" priority="1017"/>
    <cfRule type="duplicateValues" dxfId="10" priority="1020"/>
    <cfRule type="duplicateValues" dxfId="9" priority="1023"/>
    <cfRule type="duplicateValues" dxfId="8" priority="1024"/>
    <cfRule type="duplicateValues" dxfId="7" priority="1029"/>
  </conditionalFormatting>
  <conditionalFormatting sqref="S1:W1">
    <cfRule type="duplicateValues" dxfId="6" priority="4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F9E8-BEE1-427F-9988-B3A32F035CCE}">
  <dimension ref="A1:B9"/>
  <sheetViews>
    <sheetView tabSelected="1" workbookViewId="0">
      <selection activeCell="B8" sqref="B8"/>
    </sheetView>
  </sheetViews>
  <sheetFormatPr baseColWidth="10" defaultColWidth="8.88671875" defaultRowHeight="14.4" x14ac:dyDescent="0.3"/>
  <cols>
    <col min="1" max="1" width="21.77734375" bestFit="1" customWidth="1"/>
    <col min="2" max="2" width="17.6640625" bestFit="1" customWidth="1"/>
  </cols>
  <sheetData>
    <row r="1" spans="1:2" x14ac:dyDescent="0.3">
      <c r="A1" s="20" t="s">
        <v>62</v>
      </c>
      <c r="B1" t="s">
        <v>317</v>
      </c>
    </row>
    <row r="2" spans="1:2" x14ac:dyDescent="0.3">
      <c r="A2" t="s">
        <v>18</v>
      </c>
      <c r="B2" s="21">
        <v>10074510</v>
      </c>
    </row>
    <row r="3" spans="1:2" x14ac:dyDescent="0.3">
      <c r="A3" t="s">
        <v>24</v>
      </c>
      <c r="B3" s="21">
        <v>5060077.2000000011</v>
      </c>
    </row>
    <row r="4" spans="1:2" x14ac:dyDescent="0.3">
      <c r="A4" t="s">
        <v>22</v>
      </c>
      <c r="B4" s="21">
        <v>3120985.7</v>
      </c>
    </row>
    <row r="5" spans="1:2" x14ac:dyDescent="0.3">
      <c r="A5" t="s">
        <v>16</v>
      </c>
      <c r="B5" s="21">
        <v>4328308</v>
      </c>
    </row>
    <row r="6" spans="1:2" x14ac:dyDescent="0.3">
      <c r="A6" t="s">
        <v>31</v>
      </c>
      <c r="B6" s="21">
        <v>11176132.500000015</v>
      </c>
    </row>
    <row r="7" spans="1:2" x14ac:dyDescent="0.3">
      <c r="A7" t="s">
        <v>26</v>
      </c>
      <c r="B7" s="21">
        <v>21812746.399999935</v>
      </c>
    </row>
    <row r="8" spans="1:2" x14ac:dyDescent="0.3">
      <c r="A8" t="s">
        <v>20</v>
      </c>
      <c r="B8" s="21">
        <v>5008984.1000000024</v>
      </c>
    </row>
    <row r="9" spans="1:2" x14ac:dyDescent="0.3">
      <c r="A9" t="s">
        <v>318</v>
      </c>
      <c r="B9" s="21">
        <v>60581743.899999954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5C1D-4AE9-46A5-B69F-A43CE6761E63}">
  <dimension ref="A1:D17890"/>
  <sheetViews>
    <sheetView workbookViewId="0"/>
  </sheetViews>
  <sheetFormatPr baseColWidth="10" defaultColWidth="8.88671875" defaultRowHeight="14.4" x14ac:dyDescent="0.3"/>
  <sheetData>
    <row r="1" spans="1:4" x14ac:dyDescent="0.3">
      <c r="A1" s="32" t="s">
        <v>3623</v>
      </c>
      <c r="B1" s="33" t="s">
        <v>319</v>
      </c>
      <c r="C1" s="33" t="s">
        <v>3624</v>
      </c>
      <c r="D1" s="36" t="s">
        <v>3660</v>
      </c>
    </row>
    <row r="2" spans="1:4" x14ac:dyDescent="0.3">
      <c r="A2" s="34">
        <v>10007</v>
      </c>
      <c r="B2" s="35" t="e">
        <f>+VLOOKUP(#REF!,'[2]Inverntario Redeban'!#REF!,2,0)</f>
        <v>#REF!</v>
      </c>
      <c r="C2" s="35" t="e">
        <f>+VLOOKUP(#REF!,'[2]Inverntario Redeban'!#REF!,3,0)</f>
        <v>#REF!</v>
      </c>
      <c r="D2" s="2" t="e">
        <f>B2+C2</f>
        <v>#REF!</v>
      </c>
    </row>
    <row r="3" spans="1:4" x14ac:dyDescent="0.3">
      <c r="A3" s="34">
        <v>10015</v>
      </c>
      <c r="B3" s="35">
        <v>1</v>
      </c>
      <c r="C3" s="35">
        <v>1</v>
      </c>
      <c r="D3" s="2">
        <f t="shared" ref="D3:D66" si="0">B3+C3</f>
        <v>2</v>
      </c>
    </row>
    <row r="4" spans="1:4" x14ac:dyDescent="0.3">
      <c r="A4" s="34">
        <v>10016</v>
      </c>
      <c r="B4" s="35">
        <v>1</v>
      </c>
      <c r="C4" s="35">
        <v>1</v>
      </c>
      <c r="D4" s="2">
        <f t="shared" si="0"/>
        <v>2</v>
      </c>
    </row>
    <row r="5" spans="1:4" x14ac:dyDescent="0.3">
      <c r="A5" s="34">
        <v>10018</v>
      </c>
      <c r="B5" s="35">
        <v>3</v>
      </c>
      <c r="C5" s="35">
        <v>0</v>
      </c>
      <c r="D5" s="2">
        <f t="shared" si="0"/>
        <v>3</v>
      </c>
    </row>
    <row r="6" spans="1:4" x14ac:dyDescent="0.3">
      <c r="A6" s="34">
        <v>10023</v>
      </c>
      <c r="B6" s="35">
        <v>1</v>
      </c>
      <c r="C6" s="35">
        <v>0</v>
      </c>
      <c r="D6" s="2">
        <f t="shared" si="0"/>
        <v>1</v>
      </c>
    </row>
    <row r="7" spans="1:4" x14ac:dyDescent="0.3">
      <c r="A7" s="34">
        <v>10024</v>
      </c>
      <c r="B7" s="35">
        <v>3</v>
      </c>
      <c r="C7" s="35">
        <v>3</v>
      </c>
      <c r="D7" s="2">
        <f t="shared" si="0"/>
        <v>6</v>
      </c>
    </row>
    <row r="8" spans="1:4" x14ac:dyDescent="0.3">
      <c r="A8" s="34">
        <v>10028</v>
      </c>
      <c r="B8" s="35">
        <v>1</v>
      </c>
      <c r="C8" s="35">
        <v>0</v>
      </c>
      <c r="D8" s="2">
        <f t="shared" si="0"/>
        <v>1</v>
      </c>
    </row>
    <row r="9" spans="1:4" x14ac:dyDescent="0.3">
      <c r="A9" s="34">
        <v>10029</v>
      </c>
      <c r="B9" s="35">
        <v>3</v>
      </c>
      <c r="C9" s="35">
        <v>2</v>
      </c>
      <c r="D9" s="2">
        <f t="shared" si="0"/>
        <v>5</v>
      </c>
    </row>
    <row r="10" spans="1:4" x14ac:dyDescent="0.3">
      <c r="A10" s="34">
        <v>10030</v>
      </c>
      <c r="B10" s="35">
        <v>2</v>
      </c>
      <c r="C10" s="35">
        <v>0</v>
      </c>
      <c r="D10" s="2">
        <f t="shared" si="0"/>
        <v>2</v>
      </c>
    </row>
    <row r="11" spans="1:4" x14ac:dyDescent="0.3">
      <c r="A11" s="34">
        <v>10032</v>
      </c>
      <c r="B11" s="35">
        <v>2</v>
      </c>
      <c r="C11" s="35">
        <v>2</v>
      </c>
      <c r="D11" s="2">
        <f t="shared" si="0"/>
        <v>4</v>
      </c>
    </row>
    <row r="12" spans="1:4" x14ac:dyDescent="0.3">
      <c r="A12" s="34">
        <v>10033</v>
      </c>
      <c r="B12" s="35">
        <v>1</v>
      </c>
      <c r="C12" s="35">
        <v>0</v>
      </c>
      <c r="D12" s="2">
        <f t="shared" si="0"/>
        <v>1</v>
      </c>
    </row>
    <row r="13" spans="1:4" x14ac:dyDescent="0.3">
      <c r="A13" s="34">
        <v>10035</v>
      </c>
      <c r="B13" s="35">
        <v>4</v>
      </c>
      <c r="C13" s="35">
        <v>1</v>
      </c>
      <c r="D13" s="2">
        <f t="shared" si="0"/>
        <v>5</v>
      </c>
    </row>
    <row r="14" spans="1:4" x14ac:dyDescent="0.3">
      <c r="A14" s="34">
        <v>10036</v>
      </c>
      <c r="B14" s="35">
        <v>1</v>
      </c>
      <c r="C14" s="35">
        <v>0</v>
      </c>
      <c r="D14" s="2">
        <f t="shared" si="0"/>
        <v>1</v>
      </c>
    </row>
    <row r="15" spans="1:4" x14ac:dyDescent="0.3">
      <c r="A15" s="34">
        <v>10037</v>
      </c>
      <c r="B15" s="35">
        <v>1</v>
      </c>
      <c r="C15" s="35">
        <v>0</v>
      </c>
      <c r="D15" s="2">
        <f t="shared" si="0"/>
        <v>1</v>
      </c>
    </row>
    <row r="16" spans="1:4" x14ac:dyDescent="0.3">
      <c r="A16" s="34">
        <v>10042</v>
      </c>
      <c r="B16" s="35">
        <v>1</v>
      </c>
      <c r="C16" s="35">
        <v>1</v>
      </c>
      <c r="D16" s="2">
        <f t="shared" si="0"/>
        <v>2</v>
      </c>
    </row>
    <row r="17" spans="1:4" x14ac:dyDescent="0.3">
      <c r="A17" s="34">
        <v>10045</v>
      </c>
      <c r="B17" s="35">
        <v>1</v>
      </c>
      <c r="C17" s="35">
        <v>1</v>
      </c>
      <c r="D17" s="2">
        <f t="shared" si="0"/>
        <v>2</v>
      </c>
    </row>
    <row r="18" spans="1:4" x14ac:dyDescent="0.3">
      <c r="A18" s="34">
        <v>10052</v>
      </c>
      <c r="B18" s="35">
        <v>1</v>
      </c>
      <c r="C18" s="35">
        <v>0</v>
      </c>
      <c r="D18" s="2">
        <f t="shared" si="0"/>
        <v>1</v>
      </c>
    </row>
    <row r="19" spans="1:4" x14ac:dyDescent="0.3">
      <c r="A19" s="34">
        <v>10055</v>
      </c>
      <c r="B19" s="35">
        <v>2</v>
      </c>
      <c r="C19" s="35">
        <v>0</v>
      </c>
      <c r="D19" s="2">
        <f t="shared" si="0"/>
        <v>2</v>
      </c>
    </row>
    <row r="20" spans="1:4" x14ac:dyDescent="0.3">
      <c r="A20" s="34">
        <v>10063</v>
      </c>
      <c r="B20" s="35">
        <v>1</v>
      </c>
      <c r="C20" s="35">
        <v>0</v>
      </c>
      <c r="D20" s="2">
        <f t="shared" si="0"/>
        <v>1</v>
      </c>
    </row>
    <row r="21" spans="1:4" x14ac:dyDescent="0.3">
      <c r="A21" s="34">
        <v>10068</v>
      </c>
      <c r="B21" s="35">
        <v>1</v>
      </c>
      <c r="C21" s="35">
        <v>0</v>
      </c>
      <c r="D21" s="2">
        <f t="shared" si="0"/>
        <v>1</v>
      </c>
    </row>
    <row r="22" spans="1:4" x14ac:dyDescent="0.3">
      <c r="A22" s="34">
        <v>10069</v>
      </c>
      <c r="B22" s="35">
        <v>1</v>
      </c>
      <c r="C22" s="35">
        <v>1</v>
      </c>
      <c r="D22" s="2">
        <f t="shared" si="0"/>
        <v>2</v>
      </c>
    </row>
    <row r="23" spans="1:4" x14ac:dyDescent="0.3">
      <c r="A23" s="34">
        <v>10073</v>
      </c>
      <c r="B23" s="35">
        <v>1</v>
      </c>
      <c r="C23" s="35">
        <v>0</v>
      </c>
      <c r="D23" s="2">
        <f t="shared" si="0"/>
        <v>1</v>
      </c>
    </row>
    <row r="24" spans="1:4" x14ac:dyDescent="0.3">
      <c r="A24" s="34">
        <v>10084</v>
      </c>
      <c r="B24" s="35">
        <v>1</v>
      </c>
      <c r="C24" s="35">
        <v>0</v>
      </c>
      <c r="D24" s="2">
        <f t="shared" si="0"/>
        <v>1</v>
      </c>
    </row>
    <row r="25" spans="1:4" x14ac:dyDescent="0.3">
      <c r="A25" s="34">
        <v>10097</v>
      </c>
      <c r="B25" s="35">
        <v>2</v>
      </c>
      <c r="C25" s="35">
        <v>1</v>
      </c>
      <c r="D25" s="2">
        <f t="shared" si="0"/>
        <v>3</v>
      </c>
    </row>
    <row r="26" spans="1:4" x14ac:dyDescent="0.3">
      <c r="A26" s="34">
        <v>10105</v>
      </c>
      <c r="B26" s="35">
        <v>1</v>
      </c>
      <c r="C26" s="35">
        <v>0</v>
      </c>
      <c r="D26" s="2">
        <f t="shared" si="0"/>
        <v>1</v>
      </c>
    </row>
    <row r="27" spans="1:4" x14ac:dyDescent="0.3">
      <c r="A27" s="34">
        <v>10106</v>
      </c>
      <c r="B27" s="35">
        <v>1</v>
      </c>
      <c r="C27" s="35">
        <v>0</v>
      </c>
      <c r="D27" s="2">
        <f t="shared" si="0"/>
        <v>1</v>
      </c>
    </row>
    <row r="28" spans="1:4" x14ac:dyDescent="0.3">
      <c r="A28" s="34">
        <v>10116</v>
      </c>
      <c r="B28" s="35">
        <v>1</v>
      </c>
      <c r="C28" s="35">
        <v>1</v>
      </c>
      <c r="D28" s="2">
        <f t="shared" si="0"/>
        <v>2</v>
      </c>
    </row>
    <row r="29" spans="1:4" x14ac:dyDescent="0.3">
      <c r="A29" s="34">
        <v>10121</v>
      </c>
      <c r="B29" s="35">
        <v>1</v>
      </c>
      <c r="C29" s="35">
        <v>0</v>
      </c>
      <c r="D29" s="2">
        <f t="shared" si="0"/>
        <v>1</v>
      </c>
    </row>
    <row r="30" spans="1:4" x14ac:dyDescent="0.3">
      <c r="A30" s="34">
        <v>10123</v>
      </c>
      <c r="B30" s="35">
        <v>2</v>
      </c>
      <c r="C30" s="35">
        <v>1</v>
      </c>
      <c r="D30" s="2">
        <f t="shared" si="0"/>
        <v>3</v>
      </c>
    </row>
    <row r="31" spans="1:4" x14ac:dyDescent="0.3">
      <c r="A31" s="34">
        <v>10130</v>
      </c>
      <c r="B31" s="35">
        <v>1</v>
      </c>
      <c r="C31" s="35">
        <v>0</v>
      </c>
      <c r="D31" s="2">
        <f t="shared" si="0"/>
        <v>1</v>
      </c>
    </row>
    <row r="32" spans="1:4" x14ac:dyDescent="0.3">
      <c r="A32" s="34">
        <v>10142</v>
      </c>
      <c r="B32" s="35">
        <v>3</v>
      </c>
      <c r="C32" s="35">
        <v>0</v>
      </c>
      <c r="D32" s="2">
        <f t="shared" si="0"/>
        <v>3</v>
      </c>
    </row>
    <row r="33" spans="1:4" x14ac:dyDescent="0.3">
      <c r="A33" s="34">
        <v>10143</v>
      </c>
      <c r="B33" s="35">
        <v>1</v>
      </c>
      <c r="C33" s="35">
        <v>0</v>
      </c>
      <c r="D33" s="2">
        <f t="shared" si="0"/>
        <v>1</v>
      </c>
    </row>
    <row r="34" spans="1:4" x14ac:dyDescent="0.3">
      <c r="A34" s="34">
        <v>10148</v>
      </c>
      <c r="B34" s="35">
        <v>2</v>
      </c>
      <c r="C34" s="35">
        <v>2</v>
      </c>
      <c r="D34" s="2">
        <f t="shared" si="0"/>
        <v>4</v>
      </c>
    </row>
    <row r="35" spans="1:4" x14ac:dyDescent="0.3">
      <c r="A35" s="34">
        <v>10151</v>
      </c>
      <c r="B35" s="35">
        <v>3</v>
      </c>
      <c r="C35" s="35">
        <v>3</v>
      </c>
      <c r="D35" s="2">
        <f t="shared" si="0"/>
        <v>6</v>
      </c>
    </row>
    <row r="36" spans="1:4" x14ac:dyDescent="0.3">
      <c r="A36" s="34">
        <v>10154</v>
      </c>
      <c r="B36" s="35">
        <v>1</v>
      </c>
      <c r="C36" s="35">
        <v>0</v>
      </c>
      <c r="D36" s="2">
        <f t="shared" si="0"/>
        <v>1</v>
      </c>
    </row>
    <row r="37" spans="1:4" x14ac:dyDescent="0.3">
      <c r="A37" s="34">
        <v>10155</v>
      </c>
      <c r="B37" s="35">
        <v>1</v>
      </c>
      <c r="C37" s="35">
        <v>0</v>
      </c>
      <c r="D37" s="2">
        <f t="shared" si="0"/>
        <v>1</v>
      </c>
    </row>
    <row r="38" spans="1:4" x14ac:dyDescent="0.3">
      <c r="A38" s="34">
        <v>10157</v>
      </c>
      <c r="B38" s="35">
        <v>1</v>
      </c>
      <c r="C38" s="35">
        <v>0</v>
      </c>
      <c r="D38" s="2">
        <f t="shared" si="0"/>
        <v>1</v>
      </c>
    </row>
    <row r="39" spans="1:4" x14ac:dyDescent="0.3">
      <c r="A39" s="34">
        <v>10158</v>
      </c>
      <c r="B39" s="35">
        <v>1</v>
      </c>
      <c r="C39" s="35">
        <v>0</v>
      </c>
      <c r="D39" s="2">
        <f t="shared" si="0"/>
        <v>1</v>
      </c>
    </row>
    <row r="40" spans="1:4" x14ac:dyDescent="0.3">
      <c r="A40" s="34">
        <v>10162</v>
      </c>
      <c r="B40" s="35">
        <v>1</v>
      </c>
      <c r="C40" s="35">
        <v>0</v>
      </c>
      <c r="D40" s="2">
        <f t="shared" si="0"/>
        <v>1</v>
      </c>
    </row>
    <row r="41" spans="1:4" x14ac:dyDescent="0.3">
      <c r="A41" s="34">
        <v>10164</v>
      </c>
      <c r="B41" s="35">
        <v>1</v>
      </c>
      <c r="C41" s="35">
        <v>0</v>
      </c>
      <c r="D41" s="2">
        <f t="shared" si="0"/>
        <v>1</v>
      </c>
    </row>
    <row r="42" spans="1:4" x14ac:dyDescent="0.3">
      <c r="A42" s="34">
        <v>10171</v>
      </c>
      <c r="B42" s="35">
        <v>1</v>
      </c>
      <c r="C42" s="35">
        <v>0</v>
      </c>
      <c r="D42" s="2">
        <f t="shared" si="0"/>
        <v>1</v>
      </c>
    </row>
    <row r="43" spans="1:4" x14ac:dyDescent="0.3">
      <c r="A43" s="34">
        <v>10173</v>
      </c>
      <c r="B43" s="35">
        <v>3</v>
      </c>
      <c r="C43" s="35">
        <v>2</v>
      </c>
      <c r="D43" s="2">
        <f t="shared" si="0"/>
        <v>5</v>
      </c>
    </row>
    <row r="44" spans="1:4" x14ac:dyDescent="0.3">
      <c r="A44" s="34">
        <v>10178</v>
      </c>
      <c r="B44" s="35">
        <v>1</v>
      </c>
      <c r="C44" s="35">
        <v>0</v>
      </c>
      <c r="D44" s="2">
        <f t="shared" si="0"/>
        <v>1</v>
      </c>
    </row>
    <row r="45" spans="1:4" x14ac:dyDescent="0.3">
      <c r="A45" s="34">
        <v>10182</v>
      </c>
      <c r="B45" s="35">
        <v>1</v>
      </c>
      <c r="C45" s="35">
        <v>0</v>
      </c>
      <c r="D45" s="2">
        <f t="shared" si="0"/>
        <v>1</v>
      </c>
    </row>
    <row r="46" spans="1:4" x14ac:dyDescent="0.3">
      <c r="A46" s="34">
        <v>10184</v>
      </c>
      <c r="B46" s="35">
        <v>3</v>
      </c>
      <c r="C46" s="35">
        <v>0</v>
      </c>
      <c r="D46" s="2">
        <f t="shared" si="0"/>
        <v>3</v>
      </c>
    </row>
    <row r="47" spans="1:4" x14ac:dyDescent="0.3">
      <c r="A47" s="34">
        <v>10185</v>
      </c>
      <c r="B47" s="35">
        <v>1</v>
      </c>
      <c r="C47" s="35">
        <v>0</v>
      </c>
      <c r="D47" s="2">
        <f t="shared" si="0"/>
        <v>1</v>
      </c>
    </row>
    <row r="48" spans="1:4" x14ac:dyDescent="0.3">
      <c r="A48" s="34">
        <v>10186</v>
      </c>
      <c r="B48" s="35">
        <v>2</v>
      </c>
      <c r="C48" s="35">
        <v>1</v>
      </c>
      <c r="D48" s="2">
        <f t="shared" si="0"/>
        <v>3</v>
      </c>
    </row>
    <row r="49" spans="1:4" x14ac:dyDescent="0.3">
      <c r="A49" s="34">
        <v>10187</v>
      </c>
      <c r="B49" s="35">
        <v>1</v>
      </c>
      <c r="C49" s="35">
        <v>1</v>
      </c>
      <c r="D49" s="2">
        <f t="shared" si="0"/>
        <v>2</v>
      </c>
    </row>
    <row r="50" spans="1:4" x14ac:dyDescent="0.3">
      <c r="A50" s="34">
        <v>10189</v>
      </c>
      <c r="B50" s="35">
        <v>1</v>
      </c>
      <c r="C50" s="35">
        <v>1</v>
      </c>
      <c r="D50" s="2">
        <f t="shared" si="0"/>
        <v>2</v>
      </c>
    </row>
    <row r="51" spans="1:4" x14ac:dyDescent="0.3">
      <c r="A51" s="34">
        <v>10190</v>
      </c>
      <c r="B51" s="35">
        <v>1</v>
      </c>
      <c r="C51" s="35">
        <v>0</v>
      </c>
      <c r="D51" s="2">
        <f t="shared" si="0"/>
        <v>1</v>
      </c>
    </row>
    <row r="52" spans="1:4" x14ac:dyDescent="0.3">
      <c r="A52" s="34">
        <v>10192</v>
      </c>
      <c r="B52" s="35">
        <v>1</v>
      </c>
      <c r="C52" s="35">
        <v>0</v>
      </c>
      <c r="D52" s="2">
        <f t="shared" si="0"/>
        <v>1</v>
      </c>
    </row>
    <row r="53" spans="1:4" x14ac:dyDescent="0.3">
      <c r="A53" s="34">
        <v>10193</v>
      </c>
      <c r="B53" s="35">
        <v>1</v>
      </c>
      <c r="C53" s="35">
        <v>0</v>
      </c>
      <c r="D53" s="2">
        <f t="shared" si="0"/>
        <v>1</v>
      </c>
    </row>
    <row r="54" spans="1:4" x14ac:dyDescent="0.3">
      <c r="A54" s="34">
        <v>10197</v>
      </c>
      <c r="B54" s="35">
        <v>1</v>
      </c>
      <c r="C54" s="35">
        <v>0</v>
      </c>
      <c r="D54" s="2">
        <f t="shared" si="0"/>
        <v>1</v>
      </c>
    </row>
    <row r="55" spans="1:4" x14ac:dyDescent="0.3">
      <c r="A55" s="34">
        <v>10198</v>
      </c>
      <c r="B55" s="35">
        <v>1</v>
      </c>
      <c r="C55" s="35">
        <v>0</v>
      </c>
      <c r="D55" s="2">
        <f t="shared" si="0"/>
        <v>1</v>
      </c>
    </row>
    <row r="56" spans="1:4" x14ac:dyDescent="0.3">
      <c r="A56" s="34">
        <v>10200</v>
      </c>
      <c r="B56" s="35">
        <v>1</v>
      </c>
      <c r="C56" s="35">
        <v>0</v>
      </c>
      <c r="D56" s="2">
        <f t="shared" si="0"/>
        <v>1</v>
      </c>
    </row>
    <row r="57" spans="1:4" x14ac:dyDescent="0.3">
      <c r="A57" s="34">
        <v>10207</v>
      </c>
      <c r="B57" s="35">
        <v>2</v>
      </c>
      <c r="C57" s="35">
        <v>0</v>
      </c>
      <c r="D57" s="2">
        <f t="shared" si="0"/>
        <v>2</v>
      </c>
    </row>
    <row r="58" spans="1:4" x14ac:dyDescent="0.3">
      <c r="A58" s="34">
        <v>10212</v>
      </c>
      <c r="B58" s="35">
        <v>1</v>
      </c>
      <c r="C58" s="35">
        <v>0</v>
      </c>
      <c r="D58" s="2">
        <f t="shared" si="0"/>
        <v>1</v>
      </c>
    </row>
    <row r="59" spans="1:4" x14ac:dyDescent="0.3">
      <c r="A59" s="34">
        <v>10215</v>
      </c>
      <c r="B59" s="35">
        <v>1</v>
      </c>
      <c r="C59" s="35">
        <v>1</v>
      </c>
      <c r="D59" s="2">
        <f t="shared" si="0"/>
        <v>2</v>
      </c>
    </row>
    <row r="60" spans="1:4" x14ac:dyDescent="0.3">
      <c r="A60" s="34">
        <v>10217</v>
      </c>
      <c r="B60" s="35">
        <v>1</v>
      </c>
      <c r="C60" s="35">
        <v>0</v>
      </c>
      <c r="D60" s="2">
        <f t="shared" si="0"/>
        <v>1</v>
      </c>
    </row>
    <row r="61" spans="1:4" x14ac:dyDescent="0.3">
      <c r="A61" s="34">
        <v>10223</v>
      </c>
      <c r="B61" s="35">
        <v>1</v>
      </c>
      <c r="C61" s="35">
        <v>0</v>
      </c>
      <c r="D61" s="2">
        <f t="shared" si="0"/>
        <v>1</v>
      </c>
    </row>
    <row r="62" spans="1:4" x14ac:dyDescent="0.3">
      <c r="A62" s="34">
        <v>10226</v>
      </c>
      <c r="B62" s="35">
        <v>1</v>
      </c>
      <c r="C62" s="35">
        <v>0</v>
      </c>
      <c r="D62" s="2">
        <f t="shared" si="0"/>
        <v>1</v>
      </c>
    </row>
    <row r="63" spans="1:4" x14ac:dyDescent="0.3">
      <c r="A63" s="34">
        <v>10227</v>
      </c>
      <c r="B63" s="35">
        <v>2</v>
      </c>
      <c r="C63" s="35">
        <v>0</v>
      </c>
      <c r="D63" s="2">
        <f t="shared" si="0"/>
        <v>2</v>
      </c>
    </row>
    <row r="64" spans="1:4" x14ac:dyDescent="0.3">
      <c r="A64" s="34">
        <v>10228</v>
      </c>
      <c r="B64" s="35">
        <v>1</v>
      </c>
      <c r="C64" s="35">
        <v>1</v>
      </c>
      <c r="D64" s="2">
        <f t="shared" si="0"/>
        <v>2</v>
      </c>
    </row>
    <row r="65" spans="1:4" x14ac:dyDescent="0.3">
      <c r="A65" s="34">
        <v>10233</v>
      </c>
      <c r="B65" s="35">
        <v>1</v>
      </c>
      <c r="C65" s="35">
        <v>0</v>
      </c>
      <c r="D65" s="2">
        <f t="shared" si="0"/>
        <v>1</v>
      </c>
    </row>
    <row r="66" spans="1:4" x14ac:dyDescent="0.3">
      <c r="A66" s="34">
        <v>10236</v>
      </c>
      <c r="B66" s="35">
        <v>1</v>
      </c>
      <c r="C66" s="35">
        <v>1</v>
      </c>
      <c r="D66" s="2">
        <f t="shared" si="0"/>
        <v>2</v>
      </c>
    </row>
    <row r="67" spans="1:4" x14ac:dyDescent="0.3">
      <c r="A67" s="34">
        <v>10240</v>
      </c>
      <c r="B67" s="35">
        <v>1</v>
      </c>
      <c r="C67" s="35">
        <v>0</v>
      </c>
      <c r="D67" s="2">
        <f t="shared" ref="D67:D130" si="1">B67+C67</f>
        <v>1</v>
      </c>
    </row>
    <row r="68" spans="1:4" x14ac:dyDescent="0.3">
      <c r="A68" s="34">
        <v>10241</v>
      </c>
      <c r="B68" s="35">
        <v>1</v>
      </c>
      <c r="C68" s="35">
        <v>0</v>
      </c>
      <c r="D68" s="2">
        <f t="shared" si="1"/>
        <v>1</v>
      </c>
    </row>
    <row r="69" spans="1:4" x14ac:dyDescent="0.3">
      <c r="A69" s="34">
        <v>10243</v>
      </c>
      <c r="B69" s="35">
        <v>2</v>
      </c>
      <c r="C69" s="35">
        <v>0</v>
      </c>
      <c r="D69" s="2">
        <f t="shared" si="1"/>
        <v>2</v>
      </c>
    </row>
    <row r="70" spans="1:4" x14ac:dyDescent="0.3">
      <c r="A70" s="34">
        <v>10248</v>
      </c>
      <c r="B70" s="35">
        <v>1</v>
      </c>
      <c r="C70" s="35">
        <v>1</v>
      </c>
      <c r="D70" s="2">
        <f t="shared" si="1"/>
        <v>2</v>
      </c>
    </row>
    <row r="71" spans="1:4" x14ac:dyDescent="0.3">
      <c r="A71" s="34">
        <v>10249</v>
      </c>
      <c r="B71" s="35">
        <v>1</v>
      </c>
      <c r="C71" s="35">
        <v>0</v>
      </c>
      <c r="D71" s="2">
        <f t="shared" si="1"/>
        <v>1</v>
      </c>
    </row>
    <row r="72" spans="1:4" x14ac:dyDescent="0.3">
      <c r="A72" s="34">
        <v>10250</v>
      </c>
      <c r="B72" s="35">
        <v>1</v>
      </c>
      <c r="C72" s="35">
        <v>1</v>
      </c>
      <c r="D72" s="2">
        <f t="shared" si="1"/>
        <v>2</v>
      </c>
    </row>
    <row r="73" spans="1:4" x14ac:dyDescent="0.3">
      <c r="A73" s="34">
        <v>10254</v>
      </c>
      <c r="B73" s="35">
        <v>1</v>
      </c>
      <c r="C73" s="35">
        <v>0</v>
      </c>
      <c r="D73" s="2">
        <f t="shared" si="1"/>
        <v>1</v>
      </c>
    </row>
    <row r="74" spans="1:4" x14ac:dyDescent="0.3">
      <c r="A74" s="34">
        <v>10256</v>
      </c>
      <c r="B74" s="35">
        <v>1</v>
      </c>
      <c r="C74" s="35">
        <v>0</v>
      </c>
      <c r="D74" s="2">
        <f t="shared" si="1"/>
        <v>1</v>
      </c>
    </row>
    <row r="75" spans="1:4" x14ac:dyDescent="0.3">
      <c r="A75" s="34">
        <v>10257</v>
      </c>
      <c r="B75" s="35">
        <v>1</v>
      </c>
      <c r="C75" s="35">
        <v>1</v>
      </c>
      <c r="D75" s="2">
        <f t="shared" si="1"/>
        <v>2</v>
      </c>
    </row>
    <row r="76" spans="1:4" x14ac:dyDescent="0.3">
      <c r="A76" s="34">
        <v>10261</v>
      </c>
      <c r="B76" s="35">
        <v>2</v>
      </c>
      <c r="C76" s="35">
        <v>0</v>
      </c>
      <c r="D76" s="2">
        <f t="shared" si="1"/>
        <v>2</v>
      </c>
    </row>
    <row r="77" spans="1:4" x14ac:dyDescent="0.3">
      <c r="A77" s="34">
        <v>10263</v>
      </c>
      <c r="B77" s="35">
        <v>1</v>
      </c>
      <c r="C77" s="35">
        <v>0</v>
      </c>
      <c r="D77" s="2">
        <f t="shared" si="1"/>
        <v>1</v>
      </c>
    </row>
    <row r="78" spans="1:4" x14ac:dyDescent="0.3">
      <c r="A78" s="34">
        <v>10266</v>
      </c>
      <c r="B78" s="35">
        <v>3</v>
      </c>
      <c r="C78" s="35">
        <v>1</v>
      </c>
      <c r="D78" s="2">
        <f t="shared" si="1"/>
        <v>4</v>
      </c>
    </row>
    <row r="79" spans="1:4" x14ac:dyDescent="0.3">
      <c r="A79" s="34">
        <v>10268</v>
      </c>
      <c r="B79" s="35">
        <v>1</v>
      </c>
      <c r="C79" s="35">
        <v>1</v>
      </c>
      <c r="D79" s="2">
        <f t="shared" si="1"/>
        <v>2</v>
      </c>
    </row>
    <row r="80" spans="1:4" x14ac:dyDescent="0.3">
      <c r="A80" s="34">
        <v>10270</v>
      </c>
      <c r="B80" s="35">
        <v>2</v>
      </c>
      <c r="C80" s="35">
        <v>0</v>
      </c>
      <c r="D80" s="2">
        <f t="shared" si="1"/>
        <v>2</v>
      </c>
    </row>
    <row r="81" spans="1:4" x14ac:dyDescent="0.3">
      <c r="A81" s="34">
        <v>10271</v>
      </c>
      <c r="B81" s="35">
        <v>1</v>
      </c>
      <c r="C81" s="35">
        <v>0</v>
      </c>
      <c r="D81" s="2">
        <f t="shared" si="1"/>
        <v>1</v>
      </c>
    </row>
    <row r="82" spans="1:4" x14ac:dyDescent="0.3">
      <c r="A82" s="34">
        <v>10273</v>
      </c>
      <c r="B82" s="35">
        <v>1</v>
      </c>
      <c r="C82" s="35">
        <v>0</v>
      </c>
      <c r="D82" s="2">
        <f t="shared" si="1"/>
        <v>1</v>
      </c>
    </row>
    <row r="83" spans="1:4" x14ac:dyDescent="0.3">
      <c r="A83" s="34">
        <v>10276</v>
      </c>
      <c r="B83" s="35">
        <v>3</v>
      </c>
      <c r="C83" s="35">
        <v>1</v>
      </c>
      <c r="D83" s="2">
        <f t="shared" si="1"/>
        <v>4</v>
      </c>
    </row>
    <row r="84" spans="1:4" x14ac:dyDescent="0.3">
      <c r="A84" s="34">
        <v>10280</v>
      </c>
      <c r="B84" s="35">
        <v>2</v>
      </c>
      <c r="C84" s="35">
        <v>1</v>
      </c>
      <c r="D84" s="2">
        <f t="shared" si="1"/>
        <v>3</v>
      </c>
    </row>
    <row r="85" spans="1:4" x14ac:dyDescent="0.3">
      <c r="A85" s="34">
        <v>10288</v>
      </c>
      <c r="B85" s="35">
        <v>3</v>
      </c>
      <c r="C85" s="35">
        <v>1</v>
      </c>
      <c r="D85" s="2">
        <f t="shared" si="1"/>
        <v>4</v>
      </c>
    </row>
    <row r="86" spans="1:4" x14ac:dyDescent="0.3">
      <c r="A86" s="34">
        <v>10290</v>
      </c>
      <c r="B86" s="35">
        <v>1</v>
      </c>
      <c r="C86" s="35">
        <v>0</v>
      </c>
      <c r="D86" s="2">
        <f t="shared" si="1"/>
        <v>1</v>
      </c>
    </row>
    <row r="87" spans="1:4" x14ac:dyDescent="0.3">
      <c r="A87" s="34">
        <v>10302</v>
      </c>
      <c r="B87" s="35">
        <v>1</v>
      </c>
      <c r="C87" s="35">
        <v>1</v>
      </c>
      <c r="D87" s="2">
        <f t="shared" si="1"/>
        <v>2</v>
      </c>
    </row>
    <row r="88" spans="1:4" x14ac:dyDescent="0.3">
      <c r="A88" s="34">
        <v>10303</v>
      </c>
      <c r="B88" s="35">
        <v>1</v>
      </c>
      <c r="C88" s="35">
        <v>0</v>
      </c>
      <c r="D88" s="2">
        <f t="shared" si="1"/>
        <v>1</v>
      </c>
    </row>
    <row r="89" spans="1:4" x14ac:dyDescent="0.3">
      <c r="A89" s="34">
        <v>10306</v>
      </c>
      <c r="B89" s="35">
        <v>3</v>
      </c>
      <c r="C89" s="35">
        <v>2</v>
      </c>
      <c r="D89" s="2">
        <f t="shared" si="1"/>
        <v>5</v>
      </c>
    </row>
    <row r="90" spans="1:4" x14ac:dyDescent="0.3">
      <c r="A90" s="34">
        <v>10312</v>
      </c>
      <c r="B90" s="35">
        <v>1</v>
      </c>
      <c r="C90" s="35">
        <v>0</v>
      </c>
      <c r="D90" s="2">
        <f t="shared" si="1"/>
        <v>1</v>
      </c>
    </row>
    <row r="91" spans="1:4" x14ac:dyDescent="0.3">
      <c r="A91" s="34">
        <v>10314</v>
      </c>
      <c r="B91" s="35">
        <v>1</v>
      </c>
      <c r="C91" s="35">
        <v>0</v>
      </c>
      <c r="D91" s="2">
        <f t="shared" si="1"/>
        <v>1</v>
      </c>
    </row>
    <row r="92" spans="1:4" x14ac:dyDescent="0.3">
      <c r="A92" s="34">
        <v>10317</v>
      </c>
      <c r="B92" s="35">
        <v>1</v>
      </c>
      <c r="C92" s="35">
        <v>0</v>
      </c>
      <c r="D92" s="2">
        <f t="shared" si="1"/>
        <v>1</v>
      </c>
    </row>
    <row r="93" spans="1:4" x14ac:dyDescent="0.3">
      <c r="A93" s="34">
        <v>10319</v>
      </c>
      <c r="B93" s="35">
        <v>1</v>
      </c>
      <c r="C93" s="35">
        <v>0</v>
      </c>
      <c r="D93" s="2">
        <f t="shared" si="1"/>
        <v>1</v>
      </c>
    </row>
    <row r="94" spans="1:4" x14ac:dyDescent="0.3">
      <c r="A94" s="34">
        <v>10324</v>
      </c>
      <c r="B94" s="35">
        <v>1</v>
      </c>
      <c r="C94" s="35">
        <v>0</v>
      </c>
      <c r="D94" s="2">
        <f t="shared" si="1"/>
        <v>1</v>
      </c>
    </row>
    <row r="95" spans="1:4" x14ac:dyDescent="0.3">
      <c r="A95" s="34">
        <v>10325</v>
      </c>
      <c r="B95" s="35">
        <v>2</v>
      </c>
      <c r="C95" s="35">
        <v>0</v>
      </c>
      <c r="D95" s="2">
        <f t="shared" si="1"/>
        <v>2</v>
      </c>
    </row>
    <row r="96" spans="1:4" x14ac:dyDescent="0.3">
      <c r="A96" s="34">
        <v>10331</v>
      </c>
      <c r="B96" s="35">
        <v>1</v>
      </c>
      <c r="C96" s="35">
        <v>0</v>
      </c>
      <c r="D96" s="2">
        <f t="shared" si="1"/>
        <v>1</v>
      </c>
    </row>
    <row r="97" spans="1:4" x14ac:dyDescent="0.3">
      <c r="A97" s="34">
        <v>10332</v>
      </c>
      <c r="B97" s="35">
        <v>1</v>
      </c>
      <c r="C97" s="35">
        <v>0</v>
      </c>
      <c r="D97" s="2">
        <f t="shared" si="1"/>
        <v>1</v>
      </c>
    </row>
    <row r="98" spans="1:4" x14ac:dyDescent="0.3">
      <c r="A98" s="34">
        <v>10334</v>
      </c>
      <c r="B98" s="35">
        <v>1</v>
      </c>
      <c r="C98" s="35">
        <v>0</v>
      </c>
      <c r="D98" s="2">
        <f t="shared" si="1"/>
        <v>1</v>
      </c>
    </row>
    <row r="99" spans="1:4" x14ac:dyDescent="0.3">
      <c r="A99" s="34">
        <v>10337</v>
      </c>
      <c r="B99" s="35">
        <v>2</v>
      </c>
      <c r="C99" s="35">
        <v>2</v>
      </c>
      <c r="D99" s="2">
        <f t="shared" si="1"/>
        <v>4</v>
      </c>
    </row>
    <row r="100" spans="1:4" x14ac:dyDescent="0.3">
      <c r="A100" s="34">
        <v>10341</v>
      </c>
      <c r="B100" s="35">
        <v>1</v>
      </c>
      <c r="C100" s="35">
        <v>0</v>
      </c>
      <c r="D100" s="2">
        <f t="shared" si="1"/>
        <v>1</v>
      </c>
    </row>
    <row r="101" spans="1:4" x14ac:dyDescent="0.3">
      <c r="A101" s="34">
        <v>10344</v>
      </c>
      <c r="B101" s="35">
        <v>3</v>
      </c>
      <c r="C101" s="35">
        <v>0</v>
      </c>
      <c r="D101" s="2">
        <f t="shared" si="1"/>
        <v>3</v>
      </c>
    </row>
    <row r="102" spans="1:4" x14ac:dyDescent="0.3">
      <c r="A102" s="34">
        <v>10345</v>
      </c>
      <c r="B102" s="35">
        <v>1</v>
      </c>
      <c r="C102" s="35">
        <v>1</v>
      </c>
      <c r="D102" s="2">
        <f t="shared" si="1"/>
        <v>2</v>
      </c>
    </row>
    <row r="103" spans="1:4" x14ac:dyDescent="0.3">
      <c r="A103" s="34">
        <v>10346</v>
      </c>
      <c r="B103" s="35">
        <v>1</v>
      </c>
      <c r="C103" s="35">
        <v>0</v>
      </c>
      <c r="D103" s="2">
        <f t="shared" si="1"/>
        <v>1</v>
      </c>
    </row>
    <row r="104" spans="1:4" x14ac:dyDescent="0.3">
      <c r="A104" s="34">
        <v>10347</v>
      </c>
      <c r="B104" s="35">
        <v>2</v>
      </c>
      <c r="C104" s="35">
        <v>1</v>
      </c>
      <c r="D104" s="2">
        <f t="shared" si="1"/>
        <v>3</v>
      </c>
    </row>
    <row r="105" spans="1:4" x14ac:dyDescent="0.3">
      <c r="A105" s="34">
        <v>10349</v>
      </c>
      <c r="B105" s="35">
        <v>1</v>
      </c>
      <c r="C105" s="35">
        <v>1</v>
      </c>
      <c r="D105" s="2">
        <f t="shared" si="1"/>
        <v>2</v>
      </c>
    </row>
    <row r="106" spans="1:4" x14ac:dyDescent="0.3">
      <c r="A106" s="34">
        <v>10351</v>
      </c>
      <c r="B106" s="35">
        <v>2</v>
      </c>
      <c r="C106" s="35">
        <v>0</v>
      </c>
      <c r="D106" s="2">
        <f t="shared" si="1"/>
        <v>2</v>
      </c>
    </row>
    <row r="107" spans="1:4" x14ac:dyDescent="0.3">
      <c r="A107" s="34">
        <v>10357</v>
      </c>
      <c r="B107" s="35">
        <v>1</v>
      </c>
      <c r="C107" s="35">
        <v>0</v>
      </c>
      <c r="D107" s="2">
        <f t="shared" si="1"/>
        <v>1</v>
      </c>
    </row>
    <row r="108" spans="1:4" x14ac:dyDescent="0.3">
      <c r="A108" s="34">
        <v>10358</v>
      </c>
      <c r="B108" s="35">
        <v>1</v>
      </c>
      <c r="C108" s="35">
        <v>0</v>
      </c>
      <c r="D108" s="2">
        <f t="shared" si="1"/>
        <v>1</v>
      </c>
    </row>
    <row r="109" spans="1:4" x14ac:dyDescent="0.3">
      <c r="A109" s="34">
        <v>10361</v>
      </c>
      <c r="B109" s="35">
        <v>2</v>
      </c>
      <c r="C109" s="35">
        <v>0</v>
      </c>
      <c r="D109" s="2">
        <f t="shared" si="1"/>
        <v>2</v>
      </c>
    </row>
    <row r="110" spans="1:4" x14ac:dyDescent="0.3">
      <c r="A110" s="34">
        <v>10362</v>
      </c>
      <c r="B110" s="35">
        <v>3</v>
      </c>
      <c r="C110" s="35">
        <v>2</v>
      </c>
      <c r="D110" s="2">
        <f t="shared" si="1"/>
        <v>5</v>
      </c>
    </row>
    <row r="111" spans="1:4" x14ac:dyDescent="0.3">
      <c r="A111" s="34">
        <v>10363</v>
      </c>
      <c r="B111" s="35">
        <v>1</v>
      </c>
      <c r="C111" s="35">
        <v>0</v>
      </c>
      <c r="D111" s="2">
        <f t="shared" si="1"/>
        <v>1</v>
      </c>
    </row>
    <row r="112" spans="1:4" x14ac:dyDescent="0.3">
      <c r="A112" s="34">
        <v>10364</v>
      </c>
      <c r="B112" s="35">
        <v>3</v>
      </c>
      <c r="C112" s="35">
        <v>1</v>
      </c>
      <c r="D112" s="2">
        <f t="shared" si="1"/>
        <v>4</v>
      </c>
    </row>
    <row r="113" spans="1:4" x14ac:dyDescent="0.3">
      <c r="A113" s="34">
        <v>10365</v>
      </c>
      <c r="B113" s="35">
        <v>1</v>
      </c>
      <c r="C113" s="35">
        <v>0</v>
      </c>
      <c r="D113" s="2">
        <f t="shared" si="1"/>
        <v>1</v>
      </c>
    </row>
    <row r="114" spans="1:4" x14ac:dyDescent="0.3">
      <c r="A114" s="34">
        <v>10372</v>
      </c>
      <c r="B114" s="35">
        <v>1</v>
      </c>
      <c r="C114" s="35">
        <v>1</v>
      </c>
      <c r="D114" s="2">
        <f t="shared" si="1"/>
        <v>2</v>
      </c>
    </row>
    <row r="115" spans="1:4" x14ac:dyDescent="0.3">
      <c r="A115" s="34">
        <v>10377</v>
      </c>
      <c r="B115" s="35">
        <v>1</v>
      </c>
      <c r="C115" s="35">
        <v>0</v>
      </c>
      <c r="D115" s="2">
        <f t="shared" si="1"/>
        <v>1</v>
      </c>
    </row>
    <row r="116" spans="1:4" x14ac:dyDescent="0.3">
      <c r="A116" s="34">
        <v>10393</v>
      </c>
      <c r="B116" s="35">
        <v>2</v>
      </c>
      <c r="C116" s="35">
        <v>1</v>
      </c>
      <c r="D116" s="2">
        <f t="shared" si="1"/>
        <v>3</v>
      </c>
    </row>
    <row r="117" spans="1:4" x14ac:dyDescent="0.3">
      <c r="A117" s="34">
        <v>10400</v>
      </c>
      <c r="B117" s="35">
        <v>2</v>
      </c>
      <c r="C117" s="35">
        <v>2</v>
      </c>
      <c r="D117" s="2">
        <f t="shared" si="1"/>
        <v>4</v>
      </c>
    </row>
    <row r="118" spans="1:4" x14ac:dyDescent="0.3">
      <c r="A118" s="34">
        <v>10407</v>
      </c>
      <c r="B118" s="35">
        <v>1</v>
      </c>
      <c r="C118" s="35">
        <v>1</v>
      </c>
      <c r="D118" s="2">
        <f t="shared" si="1"/>
        <v>2</v>
      </c>
    </row>
    <row r="119" spans="1:4" x14ac:dyDescent="0.3">
      <c r="A119" s="34">
        <v>10414</v>
      </c>
      <c r="B119" s="35">
        <v>2</v>
      </c>
      <c r="C119" s="35">
        <v>1</v>
      </c>
      <c r="D119" s="2">
        <f t="shared" si="1"/>
        <v>3</v>
      </c>
    </row>
    <row r="120" spans="1:4" x14ac:dyDescent="0.3">
      <c r="A120" s="34">
        <v>10419</v>
      </c>
      <c r="B120" s="35">
        <v>1</v>
      </c>
      <c r="C120" s="35">
        <v>0</v>
      </c>
      <c r="D120" s="2">
        <f t="shared" si="1"/>
        <v>1</v>
      </c>
    </row>
    <row r="121" spans="1:4" x14ac:dyDescent="0.3">
      <c r="A121" s="34">
        <v>10420</v>
      </c>
      <c r="B121" s="35">
        <v>2</v>
      </c>
      <c r="C121" s="35">
        <v>0</v>
      </c>
      <c r="D121" s="2">
        <f t="shared" si="1"/>
        <v>2</v>
      </c>
    </row>
    <row r="122" spans="1:4" x14ac:dyDescent="0.3">
      <c r="A122" s="34">
        <v>10421</v>
      </c>
      <c r="B122" s="35">
        <v>1</v>
      </c>
      <c r="C122" s="35">
        <v>0</v>
      </c>
      <c r="D122" s="2">
        <f t="shared" si="1"/>
        <v>1</v>
      </c>
    </row>
    <row r="123" spans="1:4" x14ac:dyDescent="0.3">
      <c r="A123" s="34">
        <v>10433</v>
      </c>
      <c r="B123" s="35">
        <v>1</v>
      </c>
      <c r="C123" s="35">
        <v>0</v>
      </c>
      <c r="D123" s="2">
        <f t="shared" si="1"/>
        <v>1</v>
      </c>
    </row>
    <row r="124" spans="1:4" x14ac:dyDescent="0.3">
      <c r="A124" s="34">
        <v>10438</v>
      </c>
      <c r="B124" s="35">
        <v>1</v>
      </c>
      <c r="C124" s="35">
        <v>0</v>
      </c>
      <c r="D124" s="2">
        <f t="shared" si="1"/>
        <v>1</v>
      </c>
    </row>
    <row r="125" spans="1:4" x14ac:dyDescent="0.3">
      <c r="A125" s="34">
        <v>10445</v>
      </c>
      <c r="B125" s="35">
        <v>1</v>
      </c>
      <c r="C125" s="35">
        <v>1</v>
      </c>
      <c r="D125" s="2">
        <f t="shared" si="1"/>
        <v>2</v>
      </c>
    </row>
    <row r="126" spans="1:4" x14ac:dyDescent="0.3">
      <c r="A126" s="34">
        <v>10446</v>
      </c>
      <c r="B126" s="35">
        <v>3</v>
      </c>
      <c r="C126" s="35">
        <v>1</v>
      </c>
      <c r="D126" s="2">
        <f t="shared" si="1"/>
        <v>4</v>
      </c>
    </row>
    <row r="127" spans="1:4" x14ac:dyDescent="0.3">
      <c r="A127" s="34">
        <v>10448</v>
      </c>
      <c r="B127" s="35">
        <v>1</v>
      </c>
      <c r="C127" s="35">
        <v>0</v>
      </c>
      <c r="D127" s="2">
        <f t="shared" si="1"/>
        <v>1</v>
      </c>
    </row>
    <row r="128" spans="1:4" x14ac:dyDescent="0.3">
      <c r="A128" s="34">
        <v>10449</v>
      </c>
      <c r="B128" s="35">
        <v>2</v>
      </c>
      <c r="C128" s="35">
        <v>0</v>
      </c>
      <c r="D128" s="2">
        <f t="shared" si="1"/>
        <v>2</v>
      </c>
    </row>
    <row r="129" spans="1:4" x14ac:dyDescent="0.3">
      <c r="A129" s="34">
        <v>10451</v>
      </c>
      <c r="B129" s="35">
        <v>1</v>
      </c>
      <c r="C129" s="35">
        <v>0</v>
      </c>
      <c r="D129" s="2">
        <f t="shared" si="1"/>
        <v>1</v>
      </c>
    </row>
    <row r="130" spans="1:4" x14ac:dyDescent="0.3">
      <c r="A130" s="34">
        <v>10455</v>
      </c>
      <c r="B130" s="35">
        <v>1</v>
      </c>
      <c r="C130" s="35">
        <v>0</v>
      </c>
      <c r="D130" s="2">
        <f t="shared" si="1"/>
        <v>1</v>
      </c>
    </row>
    <row r="131" spans="1:4" x14ac:dyDescent="0.3">
      <c r="A131" s="34">
        <v>10456</v>
      </c>
      <c r="B131" s="35">
        <v>1</v>
      </c>
      <c r="C131" s="35">
        <v>0</v>
      </c>
      <c r="D131" s="2">
        <f t="shared" ref="D131:D194" si="2">B131+C131</f>
        <v>1</v>
      </c>
    </row>
    <row r="132" spans="1:4" x14ac:dyDescent="0.3">
      <c r="A132" s="34">
        <v>10457</v>
      </c>
      <c r="B132" s="35">
        <v>1</v>
      </c>
      <c r="C132" s="35">
        <v>0</v>
      </c>
      <c r="D132" s="2">
        <f t="shared" si="2"/>
        <v>1</v>
      </c>
    </row>
    <row r="133" spans="1:4" x14ac:dyDescent="0.3">
      <c r="A133" s="34">
        <v>10458</v>
      </c>
      <c r="B133" s="35">
        <v>1</v>
      </c>
      <c r="C133" s="35">
        <v>0</v>
      </c>
      <c r="D133" s="2">
        <f t="shared" si="2"/>
        <v>1</v>
      </c>
    </row>
    <row r="134" spans="1:4" x14ac:dyDescent="0.3">
      <c r="A134" s="34">
        <v>10464</v>
      </c>
      <c r="B134" s="35">
        <v>3</v>
      </c>
      <c r="C134" s="35">
        <v>1</v>
      </c>
      <c r="D134" s="2">
        <f t="shared" si="2"/>
        <v>4</v>
      </c>
    </row>
    <row r="135" spans="1:4" x14ac:dyDescent="0.3">
      <c r="A135" s="34">
        <v>10466</v>
      </c>
      <c r="B135" s="35">
        <v>1</v>
      </c>
      <c r="C135" s="35">
        <v>0</v>
      </c>
      <c r="D135" s="2">
        <f t="shared" si="2"/>
        <v>1</v>
      </c>
    </row>
    <row r="136" spans="1:4" x14ac:dyDescent="0.3">
      <c r="A136" s="34">
        <v>10468</v>
      </c>
      <c r="B136" s="35">
        <v>1</v>
      </c>
      <c r="C136" s="35">
        <v>0</v>
      </c>
      <c r="D136" s="2">
        <f t="shared" si="2"/>
        <v>1</v>
      </c>
    </row>
    <row r="137" spans="1:4" x14ac:dyDescent="0.3">
      <c r="A137" s="34">
        <v>10470</v>
      </c>
      <c r="B137" s="35">
        <v>1</v>
      </c>
      <c r="C137" s="35">
        <v>1</v>
      </c>
      <c r="D137" s="2">
        <f t="shared" si="2"/>
        <v>2</v>
      </c>
    </row>
    <row r="138" spans="1:4" x14ac:dyDescent="0.3">
      <c r="A138" s="34">
        <v>10472</v>
      </c>
      <c r="B138" s="35">
        <v>1</v>
      </c>
      <c r="C138" s="35">
        <v>1</v>
      </c>
      <c r="D138" s="2">
        <f t="shared" si="2"/>
        <v>2</v>
      </c>
    </row>
    <row r="139" spans="1:4" x14ac:dyDescent="0.3">
      <c r="A139" s="34">
        <v>10473</v>
      </c>
      <c r="B139" s="35">
        <v>1</v>
      </c>
      <c r="C139" s="35">
        <v>0</v>
      </c>
      <c r="D139" s="2">
        <f t="shared" si="2"/>
        <v>1</v>
      </c>
    </row>
    <row r="140" spans="1:4" x14ac:dyDescent="0.3">
      <c r="A140" s="34">
        <v>10475</v>
      </c>
      <c r="B140" s="35">
        <v>1</v>
      </c>
      <c r="C140" s="35">
        <v>0</v>
      </c>
      <c r="D140" s="2">
        <f t="shared" si="2"/>
        <v>1</v>
      </c>
    </row>
    <row r="141" spans="1:4" x14ac:dyDescent="0.3">
      <c r="A141" s="34">
        <v>10482</v>
      </c>
      <c r="B141" s="35">
        <v>2</v>
      </c>
      <c r="C141" s="35">
        <v>2</v>
      </c>
      <c r="D141" s="2">
        <f t="shared" si="2"/>
        <v>4</v>
      </c>
    </row>
    <row r="142" spans="1:4" x14ac:dyDescent="0.3">
      <c r="A142" s="34">
        <v>10483</v>
      </c>
      <c r="B142" s="35">
        <v>2</v>
      </c>
      <c r="C142" s="35">
        <v>1</v>
      </c>
      <c r="D142" s="2">
        <f t="shared" si="2"/>
        <v>3</v>
      </c>
    </row>
    <row r="143" spans="1:4" x14ac:dyDescent="0.3">
      <c r="A143" s="34">
        <v>10484</v>
      </c>
      <c r="B143" s="35">
        <v>1</v>
      </c>
      <c r="C143" s="35">
        <v>1</v>
      </c>
      <c r="D143" s="2">
        <f t="shared" si="2"/>
        <v>2</v>
      </c>
    </row>
    <row r="144" spans="1:4" x14ac:dyDescent="0.3">
      <c r="A144" s="34">
        <v>10486</v>
      </c>
      <c r="B144" s="35">
        <v>2</v>
      </c>
      <c r="C144" s="35">
        <v>1</v>
      </c>
      <c r="D144" s="2">
        <f t="shared" si="2"/>
        <v>3</v>
      </c>
    </row>
    <row r="145" spans="1:4" x14ac:dyDescent="0.3">
      <c r="A145" s="34">
        <v>10488</v>
      </c>
      <c r="B145" s="35">
        <v>1</v>
      </c>
      <c r="C145" s="35">
        <v>0</v>
      </c>
      <c r="D145" s="2">
        <f t="shared" si="2"/>
        <v>1</v>
      </c>
    </row>
    <row r="146" spans="1:4" x14ac:dyDescent="0.3">
      <c r="A146" s="34">
        <v>10491</v>
      </c>
      <c r="B146" s="35">
        <v>1</v>
      </c>
      <c r="C146" s="35">
        <v>0</v>
      </c>
      <c r="D146" s="2">
        <f t="shared" si="2"/>
        <v>1</v>
      </c>
    </row>
    <row r="147" spans="1:4" x14ac:dyDescent="0.3">
      <c r="A147" s="34">
        <v>10492</v>
      </c>
      <c r="B147" s="35">
        <v>1</v>
      </c>
      <c r="C147" s="35">
        <v>0</v>
      </c>
      <c r="D147" s="2">
        <f t="shared" si="2"/>
        <v>1</v>
      </c>
    </row>
    <row r="148" spans="1:4" x14ac:dyDescent="0.3">
      <c r="A148" s="34">
        <v>10498</v>
      </c>
      <c r="B148" s="35">
        <v>1</v>
      </c>
      <c r="C148" s="35">
        <v>0</v>
      </c>
      <c r="D148" s="2">
        <f t="shared" si="2"/>
        <v>1</v>
      </c>
    </row>
    <row r="149" spans="1:4" x14ac:dyDescent="0.3">
      <c r="A149" s="34">
        <v>10502</v>
      </c>
      <c r="B149" s="35">
        <v>1</v>
      </c>
      <c r="C149" s="35">
        <v>0</v>
      </c>
      <c r="D149" s="2">
        <f t="shared" si="2"/>
        <v>1</v>
      </c>
    </row>
    <row r="150" spans="1:4" x14ac:dyDescent="0.3">
      <c r="A150" s="34">
        <v>10507</v>
      </c>
      <c r="B150" s="35">
        <v>1</v>
      </c>
      <c r="C150" s="35">
        <v>0</v>
      </c>
      <c r="D150" s="2">
        <f t="shared" si="2"/>
        <v>1</v>
      </c>
    </row>
    <row r="151" spans="1:4" x14ac:dyDescent="0.3">
      <c r="A151" s="34">
        <v>10508</v>
      </c>
      <c r="B151" s="35">
        <v>1</v>
      </c>
      <c r="C151" s="35">
        <v>0</v>
      </c>
      <c r="D151" s="2">
        <f t="shared" si="2"/>
        <v>1</v>
      </c>
    </row>
    <row r="152" spans="1:4" x14ac:dyDescent="0.3">
      <c r="A152" s="34">
        <v>10509</v>
      </c>
      <c r="B152" s="35">
        <v>1</v>
      </c>
      <c r="C152" s="35">
        <v>0</v>
      </c>
      <c r="D152" s="2">
        <f t="shared" si="2"/>
        <v>1</v>
      </c>
    </row>
    <row r="153" spans="1:4" x14ac:dyDescent="0.3">
      <c r="A153" s="34">
        <v>10516</v>
      </c>
      <c r="B153" s="35">
        <v>1</v>
      </c>
      <c r="C153" s="35">
        <v>0</v>
      </c>
      <c r="D153" s="2">
        <f t="shared" si="2"/>
        <v>1</v>
      </c>
    </row>
    <row r="154" spans="1:4" x14ac:dyDescent="0.3">
      <c r="A154" s="34">
        <v>10517</v>
      </c>
      <c r="B154" s="35">
        <v>2</v>
      </c>
      <c r="C154" s="35">
        <v>0</v>
      </c>
      <c r="D154" s="2">
        <f t="shared" si="2"/>
        <v>2</v>
      </c>
    </row>
    <row r="155" spans="1:4" x14ac:dyDescent="0.3">
      <c r="A155" s="34">
        <v>10518</v>
      </c>
      <c r="B155" s="35">
        <v>2</v>
      </c>
      <c r="C155" s="35">
        <v>1</v>
      </c>
      <c r="D155" s="2">
        <f t="shared" si="2"/>
        <v>3</v>
      </c>
    </row>
    <row r="156" spans="1:4" x14ac:dyDescent="0.3">
      <c r="A156" s="34">
        <v>10519</v>
      </c>
      <c r="B156" s="35">
        <v>2</v>
      </c>
      <c r="C156" s="35">
        <v>0</v>
      </c>
      <c r="D156" s="2">
        <f t="shared" si="2"/>
        <v>2</v>
      </c>
    </row>
    <row r="157" spans="1:4" x14ac:dyDescent="0.3">
      <c r="A157" s="34">
        <v>10520</v>
      </c>
      <c r="B157" s="35">
        <v>1</v>
      </c>
      <c r="C157" s="35">
        <v>0</v>
      </c>
      <c r="D157" s="2">
        <f t="shared" si="2"/>
        <v>1</v>
      </c>
    </row>
    <row r="158" spans="1:4" x14ac:dyDescent="0.3">
      <c r="A158" s="34">
        <v>10522</v>
      </c>
      <c r="B158" s="35">
        <v>1</v>
      </c>
      <c r="C158" s="35">
        <v>1</v>
      </c>
      <c r="D158" s="2">
        <f t="shared" si="2"/>
        <v>2</v>
      </c>
    </row>
    <row r="159" spans="1:4" x14ac:dyDescent="0.3">
      <c r="A159" s="34">
        <v>10524</v>
      </c>
      <c r="B159" s="35">
        <v>2</v>
      </c>
      <c r="C159" s="35">
        <v>2</v>
      </c>
      <c r="D159" s="2">
        <f t="shared" si="2"/>
        <v>4</v>
      </c>
    </row>
    <row r="160" spans="1:4" x14ac:dyDescent="0.3">
      <c r="A160" s="34">
        <v>10525</v>
      </c>
      <c r="B160" s="35">
        <v>1</v>
      </c>
      <c r="C160" s="35">
        <v>0</v>
      </c>
      <c r="D160" s="2">
        <f t="shared" si="2"/>
        <v>1</v>
      </c>
    </row>
    <row r="161" spans="1:4" x14ac:dyDescent="0.3">
      <c r="A161" s="34">
        <v>10531</v>
      </c>
      <c r="B161" s="35">
        <v>2</v>
      </c>
      <c r="C161" s="35">
        <v>2</v>
      </c>
      <c r="D161" s="2">
        <f t="shared" si="2"/>
        <v>4</v>
      </c>
    </row>
    <row r="162" spans="1:4" x14ac:dyDescent="0.3">
      <c r="A162" s="34">
        <v>10536</v>
      </c>
      <c r="B162" s="35">
        <v>1</v>
      </c>
      <c r="C162" s="35">
        <v>1</v>
      </c>
      <c r="D162" s="2">
        <f t="shared" si="2"/>
        <v>2</v>
      </c>
    </row>
    <row r="163" spans="1:4" x14ac:dyDescent="0.3">
      <c r="A163" s="34">
        <v>10541</v>
      </c>
      <c r="B163" s="35">
        <v>1</v>
      </c>
      <c r="C163" s="35">
        <v>0</v>
      </c>
      <c r="D163" s="2">
        <f t="shared" si="2"/>
        <v>1</v>
      </c>
    </row>
    <row r="164" spans="1:4" x14ac:dyDescent="0.3">
      <c r="A164" s="34">
        <v>10543</v>
      </c>
      <c r="B164" s="35">
        <v>2</v>
      </c>
      <c r="C164" s="35">
        <v>1</v>
      </c>
      <c r="D164" s="2">
        <f t="shared" si="2"/>
        <v>3</v>
      </c>
    </row>
    <row r="165" spans="1:4" x14ac:dyDescent="0.3">
      <c r="A165" s="34">
        <v>10544</v>
      </c>
      <c r="B165" s="35">
        <v>3</v>
      </c>
      <c r="C165" s="35">
        <v>3</v>
      </c>
      <c r="D165" s="2">
        <f t="shared" si="2"/>
        <v>6</v>
      </c>
    </row>
    <row r="166" spans="1:4" x14ac:dyDescent="0.3">
      <c r="A166" s="34">
        <v>10545</v>
      </c>
      <c r="B166" s="35">
        <v>3</v>
      </c>
      <c r="C166" s="35">
        <v>0</v>
      </c>
      <c r="D166" s="2">
        <f t="shared" si="2"/>
        <v>3</v>
      </c>
    </row>
    <row r="167" spans="1:4" x14ac:dyDescent="0.3">
      <c r="A167" s="34">
        <v>10550</v>
      </c>
      <c r="B167" s="35">
        <v>1</v>
      </c>
      <c r="C167" s="35">
        <v>0</v>
      </c>
      <c r="D167" s="2">
        <f t="shared" si="2"/>
        <v>1</v>
      </c>
    </row>
    <row r="168" spans="1:4" x14ac:dyDescent="0.3">
      <c r="A168" s="34">
        <v>10551</v>
      </c>
      <c r="B168" s="35">
        <v>1</v>
      </c>
      <c r="C168" s="35">
        <v>1</v>
      </c>
      <c r="D168" s="2">
        <f t="shared" si="2"/>
        <v>2</v>
      </c>
    </row>
    <row r="169" spans="1:4" x14ac:dyDescent="0.3">
      <c r="A169" s="34">
        <v>10552</v>
      </c>
      <c r="B169" s="35">
        <v>2</v>
      </c>
      <c r="C169" s="35">
        <v>0</v>
      </c>
      <c r="D169" s="2">
        <f t="shared" si="2"/>
        <v>2</v>
      </c>
    </row>
    <row r="170" spans="1:4" x14ac:dyDescent="0.3">
      <c r="A170" s="34">
        <v>10557</v>
      </c>
      <c r="B170" s="35">
        <v>1</v>
      </c>
      <c r="C170" s="35">
        <v>0</v>
      </c>
      <c r="D170" s="2">
        <f t="shared" si="2"/>
        <v>1</v>
      </c>
    </row>
    <row r="171" spans="1:4" x14ac:dyDescent="0.3">
      <c r="A171" s="34">
        <v>10564</v>
      </c>
      <c r="B171" s="35">
        <v>1</v>
      </c>
      <c r="C171" s="35">
        <v>0</v>
      </c>
      <c r="D171" s="2">
        <f t="shared" si="2"/>
        <v>1</v>
      </c>
    </row>
    <row r="172" spans="1:4" x14ac:dyDescent="0.3">
      <c r="A172" s="34">
        <v>10566</v>
      </c>
      <c r="B172" s="35">
        <v>1</v>
      </c>
      <c r="C172" s="35">
        <v>0</v>
      </c>
      <c r="D172" s="2">
        <f t="shared" si="2"/>
        <v>1</v>
      </c>
    </row>
    <row r="173" spans="1:4" x14ac:dyDescent="0.3">
      <c r="A173" s="34">
        <v>10575</v>
      </c>
      <c r="B173" s="35">
        <v>1</v>
      </c>
      <c r="C173" s="35">
        <v>0</v>
      </c>
      <c r="D173" s="2">
        <f t="shared" si="2"/>
        <v>1</v>
      </c>
    </row>
    <row r="174" spans="1:4" x14ac:dyDescent="0.3">
      <c r="A174" s="34">
        <v>10578</v>
      </c>
      <c r="B174" s="35">
        <v>1</v>
      </c>
      <c r="C174" s="35">
        <v>1</v>
      </c>
      <c r="D174" s="2">
        <f t="shared" si="2"/>
        <v>2</v>
      </c>
    </row>
    <row r="175" spans="1:4" x14ac:dyDescent="0.3">
      <c r="A175" s="34">
        <v>10588</v>
      </c>
      <c r="B175" s="35">
        <v>1</v>
      </c>
      <c r="C175" s="35">
        <v>0</v>
      </c>
      <c r="D175" s="2">
        <f t="shared" si="2"/>
        <v>1</v>
      </c>
    </row>
    <row r="176" spans="1:4" x14ac:dyDescent="0.3">
      <c r="A176" s="34">
        <v>10589</v>
      </c>
      <c r="B176" s="35">
        <v>1</v>
      </c>
      <c r="C176" s="35">
        <v>0</v>
      </c>
      <c r="D176" s="2">
        <f t="shared" si="2"/>
        <v>1</v>
      </c>
    </row>
    <row r="177" spans="1:4" x14ac:dyDescent="0.3">
      <c r="A177" s="34">
        <v>10593</v>
      </c>
      <c r="B177" s="35">
        <v>1</v>
      </c>
      <c r="C177" s="35">
        <v>0</v>
      </c>
      <c r="D177" s="2">
        <f t="shared" si="2"/>
        <v>1</v>
      </c>
    </row>
    <row r="178" spans="1:4" x14ac:dyDescent="0.3">
      <c r="A178" s="34">
        <v>10594</v>
      </c>
      <c r="B178" s="35">
        <v>1</v>
      </c>
      <c r="C178" s="35">
        <v>0</v>
      </c>
      <c r="D178" s="2">
        <f t="shared" si="2"/>
        <v>1</v>
      </c>
    </row>
    <row r="179" spans="1:4" x14ac:dyDescent="0.3">
      <c r="A179" s="34">
        <v>10596</v>
      </c>
      <c r="B179" s="35">
        <v>1</v>
      </c>
      <c r="C179" s="35">
        <v>0</v>
      </c>
      <c r="D179" s="2">
        <f t="shared" si="2"/>
        <v>1</v>
      </c>
    </row>
    <row r="180" spans="1:4" x14ac:dyDescent="0.3">
      <c r="A180" s="34">
        <v>10598</v>
      </c>
      <c r="B180" s="35">
        <v>1</v>
      </c>
      <c r="C180" s="35">
        <v>0</v>
      </c>
      <c r="D180" s="2">
        <f t="shared" si="2"/>
        <v>1</v>
      </c>
    </row>
    <row r="181" spans="1:4" x14ac:dyDescent="0.3">
      <c r="A181" s="34">
        <v>10601</v>
      </c>
      <c r="B181" s="35">
        <v>1</v>
      </c>
      <c r="C181" s="35">
        <v>1</v>
      </c>
      <c r="D181" s="2">
        <f t="shared" si="2"/>
        <v>2</v>
      </c>
    </row>
    <row r="182" spans="1:4" x14ac:dyDescent="0.3">
      <c r="A182" s="34">
        <v>10614</v>
      </c>
      <c r="B182" s="35">
        <v>1</v>
      </c>
      <c r="C182" s="35">
        <v>0</v>
      </c>
      <c r="D182" s="2">
        <f t="shared" si="2"/>
        <v>1</v>
      </c>
    </row>
    <row r="183" spans="1:4" x14ac:dyDescent="0.3">
      <c r="A183" s="34">
        <v>10615</v>
      </c>
      <c r="B183" s="35">
        <v>1</v>
      </c>
      <c r="C183" s="35">
        <v>0</v>
      </c>
      <c r="D183" s="2">
        <f t="shared" si="2"/>
        <v>1</v>
      </c>
    </row>
    <row r="184" spans="1:4" x14ac:dyDescent="0.3">
      <c r="A184" s="34">
        <v>10622</v>
      </c>
      <c r="B184" s="35">
        <v>1</v>
      </c>
      <c r="C184" s="35">
        <v>0</v>
      </c>
      <c r="D184" s="2">
        <f t="shared" si="2"/>
        <v>1</v>
      </c>
    </row>
    <row r="185" spans="1:4" x14ac:dyDescent="0.3">
      <c r="A185" s="34">
        <v>10624</v>
      </c>
      <c r="B185" s="35">
        <v>1</v>
      </c>
      <c r="C185" s="35">
        <v>1</v>
      </c>
      <c r="D185" s="2">
        <f t="shared" si="2"/>
        <v>2</v>
      </c>
    </row>
    <row r="186" spans="1:4" x14ac:dyDescent="0.3">
      <c r="A186" s="34">
        <v>10637</v>
      </c>
      <c r="B186" s="35">
        <v>2</v>
      </c>
      <c r="C186" s="35">
        <v>1</v>
      </c>
      <c r="D186" s="2">
        <f t="shared" si="2"/>
        <v>3</v>
      </c>
    </row>
    <row r="187" spans="1:4" x14ac:dyDescent="0.3">
      <c r="A187" s="34">
        <v>10639</v>
      </c>
      <c r="B187" s="35">
        <v>3</v>
      </c>
      <c r="C187" s="35">
        <v>0</v>
      </c>
      <c r="D187" s="2">
        <f t="shared" si="2"/>
        <v>3</v>
      </c>
    </row>
    <row r="188" spans="1:4" x14ac:dyDescent="0.3">
      <c r="A188" s="34">
        <v>10659</v>
      </c>
      <c r="B188" s="35">
        <v>1</v>
      </c>
      <c r="C188" s="35">
        <v>0</v>
      </c>
      <c r="D188" s="2">
        <f t="shared" si="2"/>
        <v>1</v>
      </c>
    </row>
    <row r="189" spans="1:4" x14ac:dyDescent="0.3">
      <c r="A189" s="34">
        <v>10660</v>
      </c>
      <c r="B189" s="35">
        <v>1</v>
      </c>
      <c r="C189" s="35">
        <v>0</v>
      </c>
      <c r="D189" s="2">
        <f t="shared" si="2"/>
        <v>1</v>
      </c>
    </row>
    <row r="190" spans="1:4" x14ac:dyDescent="0.3">
      <c r="A190" s="34">
        <v>10666</v>
      </c>
      <c r="B190" s="35">
        <v>1</v>
      </c>
      <c r="C190" s="35">
        <v>1</v>
      </c>
      <c r="D190" s="2">
        <f t="shared" si="2"/>
        <v>2</v>
      </c>
    </row>
    <row r="191" spans="1:4" x14ac:dyDescent="0.3">
      <c r="A191" s="34">
        <v>10668</v>
      </c>
      <c r="B191" s="35">
        <v>1</v>
      </c>
      <c r="C191" s="35">
        <v>0</v>
      </c>
      <c r="D191" s="2">
        <f t="shared" si="2"/>
        <v>1</v>
      </c>
    </row>
    <row r="192" spans="1:4" x14ac:dyDescent="0.3">
      <c r="A192" s="34">
        <v>10678</v>
      </c>
      <c r="B192" s="35">
        <v>1</v>
      </c>
      <c r="C192" s="35">
        <v>0</v>
      </c>
      <c r="D192" s="2">
        <f t="shared" si="2"/>
        <v>1</v>
      </c>
    </row>
    <row r="193" spans="1:4" x14ac:dyDescent="0.3">
      <c r="A193" s="34">
        <v>10686</v>
      </c>
      <c r="B193" s="35">
        <v>1</v>
      </c>
      <c r="C193" s="35">
        <v>0</v>
      </c>
      <c r="D193" s="2">
        <f t="shared" si="2"/>
        <v>1</v>
      </c>
    </row>
    <row r="194" spans="1:4" x14ac:dyDescent="0.3">
      <c r="A194" s="34">
        <v>10689</v>
      </c>
      <c r="B194" s="35">
        <v>2</v>
      </c>
      <c r="C194" s="35">
        <v>0</v>
      </c>
      <c r="D194" s="2">
        <f t="shared" si="2"/>
        <v>2</v>
      </c>
    </row>
    <row r="195" spans="1:4" x14ac:dyDescent="0.3">
      <c r="A195" s="34">
        <v>10696</v>
      </c>
      <c r="B195" s="35">
        <v>1</v>
      </c>
      <c r="C195" s="35">
        <v>0</v>
      </c>
      <c r="D195" s="2">
        <f t="shared" ref="D195:D258" si="3">B195+C195</f>
        <v>1</v>
      </c>
    </row>
    <row r="196" spans="1:4" x14ac:dyDescent="0.3">
      <c r="A196" s="34">
        <v>10699</v>
      </c>
      <c r="B196" s="35">
        <v>1</v>
      </c>
      <c r="C196" s="35">
        <v>0</v>
      </c>
      <c r="D196" s="2">
        <f t="shared" si="3"/>
        <v>1</v>
      </c>
    </row>
    <row r="197" spans="1:4" x14ac:dyDescent="0.3">
      <c r="A197" s="34">
        <v>10701</v>
      </c>
      <c r="B197" s="35">
        <v>1</v>
      </c>
      <c r="C197" s="35">
        <v>0</v>
      </c>
      <c r="D197" s="2">
        <f t="shared" si="3"/>
        <v>1</v>
      </c>
    </row>
    <row r="198" spans="1:4" x14ac:dyDescent="0.3">
      <c r="A198" s="34">
        <v>10703</v>
      </c>
      <c r="B198" s="35">
        <v>1</v>
      </c>
      <c r="C198" s="35">
        <v>0</v>
      </c>
      <c r="D198" s="2">
        <f t="shared" si="3"/>
        <v>1</v>
      </c>
    </row>
    <row r="199" spans="1:4" x14ac:dyDescent="0.3">
      <c r="A199" s="34">
        <v>10705</v>
      </c>
      <c r="B199" s="35">
        <v>1</v>
      </c>
      <c r="C199" s="35">
        <v>1</v>
      </c>
      <c r="D199" s="2">
        <f t="shared" si="3"/>
        <v>2</v>
      </c>
    </row>
    <row r="200" spans="1:4" x14ac:dyDescent="0.3">
      <c r="A200" s="34">
        <v>10711</v>
      </c>
      <c r="B200" s="35">
        <v>2</v>
      </c>
      <c r="C200" s="35">
        <v>0</v>
      </c>
      <c r="D200" s="2">
        <f t="shared" si="3"/>
        <v>2</v>
      </c>
    </row>
    <row r="201" spans="1:4" x14ac:dyDescent="0.3">
      <c r="A201" s="34">
        <v>10723</v>
      </c>
      <c r="B201" s="35">
        <v>1</v>
      </c>
      <c r="C201" s="35">
        <v>0</v>
      </c>
      <c r="D201" s="2">
        <f t="shared" si="3"/>
        <v>1</v>
      </c>
    </row>
    <row r="202" spans="1:4" x14ac:dyDescent="0.3">
      <c r="A202" s="34">
        <v>10725</v>
      </c>
      <c r="B202" s="35">
        <v>3</v>
      </c>
      <c r="C202" s="35">
        <v>1</v>
      </c>
      <c r="D202" s="2">
        <f t="shared" si="3"/>
        <v>4</v>
      </c>
    </row>
    <row r="203" spans="1:4" x14ac:dyDescent="0.3">
      <c r="A203" s="34">
        <v>10727</v>
      </c>
      <c r="B203" s="35">
        <v>1</v>
      </c>
      <c r="C203" s="35">
        <v>0</v>
      </c>
      <c r="D203" s="2">
        <f t="shared" si="3"/>
        <v>1</v>
      </c>
    </row>
    <row r="204" spans="1:4" x14ac:dyDescent="0.3">
      <c r="A204" s="34">
        <v>10728</v>
      </c>
      <c r="B204" s="35">
        <v>1</v>
      </c>
      <c r="C204" s="35">
        <v>0</v>
      </c>
      <c r="D204" s="2">
        <f t="shared" si="3"/>
        <v>1</v>
      </c>
    </row>
    <row r="205" spans="1:4" x14ac:dyDescent="0.3">
      <c r="A205" s="34">
        <v>10731</v>
      </c>
      <c r="B205" s="35">
        <v>1</v>
      </c>
      <c r="C205" s="35">
        <v>0</v>
      </c>
      <c r="D205" s="2">
        <f t="shared" si="3"/>
        <v>1</v>
      </c>
    </row>
    <row r="206" spans="1:4" x14ac:dyDescent="0.3">
      <c r="A206" s="34">
        <v>10742</v>
      </c>
      <c r="B206" s="35">
        <v>1</v>
      </c>
      <c r="C206" s="35">
        <v>0</v>
      </c>
      <c r="D206" s="2">
        <f t="shared" si="3"/>
        <v>1</v>
      </c>
    </row>
    <row r="207" spans="1:4" x14ac:dyDescent="0.3">
      <c r="A207" s="34">
        <v>10747</v>
      </c>
      <c r="B207" s="35">
        <v>3</v>
      </c>
      <c r="C207" s="35">
        <v>3</v>
      </c>
      <c r="D207" s="2">
        <f t="shared" si="3"/>
        <v>6</v>
      </c>
    </row>
    <row r="208" spans="1:4" x14ac:dyDescent="0.3">
      <c r="A208" s="34">
        <v>10749</v>
      </c>
      <c r="B208" s="35">
        <v>2</v>
      </c>
      <c r="C208" s="35">
        <v>1</v>
      </c>
      <c r="D208" s="2">
        <f t="shared" si="3"/>
        <v>3</v>
      </c>
    </row>
    <row r="209" spans="1:4" x14ac:dyDescent="0.3">
      <c r="A209" s="34">
        <v>10752</v>
      </c>
      <c r="B209" s="35">
        <v>1</v>
      </c>
      <c r="C209" s="35">
        <v>0</v>
      </c>
      <c r="D209" s="2">
        <f t="shared" si="3"/>
        <v>1</v>
      </c>
    </row>
    <row r="210" spans="1:4" x14ac:dyDescent="0.3">
      <c r="A210" s="34">
        <v>10758</v>
      </c>
      <c r="B210" s="35">
        <v>3</v>
      </c>
      <c r="C210" s="35">
        <v>2</v>
      </c>
      <c r="D210" s="2">
        <f t="shared" si="3"/>
        <v>5</v>
      </c>
    </row>
    <row r="211" spans="1:4" x14ac:dyDescent="0.3">
      <c r="A211" s="34">
        <v>10762</v>
      </c>
      <c r="B211" s="35">
        <v>2</v>
      </c>
      <c r="C211" s="35">
        <v>0</v>
      </c>
      <c r="D211" s="2">
        <f t="shared" si="3"/>
        <v>2</v>
      </c>
    </row>
    <row r="212" spans="1:4" x14ac:dyDescent="0.3">
      <c r="A212" s="34">
        <v>10772</v>
      </c>
      <c r="B212" s="35">
        <v>1</v>
      </c>
      <c r="C212" s="35">
        <v>1</v>
      </c>
      <c r="D212" s="2">
        <f t="shared" si="3"/>
        <v>2</v>
      </c>
    </row>
    <row r="213" spans="1:4" x14ac:dyDescent="0.3">
      <c r="A213" s="34">
        <v>10777</v>
      </c>
      <c r="B213" s="35">
        <v>1</v>
      </c>
      <c r="C213" s="35">
        <v>0</v>
      </c>
      <c r="D213" s="2">
        <f t="shared" si="3"/>
        <v>1</v>
      </c>
    </row>
    <row r="214" spans="1:4" x14ac:dyDescent="0.3">
      <c r="A214" s="34">
        <v>10789</v>
      </c>
      <c r="B214" s="35">
        <v>1</v>
      </c>
      <c r="C214" s="35">
        <v>0</v>
      </c>
      <c r="D214" s="2">
        <f t="shared" si="3"/>
        <v>1</v>
      </c>
    </row>
    <row r="215" spans="1:4" x14ac:dyDescent="0.3">
      <c r="A215" s="34">
        <v>10790</v>
      </c>
      <c r="B215" s="35">
        <v>1</v>
      </c>
      <c r="C215" s="35">
        <v>0</v>
      </c>
      <c r="D215" s="2">
        <f t="shared" si="3"/>
        <v>1</v>
      </c>
    </row>
    <row r="216" spans="1:4" x14ac:dyDescent="0.3">
      <c r="A216" s="34">
        <v>10795</v>
      </c>
      <c r="B216" s="35">
        <v>1</v>
      </c>
      <c r="C216" s="35">
        <v>0</v>
      </c>
      <c r="D216" s="2">
        <f t="shared" si="3"/>
        <v>1</v>
      </c>
    </row>
    <row r="217" spans="1:4" x14ac:dyDescent="0.3">
      <c r="A217" s="34">
        <v>10799</v>
      </c>
      <c r="B217" s="35">
        <v>1</v>
      </c>
      <c r="C217" s="35">
        <v>0</v>
      </c>
      <c r="D217" s="2">
        <f t="shared" si="3"/>
        <v>1</v>
      </c>
    </row>
    <row r="218" spans="1:4" x14ac:dyDescent="0.3">
      <c r="A218" s="34">
        <v>10804</v>
      </c>
      <c r="B218" s="35">
        <v>1</v>
      </c>
      <c r="C218" s="35">
        <v>0</v>
      </c>
      <c r="D218" s="2">
        <f t="shared" si="3"/>
        <v>1</v>
      </c>
    </row>
    <row r="219" spans="1:4" x14ac:dyDescent="0.3">
      <c r="A219" s="34">
        <v>10807</v>
      </c>
      <c r="B219" s="35">
        <v>2</v>
      </c>
      <c r="C219" s="35">
        <v>1</v>
      </c>
      <c r="D219" s="2">
        <f t="shared" si="3"/>
        <v>3</v>
      </c>
    </row>
    <row r="220" spans="1:4" x14ac:dyDescent="0.3">
      <c r="A220" s="34">
        <v>10810</v>
      </c>
      <c r="B220" s="35">
        <v>1</v>
      </c>
      <c r="C220" s="35">
        <v>0</v>
      </c>
      <c r="D220" s="2">
        <f t="shared" si="3"/>
        <v>1</v>
      </c>
    </row>
    <row r="221" spans="1:4" x14ac:dyDescent="0.3">
      <c r="A221" s="34">
        <v>10811</v>
      </c>
      <c r="B221" s="35">
        <v>1</v>
      </c>
      <c r="C221" s="35">
        <v>1</v>
      </c>
      <c r="D221" s="2">
        <f t="shared" si="3"/>
        <v>2</v>
      </c>
    </row>
    <row r="222" spans="1:4" x14ac:dyDescent="0.3">
      <c r="A222" s="34">
        <v>10812</v>
      </c>
      <c r="B222" s="35">
        <v>1</v>
      </c>
      <c r="C222" s="35">
        <v>0</v>
      </c>
      <c r="D222" s="2">
        <f t="shared" si="3"/>
        <v>1</v>
      </c>
    </row>
    <row r="223" spans="1:4" x14ac:dyDescent="0.3">
      <c r="A223" s="34">
        <v>10822</v>
      </c>
      <c r="B223" s="35">
        <v>1</v>
      </c>
      <c r="C223" s="35">
        <v>0</v>
      </c>
      <c r="D223" s="2">
        <f t="shared" si="3"/>
        <v>1</v>
      </c>
    </row>
    <row r="224" spans="1:4" x14ac:dyDescent="0.3">
      <c r="A224" s="34">
        <v>10826</v>
      </c>
      <c r="B224" s="35">
        <v>3</v>
      </c>
      <c r="C224" s="35">
        <v>0</v>
      </c>
      <c r="D224" s="2">
        <f t="shared" si="3"/>
        <v>3</v>
      </c>
    </row>
    <row r="225" spans="1:4" x14ac:dyDescent="0.3">
      <c r="A225" s="34">
        <v>10828</v>
      </c>
      <c r="B225" s="35">
        <v>1</v>
      </c>
      <c r="C225" s="35">
        <v>0</v>
      </c>
      <c r="D225" s="2">
        <f t="shared" si="3"/>
        <v>1</v>
      </c>
    </row>
    <row r="226" spans="1:4" x14ac:dyDescent="0.3">
      <c r="A226" s="34">
        <v>10830</v>
      </c>
      <c r="B226" s="35">
        <v>2</v>
      </c>
      <c r="C226" s="35">
        <v>1</v>
      </c>
      <c r="D226" s="2">
        <f t="shared" si="3"/>
        <v>3</v>
      </c>
    </row>
    <row r="227" spans="1:4" x14ac:dyDescent="0.3">
      <c r="A227" s="34">
        <v>10834</v>
      </c>
      <c r="B227" s="35">
        <v>3</v>
      </c>
      <c r="C227" s="35">
        <v>2</v>
      </c>
      <c r="D227" s="2">
        <f t="shared" si="3"/>
        <v>5</v>
      </c>
    </row>
    <row r="228" spans="1:4" x14ac:dyDescent="0.3">
      <c r="A228" s="34">
        <v>10838</v>
      </c>
      <c r="B228" s="35">
        <v>1</v>
      </c>
      <c r="C228" s="35">
        <v>0</v>
      </c>
      <c r="D228" s="2">
        <f t="shared" si="3"/>
        <v>1</v>
      </c>
    </row>
    <row r="229" spans="1:4" x14ac:dyDescent="0.3">
      <c r="A229" s="34">
        <v>10840</v>
      </c>
      <c r="B229" s="35">
        <v>2</v>
      </c>
      <c r="C229" s="35">
        <v>0</v>
      </c>
      <c r="D229" s="2">
        <f t="shared" si="3"/>
        <v>2</v>
      </c>
    </row>
    <row r="230" spans="1:4" x14ac:dyDescent="0.3">
      <c r="A230" s="34">
        <v>10846</v>
      </c>
      <c r="B230" s="35">
        <v>2</v>
      </c>
      <c r="C230" s="35">
        <v>0</v>
      </c>
      <c r="D230" s="2">
        <f t="shared" si="3"/>
        <v>2</v>
      </c>
    </row>
    <row r="231" spans="1:4" x14ac:dyDescent="0.3">
      <c r="A231" s="34">
        <v>10860</v>
      </c>
      <c r="B231" s="35">
        <v>1</v>
      </c>
      <c r="C231" s="35">
        <v>0</v>
      </c>
      <c r="D231" s="2">
        <f t="shared" si="3"/>
        <v>1</v>
      </c>
    </row>
    <row r="232" spans="1:4" x14ac:dyDescent="0.3">
      <c r="A232" s="34">
        <v>10862</v>
      </c>
      <c r="B232" s="35">
        <v>2</v>
      </c>
      <c r="C232" s="35">
        <v>1</v>
      </c>
      <c r="D232" s="2">
        <f t="shared" si="3"/>
        <v>3</v>
      </c>
    </row>
    <row r="233" spans="1:4" x14ac:dyDescent="0.3">
      <c r="A233" s="34">
        <v>10863</v>
      </c>
      <c r="B233" s="35">
        <v>1</v>
      </c>
      <c r="C233" s="35">
        <v>1</v>
      </c>
      <c r="D233" s="2">
        <f t="shared" si="3"/>
        <v>2</v>
      </c>
    </row>
    <row r="234" spans="1:4" x14ac:dyDescent="0.3">
      <c r="A234" s="34">
        <v>10865</v>
      </c>
      <c r="B234" s="35">
        <v>2</v>
      </c>
      <c r="C234" s="35">
        <v>2</v>
      </c>
      <c r="D234" s="2">
        <f t="shared" si="3"/>
        <v>4</v>
      </c>
    </row>
    <row r="235" spans="1:4" x14ac:dyDescent="0.3">
      <c r="A235" s="34">
        <v>10871</v>
      </c>
      <c r="B235" s="35">
        <v>3</v>
      </c>
      <c r="C235" s="35">
        <v>3</v>
      </c>
      <c r="D235" s="2">
        <f t="shared" si="3"/>
        <v>6</v>
      </c>
    </row>
    <row r="236" spans="1:4" x14ac:dyDescent="0.3">
      <c r="A236" s="34">
        <v>10874</v>
      </c>
      <c r="B236" s="35">
        <v>1</v>
      </c>
      <c r="C236" s="35">
        <v>0</v>
      </c>
      <c r="D236" s="2">
        <f t="shared" si="3"/>
        <v>1</v>
      </c>
    </row>
    <row r="237" spans="1:4" x14ac:dyDescent="0.3">
      <c r="A237" s="34">
        <v>10876</v>
      </c>
      <c r="B237" s="35">
        <v>2</v>
      </c>
      <c r="C237" s="35">
        <v>1</v>
      </c>
      <c r="D237" s="2">
        <f t="shared" si="3"/>
        <v>3</v>
      </c>
    </row>
    <row r="238" spans="1:4" x14ac:dyDescent="0.3">
      <c r="A238" s="34">
        <v>10879</v>
      </c>
      <c r="B238" s="35">
        <v>1</v>
      </c>
      <c r="C238" s="35">
        <v>1</v>
      </c>
      <c r="D238" s="2">
        <f t="shared" si="3"/>
        <v>2</v>
      </c>
    </row>
    <row r="239" spans="1:4" x14ac:dyDescent="0.3">
      <c r="A239" s="34">
        <v>10882</v>
      </c>
      <c r="B239" s="35">
        <v>1</v>
      </c>
      <c r="C239" s="35">
        <v>0</v>
      </c>
      <c r="D239" s="2">
        <f t="shared" si="3"/>
        <v>1</v>
      </c>
    </row>
    <row r="240" spans="1:4" x14ac:dyDescent="0.3">
      <c r="A240" s="34">
        <v>10884</v>
      </c>
      <c r="B240" s="35">
        <v>1</v>
      </c>
      <c r="C240" s="35">
        <v>0</v>
      </c>
      <c r="D240" s="2">
        <f t="shared" si="3"/>
        <v>1</v>
      </c>
    </row>
    <row r="241" spans="1:4" x14ac:dyDescent="0.3">
      <c r="A241" s="34">
        <v>10886</v>
      </c>
      <c r="B241" s="35">
        <v>1</v>
      </c>
      <c r="C241" s="35">
        <v>0</v>
      </c>
      <c r="D241" s="2">
        <f t="shared" si="3"/>
        <v>1</v>
      </c>
    </row>
    <row r="242" spans="1:4" x14ac:dyDescent="0.3">
      <c r="A242" s="34">
        <v>10891</v>
      </c>
      <c r="B242" s="35">
        <v>2</v>
      </c>
      <c r="C242" s="35">
        <v>0</v>
      </c>
      <c r="D242" s="2">
        <f t="shared" si="3"/>
        <v>2</v>
      </c>
    </row>
    <row r="243" spans="1:4" x14ac:dyDescent="0.3">
      <c r="A243" s="34">
        <v>10894</v>
      </c>
      <c r="B243" s="35">
        <v>1</v>
      </c>
      <c r="C243" s="35">
        <v>0</v>
      </c>
      <c r="D243" s="2">
        <f t="shared" si="3"/>
        <v>1</v>
      </c>
    </row>
    <row r="244" spans="1:4" x14ac:dyDescent="0.3">
      <c r="A244" s="34">
        <v>10895</v>
      </c>
      <c r="B244" s="35">
        <v>3</v>
      </c>
      <c r="C244" s="35">
        <v>2</v>
      </c>
      <c r="D244" s="2">
        <f t="shared" si="3"/>
        <v>5</v>
      </c>
    </row>
    <row r="245" spans="1:4" x14ac:dyDescent="0.3">
      <c r="A245" s="34">
        <v>10898</v>
      </c>
      <c r="B245" s="35">
        <v>1</v>
      </c>
      <c r="C245" s="35">
        <v>0</v>
      </c>
      <c r="D245" s="2">
        <f t="shared" si="3"/>
        <v>1</v>
      </c>
    </row>
    <row r="246" spans="1:4" x14ac:dyDescent="0.3">
      <c r="A246" s="34">
        <v>10910</v>
      </c>
      <c r="B246" s="35">
        <v>1</v>
      </c>
      <c r="C246" s="35">
        <v>0</v>
      </c>
      <c r="D246" s="2">
        <f t="shared" si="3"/>
        <v>1</v>
      </c>
    </row>
    <row r="247" spans="1:4" x14ac:dyDescent="0.3">
      <c r="A247" s="34">
        <v>10916</v>
      </c>
      <c r="B247" s="35">
        <v>1</v>
      </c>
      <c r="C247" s="35">
        <v>0</v>
      </c>
      <c r="D247" s="2">
        <f t="shared" si="3"/>
        <v>1</v>
      </c>
    </row>
    <row r="248" spans="1:4" x14ac:dyDescent="0.3">
      <c r="A248" s="34">
        <v>10922</v>
      </c>
      <c r="B248" s="35">
        <v>2</v>
      </c>
      <c r="C248" s="35">
        <v>0</v>
      </c>
      <c r="D248" s="2">
        <f t="shared" si="3"/>
        <v>2</v>
      </c>
    </row>
    <row r="249" spans="1:4" x14ac:dyDescent="0.3">
      <c r="A249" s="34">
        <v>10938</v>
      </c>
      <c r="B249" s="35">
        <v>1</v>
      </c>
      <c r="C249" s="35">
        <v>0</v>
      </c>
      <c r="D249" s="2">
        <f t="shared" si="3"/>
        <v>1</v>
      </c>
    </row>
    <row r="250" spans="1:4" x14ac:dyDescent="0.3">
      <c r="A250" s="34">
        <v>10939</v>
      </c>
      <c r="B250" s="35">
        <v>1</v>
      </c>
      <c r="C250" s="35">
        <v>0</v>
      </c>
      <c r="D250" s="2">
        <f t="shared" si="3"/>
        <v>1</v>
      </c>
    </row>
    <row r="251" spans="1:4" x14ac:dyDescent="0.3">
      <c r="A251" s="34">
        <v>10940</v>
      </c>
      <c r="B251" s="35">
        <v>1</v>
      </c>
      <c r="C251" s="35">
        <v>0</v>
      </c>
      <c r="D251" s="2">
        <f t="shared" si="3"/>
        <v>1</v>
      </c>
    </row>
    <row r="252" spans="1:4" x14ac:dyDescent="0.3">
      <c r="A252" s="34">
        <v>10944</v>
      </c>
      <c r="B252" s="35">
        <v>1</v>
      </c>
      <c r="C252" s="35">
        <v>0</v>
      </c>
      <c r="D252" s="2">
        <f t="shared" si="3"/>
        <v>1</v>
      </c>
    </row>
    <row r="253" spans="1:4" x14ac:dyDescent="0.3">
      <c r="A253" s="34">
        <v>10947</v>
      </c>
      <c r="B253" s="35">
        <v>1</v>
      </c>
      <c r="C253" s="35">
        <v>0</v>
      </c>
      <c r="D253" s="2">
        <f t="shared" si="3"/>
        <v>1</v>
      </c>
    </row>
    <row r="254" spans="1:4" x14ac:dyDescent="0.3">
      <c r="A254" s="34">
        <v>10950</v>
      </c>
      <c r="B254" s="35">
        <v>1</v>
      </c>
      <c r="C254" s="35">
        <v>0</v>
      </c>
      <c r="D254" s="2">
        <f t="shared" si="3"/>
        <v>1</v>
      </c>
    </row>
    <row r="255" spans="1:4" x14ac:dyDescent="0.3">
      <c r="A255" s="34">
        <v>10952</v>
      </c>
      <c r="B255" s="35">
        <v>2</v>
      </c>
      <c r="C255" s="35">
        <v>0</v>
      </c>
      <c r="D255" s="2">
        <f t="shared" si="3"/>
        <v>2</v>
      </c>
    </row>
    <row r="256" spans="1:4" x14ac:dyDescent="0.3">
      <c r="A256" s="34">
        <v>10963</v>
      </c>
      <c r="B256" s="35">
        <v>1</v>
      </c>
      <c r="C256" s="35">
        <v>0</v>
      </c>
      <c r="D256" s="2">
        <f t="shared" si="3"/>
        <v>1</v>
      </c>
    </row>
    <row r="257" spans="1:4" x14ac:dyDescent="0.3">
      <c r="A257" s="34">
        <v>10964</v>
      </c>
      <c r="B257" s="35">
        <v>1</v>
      </c>
      <c r="C257" s="35">
        <v>0</v>
      </c>
      <c r="D257" s="2">
        <f t="shared" si="3"/>
        <v>1</v>
      </c>
    </row>
    <row r="258" spans="1:4" x14ac:dyDescent="0.3">
      <c r="A258" s="34">
        <v>10970</v>
      </c>
      <c r="B258" s="35">
        <v>1</v>
      </c>
      <c r="C258" s="35">
        <v>1</v>
      </c>
      <c r="D258" s="2">
        <f t="shared" si="3"/>
        <v>2</v>
      </c>
    </row>
    <row r="259" spans="1:4" x14ac:dyDescent="0.3">
      <c r="A259" s="34">
        <v>10974</v>
      </c>
      <c r="B259" s="35">
        <v>2</v>
      </c>
      <c r="C259" s="35">
        <v>2</v>
      </c>
      <c r="D259" s="2">
        <f t="shared" ref="D259:D322" si="4">B259+C259</f>
        <v>4</v>
      </c>
    </row>
    <row r="260" spans="1:4" x14ac:dyDescent="0.3">
      <c r="A260" s="34">
        <v>10977</v>
      </c>
      <c r="B260" s="35">
        <v>1</v>
      </c>
      <c r="C260" s="35">
        <v>0</v>
      </c>
      <c r="D260" s="2">
        <f t="shared" si="4"/>
        <v>1</v>
      </c>
    </row>
    <row r="261" spans="1:4" x14ac:dyDescent="0.3">
      <c r="A261" s="34">
        <v>10978</v>
      </c>
      <c r="B261" s="35">
        <v>2</v>
      </c>
      <c r="C261" s="35">
        <v>0</v>
      </c>
      <c r="D261" s="2">
        <f t="shared" si="4"/>
        <v>2</v>
      </c>
    </row>
    <row r="262" spans="1:4" x14ac:dyDescent="0.3">
      <c r="A262" s="34">
        <v>10979</v>
      </c>
      <c r="B262" s="35">
        <v>2</v>
      </c>
      <c r="C262" s="35">
        <v>0</v>
      </c>
      <c r="D262" s="2">
        <f t="shared" si="4"/>
        <v>2</v>
      </c>
    </row>
    <row r="263" spans="1:4" x14ac:dyDescent="0.3">
      <c r="A263" s="34">
        <v>10981</v>
      </c>
      <c r="B263" s="35">
        <v>2</v>
      </c>
      <c r="C263" s="35">
        <v>0</v>
      </c>
      <c r="D263" s="2">
        <f t="shared" si="4"/>
        <v>2</v>
      </c>
    </row>
    <row r="264" spans="1:4" x14ac:dyDescent="0.3">
      <c r="A264" s="34">
        <v>10983</v>
      </c>
      <c r="B264" s="35">
        <v>2</v>
      </c>
      <c r="C264" s="35">
        <v>2</v>
      </c>
      <c r="D264" s="2">
        <f t="shared" si="4"/>
        <v>4</v>
      </c>
    </row>
    <row r="265" spans="1:4" x14ac:dyDescent="0.3">
      <c r="A265" s="34">
        <v>10986</v>
      </c>
      <c r="B265" s="35">
        <v>2</v>
      </c>
      <c r="C265" s="35">
        <v>0</v>
      </c>
      <c r="D265" s="2">
        <f t="shared" si="4"/>
        <v>2</v>
      </c>
    </row>
    <row r="266" spans="1:4" x14ac:dyDescent="0.3">
      <c r="A266" s="34">
        <v>10987</v>
      </c>
      <c r="B266" s="35">
        <v>1</v>
      </c>
      <c r="C266" s="35">
        <v>0</v>
      </c>
      <c r="D266" s="2">
        <f t="shared" si="4"/>
        <v>1</v>
      </c>
    </row>
    <row r="267" spans="1:4" x14ac:dyDescent="0.3">
      <c r="A267" s="34">
        <v>10988</v>
      </c>
      <c r="B267" s="35">
        <v>1</v>
      </c>
      <c r="C267" s="35">
        <v>0</v>
      </c>
      <c r="D267" s="2">
        <f t="shared" si="4"/>
        <v>1</v>
      </c>
    </row>
    <row r="268" spans="1:4" x14ac:dyDescent="0.3">
      <c r="A268" s="34">
        <v>10992</v>
      </c>
      <c r="B268" s="35">
        <v>1</v>
      </c>
      <c r="C268" s="35">
        <v>0</v>
      </c>
      <c r="D268" s="2">
        <f t="shared" si="4"/>
        <v>1</v>
      </c>
    </row>
    <row r="269" spans="1:4" x14ac:dyDescent="0.3">
      <c r="A269" s="34">
        <v>10994</v>
      </c>
      <c r="B269" s="35">
        <v>1</v>
      </c>
      <c r="C269" s="35">
        <v>0</v>
      </c>
      <c r="D269" s="2">
        <f t="shared" si="4"/>
        <v>1</v>
      </c>
    </row>
    <row r="270" spans="1:4" x14ac:dyDescent="0.3">
      <c r="A270" s="34">
        <v>10995</v>
      </c>
      <c r="B270" s="35">
        <v>1</v>
      </c>
      <c r="C270" s="35">
        <v>0</v>
      </c>
      <c r="D270" s="2">
        <f t="shared" si="4"/>
        <v>1</v>
      </c>
    </row>
    <row r="271" spans="1:4" x14ac:dyDescent="0.3">
      <c r="A271" s="34">
        <v>10996</v>
      </c>
      <c r="B271" s="35">
        <v>1</v>
      </c>
      <c r="C271" s="35">
        <v>0</v>
      </c>
      <c r="D271" s="2">
        <f t="shared" si="4"/>
        <v>1</v>
      </c>
    </row>
    <row r="272" spans="1:4" x14ac:dyDescent="0.3">
      <c r="A272" s="34">
        <v>11001</v>
      </c>
      <c r="B272" s="35">
        <v>2</v>
      </c>
      <c r="C272" s="35">
        <v>2</v>
      </c>
      <c r="D272" s="2">
        <f t="shared" si="4"/>
        <v>4</v>
      </c>
    </row>
    <row r="273" spans="1:4" x14ac:dyDescent="0.3">
      <c r="A273" s="34">
        <v>11008</v>
      </c>
      <c r="B273" s="35">
        <v>2</v>
      </c>
      <c r="C273" s="35">
        <v>0</v>
      </c>
      <c r="D273" s="2">
        <f t="shared" si="4"/>
        <v>2</v>
      </c>
    </row>
    <row r="274" spans="1:4" x14ac:dyDescent="0.3">
      <c r="A274" s="34">
        <v>11009</v>
      </c>
      <c r="B274" s="35">
        <v>1</v>
      </c>
      <c r="C274" s="35">
        <v>1</v>
      </c>
      <c r="D274" s="2">
        <f t="shared" si="4"/>
        <v>2</v>
      </c>
    </row>
    <row r="275" spans="1:4" x14ac:dyDescent="0.3">
      <c r="A275" s="34">
        <v>11010</v>
      </c>
      <c r="B275" s="35">
        <v>1</v>
      </c>
      <c r="C275" s="35">
        <v>0</v>
      </c>
      <c r="D275" s="2">
        <f t="shared" si="4"/>
        <v>1</v>
      </c>
    </row>
    <row r="276" spans="1:4" x14ac:dyDescent="0.3">
      <c r="A276" s="34">
        <v>11012</v>
      </c>
      <c r="B276" s="35">
        <v>2</v>
      </c>
      <c r="C276" s="35">
        <v>1</v>
      </c>
      <c r="D276" s="2">
        <f t="shared" si="4"/>
        <v>3</v>
      </c>
    </row>
    <row r="277" spans="1:4" x14ac:dyDescent="0.3">
      <c r="A277" s="34">
        <v>11013</v>
      </c>
      <c r="B277" s="35">
        <v>2</v>
      </c>
      <c r="C277" s="35">
        <v>1</v>
      </c>
      <c r="D277" s="2">
        <f t="shared" si="4"/>
        <v>3</v>
      </c>
    </row>
    <row r="278" spans="1:4" x14ac:dyDescent="0.3">
      <c r="A278" s="34">
        <v>11021</v>
      </c>
      <c r="B278" s="35">
        <v>1</v>
      </c>
      <c r="C278" s="35">
        <v>0</v>
      </c>
      <c r="D278" s="2">
        <f t="shared" si="4"/>
        <v>1</v>
      </c>
    </row>
    <row r="279" spans="1:4" x14ac:dyDescent="0.3">
      <c r="A279" s="34">
        <v>11022</v>
      </c>
      <c r="B279" s="35">
        <v>2</v>
      </c>
      <c r="C279" s="35">
        <v>0</v>
      </c>
      <c r="D279" s="2">
        <f t="shared" si="4"/>
        <v>2</v>
      </c>
    </row>
    <row r="280" spans="1:4" x14ac:dyDescent="0.3">
      <c r="A280" s="34">
        <v>11031</v>
      </c>
      <c r="B280" s="35">
        <v>1</v>
      </c>
      <c r="C280" s="35">
        <v>0</v>
      </c>
      <c r="D280" s="2">
        <f t="shared" si="4"/>
        <v>1</v>
      </c>
    </row>
    <row r="281" spans="1:4" x14ac:dyDescent="0.3">
      <c r="A281" s="34">
        <v>11032</v>
      </c>
      <c r="B281" s="35">
        <v>2</v>
      </c>
      <c r="C281" s="35">
        <v>0</v>
      </c>
      <c r="D281" s="2">
        <f t="shared" si="4"/>
        <v>2</v>
      </c>
    </row>
    <row r="282" spans="1:4" x14ac:dyDescent="0.3">
      <c r="A282" s="34">
        <v>11034</v>
      </c>
      <c r="B282" s="35">
        <v>2</v>
      </c>
      <c r="C282" s="35">
        <v>2</v>
      </c>
      <c r="D282" s="2">
        <f t="shared" si="4"/>
        <v>4</v>
      </c>
    </row>
    <row r="283" spans="1:4" x14ac:dyDescent="0.3">
      <c r="A283" s="34">
        <v>11038</v>
      </c>
      <c r="B283" s="35">
        <v>1</v>
      </c>
      <c r="C283" s="35">
        <v>0</v>
      </c>
      <c r="D283" s="2">
        <f t="shared" si="4"/>
        <v>1</v>
      </c>
    </row>
    <row r="284" spans="1:4" x14ac:dyDescent="0.3">
      <c r="A284" s="34">
        <v>11043</v>
      </c>
      <c r="B284" s="35">
        <v>1</v>
      </c>
      <c r="C284" s="35">
        <v>0</v>
      </c>
      <c r="D284" s="2">
        <f t="shared" si="4"/>
        <v>1</v>
      </c>
    </row>
    <row r="285" spans="1:4" x14ac:dyDescent="0.3">
      <c r="A285" s="34">
        <v>11045</v>
      </c>
      <c r="B285" s="35">
        <v>2</v>
      </c>
      <c r="C285" s="35">
        <v>1</v>
      </c>
      <c r="D285" s="2">
        <f t="shared" si="4"/>
        <v>3</v>
      </c>
    </row>
    <row r="286" spans="1:4" x14ac:dyDescent="0.3">
      <c r="A286" s="34">
        <v>11046</v>
      </c>
      <c r="B286" s="35">
        <v>1</v>
      </c>
      <c r="C286" s="35">
        <v>0</v>
      </c>
      <c r="D286" s="2">
        <f t="shared" si="4"/>
        <v>1</v>
      </c>
    </row>
    <row r="287" spans="1:4" x14ac:dyDescent="0.3">
      <c r="A287" s="34">
        <v>11047</v>
      </c>
      <c r="B287" s="35">
        <v>1</v>
      </c>
      <c r="C287" s="35">
        <v>0</v>
      </c>
      <c r="D287" s="2">
        <f t="shared" si="4"/>
        <v>1</v>
      </c>
    </row>
    <row r="288" spans="1:4" x14ac:dyDescent="0.3">
      <c r="A288" s="34">
        <v>11050</v>
      </c>
      <c r="B288" s="35">
        <v>1</v>
      </c>
      <c r="C288" s="35">
        <v>0</v>
      </c>
      <c r="D288" s="2">
        <f t="shared" si="4"/>
        <v>1</v>
      </c>
    </row>
    <row r="289" spans="1:4" x14ac:dyDescent="0.3">
      <c r="A289" s="34">
        <v>11051</v>
      </c>
      <c r="B289" s="35">
        <v>1</v>
      </c>
      <c r="C289" s="35">
        <v>1</v>
      </c>
      <c r="D289" s="2">
        <f t="shared" si="4"/>
        <v>2</v>
      </c>
    </row>
    <row r="290" spans="1:4" x14ac:dyDescent="0.3">
      <c r="A290" s="34">
        <v>11052</v>
      </c>
      <c r="B290" s="35">
        <v>1</v>
      </c>
      <c r="C290" s="35">
        <v>0</v>
      </c>
      <c r="D290" s="2">
        <f t="shared" si="4"/>
        <v>1</v>
      </c>
    </row>
    <row r="291" spans="1:4" x14ac:dyDescent="0.3">
      <c r="A291" s="34">
        <v>11055</v>
      </c>
      <c r="B291" s="35">
        <v>2</v>
      </c>
      <c r="C291" s="35">
        <v>1</v>
      </c>
      <c r="D291" s="2">
        <f t="shared" si="4"/>
        <v>3</v>
      </c>
    </row>
    <row r="292" spans="1:4" x14ac:dyDescent="0.3">
      <c r="A292" s="34">
        <v>11061</v>
      </c>
      <c r="B292" s="35">
        <v>1</v>
      </c>
      <c r="C292" s="35">
        <v>0</v>
      </c>
      <c r="D292" s="2">
        <f t="shared" si="4"/>
        <v>1</v>
      </c>
    </row>
    <row r="293" spans="1:4" x14ac:dyDescent="0.3">
      <c r="A293" s="34">
        <v>11062</v>
      </c>
      <c r="B293" s="35">
        <v>3</v>
      </c>
      <c r="C293" s="35">
        <v>3</v>
      </c>
      <c r="D293" s="2">
        <f t="shared" si="4"/>
        <v>6</v>
      </c>
    </row>
    <row r="294" spans="1:4" x14ac:dyDescent="0.3">
      <c r="A294" s="34">
        <v>11064</v>
      </c>
      <c r="B294" s="35">
        <v>1</v>
      </c>
      <c r="C294" s="35">
        <v>0</v>
      </c>
      <c r="D294" s="2">
        <f t="shared" si="4"/>
        <v>1</v>
      </c>
    </row>
    <row r="295" spans="1:4" x14ac:dyDescent="0.3">
      <c r="A295" s="34">
        <v>11066</v>
      </c>
      <c r="B295" s="35">
        <v>1</v>
      </c>
      <c r="C295" s="35">
        <v>0</v>
      </c>
      <c r="D295" s="2">
        <f t="shared" si="4"/>
        <v>1</v>
      </c>
    </row>
    <row r="296" spans="1:4" x14ac:dyDescent="0.3">
      <c r="A296" s="34">
        <v>11067</v>
      </c>
      <c r="B296" s="35">
        <v>2</v>
      </c>
      <c r="C296" s="35">
        <v>2</v>
      </c>
      <c r="D296" s="2">
        <f t="shared" si="4"/>
        <v>4</v>
      </c>
    </row>
    <row r="297" spans="1:4" x14ac:dyDescent="0.3">
      <c r="A297" s="34">
        <v>11070</v>
      </c>
      <c r="B297" s="35">
        <v>1</v>
      </c>
      <c r="C297" s="35">
        <v>0</v>
      </c>
      <c r="D297" s="2">
        <f t="shared" si="4"/>
        <v>1</v>
      </c>
    </row>
    <row r="298" spans="1:4" x14ac:dyDescent="0.3">
      <c r="A298" s="34">
        <v>11071</v>
      </c>
      <c r="B298" s="35">
        <v>2</v>
      </c>
      <c r="C298" s="35">
        <v>0</v>
      </c>
      <c r="D298" s="2">
        <f t="shared" si="4"/>
        <v>2</v>
      </c>
    </row>
    <row r="299" spans="1:4" x14ac:dyDescent="0.3">
      <c r="A299" s="34">
        <v>11075</v>
      </c>
      <c r="B299" s="35">
        <v>1</v>
      </c>
      <c r="C299" s="35">
        <v>1</v>
      </c>
      <c r="D299" s="2">
        <f t="shared" si="4"/>
        <v>2</v>
      </c>
    </row>
    <row r="300" spans="1:4" x14ac:dyDescent="0.3">
      <c r="A300" s="34">
        <v>11076</v>
      </c>
      <c r="B300" s="35">
        <v>2</v>
      </c>
      <c r="C300" s="35">
        <v>1</v>
      </c>
      <c r="D300" s="2">
        <f t="shared" si="4"/>
        <v>3</v>
      </c>
    </row>
    <row r="301" spans="1:4" x14ac:dyDescent="0.3">
      <c r="A301" s="34">
        <v>11078</v>
      </c>
      <c r="B301" s="35">
        <v>1</v>
      </c>
      <c r="C301" s="35">
        <v>0</v>
      </c>
      <c r="D301" s="2">
        <f t="shared" si="4"/>
        <v>1</v>
      </c>
    </row>
    <row r="302" spans="1:4" x14ac:dyDescent="0.3">
      <c r="A302" s="34">
        <v>11079</v>
      </c>
      <c r="B302" s="35">
        <v>1</v>
      </c>
      <c r="C302" s="35">
        <v>0</v>
      </c>
      <c r="D302" s="2">
        <f t="shared" si="4"/>
        <v>1</v>
      </c>
    </row>
    <row r="303" spans="1:4" x14ac:dyDescent="0.3">
      <c r="A303" s="34">
        <v>11081</v>
      </c>
      <c r="B303" s="35">
        <v>2</v>
      </c>
      <c r="C303" s="35">
        <v>0</v>
      </c>
      <c r="D303" s="2">
        <f t="shared" si="4"/>
        <v>2</v>
      </c>
    </row>
    <row r="304" spans="1:4" x14ac:dyDescent="0.3">
      <c r="A304" s="34">
        <v>11084</v>
      </c>
      <c r="B304" s="35">
        <v>1</v>
      </c>
      <c r="C304" s="35">
        <v>1</v>
      </c>
      <c r="D304" s="2">
        <f t="shared" si="4"/>
        <v>2</v>
      </c>
    </row>
    <row r="305" spans="1:4" x14ac:dyDescent="0.3">
      <c r="A305" s="34">
        <v>11087</v>
      </c>
      <c r="B305" s="35">
        <v>2</v>
      </c>
      <c r="C305" s="35">
        <v>0</v>
      </c>
      <c r="D305" s="2">
        <f t="shared" si="4"/>
        <v>2</v>
      </c>
    </row>
    <row r="306" spans="1:4" x14ac:dyDescent="0.3">
      <c r="A306" s="34">
        <v>11088</v>
      </c>
      <c r="B306" s="35">
        <v>1</v>
      </c>
      <c r="C306" s="35">
        <v>0</v>
      </c>
      <c r="D306" s="2">
        <f t="shared" si="4"/>
        <v>1</v>
      </c>
    </row>
    <row r="307" spans="1:4" x14ac:dyDescent="0.3">
      <c r="A307" s="34">
        <v>11090</v>
      </c>
      <c r="B307" s="35">
        <v>1</v>
      </c>
      <c r="C307" s="35">
        <v>0</v>
      </c>
      <c r="D307" s="2">
        <f t="shared" si="4"/>
        <v>1</v>
      </c>
    </row>
    <row r="308" spans="1:4" x14ac:dyDescent="0.3">
      <c r="A308" s="34">
        <v>11091</v>
      </c>
      <c r="B308" s="35">
        <v>3</v>
      </c>
      <c r="C308" s="35">
        <v>2</v>
      </c>
      <c r="D308" s="2">
        <f t="shared" si="4"/>
        <v>5</v>
      </c>
    </row>
    <row r="309" spans="1:4" x14ac:dyDescent="0.3">
      <c r="A309" s="34">
        <v>11094</v>
      </c>
      <c r="B309" s="35">
        <v>1</v>
      </c>
      <c r="C309" s="35">
        <v>0</v>
      </c>
      <c r="D309" s="2">
        <f t="shared" si="4"/>
        <v>1</v>
      </c>
    </row>
    <row r="310" spans="1:4" x14ac:dyDescent="0.3">
      <c r="A310" s="34">
        <v>11096</v>
      </c>
      <c r="B310" s="35">
        <v>1</v>
      </c>
      <c r="C310" s="35">
        <v>0</v>
      </c>
      <c r="D310" s="2">
        <f t="shared" si="4"/>
        <v>1</v>
      </c>
    </row>
    <row r="311" spans="1:4" x14ac:dyDescent="0.3">
      <c r="A311" s="34">
        <v>11100</v>
      </c>
      <c r="B311" s="35">
        <v>1</v>
      </c>
      <c r="C311" s="35">
        <v>0</v>
      </c>
      <c r="D311" s="2">
        <f t="shared" si="4"/>
        <v>1</v>
      </c>
    </row>
    <row r="312" spans="1:4" x14ac:dyDescent="0.3">
      <c r="A312" s="34">
        <v>11102</v>
      </c>
      <c r="B312" s="35">
        <v>1</v>
      </c>
      <c r="C312" s="35">
        <v>1</v>
      </c>
      <c r="D312" s="2">
        <f t="shared" si="4"/>
        <v>2</v>
      </c>
    </row>
    <row r="313" spans="1:4" x14ac:dyDescent="0.3">
      <c r="A313" s="34">
        <v>11103</v>
      </c>
      <c r="B313" s="35">
        <v>1</v>
      </c>
      <c r="C313" s="35">
        <v>0</v>
      </c>
      <c r="D313" s="2">
        <f t="shared" si="4"/>
        <v>1</v>
      </c>
    </row>
    <row r="314" spans="1:4" x14ac:dyDescent="0.3">
      <c r="A314" s="34">
        <v>11108</v>
      </c>
      <c r="B314" s="35">
        <v>2</v>
      </c>
      <c r="C314" s="35">
        <v>1</v>
      </c>
      <c r="D314" s="2">
        <f t="shared" si="4"/>
        <v>3</v>
      </c>
    </row>
    <row r="315" spans="1:4" x14ac:dyDescent="0.3">
      <c r="A315" s="34">
        <v>11110</v>
      </c>
      <c r="B315" s="35">
        <v>1</v>
      </c>
      <c r="C315" s="35">
        <v>1</v>
      </c>
      <c r="D315" s="2">
        <f t="shared" si="4"/>
        <v>2</v>
      </c>
    </row>
    <row r="316" spans="1:4" x14ac:dyDescent="0.3">
      <c r="A316" s="34">
        <v>11113</v>
      </c>
      <c r="B316" s="35">
        <v>1</v>
      </c>
      <c r="C316" s="35">
        <v>0</v>
      </c>
      <c r="D316" s="2">
        <f t="shared" si="4"/>
        <v>1</v>
      </c>
    </row>
    <row r="317" spans="1:4" x14ac:dyDescent="0.3">
      <c r="A317" s="34">
        <v>11122</v>
      </c>
      <c r="B317" s="35">
        <v>1</v>
      </c>
      <c r="C317" s="35">
        <v>0</v>
      </c>
      <c r="D317" s="2">
        <f t="shared" si="4"/>
        <v>1</v>
      </c>
    </row>
    <row r="318" spans="1:4" x14ac:dyDescent="0.3">
      <c r="A318" s="34">
        <v>11125</v>
      </c>
      <c r="B318" s="35">
        <v>2</v>
      </c>
      <c r="C318" s="35">
        <v>1</v>
      </c>
      <c r="D318" s="2">
        <f t="shared" si="4"/>
        <v>3</v>
      </c>
    </row>
    <row r="319" spans="1:4" x14ac:dyDescent="0.3">
      <c r="A319" s="34">
        <v>11130</v>
      </c>
      <c r="B319" s="35">
        <v>1</v>
      </c>
      <c r="C319" s="35">
        <v>0</v>
      </c>
      <c r="D319" s="2">
        <f t="shared" si="4"/>
        <v>1</v>
      </c>
    </row>
    <row r="320" spans="1:4" x14ac:dyDescent="0.3">
      <c r="A320" s="34">
        <v>11137</v>
      </c>
      <c r="B320" s="35">
        <v>2</v>
      </c>
      <c r="C320" s="35">
        <v>1</v>
      </c>
      <c r="D320" s="2">
        <f t="shared" si="4"/>
        <v>3</v>
      </c>
    </row>
    <row r="321" spans="1:4" x14ac:dyDescent="0.3">
      <c r="A321" s="34">
        <v>11142</v>
      </c>
      <c r="B321" s="35">
        <v>2</v>
      </c>
      <c r="C321" s="35">
        <v>0</v>
      </c>
      <c r="D321" s="2">
        <f t="shared" si="4"/>
        <v>2</v>
      </c>
    </row>
    <row r="322" spans="1:4" x14ac:dyDescent="0.3">
      <c r="A322" s="34">
        <v>11145</v>
      </c>
      <c r="B322" s="35">
        <v>1</v>
      </c>
      <c r="C322" s="35">
        <v>1</v>
      </c>
      <c r="D322" s="2">
        <f t="shared" si="4"/>
        <v>2</v>
      </c>
    </row>
    <row r="323" spans="1:4" x14ac:dyDescent="0.3">
      <c r="A323" s="34">
        <v>11150</v>
      </c>
      <c r="B323" s="35">
        <v>1</v>
      </c>
      <c r="C323" s="35">
        <v>1</v>
      </c>
      <c r="D323" s="2">
        <f t="shared" ref="D323:D386" si="5">B323+C323</f>
        <v>2</v>
      </c>
    </row>
    <row r="324" spans="1:4" x14ac:dyDescent="0.3">
      <c r="A324" s="34">
        <v>11163</v>
      </c>
      <c r="B324" s="35">
        <v>3</v>
      </c>
      <c r="C324" s="35">
        <v>0</v>
      </c>
      <c r="D324" s="2">
        <f t="shared" si="5"/>
        <v>3</v>
      </c>
    </row>
    <row r="325" spans="1:4" x14ac:dyDescent="0.3">
      <c r="A325" s="34">
        <v>11169</v>
      </c>
      <c r="B325" s="35">
        <v>1</v>
      </c>
      <c r="C325" s="35">
        <v>0</v>
      </c>
      <c r="D325" s="2">
        <f t="shared" si="5"/>
        <v>1</v>
      </c>
    </row>
    <row r="326" spans="1:4" x14ac:dyDescent="0.3">
      <c r="A326" s="34">
        <v>11178</v>
      </c>
      <c r="B326" s="35">
        <v>2</v>
      </c>
      <c r="C326" s="35">
        <v>1</v>
      </c>
      <c r="D326" s="2">
        <f t="shared" si="5"/>
        <v>3</v>
      </c>
    </row>
    <row r="327" spans="1:4" x14ac:dyDescent="0.3">
      <c r="A327" s="34">
        <v>11181</v>
      </c>
      <c r="B327" s="35">
        <v>1</v>
      </c>
      <c r="C327" s="35">
        <v>0</v>
      </c>
      <c r="D327" s="2">
        <f t="shared" si="5"/>
        <v>1</v>
      </c>
    </row>
    <row r="328" spans="1:4" x14ac:dyDescent="0.3">
      <c r="A328" s="34">
        <v>11186</v>
      </c>
      <c r="B328" s="35">
        <v>1</v>
      </c>
      <c r="C328" s="35">
        <v>0</v>
      </c>
      <c r="D328" s="2">
        <f t="shared" si="5"/>
        <v>1</v>
      </c>
    </row>
    <row r="329" spans="1:4" x14ac:dyDescent="0.3">
      <c r="A329" s="34">
        <v>11188</v>
      </c>
      <c r="B329" s="35">
        <v>1</v>
      </c>
      <c r="C329" s="35">
        <v>0</v>
      </c>
      <c r="D329" s="2">
        <f t="shared" si="5"/>
        <v>1</v>
      </c>
    </row>
    <row r="330" spans="1:4" x14ac:dyDescent="0.3">
      <c r="A330" s="34">
        <v>11189</v>
      </c>
      <c r="B330" s="35">
        <v>1</v>
      </c>
      <c r="C330" s="35">
        <v>0</v>
      </c>
      <c r="D330" s="2">
        <f t="shared" si="5"/>
        <v>1</v>
      </c>
    </row>
    <row r="331" spans="1:4" x14ac:dyDescent="0.3">
      <c r="A331" s="34">
        <v>11195</v>
      </c>
      <c r="B331" s="35">
        <v>2</v>
      </c>
      <c r="C331" s="35">
        <v>0</v>
      </c>
      <c r="D331" s="2">
        <f t="shared" si="5"/>
        <v>2</v>
      </c>
    </row>
    <row r="332" spans="1:4" x14ac:dyDescent="0.3">
      <c r="A332" s="34">
        <v>11413</v>
      </c>
      <c r="B332" s="35">
        <v>1</v>
      </c>
      <c r="C332" s="35">
        <v>0</v>
      </c>
      <c r="D332" s="2">
        <f t="shared" si="5"/>
        <v>1</v>
      </c>
    </row>
    <row r="333" spans="1:4" x14ac:dyDescent="0.3">
      <c r="A333" s="34">
        <v>11416</v>
      </c>
      <c r="B333" s="35">
        <v>1</v>
      </c>
      <c r="C333" s="35">
        <v>0</v>
      </c>
      <c r="D333" s="2">
        <f t="shared" si="5"/>
        <v>1</v>
      </c>
    </row>
    <row r="334" spans="1:4" x14ac:dyDescent="0.3">
      <c r="A334" s="34">
        <v>11417</v>
      </c>
      <c r="B334" s="35">
        <v>1</v>
      </c>
      <c r="C334" s="35">
        <v>0</v>
      </c>
      <c r="D334" s="2">
        <f t="shared" si="5"/>
        <v>1</v>
      </c>
    </row>
    <row r="335" spans="1:4" x14ac:dyDescent="0.3">
      <c r="A335" s="34">
        <v>11424</v>
      </c>
      <c r="B335" s="35">
        <v>1</v>
      </c>
      <c r="C335" s="35">
        <v>0</v>
      </c>
      <c r="D335" s="2">
        <f t="shared" si="5"/>
        <v>1</v>
      </c>
    </row>
    <row r="336" spans="1:4" x14ac:dyDescent="0.3">
      <c r="A336" s="34">
        <v>11428</v>
      </c>
      <c r="B336" s="35">
        <v>1</v>
      </c>
      <c r="C336" s="35">
        <v>0</v>
      </c>
      <c r="D336" s="2">
        <f t="shared" si="5"/>
        <v>1</v>
      </c>
    </row>
    <row r="337" spans="1:4" x14ac:dyDescent="0.3">
      <c r="A337" s="34">
        <v>11432</v>
      </c>
      <c r="B337" s="35">
        <v>1</v>
      </c>
      <c r="C337" s="35">
        <v>0</v>
      </c>
      <c r="D337" s="2">
        <f t="shared" si="5"/>
        <v>1</v>
      </c>
    </row>
    <row r="338" spans="1:4" x14ac:dyDescent="0.3">
      <c r="A338" s="34">
        <v>11437</v>
      </c>
      <c r="B338" s="35">
        <v>1</v>
      </c>
      <c r="C338" s="35">
        <v>0</v>
      </c>
      <c r="D338" s="2">
        <f t="shared" si="5"/>
        <v>1</v>
      </c>
    </row>
    <row r="339" spans="1:4" x14ac:dyDescent="0.3">
      <c r="A339" s="34">
        <v>11438</v>
      </c>
      <c r="B339" s="35">
        <v>1</v>
      </c>
      <c r="C339" s="35">
        <v>0</v>
      </c>
      <c r="D339" s="2">
        <f t="shared" si="5"/>
        <v>1</v>
      </c>
    </row>
    <row r="340" spans="1:4" x14ac:dyDescent="0.3">
      <c r="A340" s="34">
        <v>11444</v>
      </c>
      <c r="B340" s="35">
        <v>1</v>
      </c>
      <c r="C340" s="35">
        <v>0</v>
      </c>
      <c r="D340" s="2">
        <f t="shared" si="5"/>
        <v>1</v>
      </c>
    </row>
    <row r="341" spans="1:4" x14ac:dyDescent="0.3">
      <c r="A341" s="34">
        <v>11447</v>
      </c>
      <c r="B341" s="35">
        <v>1</v>
      </c>
      <c r="C341" s="35">
        <v>0</v>
      </c>
      <c r="D341" s="2">
        <f t="shared" si="5"/>
        <v>1</v>
      </c>
    </row>
    <row r="342" spans="1:4" x14ac:dyDescent="0.3">
      <c r="A342" s="34">
        <v>11451</v>
      </c>
      <c r="B342" s="35">
        <v>1</v>
      </c>
      <c r="C342" s="35">
        <v>1</v>
      </c>
      <c r="D342" s="2">
        <f t="shared" si="5"/>
        <v>2</v>
      </c>
    </row>
    <row r="343" spans="1:4" x14ac:dyDescent="0.3">
      <c r="A343" s="34">
        <v>11453</v>
      </c>
      <c r="B343" s="35">
        <v>1</v>
      </c>
      <c r="C343" s="35">
        <v>0</v>
      </c>
      <c r="D343" s="2">
        <f t="shared" si="5"/>
        <v>1</v>
      </c>
    </row>
    <row r="344" spans="1:4" x14ac:dyDescent="0.3">
      <c r="A344" s="34">
        <v>11458</v>
      </c>
      <c r="B344" s="35">
        <v>1</v>
      </c>
      <c r="C344" s="35">
        <v>0</v>
      </c>
      <c r="D344" s="2">
        <f t="shared" si="5"/>
        <v>1</v>
      </c>
    </row>
    <row r="345" spans="1:4" x14ac:dyDescent="0.3">
      <c r="A345" s="34">
        <v>11459</v>
      </c>
      <c r="B345" s="35">
        <v>1</v>
      </c>
      <c r="C345" s="35">
        <v>0</v>
      </c>
      <c r="D345" s="2">
        <f t="shared" si="5"/>
        <v>1</v>
      </c>
    </row>
    <row r="346" spans="1:4" x14ac:dyDescent="0.3">
      <c r="A346" s="34">
        <v>11467</v>
      </c>
      <c r="B346" s="35">
        <v>1</v>
      </c>
      <c r="C346" s="35">
        <v>0</v>
      </c>
      <c r="D346" s="2">
        <f t="shared" si="5"/>
        <v>1</v>
      </c>
    </row>
    <row r="347" spans="1:4" x14ac:dyDescent="0.3">
      <c r="A347" s="34">
        <v>11471</v>
      </c>
      <c r="B347" s="35">
        <v>2</v>
      </c>
      <c r="C347" s="35">
        <v>0</v>
      </c>
      <c r="D347" s="2">
        <f t="shared" si="5"/>
        <v>2</v>
      </c>
    </row>
    <row r="348" spans="1:4" x14ac:dyDescent="0.3">
      <c r="A348" s="34">
        <v>11476</v>
      </c>
      <c r="B348" s="35">
        <v>2</v>
      </c>
      <c r="C348" s="35">
        <v>1</v>
      </c>
      <c r="D348" s="2">
        <f t="shared" si="5"/>
        <v>3</v>
      </c>
    </row>
    <row r="349" spans="1:4" x14ac:dyDescent="0.3">
      <c r="A349" s="34">
        <v>11491</v>
      </c>
      <c r="B349" s="35">
        <v>1</v>
      </c>
      <c r="C349" s="35">
        <v>0</v>
      </c>
      <c r="D349" s="2">
        <f t="shared" si="5"/>
        <v>1</v>
      </c>
    </row>
    <row r="350" spans="1:4" x14ac:dyDescent="0.3">
      <c r="A350" s="34">
        <v>11492</v>
      </c>
      <c r="B350" s="35">
        <v>1</v>
      </c>
      <c r="C350" s="35">
        <v>0</v>
      </c>
      <c r="D350" s="2">
        <f t="shared" si="5"/>
        <v>1</v>
      </c>
    </row>
    <row r="351" spans="1:4" x14ac:dyDescent="0.3">
      <c r="A351" s="34">
        <v>11493</v>
      </c>
      <c r="B351" s="35">
        <v>1</v>
      </c>
      <c r="C351" s="35">
        <v>1</v>
      </c>
      <c r="D351" s="2">
        <f t="shared" si="5"/>
        <v>2</v>
      </c>
    </row>
    <row r="352" spans="1:4" x14ac:dyDescent="0.3">
      <c r="A352" s="34">
        <v>11495</v>
      </c>
      <c r="B352" s="35">
        <v>1</v>
      </c>
      <c r="C352" s="35">
        <v>1</v>
      </c>
      <c r="D352" s="2">
        <f t="shared" si="5"/>
        <v>2</v>
      </c>
    </row>
    <row r="353" spans="1:4" x14ac:dyDescent="0.3">
      <c r="A353" s="34">
        <v>11500</v>
      </c>
      <c r="B353" s="35">
        <v>1</v>
      </c>
      <c r="C353" s="35">
        <v>0</v>
      </c>
      <c r="D353" s="2">
        <f t="shared" si="5"/>
        <v>1</v>
      </c>
    </row>
    <row r="354" spans="1:4" x14ac:dyDescent="0.3">
      <c r="A354" s="34">
        <v>11501</v>
      </c>
      <c r="B354" s="35">
        <v>1</v>
      </c>
      <c r="C354" s="35">
        <v>0</v>
      </c>
      <c r="D354" s="2">
        <f t="shared" si="5"/>
        <v>1</v>
      </c>
    </row>
    <row r="355" spans="1:4" x14ac:dyDescent="0.3">
      <c r="A355" s="34">
        <v>11502</v>
      </c>
      <c r="B355" s="35">
        <v>1</v>
      </c>
      <c r="C355" s="35">
        <v>0</v>
      </c>
      <c r="D355" s="2">
        <f t="shared" si="5"/>
        <v>1</v>
      </c>
    </row>
    <row r="356" spans="1:4" x14ac:dyDescent="0.3">
      <c r="A356" s="34">
        <v>11515</v>
      </c>
      <c r="B356" s="35">
        <v>1</v>
      </c>
      <c r="C356" s="35">
        <v>1</v>
      </c>
      <c r="D356" s="2">
        <f t="shared" si="5"/>
        <v>2</v>
      </c>
    </row>
    <row r="357" spans="1:4" x14ac:dyDescent="0.3">
      <c r="A357" s="34">
        <v>11526</v>
      </c>
      <c r="B357" s="35">
        <v>1</v>
      </c>
      <c r="C357" s="35">
        <v>1</v>
      </c>
      <c r="D357" s="2">
        <f t="shared" si="5"/>
        <v>2</v>
      </c>
    </row>
    <row r="358" spans="1:4" x14ac:dyDescent="0.3">
      <c r="A358" s="34">
        <v>11683</v>
      </c>
      <c r="B358" s="35">
        <v>1</v>
      </c>
      <c r="C358" s="35">
        <v>0</v>
      </c>
      <c r="D358" s="2">
        <f t="shared" si="5"/>
        <v>1</v>
      </c>
    </row>
    <row r="359" spans="1:4" x14ac:dyDescent="0.3">
      <c r="A359" s="34">
        <v>11689</v>
      </c>
      <c r="B359" s="35">
        <v>1</v>
      </c>
      <c r="C359" s="35">
        <v>0</v>
      </c>
      <c r="D359" s="2">
        <f t="shared" si="5"/>
        <v>1</v>
      </c>
    </row>
    <row r="360" spans="1:4" x14ac:dyDescent="0.3">
      <c r="A360" s="34">
        <v>11694</v>
      </c>
      <c r="B360" s="35">
        <v>1</v>
      </c>
      <c r="C360" s="35">
        <v>0</v>
      </c>
      <c r="D360" s="2">
        <f t="shared" si="5"/>
        <v>1</v>
      </c>
    </row>
    <row r="361" spans="1:4" x14ac:dyDescent="0.3">
      <c r="A361" s="34">
        <v>11695</v>
      </c>
      <c r="B361" s="35">
        <v>2</v>
      </c>
      <c r="C361" s="35">
        <v>1</v>
      </c>
      <c r="D361" s="2">
        <f t="shared" si="5"/>
        <v>3</v>
      </c>
    </row>
    <row r="362" spans="1:4" x14ac:dyDescent="0.3">
      <c r="A362" s="34">
        <v>11696</v>
      </c>
      <c r="B362" s="35">
        <v>2</v>
      </c>
      <c r="C362" s="35">
        <v>0</v>
      </c>
      <c r="D362" s="2">
        <f t="shared" si="5"/>
        <v>2</v>
      </c>
    </row>
    <row r="363" spans="1:4" x14ac:dyDescent="0.3">
      <c r="A363" s="34">
        <v>11698</v>
      </c>
      <c r="B363" s="35">
        <v>1</v>
      </c>
      <c r="C363" s="35">
        <v>1</v>
      </c>
      <c r="D363" s="2">
        <f t="shared" si="5"/>
        <v>2</v>
      </c>
    </row>
    <row r="364" spans="1:4" x14ac:dyDescent="0.3">
      <c r="A364" s="34">
        <v>11699</v>
      </c>
      <c r="B364" s="35">
        <v>1</v>
      </c>
      <c r="C364" s="35">
        <v>0</v>
      </c>
      <c r="D364" s="2">
        <f t="shared" si="5"/>
        <v>1</v>
      </c>
    </row>
    <row r="365" spans="1:4" x14ac:dyDescent="0.3">
      <c r="A365" s="34">
        <v>11700</v>
      </c>
      <c r="B365" s="35">
        <v>1</v>
      </c>
      <c r="C365" s="35">
        <v>1</v>
      </c>
      <c r="D365" s="2">
        <f t="shared" si="5"/>
        <v>2</v>
      </c>
    </row>
    <row r="366" spans="1:4" x14ac:dyDescent="0.3">
      <c r="A366" s="34">
        <v>11702</v>
      </c>
      <c r="B366" s="35">
        <v>4</v>
      </c>
      <c r="C366" s="35">
        <v>3</v>
      </c>
      <c r="D366" s="2">
        <f t="shared" si="5"/>
        <v>7</v>
      </c>
    </row>
    <row r="367" spans="1:4" x14ac:dyDescent="0.3">
      <c r="A367" s="34">
        <v>11703</v>
      </c>
      <c r="B367" s="35">
        <v>1</v>
      </c>
      <c r="C367" s="35">
        <v>0</v>
      </c>
      <c r="D367" s="2">
        <f t="shared" si="5"/>
        <v>1</v>
      </c>
    </row>
    <row r="368" spans="1:4" x14ac:dyDescent="0.3">
      <c r="A368" s="34">
        <v>11704</v>
      </c>
      <c r="B368" s="35">
        <v>1</v>
      </c>
      <c r="C368" s="35">
        <v>0</v>
      </c>
      <c r="D368" s="2">
        <f t="shared" si="5"/>
        <v>1</v>
      </c>
    </row>
    <row r="369" spans="1:4" x14ac:dyDescent="0.3">
      <c r="A369" s="34">
        <v>11705</v>
      </c>
      <c r="B369" s="35">
        <v>1</v>
      </c>
      <c r="C369" s="35">
        <v>0</v>
      </c>
      <c r="D369" s="2">
        <f t="shared" si="5"/>
        <v>1</v>
      </c>
    </row>
    <row r="370" spans="1:4" x14ac:dyDescent="0.3">
      <c r="A370" s="34">
        <v>11706</v>
      </c>
      <c r="B370" s="35">
        <v>2</v>
      </c>
      <c r="C370" s="35">
        <v>0</v>
      </c>
      <c r="D370" s="2">
        <f t="shared" si="5"/>
        <v>2</v>
      </c>
    </row>
    <row r="371" spans="1:4" x14ac:dyDescent="0.3">
      <c r="A371" s="34">
        <v>11707</v>
      </c>
      <c r="B371" s="35">
        <v>1</v>
      </c>
      <c r="C371" s="35">
        <v>0</v>
      </c>
      <c r="D371" s="2">
        <f t="shared" si="5"/>
        <v>1</v>
      </c>
    </row>
    <row r="372" spans="1:4" x14ac:dyDescent="0.3">
      <c r="A372" s="34">
        <v>11711</v>
      </c>
      <c r="B372" s="35">
        <v>1</v>
      </c>
      <c r="C372" s="35">
        <v>1</v>
      </c>
      <c r="D372" s="2">
        <f t="shared" si="5"/>
        <v>2</v>
      </c>
    </row>
    <row r="373" spans="1:4" x14ac:dyDescent="0.3">
      <c r="A373" s="34">
        <v>11717</v>
      </c>
      <c r="B373" s="35">
        <v>2</v>
      </c>
      <c r="C373" s="35">
        <v>1</v>
      </c>
      <c r="D373" s="2">
        <f t="shared" si="5"/>
        <v>3</v>
      </c>
    </row>
    <row r="374" spans="1:4" x14ac:dyDescent="0.3">
      <c r="A374" s="34">
        <v>11719</v>
      </c>
      <c r="B374" s="35">
        <v>3</v>
      </c>
      <c r="C374" s="35">
        <v>0</v>
      </c>
      <c r="D374" s="2">
        <f t="shared" si="5"/>
        <v>3</v>
      </c>
    </row>
    <row r="375" spans="1:4" x14ac:dyDescent="0.3">
      <c r="A375" s="34">
        <v>11725</v>
      </c>
      <c r="B375" s="35">
        <v>1</v>
      </c>
      <c r="C375" s="35">
        <v>0</v>
      </c>
      <c r="D375" s="2">
        <f t="shared" si="5"/>
        <v>1</v>
      </c>
    </row>
    <row r="376" spans="1:4" x14ac:dyDescent="0.3">
      <c r="A376" s="34">
        <v>11729</v>
      </c>
      <c r="B376" s="35">
        <v>1</v>
      </c>
      <c r="C376" s="35">
        <v>1</v>
      </c>
      <c r="D376" s="2">
        <f t="shared" si="5"/>
        <v>2</v>
      </c>
    </row>
    <row r="377" spans="1:4" x14ac:dyDescent="0.3">
      <c r="A377" s="34">
        <v>11734</v>
      </c>
      <c r="B377" s="35">
        <v>1</v>
      </c>
      <c r="C377" s="35">
        <v>0</v>
      </c>
      <c r="D377" s="2">
        <f t="shared" si="5"/>
        <v>1</v>
      </c>
    </row>
    <row r="378" spans="1:4" x14ac:dyDescent="0.3">
      <c r="A378" s="34">
        <v>11735</v>
      </c>
      <c r="B378" s="35">
        <v>1</v>
      </c>
      <c r="C378" s="35">
        <v>0</v>
      </c>
      <c r="D378" s="2">
        <f t="shared" si="5"/>
        <v>1</v>
      </c>
    </row>
    <row r="379" spans="1:4" x14ac:dyDescent="0.3">
      <c r="A379" s="34">
        <v>11736</v>
      </c>
      <c r="B379" s="35">
        <v>1</v>
      </c>
      <c r="C379" s="35">
        <v>0</v>
      </c>
      <c r="D379" s="2">
        <f t="shared" si="5"/>
        <v>1</v>
      </c>
    </row>
    <row r="380" spans="1:4" x14ac:dyDescent="0.3">
      <c r="A380" s="34">
        <v>11737</v>
      </c>
      <c r="B380" s="35">
        <v>1</v>
      </c>
      <c r="C380" s="35">
        <v>0</v>
      </c>
      <c r="D380" s="2">
        <f t="shared" si="5"/>
        <v>1</v>
      </c>
    </row>
    <row r="381" spans="1:4" x14ac:dyDescent="0.3">
      <c r="A381" s="34">
        <v>11742</v>
      </c>
      <c r="B381" s="35">
        <v>2</v>
      </c>
      <c r="C381" s="35">
        <v>1</v>
      </c>
      <c r="D381" s="2">
        <f t="shared" si="5"/>
        <v>3</v>
      </c>
    </row>
    <row r="382" spans="1:4" x14ac:dyDescent="0.3">
      <c r="A382" s="34">
        <v>11744</v>
      </c>
      <c r="B382" s="35">
        <v>1</v>
      </c>
      <c r="C382" s="35">
        <v>1</v>
      </c>
      <c r="D382" s="2">
        <f t="shared" si="5"/>
        <v>2</v>
      </c>
    </row>
    <row r="383" spans="1:4" x14ac:dyDescent="0.3">
      <c r="A383" s="34">
        <v>11748</v>
      </c>
      <c r="B383" s="35">
        <v>1</v>
      </c>
      <c r="C383" s="35">
        <v>0</v>
      </c>
      <c r="D383" s="2">
        <f t="shared" si="5"/>
        <v>1</v>
      </c>
    </row>
    <row r="384" spans="1:4" x14ac:dyDescent="0.3">
      <c r="A384" s="34">
        <v>11750</v>
      </c>
      <c r="B384" s="35">
        <v>1</v>
      </c>
      <c r="C384" s="35">
        <v>1</v>
      </c>
      <c r="D384" s="2">
        <f t="shared" si="5"/>
        <v>2</v>
      </c>
    </row>
    <row r="385" spans="1:4" x14ac:dyDescent="0.3">
      <c r="A385" s="34">
        <v>11752</v>
      </c>
      <c r="B385" s="35">
        <v>2</v>
      </c>
      <c r="C385" s="35">
        <v>1</v>
      </c>
      <c r="D385" s="2">
        <f t="shared" si="5"/>
        <v>3</v>
      </c>
    </row>
    <row r="386" spans="1:4" x14ac:dyDescent="0.3">
      <c r="A386" s="34">
        <v>11754</v>
      </c>
      <c r="B386" s="35">
        <v>2</v>
      </c>
      <c r="C386" s="35">
        <v>1</v>
      </c>
      <c r="D386" s="2">
        <f t="shared" si="5"/>
        <v>3</v>
      </c>
    </row>
    <row r="387" spans="1:4" x14ac:dyDescent="0.3">
      <c r="A387" s="34">
        <v>11782</v>
      </c>
      <c r="B387" s="35">
        <v>4</v>
      </c>
      <c r="C387" s="35">
        <v>4</v>
      </c>
      <c r="D387" s="2">
        <f t="shared" ref="D387:D450" si="6">B387+C387</f>
        <v>8</v>
      </c>
    </row>
    <row r="388" spans="1:4" x14ac:dyDescent="0.3">
      <c r="A388" s="34">
        <v>11829</v>
      </c>
      <c r="B388" s="35">
        <v>2</v>
      </c>
      <c r="C388" s="35">
        <v>2</v>
      </c>
      <c r="D388" s="2">
        <f t="shared" si="6"/>
        <v>4</v>
      </c>
    </row>
    <row r="389" spans="1:4" x14ac:dyDescent="0.3">
      <c r="A389" s="34">
        <v>11895</v>
      </c>
      <c r="B389" s="35">
        <v>2</v>
      </c>
      <c r="C389" s="35">
        <v>0</v>
      </c>
      <c r="D389" s="2">
        <f t="shared" si="6"/>
        <v>2</v>
      </c>
    </row>
    <row r="390" spans="1:4" x14ac:dyDescent="0.3">
      <c r="A390" s="34">
        <v>11896</v>
      </c>
      <c r="B390" s="35">
        <v>2</v>
      </c>
      <c r="C390" s="35">
        <v>1</v>
      </c>
      <c r="D390" s="2">
        <f t="shared" si="6"/>
        <v>3</v>
      </c>
    </row>
    <row r="391" spans="1:4" x14ac:dyDescent="0.3">
      <c r="A391" s="34">
        <v>11897</v>
      </c>
      <c r="B391" s="35">
        <v>2</v>
      </c>
      <c r="C391" s="35">
        <v>0</v>
      </c>
      <c r="D391" s="2">
        <f t="shared" si="6"/>
        <v>2</v>
      </c>
    </row>
    <row r="392" spans="1:4" x14ac:dyDescent="0.3">
      <c r="A392" s="34">
        <v>11903</v>
      </c>
      <c r="B392" s="35">
        <v>1</v>
      </c>
      <c r="C392" s="35">
        <v>0</v>
      </c>
      <c r="D392" s="2">
        <f t="shared" si="6"/>
        <v>1</v>
      </c>
    </row>
    <row r="393" spans="1:4" x14ac:dyDescent="0.3">
      <c r="A393" s="34">
        <v>11904</v>
      </c>
      <c r="B393" s="35">
        <v>1</v>
      </c>
      <c r="C393" s="35">
        <v>0</v>
      </c>
      <c r="D393" s="2">
        <f t="shared" si="6"/>
        <v>1</v>
      </c>
    </row>
    <row r="394" spans="1:4" x14ac:dyDescent="0.3">
      <c r="A394" s="34">
        <v>11908</v>
      </c>
      <c r="B394" s="35">
        <v>1</v>
      </c>
      <c r="C394" s="35">
        <v>0</v>
      </c>
      <c r="D394" s="2">
        <f t="shared" si="6"/>
        <v>1</v>
      </c>
    </row>
    <row r="395" spans="1:4" x14ac:dyDescent="0.3">
      <c r="A395" s="34">
        <v>11909</v>
      </c>
      <c r="B395" s="35">
        <v>1</v>
      </c>
      <c r="C395" s="35">
        <v>0</v>
      </c>
      <c r="D395" s="2">
        <f t="shared" si="6"/>
        <v>1</v>
      </c>
    </row>
    <row r="396" spans="1:4" x14ac:dyDescent="0.3">
      <c r="A396" s="34">
        <v>11915</v>
      </c>
      <c r="B396" s="35">
        <v>2</v>
      </c>
      <c r="C396" s="35">
        <v>1</v>
      </c>
      <c r="D396" s="2">
        <f t="shared" si="6"/>
        <v>3</v>
      </c>
    </row>
    <row r="397" spans="1:4" x14ac:dyDescent="0.3">
      <c r="A397" s="34">
        <v>11918</v>
      </c>
      <c r="B397" s="35">
        <v>2</v>
      </c>
      <c r="C397" s="35">
        <v>0</v>
      </c>
      <c r="D397" s="2">
        <f t="shared" si="6"/>
        <v>2</v>
      </c>
    </row>
    <row r="398" spans="1:4" x14ac:dyDescent="0.3">
      <c r="A398" s="34">
        <v>11920</v>
      </c>
      <c r="B398" s="35">
        <v>1</v>
      </c>
      <c r="C398" s="35">
        <v>1</v>
      </c>
      <c r="D398" s="2">
        <f t="shared" si="6"/>
        <v>2</v>
      </c>
    </row>
    <row r="399" spans="1:4" x14ac:dyDescent="0.3">
      <c r="A399" s="34">
        <v>11922</v>
      </c>
      <c r="B399" s="35">
        <v>1</v>
      </c>
      <c r="C399" s="35">
        <v>0</v>
      </c>
      <c r="D399" s="2">
        <f t="shared" si="6"/>
        <v>1</v>
      </c>
    </row>
    <row r="400" spans="1:4" x14ac:dyDescent="0.3">
      <c r="A400" s="34">
        <v>11923</v>
      </c>
      <c r="B400" s="35">
        <v>1</v>
      </c>
      <c r="C400" s="35">
        <v>0</v>
      </c>
      <c r="D400" s="2">
        <f t="shared" si="6"/>
        <v>1</v>
      </c>
    </row>
    <row r="401" spans="1:4" x14ac:dyDescent="0.3">
      <c r="A401" s="34">
        <v>11925</v>
      </c>
      <c r="B401" s="35">
        <v>1</v>
      </c>
      <c r="C401" s="35">
        <v>0</v>
      </c>
      <c r="D401" s="2">
        <f t="shared" si="6"/>
        <v>1</v>
      </c>
    </row>
    <row r="402" spans="1:4" x14ac:dyDescent="0.3">
      <c r="A402" s="34">
        <v>11928</v>
      </c>
      <c r="B402" s="35">
        <v>1</v>
      </c>
      <c r="C402" s="35">
        <v>0</v>
      </c>
      <c r="D402" s="2">
        <f t="shared" si="6"/>
        <v>1</v>
      </c>
    </row>
    <row r="403" spans="1:4" x14ac:dyDescent="0.3">
      <c r="A403" s="34">
        <v>11985</v>
      </c>
      <c r="B403" s="35">
        <v>1</v>
      </c>
      <c r="C403" s="35">
        <v>0</v>
      </c>
      <c r="D403" s="2">
        <f t="shared" si="6"/>
        <v>1</v>
      </c>
    </row>
    <row r="404" spans="1:4" x14ac:dyDescent="0.3">
      <c r="A404" s="34">
        <v>11988</v>
      </c>
      <c r="B404" s="35">
        <v>1</v>
      </c>
      <c r="C404" s="35">
        <v>0</v>
      </c>
      <c r="D404" s="2">
        <f t="shared" si="6"/>
        <v>1</v>
      </c>
    </row>
    <row r="405" spans="1:4" x14ac:dyDescent="0.3">
      <c r="A405" s="34">
        <v>11989</v>
      </c>
      <c r="B405" s="35">
        <v>1</v>
      </c>
      <c r="C405" s="35">
        <v>0</v>
      </c>
      <c r="D405" s="2">
        <f t="shared" si="6"/>
        <v>1</v>
      </c>
    </row>
    <row r="406" spans="1:4" x14ac:dyDescent="0.3">
      <c r="A406" s="34">
        <v>11997</v>
      </c>
      <c r="B406" s="35">
        <v>1</v>
      </c>
      <c r="C406" s="35">
        <v>0</v>
      </c>
      <c r="D406" s="2">
        <f t="shared" si="6"/>
        <v>1</v>
      </c>
    </row>
    <row r="407" spans="1:4" x14ac:dyDescent="0.3">
      <c r="A407" s="34">
        <v>11999</v>
      </c>
      <c r="B407" s="35">
        <v>1</v>
      </c>
      <c r="C407" s="35">
        <v>0</v>
      </c>
      <c r="D407" s="2">
        <f t="shared" si="6"/>
        <v>1</v>
      </c>
    </row>
    <row r="408" spans="1:4" x14ac:dyDescent="0.3">
      <c r="A408" s="34">
        <v>12003</v>
      </c>
      <c r="B408" s="35">
        <v>4</v>
      </c>
      <c r="C408" s="35">
        <v>3</v>
      </c>
      <c r="D408" s="2">
        <f t="shared" si="6"/>
        <v>7</v>
      </c>
    </row>
    <row r="409" spans="1:4" x14ac:dyDescent="0.3">
      <c r="A409" s="34">
        <v>12010</v>
      </c>
      <c r="B409" s="35">
        <v>1</v>
      </c>
      <c r="C409" s="35">
        <v>1</v>
      </c>
      <c r="D409" s="2">
        <f t="shared" si="6"/>
        <v>2</v>
      </c>
    </row>
    <row r="410" spans="1:4" x14ac:dyDescent="0.3">
      <c r="A410" s="34">
        <v>12011</v>
      </c>
      <c r="B410" s="35">
        <v>4</v>
      </c>
      <c r="C410" s="35">
        <v>2</v>
      </c>
      <c r="D410" s="2">
        <f t="shared" si="6"/>
        <v>6</v>
      </c>
    </row>
    <row r="411" spans="1:4" x14ac:dyDescent="0.3">
      <c r="A411" s="34">
        <v>12019</v>
      </c>
      <c r="B411" s="35">
        <v>1</v>
      </c>
      <c r="C411" s="35">
        <v>0</v>
      </c>
      <c r="D411" s="2">
        <f t="shared" si="6"/>
        <v>1</v>
      </c>
    </row>
    <row r="412" spans="1:4" x14ac:dyDescent="0.3">
      <c r="A412" s="34">
        <v>12020</v>
      </c>
      <c r="B412" s="35">
        <v>1</v>
      </c>
      <c r="C412" s="35">
        <v>1</v>
      </c>
      <c r="D412" s="2">
        <f t="shared" si="6"/>
        <v>2</v>
      </c>
    </row>
    <row r="413" spans="1:4" x14ac:dyDescent="0.3">
      <c r="A413" s="34">
        <v>12021</v>
      </c>
      <c r="B413" s="35">
        <v>1</v>
      </c>
      <c r="C413" s="35">
        <v>0</v>
      </c>
      <c r="D413" s="2">
        <f t="shared" si="6"/>
        <v>1</v>
      </c>
    </row>
    <row r="414" spans="1:4" x14ac:dyDescent="0.3">
      <c r="A414" s="34">
        <v>12022</v>
      </c>
      <c r="B414" s="35">
        <v>1</v>
      </c>
      <c r="C414" s="35">
        <v>0</v>
      </c>
      <c r="D414" s="2">
        <f t="shared" si="6"/>
        <v>1</v>
      </c>
    </row>
    <row r="415" spans="1:4" x14ac:dyDescent="0.3">
      <c r="A415" s="34">
        <v>12024</v>
      </c>
      <c r="B415" s="35">
        <v>1</v>
      </c>
      <c r="C415" s="35">
        <v>0</v>
      </c>
      <c r="D415" s="2">
        <f t="shared" si="6"/>
        <v>1</v>
      </c>
    </row>
    <row r="416" spans="1:4" x14ac:dyDescent="0.3">
      <c r="A416" s="34">
        <v>12025</v>
      </c>
      <c r="B416" s="35">
        <v>1</v>
      </c>
      <c r="C416" s="35">
        <v>1</v>
      </c>
      <c r="D416" s="2">
        <f t="shared" si="6"/>
        <v>2</v>
      </c>
    </row>
    <row r="417" spans="1:4" x14ac:dyDescent="0.3">
      <c r="A417" s="34">
        <v>12026</v>
      </c>
      <c r="B417" s="35">
        <v>1</v>
      </c>
      <c r="C417" s="35">
        <v>1</v>
      </c>
      <c r="D417" s="2">
        <f t="shared" si="6"/>
        <v>2</v>
      </c>
    </row>
    <row r="418" spans="1:4" x14ac:dyDescent="0.3">
      <c r="A418" s="34">
        <v>12027</v>
      </c>
      <c r="B418" s="35">
        <v>1</v>
      </c>
      <c r="C418" s="35">
        <v>0</v>
      </c>
      <c r="D418" s="2">
        <f t="shared" si="6"/>
        <v>1</v>
      </c>
    </row>
    <row r="419" spans="1:4" x14ac:dyDescent="0.3">
      <c r="A419" s="34">
        <v>12028</v>
      </c>
      <c r="B419" s="35">
        <v>1</v>
      </c>
      <c r="C419" s="35">
        <v>0</v>
      </c>
      <c r="D419" s="2">
        <f t="shared" si="6"/>
        <v>1</v>
      </c>
    </row>
    <row r="420" spans="1:4" x14ac:dyDescent="0.3">
      <c r="A420" s="34">
        <v>12029</v>
      </c>
      <c r="B420" s="35">
        <v>4</v>
      </c>
      <c r="C420" s="35">
        <v>2</v>
      </c>
      <c r="D420" s="2">
        <f t="shared" si="6"/>
        <v>6</v>
      </c>
    </row>
    <row r="421" spans="1:4" x14ac:dyDescent="0.3">
      <c r="A421" s="34">
        <v>12030</v>
      </c>
      <c r="B421" s="35">
        <v>1</v>
      </c>
      <c r="C421" s="35">
        <v>0</v>
      </c>
      <c r="D421" s="2">
        <f t="shared" si="6"/>
        <v>1</v>
      </c>
    </row>
    <row r="422" spans="1:4" x14ac:dyDescent="0.3">
      <c r="A422" s="34">
        <v>12033</v>
      </c>
      <c r="B422" s="35">
        <v>1</v>
      </c>
      <c r="C422" s="35">
        <v>0</v>
      </c>
      <c r="D422" s="2">
        <f t="shared" si="6"/>
        <v>1</v>
      </c>
    </row>
    <row r="423" spans="1:4" x14ac:dyDescent="0.3">
      <c r="A423" s="34">
        <v>12034</v>
      </c>
      <c r="B423" s="35">
        <v>1</v>
      </c>
      <c r="C423" s="35">
        <v>0</v>
      </c>
      <c r="D423" s="2">
        <f t="shared" si="6"/>
        <v>1</v>
      </c>
    </row>
    <row r="424" spans="1:4" x14ac:dyDescent="0.3">
      <c r="A424" s="34">
        <v>12040</v>
      </c>
      <c r="B424" s="35">
        <v>1</v>
      </c>
      <c r="C424" s="35">
        <v>1</v>
      </c>
      <c r="D424" s="2">
        <f t="shared" si="6"/>
        <v>2</v>
      </c>
    </row>
    <row r="425" spans="1:4" x14ac:dyDescent="0.3">
      <c r="A425" s="34">
        <v>12042</v>
      </c>
      <c r="B425" s="35">
        <v>1</v>
      </c>
      <c r="C425" s="35">
        <v>0</v>
      </c>
      <c r="D425" s="2">
        <f t="shared" si="6"/>
        <v>1</v>
      </c>
    </row>
    <row r="426" spans="1:4" x14ac:dyDescent="0.3">
      <c r="A426" s="34">
        <v>12045</v>
      </c>
      <c r="B426" s="35">
        <v>1</v>
      </c>
      <c r="C426" s="35">
        <v>0</v>
      </c>
      <c r="D426" s="2">
        <f t="shared" si="6"/>
        <v>1</v>
      </c>
    </row>
    <row r="427" spans="1:4" x14ac:dyDescent="0.3">
      <c r="A427" s="34">
        <v>12048</v>
      </c>
      <c r="B427" s="35">
        <v>1</v>
      </c>
      <c r="C427" s="35">
        <v>1</v>
      </c>
      <c r="D427" s="2">
        <f t="shared" si="6"/>
        <v>2</v>
      </c>
    </row>
    <row r="428" spans="1:4" x14ac:dyDescent="0.3">
      <c r="A428" s="34">
        <v>12050</v>
      </c>
      <c r="B428" s="35">
        <v>2</v>
      </c>
      <c r="C428" s="35">
        <v>0</v>
      </c>
      <c r="D428" s="2">
        <f t="shared" si="6"/>
        <v>2</v>
      </c>
    </row>
    <row r="429" spans="1:4" x14ac:dyDescent="0.3">
      <c r="A429" s="34">
        <v>12052</v>
      </c>
      <c r="B429" s="35">
        <v>1</v>
      </c>
      <c r="C429" s="35">
        <v>1</v>
      </c>
      <c r="D429" s="2">
        <f t="shared" si="6"/>
        <v>2</v>
      </c>
    </row>
    <row r="430" spans="1:4" x14ac:dyDescent="0.3">
      <c r="A430" s="34">
        <v>12059</v>
      </c>
      <c r="B430" s="35">
        <v>1</v>
      </c>
      <c r="C430" s="35">
        <v>0</v>
      </c>
      <c r="D430" s="2">
        <f t="shared" si="6"/>
        <v>1</v>
      </c>
    </row>
    <row r="431" spans="1:4" x14ac:dyDescent="0.3">
      <c r="A431" s="34">
        <v>12061</v>
      </c>
      <c r="B431" s="35">
        <v>1</v>
      </c>
      <c r="C431" s="35">
        <v>1</v>
      </c>
      <c r="D431" s="2">
        <f t="shared" si="6"/>
        <v>2</v>
      </c>
    </row>
    <row r="432" spans="1:4" x14ac:dyDescent="0.3">
      <c r="A432" s="34">
        <v>12062</v>
      </c>
      <c r="B432" s="35">
        <v>2</v>
      </c>
      <c r="C432" s="35">
        <v>1</v>
      </c>
      <c r="D432" s="2">
        <f t="shared" si="6"/>
        <v>3</v>
      </c>
    </row>
    <row r="433" spans="1:4" x14ac:dyDescent="0.3">
      <c r="A433" s="34">
        <v>12063</v>
      </c>
      <c r="B433" s="35">
        <v>1</v>
      </c>
      <c r="C433" s="35">
        <v>0</v>
      </c>
      <c r="D433" s="2">
        <f t="shared" si="6"/>
        <v>1</v>
      </c>
    </row>
    <row r="434" spans="1:4" x14ac:dyDescent="0.3">
      <c r="A434" s="34">
        <v>12066</v>
      </c>
      <c r="B434" s="35">
        <v>1</v>
      </c>
      <c r="C434" s="35">
        <v>0</v>
      </c>
      <c r="D434" s="2">
        <f t="shared" si="6"/>
        <v>1</v>
      </c>
    </row>
    <row r="435" spans="1:4" x14ac:dyDescent="0.3">
      <c r="A435" s="34">
        <v>12067</v>
      </c>
      <c r="B435" s="35">
        <v>1</v>
      </c>
      <c r="C435" s="35">
        <v>0</v>
      </c>
      <c r="D435" s="2">
        <f t="shared" si="6"/>
        <v>1</v>
      </c>
    </row>
    <row r="436" spans="1:4" x14ac:dyDescent="0.3">
      <c r="A436" s="34">
        <v>12070</v>
      </c>
      <c r="B436" s="35">
        <v>1</v>
      </c>
      <c r="C436" s="35">
        <v>0</v>
      </c>
      <c r="D436" s="2">
        <f t="shared" si="6"/>
        <v>1</v>
      </c>
    </row>
    <row r="437" spans="1:4" x14ac:dyDescent="0.3">
      <c r="A437" s="34">
        <v>12071</v>
      </c>
      <c r="B437" s="35">
        <v>1</v>
      </c>
      <c r="C437" s="35">
        <v>1</v>
      </c>
      <c r="D437" s="2">
        <f t="shared" si="6"/>
        <v>2</v>
      </c>
    </row>
    <row r="438" spans="1:4" x14ac:dyDescent="0.3">
      <c r="A438" s="34">
        <v>12073</v>
      </c>
      <c r="B438" s="35">
        <v>1</v>
      </c>
      <c r="C438" s="35">
        <v>1</v>
      </c>
      <c r="D438" s="2">
        <f t="shared" si="6"/>
        <v>2</v>
      </c>
    </row>
    <row r="439" spans="1:4" x14ac:dyDescent="0.3">
      <c r="A439" s="34">
        <v>12079</v>
      </c>
      <c r="B439" s="35">
        <v>3</v>
      </c>
      <c r="C439" s="35">
        <v>0</v>
      </c>
      <c r="D439" s="2">
        <f t="shared" si="6"/>
        <v>3</v>
      </c>
    </row>
    <row r="440" spans="1:4" x14ac:dyDescent="0.3">
      <c r="A440" s="34">
        <v>12082</v>
      </c>
      <c r="B440" s="35">
        <v>1</v>
      </c>
      <c r="C440" s="35">
        <v>0</v>
      </c>
      <c r="D440" s="2">
        <f t="shared" si="6"/>
        <v>1</v>
      </c>
    </row>
    <row r="441" spans="1:4" x14ac:dyDescent="0.3">
      <c r="A441" s="34">
        <v>12089</v>
      </c>
      <c r="B441" s="35">
        <v>1</v>
      </c>
      <c r="C441" s="35">
        <v>0</v>
      </c>
      <c r="D441" s="2">
        <f t="shared" si="6"/>
        <v>1</v>
      </c>
    </row>
    <row r="442" spans="1:4" x14ac:dyDescent="0.3">
      <c r="A442" s="34">
        <v>12091</v>
      </c>
      <c r="B442" s="35">
        <v>1</v>
      </c>
      <c r="C442" s="35">
        <v>0</v>
      </c>
      <c r="D442" s="2">
        <f t="shared" si="6"/>
        <v>1</v>
      </c>
    </row>
    <row r="443" spans="1:4" x14ac:dyDescent="0.3">
      <c r="A443" s="34">
        <v>12098</v>
      </c>
      <c r="B443" s="35">
        <v>1</v>
      </c>
      <c r="C443" s="35">
        <v>0</v>
      </c>
      <c r="D443" s="2">
        <f t="shared" si="6"/>
        <v>1</v>
      </c>
    </row>
    <row r="444" spans="1:4" x14ac:dyDescent="0.3">
      <c r="A444" s="34">
        <v>12109</v>
      </c>
      <c r="B444" s="35">
        <v>1</v>
      </c>
      <c r="C444" s="35">
        <v>0</v>
      </c>
      <c r="D444" s="2">
        <f t="shared" si="6"/>
        <v>1</v>
      </c>
    </row>
    <row r="445" spans="1:4" x14ac:dyDescent="0.3">
      <c r="A445" s="34">
        <v>12110</v>
      </c>
      <c r="B445" s="35">
        <v>1</v>
      </c>
      <c r="C445" s="35">
        <v>0</v>
      </c>
      <c r="D445" s="2">
        <f t="shared" si="6"/>
        <v>1</v>
      </c>
    </row>
    <row r="446" spans="1:4" x14ac:dyDescent="0.3">
      <c r="A446" s="34">
        <v>12111</v>
      </c>
      <c r="B446" s="35">
        <v>1</v>
      </c>
      <c r="C446" s="35">
        <v>0</v>
      </c>
      <c r="D446" s="2">
        <f t="shared" si="6"/>
        <v>1</v>
      </c>
    </row>
    <row r="447" spans="1:4" x14ac:dyDescent="0.3">
      <c r="A447" s="34">
        <v>12115</v>
      </c>
      <c r="B447" s="35">
        <v>1</v>
      </c>
      <c r="C447" s="35">
        <v>0</v>
      </c>
      <c r="D447" s="2">
        <f t="shared" si="6"/>
        <v>1</v>
      </c>
    </row>
    <row r="448" spans="1:4" x14ac:dyDescent="0.3">
      <c r="A448" s="34">
        <v>12131</v>
      </c>
      <c r="B448" s="35">
        <v>2</v>
      </c>
      <c r="C448" s="35">
        <v>2</v>
      </c>
      <c r="D448" s="2">
        <f t="shared" si="6"/>
        <v>4</v>
      </c>
    </row>
    <row r="449" spans="1:4" x14ac:dyDescent="0.3">
      <c r="A449" s="34">
        <v>12134</v>
      </c>
      <c r="B449" s="35">
        <v>4</v>
      </c>
      <c r="C449" s="35">
        <v>2</v>
      </c>
      <c r="D449" s="2">
        <f t="shared" si="6"/>
        <v>6</v>
      </c>
    </row>
    <row r="450" spans="1:4" x14ac:dyDescent="0.3">
      <c r="A450" s="34">
        <v>12135</v>
      </c>
      <c r="B450" s="35">
        <v>1</v>
      </c>
      <c r="C450" s="35">
        <v>0</v>
      </c>
      <c r="D450" s="2">
        <f t="shared" si="6"/>
        <v>1</v>
      </c>
    </row>
    <row r="451" spans="1:4" x14ac:dyDescent="0.3">
      <c r="A451" s="34">
        <v>12137</v>
      </c>
      <c r="B451" s="35">
        <v>1</v>
      </c>
      <c r="C451" s="35">
        <v>0</v>
      </c>
      <c r="D451" s="2">
        <f t="shared" ref="D451:D514" si="7">B451+C451</f>
        <v>1</v>
      </c>
    </row>
    <row r="452" spans="1:4" x14ac:dyDescent="0.3">
      <c r="A452" s="34">
        <v>12145</v>
      </c>
      <c r="B452" s="35">
        <v>1</v>
      </c>
      <c r="C452" s="35">
        <v>0</v>
      </c>
      <c r="D452" s="2">
        <f t="shared" si="7"/>
        <v>1</v>
      </c>
    </row>
    <row r="453" spans="1:4" x14ac:dyDescent="0.3">
      <c r="A453" s="34">
        <v>12153</v>
      </c>
      <c r="B453" s="35">
        <v>1</v>
      </c>
      <c r="C453" s="35">
        <v>0</v>
      </c>
      <c r="D453" s="2">
        <f t="shared" si="7"/>
        <v>1</v>
      </c>
    </row>
    <row r="454" spans="1:4" x14ac:dyDescent="0.3">
      <c r="A454" s="34">
        <v>12156</v>
      </c>
      <c r="B454" s="35">
        <v>1</v>
      </c>
      <c r="C454" s="35">
        <v>0</v>
      </c>
      <c r="D454" s="2">
        <f t="shared" si="7"/>
        <v>1</v>
      </c>
    </row>
    <row r="455" spans="1:4" x14ac:dyDescent="0.3">
      <c r="A455" s="34">
        <v>12157</v>
      </c>
      <c r="B455" s="35">
        <v>1</v>
      </c>
      <c r="C455" s="35">
        <v>0</v>
      </c>
      <c r="D455" s="2">
        <f t="shared" si="7"/>
        <v>1</v>
      </c>
    </row>
    <row r="456" spans="1:4" x14ac:dyDescent="0.3">
      <c r="A456" s="34">
        <v>12158</v>
      </c>
      <c r="B456" s="35">
        <v>1</v>
      </c>
      <c r="C456" s="35">
        <v>0</v>
      </c>
      <c r="D456" s="2">
        <f t="shared" si="7"/>
        <v>1</v>
      </c>
    </row>
    <row r="457" spans="1:4" x14ac:dyDescent="0.3">
      <c r="A457" s="34">
        <v>12159</v>
      </c>
      <c r="B457" s="35">
        <v>1</v>
      </c>
      <c r="C457" s="35">
        <v>0</v>
      </c>
      <c r="D457" s="2">
        <f t="shared" si="7"/>
        <v>1</v>
      </c>
    </row>
    <row r="458" spans="1:4" x14ac:dyDescent="0.3">
      <c r="A458" s="34">
        <v>12162</v>
      </c>
      <c r="B458" s="35">
        <v>2</v>
      </c>
      <c r="C458" s="35">
        <v>0</v>
      </c>
      <c r="D458" s="2">
        <f t="shared" si="7"/>
        <v>2</v>
      </c>
    </row>
    <row r="459" spans="1:4" x14ac:dyDescent="0.3">
      <c r="A459" s="34">
        <v>12172</v>
      </c>
      <c r="B459" s="35">
        <v>2</v>
      </c>
      <c r="C459" s="35">
        <v>1</v>
      </c>
      <c r="D459" s="2">
        <f t="shared" si="7"/>
        <v>3</v>
      </c>
    </row>
    <row r="460" spans="1:4" x14ac:dyDescent="0.3">
      <c r="A460" s="34">
        <v>12176</v>
      </c>
      <c r="B460" s="35">
        <v>1</v>
      </c>
      <c r="C460" s="35">
        <v>0</v>
      </c>
      <c r="D460" s="2">
        <f t="shared" si="7"/>
        <v>1</v>
      </c>
    </row>
    <row r="461" spans="1:4" x14ac:dyDescent="0.3">
      <c r="A461" s="34">
        <v>12188</v>
      </c>
      <c r="B461" s="35">
        <v>1</v>
      </c>
      <c r="C461" s="35">
        <v>0</v>
      </c>
      <c r="D461" s="2">
        <f t="shared" si="7"/>
        <v>1</v>
      </c>
    </row>
    <row r="462" spans="1:4" x14ac:dyDescent="0.3">
      <c r="A462" s="34">
        <v>12202</v>
      </c>
      <c r="B462" s="35">
        <v>1</v>
      </c>
      <c r="C462" s="35">
        <v>0</v>
      </c>
      <c r="D462" s="2">
        <f t="shared" si="7"/>
        <v>1</v>
      </c>
    </row>
    <row r="463" spans="1:4" x14ac:dyDescent="0.3">
      <c r="A463" s="34">
        <v>12206</v>
      </c>
      <c r="B463" s="35">
        <v>1</v>
      </c>
      <c r="C463" s="35">
        <v>0</v>
      </c>
      <c r="D463" s="2">
        <f t="shared" si="7"/>
        <v>1</v>
      </c>
    </row>
    <row r="464" spans="1:4" x14ac:dyDescent="0.3">
      <c r="A464" s="34">
        <v>12227</v>
      </c>
      <c r="B464" s="35">
        <v>1</v>
      </c>
      <c r="C464" s="35">
        <v>1</v>
      </c>
      <c r="D464" s="2">
        <f t="shared" si="7"/>
        <v>2</v>
      </c>
    </row>
    <row r="465" spans="1:4" x14ac:dyDescent="0.3">
      <c r="A465" s="34">
        <v>12230</v>
      </c>
      <c r="B465" s="35">
        <v>1</v>
      </c>
      <c r="C465" s="35">
        <v>0</v>
      </c>
      <c r="D465" s="2">
        <f t="shared" si="7"/>
        <v>1</v>
      </c>
    </row>
    <row r="466" spans="1:4" x14ac:dyDescent="0.3">
      <c r="A466" s="34">
        <v>12232</v>
      </c>
      <c r="B466" s="35">
        <v>1</v>
      </c>
      <c r="C466" s="35">
        <v>1</v>
      </c>
      <c r="D466" s="2">
        <f t="shared" si="7"/>
        <v>2</v>
      </c>
    </row>
    <row r="467" spans="1:4" x14ac:dyDescent="0.3">
      <c r="A467" s="34">
        <v>12251</v>
      </c>
      <c r="B467" s="35">
        <v>2</v>
      </c>
      <c r="C467" s="35">
        <v>1</v>
      </c>
      <c r="D467" s="2">
        <f t="shared" si="7"/>
        <v>3</v>
      </c>
    </row>
    <row r="468" spans="1:4" x14ac:dyDescent="0.3">
      <c r="A468" s="34">
        <v>12253</v>
      </c>
      <c r="B468" s="35">
        <v>1</v>
      </c>
      <c r="C468" s="35">
        <v>0</v>
      </c>
      <c r="D468" s="2">
        <f t="shared" si="7"/>
        <v>1</v>
      </c>
    </row>
    <row r="469" spans="1:4" x14ac:dyDescent="0.3">
      <c r="A469" s="34">
        <v>12255</v>
      </c>
      <c r="B469" s="35">
        <v>2</v>
      </c>
      <c r="C469" s="35">
        <v>0</v>
      </c>
      <c r="D469" s="2">
        <f t="shared" si="7"/>
        <v>2</v>
      </c>
    </row>
    <row r="470" spans="1:4" x14ac:dyDescent="0.3">
      <c r="A470" s="34">
        <v>12257</v>
      </c>
      <c r="B470" s="35">
        <v>1</v>
      </c>
      <c r="C470" s="35">
        <v>0</v>
      </c>
      <c r="D470" s="2">
        <f t="shared" si="7"/>
        <v>1</v>
      </c>
    </row>
    <row r="471" spans="1:4" x14ac:dyDescent="0.3">
      <c r="A471" s="34">
        <v>12269</v>
      </c>
      <c r="B471" s="35">
        <v>1</v>
      </c>
      <c r="C471" s="35">
        <v>0</v>
      </c>
      <c r="D471" s="2">
        <f t="shared" si="7"/>
        <v>1</v>
      </c>
    </row>
    <row r="472" spans="1:4" x14ac:dyDescent="0.3">
      <c r="A472" s="34">
        <v>12271</v>
      </c>
      <c r="B472" s="35">
        <v>1</v>
      </c>
      <c r="C472" s="35">
        <v>0</v>
      </c>
      <c r="D472" s="2">
        <f t="shared" si="7"/>
        <v>1</v>
      </c>
    </row>
    <row r="473" spans="1:4" x14ac:dyDescent="0.3">
      <c r="A473" s="34">
        <v>12274</v>
      </c>
      <c r="B473" s="35">
        <v>3</v>
      </c>
      <c r="C473" s="35">
        <v>3</v>
      </c>
      <c r="D473" s="2">
        <f t="shared" si="7"/>
        <v>6</v>
      </c>
    </row>
    <row r="474" spans="1:4" x14ac:dyDescent="0.3">
      <c r="A474" s="34">
        <v>12280</v>
      </c>
      <c r="B474" s="35">
        <v>1</v>
      </c>
      <c r="C474" s="35">
        <v>0</v>
      </c>
      <c r="D474" s="2">
        <f t="shared" si="7"/>
        <v>1</v>
      </c>
    </row>
    <row r="475" spans="1:4" x14ac:dyDescent="0.3">
      <c r="A475" s="34">
        <v>12282</v>
      </c>
      <c r="B475" s="35">
        <v>1</v>
      </c>
      <c r="C475" s="35">
        <v>0</v>
      </c>
      <c r="D475" s="2">
        <f t="shared" si="7"/>
        <v>1</v>
      </c>
    </row>
    <row r="476" spans="1:4" x14ac:dyDescent="0.3">
      <c r="A476" s="34">
        <v>12286</v>
      </c>
      <c r="B476" s="35">
        <v>1</v>
      </c>
      <c r="C476" s="35">
        <v>0</v>
      </c>
      <c r="D476" s="2">
        <f t="shared" si="7"/>
        <v>1</v>
      </c>
    </row>
    <row r="477" spans="1:4" x14ac:dyDescent="0.3">
      <c r="A477" s="34">
        <v>12300</v>
      </c>
      <c r="B477" s="35">
        <v>3</v>
      </c>
      <c r="C477" s="35">
        <v>0</v>
      </c>
      <c r="D477" s="2">
        <f t="shared" si="7"/>
        <v>3</v>
      </c>
    </row>
    <row r="478" spans="1:4" x14ac:dyDescent="0.3">
      <c r="A478" s="34">
        <v>12304</v>
      </c>
      <c r="B478" s="35">
        <v>1</v>
      </c>
      <c r="C478" s="35">
        <v>1</v>
      </c>
      <c r="D478" s="2">
        <f t="shared" si="7"/>
        <v>2</v>
      </c>
    </row>
    <row r="479" spans="1:4" x14ac:dyDescent="0.3">
      <c r="A479" s="34">
        <v>12305</v>
      </c>
      <c r="B479" s="35">
        <v>1</v>
      </c>
      <c r="C479" s="35">
        <v>0</v>
      </c>
      <c r="D479" s="2">
        <f t="shared" si="7"/>
        <v>1</v>
      </c>
    </row>
    <row r="480" spans="1:4" x14ac:dyDescent="0.3">
      <c r="A480" s="34">
        <v>12320</v>
      </c>
      <c r="B480" s="35">
        <v>2</v>
      </c>
      <c r="C480" s="35">
        <v>0</v>
      </c>
      <c r="D480" s="2">
        <f t="shared" si="7"/>
        <v>2</v>
      </c>
    </row>
    <row r="481" spans="1:4" x14ac:dyDescent="0.3">
      <c r="A481" s="34">
        <v>12321</v>
      </c>
      <c r="B481" s="35">
        <v>1</v>
      </c>
      <c r="C481" s="35">
        <v>0</v>
      </c>
      <c r="D481" s="2">
        <f t="shared" si="7"/>
        <v>1</v>
      </c>
    </row>
    <row r="482" spans="1:4" x14ac:dyDescent="0.3">
      <c r="A482" s="34">
        <v>12328</v>
      </c>
      <c r="B482" s="35">
        <v>1</v>
      </c>
      <c r="C482" s="35">
        <v>0</v>
      </c>
      <c r="D482" s="2">
        <f t="shared" si="7"/>
        <v>1</v>
      </c>
    </row>
    <row r="483" spans="1:4" x14ac:dyDescent="0.3">
      <c r="A483" s="34">
        <v>12335</v>
      </c>
      <c r="B483" s="35">
        <v>1</v>
      </c>
      <c r="C483" s="35">
        <v>0</v>
      </c>
      <c r="D483" s="2">
        <f t="shared" si="7"/>
        <v>1</v>
      </c>
    </row>
    <row r="484" spans="1:4" x14ac:dyDescent="0.3">
      <c r="A484" s="34">
        <v>12336</v>
      </c>
      <c r="B484" s="35">
        <v>1</v>
      </c>
      <c r="C484" s="35">
        <v>0</v>
      </c>
      <c r="D484" s="2">
        <f t="shared" si="7"/>
        <v>1</v>
      </c>
    </row>
    <row r="485" spans="1:4" x14ac:dyDescent="0.3">
      <c r="A485" s="34">
        <v>12337</v>
      </c>
      <c r="B485" s="35">
        <v>2</v>
      </c>
      <c r="C485" s="35">
        <v>1</v>
      </c>
      <c r="D485" s="2">
        <f t="shared" si="7"/>
        <v>3</v>
      </c>
    </row>
    <row r="486" spans="1:4" x14ac:dyDescent="0.3">
      <c r="A486" s="34">
        <v>12343</v>
      </c>
      <c r="B486" s="35">
        <v>1</v>
      </c>
      <c r="C486" s="35">
        <v>0</v>
      </c>
      <c r="D486" s="2">
        <f t="shared" si="7"/>
        <v>1</v>
      </c>
    </row>
    <row r="487" spans="1:4" x14ac:dyDescent="0.3">
      <c r="A487" s="34">
        <v>12345</v>
      </c>
      <c r="B487" s="35">
        <v>1</v>
      </c>
      <c r="C487" s="35">
        <v>0</v>
      </c>
      <c r="D487" s="2">
        <f t="shared" si="7"/>
        <v>1</v>
      </c>
    </row>
    <row r="488" spans="1:4" x14ac:dyDescent="0.3">
      <c r="A488" s="34">
        <v>12365</v>
      </c>
      <c r="B488" s="35">
        <v>13</v>
      </c>
      <c r="C488" s="35">
        <v>0</v>
      </c>
      <c r="D488" s="2">
        <f t="shared" si="7"/>
        <v>13</v>
      </c>
    </row>
    <row r="489" spans="1:4" x14ac:dyDescent="0.3">
      <c r="A489" s="34">
        <v>12367</v>
      </c>
      <c r="B489" s="35">
        <v>2</v>
      </c>
      <c r="C489" s="35">
        <v>0</v>
      </c>
      <c r="D489" s="2">
        <f t="shared" si="7"/>
        <v>2</v>
      </c>
    </row>
    <row r="490" spans="1:4" x14ac:dyDescent="0.3">
      <c r="A490" s="34">
        <v>12370</v>
      </c>
      <c r="B490" s="35">
        <v>1</v>
      </c>
      <c r="C490" s="35">
        <v>0</v>
      </c>
      <c r="D490" s="2">
        <f t="shared" si="7"/>
        <v>1</v>
      </c>
    </row>
    <row r="491" spans="1:4" x14ac:dyDescent="0.3">
      <c r="A491" s="34">
        <v>12377</v>
      </c>
      <c r="B491" s="35">
        <v>1</v>
      </c>
      <c r="C491" s="35">
        <v>1</v>
      </c>
      <c r="D491" s="2">
        <f t="shared" si="7"/>
        <v>2</v>
      </c>
    </row>
    <row r="492" spans="1:4" x14ac:dyDescent="0.3">
      <c r="A492" s="34">
        <v>12381</v>
      </c>
      <c r="B492" s="35">
        <v>2</v>
      </c>
      <c r="C492" s="35">
        <v>1</v>
      </c>
      <c r="D492" s="2">
        <f t="shared" si="7"/>
        <v>3</v>
      </c>
    </row>
    <row r="493" spans="1:4" x14ac:dyDescent="0.3">
      <c r="A493" s="34">
        <v>12384</v>
      </c>
      <c r="B493" s="35">
        <v>1</v>
      </c>
      <c r="C493" s="35">
        <v>0</v>
      </c>
      <c r="D493" s="2">
        <f t="shared" si="7"/>
        <v>1</v>
      </c>
    </row>
    <row r="494" spans="1:4" x14ac:dyDescent="0.3">
      <c r="A494" s="34">
        <v>12406</v>
      </c>
      <c r="B494" s="35">
        <v>1</v>
      </c>
      <c r="C494" s="35">
        <v>1</v>
      </c>
      <c r="D494" s="2">
        <f t="shared" si="7"/>
        <v>2</v>
      </c>
    </row>
    <row r="495" spans="1:4" x14ac:dyDescent="0.3">
      <c r="A495" s="34">
        <v>12410</v>
      </c>
      <c r="B495" s="35">
        <v>1</v>
      </c>
      <c r="C495" s="35">
        <v>0</v>
      </c>
      <c r="D495" s="2">
        <f t="shared" si="7"/>
        <v>1</v>
      </c>
    </row>
    <row r="496" spans="1:4" x14ac:dyDescent="0.3">
      <c r="A496" s="34">
        <v>12414</v>
      </c>
      <c r="B496" s="35">
        <v>1</v>
      </c>
      <c r="C496" s="35">
        <v>0</v>
      </c>
      <c r="D496" s="2">
        <f t="shared" si="7"/>
        <v>1</v>
      </c>
    </row>
    <row r="497" spans="1:4" x14ac:dyDescent="0.3">
      <c r="A497" s="34">
        <v>12416</v>
      </c>
      <c r="B497" s="35">
        <v>4</v>
      </c>
      <c r="C497" s="35">
        <v>4</v>
      </c>
      <c r="D497" s="2">
        <f t="shared" si="7"/>
        <v>8</v>
      </c>
    </row>
    <row r="498" spans="1:4" x14ac:dyDescent="0.3">
      <c r="A498" s="34">
        <v>12418</v>
      </c>
      <c r="B498" s="35">
        <v>2</v>
      </c>
      <c r="C498" s="35">
        <v>2</v>
      </c>
      <c r="D498" s="2">
        <f t="shared" si="7"/>
        <v>4</v>
      </c>
    </row>
    <row r="499" spans="1:4" x14ac:dyDescent="0.3">
      <c r="A499" s="34">
        <v>12427</v>
      </c>
      <c r="B499" s="35">
        <v>1</v>
      </c>
      <c r="C499" s="35">
        <v>1</v>
      </c>
      <c r="D499" s="2">
        <f t="shared" si="7"/>
        <v>2</v>
      </c>
    </row>
    <row r="500" spans="1:4" x14ac:dyDescent="0.3">
      <c r="A500" s="34">
        <v>12480</v>
      </c>
      <c r="B500" s="35">
        <v>1</v>
      </c>
      <c r="C500" s="35">
        <v>0</v>
      </c>
      <c r="D500" s="2">
        <f t="shared" si="7"/>
        <v>1</v>
      </c>
    </row>
    <row r="501" spans="1:4" x14ac:dyDescent="0.3">
      <c r="A501" s="34">
        <v>12485</v>
      </c>
      <c r="B501" s="35">
        <v>2</v>
      </c>
      <c r="C501" s="35">
        <v>1</v>
      </c>
      <c r="D501" s="2">
        <f t="shared" si="7"/>
        <v>3</v>
      </c>
    </row>
    <row r="502" spans="1:4" x14ac:dyDescent="0.3">
      <c r="A502" s="34">
        <v>12490</v>
      </c>
      <c r="B502" s="35">
        <v>1</v>
      </c>
      <c r="C502" s="35">
        <v>0</v>
      </c>
      <c r="D502" s="2">
        <f t="shared" si="7"/>
        <v>1</v>
      </c>
    </row>
    <row r="503" spans="1:4" x14ac:dyDescent="0.3">
      <c r="A503" s="34">
        <v>12499</v>
      </c>
      <c r="B503" s="35">
        <v>1</v>
      </c>
      <c r="C503" s="35">
        <v>0</v>
      </c>
      <c r="D503" s="2">
        <f t="shared" si="7"/>
        <v>1</v>
      </c>
    </row>
    <row r="504" spans="1:4" x14ac:dyDescent="0.3">
      <c r="A504" s="34">
        <v>12508</v>
      </c>
      <c r="B504" s="35">
        <v>1</v>
      </c>
      <c r="C504" s="35">
        <v>0</v>
      </c>
      <c r="D504" s="2">
        <f t="shared" si="7"/>
        <v>1</v>
      </c>
    </row>
    <row r="505" spans="1:4" x14ac:dyDescent="0.3">
      <c r="A505" s="34">
        <v>12519</v>
      </c>
      <c r="B505" s="35">
        <v>1</v>
      </c>
      <c r="C505" s="35">
        <v>0</v>
      </c>
      <c r="D505" s="2">
        <f t="shared" si="7"/>
        <v>1</v>
      </c>
    </row>
    <row r="506" spans="1:4" x14ac:dyDescent="0.3">
      <c r="A506" s="34">
        <v>12525</v>
      </c>
      <c r="B506" s="35">
        <v>1</v>
      </c>
      <c r="C506" s="35">
        <v>0</v>
      </c>
      <c r="D506" s="2">
        <f t="shared" si="7"/>
        <v>1</v>
      </c>
    </row>
    <row r="507" spans="1:4" x14ac:dyDescent="0.3">
      <c r="A507" s="34">
        <v>12543</v>
      </c>
      <c r="B507" s="35">
        <v>1</v>
      </c>
      <c r="C507" s="35">
        <v>0</v>
      </c>
      <c r="D507" s="2">
        <f t="shared" si="7"/>
        <v>1</v>
      </c>
    </row>
    <row r="508" spans="1:4" x14ac:dyDescent="0.3">
      <c r="A508" s="34">
        <v>12549</v>
      </c>
      <c r="B508" s="35">
        <v>1</v>
      </c>
      <c r="C508" s="35">
        <v>0</v>
      </c>
      <c r="D508" s="2">
        <f t="shared" si="7"/>
        <v>1</v>
      </c>
    </row>
    <row r="509" spans="1:4" x14ac:dyDescent="0.3">
      <c r="A509" s="34">
        <v>12600</v>
      </c>
      <c r="B509" s="35">
        <v>2</v>
      </c>
      <c r="C509" s="35">
        <v>1</v>
      </c>
      <c r="D509" s="2">
        <f t="shared" si="7"/>
        <v>3</v>
      </c>
    </row>
    <row r="510" spans="1:4" x14ac:dyDescent="0.3">
      <c r="A510" s="34">
        <v>12610</v>
      </c>
      <c r="B510" s="35">
        <v>1</v>
      </c>
      <c r="C510" s="35">
        <v>0</v>
      </c>
      <c r="D510" s="2">
        <f t="shared" si="7"/>
        <v>1</v>
      </c>
    </row>
    <row r="511" spans="1:4" x14ac:dyDescent="0.3">
      <c r="A511" s="34">
        <v>12642</v>
      </c>
      <c r="B511" s="35">
        <v>1</v>
      </c>
      <c r="C511" s="35">
        <v>0</v>
      </c>
      <c r="D511" s="2">
        <f t="shared" si="7"/>
        <v>1</v>
      </c>
    </row>
    <row r="512" spans="1:4" x14ac:dyDescent="0.3">
      <c r="A512" s="34">
        <v>12647</v>
      </c>
      <c r="B512" s="35">
        <v>1</v>
      </c>
      <c r="C512" s="35">
        <v>0</v>
      </c>
      <c r="D512" s="2">
        <f t="shared" si="7"/>
        <v>1</v>
      </c>
    </row>
    <row r="513" spans="1:4" x14ac:dyDescent="0.3">
      <c r="A513" s="34">
        <v>12649</v>
      </c>
      <c r="B513" s="35">
        <v>1</v>
      </c>
      <c r="C513" s="35">
        <v>0</v>
      </c>
      <c r="D513" s="2">
        <f t="shared" si="7"/>
        <v>1</v>
      </c>
    </row>
    <row r="514" spans="1:4" x14ac:dyDescent="0.3">
      <c r="A514" s="34">
        <v>12656</v>
      </c>
      <c r="B514" s="35">
        <v>1</v>
      </c>
      <c r="C514" s="35">
        <v>0</v>
      </c>
      <c r="D514" s="2">
        <f t="shared" si="7"/>
        <v>1</v>
      </c>
    </row>
    <row r="515" spans="1:4" x14ac:dyDescent="0.3">
      <c r="A515" s="34">
        <v>12668</v>
      </c>
      <c r="B515" s="35">
        <v>1</v>
      </c>
      <c r="C515" s="35">
        <v>0</v>
      </c>
      <c r="D515" s="2">
        <f t="shared" ref="D515:D578" si="8">B515+C515</f>
        <v>1</v>
      </c>
    </row>
    <row r="516" spans="1:4" x14ac:dyDescent="0.3">
      <c r="A516" s="34">
        <v>12698</v>
      </c>
      <c r="B516" s="35">
        <v>1</v>
      </c>
      <c r="C516" s="35">
        <v>0</v>
      </c>
      <c r="D516" s="2">
        <f t="shared" si="8"/>
        <v>1</v>
      </c>
    </row>
    <row r="517" spans="1:4" x14ac:dyDescent="0.3">
      <c r="A517" s="34">
        <v>12717</v>
      </c>
      <c r="B517" s="35">
        <v>1</v>
      </c>
      <c r="C517" s="35">
        <v>0</v>
      </c>
      <c r="D517" s="2">
        <f t="shared" si="8"/>
        <v>1</v>
      </c>
    </row>
    <row r="518" spans="1:4" x14ac:dyDescent="0.3">
      <c r="A518" s="34">
        <v>12718</v>
      </c>
      <c r="B518" s="35">
        <v>1</v>
      </c>
      <c r="C518" s="35">
        <v>0</v>
      </c>
      <c r="D518" s="2">
        <f t="shared" si="8"/>
        <v>1</v>
      </c>
    </row>
    <row r="519" spans="1:4" x14ac:dyDescent="0.3">
      <c r="A519" s="34">
        <v>12730</v>
      </c>
      <c r="B519" s="35">
        <v>1</v>
      </c>
      <c r="C519" s="35">
        <v>0</v>
      </c>
      <c r="D519" s="2">
        <f t="shared" si="8"/>
        <v>1</v>
      </c>
    </row>
    <row r="520" spans="1:4" x14ac:dyDescent="0.3">
      <c r="A520" s="34">
        <v>12753</v>
      </c>
      <c r="B520" s="35">
        <v>1</v>
      </c>
      <c r="C520" s="35">
        <v>0</v>
      </c>
      <c r="D520" s="2">
        <f t="shared" si="8"/>
        <v>1</v>
      </c>
    </row>
    <row r="521" spans="1:4" x14ac:dyDescent="0.3">
      <c r="A521" s="34">
        <v>12770</v>
      </c>
      <c r="B521" s="35">
        <v>1</v>
      </c>
      <c r="C521" s="35">
        <v>0</v>
      </c>
      <c r="D521" s="2">
        <f t="shared" si="8"/>
        <v>1</v>
      </c>
    </row>
    <row r="522" spans="1:4" x14ac:dyDescent="0.3">
      <c r="A522" s="34">
        <v>12796</v>
      </c>
      <c r="B522" s="35">
        <v>1</v>
      </c>
      <c r="C522" s="35">
        <v>0</v>
      </c>
      <c r="D522" s="2">
        <f t="shared" si="8"/>
        <v>1</v>
      </c>
    </row>
    <row r="523" spans="1:4" x14ac:dyDescent="0.3">
      <c r="A523" s="34">
        <v>12800</v>
      </c>
      <c r="B523" s="35">
        <v>1</v>
      </c>
      <c r="C523" s="35">
        <v>0</v>
      </c>
      <c r="D523" s="2">
        <f t="shared" si="8"/>
        <v>1</v>
      </c>
    </row>
    <row r="524" spans="1:4" x14ac:dyDescent="0.3">
      <c r="A524" s="34">
        <v>12815</v>
      </c>
      <c r="B524" s="35">
        <v>1</v>
      </c>
      <c r="C524" s="35">
        <v>1</v>
      </c>
      <c r="D524" s="2">
        <f t="shared" si="8"/>
        <v>2</v>
      </c>
    </row>
    <row r="525" spans="1:4" x14ac:dyDescent="0.3">
      <c r="A525" s="34">
        <v>12826</v>
      </c>
      <c r="B525" s="35">
        <v>1</v>
      </c>
      <c r="C525" s="35">
        <v>0</v>
      </c>
      <c r="D525" s="2">
        <f t="shared" si="8"/>
        <v>1</v>
      </c>
    </row>
    <row r="526" spans="1:4" x14ac:dyDescent="0.3">
      <c r="A526" s="34">
        <v>12834</v>
      </c>
      <c r="B526" s="35">
        <v>5</v>
      </c>
      <c r="C526" s="35">
        <v>2</v>
      </c>
      <c r="D526" s="2">
        <f t="shared" si="8"/>
        <v>7</v>
      </c>
    </row>
    <row r="527" spans="1:4" x14ac:dyDescent="0.3">
      <c r="A527" s="34">
        <v>12839</v>
      </c>
      <c r="B527" s="35">
        <v>1</v>
      </c>
      <c r="C527" s="35">
        <v>1</v>
      </c>
      <c r="D527" s="2">
        <f t="shared" si="8"/>
        <v>2</v>
      </c>
    </row>
    <row r="528" spans="1:4" x14ac:dyDescent="0.3">
      <c r="A528" s="34">
        <v>12863</v>
      </c>
      <c r="B528" s="35">
        <v>1</v>
      </c>
      <c r="C528" s="35">
        <v>0</v>
      </c>
      <c r="D528" s="2">
        <f t="shared" si="8"/>
        <v>1</v>
      </c>
    </row>
    <row r="529" spans="1:4" x14ac:dyDescent="0.3">
      <c r="A529" s="34">
        <v>12867</v>
      </c>
      <c r="B529" s="35">
        <v>1</v>
      </c>
      <c r="C529" s="35">
        <v>0</v>
      </c>
      <c r="D529" s="2">
        <f t="shared" si="8"/>
        <v>1</v>
      </c>
    </row>
    <row r="530" spans="1:4" x14ac:dyDescent="0.3">
      <c r="A530" s="34">
        <v>12875</v>
      </c>
      <c r="B530" s="35">
        <v>1</v>
      </c>
      <c r="C530" s="35">
        <v>0</v>
      </c>
      <c r="D530" s="2">
        <f t="shared" si="8"/>
        <v>1</v>
      </c>
    </row>
    <row r="531" spans="1:4" x14ac:dyDescent="0.3">
      <c r="A531" s="34">
        <v>12879</v>
      </c>
      <c r="B531" s="35">
        <v>1</v>
      </c>
      <c r="C531" s="35">
        <v>0</v>
      </c>
      <c r="D531" s="2">
        <f t="shared" si="8"/>
        <v>1</v>
      </c>
    </row>
    <row r="532" spans="1:4" x14ac:dyDescent="0.3">
      <c r="A532" s="34">
        <v>12881</v>
      </c>
      <c r="B532" s="35">
        <v>1</v>
      </c>
      <c r="C532" s="35">
        <v>0</v>
      </c>
      <c r="D532" s="2">
        <f t="shared" si="8"/>
        <v>1</v>
      </c>
    </row>
    <row r="533" spans="1:4" x14ac:dyDescent="0.3">
      <c r="A533" s="34">
        <v>12902</v>
      </c>
      <c r="B533" s="35">
        <v>1</v>
      </c>
      <c r="C533" s="35">
        <v>0</v>
      </c>
      <c r="D533" s="2">
        <f t="shared" si="8"/>
        <v>1</v>
      </c>
    </row>
    <row r="534" spans="1:4" x14ac:dyDescent="0.3">
      <c r="A534" s="34">
        <v>12911</v>
      </c>
      <c r="B534" s="35">
        <v>1</v>
      </c>
      <c r="C534" s="35">
        <v>0</v>
      </c>
      <c r="D534" s="2">
        <f t="shared" si="8"/>
        <v>1</v>
      </c>
    </row>
    <row r="535" spans="1:4" x14ac:dyDescent="0.3">
      <c r="A535" s="34">
        <v>12914</v>
      </c>
      <c r="B535" s="35">
        <v>1</v>
      </c>
      <c r="C535" s="35">
        <v>1</v>
      </c>
      <c r="D535" s="2">
        <f t="shared" si="8"/>
        <v>2</v>
      </c>
    </row>
    <row r="536" spans="1:4" x14ac:dyDescent="0.3">
      <c r="A536" s="34">
        <v>12945</v>
      </c>
      <c r="B536" s="35">
        <v>1</v>
      </c>
      <c r="C536" s="35">
        <v>0</v>
      </c>
      <c r="D536" s="2">
        <f t="shared" si="8"/>
        <v>1</v>
      </c>
    </row>
    <row r="537" spans="1:4" x14ac:dyDescent="0.3">
      <c r="A537" s="34">
        <v>12960</v>
      </c>
      <c r="B537" s="35">
        <v>1</v>
      </c>
      <c r="C537" s="35">
        <v>0</v>
      </c>
      <c r="D537" s="2">
        <f t="shared" si="8"/>
        <v>1</v>
      </c>
    </row>
    <row r="538" spans="1:4" x14ac:dyDescent="0.3">
      <c r="A538" s="34">
        <v>12961</v>
      </c>
      <c r="B538" s="35">
        <v>2</v>
      </c>
      <c r="C538" s="35">
        <v>1</v>
      </c>
      <c r="D538" s="2">
        <f t="shared" si="8"/>
        <v>3</v>
      </c>
    </row>
    <row r="539" spans="1:4" x14ac:dyDescent="0.3">
      <c r="A539" s="34">
        <v>12980</v>
      </c>
      <c r="B539" s="35">
        <v>1</v>
      </c>
      <c r="C539" s="35">
        <v>0</v>
      </c>
      <c r="D539" s="2">
        <f t="shared" si="8"/>
        <v>1</v>
      </c>
    </row>
    <row r="540" spans="1:4" x14ac:dyDescent="0.3">
      <c r="A540" s="34">
        <v>12989</v>
      </c>
      <c r="B540" s="35">
        <v>1</v>
      </c>
      <c r="C540" s="35">
        <v>0</v>
      </c>
      <c r="D540" s="2">
        <f t="shared" si="8"/>
        <v>1</v>
      </c>
    </row>
    <row r="541" spans="1:4" x14ac:dyDescent="0.3">
      <c r="A541" s="34">
        <v>12998</v>
      </c>
      <c r="B541" s="35">
        <v>1</v>
      </c>
      <c r="C541" s="35">
        <v>0</v>
      </c>
      <c r="D541" s="2">
        <f t="shared" si="8"/>
        <v>1</v>
      </c>
    </row>
    <row r="542" spans="1:4" x14ac:dyDescent="0.3">
      <c r="A542" s="34">
        <v>13005</v>
      </c>
      <c r="B542" s="35">
        <v>3</v>
      </c>
      <c r="C542" s="35">
        <v>0</v>
      </c>
      <c r="D542" s="2">
        <f t="shared" si="8"/>
        <v>3</v>
      </c>
    </row>
    <row r="543" spans="1:4" x14ac:dyDescent="0.3">
      <c r="A543" s="34">
        <v>13026</v>
      </c>
      <c r="B543" s="35">
        <v>1</v>
      </c>
      <c r="C543" s="35">
        <v>0</v>
      </c>
      <c r="D543" s="2">
        <f t="shared" si="8"/>
        <v>1</v>
      </c>
    </row>
    <row r="544" spans="1:4" x14ac:dyDescent="0.3">
      <c r="A544" s="34">
        <v>13033</v>
      </c>
      <c r="B544" s="35">
        <v>2</v>
      </c>
      <c r="C544" s="35">
        <v>0</v>
      </c>
      <c r="D544" s="2">
        <f t="shared" si="8"/>
        <v>2</v>
      </c>
    </row>
    <row r="545" spans="1:4" x14ac:dyDescent="0.3">
      <c r="A545" s="34">
        <v>13036</v>
      </c>
      <c r="B545" s="35">
        <v>1</v>
      </c>
      <c r="C545" s="35">
        <v>0</v>
      </c>
      <c r="D545" s="2">
        <f t="shared" si="8"/>
        <v>1</v>
      </c>
    </row>
    <row r="546" spans="1:4" x14ac:dyDescent="0.3">
      <c r="A546" s="34">
        <v>13041</v>
      </c>
      <c r="B546" s="35">
        <v>1</v>
      </c>
      <c r="C546" s="35">
        <v>1</v>
      </c>
      <c r="D546" s="2">
        <f t="shared" si="8"/>
        <v>2</v>
      </c>
    </row>
    <row r="547" spans="1:4" x14ac:dyDescent="0.3">
      <c r="A547" s="34">
        <v>13050</v>
      </c>
      <c r="B547" s="35">
        <v>1</v>
      </c>
      <c r="C547" s="35">
        <v>1</v>
      </c>
      <c r="D547" s="2">
        <f t="shared" si="8"/>
        <v>2</v>
      </c>
    </row>
    <row r="548" spans="1:4" x14ac:dyDescent="0.3">
      <c r="A548" s="34">
        <v>13055</v>
      </c>
      <c r="B548" s="35">
        <v>2</v>
      </c>
      <c r="C548" s="35">
        <v>0</v>
      </c>
      <c r="D548" s="2">
        <f t="shared" si="8"/>
        <v>2</v>
      </c>
    </row>
    <row r="549" spans="1:4" x14ac:dyDescent="0.3">
      <c r="A549" s="34">
        <v>13060</v>
      </c>
      <c r="B549" s="35">
        <v>3</v>
      </c>
      <c r="C549" s="35">
        <v>2</v>
      </c>
      <c r="D549" s="2">
        <f t="shared" si="8"/>
        <v>5</v>
      </c>
    </row>
    <row r="550" spans="1:4" x14ac:dyDescent="0.3">
      <c r="A550" s="34">
        <v>13075</v>
      </c>
      <c r="B550" s="35">
        <v>1</v>
      </c>
      <c r="C550" s="35">
        <v>0</v>
      </c>
      <c r="D550" s="2">
        <f t="shared" si="8"/>
        <v>1</v>
      </c>
    </row>
    <row r="551" spans="1:4" x14ac:dyDescent="0.3">
      <c r="A551" s="34">
        <v>13081</v>
      </c>
      <c r="B551" s="35">
        <v>1</v>
      </c>
      <c r="C551" s="35">
        <v>0</v>
      </c>
      <c r="D551" s="2">
        <f t="shared" si="8"/>
        <v>1</v>
      </c>
    </row>
    <row r="552" spans="1:4" x14ac:dyDescent="0.3">
      <c r="A552" s="34">
        <v>13084</v>
      </c>
      <c r="B552" s="35">
        <v>1</v>
      </c>
      <c r="C552" s="35">
        <v>0</v>
      </c>
      <c r="D552" s="2">
        <f t="shared" si="8"/>
        <v>1</v>
      </c>
    </row>
    <row r="553" spans="1:4" x14ac:dyDescent="0.3">
      <c r="A553" s="34">
        <v>13092</v>
      </c>
      <c r="B553" s="35">
        <v>2</v>
      </c>
      <c r="C553" s="35">
        <v>3</v>
      </c>
      <c r="D553" s="2">
        <f t="shared" si="8"/>
        <v>5</v>
      </c>
    </row>
    <row r="554" spans="1:4" x14ac:dyDescent="0.3">
      <c r="A554" s="34">
        <v>13117</v>
      </c>
      <c r="B554" s="35">
        <v>1</v>
      </c>
      <c r="C554" s="35">
        <v>0</v>
      </c>
      <c r="D554" s="2">
        <f t="shared" si="8"/>
        <v>1</v>
      </c>
    </row>
    <row r="555" spans="1:4" x14ac:dyDescent="0.3">
      <c r="A555" s="34">
        <v>13126</v>
      </c>
      <c r="B555" s="35">
        <v>2</v>
      </c>
      <c r="C555" s="35">
        <v>2</v>
      </c>
      <c r="D555" s="2">
        <f t="shared" si="8"/>
        <v>4</v>
      </c>
    </row>
    <row r="556" spans="1:4" x14ac:dyDescent="0.3">
      <c r="A556" s="34">
        <v>13129</v>
      </c>
      <c r="B556" s="35">
        <v>1</v>
      </c>
      <c r="C556" s="35">
        <v>1</v>
      </c>
      <c r="D556" s="2">
        <f t="shared" si="8"/>
        <v>2</v>
      </c>
    </row>
    <row r="557" spans="1:4" x14ac:dyDescent="0.3">
      <c r="A557" s="34">
        <v>13132</v>
      </c>
      <c r="B557" s="35">
        <v>3</v>
      </c>
      <c r="C557" s="35">
        <v>2</v>
      </c>
      <c r="D557" s="2">
        <f t="shared" si="8"/>
        <v>5</v>
      </c>
    </row>
    <row r="558" spans="1:4" x14ac:dyDescent="0.3">
      <c r="A558" s="34">
        <v>13134</v>
      </c>
      <c r="B558" s="35">
        <v>1</v>
      </c>
      <c r="C558" s="35">
        <v>0</v>
      </c>
      <c r="D558" s="2">
        <f t="shared" si="8"/>
        <v>1</v>
      </c>
    </row>
    <row r="559" spans="1:4" x14ac:dyDescent="0.3">
      <c r="A559" s="34">
        <v>13140</v>
      </c>
      <c r="B559" s="35">
        <v>1</v>
      </c>
      <c r="C559" s="35">
        <v>1</v>
      </c>
      <c r="D559" s="2">
        <f t="shared" si="8"/>
        <v>2</v>
      </c>
    </row>
    <row r="560" spans="1:4" x14ac:dyDescent="0.3">
      <c r="A560" s="34">
        <v>13146</v>
      </c>
      <c r="B560" s="35">
        <v>1</v>
      </c>
      <c r="C560" s="35">
        <v>0</v>
      </c>
      <c r="D560" s="2">
        <f t="shared" si="8"/>
        <v>1</v>
      </c>
    </row>
    <row r="561" spans="1:4" x14ac:dyDescent="0.3">
      <c r="A561" s="34">
        <v>13152</v>
      </c>
      <c r="B561" s="35">
        <v>1</v>
      </c>
      <c r="C561" s="35">
        <v>0</v>
      </c>
      <c r="D561" s="2">
        <f t="shared" si="8"/>
        <v>1</v>
      </c>
    </row>
    <row r="562" spans="1:4" x14ac:dyDescent="0.3">
      <c r="A562" s="34">
        <v>13155</v>
      </c>
      <c r="B562" s="35">
        <v>1</v>
      </c>
      <c r="C562" s="35">
        <v>0</v>
      </c>
      <c r="D562" s="2">
        <f t="shared" si="8"/>
        <v>1</v>
      </c>
    </row>
    <row r="563" spans="1:4" x14ac:dyDescent="0.3">
      <c r="A563" s="34">
        <v>13158</v>
      </c>
      <c r="B563" s="35">
        <v>1</v>
      </c>
      <c r="C563" s="35">
        <v>1</v>
      </c>
      <c r="D563" s="2">
        <f t="shared" si="8"/>
        <v>2</v>
      </c>
    </row>
    <row r="564" spans="1:4" x14ac:dyDescent="0.3">
      <c r="A564" s="34">
        <v>13160</v>
      </c>
      <c r="B564" s="35">
        <v>1</v>
      </c>
      <c r="C564" s="35">
        <v>0</v>
      </c>
      <c r="D564" s="2">
        <f t="shared" si="8"/>
        <v>1</v>
      </c>
    </row>
    <row r="565" spans="1:4" x14ac:dyDescent="0.3">
      <c r="A565" s="34">
        <v>13167</v>
      </c>
      <c r="B565" s="35">
        <v>1</v>
      </c>
      <c r="C565" s="35">
        <v>0</v>
      </c>
      <c r="D565" s="2">
        <f t="shared" si="8"/>
        <v>1</v>
      </c>
    </row>
    <row r="566" spans="1:4" x14ac:dyDescent="0.3">
      <c r="A566" s="34">
        <v>13204</v>
      </c>
      <c r="B566" s="35">
        <v>1</v>
      </c>
      <c r="C566" s="35">
        <v>0</v>
      </c>
      <c r="D566" s="2">
        <f t="shared" si="8"/>
        <v>1</v>
      </c>
    </row>
    <row r="567" spans="1:4" x14ac:dyDescent="0.3">
      <c r="A567" s="34">
        <v>13212</v>
      </c>
      <c r="B567" s="35">
        <v>1</v>
      </c>
      <c r="C567" s="35">
        <v>0</v>
      </c>
      <c r="D567" s="2">
        <f t="shared" si="8"/>
        <v>1</v>
      </c>
    </row>
    <row r="568" spans="1:4" x14ac:dyDescent="0.3">
      <c r="A568" s="34">
        <v>13250</v>
      </c>
      <c r="B568" s="35">
        <v>2</v>
      </c>
      <c r="C568" s="35">
        <v>1</v>
      </c>
      <c r="D568" s="2">
        <f t="shared" si="8"/>
        <v>3</v>
      </c>
    </row>
    <row r="569" spans="1:4" x14ac:dyDescent="0.3">
      <c r="A569" s="34">
        <v>13252</v>
      </c>
      <c r="B569" s="35">
        <v>1</v>
      </c>
      <c r="C569" s="35">
        <v>0</v>
      </c>
      <c r="D569" s="2">
        <f t="shared" si="8"/>
        <v>1</v>
      </c>
    </row>
    <row r="570" spans="1:4" x14ac:dyDescent="0.3">
      <c r="A570" s="34">
        <v>13260</v>
      </c>
      <c r="B570" s="35">
        <v>2</v>
      </c>
      <c r="C570" s="35">
        <v>0</v>
      </c>
      <c r="D570" s="2">
        <f t="shared" si="8"/>
        <v>2</v>
      </c>
    </row>
    <row r="571" spans="1:4" x14ac:dyDescent="0.3">
      <c r="A571" s="34">
        <v>13261</v>
      </c>
      <c r="B571" s="35">
        <v>1</v>
      </c>
      <c r="C571" s="35">
        <v>0</v>
      </c>
      <c r="D571" s="2">
        <f t="shared" si="8"/>
        <v>1</v>
      </c>
    </row>
    <row r="572" spans="1:4" x14ac:dyDescent="0.3">
      <c r="A572" s="34">
        <v>13264</v>
      </c>
      <c r="B572" s="35">
        <v>1</v>
      </c>
      <c r="C572" s="35">
        <v>0</v>
      </c>
      <c r="D572" s="2">
        <f t="shared" si="8"/>
        <v>1</v>
      </c>
    </row>
    <row r="573" spans="1:4" x14ac:dyDescent="0.3">
      <c r="A573" s="34">
        <v>13273</v>
      </c>
      <c r="B573" s="35">
        <v>1</v>
      </c>
      <c r="C573" s="35">
        <v>0</v>
      </c>
      <c r="D573" s="2">
        <f t="shared" si="8"/>
        <v>1</v>
      </c>
    </row>
    <row r="574" spans="1:4" x14ac:dyDescent="0.3">
      <c r="A574" s="34">
        <v>13276</v>
      </c>
      <c r="B574" s="35">
        <v>1</v>
      </c>
      <c r="C574" s="35">
        <v>0</v>
      </c>
      <c r="D574" s="2">
        <f t="shared" si="8"/>
        <v>1</v>
      </c>
    </row>
    <row r="575" spans="1:4" x14ac:dyDescent="0.3">
      <c r="A575" s="34">
        <v>13291</v>
      </c>
      <c r="B575" s="35">
        <v>1</v>
      </c>
      <c r="C575" s="35">
        <v>1</v>
      </c>
      <c r="D575" s="2">
        <f t="shared" si="8"/>
        <v>2</v>
      </c>
    </row>
    <row r="576" spans="1:4" x14ac:dyDescent="0.3">
      <c r="A576" s="34">
        <v>13297</v>
      </c>
      <c r="B576" s="35">
        <v>1</v>
      </c>
      <c r="C576" s="35">
        <v>0</v>
      </c>
      <c r="D576" s="2">
        <f t="shared" si="8"/>
        <v>1</v>
      </c>
    </row>
    <row r="577" spans="1:4" x14ac:dyDescent="0.3">
      <c r="A577" s="34">
        <v>13310</v>
      </c>
      <c r="B577" s="35">
        <v>1</v>
      </c>
      <c r="C577" s="35">
        <v>0</v>
      </c>
      <c r="D577" s="2">
        <f t="shared" si="8"/>
        <v>1</v>
      </c>
    </row>
    <row r="578" spans="1:4" x14ac:dyDescent="0.3">
      <c r="A578" s="34">
        <v>13329</v>
      </c>
      <c r="B578" s="35">
        <v>1</v>
      </c>
      <c r="C578" s="35">
        <v>0</v>
      </c>
      <c r="D578" s="2">
        <f t="shared" si="8"/>
        <v>1</v>
      </c>
    </row>
    <row r="579" spans="1:4" x14ac:dyDescent="0.3">
      <c r="A579" s="34">
        <v>13337</v>
      </c>
      <c r="B579" s="35">
        <v>1</v>
      </c>
      <c r="C579" s="35">
        <v>0</v>
      </c>
      <c r="D579" s="2">
        <f t="shared" ref="D579:D642" si="9">B579+C579</f>
        <v>1</v>
      </c>
    </row>
    <row r="580" spans="1:4" x14ac:dyDescent="0.3">
      <c r="A580" s="34">
        <v>13339</v>
      </c>
      <c r="B580" s="35">
        <v>1</v>
      </c>
      <c r="C580" s="35">
        <v>0</v>
      </c>
      <c r="D580" s="2">
        <f t="shared" si="9"/>
        <v>1</v>
      </c>
    </row>
    <row r="581" spans="1:4" x14ac:dyDescent="0.3">
      <c r="A581" s="34">
        <v>13341</v>
      </c>
      <c r="B581" s="35">
        <v>1</v>
      </c>
      <c r="C581" s="35">
        <v>0</v>
      </c>
      <c r="D581" s="2">
        <f t="shared" si="9"/>
        <v>1</v>
      </c>
    </row>
    <row r="582" spans="1:4" x14ac:dyDescent="0.3">
      <c r="A582" s="34">
        <v>13345</v>
      </c>
      <c r="B582" s="35">
        <v>1</v>
      </c>
      <c r="C582" s="35">
        <v>0</v>
      </c>
      <c r="D582" s="2">
        <f t="shared" si="9"/>
        <v>1</v>
      </c>
    </row>
    <row r="583" spans="1:4" x14ac:dyDescent="0.3">
      <c r="A583" s="34">
        <v>13351</v>
      </c>
      <c r="B583" s="35">
        <v>2</v>
      </c>
      <c r="C583" s="35">
        <v>0</v>
      </c>
      <c r="D583" s="2">
        <f t="shared" si="9"/>
        <v>2</v>
      </c>
    </row>
    <row r="584" spans="1:4" x14ac:dyDescent="0.3">
      <c r="A584" s="34">
        <v>13357</v>
      </c>
      <c r="B584" s="35">
        <v>2</v>
      </c>
      <c r="C584" s="35">
        <v>1</v>
      </c>
      <c r="D584" s="2">
        <f t="shared" si="9"/>
        <v>3</v>
      </c>
    </row>
    <row r="585" spans="1:4" x14ac:dyDescent="0.3">
      <c r="A585" s="34">
        <v>13392</v>
      </c>
      <c r="B585" s="35">
        <v>2</v>
      </c>
      <c r="C585" s="35">
        <v>1</v>
      </c>
      <c r="D585" s="2">
        <f t="shared" si="9"/>
        <v>3</v>
      </c>
    </row>
    <row r="586" spans="1:4" x14ac:dyDescent="0.3">
      <c r="A586" s="34">
        <v>13406</v>
      </c>
      <c r="B586" s="35">
        <v>1</v>
      </c>
      <c r="C586" s="35">
        <v>1</v>
      </c>
      <c r="D586" s="2">
        <f t="shared" si="9"/>
        <v>2</v>
      </c>
    </row>
    <row r="587" spans="1:4" x14ac:dyDescent="0.3">
      <c r="A587" s="34">
        <v>13407</v>
      </c>
      <c r="B587" s="35">
        <v>1</v>
      </c>
      <c r="C587" s="35">
        <v>0</v>
      </c>
      <c r="D587" s="2">
        <f t="shared" si="9"/>
        <v>1</v>
      </c>
    </row>
    <row r="588" spans="1:4" x14ac:dyDescent="0.3">
      <c r="A588" s="34">
        <v>13412</v>
      </c>
      <c r="B588" s="35">
        <v>2</v>
      </c>
      <c r="C588" s="35">
        <v>0</v>
      </c>
      <c r="D588" s="2">
        <f t="shared" si="9"/>
        <v>2</v>
      </c>
    </row>
    <row r="589" spans="1:4" x14ac:dyDescent="0.3">
      <c r="A589" s="34">
        <v>13415</v>
      </c>
      <c r="B589" s="35">
        <v>1</v>
      </c>
      <c r="C589" s="35">
        <v>0</v>
      </c>
      <c r="D589" s="2">
        <f t="shared" si="9"/>
        <v>1</v>
      </c>
    </row>
    <row r="590" spans="1:4" x14ac:dyDescent="0.3">
      <c r="A590" s="34">
        <v>13435</v>
      </c>
      <c r="B590" s="35">
        <v>1</v>
      </c>
      <c r="C590" s="35">
        <v>1</v>
      </c>
      <c r="D590" s="2">
        <f t="shared" si="9"/>
        <v>2</v>
      </c>
    </row>
    <row r="591" spans="1:4" x14ac:dyDescent="0.3">
      <c r="A591" s="34">
        <v>13444</v>
      </c>
      <c r="B591" s="35">
        <v>1</v>
      </c>
      <c r="C591" s="35">
        <v>1</v>
      </c>
      <c r="D591" s="2">
        <f t="shared" si="9"/>
        <v>2</v>
      </c>
    </row>
    <row r="592" spans="1:4" x14ac:dyDescent="0.3">
      <c r="A592" s="34">
        <v>13464</v>
      </c>
      <c r="B592" s="35">
        <v>2</v>
      </c>
      <c r="C592" s="35">
        <v>1</v>
      </c>
      <c r="D592" s="2">
        <f t="shared" si="9"/>
        <v>3</v>
      </c>
    </row>
    <row r="593" spans="1:4" x14ac:dyDescent="0.3">
      <c r="A593" s="34">
        <v>13485</v>
      </c>
      <c r="B593" s="35">
        <v>1</v>
      </c>
      <c r="C593" s="35">
        <v>0</v>
      </c>
      <c r="D593" s="2">
        <f t="shared" si="9"/>
        <v>1</v>
      </c>
    </row>
    <row r="594" spans="1:4" x14ac:dyDescent="0.3">
      <c r="A594" s="34">
        <v>13491</v>
      </c>
      <c r="B594" s="35">
        <v>1</v>
      </c>
      <c r="C594" s="35">
        <v>0</v>
      </c>
      <c r="D594" s="2">
        <f t="shared" si="9"/>
        <v>1</v>
      </c>
    </row>
    <row r="595" spans="1:4" x14ac:dyDescent="0.3">
      <c r="A595" s="34">
        <v>13493</v>
      </c>
      <c r="B595" s="35">
        <v>1</v>
      </c>
      <c r="C595" s="35">
        <v>0</v>
      </c>
      <c r="D595" s="2">
        <f t="shared" si="9"/>
        <v>1</v>
      </c>
    </row>
    <row r="596" spans="1:4" x14ac:dyDescent="0.3">
      <c r="A596" s="34">
        <v>13531</v>
      </c>
      <c r="B596" s="35">
        <v>2</v>
      </c>
      <c r="C596" s="35">
        <v>0</v>
      </c>
      <c r="D596" s="2">
        <f t="shared" si="9"/>
        <v>2</v>
      </c>
    </row>
    <row r="597" spans="1:4" x14ac:dyDescent="0.3">
      <c r="A597" s="34">
        <v>13536</v>
      </c>
      <c r="B597" s="35">
        <v>1</v>
      </c>
      <c r="C597" s="35">
        <v>0</v>
      </c>
      <c r="D597" s="2">
        <f t="shared" si="9"/>
        <v>1</v>
      </c>
    </row>
    <row r="598" spans="1:4" x14ac:dyDescent="0.3">
      <c r="A598" s="34">
        <v>13537</v>
      </c>
      <c r="B598" s="35">
        <v>1</v>
      </c>
      <c r="C598" s="35">
        <v>0</v>
      </c>
      <c r="D598" s="2">
        <f t="shared" si="9"/>
        <v>1</v>
      </c>
    </row>
    <row r="599" spans="1:4" x14ac:dyDescent="0.3">
      <c r="A599" s="34">
        <v>13544</v>
      </c>
      <c r="B599" s="35">
        <v>1</v>
      </c>
      <c r="C599" s="35">
        <v>0</v>
      </c>
      <c r="D599" s="2">
        <f t="shared" si="9"/>
        <v>1</v>
      </c>
    </row>
    <row r="600" spans="1:4" x14ac:dyDescent="0.3">
      <c r="A600" s="34">
        <v>13547</v>
      </c>
      <c r="B600" s="35">
        <v>1</v>
      </c>
      <c r="C600" s="35">
        <v>1</v>
      </c>
      <c r="D600" s="2">
        <f t="shared" si="9"/>
        <v>2</v>
      </c>
    </row>
    <row r="601" spans="1:4" x14ac:dyDescent="0.3">
      <c r="A601" s="34">
        <v>13556</v>
      </c>
      <c r="B601" s="35">
        <v>1</v>
      </c>
      <c r="C601" s="35">
        <v>0</v>
      </c>
      <c r="D601" s="2">
        <f t="shared" si="9"/>
        <v>1</v>
      </c>
    </row>
    <row r="602" spans="1:4" x14ac:dyDescent="0.3">
      <c r="A602" s="34">
        <v>13559</v>
      </c>
      <c r="B602" s="35">
        <v>1</v>
      </c>
      <c r="C602" s="35">
        <v>0</v>
      </c>
      <c r="D602" s="2">
        <f t="shared" si="9"/>
        <v>1</v>
      </c>
    </row>
    <row r="603" spans="1:4" x14ac:dyDescent="0.3">
      <c r="A603" s="34">
        <v>13569</v>
      </c>
      <c r="B603" s="35">
        <v>1</v>
      </c>
      <c r="C603" s="35">
        <v>0</v>
      </c>
      <c r="D603" s="2">
        <f t="shared" si="9"/>
        <v>1</v>
      </c>
    </row>
    <row r="604" spans="1:4" x14ac:dyDescent="0.3">
      <c r="A604" s="34">
        <v>13573</v>
      </c>
      <c r="B604" s="35">
        <v>1</v>
      </c>
      <c r="C604" s="35">
        <v>0</v>
      </c>
      <c r="D604" s="2">
        <f t="shared" si="9"/>
        <v>1</v>
      </c>
    </row>
    <row r="605" spans="1:4" x14ac:dyDescent="0.3">
      <c r="A605" s="34">
        <v>13577</v>
      </c>
      <c r="B605" s="35">
        <v>1</v>
      </c>
      <c r="C605" s="35">
        <v>0</v>
      </c>
      <c r="D605" s="2">
        <f t="shared" si="9"/>
        <v>1</v>
      </c>
    </row>
    <row r="606" spans="1:4" x14ac:dyDescent="0.3">
      <c r="A606" s="34">
        <v>13610</v>
      </c>
      <c r="B606" s="35">
        <v>1</v>
      </c>
      <c r="C606" s="35">
        <v>0</v>
      </c>
      <c r="D606" s="2">
        <f t="shared" si="9"/>
        <v>1</v>
      </c>
    </row>
    <row r="607" spans="1:4" x14ac:dyDescent="0.3">
      <c r="A607" s="34">
        <v>13628</v>
      </c>
      <c r="B607" s="35">
        <v>1</v>
      </c>
      <c r="C607" s="35">
        <v>0</v>
      </c>
      <c r="D607" s="2">
        <f t="shared" si="9"/>
        <v>1</v>
      </c>
    </row>
    <row r="608" spans="1:4" x14ac:dyDescent="0.3">
      <c r="A608" s="34">
        <v>13629</v>
      </c>
      <c r="B608" s="35">
        <v>2</v>
      </c>
      <c r="C608" s="35">
        <v>1</v>
      </c>
      <c r="D608" s="2">
        <f t="shared" si="9"/>
        <v>3</v>
      </c>
    </row>
    <row r="609" spans="1:4" x14ac:dyDescent="0.3">
      <c r="A609" s="34">
        <v>13630</v>
      </c>
      <c r="B609" s="35">
        <v>1</v>
      </c>
      <c r="C609" s="35">
        <v>0</v>
      </c>
      <c r="D609" s="2">
        <f t="shared" si="9"/>
        <v>1</v>
      </c>
    </row>
    <row r="610" spans="1:4" x14ac:dyDescent="0.3">
      <c r="A610" s="34">
        <v>13633</v>
      </c>
      <c r="B610" s="35">
        <v>4</v>
      </c>
      <c r="C610" s="35">
        <v>0</v>
      </c>
      <c r="D610" s="2">
        <f t="shared" si="9"/>
        <v>4</v>
      </c>
    </row>
    <row r="611" spans="1:4" x14ac:dyDescent="0.3">
      <c r="A611" s="34">
        <v>13644</v>
      </c>
      <c r="B611" s="35">
        <v>1</v>
      </c>
      <c r="C611" s="35">
        <v>0</v>
      </c>
      <c r="D611" s="2">
        <f t="shared" si="9"/>
        <v>1</v>
      </c>
    </row>
    <row r="612" spans="1:4" x14ac:dyDescent="0.3">
      <c r="A612" s="34">
        <v>13666</v>
      </c>
      <c r="B612" s="35">
        <v>1</v>
      </c>
      <c r="C612" s="35">
        <v>0</v>
      </c>
      <c r="D612" s="2">
        <f t="shared" si="9"/>
        <v>1</v>
      </c>
    </row>
    <row r="613" spans="1:4" x14ac:dyDescent="0.3">
      <c r="A613" s="34">
        <v>13670</v>
      </c>
      <c r="B613" s="35">
        <v>2</v>
      </c>
      <c r="C613" s="35">
        <v>0</v>
      </c>
      <c r="D613" s="2">
        <f t="shared" si="9"/>
        <v>2</v>
      </c>
    </row>
    <row r="614" spans="1:4" x14ac:dyDescent="0.3">
      <c r="A614" s="34">
        <v>13671</v>
      </c>
      <c r="B614" s="35">
        <v>1</v>
      </c>
      <c r="C614" s="35">
        <v>0</v>
      </c>
      <c r="D614" s="2">
        <f t="shared" si="9"/>
        <v>1</v>
      </c>
    </row>
    <row r="615" spans="1:4" x14ac:dyDescent="0.3">
      <c r="A615" s="34">
        <v>13676</v>
      </c>
      <c r="B615" s="35">
        <v>2</v>
      </c>
      <c r="C615" s="35">
        <v>2</v>
      </c>
      <c r="D615" s="2">
        <f t="shared" si="9"/>
        <v>4</v>
      </c>
    </row>
    <row r="616" spans="1:4" x14ac:dyDescent="0.3">
      <c r="A616" s="34">
        <v>13693</v>
      </c>
      <c r="B616" s="35">
        <v>1</v>
      </c>
      <c r="C616" s="35">
        <v>0</v>
      </c>
      <c r="D616" s="2">
        <f t="shared" si="9"/>
        <v>1</v>
      </c>
    </row>
    <row r="617" spans="1:4" x14ac:dyDescent="0.3">
      <c r="A617" s="34">
        <v>13703</v>
      </c>
      <c r="B617" s="35">
        <v>1</v>
      </c>
      <c r="C617" s="35">
        <v>0</v>
      </c>
      <c r="D617" s="2">
        <f t="shared" si="9"/>
        <v>1</v>
      </c>
    </row>
    <row r="618" spans="1:4" x14ac:dyDescent="0.3">
      <c r="A618" s="34">
        <v>13722</v>
      </c>
      <c r="B618" s="35">
        <v>1</v>
      </c>
      <c r="C618" s="35">
        <v>0</v>
      </c>
      <c r="D618" s="2">
        <f t="shared" si="9"/>
        <v>1</v>
      </c>
    </row>
    <row r="619" spans="1:4" x14ac:dyDescent="0.3">
      <c r="A619" s="34">
        <v>13725</v>
      </c>
      <c r="B619" s="35">
        <v>1</v>
      </c>
      <c r="C619" s="35">
        <v>0</v>
      </c>
      <c r="D619" s="2">
        <f t="shared" si="9"/>
        <v>1</v>
      </c>
    </row>
    <row r="620" spans="1:4" x14ac:dyDescent="0.3">
      <c r="A620" s="34">
        <v>13731</v>
      </c>
      <c r="B620" s="35">
        <v>1</v>
      </c>
      <c r="C620" s="35">
        <v>0</v>
      </c>
      <c r="D620" s="2">
        <f t="shared" si="9"/>
        <v>1</v>
      </c>
    </row>
    <row r="621" spans="1:4" x14ac:dyDescent="0.3">
      <c r="A621" s="34">
        <v>13743</v>
      </c>
      <c r="B621" s="35">
        <v>1</v>
      </c>
      <c r="C621" s="35">
        <v>1</v>
      </c>
      <c r="D621" s="2">
        <f t="shared" si="9"/>
        <v>2</v>
      </c>
    </row>
    <row r="622" spans="1:4" x14ac:dyDescent="0.3">
      <c r="A622" s="34">
        <v>13773</v>
      </c>
      <c r="B622" s="35">
        <v>1</v>
      </c>
      <c r="C622" s="35">
        <v>0</v>
      </c>
      <c r="D622" s="2">
        <f t="shared" si="9"/>
        <v>1</v>
      </c>
    </row>
    <row r="623" spans="1:4" x14ac:dyDescent="0.3">
      <c r="A623" s="34">
        <v>13774</v>
      </c>
      <c r="B623" s="35">
        <v>2</v>
      </c>
      <c r="C623" s="35">
        <v>1</v>
      </c>
      <c r="D623" s="2">
        <f t="shared" si="9"/>
        <v>3</v>
      </c>
    </row>
    <row r="624" spans="1:4" x14ac:dyDescent="0.3">
      <c r="A624" s="34">
        <v>13777</v>
      </c>
      <c r="B624" s="35">
        <v>1</v>
      </c>
      <c r="C624" s="35">
        <v>0</v>
      </c>
      <c r="D624" s="2">
        <f t="shared" si="9"/>
        <v>1</v>
      </c>
    </row>
    <row r="625" spans="1:4" x14ac:dyDescent="0.3">
      <c r="A625" s="34">
        <v>13805</v>
      </c>
      <c r="B625" s="35">
        <v>1</v>
      </c>
      <c r="C625" s="35">
        <v>0</v>
      </c>
      <c r="D625" s="2">
        <f t="shared" si="9"/>
        <v>1</v>
      </c>
    </row>
    <row r="626" spans="1:4" x14ac:dyDescent="0.3">
      <c r="A626" s="34">
        <v>13806</v>
      </c>
      <c r="B626" s="35">
        <v>1</v>
      </c>
      <c r="C626" s="35">
        <v>0</v>
      </c>
      <c r="D626" s="2">
        <f t="shared" si="9"/>
        <v>1</v>
      </c>
    </row>
    <row r="627" spans="1:4" x14ac:dyDescent="0.3">
      <c r="A627" s="34">
        <v>13841</v>
      </c>
      <c r="B627" s="35">
        <v>2</v>
      </c>
      <c r="C627" s="35">
        <v>0</v>
      </c>
      <c r="D627" s="2">
        <f t="shared" si="9"/>
        <v>2</v>
      </c>
    </row>
    <row r="628" spans="1:4" x14ac:dyDescent="0.3">
      <c r="A628" s="34">
        <v>13849</v>
      </c>
      <c r="B628" s="35">
        <v>1</v>
      </c>
      <c r="C628" s="35">
        <v>1</v>
      </c>
      <c r="D628" s="2">
        <f t="shared" si="9"/>
        <v>2</v>
      </c>
    </row>
    <row r="629" spans="1:4" x14ac:dyDescent="0.3">
      <c r="A629" s="34">
        <v>13850</v>
      </c>
      <c r="B629" s="35">
        <v>1</v>
      </c>
      <c r="C629" s="35">
        <v>0</v>
      </c>
      <c r="D629" s="2">
        <f t="shared" si="9"/>
        <v>1</v>
      </c>
    </row>
    <row r="630" spans="1:4" x14ac:dyDescent="0.3">
      <c r="A630" s="34">
        <v>13860</v>
      </c>
      <c r="B630" s="35">
        <v>1</v>
      </c>
      <c r="C630" s="35">
        <v>0</v>
      </c>
      <c r="D630" s="2">
        <f t="shared" si="9"/>
        <v>1</v>
      </c>
    </row>
    <row r="631" spans="1:4" x14ac:dyDescent="0.3">
      <c r="A631" s="34">
        <v>13861</v>
      </c>
      <c r="B631" s="35">
        <v>1</v>
      </c>
      <c r="C631" s="35">
        <v>0</v>
      </c>
      <c r="D631" s="2">
        <f t="shared" si="9"/>
        <v>1</v>
      </c>
    </row>
    <row r="632" spans="1:4" x14ac:dyDescent="0.3">
      <c r="A632" s="34">
        <v>13872</v>
      </c>
      <c r="B632" s="35">
        <v>1</v>
      </c>
      <c r="C632" s="35">
        <v>1</v>
      </c>
      <c r="D632" s="2">
        <f t="shared" si="9"/>
        <v>2</v>
      </c>
    </row>
    <row r="633" spans="1:4" x14ac:dyDescent="0.3">
      <c r="A633" s="34">
        <v>13893</v>
      </c>
      <c r="B633" s="35">
        <v>1</v>
      </c>
      <c r="C633" s="35">
        <v>1</v>
      </c>
      <c r="D633" s="2">
        <f t="shared" si="9"/>
        <v>2</v>
      </c>
    </row>
    <row r="634" spans="1:4" x14ac:dyDescent="0.3">
      <c r="A634" s="34">
        <v>13899</v>
      </c>
      <c r="B634" s="35">
        <v>1</v>
      </c>
      <c r="C634" s="35">
        <v>0</v>
      </c>
      <c r="D634" s="2">
        <f t="shared" si="9"/>
        <v>1</v>
      </c>
    </row>
    <row r="635" spans="1:4" x14ac:dyDescent="0.3">
      <c r="A635" s="34">
        <v>13915</v>
      </c>
      <c r="B635" s="35">
        <v>1</v>
      </c>
      <c r="C635" s="35">
        <v>0</v>
      </c>
      <c r="D635" s="2">
        <f t="shared" si="9"/>
        <v>1</v>
      </c>
    </row>
    <row r="636" spans="1:4" x14ac:dyDescent="0.3">
      <c r="A636" s="34">
        <v>13942</v>
      </c>
      <c r="B636" s="35">
        <v>1</v>
      </c>
      <c r="C636" s="35">
        <v>0</v>
      </c>
      <c r="D636" s="2">
        <f t="shared" si="9"/>
        <v>1</v>
      </c>
    </row>
    <row r="637" spans="1:4" x14ac:dyDescent="0.3">
      <c r="A637" s="34">
        <v>13946</v>
      </c>
      <c r="B637" s="35">
        <v>1</v>
      </c>
      <c r="C637" s="35">
        <v>0</v>
      </c>
      <c r="D637" s="2">
        <f t="shared" si="9"/>
        <v>1</v>
      </c>
    </row>
    <row r="638" spans="1:4" x14ac:dyDescent="0.3">
      <c r="A638" s="34">
        <v>13948</v>
      </c>
      <c r="B638" s="35">
        <v>1</v>
      </c>
      <c r="C638" s="35">
        <v>1</v>
      </c>
      <c r="D638" s="2">
        <f t="shared" si="9"/>
        <v>2</v>
      </c>
    </row>
    <row r="639" spans="1:4" x14ac:dyDescent="0.3">
      <c r="A639" s="34">
        <v>13980</v>
      </c>
      <c r="B639" s="35">
        <v>1</v>
      </c>
      <c r="C639" s="35">
        <v>0</v>
      </c>
      <c r="D639" s="2">
        <f t="shared" si="9"/>
        <v>1</v>
      </c>
    </row>
    <row r="640" spans="1:4" x14ac:dyDescent="0.3">
      <c r="A640" s="34">
        <v>13983</v>
      </c>
      <c r="B640" s="35">
        <v>1</v>
      </c>
      <c r="C640" s="35">
        <v>1</v>
      </c>
      <c r="D640" s="2">
        <f t="shared" si="9"/>
        <v>2</v>
      </c>
    </row>
    <row r="641" spans="1:4" x14ac:dyDescent="0.3">
      <c r="A641" s="34">
        <v>13988</v>
      </c>
      <c r="B641" s="35">
        <v>2</v>
      </c>
      <c r="C641" s="35">
        <v>0</v>
      </c>
      <c r="D641" s="2">
        <f t="shared" si="9"/>
        <v>2</v>
      </c>
    </row>
    <row r="642" spans="1:4" x14ac:dyDescent="0.3">
      <c r="A642" s="34">
        <v>13993</v>
      </c>
      <c r="B642" s="35">
        <v>1</v>
      </c>
      <c r="C642" s="35">
        <v>0</v>
      </c>
      <c r="D642" s="2">
        <f t="shared" si="9"/>
        <v>1</v>
      </c>
    </row>
    <row r="643" spans="1:4" x14ac:dyDescent="0.3">
      <c r="A643" s="34">
        <v>13996</v>
      </c>
      <c r="B643" s="35">
        <v>1</v>
      </c>
      <c r="C643" s="35">
        <v>1</v>
      </c>
      <c r="D643" s="2">
        <f t="shared" ref="D643:D706" si="10">B643+C643</f>
        <v>2</v>
      </c>
    </row>
    <row r="644" spans="1:4" x14ac:dyDescent="0.3">
      <c r="A644" s="34">
        <v>14004</v>
      </c>
      <c r="B644" s="35">
        <v>1</v>
      </c>
      <c r="C644" s="35">
        <v>0</v>
      </c>
      <c r="D644" s="2">
        <f t="shared" si="10"/>
        <v>1</v>
      </c>
    </row>
    <row r="645" spans="1:4" x14ac:dyDescent="0.3">
      <c r="A645" s="34">
        <v>14009</v>
      </c>
      <c r="B645" s="35">
        <v>1</v>
      </c>
      <c r="C645" s="35">
        <v>1</v>
      </c>
      <c r="D645" s="2">
        <f t="shared" si="10"/>
        <v>2</v>
      </c>
    </row>
    <row r="646" spans="1:4" x14ac:dyDescent="0.3">
      <c r="A646" s="34">
        <v>14011</v>
      </c>
      <c r="B646" s="35">
        <v>1</v>
      </c>
      <c r="C646" s="35">
        <v>0</v>
      </c>
      <c r="D646" s="2">
        <f t="shared" si="10"/>
        <v>1</v>
      </c>
    </row>
    <row r="647" spans="1:4" x14ac:dyDescent="0.3">
      <c r="A647" s="34">
        <v>14065</v>
      </c>
      <c r="B647" s="35">
        <v>2</v>
      </c>
      <c r="C647" s="35">
        <v>2</v>
      </c>
      <c r="D647" s="2">
        <f t="shared" si="10"/>
        <v>4</v>
      </c>
    </row>
    <row r="648" spans="1:4" x14ac:dyDescent="0.3">
      <c r="A648" s="34">
        <v>14090</v>
      </c>
      <c r="B648" s="35">
        <v>2</v>
      </c>
      <c r="C648" s="35">
        <v>1</v>
      </c>
      <c r="D648" s="2">
        <f t="shared" si="10"/>
        <v>3</v>
      </c>
    </row>
    <row r="649" spans="1:4" x14ac:dyDescent="0.3">
      <c r="A649" s="34">
        <v>14117</v>
      </c>
      <c r="B649" s="35">
        <v>1</v>
      </c>
      <c r="C649" s="35">
        <v>1</v>
      </c>
      <c r="D649" s="2">
        <f t="shared" si="10"/>
        <v>2</v>
      </c>
    </row>
    <row r="650" spans="1:4" x14ac:dyDescent="0.3">
      <c r="A650" s="34">
        <v>14118</v>
      </c>
      <c r="B650" s="35">
        <v>1</v>
      </c>
      <c r="C650" s="35">
        <v>1</v>
      </c>
      <c r="D650" s="2">
        <f t="shared" si="10"/>
        <v>2</v>
      </c>
    </row>
    <row r="651" spans="1:4" x14ac:dyDescent="0.3">
      <c r="A651" s="34">
        <v>14136</v>
      </c>
      <c r="B651" s="35">
        <v>1</v>
      </c>
      <c r="C651" s="35">
        <v>0</v>
      </c>
      <c r="D651" s="2">
        <f t="shared" si="10"/>
        <v>1</v>
      </c>
    </row>
    <row r="652" spans="1:4" x14ac:dyDescent="0.3">
      <c r="A652" s="34">
        <v>14149</v>
      </c>
      <c r="B652" s="35">
        <v>1</v>
      </c>
      <c r="C652" s="35">
        <v>0</v>
      </c>
      <c r="D652" s="2">
        <f t="shared" si="10"/>
        <v>1</v>
      </c>
    </row>
    <row r="653" spans="1:4" x14ac:dyDescent="0.3">
      <c r="A653" s="34">
        <v>14154</v>
      </c>
      <c r="B653" s="35">
        <v>1</v>
      </c>
      <c r="C653" s="35">
        <v>0</v>
      </c>
      <c r="D653" s="2">
        <f t="shared" si="10"/>
        <v>1</v>
      </c>
    </row>
    <row r="654" spans="1:4" x14ac:dyDescent="0.3">
      <c r="A654" s="34">
        <v>14200</v>
      </c>
      <c r="B654" s="35">
        <v>1</v>
      </c>
      <c r="C654" s="35">
        <v>0</v>
      </c>
      <c r="D654" s="2">
        <f t="shared" si="10"/>
        <v>1</v>
      </c>
    </row>
    <row r="655" spans="1:4" x14ac:dyDescent="0.3">
      <c r="A655" s="34">
        <v>14267</v>
      </c>
      <c r="B655" s="35">
        <v>1</v>
      </c>
      <c r="C655" s="35">
        <v>0</v>
      </c>
      <c r="D655" s="2">
        <f t="shared" si="10"/>
        <v>1</v>
      </c>
    </row>
    <row r="656" spans="1:4" x14ac:dyDescent="0.3">
      <c r="A656" s="34">
        <v>14287</v>
      </c>
      <c r="B656" s="35">
        <v>1</v>
      </c>
      <c r="C656" s="35">
        <v>0</v>
      </c>
      <c r="D656" s="2">
        <f t="shared" si="10"/>
        <v>1</v>
      </c>
    </row>
    <row r="657" spans="1:4" x14ac:dyDescent="0.3">
      <c r="A657" s="34">
        <v>14383</v>
      </c>
      <c r="B657" s="35">
        <v>2</v>
      </c>
      <c r="C657" s="35">
        <v>0</v>
      </c>
      <c r="D657" s="2">
        <f t="shared" si="10"/>
        <v>2</v>
      </c>
    </row>
    <row r="658" spans="1:4" x14ac:dyDescent="0.3">
      <c r="A658" s="34">
        <v>14384</v>
      </c>
      <c r="B658" s="35">
        <v>2</v>
      </c>
      <c r="C658" s="35">
        <v>0</v>
      </c>
      <c r="D658" s="2">
        <f t="shared" si="10"/>
        <v>2</v>
      </c>
    </row>
    <row r="659" spans="1:4" x14ac:dyDescent="0.3">
      <c r="A659" s="34">
        <v>14386</v>
      </c>
      <c r="B659" s="35">
        <v>1</v>
      </c>
      <c r="C659" s="35">
        <v>0</v>
      </c>
      <c r="D659" s="2">
        <f t="shared" si="10"/>
        <v>1</v>
      </c>
    </row>
    <row r="660" spans="1:4" x14ac:dyDescent="0.3">
      <c r="A660" s="34">
        <v>14389</v>
      </c>
      <c r="B660" s="35">
        <v>1</v>
      </c>
      <c r="C660" s="35">
        <v>0</v>
      </c>
      <c r="D660" s="2">
        <f t="shared" si="10"/>
        <v>1</v>
      </c>
    </row>
    <row r="661" spans="1:4" x14ac:dyDescent="0.3">
      <c r="A661" s="34">
        <v>14421</v>
      </c>
      <c r="B661" s="35">
        <v>1</v>
      </c>
      <c r="C661" s="35">
        <v>0</v>
      </c>
      <c r="D661" s="2">
        <f t="shared" si="10"/>
        <v>1</v>
      </c>
    </row>
    <row r="662" spans="1:4" x14ac:dyDescent="0.3">
      <c r="A662" s="34">
        <v>14428</v>
      </c>
      <c r="B662" s="35">
        <v>1</v>
      </c>
      <c r="C662" s="35">
        <v>1</v>
      </c>
      <c r="D662" s="2">
        <f t="shared" si="10"/>
        <v>2</v>
      </c>
    </row>
    <row r="663" spans="1:4" x14ac:dyDescent="0.3">
      <c r="A663" s="34">
        <v>14432</v>
      </c>
      <c r="B663" s="35">
        <v>1</v>
      </c>
      <c r="C663" s="35">
        <v>0</v>
      </c>
      <c r="D663" s="2">
        <f t="shared" si="10"/>
        <v>1</v>
      </c>
    </row>
    <row r="664" spans="1:4" x14ac:dyDescent="0.3">
      <c r="A664" s="34">
        <v>14453</v>
      </c>
      <c r="B664" s="35">
        <v>4</v>
      </c>
      <c r="C664" s="35">
        <v>0</v>
      </c>
      <c r="D664" s="2">
        <f t="shared" si="10"/>
        <v>4</v>
      </c>
    </row>
    <row r="665" spans="1:4" x14ac:dyDescent="0.3">
      <c r="A665" s="34">
        <v>14454</v>
      </c>
      <c r="B665" s="35">
        <v>4</v>
      </c>
      <c r="C665" s="35">
        <v>2</v>
      </c>
      <c r="D665" s="2">
        <f t="shared" si="10"/>
        <v>6</v>
      </c>
    </row>
    <row r="666" spans="1:4" x14ac:dyDescent="0.3">
      <c r="A666" s="34">
        <v>14461</v>
      </c>
      <c r="B666" s="35">
        <v>2</v>
      </c>
      <c r="C666" s="35">
        <v>1</v>
      </c>
      <c r="D666" s="2">
        <f t="shared" si="10"/>
        <v>3</v>
      </c>
    </row>
    <row r="667" spans="1:4" x14ac:dyDescent="0.3">
      <c r="A667" s="34">
        <v>14471</v>
      </c>
      <c r="B667" s="35">
        <v>1</v>
      </c>
      <c r="C667" s="35">
        <v>0</v>
      </c>
      <c r="D667" s="2">
        <f t="shared" si="10"/>
        <v>1</v>
      </c>
    </row>
    <row r="668" spans="1:4" x14ac:dyDescent="0.3">
      <c r="A668" s="34">
        <v>14476</v>
      </c>
      <c r="B668" s="35">
        <v>1</v>
      </c>
      <c r="C668" s="35">
        <v>0</v>
      </c>
      <c r="D668" s="2">
        <f t="shared" si="10"/>
        <v>1</v>
      </c>
    </row>
    <row r="669" spans="1:4" x14ac:dyDescent="0.3">
      <c r="A669" s="34">
        <v>14483</v>
      </c>
      <c r="B669" s="35">
        <v>2</v>
      </c>
      <c r="C669" s="35">
        <v>2</v>
      </c>
      <c r="D669" s="2">
        <f t="shared" si="10"/>
        <v>4</v>
      </c>
    </row>
    <row r="670" spans="1:4" x14ac:dyDescent="0.3">
      <c r="A670" s="34">
        <v>14484</v>
      </c>
      <c r="B670" s="35">
        <v>5</v>
      </c>
      <c r="C670" s="35">
        <v>0</v>
      </c>
      <c r="D670" s="2">
        <f t="shared" si="10"/>
        <v>5</v>
      </c>
    </row>
    <row r="671" spans="1:4" x14ac:dyDescent="0.3">
      <c r="A671" s="34">
        <v>14514</v>
      </c>
      <c r="B671" s="35">
        <v>1</v>
      </c>
      <c r="C671" s="35">
        <v>0</v>
      </c>
      <c r="D671" s="2">
        <f t="shared" si="10"/>
        <v>1</v>
      </c>
    </row>
    <row r="672" spans="1:4" x14ac:dyDescent="0.3">
      <c r="A672" s="34">
        <v>14528</v>
      </c>
      <c r="B672" s="35">
        <v>2</v>
      </c>
      <c r="C672" s="35">
        <v>0</v>
      </c>
      <c r="D672" s="2">
        <f t="shared" si="10"/>
        <v>2</v>
      </c>
    </row>
    <row r="673" spans="1:4" x14ac:dyDescent="0.3">
      <c r="A673" s="34">
        <v>14541</v>
      </c>
      <c r="B673" s="35">
        <v>1</v>
      </c>
      <c r="C673" s="35">
        <v>0</v>
      </c>
      <c r="D673" s="2">
        <f t="shared" si="10"/>
        <v>1</v>
      </c>
    </row>
    <row r="674" spans="1:4" x14ac:dyDescent="0.3">
      <c r="A674" s="34">
        <v>14543</v>
      </c>
      <c r="B674" s="35">
        <v>2</v>
      </c>
      <c r="C674" s="35">
        <v>1</v>
      </c>
      <c r="D674" s="2">
        <f t="shared" si="10"/>
        <v>3</v>
      </c>
    </row>
    <row r="675" spans="1:4" x14ac:dyDescent="0.3">
      <c r="A675" s="34">
        <v>14600</v>
      </c>
      <c r="B675" s="35">
        <v>1</v>
      </c>
      <c r="C675" s="35">
        <v>0</v>
      </c>
      <c r="D675" s="2">
        <f t="shared" si="10"/>
        <v>1</v>
      </c>
    </row>
    <row r="676" spans="1:4" x14ac:dyDescent="0.3">
      <c r="A676" s="34">
        <v>14604</v>
      </c>
      <c r="B676" s="35">
        <v>1</v>
      </c>
      <c r="C676" s="35">
        <v>0</v>
      </c>
      <c r="D676" s="2">
        <f t="shared" si="10"/>
        <v>1</v>
      </c>
    </row>
    <row r="677" spans="1:4" x14ac:dyDescent="0.3">
      <c r="A677" s="34">
        <v>14606</v>
      </c>
      <c r="B677" s="35">
        <v>1</v>
      </c>
      <c r="C677" s="35">
        <v>0</v>
      </c>
      <c r="D677" s="2">
        <f t="shared" si="10"/>
        <v>1</v>
      </c>
    </row>
    <row r="678" spans="1:4" x14ac:dyDescent="0.3">
      <c r="A678" s="34">
        <v>14635</v>
      </c>
      <c r="B678" s="35">
        <v>1</v>
      </c>
      <c r="C678" s="35">
        <v>1</v>
      </c>
      <c r="D678" s="2">
        <f t="shared" si="10"/>
        <v>2</v>
      </c>
    </row>
    <row r="679" spans="1:4" x14ac:dyDescent="0.3">
      <c r="A679" s="34">
        <v>14640</v>
      </c>
      <c r="B679" s="35">
        <v>1</v>
      </c>
      <c r="C679" s="35">
        <v>0</v>
      </c>
      <c r="D679" s="2">
        <f t="shared" si="10"/>
        <v>1</v>
      </c>
    </row>
    <row r="680" spans="1:4" x14ac:dyDescent="0.3">
      <c r="A680" s="34">
        <v>14642</v>
      </c>
      <c r="B680" s="35">
        <v>1</v>
      </c>
      <c r="C680" s="35">
        <v>0</v>
      </c>
      <c r="D680" s="2">
        <f t="shared" si="10"/>
        <v>1</v>
      </c>
    </row>
    <row r="681" spans="1:4" x14ac:dyDescent="0.3">
      <c r="A681" s="34">
        <v>14643</v>
      </c>
      <c r="B681" s="35">
        <v>1</v>
      </c>
      <c r="C681" s="35">
        <v>0</v>
      </c>
      <c r="D681" s="2">
        <f t="shared" si="10"/>
        <v>1</v>
      </c>
    </row>
    <row r="682" spans="1:4" x14ac:dyDescent="0.3">
      <c r="A682" s="34">
        <v>14651</v>
      </c>
      <c r="B682" s="35">
        <v>1</v>
      </c>
      <c r="C682" s="35">
        <v>0</v>
      </c>
      <c r="D682" s="2">
        <f t="shared" si="10"/>
        <v>1</v>
      </c>
    </row>
    <row r="683" spans="1:4" x14ac:dyDescent="0.3">
      <c r="A683" s="34">
        <v>14652</v>
      </c>
      <c r="B683" s="35">
        <v>2</v>
      </c>
      <c r="C683" s="35">
        <v>0</v>
      </c>
      <c r="D683" s="2">
        <f t="shared" si="10"/>
        <v>2</v>
      </c>
    </row>
    <row r="684" spans="1:4" x14ac:dyDescent="0.3">
      <c r="A684" s="34">
        <v>14655</v>
      </c>
      <c r="B684" s="35">
        <v>1</v>
      </c>
      <c r="C684" s="35">
        <v>0</v>
      </c>
      <c r="D684" s="2">
        <f t="shared" si="10"/>
        <v>1</v>
      </c>
    </row>
    <row r="685" spans="1:4" x14ac:dyDescent="0.3">
      <c r="A685" s="34">
        <v>14658</v>
      </c>
      <c r="B685" s="35">
        <v>2</v>
      </c>
      <c r="C685" s="35">
        <v>0</v>
      </c>
      <c r="D685" s="2">
        <f t="shared" si="10"/>
        <v>2</v>
      </c>
    </row>
    <row r="686" spans="1:4" x14ac:dyDescent="0.3">
      <c r="A686" s="34">
        <v>14660</v>
      </c>
      <c r="B686" s="35">
        <v>1</v>
      </c>
      <c r="C686" s="35">
        <v>1</v>
      </c>
      <c r="D686" s="2">
        <f t="shared" si="10"/>
        <v>2</v>
      </c>
    </row>
    <row r="687" spans="1:4" x14ac:dyDescent="0.3">
      <c r="A687" s="34">
        <v>14661</v>
      </c>
      <c r="B687" s="35">
        <v>1</v>
      </c>
      <c r="C687" s="35">
        <v>1</v>
      </c>
      <c r="D687" s="2">
        <f t="shared" si="10"/>
        <v>2</v>
      </c>
    </row>
    <row r="688" spans="1:4" x14ac:dyDescent="0.3">
      <c r="A688" s="34">
        <v>14663</v>
      </c>
      <c r="B688" s="35">
        <v>1</v>
      </c>
      <c r="C688" s="35">
        <v>0</v>
      </c>
      <c r="D688" s="2">
        <f t="shared" si="10"/>
        <v>1</v>
      </c>
    </row>
    <row r="689" spans="1:4" x14ac:dyDescent="0.3">
      <c r="A689" s="34">
        <v>14664</v>
      </c>
      <c r="B689" s="35">
        <v>1</v>
      </c>
      <c r="C689" s="35">
        <v>0</v>
      </c>
      <c r="D689" s="2">
        <f t="shared" si="10"/>
        <v>1</v>
      </c>
    </row>
    <row r="690" spans="1:4" x14ac:dyDescent="0.3">
      <c r="A690" s="34">
        <v>14690</v>
      </c>
      <c r="B690" s="35">
        <v>1</v>
      </c>
      <c r="C690" s="35">
        <v>0</v>
      </c>
      <c r="D690" s="2">
        <f t="shared" si="10"/>
        <v>1</v>
      </c>
    </row>
    <row r="691" spans="1:4" x14ac:dyDescent="0.3">
      <c r="A691" s="34">
        <v>14691</v>
      </c>
      <c r="B691" s="35">
        <v>1</v>
      </c>
      <c r="C691" s="35">
        <v>0</v>
      </c>
      <c r="D691" s="2">
        <f t="shared" si="10"/>
        <v>1</v>
      </c>
    </row>
    <row r="692" spans="1:4" x14ac:dyDescent="0.3">
      <c r="A692" s="34">
        <v>14698</v>
      </c>
      <c r="B692" s="35">
        <v>1</v>
      </c>
      <c r="C692" s="35">
        <v>0</v>
      </c>
      <c r="D692" s="2">
        <f t="shared" si="10"/>
        <v>1</v>
      </c>
    </row>
    <row r="693" spans="1:4" x14ac:dyDescent="0.3">
      <c r="A693" s="34">
        <v>14701</v>
      </c>
      <c r="B693" s="35">
        <v>1</v>
      </c>
      <c r="C693" s="35">
        <v>0</v>
      </c>
      <c r="D693" s="2">
        <f t="shared" si="10"/>
        <v>1</v>
      </c>
    </row>
    <row r="694" spans="1:4" x14ac:dyDescent="0.3">
      <c r="A694" s="34">
        <v>14709</v>
      </c>
      <c r="B694" s="35">
        <v>2</v>
      </c>
      <c r="C694" s="35">
        <v>1</v>
      </c>
      <c r="D694" s="2">
        <f t="shared" si="10"/>
        <v>3</v>
      </c>
    </row>
    <row r="695" spans="1:4" x14ac:dyDescent="0.3">
      <c r="A695" s="34">
        <v>14724</v>
      </c>
      <c r="B695" s="35">
        <v>2</v>
      </c>
      <c r="C695" s="35">
        <v>2</v>
      </c>
      <c r="D695" s="2">
        <f t="shared" si="10"/>
        <v>4</v>
      </c>
    </row>
    <row r="696" spans="1:4" x14ac:dyDescent="0.3">
      <c r="A696" s="34">
        <v>14728</v>
      </c>
      <c r="B696" s="35">
        <v>2</v>
      </c>
      <c r="C696" s="35">
        <v>1</v>
      </c>
      <c r="D696" s="2">
        <f t="shared" si="10"/>
        <v>3</v>
      </c>
    </row>
    <row r="697" spans="1:4" x14ac:dyDescent="0.3">
      <c r="A697" s="34">
        <v>14731</v>
      </c>
      <c r="B697" s="35">
        <v>2</v>
      </c>
      <c r="C697" s="35">
        <v>0</v>
      </c>
      <c r="D697" s="2">
        <f t="shared" si="10"/>
        <v>2</v>
      </c>
    </row>
    <row r="698" spans="1:4" x14ac:dyDescent="0.3">
      <c r="A698" s="34">
        <v>14732</v>
      </c>
      <c r="B698" s="35">
        <v>1</v>
      </c>
      <c r="C698" s="35">
        <v>0</v>
      </c>
      <c r="D698" s="2">
        <f t="shared" si="10"/>
        <v>1</v>
      </c>
    </row>
    <row r="699" spans="1:4" x14ac:dyDescent="0.3">
      <c r="A699" s="34">
        <v>14733</v>
      </c>
      <c r="B699" s="35">
        <v>1</v>
      </c>
      <c r="C699" s="35">
        <v>0</v>
      </c>
      <c r="D699" s="2">
        <f t="shared" si="10"/>
        <v>1</v>
      </c>
    </row>
    <row r="700" spans="1:4" x14ac:dyDescent="0.3">
      <c r="A700" s="34">
        <v>14740</v>
      </c>
      <c r="B700" s="35">
        <v>1</v>
      </c>
      <c r="C700" s="35">
        <v>1</v>
      </c>
      <c r="D700" s="2">
        <f t="shared" si="10"/>
        <v>2</v>
      </c>
    </row>
    <row r="701" spans="1:4" x14ac:dyDescent="0.3">
      <c r="A701" s="34">
        <v>14750</v>
      </c>
      <c r="B701" s="35">
        <v>1</v>
      </c>
      <c r="C701" s="35">
        <v>0</v>
      </c>
      <c r="D701" s="2">
        <f t="shared" si="10"/>
        <v>1</v>
      </c>
    </row>
    <row r="702" spans="1:4" x14ac:dyDescent="0.3">
      <c r="A702" s="34">
        <v>14762</v>
      </c>
      <c r="B702" s="35">
        <v>1</v>
      </c>
      <c r="C702" s="35">
        <v>0</v>
      </c>
      <c r="D702" s="2">
        <f t="shared" si="10"/>
        <v>1</v>
      </c>
    </row>
    <row r="703" spans="1:4" x14ac:dyDescent="0.3">
      <c r="A703" s="34">
        <v>14768</v>
      </c>
      <c r="B703" s="35">
        <v>1</v>
      </c>
      <c r="C703" s="35">
        <v>0</v>
      </c>
      <c r="D703" s="2">
        <f t="shared" si="10"/>
        <v>1</v>
      </c>
    </row>
    <row r="704" spans="1:4" x14ac:dyDescent="0.3">
      <c r="A704" s="34">
        <v>14769</v>
      </c>
      <c r="B704" s="35">
        <v>2</v>
      </c>
      <c r="C704" s="35">
        <v>0</v>
      </c>
      <c r="D704" s="2">
        <f t="shared" si="10"/>
        <v>2</v>
      </c>
    </row>
    <row r="705" spans="1:4" x14ac:dyDescent="0.3">
      <c r="A705" s="34">
        <v>14778</v>
      </c>
      <c r="B705" s="35">
        <v>1</v>
      </c>
      <c r="C705" s="35">
        <v>0</v>
      </c>
      <c r="D705" s="2">
        <f t="shared" si="10"/>
        <v>1</v>
      </c>
    </row>
    <row r="706" spans="1:4" x14ac:dyDescent="0.3">
      <c r="A706" s="34">
        <v>14779</v>
      </c>
      <c r="B706" s="35">
        <v>1</v>
      </c>
      <c r="C706" s="35">
        <v>1</v>
      </c>
      <c r="D706" s="2">
        <f t="shared" si="10"/>
        <v>2</v>
      </c>
    </row>
    <row r="707" spans="1:4" x14ac:dyDescent="0.3">
      <c r="A707" s="34">
        <v>14801</v>
      </c>
      <c r="B707" s="35">
        <v>1</v>
      </c>
      <c r="C707" s="35">
        <v>0</v>
      </c>
      <c r="D707" s="2">
        <f t="shared" ref="D707:D770" si="11">B707+C707</f>
        <v>1</v>
      </c>
    </row>
    <row r="708" spans="1:4" x14ac:dyDescent="0.3">
      <c r="A708" s="34">
        <v>14807</v>
      </c>
      <c r="B708" s="35">
        <v>1</v>
      </c>
      <c r="C708" s="35">
        <v>0</v>
      </c>
      <c r="D708" s="2">
        <f t="shared" si="11"/>
        <v>1</v>
      </c>
    </row>
    <row r="709" spans="1:4" x14ac:dyDescent="0.3">
      <c r="A709" s="34">
        <v>14812</v>
      </c>
      <c r="B709" s="35">
        <v>1</v>
      </c>
      <c r="C709" s="35">
        <v>0</v>
      </c>
      <c r="D709" s="2">
        <f t="shared" si="11"/>
        <v>1</v>
      </c>
    </row>
    <row r="710" spans="1:4" x14ac:dyDescent="0.3">
      <c r="A710" s="34">
        <v>14827</v>
      </c>
      <c r="B710" s="35">
        <v>1</v>
      </c>
      <c r="C710" s="35">
        <v>0</v>
      </c>
      <c r="D710" s="2">
        <f t="shared" si="11"/>
        <v>1</v>
      </c>
    </row>
    <row r="711" spans="1:4" x14ac:dyDescent="0.3">
      <c r="A711" s="34">
        <v>14854</v>
      </c>
      <c r="B711" s="35">
        <v>1</v>
      </c>
      <c r="C711" s="35">
        <v>0</v>
      </c>
      <c r="D711" s="2">
        <f t="shared" si="11"/>
        <v>1</v>
      </c>
    </row>
    <row r="712" spans="1:4" x14ac:dyDescent="0.3">
      <c r="A712" s="34">
        <v>14860</v>
      </c>
      <c r="B712" s="35">
        <v>2</v>
      </c>
      <c r="C712" s="35">
        <v>1</v>
      </c>
      <c r="D712" s="2">
        <f t="shared" si="11"/>
        <v>3</v>
      </c>
    </row>
    <row r="713" spans="1:4" x14ac:dyDescent="0.3">
      <c r="A713" s="34">
        <v>14866</v>
      </c>
      <c r="B713" s="35">
        <v>1</v>
      </c>
      <c r="C713" s="35">
        <v>0</v>
      </c>
      <c r="D713" s="2">
        <f t="shared" si="11"/>
        <v>1</v>
      </c>
    </row>
    <row r="714" spans="1:4" x14ac:dyDescent="0.3">
      <c r="A714" s="34">
        <v>14872</v>
      </c>
      <c r="B714" s="35">
        <v>1</v>
      </c>
      <c r="C714" s="35">
        <v>0</v>
      </c>
      <c r="D714" s="2">
        <f t="shared" si="11"/>
        <v>1</v>
      </c>
    </row>
    <row r="715" spans="1:4" x14ac:dyDescent="0.3">
      <c r="A715" s="34">
        <v>14874</v>
      </c>
      <c r="B715" s="35">
        <v>1</v>
      </c>
      <c r="C715" s="35">
        <v>0</v>
      </c>
      <c r="D715" s="2">
        <f t="shared" si="11"/>
        <v>1</v>
      </c>
    </row>
    <row r="716" spans="1:4" x14ac:dyDescent="0.3">
      <c r="A716" s="34">
        <v>14883</v>
      </c>
      <c r="B716" s="35">
        <v>1</v>
      </c>
      <c r="C716" s="35">
        <v>0</v>
      </c>
      <c r="D716" s="2">
        <f t="shared" si="11"/>
        <v>1</v>
      </c>
    </row>
    <row r="717" spans="1:4" x14ac:dyDescent="0.3">
      <c r="A717" s="34">
        <v>14885</v>
      </c>
      <c r="B717" s="35">
        <v>1</v>
      </c>
      <c r="C717" s="35">
        <v>0</v>
      </c>
      <c r="D717" s="2">
        <f t="shared" si="11"/>
        <v>1</v>
      </c>
    </row>
    <row r="718" spans="1:4" x14ac:dyDescent="0.3">
      <c r="A718" s="34">
        <v>14897</v>
      </c>
      <c r="B718" s="35">
        <v>1</v>
      </c>
      <c r="C718" s="35">
        <v>0</v>
      </c>
      <c r="D718" s="2">
        <f t="shared" si="11"/>
        <v>1</v>
      </c>
    </row>
    <row r="719" spans="1:4" x14ac:dyDescent="0.3">
      <c r="A719" s="34">
        <v>14902</v>
      </c>
      <c r="B719" s="35">
        <v>1</v>
      </c>
      <c r="C719" s="35">
        <v>0</v>
      </c>
      <c r="D719" s="2">
        <f t="shared" si="11"/>
        <v>1</v>
      </c>
    </row>
    <row r="720" spans="1:4" x14ac:dyDescent="0.3">
      <c r="A720" s="34">
        <v>14916</v>
      </c>
      <c r="B720" s="35">
        <v>1</v>
      </c>
      <c r="C720" s="35">
        <v>0</v>
      </c>
      <c r="D720" s="2">
        <f t="shared" si="11"/>
        <v>1</v>
      </c>
    </row>
    <row r="721" spans="1:4" x14ac:dyDescent="0.3">
      <c r="A721" s="34">
        <v>14926</v>
      </c>
      <c r="B721" s="35">
        <v>1</v>
      </c>
      <c r="C721" s="35">
        <v>1</v>
      </c>
      <c r="D721" s="2">
        <f t="shared" si="11"/>
        <v>2</v>
      </c>
    </row>
    <row r="722" spans="1:4" x14ac:dyDescent="0.3">
      <c r="A722" s="34">
        <v>14950</v>
      </c>
      <c r="B722" s="35">
        <v>1</v>
      </c>
      <c r="C722" s="35">
        <v>0</v>
      </c>
      <c r="D722" s="2">
        <f t="shared" si="11"/>
        <v>1</v>
      </c>
    </row>
    <row r="723" spans="1:4" x14ac:dyDescent="0.3">
      <c r="A723" s="34">
        <v>14979</v>
      </c>
      <c r="B723" s="35">
        <v>1</v>
      </c>
      <c r="C723" s="35">
        <v>0</v>
      </c>
      <c r="D723" s="2">
        <f t="shared" si="11"/>
        <v>1</v>
      </c>
    </row>
    <row r="724" spans="1:4" x14ac:dyDescent="0.3">
      <c r="A724" s="34">
        <v>14983</v>
      </c>
      <c r="B724" s="35">
        <v>1</v>
      </c>
      <c r="C724" s="35">
        <v>0</v>
      </c>
      <c r="D724" s="2">
        <f t="shared" si="11"/>
        <v>1</v>
      </c>
    </row>
    <row r="725" spans="1:4" x14ac:dyDescent="0.3">
      <c r="A725" s="34">
        <v>14994</v>
      </c>
      <c r="B725" s="35">
        <v>1</v>
      </c>
      <c r="C725" s="35">
        <v>0</v>
      </c>
      <c r="D725" s="2">
        <f t="shared" si="11"/>
        <v>1</v>
      </c>
    </row>
    <row r="726" spans="1:4" x14ac:dyDescent="0.3">
      <c r="A726" s="34">
        <v>14997</v>
      </c>
      <c r="B726" s="35">
        <v>1</v>
      </c>
      <c r="C726" s="35">
        <v>1</v>
      </c>
      <c r="D726" s="2">
        <f t="shared" si="11"/>
        <v>2</v>
      </c>
    </row>
    <row r="727" spans="1:4" x14ac:dyDescent="0.3">
      <c r="A727" s="34">
        <v>15000</v>
      </c>
      <c r="B727" s="35">
        <v>2</v>
      </c>
      <c r="C727" s="35">
        <v>0</v>
      </c>
      <c r="D727" s="2">
        <f t="shared" si="11"/>
        <v>2</v>
      </c>
    </row>
    <row r="728" spans="1:4" x14ac:dyDescent="0.3">
      <c r="A728" s="34">
        <v>15003</v>
      </c>
      <c r="B728" s="35">
        <v>1</v>
      </c>
      <c r="C728" s="35">
        <v>0</v>
      </c>
      <c r="D728" s="2">
        <f t="shared" si="11"/>
        <v>1</v>
      </c>
    </row>
    <row r="729" spans="1:4" x14ac:dyDescent="0.3">
      <c r="A729" s="34">
        <v>15006</v>
      </c>
      <c r="B729" s="35">
        <v>1</v>
      </c>
      <c r="C729" s="35">
        <v>0</v>
      </c>
      <c r="D729" s="2">
        <f t="shared" si="11"/>
        <v>1</v>
      </c>
    </row>
    <row r="730" spans="1:4" x14ac:dyDescent="0.3">
      <c r="A730" s="34">
        <v>15009</v>
      </c>
      <c r="B730" s="35">
        <v>1</v>
      </c>
      <c r="C730" s="35">
        <v>0</v>
      </c>
      <c r="D730" s="2">
        <f t="shared" si="11"/>
        <v>1</v>
      </c>
    </row>
    <row r="731" spans="1:4" x14ac:dyDescent="0.3">
      <c r="A731" s="34">
        <v>15010</v>
      </c>
      <c r="B731" s="35">
        <v>1</v>
      </c>
      <c r="C731" s="35">
        <v>0</v>
      </c>
      <c r="D731" s="2">
        <f t="shared" si="11"/>
        <v>1</v>
      </c>
    </row>
    <row r="732" spans="1:4" x14ac:dyDescent="0.3">
      <c r="A732" s="34">
        <v>15027</v>
      </c>
      <c r="B732" s="35">
        <v>1</v>
      </c>
      <c r="C732" s="35">
        <v>0</v>
      </c>
      <c r="D732" s="2">
        <f t="shared" si="11"/>
        <v>1</v>
      </c>
    </row>
    <row r="733" spans="1:4" x14ac:dyDescent="0.3">
      <c r="A733" s="34">
        <v>15031</v>
      </c>
      <c r="B733" s="35">
        <v>1</v>
      </c>
      <c r="C733" s="35">
        <v>0</v>
      </c>
      <c r="D733" s="2">
        <f t="shared" si="11"/>
        <v>1</v>
      </c>
    </row>
    <row r="734" spans="1:4" x14ac:dyDescent="0.3">
      <c r="A734" s="34">
        <v>15035</v>
      </c>
      <c r="B734" s="35">
        <v>2</v>
      </c>
      <c r="C734" s="35">
        <v>0</v>
      </c>
      <c r="D734" s="2">
        <f t="shared" si="11"/>
        <v>2</v>
      </c>
    </row>
    <row r="735" spans="1:4" x14ac:dyDescent="0.3">
      <c r="A735" s="34">
        <v>15036</v>
      </c>
      <c r="B735" s="35">
        <v>3</v>
      </c>
      <c r="C735" s="35">
        <v>2</v>
      </c>
      <c r="D735" s="2">
        <f t="shared" si="11"/>
        <v>5</v>
      </c>
    </row>
    <row r="736" spans="1:4" x14ac:dyDescent="0.3">
      <c r="A736" s="34">
        <v>15039</v>
      </c>
      <c r="B736" s="35">
        <v>1</v>
      </c>
      <c r="C736" s="35">
        <v>1</v>
      </c>
      <c r="D736" s="2">
        <f t="shared" si="11"/>
        <v>2</v>
      </c>
    </row>
    <row r="737" spans="1:4" x14ac:dyDescent="0.3">
      <c r="A737" s="34">
        <v>15040</v>
      </c>
      <c r="B737" s="35">
        <v>1</v>
      </c>
      <c r="C737" s="35">
        <v>0</v>
      </c>
      <c r="D737" s="2">
        <f t="shared" si="11"/>
        <v>1</v>
      </c>
    </row>
    <row r="738" spans="1:4" x14ac:dyDescent="0.3">
      <c r="A738" s="34">
        <v>15041</v>
      </c>
      <c r="B738" s="35">
        <v>4</v>
      </c>
      <c r="C738" s="35">
        <v>1</v>
      </c>
      <c r="D738" s="2">
        <f t="shared" si="11"/>
        <v>5</v>
      </c>
    </row>
    <row r="739" spans="1:4" x14ac:dyDescent="0.3">
      <c r="A739" s="34">
        <v>15053</v>
      </c>
      <c r="B739" s="35">
        <v>1</v>
      </c>
      <c r="C739" s="35">
        <v>0</v>
      </c>
      <c r="D739" s="2">
        <f t="shared" si="11"/>
        <v>1</v>
      </c>
    </row>
    <row r="740" spans="1:4" x14ac:dyDescent="0.3">
      <c r="A740" s="34">
        <v>15094</v>
      </c>
      <c r="B740" s="35">
        <v>3</v>
      </c>
      <c r="C740" s="35">
        <v>2</v>
      </c>
      <c r="D740" s="2">
        <f t="shared" si="11"/>
        <v>5</v>
      </c>
    </row>
    <row r="741" spans="1:4" x14ac:dyDescent="0.3">
      <c r="A741" s="34">
        <v>15100</v>
      </c>
      <c r="B741" s="35">
        <v>2</v>
      </c>
      <c r="C741" s="35">
        <v>2</v>
      </c>
      <c r="D741" s="2">
        <f t="shared" si="11"/>
        <v>4</v>
      </c>
    </row>
    <row r="742" spans="1:4" x14ac:dyDescent="0.3">
      <c r="A742" s="34">
        <v>15105</v>
      </c>
      <c r="B742" s="35">
        <v>1</v>
      </c>
      <c r="C742" s="35">
        <v>0</v>
      </c>
      <c r="D742" s="2">
        <f t="shared" si="11"/>
        <v>1</v>
      </c>
    </row>
    <row r="743" spans="1:4" x14ac:dyDescent="0.3">
      <c r="A743" s="34">
        <v>15122</v>
      </c>
      <c r="B743" s="35">
        <v>1</v>
      </c>
      <c r="C743" s="35">
        <v>0</v>
      </c>
      <c r="D743" s="2">
        <f t="shared" si="11"/>
        <v>1</v>
      </c>
    </row>
    <row r="744" spans="1:4" x14ac:dyDescent="0.3">
      <c r="A744" s="34">
        <v>15129</v>
      </c>
      <c r="B744" s="35">
        <v>1</v>
      </c>
      <c r="C744" s="35">
        <v>0</v>
      </c>
      <c r="D744" s="2">
        <f t="shared" si="11"/>
        <v>1</v>
      </c>
    </row>
    <row r="745" spans="1:4" x14ac:dyDescent="0.3">
      <c r="A745" s="34">
        <v>15133</v>
      </c>
      <c r="B745" s="35">
        <v>1</v>
      </c>
      <c r="C745" s="35">
        <v>0</v>
      </c>
      <c r="D745" s="2">
        <f t="shared" si="11"/>
        <v>1</v>
      </c>
    </row>
    <row r="746" spans="1:4" x14ac:dyDescent="0.3">
      <c r="A746" s="34">
        <v>15150</v>
      </c>
      <c r="B746" s="35">
        <v>1</v>
      </c>
      <c r="C746" s="35">
        <v>0</v>
      </c>
      <c r="D746" s="2">
        <f t="shared" si="11"/>
        <v>1</v>
      </c>
    </row>
    <row r="747" spans="1:4" x14ac:dyDescent="0.3">
      <c r="A747" s="34">
        <v>15151</v>
      </c>
      <c r="B747" s="35">
        <v>1</v>
      </c>
      <c r="C747" s="35">
        <v>0</v>
      </c>
      <c r="D747" s="2">
        <f t="shared" si="11"/>
        <v>1</v>
      </c>
    </row>
    <row r="748" spans="1:4" x14ac:dyDescent="0.3">
      <c r="A748" s="34">
        <v>15182</v>
      </c>
      <c r="B748" s="35">
        <v>1</v>
      </c>
      <c r="C748" s="35">
        <v>0</v>
      </c>
      <c r="D748" s="2">
        <f t="shared" si="11"/>
        <v>1</v>
      </c>
    </row>
    <row r="749" spans="1:4" x14ac:dyDescent="0.3">
      <c r="A749" s="34">
        <v>15188</v>
      </c>
      <c r="B749" s="35">
        <v>1</v>
      </c>
      <c r="C749" s="35">
        <v>0</v>
      </c>
      <c r="D749" s="2">
        <f t="shared" si="11"/>
        <v>1</v>
      </c>
    </row>
    <row r="750" spans="1:4" x14ac:dyDescent="0.3">
      <c r="A750" s="34">
        <v>15190</v>
      </c>
      <c r="B750" s="35">
        <v>4</v>
      </c>
      <c r="C750" s="35">
        <v>0</v>
      </c>
      <c r="D750" s="2">
        <f t="shared" si="11"/>
        <v>4</v>
      </c>
    </row>
    <row r="751" spans="1:4" x14ac:dyDescent="0.3">
      <c r="A751" s="34">
        <v>15201</v>
      </c>
      <c r="B751" s="35">
        <v>2</v>
      </c>
      <c r="C751" s="35">
        <v>0</v>
      </c>
      <c r="D751" s="2">
        <f t="shared" si="11"/>
        <v>2</v>
      </c>
    </row>
    <row r="752" spans="1:4" x14ac:dyDescent="0.3">
      <c r="A752" s="34">
        <v>15203</v>
      </c>
      <c r="B752" s="35">
        <v>1</v>
      </c>
      <c r="C752" s="35">
        <v>1</v>
      </c>
      <c r="D752" s="2">
        <f t="shared" si="11"/>
        <v>2</v>
      </c>
    </row>
    <row r="753" spans="1:4" x14ac:dyDescent="0.3">
      <c r="A753" s="34">
        <v>15204</v>
      </c>
      <c r="B753" s="35">
        <v>1</v>
      </c>
      <c r="C753" s="35">
        <v>0</v>
      </c>
      <c r="D753" s="2">
        <f t="shared" si="11"/>
        <v>1</v>
      </c>
    </row>
    <row r="754" spans="1:4" x14ac:dyDescent="0.3">
      <c r="A754" s="34">
        <v>15218</v>
      </c>
      <c r="B754" s="35">
        <v>2</v>
      </c>
      <c r="C754" s="35">
        <v>0</v>
      </c>
      <c r="D754" s="2">
        <f t="shared" si="11"/>
        <v>2</v>
      </c>
    </row>
    <row r="755" spans="1:4" x14ac:dyDescent="0.3">
      <c r="A755" s="34">
        <v>15237</v>
      </c>
      <c r="B755" s="35">
        <v>1</v>
      </c>
      <c r="C755" s="35">
        <v>0</v>
      </c>
      <c r="D755" s="2">
        <f t="shared" si="11"/>
        <v>1</v>
      </c>
    </row>
    <row r="756" spans="1:4" x14ac:dyDescent="0.3">
      <c r="A756" s="34">
        <v>15242</v>
      </c>
      <c r="B756" s="35">
        <v>1</v>
      </c>
      <c r="C756" s="35">
        <v>0</v>
      </c>
      <c r="D756" s="2">
        <f t="shared" si="11"/>
        <v>1</v>
      </c>
    </row>
    <row r="757" spans="1:4" x14ac:dyDescent="0.3">
      <c r="A757" s="34">
        <v>15245</v>
      </c>
      <c r="B757" s="35">
        <v>1</v>
      </c>
      <c r="C757" s="35">
        <v>0</v>
      </c>
      <c r="D757" s="2">
        <f t="shared" si="11"/>
        <v>1</v>
      </c>
    </row>
    <row r="758" spans="1:4" x14ac:dyDescent="0.3">
      <c r="A758" s="34">
        <v>15288</v>
      </c>
      <c r="B758" s="35">
        <v>3</v>
      </c>
      <c r="C758" s="35">
        <v>3</v>
      </c>
      <c r="D758" s="2">
        <f t="shared" si="11"/>
        <v>6</v>
      </c>
    </row>
    <row r="759" spans="1:4" x14ac:dyDescent="0.3">
      <c r="A759" s="34">
        <v>15313</v>
      </c>
      <c r="B759" s="35">
        <v>1</v>
      </c>
      <c r="C759" s="35">
        <v>0</v>
      </c>
      <c r="D759" s="2">
        <f t="shared" si="11"/>
        <v>1</v>
      </c>
    </row>
    <row r="760" spans="1:4" x14ac:dyDescent="0.3">
      <c r="A760" s="34">
        <v>15333</v>
      </c>
      <c r="B760" s="35">
        <v>1</v>
      </c>
      <c r="C760" s="35">
        <v>0</v>
      </c>
      <c r="D760" s="2">
        <f t="shared" si="11"/>
        <v>1</v>
      </c>
    </row>
    <row r="761" spans="1:4" x14ac:dyDescent="0.3">
      <c r="A761" s="34">
        <v>15334</v>
      </c>
      <c r="B761" s="35">
        <v>3</v>
      </c>
      <c r="C761" s="35">
        <v>1</v>
      </c>
      <c r="D761" s="2">
        <f t="shared" si="11"/>
        <v>4</v>
      </c>
    </row>
    <row r="762" spans="1:4" x14ac:dyDescent="0.3">
      <c r="A762" s="34">
        <v>15338</v>
      </c>
      <c r="B762" s="35">
        <v>1</v>
      </c>
      <c r="C762" s="35">
        <v>0</v>
      </c>
      <c r="D762" s="2">
        <f t="shared" si="11"/>
        <v>1</v>
      </c>
    </row>
    <row r="763" spans="1:4" x14ac:dyDescent="0.3">
      <c r="A763" s="34">
        <v>15348</v>
      </c>
      <c r="B763" s="35">
        <v>2</v>
      </c>
      <c r="C763" s="35">
        <v>0</v>
      </c>
      <c r="D763" s="2">
        <f t="shared" si="11"/>
        <v>2</v>
      </c>
    </row>
    <row r="764" spans="1:4" x14ac:dyDescent="0.3">
      <c r="A764" s="34">
        <v>15355</v>
      </c>
      <c r="B764" s="35">
        <v>1</v>
      </c>
      <c r="C764" s="35">
        <v>0</v>
      </c>
      <c r="D764" s="2">
        <f t="shared" si="11"/>
        <v>1</v>
      </c>
    </row>
    <row r="765" spans="1:4" x14ac:dyDescent="0.3">
      <c r="A765" s="34">
        <v>15358</v>
      </c>
      <c r="B765" s="35">
        <v>1</v>
      </c>
      <c r="C765" s="35">
        <v>0</v>
      </c>
      <c r="D765" s="2">
        <f t="shared" si="11"/>
        <v>1</v>
      </c>
    </row>
    <row r="766" spans="1:4" x14ac:dyDescent="0.3">
      <c r="A766" s="34">
        <v>15369</v>
      </c>
      <c r="B766" s="35">
        <v>1</v>
      </c>
      <c r="C766" s="35">
        <v>0</v>
      </c>
      <c r="D766" s="2">
        <f t="shared" si="11"/>
        <v>1</v>
      </c>
    </row>
    <row r="767" spans="1:4" x14ac:dyDescent="0.3">
      <c r="A767" s="34">
        <v>15375</v>
      </c>
      <c r="B767" s="35">
        <v>1</v>
      </c>
      <c r="C767" s="35">
        <v>0</v>
      </c>
      <c r="D767" s="2">
        <f t="shared" si="11"/>
        <v>1</v>
      </c>
    </row>
    <row r="768" spans="1:4" x14ac:dyDescent="0.3">
      <c r="A768" s="34">
        <v>15396</v>
      </c>
      <c r="B768" s="35">
        <v>1</v>
      </c>
      <c r="C768" s="35">
        <v>0</v>
      </c>
      <c r="D768" s="2">
        <f t="shared" si="11"/>
        <v>1</v>
      </c>
    </row>
    <row r="769" spans="1:4" x14ac:dyDescent="0.3">
      <c r="A769" s="34">
        <v>15400</v>
      </c>
      <c r="B769" s="35">
        <v>1</v>
      </c>
      <c r="C769" s="35">
        <v>0</v>
      </c>
      <c r="D769" s="2">
        <f t="shared" si="11"/>
        <v>1</v>
      </c>
    </row>
    <row r="770" spans="1:4" x14ac:dyDescent="0.3">
      <c r="A770" s="34">
        <v>15421</v>
      </c>
      <c r="B770" s="35">
        <v>1</v>
      </c>
      <c r="C770" s="35">
        <v>1</v>
      </c>
      <c r="D770" s="2">
        <f t="shared" si="11"/>
        <v>2</v>
      </c>
    </row>
    <row r="771" spans="1:4" x14ac:dyDescent="0.3">
      <c r="A771" s="34">
        <v>15428</v>
      </c>
      <c r="B771" s="35">
        <v>1</v>
      </c>
      <c r="C771" s="35">
        <v>0</v>
      </c>
      <c r="D771" s="2">
        <f t="shared" ref="D771:D834" si="12">B771+C771</f>
        <v>1</v>
      </c>
    </row>
    <row r="772" spans="1:4" x14ac:dyDescent="0.3">
      <c r="A772" s="34">
        <v>15438</v>
      </c>
      <c r="B772" s="35">
        <v>1</v>
      </c>
      <c r="C772" s="35">
        <v>0</v>
      </c>
      <c r="D772" s="2">
        <f t="shared" si="12"/>
        <v>1</v>
      </c>
    </row>
    <row r="773" spans="1:4" x14ac:dyDescent="0.3">
      <c r="A773" s="34">
        <v>15439</v>
      </c>
      <c r="B773" s="35">
        <v>1</v>
      </c>
      <c r="C773" s="35">
        <v>1</v>
      </c>
      <c r="D773" s="2">
        <f t="shared" si="12"/>
        <v>2</v>
      </c>
    </row>
    <row r="774" spans="1:4" x14ac:dyDescent="0.3">
      <c r="A774" s="34">
        <v>15499</v>
      </c>
      <c r="B774" s="35">
        <v>1</v>
      </c>
      <c r="C774" s="35">
        <v>0</v>
      </c>
      <c r="D774" s="2">
        <f t="shared" si="12"/>
        <v>1</v>
      </c>
    </row>
    <row r="775" spans="1:4" x14ac:dyDescent="0.3">
      <c r="A775" s="34">
        <v>15500</v>
      </c>
      <c r="B775" s="35">
        <v>1</v>
      </c>
      <c r="C775" s="35">
        <v>0</v>
      </c>
      <c r="D775" s="2">
        <f t="shared" si="12"/>
        <v>1</v>
      </c>
    </row>
    <row r="776" spans="1:4" x14ac:dyDescent="0.3">
      <c r="A776" s="34">
        <v>15518</v>
      </c>
      <c r="B776" s="35">
        <v>1</v>
      </c>
      <c r="C776" s="35">
        <v>0</v>
      </c>
      <c r="D776" s="2">
        <f t="shared" si="12"/>
        <v>1</v>
      </c>
    </row>
    <row r="777" spans="1:4" x14ac:dyDescent="0.3">
      <c r="A777" s="34">
        <v>15548</v>
      </c>
      <c r="B777" s="35">
        <v>1</v>
      </c>
      <c r="C777" s="35">
        <v>0</v>
      </c>
      <c r="D777" s="2">
        <f t="shared" si="12"/>
        <v>1</v>
      </c>
    </row>
    <row r="778" spans="1:4" x14ac:dyDescent="0.3">
      <c r="A778" s="34">
        <v>15556</v>
      </c>
      <c r="B778" s="35">
        <v>1</v>
      </c>
      <c r="C778" s="35">
        <v>0</v>
      </c>
      <c r="D778" s="2">
        <f t="shared" si="12"/>
        <v>1</v>
      </c>
    </row>
    <row r="779" spans="1:4" x14ac:dyDescent="0.3">
      <c r="A779" s="34">
        <v>15559</v>
      </c>
      <c r="B779" s="35">
        <v>1</v>
      </c>
      <c r="C779" s="35">
        <v>0</v>
      </c>
      <c r="D779" s="2">
        <f t="shared" si="12"/>
        <v>1</v>
      </c>
    </row>
    <row r="780" spans="1:4" x14ac:dyDescent="0.3">
      <c r="A780" s="34">
        <v>15563</v>
      </c>
      <c r="B780" s="35">
        <v>1</v>
      </c>
      <c r="C780" s="35">
        <v>0</v>
      </c>
      <c r="D780" s="2">
        <f t="shared" si="12"/>
        <v>1</v>
      </c>
    </row>
    <row r="781" spans="1:4" x14ac:dyDescent="0.3">
      <c r="A781" s="34">
        <v>15572</v>
      </c>
      <c r="B781" s="35">
        <v>1</v>
      </c>
      <c r="C781" s="35">
        <v>0</v>
      </c>
      <c r="D781" s="2">
        <f t="shared" si="12"/>
        <v>1</v>
      </c>
    </row>
    <row r="782" spans="1:4" x14ac:dyDescent="0.3">
      <c r="A782" s="34">
        <v>15580</v>
      </c>
      <c r="B782" s="35">
        <v>1</v>
      </c>
      <c r="C782" s="35">
        <v>0</v>
      </c>
      <c r="D782" s="2">
        <f t="shared" si="12"/>
        <v>1</v>
      </c>
    </row>
    <row r="783" spans="1:4" x14ac:dyDescent="0.3">
      <c r="A783" s="34">
        <v>15587</v>
      </c>
      <c r="B783" s="35">
        <v>1</v>
      </c>
      <c r="C783" s="35">
        <v>1</v>
      </c>
      <c r="D783" s="2">
        <f t="shared" si="12"/>
        <v>2</v>
      </c>
    </row>
    <row r="784" spans="1:4" x14ac:dyDescent="0.3">
      <c r="A784" s="34">
        <v>15601</v>
      </c>
      <c r="B784" s="35">
        <v>2</v>
      </c>
      <c r="C784" s="35">
        <v>2</v>
      </c>
      <c r="D784" s="2">
        <f t="shared" si="12"/>
        <v>4</v>
      </c>
    </row>
    <row r="785" spans="1:4" x14ac:dyDescent="0.3">
      <c r="A785" s="34">
        <v>15603</v>
      </c>
      <c r="B785" s="35">
        <v>2</v>
      </c>
      <c r="C785" s="35">
        <v>1</v>
      </c>
      <c r="D785" s="2">
        <f t="shared" si="12"/>
        <v>3</v>
      </c>
    </row>
    <row r="786" spans="1:4" x14ac:dyDescent="0.3">
      <c r="A786" s="34">
        <v>15606</v>
      </c>
      <c r="B786" s="35">
        <v>1</v>
      </c>
      <c r="C786" s="35">
        <v>0</v>
      </c>
      <c r="D786" s="2">
        <f t="shared" si="12"/>
        <v>1</v>
      </c>
    </row>
    <row r="787" spans="1:4" x14ac:dyDescent="0.3">
      <c r="A787" s="34">
        <v>15607</v>
      </c>
      <c r="B787" s="35">
        <v>1</v>
      </c>
      <c r="C787" s="35">
        <v>0</v>
      </c>
      <c r="D787" s="2">
        <f t="shared" si="12"/>
        <v>1</v>
      </c>
    </row>
    <row r="788" spans="1:4" x14ac:dyDescent="0.3">
      <c r="A788" s="34">
        <v>15610</v>
      </c>
      <c r="B788" s="35">
        <v>1</v>
      </c>
      <c r="C788" s="35">
        <v>0</v>
      </c>
      <c r="D788" s="2">
        <f t="shared" si="12"/>
        <v>1</v>
      </c>
    </row>
    <row r="789" spans="1:4" x14ac:dyDescent="0.3">
      <c r="A789" s="34">
        <v>15611</v>
      </c>
      <c r="B789" s="35">
        <v>1</v>
      </c>
      <c r="C789" s="35">
        <v>1</v>
      </c>
      <c r="D789" s="2">
        <f t="shared" si="12"/>
        <v>2</v>
      </c>
    </row>
    <row r="790" spans="1:4" x14ac:dyDescent="0.3">
      <c r="A790" s="34">
        <v>15637</v>
      </c>
      <c r="B790" s="35">
        <v>1</v>
      </c>
      <c r="C790" s="35">
        <v>0</v>
      </c>
      <c r="D790" s="2">
        <f t="shared" si="12"/>
        <v>1</v>
      </c>
    </row>
    <row r="791" spans="1:4" x14ac:dyDescent="0.3">
      <c r="A791" s="34">
        <v>15643</v>
      </c>
      <c r="B791" s="35">
        <v>1</v>
      </c>
      <c r="C791" s="35">
        <v>0</v>
      </c>
      <c r="D791" s="2">
        <f t="shared" si="12"/>
        <v>1</v>
      </c>
    </row>
    <row r="792" spans="1:4" x14ac:dyDescent="0.3">
      <c r="A792" s="34">
        <v>15644</v>
      </c>
      <c r="B792" s="35">
        <v>1</v>
      </c>
      <c r="C792" s="35">
        <v>0</v>
      </c>
      <c r="D792" s="2">
        <f t="shared" si="12"/>
        <v>1</v>
      </c>
    </row>
    <row r="793" spans="1:4" x14ac:dyDescent="0.3">
      <c r="A793" s="34">
        <v>15645</v>
      </c>
      <c r="B793" s="35">
        <v>1</v>
      </c>
      <c r="C793" s="35">
        <v>0</v>
      </c>
      <c r="D793" s="2">
        <f t="shared" si="12"/>
        <v>1</v>
      </c>
    </row>
    <row r="794" spans="1:4" x14ac:dyDescent="0.3">
      <c r="A794" s="34">
        <v>15654</v>
      </c>
      <c r="B794" s="35">
        <v>1</v>
      </c>
      <c r="C794" s="35">
        <v>0</v>
      </c>
      <c r="D794" s="2">
        <f t="shared" si="12"/>
        <v>1</v>
      </c>
    </row>
    <row r="795" spans="1:4" x14ac:dyDescent="0.3">
      <c r="A795" s="34">
        <v>15658</v>
      </c>
      <c r="B795" s="35">
        <v>1</v>
      </c>
      <c r="C795" s="35">
        <v>0</v>
      </c>
      <c r="D795" s="2">
        <f t="shared" si="12"/>
        <v>1</v>
      </c>
    </row>
    <row r="796" spans="1:4" x14ac:dyDescent="0.3">
      <c r="A796" s="34">
        <v>15662</v>
      </c>
      <c r="B796" s="35">
        <v>1</v>
      </c>
      <c r="C796" s="35">
        <v>0</v>
      </c>
      <c r="D796" s="2">
        <f t="shared" si="12"/>
        <v>1</v>
      </c>
    </row>
    <row r="797" spans="1:4" x14ac:dyDescent="0.3">
      <c r="A797" s="34">
        <v>15675</v>
      </c>
      <c r="B797" s="35">
        <v>1</v>
      </c>
      <c r="C797" s="35">
        <v>0</v>
      </c>
      <c r="D797" s="2">
        <f t="shared" si="12"/>
        <v>1</v>
      </c>
    </row>
    <row r="798" spans="1:4" x14ac:dyDescent="0.3">
      <c r="A798" s="34">
        <v>15679</v>
      </c>
      <c r="B798" s="35">
        <v>1</v>
      </c>
      <c r="C798" s="35">
        <v>0</v>
      </c>
      <c r="D798" s="2">
        <f t="shared" si="12"/>
        <v>1</v>
      </c>
    </row>
    <row r="799" spans="1:4" x14ac:dyDescent="0.3">
      <c r="A799" s="34">
        <v>15688</v>
      </c>
      <c r="B799" s="35">
        <v>1</v>
      </c>
      <c r="C799" s="35">
        <v>1</v>
      </c>
      <c r="D799" s="2">
        <f t="shared" si="12"/>
        <v>2</v>
      </c>
    </row>
    <row r="800" spans="1:4" x14ac:dyDescent="0.3">
      <c r="A800" s="34">
        <v>15689</v>
      </c>
      <c r="B800" s="35">
        <v>1</v>
      </c>
      <c r="C800" s="35">
        <v>0</v>
      </c>
      <c r="D800" s="2">
        <f t="shared" si="12"/>
        <v>1</v>
      </c>
    </row>
    <row r="801" spans="1:4" x14ac:dyDescent="0.3">
      <c r="A801" s="34">
        <v>15690</v>
      </c>
      <c r="B801" s="35">
        <v>1</v>
      </c>
      <c r="C801" s="35">
        <v>0</v>
      </c>
      <c r="D801" s="2">
        <f t="shared" si="12"/>
        <v>1</v>
      </c>
    </row>
    <row r="802" spans="1:4" x14ac:dyDescent="0.3">
      <c r="A802" s="34">
        <v>15712</v>
      </c>
      <c r="B802" s="35">
        <v>1</v>
      </c>
      <c r="C802" s="35">
        <v>0</v>
      </c>
      <c r="D802" s="2">
        <f t="shared" si="12"/>
        <v>1</v>
      </c>
    </row>
    <row r="803" spans="1:4" x14ac:dyDescent="0.3">
      <c r="A803" s="34">
        <v>15717</v>
      </c>
      <c r="B803" s="35">
        <v>1</v>
      </c>
      <c r="C803" s="35">
        <v>0</v>
      </c>
      <c r="D803" s="2">
        <f t="shared" si="12"/>
        <v>1</v>
      </c>
    </row>
    <row r="804" spans="1:4" x14ac:dyDescent="0.3">
      <c r="A804" s="34">
        <v>15718</v>
      </c>
      <c r="B804" s="35">
        <v>1</v>
      </c>
      <c r="C804" s="35">
        <v>0</v>
      </c>
      <c r="D804" s="2">
        <f t="shared" si="12"/>
        <v>1</v>
      </c>
    </row>
    <row r="805" spans="1:4" x14ac:dyDescent="0.3">
      <c r="A805" s="34">
        <v>15725</v>
      </c>
      <c r="B805" s="35">
        <v>1</v>
      </c>
      <c r="C805" s="35">
        <v>0</v>
      </c>
      <c r="D805" s="2">
        <f t="shared" si="12"/>
        <v>1</v>
      </c>
    </row>
    <row r="806" spans="1:4" x14ac:dyDescent="0.3">
      <c r="A806" s="34">
        <v>15726</v>
      </c>
      <c r="B806" s="35">
        <v>1</v>
      </c>
      <c r="C806" s="35">
        <v>1</v>
      </c>
      <c r="D806" s="2">
        <f t="shared" si="12"/>
        <v>2</v>
      </c>
    </row>
    <row r="807" spans="1:4" x14ac:dyDescent="0.3">
      <c r="A807" s="34">
        <v>15728</v>
      </c>
      <c r="B807" s="35">
        <v>1</v>
      </c>
      <c r="C807" s="35">
        <v>0</v>
      </c>
      <c r="D807" s="2">
        <f t="shared" si="12"/>
        <v>1</v>
      </c>
    </row>
    <row r="808" spans="1:4" x14ac:dyDescent="0.3">
      <c r="A808" s="34">
        <v>15729</v>
      </c>
      <c r="B808" s="35">
        <v>1</v>
      </c>
      <c r="C808" s="35">
        <v>0</v>
      </c>
      <c r="D808" s="2">
        <f t="shared" si="12"/>
        <v>1</v>
      </c>
    </row>
    <row r="809" spans="1:4" x14ac:dyDescent="0.3">
      <c r="A809" s="34">
        <v>15734</v>
      </c>
      <c r="B809" s="35">
        <v>1</v>
      </c>
      <c r="C809" s="35">
        <v>0</v>
      </c>
      <c r="D809" s="2">
        <f t="shared" si="12"/>
        <v>1</v>
      </c>
    </row>
    <row r="810" spans="1:4" x14ac:dyDescent="0.3">
      <c r="A810" s="34">
        <v>15736</v>
      </c>
      <c r="B810" s="35">
        <v>1</v>
      </c>
      <c r="C810" s="35">
        <v>0</v>
      </c>
      <c r="D810" s="2">
        <f t="shared" si="12"/>
        <v>1</v>
      </c>
    </row>
    <row r="811" spans="1:4" x14ac:dyDescent="0.3">
      <c r="A811" s="34">
        <v>15741</v>
      </c>
      <c r="B811" s="35">
        <v>1</v>
      </c>
      <c r="C811" s="35">
        <v>1</v>
      </c>
      <c r="D811" s="2">
        <f t="shared" si="12"/>
        <v>2</v>
      </c>
    </row>
    <row r="812" spans="1:4" x14ac:dyDescent="0.3">
      <c r="A812" s="34">
        <v>15807</v>
      </c>
      <c r="B812" s="35">
        <v>1</v>
      </c>
      <c r="C812" s="35">
        <v>1</v>
      </c>
      <c r="D812" s="2">
        <f t="shared" si="12"/>
        <v>2</v>
      </c>
    </row>
    <row r="813" spans="1:4" x14ac:dyDescent="0.3">
      <c r="A813" s="34">
        <v>15808</v>
      </c>
      <c r="B813" s="35">
        <v>1</v>
      </c>
      <c r="C813" s="35">
        <v>0</v>
      </c>
      <c r="D813" s="2">
        <f t="shared" si="12"/>
        <v>1</v>
      </c>
    </row>
    <row r="814" spans="1:4" x14ac:dyDescent="0.3">
      <c r="A814" s="34">
        <v>15825</v>
      </c>
      <c r="B814" s="35">
        <v>2</v>
      </c>
      <c r="C814" s="35">
        <v>0</v>
      </c>
      <c r="D814" s="2">
        <f t="shared" si="12"/>
        <v>2</v>
      </c>
    </row>
    <row r="815" spans="1:4" x14ac:dyDescent="0.3">
      <c r="A815" s="34">
        <v>15841</v>
      </c>
      <c r="B815" s="35">
        <v>1</v>
      </c>
      <c r="C815" s="35">
        <v>0</v>
      </c>
      <c r="D815" s="2">
        <f t="shared" si="12"/>
        <v>1</v>
      </c>
    </row>
    <row r="816" spans="1:4" x14ac:dyDescent="0.3">
      <c r="A816" s="34">
        <v>15851</v>
      </c>
      <c r="B816" s="35">
        <v>1</v>
      </c>
      <c r="C816" s="35">
        <v>0</v>
      </c>
      <c r="D816" s="2">
        <f t="shared" si="12"/>
        <v>1</v>
      </c>
    </row>
    <row r="817" spans="1:4" x14ac:dyDescent="0.3">
      <c r="A817" s="34">
        <v>15858</v>
      </c>
      <c r="B817" s="35">
        <v>1</v>
      </c>
      <c r="C817" s="35">
        <v>0</v>
      </c>
      <c r="D817" s="2">
        <f t="shared" si="12"/>
        <v>1</v>
      </c>
    </row>
    <row r="818" spans="1:4" x14ac:dyDescent="0.3">
      <c r="A818" s="34">
        <v>15873</v>
      </c>
      <c r="B818" s="35">
        <v>1</v>
      </c>
      <c r="C818" s="35">
        <v>0</v>
      </c>
      <c r="D818" s="2">
        <f t="shared" si="12"/>
        <v>1</v>
      </c>
    </row>
    <row r="819" spans="1:4" x14ac:dyDescent="0.3">
      <c r="A819" s="34">
        <v>15876</v>
      </c>
      <c r="B819" s="35">
        <v>1</v>
      </c>
      <c r="C819" s="35">
        <v>1</v>
      </c>
      <c r="D819" s="2">
        <f t="shared" si="12"/>
        <v>2</v>
      </c>
    </row>
    <row r="820" spans="1:4" x14ac:dyDescent="0.3">
      <c r="A820" s="34">
        <v>15903</v>
      </c>
      <c r="B820" s="35">
        <v>1</v>
      </c>
      <c r="C820" s="35">
        <v>0</v>
      </c>
      <c r="D820" s="2">
        <f t="shared" si="12"/>
        <v>1</v>
      </c>
    </row>
    <row r="821" spans="1:4" x14ac:dyDescent="0.3">
      <c r="A821" s="34">
        <v>15904</v>
      </c>
      <c r="B821" s="35">
        <v>1</v>
      </c>
      <c r="C821" s="35">
        <v>1</v>
      </c>
      <c r="D821" s="2">
        <f t="shared" si="12"/>
        <v>2</v>
      </c>
    </row>
    <row r="822" spans="1:4" x14ac:dyDescent="0.3">
      <c r="A822" s="34">
        <v>15905</v>
      </c>
      <c r="B822" s="35">
        <v>1</v>
      </c>
      <c r="C822" s="35">
        <v>1</v>
      </c>
      <c r="D822" s="2">
        <f t="shared" si="12"/>
        <v>2</v>
      </c>
    </row>
    <row r="823" spans="1:4" x14ac:dyDescent="0.3">
      <c r="A823" s="34">
        <v>15908</v>
      </c>
      <c r="B823" s="35">
        <v>1</v>
      </c>
      <c r="C823" s="35">
        <v>0</v>
      </c>
      <c r="D823" s="2">
        <f t="shared" si="12"/>
        <v>1</v>
      </c>
    </row>
    <row r="824" spans="1:4" x14ac:dyDescent="0.3">
      <c r="A824" s="34">
        <v>15917</v>
      </c>
      <c r="B824" s="35">
        <v>1</v>
      </c>
      <c r="C824" s="35">
        <v>0</v>
      </c>
      <c r="D824" s="2">
        <f t="shared" si="12"/>
        <v>1</v>
      </c>
    </row>
    <row r="825" spans="1:4" x14ac:dyDescent="0.3">
      <c r="A825" s="34">
        <v>15921</v>
      </c>
      <c r="B825" s="35">
        <v>1</v>
      </c>
      <c r="C825" s="35">
        <v>0</v>
      </c>
      <c r="D825" s="2">
        <f t="shared" si="12"/>
        <v>1</v>
      </c>
    </row>
    <row r="826" spans="1:4" x14ac:dyDescent="0.3">
      <c r="A826" s="34">
        <v>15925</v>
      </c>
      <c r="B826" s="35">
        <v>1</v>
      </c>
      <c r="C826" s="35">
        <v>0</v>
      </c>
      <c r="D826" s="2">
        <f t="shared" si="12"/>
        <v>1</v>
      </c>
    </row>
    <row r="827" spans="1:4" x14ac:dyDescent="0.3">
      <c r="A827" s="34">
        <v>15948</v>
      </c>
      <c r="B827" s="35">
        <v>1</v>
      </c>
      <c r="C827" s="35">
        <v>0</v>
      </c>
      <c r="D827" s="2">
        <f t="shared" si="12"/>
        <v>1</v>
      </c>
    </row>
    <row r="828" spans="1:4" x14ac:dyDescent="0.3">
      <c r="A828" s="34">
        <v>15950</v>
      </c>
      <c r="B828" s="35">
        <v>1</v>
      </c>
      <c r="C828" s="35">
        <v>0</v>
      </c>
      <c r="D828" s="2">
        <f t="shared" si="12"/>
        <v>1</v>
      </c>
    </row>
    <row r="829" spans="1:4" x14ac:dyDescent="0.3">
      <c r="A829" s="34">
        <v>15956</v>
      </c>
      <c r="B829" s="35">
        <v>1</v>
      </c>
      <c r="C829" s="35">
        <v>0</v>
      </c>
      <c r="D829" s="2">
        <f t="shared" si="12"/>
        <v>1</v>
      </c>
    </row>
    <row r="830" spans="1:4" x14ac:dyDescent="0.3">
      <c r="A830" s="34">
        <v>15958</v>
      </c>
      <c r="B830" s="35">
        <v>2</v>
      </c>
      <c r="C830" s="35">
        <v>1</v>
      </c>
      <c r="D830" s="2">
        <f t="shared" si="12"/>
        <v>3</v>
      </c>
    </row>
    <row r="831" spans="1:4" x14ac:dyDescent="0.3">
      <c r="A831" s="34">
        <v>15959</v>
      </c>
      <c r="B831" s="35">
        <v>2</v>
      </c>
      <c r="C831" s="35">
        <v>2</v>
      </c>
      <c r="D831" s="2">
        <f t="shared" si="12"/>
        <v>4</v>
      </c>
    </row>
    <row r="832" spans="1:4" x14ac:dyDescent="0.3">
      <c r="A832" s="34">
        <v>15960</v>
      </c>
      <c r="B832" s="35">
        <v>1</v>
      </c>
      <c r="C832" s="35">
        <v>0</v>
      </c>
      <c r="D832" s="2">
        <f t="shared" si="12"/>
        <v>1</v>
      </c>
    </row>
    <row r="833" spans="1:4" x14ac:dyDescent="0.3">
      <c r="A833" s="34">
        <v>15962</v>
      </c>
      <c r="B833" s="35">
        <v>2</v>
      </c>
      <c r="C833" s="35">
        <v>1</v>
      </c>
      <c r="D833" s="2">
        <f t="shared" si="12"/>
        <v>3</v>
      </c>
    </row>
    <row r="834" spans="1:4" x14ac:dyDescent="0.3">
      <c r="A834" s="34">
        <v>15970</v>
      </c>
      <c r="B834" s="35">
        <v>1</v>
      </c>
      <c r="C834" s="35">
        <v>0</v>
      </c>
      <c r="D834" s="2">
        <f t="shared" si="12"/>
        <v>1</v>
      </c>
    </row>
    <row r="835" spans="1:4" x14ac:dyDescent="0.3">
      <c r="A835" s="34">
        <v>16004</v>
      </c>
      <c r="B835" s="35">
        <v>1</v>
      </c>
      <c r="C835" s="35">
        <v>0</v>
      </c>
      <c r="D835" s="2">
        <f t="shared" ref="D835:D898" si="13">B835+C835</f>
        <v>1</v>
      </c>
    </row>
    <row r="836" spans="1:4" x14ac:dyDescent="0.3">
      <c r="A836" s="34">
        <v>16008</v>
      </c>
      <c r="B836" s="35">
        <v>2</v>
      </c>
      <c r="C836" s="35">
        <v>1</v>
      </c>
      <c r="D836" s="2">
        <f t="shared" si="13"/>
        <v>3</v>
      </c>
    </row>
    <row r="837" spans="1:4" x14ac:dyDescent="0.3">
      <c r="A837" s="34">
        <v>16010</v>
      </c>
      <c r="B837" s="35">
        <v>1</v>
      </c>
      <c r="C837" s="35">
        <v>0</v>
      </c>
      <c r="D837" s="2">
        <f t="shared" si="13"/>
        <v>1</v>
      </c>
    </row>
    <row r="838" spans="1:4" x14ac:dyDescent="0.3">
      <c r="A838" s="34">
        <v>16013</v>
      </c>
      <c r="B838" s="35">
        <v>2</v>
      </c>
      <c r="C838" s="35">
        <v>2</v>
      </c>
      <c r="D838" s="2">
        <f t="shared" si="13"/>
        <v>4</v>
      </c>
    </row>
    <row r="839" spans="1:4" x14ac:dyDescent="0.3">
      <c r="A839" s="34">
        <v>16014</v>
      </c>
      <c r="B839" s="35">
        <v>1</v>
      </c>
      <c r="C839" s="35">
        <v>0</v>
      </c>
      <c r="D839" s="2">
        <f t="shared" si="13"/>
        <v>1</v>
      </c>
    </row>
    <row r="840" spans="1:4" x14ac:dyDescent="0.3">
      <c r="A840" s="34">
        <v>16025</v>
      </c>
      <c r="B840" s="35">
        <v>1</v>
      </c>
      <c r="C840" s="35">
        <v>0</v>
      </c>
      <c r="D840" s="2">
        <f t="shared" si="13"/>
        <v>1</v>
      </c>
    </row>
    <row r="841" spans="1:4" x14ac:dyDescent="0.3">
      <c r="A841" s="34">
        <v>16029</v>
      </c>
      <c r="B841" s="35">
        <v>1</v>
      </c>
      <c r="C841" s="35">
        <v>0</v>
      </c>
      <c r="D841" s="2">
        <f t="shared" si="13"/>
        <v>1</v>
      </c>
    </row>
    <row r="842" spans="1:4" x14ac:dyDescent="0.3">
      <c r="A842" s="34">
        <v>16036</v>
      </c>
      <c r="B842" s="35">
        <v>1</v>
      </c>
      <c r="C842" s="35">
        <v>0</v>
      </c>
      <c r="D842" s="2">
        <f t="shared" si="13"/>
        <v>1</v>
      </c>
    </row>
    <row r="843" spans="1:4" x14ac:dyDescent="0.3">
      <c r="A843" s="34">
        <v>16044</v>
      </c>
      <c r="B843" s="35">
        <v>1</v>
      </c>
      <c r="C843" s="35">
        <v>0</v>
      </c>
      <c r="D843" s="2">
        <f t="shared" si="13"/>
        <v>1</v>
      </c>
    </row>
    <row r="844" spans="1:4" x14ac:dyDescent="0.3">
      <c r="A844" s="34">
        <v>16079</v>
      </c>
      <c r="B844" s="35">
        <v>1</v>
      </c>
      <c r="C844" s="35">
        <v>0</v>
      </c>
      <c r="D844" s="2">
        <f t="shared" si="13"/>
        <v>1</v>
      </c>
    </row>
    <row r="845" spans="1:4" x14ac:dyDescent="0.3">
      <c r="A845" s="34">
        <v>16084</v>
      </c>
      <c r="B845" s="35">
        <v>3</v>
      </c>
      <c r="C845" s="35">
        <v>2</v>
      </c>
      <c r="D845" s="2">
        <f t="shared" si="13"/>
        <v>5</v>
      </c>
    </row>
    <row r="846" spans="1:4" x14ac:dyDescent="0.3">
      <c r="A846" s="34">
        <v>16089</v>
      </c>
      <c r="B846" s="35">
        <v>1</v>
      </c>
      <c r="C846" s="35">
        <v>0</v>
      </c>
      <c r="D846" s="2">
        <f t="shared" si="13"/>
        <v>1</v>
      </c>
    </row>
    <row r="847" spans="1:4" x14ac:dyDescent="0.3">
      <c r="A847" s="34">
        <v>16095</v>
      </c>
      <c r="B847" s="35">
        <v>2</v>
      </c>
      <c r="C847" s="35">
        <v>0</v>
      </c>
      <c r="D847" s="2">
        <f t="shared" si="13"/>
        <v>2</v>
      </c>
    </row>
    <row r="848" spans="1:4" x14ac:dyDescent="0.3">
      <c r="A848" s="34">
        <v>16099</v>
      </c>
      <c r="B848" s="35">
        <v>1</v>
      </c>
      <c r="C848" s="35">
        <v>0</v>
      </c>
      <c r="D848" s="2">
        <f t="shared" si="13"/>
        <v>1</v>
      </c>
    </row>
    <row r="849" spans="1:4" x14ac:dyDescent="0.3">
      <c r="A849" s="34">
        <v>16104</v>
      </c>
      <c r="B849" s="35">
        <v>2</v>
      </c>
      <c r="C849" s="35">
        <v>0</v>
      </c>
      <c r="D849" s="2">
        <f t="shared" si="13"/>
        <v>2</v>
      </c>
    </row>
    <row r="850" spans="1:4" x14ac:dyDescent="0.3">
      <c r="A850" s="34">
        <v>16110</v>
      </c>
      <c r="B850" s="35">
        <v>1</v>
      </c>
      <c r="C850" s="35">
        <v>0</v>
      </c>
      <c r="D850" s="2">
        <f t="shared" si="13"/>
        <v>1</v>
      </c>
    </row>
    <row r="851" spans="1:4" x14ac:dyDescent="0.3">
      <c r="A851" s="34">
        <v>16115</v>
      </c>
      <c r="B851" s="35">
        <v>1</v>
      </c>
      <c r="C851" s="35">
        <v>1</v>
      </c>
      <c r="D851" s="2">
        <f t="shared" si="13"/>
        <v>2</v>
      </c>
    </row>
    <row r="852" spans="1:4" x14ac:dyDescent="0.3">
      <c r="A852" s="34">
        <v>16125</v>
      </c>
      <c r="B852" s="35">
        <v>1</v>
      </c>
      <c r="C852" s="35">
        <v>0</v>
      </c>
      <c r="D852" s="2">
        <f t="shared" si="13"/>
        <v>1</v>
      </c>
    </row>
    <row r="853" spans="1:4" x14ac:dyDescent="0.3">
      <c r="A853" s="34">
        <v>16136</v>
      </c>
      <c r="B853" s="35">
        <v>3</v>
      </c>
      <c r="C853" s="35">
        <v>0</v>
      </c>
      <c r="D853" s="2">
        <f t="shared" si="13"/>
        <v>3</v>
      </c>
    </row>
    <row r="854" spans="1:4" x14ac:dyDescent="0.3">
      <c r="A854" s="34">
        <v>16141</v>
      </c>
      <c r="B854" s="35">
        <v>1</v>
      </c>
      <c r="C854" s="35">
        <v>0</v>
      </c>
      <c r="D854" s="2">
        <f t="shared" si="13"/>
        <v>1</v>
      </c>
    </row>
    <row r="855" spans="1:4" x14ac:dyDescent="0.3">
      <c r="A855" s="34">
        <v>16166</v>
      </c>
      <c r="B855" s="35">
        <v>1</v>
      </c>
      <c r="C855" s="35">
        <v>0</v>
      </c>
      <c r="D855" s="2">
        <f t="shared" si="13"/>
        <v>1</v>
      </c>
    </row>
    <row r="856" spans="1:4" x14ac:dyDescent="0.3">
      <c r="A856" s="34">
        <v>16169</v>
      </c>
      <c r="B856" s="35">
        <v>1</v>
      </c>
      <c r="C856" s="35">
        <v>0</v>
      </c>
      <c r="D856" s="2">
        <f t="shared" si="13"/>
        <v>1</v>
      </c>
    </row>
    <row r="857" spans="1:4" x14ac:dyDescent="0.3">
      <c r="A857" s="34">
        <v>16174</v>
      </c>
      <c r="B857" s="35">
        <v>1</v>
      </c>
      <c r="C857" s="35">
        <v>0</v>
      </c>
      <c r="D857" s="2">
        <f t="shared" si="13"/>
        <v>1</v>
      </c>
    </row>
    <row r="858" spans="1:4" x14ac:dyDescent="0.3">
      <c r="A858" s="34">
        <v>16175</v>
      </c>
      <c r="B858" s="35">
        <v>1</v>
      </c>
      <c r="C858" s="35">
        <v>0</v>
      </c>
      <c r="D858" s="2">
        <f t="shared" si="13"/>
        <v>1</v>
      </c>
    </row>
    <row r="859" spans="1:4" x14ac:dyDescent="0.3">
      <c r="A859" s="34">
        <v>16180</v>
      </c>
      <c r="B859" s="35">
        <v>4</v>
      </c>
      <c r="C859" s="35">
        <v>2</v>
      </c>
      <c r="D859" s="2">
        <f t="shared" si="13"/>
        <v>6</v>
      </c>
    </row>
    <row r="860" spans="1:4" x14ac:dyDescent="0.3">
      <c r="A860" s="34">
        <v>16194</v>
      </c>
      <c r="B860" s="35">
        <v>1</v>
      </c>
      <c r="C860" s="35">
        <v>0</v>
      </c>
      <c r="D860" s="2">
        <f t="shared" si="13"/>
        <v>1</v>
      </c>
    </row>
    <row r="861" spans="1:4" x14ac:dyDescent="0.3">
      <c r="A861" s="34">
        <v>16203</v>
      </c>
      <c r="B861" s="35">
        <v>1</v>
      </c>
      <c r="C861" s="35">
        <v>0</v>
      </c>
      <c r="D861" s="2">
        <f t="shared" si="13"/>
        <v>1</v>
      </c>
    </row>
    <row r="862" spans="1:4" x14ac:dyDescent="0.3">
      <c r="A862" s="34">
        <v>16215</v>
      </c>
      <c r="B862" s="35">
        <v>1</v>
      </c>
      <c r="C862" s="35">
        <v>0</v>
      </c>
      <c r="D862" s="2">
        <f t="shared" si="13"/>
        <v>1</v>
      </c>
    </row>
    <row r="863" spans="1:4" x14ac:dyDescent="0.3">
      <c r="A863" s="34">
        <v>16216</v>
      </c>
      <c r="B863" s="35">
        <v>1</v>
      </c>
      <c r="C863" s="35">
        <v>1</v>
      </c>
      <c r="D863" s="2">
        <f t="shared" si="13"/>
        <v>2</v>
      </c>
    </row>
    <row r="864" spans="1:4" x14ac:dyDescent="0.3">
      <c r="A864" s="34">
        <v>16228</v>
      </c>
      <c r="B864" s="35">
        <v>4</v>
      </c>
      <c r="C864" s="35">
        <v>0</v>
      </c>
      <c r="D864" s="2">
        <f t="shared" si="13"/>
        <v>4</v>
      </c>
    </row>
    <row r="865" spans="1:4" x14ac:dyDescent="0.3">
      <c r="A865" s="34">
        <v>16229</v>
      </c>
      <c r="B865" s="35">
        <v>3</v>
      </c>
      <c r="C865" s="35">
        <v>0</v>
      </c>
      <c r="D865" s="2">
        <f t="shared" si="13"/>
        <v>3</v>
      </c>
    </row>
    <row r="866" spans="1:4" x14ac:dyDescent="0.3">
      <c r="A866" s="34">
        <v>16231</v>
      </c>
      <c r="B866" s="35">
        <v>1</v>
      </c>
      <c r="C866" s="35">
        <v>0</v>
      </c>
      <c r="D866" s="2">
        <f t="shared" si="13"/>
        <v>1</v>
      </c>
    </row>
    <row r="867" spans="1:4" x14ac:dyDescent="0.3">
      <c r="A867" s="34">
        <v>16232</v>
      </c>
      <c r="B867" s="35">
        <v>2</v>
      </c>
      <c r="C867" s="35">
        <v>0</v>
      </c>
      <c r="D867" s="2">
        <f t="shared" si="13"/>
        <v>2</v>
      </c>
    </row>
    <row r="868" spans="1:4" x14ac:dyDescent="0.3">
      <c r="A868" s="34">
        <v>16238</v>
      </c>
      <c r="B868" s="35">
        <v>1</v>
      </c>
      <c r="C868" s="35">
        <v>0</v>
      </c>
      <c r="D868" s="2">
        <f t="shared" si="13"/>
        <v>1</v>
      </c>
    </row>
    <row r="869" spans="1:4" x14ac:dyDescent="0.3">
      <c r="A869" s="34">
        <v>16242</v>
      </c>
      <c r="B869" s="35">
        <v>1</v>
      </c>
      <c r="C869" s="35">
        <v>0</v>
      </c>
      <c r="D869" s="2">
        <f t="shared" si="13"/>
        <v>1</v>
      </c>
    </row>
    <row r="870" spans="1:4" x14ac:dyDescent="0.3">
      <c r="A870" s="34">
        <v>16253</v>
      </c>
      <c r="B870" s="35">
        <v>2</v>
      </c>
      <c r="C870" s="35">
        <v>0</v>
      </c>
      <c r="D870" s="2">
        <f t="shared" si="13"/>
        <v>2</v>
      </c>
    </row>
    <row r="871" spans="1:4" x14ac:dyDescent="0.3">
      <c r="A871" s="34">
        <v>16255</v>
      </c>
      <c r="B871" s="35">
        <v>1</v>
      </c>
      <c r="C871" s="35">
        <v>1</v>
      </c>
      <c r="D871" s="2">
        <f t="shared" si="13"/>
        <v>2</v>
      </c>
    </row>
    <row r="872" spans="1:4" x14ac:dyDescent="0.3">
      <c r="A872" s="34">
        <v>16269</v>
      </c>
      <c r="B872" s="35">
        <v>1</v>
      </c>
      <c r="C872" s="35">
        <v>0</v>
      </c>
      <c r="D872" s="2">
        <f t="shared" si="13"/>
        <v>1</v>
      </c>
    </row>
    <row r="873" spans="1:4" x14ac:dyDescent="0.3">
      <c r="A873" s="34">
        <v>16270</v>
      </c>
      <c r="B873" s="35">
        <v>1</v>
      </c>
      <c r="C873" s="35">
        <v>0</v>
      </c>
      <c r="D873" s="2">
        <f t="shared" si="13"/>
        <v>1</v>
      </c>
    </row>
    <row r="874" spans="1:4" x14ac:dyDescent="0.3">
      <c r="A874" s="34">
        <v>16273</v>
      </c>
      <c r="B874" s="35">
        <v>1</v>
      </c>
      <c r="C874" s="35">
        <v>0</v>
      </c>
      <c r="D874" s="2">
        <f t="shared" si="13"/>
        <v>1</v>
      </c>
    </row>
    <row r="875" spans="1:4" x14ac:dyDescent="0.3">
      <c r="A875" s="34">
        <v>16275</v>
      </c>
      <c r="B875" s="35">
        <v>1</v>
      </c>
      <c r="C875" s="35">
        <v>0</v>
      </c>
      <c r="D875" s="2">
        <f t="shared" si="13"/>
        <v>1</v>
      </c>
    </row>
    <row r="876" spans="1:4" x14ac:dyDescent="0.3">
      <c r="A876" s="34">
        <v>16289</v>
      </c>
      <c r="B876" s="35">
        <v>1</v>
      </c>
      <c r="C876" s="35">
        <v>0</v>
      </c>
      <c r="D876" s="2">
        <f t="shared" si="13"/>
        <v>1</v>
      </c>
    </row>
    <row r="877" spans="1:4" x14ac:dyDescent="0.3">
      <c r="A877" s="34">
        <v>16290</v>
      </c>
      <c r="B877" s="35">
        <v>1</v>
      </c>
      <c r="C877" s="35">
        <v>0</v>
      </c>
      <c r="D877" s="2">
        <f t="shared" si="13"/>
        <v>1</v>
      </c>
    </row>
    <row r="878" spans="1:4" x14ac:dyDescent="0.3">
      <c r="A878" s="34">
        <v>16292</v>
      </c>
      <c r="B878" s="35">
        <v>1</v>
      </c>
      <c r="C878" s="35">
        <v>0</v>
      </c>
      <c r="D878" s="2">
        <f t="shared" si="13"/>
        <v>1</v>
      </c>
    </row>
    <row r="879" spans="1:4" x14ac:dyDescent="0.3">
      <c r="A879" s="34">
        <v>16301</v>
      </c>
      <c r="B879" s="35">
        <v>1</v>
      </c>
      <c r="C879" s="35">
        <v>0</v>
      </c>
      <c r="D879" s="2">
        <f t="shared" si="13"/>
        <v>1</v>
      </c>
    </row>
    <row r="880" spans="1:4" x14ac:dyDescent="0.3">
      <c r="A880" s="34">
        <v>16308</v>
      </c>
      <c r="B880" s="35">
        <v>2</v>
      </c>
      <c r="C880" s="35">
        <v>0</v>
      </c>
      <c r="D880" s="2">
        <f t="shared" si="13"/>
        <v>2</v>
      </c>
    </row>
    <row r="881" spans="1:4" x14ac:dyDescent="0.3">
      <c r="A881" s="34">
        <v>16312</v>
      </c>
      <c r="B881" s="35">
        <v>1</v>
      </c>
      <c r="C881" s="35">
        <v>0</v>
      </c>
      <c r="D881" s="2">
        <f t="shared" si="13"/>
        <v>1</v>
      </c>
    </row>
    <row r="882" spans="1:4" x14ac:dyDescent="0.3">
      <c r="A882" s="34">
        <v>16313</v>
      </c>
      <c r="B882" s="35">
        <v>1</v>
      </c>
      <c r="C882" s="35">
        <v>0</v>
      </c>
      <c r="D882" s="2">
        <f t="shared" si="13"/>
        <v>1</v>
      </c>
    </row>
    <row r="883" spans="1:4" x14ac:dyDescent="0.3">
      <c r="A883" s="34">
        <v>16320</v>
      </c>
      <c r="B883" s="35">
        <v>1</v>
      </c>
      <c r="C883" s="35">
        <v>0</v>
      </c>
      <c r="D883" s="2">
        <f t="shared" si="13"/>
        <v>1</v>
      </c>
    </row>
    <row r="884" spans="1:4" x14ac:dyDescent="0.3">
      <c r="A884" s="34">
        <v>16325</v>
      </c>
      <c r="B884" s="35">
        <v>2</v>
      </c>
      <c r="C884" s="35">
        <v>0</v>
      </c>
      <c r="D884" s="2">
        <f t="shared" si="13"/>
        <v>2</v>
      </c>
    </row>
    <row r="885" spans="1:4" x14ac:dyDescent="0.3">
      <c r="A885" s="34">
        <v>16327</v>
      </c>
      <c r="B885" s="35">
        <v>1</v>
      </c>
      <c r="C885" s="35">
        <v>0</v>
      </c>
      <c r="D885" s="2">
        <f t="shared" si="13"/>
        <v>1</v>
      </c>
    </row>
    <row r="886" spans="1:4" x14ac:dyDescent="0.3">
      <c r="A886" s="34">
        <v>16328</v>
      </c>
      <c r="B886" s="35">
        <v>1</v>
      </c>
      <c r="C886" s="35">
        <v>0</v>
      </c>
      <c r="D886" s="2">
        <f t="shared" si="13"/>
        <v>1</v>
      </c>
    </row>
    <row r="887" spans="1:4" x14ac:dyDescent="0.3">
      <c r="A887" s="34">
        <v>16329</v>
      </c>
      <c r="B887" s="35">
        <v>1</v>
      </c>
      <c r="C887" s="35">
        <v>0</v>
      </c>
      <c r="D887" s="2">
        <f t="shared" si="13"/>
        <v>1</v>
      </c>
    </row>
    <row r="888" spans="1:4" x14ac:dyDescent="0.3">
      <c r="A888" s="34">
        <v>16342</v>
      </c>
      <c r="B888" s="35">
        <v>1</v>
      </c>
      <c r="C888" s="35">
        <v>0</v>
      </c>
      <c r="D888" s="2">
        <f t="shared" si="13"/>
        <v>1</v>
      </c>
    </row>
    <row r="889" spans="1:4" x14ac:dyDescent="0.3">
      <c r="A889" s="34">
        <v>16346</v>
      </c>
      <c r="B889" s="35">
        <v>2</v>
      </c>
      <c r="C889" s="35">
        <v>2</v>
      </c>
      <c r="D889" s="2">
        <f t="shared" si="13"/>
        <v>4</v>
      </c>
    </row>
    <row r="890" spans="1:4" x14ac:dyDescent="0.3">
      <c r="A890" s="34">
        <v>16347</v>
      </c>
      <c r="B890" s="35">
        <v>1</v>
      </c>
      <c r="C890" s="35">
        <v>0</v>
      </c>
      <c r="D890" s="2">
        <f t="shared" si="13"/>
        <v>1</v>
      </c>
    </row>
    <row r="891" spans="1:4" x14ac:dyDescent="0.3">
      <c r="A891" s="34">
        <v>16348</v>
      </c>
      <c r="B891" s="35">
        <v>2</v>
      </c>
      <c r="C891" s="35">
        <v>1</v>
      </c>
      <c r="D891" s="2">
        <f t="shared" si="13"/>
        <v>3</v>
      </c>
    </row>
    <row r="892" spans="1:4" x14ac:dyDescent="0.3">
      <c r="A892" s="34">
        <v>16349</v>
      </c>
      <c r="B892" s="35">
        <v>2</v>
      </c>
      <c r="C892" s="35">
        <v>1</v>
      </c>
      <c r="D892" s="2">
        <f t="shared" si="13"/>
        <v>3</v>
      </c>
    </row>
    <row r="893" spans="1:4" x14ac:dyDescent="0.3">
      <c r="A893" s="34">
        <v>16350</v>
      </c>
      <c r="B893" s="35">
        <v>2</v>
      </c>
      <c r="C893" s="35">
        <v>1</v>
      </c>
      <c r="D893" s="2">
        <f t="shared" si="13"/>
        <v>3</v>
      </c>
    </row>
    <row r="894" spans="1:4" x14ac:dyDescent="0.3">
      <c r="A894" s="34">
        <v>16365</v>
      </c>
      <c r="B894" s="35">
        <v>1</v>
      </c>
      <c r="C894" s="35">
        <v>0</v>
      </c>
      <c r="D894" s="2">
        <f t="shared" si="13"/>
        <v>1</v>
      </c>
    </row>
    <row r="895" spans="1:4" x14ac:dyDescent="0.3">
      <c r="A895" s="34">
        <v>16395</v>
      </c>
      <c r="B895" s="35">
        <v>1</v>
      </c>
      <c r="C895" s="35">
        <v>1</v>
      </c>
      <c r="D895" s="2">
        <f t="shared" si="13"/>
        <v>2</v>
      </c>
    </row>
    <row r="896" spans="1:4" x14ac:dyDescent="0.3">
      <c r="A896" s="34">
        <v>16407</v>
      </c>
      <c r="B896" s="35">
        <v>1</v>
      </c>
      <c r="C896" s="35">
        <v>1</v>
      </c>
      <c r="D896" s="2">
        <f t="shared" si="13"/>
        <v>2</v>
      </c>
    </row>
    <row r="897" spans="1:4" x14ac:dyDescent="0.3">
      <c r="A897" s="34">
        <v>16412</v>
      </c>
      <c r="B897" s="35">
        <v>1</v>
      </c>
      <c r="C897" s="35">
        <v>0</v>
      </c>
      <c r="D897" s="2">
        <f t="shared" si="13"/>
        <v>1</v>
      </c>
    </row>
    <row r="898" spans="1:4" x14ac:dyDescent="0.3">
      <c r="A898" s="34">
        <v>16417</v>
      </c>
      <c r="B898" s="35">
        <v>1</v>
      </c>
      <c r="C898" s="35">
        <v>0</v>
      </c>
      <c r="D898" s="2">
        <f t="shared" si="13"/>
        <v>1</v>
      </c>
    </row>
    <row r="899" spans="1:4" x14ac:dyDescent="0.3">
      <c r="A899" s="34">
        <v>16421</v>
      </c>
      <c r="B899" s="35">
        <v>1</v>
      </c>
      <c r="C899" s="35">
        <v>0</v>
      </c>
      <c r="D899" s="2">
        <f t="shared" ref="D899:D962" si="14">B899+C899</f>
        <v>1</v>
      </c>
    </row>
    <row r="900" spans="1:4" x14ac:dyDescent="0.3">
      <c r="A900" s="34">
        <v>16422</v>
      </c>
      <c r="B900" s="35">
        <v>1</v>
      </c>
      <c r="C900" s="35">
        <v>0</v>
      </c>
      <c r="D900" s="2">
        <f t="shared" si="14"/>
        <v>1</v>
      </c>
    </row>
    <row r="901" spans="1:4" x14ac:dyDescent="0.3">
      <c r="A901" s="34">
        <v>16423</v>
      </c>
      <c r="B901" s="35">
        <v>2</v>
      </c>
      <c r="C901" s="35">
        <v>1</v>
      </c>
      <c r="D901" s="2">
        <f t="shared" si="14"/>
        <v>3</v>
      </c>
    </row>
    <row r="902" spans="1:4" x14ac:dyDescent="0.3">
      <c r="A902" s="34">
        <v>16426</v>
      </c>
      <c r="B902" s="35">
        <v>1</v>
      </c>
      <c r="C902" s="35">
        <v>1</v>
      </c>
      <c r="D902" s="2">
        <f t="shared" si="14"/>
        <v>2</v>
      </c>
    </row>
    <row r="903" spans="1:4" x14ac:dyDescent="0.3">
      <c r="A903" s="34">
        <v>16441</v>
      </c>
      <c r="B903" s="35">
        <v>2</v>
      </c>
      <c r="C903" s="35">
        <v>0</v>
      </c>
      <c r="D903" s="2">
        <f t="shared" si="14"/>
        <v>2</v>
      </c>
    </row>
    <row r="904" spans="1:4" x14ac:dyDescent="0.3">
      <c r="A904" s="34">
        <v>16442</v>
      </c>
      <c r="B904" s="35">
        <v>1</v>
      </c>
      <c r="C904" s="35">
        <v>1</v>
      </c>
      <c r="D904" s="2">
        <f t="shared" si="14"/>
        <v>2</v>
      </c>
    </row>
    <row r="905" spans="1:4" x14ac:dyDescent="0.3">
      <c r="A905" s="34">
        <v>16452</v>
      </c>
      <c r="B905" s="35">
        <v>1</v>
      </c>
      <c r="C905" s="35">
        <v>0</v>
      </c>
      <c r="D905" s="2">
        <f t="shared" si="14"/>
        <v>1</v>
      </c>
    </row>
    <row r="906" spans="1:4" x14ac:dyDescent="0.3">
      <c r="A906" s="34">
        <v>16540</v>
      </c>
      <c r="B906" s="35">
        <v>1</v>
      </c>
      <c r="C906" s="35">
        <v>0</v>
      </c>
      <c r="D906" s="2">
        <f t="shared" si="14"/>
        <v>1</v>
      </c>
    </row>
    <row r="907" spans="1:4" x14ac:dyDescent="0.3">
      <c r="A907" s="34">
        <v>16543</v>
      </c>
      <c r="B907" s="35">
        <v>1</v>
      </c>
      <c r="C907" s="35">
        <v>0</v>
      </c>
      <c r="D907" s="2">
        <f t="shared" si="14"/>
        <v>1</v>
      </c>
    </row>
    <row r="908" spans="1:4" x14ac:dyDescent="0.3">
      <c r="A908" s="34">
        <v>16550</v>
      </c>
      <c r="B908" s="35">
        <v>2</v>
      </c>
      <c r="C908" s="35">
        <v>0</v>
      </c>
      <c r="D908" s="2">
        <f t="shared" si="14"/>
        <v>2</v>
      </c>
    </row>
    <row r="909" spans="1:4" x14ac:dyDescent="0.3">
      <c r="A909" s="34">
        <v>16553</v>
      </c>
      <c r="B909" s="35">
        <v>2</v>
      </c>
      <c r="C909" s="35">
        <v>0</v>
      </c>
      <c r="D909" s="2">
        <f t="shared" si="14"/>
        <v>2</v>
      </c>
    </row>
    <row r="910" spans="1:4" x14ac:dyDescent="0.3">
      <c r="A910" s="34">
        <v>16555</v>
      </c>
      <c r="B910" s="35">
        <v>1</v>
      </c>
      <c r="C910" s="35">
        <v>0</v>
      </c>
      <c r="D910" s="2">
        <f t="shared" si="14"/>
        <v>1</v>
      </c>
    </row>
    <row r="911" spans="1:4" x14ac:dyDescent="0.3">
      <c r="A911" s="34">
        <v>16557</v>
      </c>
      <c r="B911" s="35">
        <v>1</v>
      </c>
      <c r="C911" s="35">
        <v>0</v>
      </c>
      <c r="D911" s="2">
        <f t="shared" si="14"/>
        <v>1</v>
      </c>
    </row>
    <row r="912" spans="1:4" x14ac:dyDescent="0.3">
      <c r="A912" s="34">
        <v>16564</v>
      </c>
      <c r="B912" s="35">
        <v>1</v>
      </c>
      <c r="C912" s="35">
        <v>0</v>
      </c>
      <c r="D912" s="2">
        <f t="shared" si="14"/>
        <v>1</v>
      </c>
    </row>
    <row r="913" spans="1:4" x14ac:dyDescent="0.3">
      <c r="A913" s="34">
        <v>16567</v>
      </c>
      <c r="B913" s="35">
        <v>1</v>
      </c>
      <c r="C913" s="35">
        <v>0</v>
      </c>
      <c r="D913" s="2">
        <f t="shared" si="14"/>
        <v>1</v>
      </c>
    </row>
    <row r="914" spans="1:4" x14ac:dyDescent="0.3">
      <c r="A914" s="34">
        <v>16570</v>
      </c>
      <c r="B914" s="35">
        <v>1</v>
      </c>
      <c r="C914" s="35">
        <v>0</v>
      </c>
      <c r="D914" s="2">
        <f t="shared" si="14"/>
        <v>1</v>
      </c>
    </row>
    <row r="915" spans="1:4" x14ac:dyDescent="0.3">
      <c r="A915" s="34">
        <v>16571</v>
      </c>
      <c r="B915" s="35">
        <v>4</v>
      </c>
      <c r="C915" s="35">
        <v>0</v>
      </c>
      <c r="D915" s="2">
        <f t="shared" si="14"/>
        <v>4</v>
      </c>
    </row>
    <row r="916" spans="1:4" x14ac:dyDescent="0.3">
      <c r="A916" s="34">
        <v>16583</v>
      </c>
      <c r="B916" s="35">
        <v>2</v>
      </c>
      <c r="C916" s="35">
        <v>1</v>
      </c>
      <c r="D916" s="2">
        <f t="shared" si="14"/>
        <v>3</v>
      </c>
    </row>
    <row r="917" spans="1:4" x14ac:dyDescent="0.3">
      <c r="A917" s="34">
        <v>16737</v>
      </c>
      <c r="B917" s="35">
        <v>1</v>
      </c>
      <c r="C917" s="35">
        <v>0</v>
      </c>
      <c r="D917" s="2">
        <f t="shared" si="14"/>
        <v>1</v>
      </c>
    </row>
    <row r="918" spans="1:4" x14ac:dyDescent="0.3">
      <c r="A918" s="34">
        <v>16738</v>
      </c>
      <c r="B918" s="35">
        <v>1</v>
      </c>
      <c r="C918" s="35">
        <v>0</v>
      </c>
      <c r="D918" s="2">
        <f t="shared" si="14"/>
        <v>1</v>
      </c>
    </row>
    <row r="919" spans="1:4" x14ac:dyDescent="0.3">
      <c r="A919" s="34">
        <v>16739</v>
      </c>
      <c r="B919" s="35">
        <v>1</v>
      </c>
      <c r="C919" s="35">
        <v>0</v>
      </c>
      <c r="D919" s="2">
        <f t="shared" si="14"/>
        <v>1</v>
      </c>
    </row>
    <row r="920" spans="1:4" x14ac:dyDescent="0.3">
      <c r="A920" s="34">
        <v>16740</v>
      </c>
      <c r="B920" s="35">
        <v>1</v>
      </c>
      <c r="C920" s="35">
        <v>0</v>
      </c>
      <c r="D920" s="2">
        <f t="shared" si="14"/>
        <v>1</v>
      </c>
    </row>
    <row r="921" spans="1:4" x14ac:dyDescent="0.3">
      <c r="A921" s="34">
        <v>16741</v>
      </c>
      <c r="B921" s="35">
        <v>1</v>
      </c>
      <c r="C921" s="35">
        <v>0</v>
      </c>
      <c r="D921" s="2">
        <f t="shared" si="14"/>
        <v>1</v>
      </c>
    </row>
    <row r="922" spans="1:4" x14ac:dyDescent="0.3">
      <c r="A922" s="34">
        <v>16746</v>
      </c>
      <c r="B922" s="35">
        <v>1</v>
      </c>
      <c r="C922" s="35">
        <v>0</v>
      </c>
      <c r="D922" s="2">
        <f t="shared" si="14"/>
        <v>1</v>
      </c>
    </row>
    <row r="923" spans="1:4" x14ac:dyDescent="0.3">
      <c r="A923" s="34">
        <v>16747</v>
      </c>
      <c r="B923" s="35">
        <v>1</v>
      </c>
      <c r="C923" s="35">
        <v>0</v>
      </c>
      <c r="D923" s="2">
        <f t="shared" si="14"/>
        <v>1</v>
      </c>
    </row>
    <row r="924" spans="1:4" x14ac:dyDescent="0.3">
      <c r="A924" s="34">
        <v>16748</v>
      </c>
      <c r="B924" s="35">
        <v>1</v>
      </c>
      <c r="C924" s="35">
        <v>1</v>
      </c>
      <c r="D924" s="2">
        <f t="shared" si="14"/>
        <v>2</v>
      </c>
    </row>
    <row r="925" spans="1:4" x14ac:dyDescent="0.3">
      <c r="A925" s="34">
        <v>16749</v>
      </c>
      <c r="B925" s="35">
        <v>1</v>
      </c>
      <c r="C925" s="35">
        <v>1</v>
      </c>
      <c r="D925" s="2">
        <f t="shared" si="14"/>
        <v>2</v>
      </c>
    </row>
    <row r="926" spans="1:4" x14ac:dyDescent="0.3">
      <c r="A926" s="34">
        <v>16752</v>
      </c>
      <c r="B926" s="35">
        <v>1</v>
      </c>
      <c r="C926" s="35">
        <v>0</v>
      </c>
      <c r="D926" s="2">
        <f t="shared" si="14"/>
        <v>1</v>
      </c>
    </row>
    <row r="927" spans="1:4" x14ac:dyDescent="0.3">
      <c r="A927" s="34">
        <v>16753</v>
      </c>
      <c r="B927" s="35">
        <v>1</v>
      </c>
      <c r="C927" s="35">
        <v>0</v>
      </c>
      <c r="D927" s="2">
        <f t="shared" si="14"/>
        <v>1</v>
      </c>
    </row>
    <row r="928" spans="1:4" x14ac:dyDescent="0.3">
      <c r="A928" s="34">
        <v>16754</v>
      </c>
      <c r="B928" s="35">
        <v>1</v>
      </c>
      <c r="C928" s="35">
        <v>0</v>
      </c>
      <c r="D928" s="2">
        <f t="shared" si="14"/>
        <v>1</v>
      </c>
    </row>
    <row r="929" spans="1:4" x14ac:dyDescent="0.3">
      <c r="A929" s="34">
        <v>16755</v>
      </c>
      <c r="B929" s="35">
        <v>1</v>
      </c>
      <c r="C929" s="35">
        <v>0</v>
      </c>
      <c r="D929" s="2">
        <f t="shared" si="14"/>
        <v>1</v>
      </c>
    </row>
    <row r="930" spans="1:4" x14ac:dyDescent="0.3">
      <c r="A930" s="34">
        <v>16756</v>
      </c>
      <c r="B930" s="35">
        <v>1</v>
      </c>
      <c r="C930" s="35">
        <v>0</v>
      </c>
      <c r="D930" s="2">
        <f t="shared" si="14"/>
        <v>1</v>
      </c>
    </row>
    <row r="931" spans="1:4" x14ac:dyDescent="0.3">
      <c r="A931" s="34">
        <v>16758</v>
      </c>
      <c r="B931" s="35">
        <v>1</v>
      </c>
      <c r="C931" s="35">
        <v>0</v>
      </c>
      <c r="D931" s="2">
        <f t="shared" si="14"/>
        <v>1</v>
      </c>
    </row>
    <row r="932" spans="1:4" x14ac:dyDescent="0.3">
      <c r="A932" s="34">
        <v>16759</v>
      </c>
      <c r="B932" s="35">
        <v>1</v>
      </c>
      <c r="C932" s="35">
        <v>0</v>
      </c>
      <c r="D932" s="2">
        <f t="shared" si="14"/>
        <v>1</v>
      </c>
    </row>
    <row r="933" spans="1:4" x14ac:dyDescent="0.3">
      <c r="A933" s="34">
        <v>16761</v>
      </c>
      <c r="B933" s="35">
        <v>1</v>
      </c>
      <c r="C933" s="35">
        <v>0</v>
      </c>
      <c r="D933" s="2">
        <f t="shared" si="14"/>
        <v>1</v>
      </c>
    </row>
    <row r="934" spans="1:4" x14ac:dyDescent="0.3">
      <c r="A934" s="34">
        <v>16764</v>
      </c>
      <c r="B934" s="35">
        <v>1</v>
      </c>
      <c r="C934" s="35">
        <v>1</v>
      </c>
      <c r="D934" s="2">
        <f t="shared" si="14"/>
        <v>2</v>
      </c>
    </row>
    <row r="935" spans="1:4" x14ac:dyDescent="0.3">
      <c r="A935" s="34">
        <v>16798</v>
      </c>
      <c r="B935" s="35">
        <v>3</v>
      </c>
      <c r="C935" s="35">
        <v>1</v>
      </c>
      <c r="D935" s="2">
        <f t="shared" si="14"/>
        <v>4</v>
      </c>
    </row>
    <row r="936" spans="1:4" x14ac:dyDescent="0.3">
      <c r="A936" s="34">
        <v>16799</v>
      </c>
      <c r="B936" s="35">
        <v>2</v>
      </c>
      <c r="C936" s="35">
        <v>0</v>
      </c>
      <c r="D936" s="2">
        <f t="shared" si="14"/>
        <v>2</v>
      </c>
    </row>
    <row r="937" spans="1:4" x14ac:dyDescent="0.3">
      <c r="A937" s="34">
        <v>16808</v>
      </c>
      <c r="B937" s="35">
        <v>1</v>
      </c>
      <c r="C937" s="35">
        <v>0</v>
      </c>
      <c r="D937" s="2">
        <f t="shared" si="14"/>
        <v>1</v>
      </c>
    </row>
    <row r="938" spans="1:4" x14ac:dyDescent="0.3">
      <c r="A938" s="34">
        <v>16810</v>
      </c>
      <c r="B938" s="35">
        <v>3</v>
      </c>
      <c r="C938" s="35">
        <v>0</v>
      </c>
      <c r="D938" s="2">
        <f t="shared" si="14"/>
        <v>3</v>
      </c>
    </row>
    <row r="939" spans="1:4" x14ac:dyDescent="0.3">
      <c r="A939" s="34">
        <v>16814</v>
      </c>
      <c r="B939" s="35">
        <v>1</v>
      </c>
      <c r="C939" s="35">
        <v>0</v>
      </c>
      <c r="D939" s="2">
        <f t="shared" si="14"/>
        <v>1</v>
      </c>
    </row>
    <row r="940" spans="1:4" x14ac:dyDescent="0.3">
      <c r="A940" s="34">
        <v>16835</v>
      </c>
      <c r="B940" s="35">
        <v>1</v>
      </c>
      <c r="C940" s="35">
        <v>0</v>
      </c>
      <c r="D940" s="2">
        <f t="shared" si="14"/>
        <v>1</v>
      </c>
    </row>
    <row r="941" spans="1:4" x14ac:dyDescent="0.3">
      <c r="A941" s="34">
        <v>16836</v>
      </c>
      <c r="B941" s="35">
        <v>1</v>
      </c>
      <c r="C941" s="35">
        <v>0</v>
      </c>
      <c r="D941" s="2">
        <f t="shared" si="14"/>
        <v>1</v>
      </c>
    </row>
    <row r="942" spans="1:4" x14ac:dyDescent="0.3">
      <c r="A942" s="34">
        <v>16838</v>
      </c>
      <c r="B942" s="35">
        <v>2</v>
      </c>
      <c r="C942" s="35">
        <v>0</v>
      </c>
      <c r="D942" s="2">
        <f t="shared" si="14"/>
        <v>2</v>
      </c>
    </row>
    <row r="943" spans="1:4" x14ac:dyDescent="0.3">
      <c r="A943" s="34">
        <v>16857</v>
      </c>
      <c r="B943" s="35">
        <v>1</v>
      </c>
      <c r="C943" s="35">
        <v>1</v>
      </c>
      <c r="D943" s="2">
        <f t="shared" si="14"/>
        <v>2</v>
      </c>
    </row>
    <row r="944" spans="1:4" x14ac:dyDescent="0.3">
      <c r="A944" s="34">
        <v>16867</v>
      </c>
      <c r="B944" s="35">
        <v>1</v>
      </c>
      <c r="C944" s="35">
        <v>0</v>
      </c>
      <c r="D944" s="2">
        <f t="shared" si="14"/>
        <v>1</v>
      </c>
    </row>
    <row r="945" spans="1:4" x14ac:dyDescent="0.3">
      <c r="A945" s="34">
        <v>16873</v>
      </c>
      <c r="B945" s="35">
        <v>1</v>
      </c>
      <c r="C945" s="35">
        <v>0</v>
      </c>
      <c r="D945" s="2">
        <f t="shared" si="14"/>
        <v>1</v>
      </c>
    </row>
    <row r="946" spans="1:4" x14ac:dyDescent="0.3">
      <c r="A946" s="34">
        <v>16887</v>
      </c>
      <c r="B946" s="35">
        <v>1</v>
      </c>
      <c r="C946" s="35">
        <v>0</v>
      </c>
      <c r="D946" s="2">
        <f t="shared" si="14"/>
        <v>1</v>
      </c>
    </row>
    <row r="947" spans="1:4" x14ac:dyDescent="0.3">
      <c r="A947" s="34">
        <v>16889</v>
      </c>
      <c r="B947" s="35">
        <v>1</v>
      </c>
      <c r="C947" s="35">
        <v>1</v>
      </c>
      <c r="D947" s="2">
        <f t="shared" si="14"/>
        <v>2</v>
      </c>
    </row>
    <row r="948" spans="1:4" x14ac:dyDescent="0.3">
      <c r="A948" s="34">
        <v>16904</v>
      </c>
      <c r="B948" s="35">
        <v>1</v>
      </c>
      <c r="C948" s="35">
        <v>0</v>
      </c>
      <c r="D948" s="2">
        <f t="shared" si="14"/>
        <v>1</v>
      </c>
    </row>
    <row r="949" spans="1:4" x14ac:dyDescent="0.3">
      <c r="A949" s="34">
        <v>16907</v>
      </c>
      <c r="B949" s="35">
        <v>1</v>
      </c>
      <c r="C949" s="35">
        <v>0</v>
      </c>
      <c r="D949" s="2">
        <f t="shared" si="14"/>
        <v>1</v>
      </c>
    </row>
    <row r="950" spans="1:4" x14ac:dyDescent="0.3">
      <c r="A950" s="34">
        <v>16913</v>
      </c>
      <c r="B950" s="35">
        <v>1</v>
      </c>
      <c r="C950" s="35">
        <v>0</v>
      </c>
      <c r="D950" s="2">
        <f t="shared" si="14"/>
        <v>1</v>
      </c>
    </row>
    <row r="951" spans="1:4" x14ac:dyDescent="0.3">
      <c r="A951" s="34">
        <v>16926</v>
      </c>
      <c r="B951" s="35">
        <v>3</v>
      </c>
      <c r="C951" s="35">
        <v>0</v>
      </c>
      <c r="D951" s="2">
        <f t="shared" si="14"/>
        <v>3</v>
      </c>
    </row>
    <row r="952" spans="1:4" x14ac:dyDescent="0.3">
      <c r="A952" s="34">
        <v>16929</v>
      </c>
      <c r="B952" s="35">
        <v>2</v>
      </c>
      <c r="C952" s="35">
        <v>0</v>
      </c>
      <c r="D952" s="2">
        <f t="shared" si="14"/>
        <v>2</v>
      </c>
    </row>
    <row r="953" spans="1:4" x14ac:dyDescent="0.3">
      <c r="A953" s="34">
        <v>16932</v>
      </c>
      <c r="B953" s="35">
        <v>2</v>
      </c>
      <c r="C953" s="35">
        <v>0</v>
      </c>
      <c r="D953" s="2">
        <f t="shared" si="14"/>
        <v>2</v>
      </c>
    </row>
    <row r="954" spans="1:4" x14ac:dyDescent="0.3">
      <c r="A954" s="34">
        <v>16940</v>
      </c>
      <c r="B954" s="35">
        <v>1</v>
      </c>
      <c r="C954" s="35">
        <v>0</v>
      </c>
      <c r="D954" s="2">
        <f t="shared" si="14"/>
        <v>1</v>
      </c>
    </row>
    <row r="955" spans="1:4" x14ac:dyDescent="0.3">
      <c r="A955" s="34">
        <v>16946</v>
      </c>
      <c r="B955" s="35">
        <v>2</v>
      </c>
      <c r="C955" s="35">
        <v>1</v>
      </c>
      <c r="D955" s="2">
        <f t="shared" si="14"/>
        <v>3</v>
      </c>
    </row>
    <row r="956" spans="1:4" x14ac:dyDescent="0.3">
      <c r="A956" s="34">
        <v>16963</v>
      </c>
      <c r="B956" s="35">
        <v>1</v>
      </c>
      <c r="C956" s="35">
        <v>0</v>
      </c>
      <c r="D956" s="2">
        <f t="shared" si="14"/>
        <v>1</v>
      </c>
    </row>
    <row r="957" spans="1:4" x14ac:dyDescent="0.3">
      <c r="A957" s="34">
        <v>16966</v>
      </c>
      <c r="B957" s="35">
        <v>1</v>
      </c>
      <c r="C957" s="35">
        <v>0</v>
      </c>
      <c r="D957" s="2">
        <f t="shared" si="14"/>
        <v>1</v>
      </c>
    </row>
    <row r="958" spans="1:4" x14ac:dyDescent="0.3">
      <c r="A958" s="34">
        <v>16970</v>
      </c>
      <c r="B958" s="35">
        <v>1</v>
      </c>
      <c r="C958" s="35">
        <v>0</v>
      </c>
      <c r="D958" s="2">
        <f t="shared" si="14"/>
        <v>1</v>
      </c>
    </row>
    <row r="959" spans="1:4" x14ac:dyDescent="0.3">
      <c r="A959" s="34">
        <v>16976</v>
      </c>
      <c r="B959" s="35">
        <v>2</v>
      </c>
      <c r="C959" s="35">
        <v>2</v>
      </c>
      <c r="D959" s="2">
        <f t="shared" si="14"/>
        <v>4</v>
      </c>
    </row>
    <row r="960" spans="1:4" x14ac:dyDescent="0.3">
      <c r="A960" s="34">
        <v>16981</v>
      </c>
      <c r="B960" s="35">
        <v>1</v>
      </c>
      <c r="C960" s="35">
        <v>0</v>
      </c>
      <c r="D960" s="2">
        <f t="shared" si="14"/>
        <v>1</v>
      </c>
    </row>
    <row r="961" spans="1:4" x14ac:dyDescent="0.3">
      <c r="A961" s="34">
        <v>16986</v>
      </c>
      <c r="B961" s="35">
        <v>2</v>
      </c>
      <c r="C961" s="35">
        <v>0</v>
      </c>
      <c r="D961" s="2">
        <f t="shared" si="14"/>
        <v>2</v>
      </c>
    </row>
    <row r="962" spans="1:4" x14ac:dyDescent="0.3">
      <c r="A962" s="34">
        <v>17012</v>
      </c>
      <c r="B962" s="35">
        <v>2</v>
      </c>
      <c r="C962" s="35">
        <v>0</v>
      </c>
      <c r="D962" s="2">
        <f t="shared" si="14"/>
        <v>2</v>
      </c>
    </row>
    <row r="963" spans="1:4" x14ac:dyDescent="0.3">
      <c r="A963" s="34">
        <v>17017</v>
      </c>
      <c r="B963" s="35">
        <v>1</v>
      </c>
      <c r="C963" s="35">
        <v>0</v>
      </c>
      <c r="D963" s="2">
        <f t="shared" ref="D963:D1026" si="15">B963+C963</f>
        <v>1</v>
      </c>
    </row>
    <row r="964" spans="1:4" x14ac:dyDescent="0.3">
      <c r="A964" s="34">
        <v>17020</v>
      </c>
      <c r="B964" s="35">
        <v>1</v>
      </c>
      <c r="C964" s="35">
        <v>0</v>
      </c>
      <c r="D964" s="2">
        <f t="shared" si="15"/>
        <v>1</v>
      </c>
    </row>
    <row r="965" spans="1:4" x14ac:dyDescent="0.3">
      <c r="A965" s="34">
        <v>17024</v>
      </c>
      <c r="B965" s="35">
        <v>2</v>
      </c>
      <c r="C965" s="35">
        <v>0</v>
      </c>
      <c r="D965" s="2">
        <f t="shared" si="15"/>
        <v>2</v>
      </c>
    </row>
    <row r="966" spans="1:4" x14ac:dyDescent="0.3">
      <c r="A966" s="34">
        <v>17025</v>
      </c>
      <c r="B966" s="35">
        <v>1</v>
      </c>
      <c r="C966" s="35">
        <v>1</v>
      </c>
      <c r="D966" s="2">
        <f t="shared" si="15"/>
        <v>2</v>
      </c>
    </row>
    <row r="967" spans="1:4" x14ac:dyDescent="0.3">
      <c r="A967" s="34">
        <v>17026</v>
      </c>
      <c r="B967" s="35">
        <v>1</v>
      </c>
      <c r="C967" s="35">
        <v>0</v>
      </c>
      <c r="D967" s="2">
        <f t="shared" si="15"/>
        <v>1</v>
      </c>
    </row>
    <row r="968" spans="1:4" x14ac:dyDescent="0.3">
      <c r="A968" s="34">
        <v>17027</v>
      </c>
      <c r="B968" s="35">
        <v>2</v>
      </c>
      <c r="C968" s="35">
        <v>0</v>
      </c>
      <c r="D968" s="2">
        <f t="shared" si="15"/>
        <v>2</v>
      </c>
    </row>
    <row r="969" spans="1:4" x14ac:dyDescent="0.3">
      <c r="A969" s="34">
        <v>17034</v>
      </c>
      <c r="B969" s="35">
        <v>1</v>
      </c>
      <c r="C969" s="35">
        <v>1</v>
      </c>
      <c r="D969" s="2">
        <f t="shared" si="15"/>
        <v>2</v>
      </c>
    </row>
    <row r="970" spans="1:4" x14ac:dyDescent="0.3">
      <c r="A970" s="34">
        <v>17042</v>
      </c>
      <c r="B970" s="35">
        <v>1</v>
      </c>
      <c r="C970" s="35">
        <v>0</v>
      </c>
      <c r="D970" s="2">
        <f t="shared" si="15"/>
        <v>1</v>
      </c>
    </row>
    <row r="971" spans="1:4" x14ac:dyDescent="0.3">
      <c r="A971" s="34">
        <v>17043</v>
      </c>
      <c r="B971" s="35">
        <v>1</v>
      </c>
      <c r="C971" s="35">
        <v>0</v>
      </c>
      <c r="D971" s="2">
        <f t="shared" si="15"/>
        <v>1</v>
      </c>
    </row>
    <row r="972" spans="1:4" x14ac:dyDescent="0.3">
      <c r="A972" s="34">
        <v>17046</v>
      </c>
      <c r="B972" s="35">
        <v>1</v>
      </c>
      <c r="C972" s="35">
        <v>0</v>
      </c>
      <c r="D972" s="2">
        <f t="shared" si="15"/>
        <v>1</v>
      </c>
    </row>
    <row r="973" spans="1:4" x14ac:dyDescent="0.3">
      <c r="A973" s="34">
        <v>17058</v>
      </c>
      <c r="B973" s="35">
        <v>1</v>
      </c>
      <c r="C973" s="35">
        <v>0</v>
      </c>
      <c r="D973" s="2">
        <f t="shared" si="15"/>
        <v>1</v>
      </c>
    </row>
    <row r="974" spans="1:4" x14ac:dyDescent="0.3">
      <c r="A974" s="34">
        <v>17066</v>
      </c>
      <c r="B974" s="35">
        <v>1</v>
      </c>
      <c r="C974" s="35">
        <v>0</v>
      </c>
      <c r="D974" s="2">
        <f t="shared" si="15"/>
        <v>1</v>
      </c>
    </row>
    <row r="975" spans="1:4" x14ac:dyDescent="0.3">
      <c r="A975" s="34">
        <v>17068</v>
      </c>
      <c r="B975" s="35">
        <v>1</v>
      </c>
      <c r="C975" s="35">
        <v>1</v>
      </c>
      <c r="D975" s="2">
        <f t="shared" si="15"/>
        <v>2</v>
      </c>
    </row>
    <row r="976" spans="1:4" x14ac:dyDescent="0.3">
      <c r="A976" s="34">
        <v>17078</v>
      </c>
      <c r="B976" s="35">
        <v>1</v>
      </c>
      <c r="C976" s="35">
        <v>0</v>
      </c>
      <c r="D976" s="2">
        <f t="shared" si="15"/>
        <v>1</v>
      </c>
    </row>
    <row r="977" spans="1:4" x14ac:dyDescent="0.3">
      <c r="A977" s="34">
        <v>17084</v>
      </c>
      <c r="B977" s="35">
        <v>1</v>
      </c>
      <c r="C977" s="35">
        <v>1</v>
      </c>
      <c r="D977" s="2">
        <f t="shared" si="15"/>
        <v>2</v>
      </c>
    </row>
    <row r="978" spans="1:4" x14ac:dyDescent="0.3">
      <c r="A978" s="34">
        <v>17089</v>
      </c>
      <c r="B978" s="35">
        <v>2</v>
      </c>
      <c r="C978" s="35">
        <v>0</v>
      </c>
      <c r="D978" s="2">
        <f t="shared" si="15"/>
        <v>2</v>
      </c>
    </row>
    <row r="979" spans="1:4" x14ac:dyDescent="0.3">
      <c r="A979" s="34">
        <v>17090</v>
      </c>
      <c r="B979" s="35">
        <v>2</v>
      </c>
      <c r="C979" s="35">
        <v>0</v>
      </c>
      <c r="D979" s="2">
        <f t="shared" si="15"/>
        <v>2</v>
      </c>
    </row>
    <row r="980" spans="1:4" x14ac:dyDescent="0.3">
      <c r="A980" s="34">
        <v>17095</v>
      </c>
      <c r="B980" s="35">
        <v>1</v>
      </c>
      <c r="C980" s="35">
        <v>0</v>
      </c>
      <c r="D980" s="2">
        <f t="shared" si="15"/>
        <v>1</v>
      </c>
    </row>
    <row r="981" spans="1:4" x14ac:dyDescent="0.3">
      <c r="A981" s="34">
        <v>17101</v>
      </c>
      <c r="B981" s="35">
        <v>2</v>
      </c>
      <c r="C981" s="35">
        <v>1</v>
      </c>
      <c r="D981" s="2">
        <f t="shared" si="15"/>
        <v>3</v>
      </c>
    </row>
    <row r="982" spans="1:4" x14ac:dyDescent="0.3">
      <c r="A982" s="34">
        <v>17104</v>
      </c>
      <c r="B982" s="35">
        <v>2</v>
      </c>
      <c r="C982" s="35">
        <v>2</v>
      </c>
      <c r="D982" s="2">
        <f t="shared" si="15"/>
        <v>4</v>
      </c>
    </row>
    <row r="983" spans="1:4" x14ac:dyDescent="0.3">
      <c r="A983" s="34">
        <v>17109</v>
      </c>
      <c r="B983" s="35">
        <v>1</v>
      </c>
      <c r="C983" s="35">
        <v>0</v>
      </c>
      <c r="D983" s="2">
        <f t="shared" si="15"/>
        <v>1</v>
      </c>
    </row>
    <row r="984" spans="1:4" x14ac:dyDescent="0.3">
      <c r="A984" s="34">
        <v>17117</v>
      </c>
      <c r="B984" s="35">
        <v>1</v>
      </c>
      <c r="C984" s="35">
        <v>0</v>
      </c>
      <c r="D984" s="2">
        <f t="shared" si="15"/>
        <v>1</v>
      </c>
    </row>
    <row r="985" spans="1:4" x14ac:dyDescent="0.3">
      <c r="A985" s="34">
        <v>17118</v>
      </c>
      <c r="B985" s="35">
        <v>3</v>
      </c>
      <c r="C985" s="35">
        <v>1</v>
      </c>
      <c r="D985" s="2">
        <f t="shared" si="15"/>
        <v>4</v>
      </c>
    </row>
    <row r="986" spans="1:4" x14ac:dyDescent="0.3">
      <c r="A986" s="34">
        <v>17119</v>
      </c>
      <c r="B986" s="35">
        <v>1</v>
      </c>
      <c r="C986" s="35">
        <v>0</v>
      </c>
      <c r="D986" s="2">
        <f t="shared" si="15"/>
        <v>1</v>
      </c>
    </row>
    <row r="987" spans="1:4" x14ac:dyDescent="0.3">
      <c r="A987" s="34">
        <v>17122</v>
      </c>
      <c r="B987" s="35">
        <v>1</v>
      </c>
      <c r="C987" s="35">
        <v>0</v>
      </c>
      <c r="D987" s="2">
        <f t="shared" si="15"/>
        <v>1</v>
      </c>
    </row>
    <row r="988" spans="1:4" x14ac:dyDescent="0.3">
      <c r="A988" s="34">
        <v>17141</v>
      </c>
      <c r="B988" s="35">
        <v>1</v>
      </c>
      <c r="C988" s="35">
        <v>0</v>
      </c>
      <c r="D988" s="2">
        <f t="shared" si="15"/>
        <v>1</v>
      </c>
    </row>
    <row r="989" spans="1:4" x14ac:dyDescent="0.3">
      <c r="A989" s="34">
        <v>17142</v>
      </c>
      <c r="B989" s="35">
        <v>1</v>
      </c>
      <c r="C989" s="35">
        <v>0</v>
      </c>
      <c r="D989" s="2">
        <f t="shared" si="15"/>
        <v>1</v>
      </c>
    </row>
    <row r="990" spans="1:4" x14ac:dyDescent="0.3">
      <c r="A990" s="34">
        <v>17155</v>
      </c>
      <c r="B990" s="35">
        <v>1</v>
      </c>
      <c r="C990" s="35">
        <v>0</v>
      </c>
      <c r="D990" s="2">
        <f t="shared" si="15"/>
        <v>1</v>
      </c>
    </row>
    <row r="991" spans="1:4" x14ac:dyDescent="0.3">
      <c r="A991" s="34">
        <v>17164</v>
      </c>
      <c r="B991" s="35">
        <v>1</v>
      </c>
      <c r="C991" s="35">
        <v>0</v>
      </c>
      <c r="D991" s="2">
        <f t="shared" si="15"/>
        <v>1</v>
      </c>
    </row>
    <row r="992" spans="1:4" x14ac:dyDescent="0.3">
      <c r="A992" s="34">
        <v>17168</v>
      </c>
      <c r="B992" s="35">
        <v>1</v>
      </c>
      <c r="C992" s="35">
        <v>0</v>
      </c>
      <c r="D992" s="2">
        <f t="shared" si="15"/>
        <v>1</v>
      </c>
    </row>
    <row r="993" spans="1:4" x14ac:dyDescent="0.3">
      <c r="A993" s="34">
        <v>17172</v>
      </c>
      <c r="B993" s="35">
        <v>2</v>
      </c>
      <c r="C993" s="35">
        <v>1</v>
      </c>
      <c r="D993" s="2">
        <f t="shared" si="15"/>
        <v>3</v>
      </c>
    </row>
    <row r="994" spans="1:4" x14ac:dyDescent="0.3">
      <c r="A994" s="34">
        <v>17176</v>
      </c>
      <c r="B994" s="35">
        <v>2</v>
      </c>
      <c r="C994" s="35">
        <v>0</v>
      </c>
      <c r="D994" s="2">
        <f t="shared" si="15"/>
        <v>2</v>
      </c>
    </row>
    <row r="995" spans="1:4" x14ac:dyDescent="0.3">
      <c r="A995" s="34">
        <v>17178</v>
      </c>
      <c r="B995" s="35">
        <v>1</v>
      </c>
      <c r="C995" s="35">
        <v>1</v>
      </c>
      <c r="D995" s="2">
        <f t="shared" si="15"/>
        <v>2</v>
      </c>
    </row>
    <row r="996" spans="1:4" x14ac:dyDescent="0.3">
      <c r="A996" s="34">
        <v>17180</v>
      </c>
      <c r="B996" s="35">
        <v>1</v>
      </c>
      <c r="C996" s="35">
        <v>0</v>
      </c>
      <c r="D996" s="2">
        <f t="shared" si="15"/>
        <v>1</v>
      </c>
    </row>
    <row r="997" spans="1:4" x14ac:dyDescent="0.3">
      <c r="A997" s="34">
        <v>17185</v>
      </c>
      <c r="B997" s="35">
        <v>2</v>
      </c>
      <c r="C997" s="35">
        <v>0</v>
      </c>
      <c r="D997" s="2">
        <f t="shared" si="15"/>
        <v>2</v>
      </c>
    </row>
    <row r="998" spans="1:4" x14ac:dyDescent="0.3">
      <c r="A998" s="34">
        <v>17186</v>
      </c>
      <c r="B998" s="35">
        <v>1</v>
      </c>
      <c r="C998" s="35">
        <v>0</v>
      </c>
      <c r="D998" s="2">
        <f t="shared" si="15"/>
        <v>1</v>
      </c>
    </row>
    <row r="999" spans="1:4" x14ac:dyDescent="0.3">
      <c r="A999" s="34">
        <v>17187</v>
      </c>
      <c r="B999" s="35">
        <v>2</v>
      </c>
      <c r="C999" s="35">
        <v>0</v>
      </c>
      <c r="D999" s="2">
        <f t="shared" si="15"/>
        <v>2</v>
      </c>
    </row>
    <row r="1000" spans="1:4" x14ac:dyDescent="0.3">
      <c r="A1000" s="34">
        <v>17188</v>
      </c>
      <c r="B1000" s="35">
        <v>2</v>
      </c>
      <c r="C1000" s="35">
        <v>1</v>
      </c>
      <c r="D1000" s="2">
        <f t="shared" si="15"/>
        <v>3</v>
      </c>
    </row>
    <row r="1001" spans="1:4" x14ac:dyDescent="0.3">
      <c r="A1001" s="34">
        <v>17190</v>
      </c>
      <c r="B1001" s="35">
        <v>1</v>
      </c>
      <c r="C1001" s="35">
        <v>0</v>
      </c>
      <c r="D1001" s="2">
        <f t="shared" si="15"/>
        <v>1</v>
      </c>
    </row>
    <row r="1002" spans="1:4" x14ac:dyDescent="0.3">
      <c r="A1002" s="34">
        <v>17195</v>
      </c>
      <c r="B1002" s="35">
        <v>1</v>
      </c>
      <c r="C1002" s="35">
        <v>0</v>
      </c>
      <c r="D1002" s="2">
        <f t="shared" si="15"/>
        <v>1</v>
      </c>
    </row>
    <row r="1003" spans="1:4" x14ac:dyDescent="0.3">
      <c r="A1003" s="34">
        <v>17196</v>
      </c>
      <c r="B1003" s="35">
        <v>1</v>
      </c>
      <c r="C1003" s="35">
        <v>0</v>
      </c>
      <c r="D1003" s="2">
        <f t="shared" si="15"/>
        <v>1</v>
      </c>
    </row>
    <row r="1004" spans="1:4" x14ac:dyDescent="0.3">
      <c r="A1004" s="34">
        <v>17197</v>
      </c>
      <c r="B1004" s="35">
        <v>1</v>
      </c>
      <c r="C1004" s="35">
        <v>0</v>
      </c>
      <c r="D1004" s="2">
        <f t="shared" si="15"/>
        <v>1</v>
      </c>
    </row>
    <row r="1005" spans="1:4" x14ac:dyDescent="0.3">
      <c r="A1005" s="34">
        <v>17203</v>
      </c>
      <c r="B1005" s="35">
        <v>2</v>
      </c>
      <c r="C1005" s="35">
        <v>1</v>
      </c>
      <c r="D1005" s="2">
        <f t="shared" si="15"/>
        <v>3</v>
      </c>
    </row>
    <row r="1006" spans="1:4" x14ac:dyDescent="0.3">
      <c r="A1006" s="34">
        <v>17204</v>
      </c>
      <c r="B1006" s="35">
        <v>1</v>
      </c>
      <c r="C1006" s="35">
        <v>0</v>
      </c>
      <c r="D1006" s="2">
        <f t="shared" si="15"/>
        <v>1</v>
      </c>
    </row>
    <row r="1007" spans="1:4" x14ac:dyDescent="0.3">
      <c r="A1007" s="34">
        <v>17207</v>
      </c>
      <c r="B1007" s="35">
        <v>2</v>
      </c>
      <c r="C1007" s="35">
        <v>2</v>
      </c>
      <c r="D1007" s="2">
        <f t="shared" si="15"/>
        <v>4</v>
      </c>
    </row>
    <row r="1008" spans="1:4" x14ac:dyDescent="0.3">
      <c r="A1008" s="34">
        <v>17210</v>
      </c>
      <c r="B1008" s="35">
        <v>1</v>
      </c>
      <c r="C1008" s="35">
        <v>0</v>
      </c>
      <c r="D1008" s="2">
        <f t="shared" si="15"/>
        <v>1</v>
      </c>
    </row>
    <row r="1009" spans="1:4" x14ac:dyDescent="0.3">
      <c r="A1009" s="34">
        <v>17214</v>
      </c>
      <c r="B1009" s="35">
        <v>1</v>
      </c>
      <c r="C1009" s="35">
        <v>0</v>
      </c>
      <c r="D1009" s="2">
        <f t="shared" si="15"/>
        <v>1</v>
      </c>
    </row>
    <row r="1010" spans="1:4" x14ac:dyDescent="0.3">
      <c r="A1010" s="34">
        <v>17219</v>
      </c>
      <c r="B1010" s="35">
        <v>1</v>
      </c>
      <c r="C1010" s="35">
        <v>1</v>
      </c>
      <c r="D1010" s="2">
        <f t="shared" si="15"/>
        <v>2</v>
      </c>
    </row>
    <row r="1011" spans="1:4" x14ac:dyDescent="0.3">
      <c r="A1011" s="34">
        <v>17220</v>
      </c>
      <c r="B1011" s="35">
        <v>1</v>
      </c>
      <c r="C1011" s="35">
        <v>0</v>
      </c>
      <c r="D1011" s="2">
        <f t="shared" si="15"/>
        <v>1</v>
      </c>
    </row>
    <row r="1012" spans="1:4" x14ac:dyDescent="0.3">
      <c r="A1012" s="34">
        <v>17235</v>
      </c>
      <c r="B1012" s="35">
        <v>1</v>
      </c>
      <c r="C1012" s="35">
        <v>1</v>
      </c>
      <c r="D1012" s="2">
        <f t="shared" si="15"/>
        <v>2</v>
      </c>
    </row>
    <row r="1013" spans="1:4" x14ac:dyDescent="0.3">
      <c r="A1013" s="34">
        <v>17236</v>
      </c>
      <c r="B1013" s="35">
        <v>1</v>
      </c>
      <c r="C1013" s="35">
        <v>0</v>
      </c>
      <c r="D1013" s="2">
        <f t="shared" si="15"/>
        <v>1</v>
      </c>
    </row>
    <row r="1014" spans="1:4" x14ac:dyDescent="0.3">
      <c r="A1014" s="34">
        <v>17255</v>
      </c>
      <c r="B1014" s="35">
        <v>1</v>
      </c>
      <c r="C1014" s="35">
        <v>1</v>
      </c>
      <c r="D1014" s="2">
        <f t="shared" si="15"/>
        <v>2</v>
      </c>
    </row>
    <row r="1015" spans="1:4" x14ac:dyDescent="0.3">
      <c r="A1015" s="34">
        <v>17257</v>
      </c>
      <c r="B1015" s="35">
        <v>1</v>
      </c>
      <c r="C1015" s="35">
        <v>0</v>
      </c>
      <c r="D1015" s="2">
        <f t="shared" si="15"/>
        <v>1</v>
      </c>
    </row>
    <row r="1016" spans="1:4" x14ac:dyDescent="0.3">
      <c r="A1016" s="34">
        <v>17265</v>
      </c>
      <c r="B1016" s="35">
        <v>1</v>
      </c>
      <c r="C1016" s="35">
        <v>1</v>
      </c>
      <c r="D1016" s="2">
        <f t="shared" si="15"/>
        <v>2</v>
      </c>
    </row>
    <row r="1017" spans="1:4" x14ac:dyDescent="0.3">
      <c r="A1017" s="34">
        <v>17270</v>
      </c>
      <c r="B1017" s="35">
        <v>1</v>
      </c>
      <c r="C1017" s="35">
        <v>0</v>
      </c>
      <c r="D1017" s="2">
        <f t="shared" si="15"/>
        <v>1</v>
      </c>
    </row>
    <row r="1018" spans="1:4" x14ac:dyDescent="0.3">
      <c r="A1018" s="34">
        <v>17271</v>
      </c>
      <c r="B1018" s="35">
        <v>1</v>
      </c>
      <c r="C1018" s="35">
        <v>1</v>
      </c>
      <c r="D1018" s="2">
        <f t="shared" si="15"/>
        <v>2</v>
      </c>
    </row>
    <row r="1019" spans="1:4" x14ac:dyDescent="0.3">
      <c r="A1019" s="34">
        <v>17273</v>
      </c>
      <c r="B1019" s="35">
        <v>2</v>
      </c>
      <c r="C1019" s="35">
        <v>1</v>
      </c>
      <c r="D1019" s="2">
        <f t="shared" si="15"/>
        <v>3</v>
      </c>
    </row>
    <row r="1020" spans="1:4" x14ac:dyDescent="0.3">
      <c r="A1020" s="34">
        <v>17275</v>
      </c>
      <c r="B1020" s="35">
        <v>1</v>
      </c>
      <c r="C1020" s="35">
        <v>0</v>
      </c>
      <c r="D1020" s="2">
        <f t="shared" si="15"/>
        <v>1</v>
      </c>
    </row>
    <row r="1021" spans="1:4" x14ac:dyDescent="0.3">
      <c r="A1021" s="34">
        <v>17276</v>
      </c>
      <c r="B1021" s="35">
        <v>1</v>
      </c>
      <c r="C1021" s="35">
        <v>0</v>
      </c>
      <c r="D1021" s="2">
        <f t="shared" si="15"/>
        <v>1</v>
      </c>
    </row>
    <row r="1022" spans="1:4" x14ac:dyDescent="0.3">
      <c r="A1022" s="34">
        <v>17281</v>
      </c>
      <c r="B1022" s="35">
        <v>1</v>
      </c>
      <c r="C1022" s="35">
        <v>0</v>
      </c>
      <c r="D1022" s="2">
        <f t="shared" si="15"/>
        <v>1</v>
      </c>
    </row>
    <row r="1023" spans="1:4" x14ac:dyDescent="0.3">
      <c r="A1023" s="34">
        <v>17302</v>
      </c>
      <c r="B1023" s="35">
        <v>1</v>
      </c>
      <c r="C1023" s="35">
        <v>0</v>
      </c>
      <c r="D1023" s="2">
        <f t="shared" si="15"/>
        <v>1</v>
      </c>
    </row>
    <row r="1024" spans="1:4" x14ac:dyDescent="0.3">
      <c r="A1024" s="34">
        <v>17304</v>
      </c>
      <c r="B1024" s="35">
        <v>1</v>
      </c>
      <c r="C1024" s="35">
        <v>0</v>
      </c>
      <c r="D1024" s="2">
        <f t="shared" si="15"/>
        <v>1</v>
      </c>
    </row>
    <row r="1025" spans="1:4" x14ac:dyDescent="0.3">
      <c r="A1025" s="34">
        <v>17349</v>
      </c>
      <c r="B1025" s="35">
        <v>1</v>
      </c>
      <c r="C1025" s="35">
        <v>0</v>
      </c>
      <c r="D1025" s="2">
        <f t="shared" si="15"/>
        <v>1</v>
      </c>
    </row>
    <row r="1026" spans="1:4" x14ac:dyDescent="0.3">
      <c r="A1026" s="34">
        <v>17350</v>
      </c>
      <c r="B1026" s="35">
        <v>2</v>
      </c>
      <c r="C1026" s="35">
        <v>0</v>
      </c>
      <c r="D1026" s="2">
        <f t="shared" si="15"/>
        <v>2</v>
      </c>
    </row>
    <row r="1027" spans="1:4" x14ac:dyDescent="0.3">
      <c r="A1027" s="34">
        <v>17354</v>
      </c>
      <c r="B1027" s="35">
        <v>1</v>
      </c>
      <c r="C1027" s="35">
        <v>0</v>
      </c>
      <c r="D1027" s="2">
        <f t="shared" ref="D1027:D1090" si="16">B1027+C1027</f>
        <v>1</v>
      </c>
    </row>
    <row r="1028" spans="1:4" x14ac:dyDescent="0.3">
      <c r="A1028" s="34">
        <v>17364</v>
      </c>
      <c r="B1028" s="35">
        <v>2</v>
      </c>
      <c r="C1028" s="35">
        <v>1</v>
      </c>
      <c r="D1028" s="2">
        <f t="shared" si="16"/>
        <v>3</v>
      </c>
    </row>
    <row r="1029" spans="1:4" x14ac:dyDescent="0.3">
      <c r="A1029" s="34">
        <v>17382</v>
      </c>
      <c r="B1029" s="35">
        <v>1</v>
      </c>
      <c r="C1029" s="35">
        <v>0</v>
      </c>
      <c r="D1029" s="2">
        <f t="shared" si="16"/>
        <v>1</v>
      </c>
    </row>
    <row r="1030" spans="1:4" x14ac:dyDescent="0.3">
      <c r="A1030" s="34">
        <v>17384</v>
      </c>
      <c r="B1030" s="35">
        <v>1</v>
      </c>
      <c r="C1030" s="35">
        <v>0</v>
      </c>
      <c r="D1030" s="2">
        <f t="shared" si="16"/>
        <v>1</v>
      </c>
    </row>
    <row r="1031" spans="1:4" x14ac:dyDescent="0.3">
      <c r="A1031" s="34">
        <v>17385</v>
      </c>
      <c r="B1031" s="35">
        <v>1</v>
      </c>
      <c r="C1031" s="35">
        <v>0</v>
      </c>
      <c r="D1031" s="2">
        <f t="shared" si="16"/>
        <v>1</v>
      </c>
    </row>
    <row r="1032" spans="1:4" x14ac:dyDescent="0.3">
      <c r="A1032" s="34">
        <v>17403</v>
      </c>
      <c r="B1032" s="35">
        <v>1</v>
      </c>
      <c r="C1032" s="35">
        <v>0</v>
      </c>
      <c r="D1032" s="2">
        <f t="shared" si="16"/>
        <v>1</v>
      </c>
    </row>
    <row r="1033" spans="1:4" x14ac:dyDescent="0.3">
      <c r="A1033" s="34">
        <v>17409</v>
      </c>
      <c r="B1033" s="35">
        <v>2</v>
      </c>
      <c r="C1033" s="35">
        <v>0</v>
      </c>
      <c r="D1033" s="2">
        <f t="shared" si="16"/>
        <v>2</v>
      </c>
    </row>
    <row r="1034" spans="1:4" x14ac:dyDescent="0.3">
      <c r="A1034" s="34">
        <v>17438</v>
      </c>
      <c r="B1034" s="35">
        <v>1</v>
      </c>
      <c r="C1034" s="35">
        <v>0</v>
      </c>
      <c r="D1034" s="2">
        <f t="shared" si="16"/>
        <v>1</v>
      </c>
    </row>
    <row r="1035" spans="1:4" x14ac:dyDescent="0.3">
      <c r="A1035" s="34">
        <v>17445</v>
      </c>
      <c r="B1035" s="35">
        <v>1</v>
      </c>
      <c r="C1035" s="35">
        <v>1</v>
      </c>
      <c r="D1035" s="2">
        <f t="shared" si="16"/>
        <v>2</v>
      </c>
    </row>
    <row r="1036" spans="1:4" x14ac:dyDescent="0.3">
      <c r="A1036" s="34">
        <v>17452</v>
      </c>
      <c r="B1036" s="35">
        <v>2</v>
      </c>
      <c r="C1036" s="35">
        <v>0</v>
      </c>
      <c r="D1036" s="2">
        <f t="shared" si="16"/>
        <v>2</v>
      </c>
    </row>
    <row r="1037" spans="1:4" x14ac:dyDescent="0.3">
      <c r="A1037" s="34">
        <v>17455</v>
      </c>
      <c r="B1037" s="35">
        <v>3</v>
      </c>
      <c r="C1037" s="35">
        <v>1</v>
      </c>
      <c r="D1037" s="2">
        <f t="shared" si="16"/>
        <v>4</v>
      </c>
    </row>
    <row r="1038" spans="1:4" x14ac:dyDescent="0.3">
      <c r="A1038" s="34">
        <v>17458</v>
      </c>
      <c r="B1038" s="35">
        <v>3</v>
      </c>
      <c r="C1038" s="35">
        <v>2</v>
      </c>
      <c r="D1038" s="2">
        <f t="shared" si="16"/>
        <v>5</v>
      </c>
    </row>
    <row r="1039" spans="1:4" x14ac:dyDescent="0.3">
      <c r="A1039" s="34">
        <v>17466</v>
      </c>
      <c r="B1039" s="35">
        <v>1</v>
      </c>
      <c r="C1039" s="35">
        <v>1</v>
      </c>
      <c r="D1039" s="2">
        <f t="shared" si="16"/>
        <v>2</v>
      </c>
    </row>
    <row r="1040" spans="1:4" x14ac:dyDescent="0.3">
      <c r="A1040" s="34">
        <v>17481</v>
      </c>
      <c r="B1040" s="35">
        <v>1</v>
      </c>
      <c r="C1040" s="35">
        <v>0</v>
      </c>
      <c r="D1040" s="2">
        <f t="shared" si="16"/>
        <v>1</v>
      </c>
    </row>
    <row r="1041" spans="1:4" x14ac:dyDescent="0.3">
      <c r="A1041" s="34">
        <v>17488</v>
      </c>
      <c r="B1041" s="35">
        <v>1</v>
      </c>
      <c r="C1041" s="35">
        <v>1</v>
      </c>
      <c r="D1041" s="2">
        <f t="shared" si="16"/>
        <v>2</v>
      </c>
    </row>
    <row r="1042" spans="1:4" x14ac:dyDescent="0.3">
      <c r="A1042" s="34">
        <v>17502</v>
      </c>
      <c r="B1042" s="35">
        <v>2</v>
      </c>
      <c r="C1042" s="35">
        <v>2</v>
      </c>
      <c r="D1042" s="2">
        <f t="shared" si="16"/>
        <v>4</v>
      </c>
    </row>
    <row r="1043" spans="1:4" x14ac:dyDescent="0.3">
      <c r="A1043" s="34">
        <v>17503</v>
      </c>
      <c r="B1043" s="35">
        <v>1</v>
      </c>
      <c r="C1043" s="35">
        <v>1</v>
      </c>
      <c r="D1043" s="2">
        <f t="shared" si="16"/>
        <v>2</v>
      </c>
    </row>
    <row r="1044" spans="1:4" x14ac:dyDescent="0.3">
      <c r="A1044" s="34">
        <v>17505</v>
      </c>
      <c r="B1044" s="35">
        <v>1</v>
      </c>
      <c r="C1044" s="35">
        <v>0</v>
      </c>
      <c r="D1044" s="2">
        <f t="shared" si="16"/>
        <v>1</v>
      </c>
    </row>
    <row r="1045" spans="1:4" x14ac:dyDescent="0.3">
      <c r="A1045" s="34">
        <v>17512</v>
      </c>
      <c r="B1045" s="35">
        <v>1</v>
      </c>
      <c r="C1045" s="35">
        <v>0</v>
      </c>
      <c r="D1045" s="2">
        <f t="shared" si="16"/>
        <v>1</v>
      </c>
    </row>
    <row r="1046" spans="1:4" x14ac:dyDescent="0.3">
      <c r="A1046" s="34">
        <v>17527</v>
      </c>
      <c r="B1046" s="35">
        <v>3</v>
      </c>
      <c r="C1046" s="35">
        <v>0</v>
      </c>
      <c r="D1046" s="2">
        <f t="shared" si="16"/>
        <v>3</v>
      </c>
    </row>
    <row r="1047" spans="1:4" x14ac:dyDescent="0.3">
      <c r="A1047" s="34">
        <v>17539</v>
      </c>
      <c r="B1047" s="35">
        <v>2</v>
      </c>
      <c r="C1047" s="35">
        <v>0</v>
      </c>
      <c r="D1047" s="2">
        <f t="shared" si="16"/>
        <v>2</v>
      </c>
    </row>
    <row r="1048" spans="1:4" x14ac:dyDescent="0.3">
      <c r="A1048" s="34">
        <v>17541</v>
      </c>
      <c r="B1048" s="35">
        <v>1</v>
      </c>
      <c r="C1048" s="35">
        <v>0</v>
      </c>
      <c r="D1048" s="2">
        <f t="shared" si="16"/>
        <v>1</v>
      </c>
    </row>
    <row r="1049" spans="1:4" x14ac:dyDescent="0.3">
      <c r="A1049" s="34">
        <v>17548</v>
      </c>
      <c r="B1049" s="35">
        <v>1</v>
      </c>
      <c r="C1049" s="35">
        <v>0</v>
      </c>
      <c r="D1049" s="2">
        <f t="shared" si="16"/>
        <v>1</v>
      </c>
    </row>
    <row r="1050" spans="1:4" x14ac:dyDescent="0.3">
      <c r="A1050" s="34">
        <v>17549</v>
      </c>
      <c r="B1050" s="35">
        <v>1</v>
      </c>
      <c r="C1050" s="35">
        <v>0</v>
      </c>
      <c r="D1050" s="2">
        <f t="shared" si="16"/>
        <v>1</v>
      </c>
    </row>
    <row r="1051" spans="1:4" x14ac:dyDescent="0.3">
      <c r="A1051" s="34">
        <v>17555</v>
      </c>
      <c r="B1051" s="35">
        <v>1</v>
      </c>
      <c r="C1051" s="35">
        <v>0</v>
      </c>
      <c r="D1051" s="2">
        <f t="shared" si="16"/>
        <v>1</v>
      </c>
    </row>
    <row r="1052" spans="1:4" x14ac:dyDescent="0.3">
      <c r="A1052" s="34">
        <v>17556</v>
      </c>
      <c r="B1052" s="35">
        <v>2</v>
      </c>
      <c r="C1052" s="35">
        <v>2</v>
      </c>
      <c r="D1052" s="2">
        <f t="shared" si="16"/>
        <v>4</v>
      </c>
    </row>
    <row r="1053" spans="1:4" x14ac:dyDescent="0.3">
      <c r="A1053" s="34">
        <v>17557</v>
      </c>
      <c r="B1053" s="35">
        <v>1</v>
      </c>
      <c r="C1053" s="35">
        <v>1</v>
      </c>
      <c r="D1053" s="2">
        <f t="shared" si="16"/>
        <v>2</v>
      </c>
    </row>
    <row r="1054" spans="1:4" x14ac:dyDescent="0.3">
      <c r="A1054" s="34">
        <v>17563</v>
      </c>
      <c r="B1054" s="35">
        <v>1</v>
      </c>
      <c r="C1054" s="35">
        <v>0</v>
      </c>
      <c r="D1054" s="2">
        <f t="shared" si="16"/>
        <v>1</v>
      </c>
    </row>
    <row r="1055" spans="1:4" x14ac:dyDescent="0.3">
      <c r="A1055" s="34">
        <v>17567</v>
      </c>
      <c r="B1055" s="35">
        <v>1</v>
      </c>
      <c r="C1055" s="35">
        <v>1</v>
      </c>
      <c r="D1055" s="2">
        <f t="shared" si="16"/>
        <v>2</v>
      </c>
    </row>
    <row r="1056" spans="1:4" x14ac:dyDescent="0.3">
      <c r="A1056" s="34">
        <v>17568</v>
      </c>
      <c r="B1056" s="35">
        <v>1</v>
      </c>
      <c r="C1056" s="35">
        <v>0</v>
      </c>
      <c r="D1056" s="2">
        <f t="shared" si="16"/>
        <v>1</v>
      </c>
    </row>
    <row r="1057" spans="1:4" x14ac:dyDescent="0.3">
      <c r="A1057" s="34">
        <v>17580</v>
      </c>
      <c r="B1057" s="35">
        <v>2</v>
      </c>
      <c r="C1057" s="35">
        <v>0</v>
      </c>
      <c r="D1057" s="2">
        <f t="shared" si="16"/>
        <v>2</v>
      </c>
    </row>
    <row r="1058" spans="1:4" x14ac:dyDescent="0.3">
      <c r="A1058" s="34">
        <v>17596</v>
      </c>
      <c r="B1058" s="35">
        <v>1</v>
      </c>
      <c r="C1058" s="35">
        <v>0</v>
      </c>
      <c r="D1058" s="2">
        <f t="shared" si="16"/>
        <v>1</v>
      </c>
    </row>
    <row r="1059" spans="1:4" x14ac:dyDescent="0.3">
      <c r="A1059" s="34">
        <v>17597</v>
      </c>
      <c r="B1059" s="35">
        <v>1</v>
      </c>
      <c r="C1059" s="35">
        <v>0</v>
      </c>
      <c r="D1059" s="2">
        <f t="shared" si="16"/>
        <v>1</v>
      </c>
    </row>
    <row r="1060" spans="1:4" x14ac:dyDescent="0.3">
      <c r="A1060" s="34">
        <v>17604</v>
      </c>
      <c r="B1060" s="35">
        <v>1</v>
      </c>
      <c r="C1060" s="35">
        <v>0</v>
      </c>
      <c r="D1060" s="2">
        <f t="shared" si="16"/>
        <v>1</v>
      </c>
    </row>
    <row r="1061" spans="1:4" x14ac:dyDescent="0.3">
      <c r="A1061" s="34">
        <v>17613</v>
      </c>
      <c r="B1061" s="35">
        <v>1</v>
      </c>
      <c r="C1061" s="35">
        <v>0</v>
      </c>
      <c r="D1061" s="2">
        <f t="shared" si="16"/>
        <v>1</v>
      </c>
    </row>
    <row r="1062" spans="1:4" x14ac:dyDescent="0.3">
      <c r="A1062" s="34">
        <v>17623</v>
      </c>
      <c r="B1062" s="35">
        <v>2</v>
      </c>
      <c r="C1062" s="35">
        <v>0</v>
      </c>
      <c r="D1062" s="2">
        <f t="shared" si="16"/>
        <v>2</v>
      </c>
    </row>
    <row r="1063" spans="1:4" x14ac:dyDescent="0.3">
      <c r="A1063" s="34">
        <v>17624</v>
      </c>
      <c r="B1063" s="35">
        <v>1</v>
      </c>
      <c r="C1063" s="35">
        <v>0</v>
      </c>
      <c r="D1063" s="2">
        <f t="shared" si="16"/>
        <v>1</v>
      </c>
    </row>
    <row r="1064" spans="1:4" x14ac:dyDescent="0.3">
      <c r="A1064" s="34">
        <v>17629</v>
      </c>
      <c r="B1064" s="35">
        <v>2</v>
      </c>
      <c r="C1064" s="35">
        <v>0</v>
      </c>
      <c r="D1064" s="2">
        <f t="shared" si="16"/>
        <v>2</v>
      </c>
    </row>
    <row r="1065" spans="1:4" x14ac:dyDescent="0.3">
      <c r="A1065" s="34">
        <v>17631</v>
      </c>
      <c r="B1065" s="35">
        <v>1</v>
      </c>
      <c r="C1065" s="35">
        <v>0</v>
      </c>
      <c r="D1065" s="2">
        <f t="shared" si="16"/>
        <v>1</v>
      </c>
    </row>
    <row r="1066" spans="1:4" x14ac:dyDescent="0.3">
      <c r="A1066" s="34">
        <v>17638</v>
      </c>
      <c r="B1066" s="35">
        <v>1</v>
      </c>
      <c r="C1066" s="35">
        <v>0</v>
      </c>
      <c r="D1066" s="2">
        <f t="shared" si="16"/>
        <v>1</v>
      </c>
    </row>
    <row r="1067" spans="1:4" x14ac:dyDescent="0.3">
      <c r="A1067" s="34">
        <v>17646</v>
      </c>
      <c r="B1067" s="35">
        <v>1</v>
      </c>
      <c r="C1067" s="35">
        <v>0</v>
      </c>
      <c r="D1067" s="2">
        <f t="shared" si="16"/>
        <v>1</v>
      </c>
    </row>
    <row r="1068" spans="1:4" x14ac:dyDescent="0.3">
      <c r="A1068" s="34">
        <v>17655</v>
      </c>
      <c r="B1068" s="35">
        <v>1</v>
      </c>
      <c r="C1068" s="35">
        <v>1</v>
      </c>
      <c r="D1068" s="2">
        <f t="shared" si="16"/>
        <v>2</v>
      </c>
    </row>
    <row r="1069" spans="1:4" x14ac:dyDescent="0.3">
      <c r="A1069" s="34">
        <v>17658</v>
      </c>
      <c r="B1069" s="35">
        <v>1</v>
      </c>
      <c r="C1069" s="35">
        <v>0</v>
      </c>
      <c r="D1069" s="2">
        <f t="shared" si="16"/>
        <v>1</v>
      </c>
    </row>
    <row r="1070" spans="1:4" x14ac:dyDescent="0.3">
      <c r="A1070" s="34">
        <v>17659</v>
      </c>
      <c r="B1070" s="35">
        <v>1</v>
      </c>
      <c r="C1070" s="35">
        <v>0</v>
      </c>
      <c r="D1070" s="2">
        <f t="shared" si="16"/>
        <v>1</v>
      </c>
    </row>
    <row r="1071" spans="1:4" x14ac:dyDescent="0.3">
      <c r="A1071" s="34">
        <v>17663</v>
      </c>
      <c r="B1071" s="35">
        <v>1</v>
      </c>
      <c r="C1071" s="35">
        <v>0</v>
      </c>
      <c r="D1071" s="2">
        <f t="shared" si="16"/>
        <v>1</v>
      </c>
    </row>
    <row r="1072" spans="1:4" x14ac:dyDescent="0.3">
      <c r="A1072" s="34">
        <v>17665</v>
      </c>
      <c r="B1072" s="35">
        <v>1</v>
      </c>
      <c r="C1072" s="35">
        <v>0</v>
      </c>
      <c r="D1072" s="2">
        <f t="shared" si="16"/>
        <v>1</v>
      </c>
    </row>
    <row r="1073" spans="1:4" x14ac:dyDescent="0.3">
      <c r="A1073" s="34">
        <v>17667</v>
      </c>
      <c r="B1073" s="35">
        <v>1</v>
      </c>
      <c r="C1073" s="35">
        <v>0</v>
      </c>
      <c r="D1073" s="2">
        <f t="shared" si="16"/>
        <v>1</v>
      </c>
    </row>
    <row r="1074" spans="1:4" x14ac:dyDescent="0.3">
      <c r="A1074" s="34">
        <v>17698</v>
      </c>
      <c r="B1074" s="35">
        <v>2</v>
      </c>
      <c r="C1074" s="35">
        <v>0</v>
      </c>
      <c r="D1074" s="2">
        <f t="shared" si="16"/>
        <v>2</v>
      </c>
    </row>
    <row r="1075" spans="1:4" x14ac:dyDescent="0.3">
      <c r="A1075" s="34">
        <v>17702</v>
      </c>
      <c r="B1075" s="35">
        <v>2</v>
      </c>
      <c r="C1075" s="35">
        <v>0</v>
      </c>
      <c r="D1075" s="2">
        <f t="shared" si="16"/>
        <v>2</v>
      </c>
    </row>
    <row r="1076" spans="1:4" x14ac:dyDescent="0.3">
      <c r="A1076" s="34">
        <v>17708</v>
      </c>
      <c r="B1076" s="35">
        <v>1</v>
      </c>
      <c r="C1076" s="35">
        <v>0</v>
      </c>
      <c r="D1076" s="2">
        <f t="shared" si="16"/>
        <v>1</v>
      </c>
    </row>
    <row r="1077" spans="1:4" x14ac:dyDescent="0.3">
      <c r="A1077" s="34">
        <v>17709</v>
      </c>
      <c r="B1077" s="35">
        <v>1</v>
      </c>
      <c r="C1077" s="35">
        <v>1</v>
      </c>
      <c r="D1077" s="2">
        <f t="shared" si="16"/>
        <v>2</v>
      </c>
    </row>
    <row r="1078" spans="1:4" x14ac:dyDescent="0.3">
      <c r="A1078" s="34">
        <v>17718</v>
      </c>
      <c r="B1078" s="35">
        <v>1</v>
      </c>
      <c r="C1078" s="35">
        <v>0</v>
      </c>
      <c r="D1078" s="2">
        <f t="shared" si="16"/>
        <v>1</v>
      </c>
    </row>
    <row r="1079" spans="1:4" x14ac:dyDescent="0.3">
      <c r="A1079" s="34">
        <v>17743</v>
      </c>
      <c r="B1079" s="35">
        <v>1</v>
      </c>
      <c r="C1079" s="35">
        <v>1</v>
      </c>
      <c r="D1079" s="2">
        <f t="shared" si="16"/>
        <v>2</v>
      </c>
    </row>
    <row r="1080" spans="1:4" x14ac:dyDescent="0.3">
      <c r="A1080" s="34">
        <v>17747</v>
      </c>
      <c r="B1080" s="35">
        <v>1</v>
      </c>
      <c r="C1080" s="35">
        <v>1</v>
      </c>
      <c r="D1080" s="2">
        <f t="shared" si="16"/>
        <v>2</v>
      </c>
    </row>
    <row r="1081" spans="1:4" x14ac:dyDescent="0.3">
      <c r="A1081" s="34">
        <v>17861</v>
      </c>
      <c r="B1081" s="35">
        <v>1</v>
      </c>
      <c r="C1081" s="35">
        <v>0</v>
      </c>
      <c r="D1081" s="2">
        <f t="shared" si="16"/>
        <v>1</v>
      </c>
    </row>
    <row r="1082" spans="1:4" x14ac:dyDescent="0.3">
      <c r="A1082" s="34">
        <v>17867</v>
      </c>
      <c r="B1082" s="35">
        <v>2</v>
      </c>
      <c r="C1082" s="35">
        <v>2</v>
      </c>
      <c r="D1082" s="2">
        <f t="shared" si="16"/>
        <v>4</v>
      </c>
    </row>
    <row r="1083" spans="1:4" x14ac:dyDescent="0.3">
      <c r="A1083" s="34">
        <v>17873</v>
      </c>
      <c r="B1083" s="35">
        <v>1</v>
      </c>
      <c r="C1083" s="35">
        <v>0</v>
      </c>
      <c r="D1083" s="2">
        <f t="shared" si="16"/>
        <v>1</v>
      </c>
    </row>
    <row r="1084" spans="1:4" x14ac:dyDescent="0.3">
      <c r="A1084" s="34">
        <v>17875</v>
      </c>
      <c r="B1084" s="35">
        <v>1</v>
      </c>
      <c r="C1084" s="35">
        <v>0</v>
      </c>
      <c r="D1084" s="2">
        <f t="shared" si="16"/>
        <v>1</v>
      </c>
    </row>
    <row r="1085" spans="1:4" x14ac:dyDescent="0.3">
      <c r="A1085" s="34">
        <v>17884</v>
      </c>
      <c r="B1085" s="35">
        <v>2</v>
      </c>
      <c r="C1085" s="35">
        <v>2</v>
      </c>
      <c r="D1085" s="2">
        <f t="shared" si="16"/>
        <v>4</v>
      </c>
    </row>
    <row r="1086" spans="1:4" x14ac:dyDescent="0.3">
      <c r="A1086" s="34">
        <v>17885</v>
      </c>
      <c r="B1086" s="35">
        <v>2</v>
      </c>
      <c r="C1086" s="35">
        <v>2</v>
      </c>
      <c r="D1086" s="2">
        <f t="shared" si="16"/>
        <v>4</v>
      </c>
    </row>
    <row r="1087" spans="1:4" x14ac:dyDescent="0.3">
      <c r="A1087" s="34">
        <v>17890</v>
      </c>
      <c r="B1087" s="35">
        <v>3</v>
      </c>
      <c r="C1087" s="35">
        <v>0</v>
      </c>
      <c r="D1087" s="2">
        <f t="shared" si="16"/>
        <v>3</v>
      </c>
    </row>
    <row r="1088" spans="1:4" x14ac:dyDescent="0.3">
      <c r="A1088" s="34">
        <v>17894</v>
      </c>
      <c r="B1088" s="35">
        <v>1</v>
      </c>
      <c r="C1088" s="35">
        <v>0</v>
      </c>
      <c r="D1088" s="2">
        <f t="shared" si="16"/>
        <v>1</v>
      </c>
    </row>
    <row r="1089" spans="1:4" x14ac:dyDescent="0.3">
      <c r="A1089" s="34">
        <v>17895</v>
      </c>
      <c r="B1089" s="35">
        <v>1</v>
      </c>
      <c r="C1089" s="35">
        <v>1</v>
      </c>
      <c r="D1089" s="2">
        <f t="shared" si="16"/>
        <v>2</v>
      </c>
    </row>
    <row r="1090" spans="1:4" x14ac:dyDescent="0.3">
      <c r="A1090" s="34">
        <v>17898</v>
      </c>
      <c r="B1090" s="35">
        <v>1</v>
      </c>
      <c r="C1090" s="35">
        <v>0</v>
      </c>
      <c r="D1090" s="2">
        <f t="shared" si="16"/>
        <v>1</v>
      </c>
    </row>
    <row r="1091" spans="1:4" x14ac:dyDescent="0.3">
      <c r="A1091" s="34">
        <v>17902</v>
      </c>
      <c r="B1091" s="35">
        <v>1</v>
      </c>
      <c r="C1091" s="35">
        <v>0</v>
      </c>
      <c r="D1091" s="2">
        <f t="shared" ref="D1091:D1154" si="17">B1091+C1091</f>
        <v>1</v>
      </c>
    </row>
    <row r="1092" spans="1:4" x14ac:dyDescent="0.3">
      <c r="A1092" s="34">
        <v>17903</v>
      </c>
      <c r="B1092" s="35">
        <v>1</v>
      </c>
      <c r="C1092" s="35">
        <v>0</v>
      </c>
      <c r="D1092" s="2">
        <f t="shared" si="17"/>
        <v>1</v>
      </c>
    </row>
    <row r="1093" spans="1:4" x14ac:dyDescent="0.3">
      <c r="A1093" s="34">
        <v>17911</v>
      </c>
      <c r="B1093" s="35">
        <v>1</v>
      </c>
      <c r="C1093" s="35">
        <v>0</v>
      </c>
      <c r="D1093" s="2">
        <f t="shared" si="17"/>
        <v>1</v>
      </c>
    </row>
    <row r="1094" spans="1:4" x14ac:dyDescent="0.3">
      <c r="A1094" s="34">
        <v>17912</v>
      </c>
      <c r="B1094" s="35">
        <v>1</v>
      </c>
      <c r="C1094" s="35">
        <v>0</v>
      </c>
      <c r="D1094" s="2">
        <f t="shared" si="17"/>
        <v>1</v>
      </c>
    </row>
    <row r="1095" spans="1:4" x14ac:dyDescent="0.3">
      <c r="A1095" s="34">
        <v>17916</v>
      </c>
      <c r="B1095" s="35">
        <v>1</v>
      </c>
      <c r="C1095" s="35">
        <v>0</v>
      </c>
      <c r="D1095" s="2">
        <f t="shared" si="17"/>
        <v>1</v>
      </c>
    </row>
    <row r="1096" spans="1:4" x14ac:dyDescent="0.3">
      <c r="A1096" s="34">
        <v>17920</v>
      </c>
      <c r="B1096" s="35">
        <v>1</v>
      </c>
      <c r="C1096" s="35">
        <v>1</v>
      </c>
      <c r="D1096" s="2">
        <f t="shared" si="17"/>
        <v>2</v>
      </c>
    </row>
    <row r="1097" spans="1:4" x14ac:dyDescent="0.3">
      <c r="A1097" s="34">
        <v>17922</v>
      </c>
      <c r="B1097" s="35">
        <v>1</v>
      </c>
      <c r="C1097" s="35">
        <v>0</v>
      </c>
      <c r="D1097" s="2">
        <f t="shared" si="17"/>
        <v>1</v>
      </c>
    </row>
    <row r="1098" spans="1:4" x14ac:dyDescent="0.3">
      <c r="A1098" s="34">
        <v>17927</v>
      </c>
      <c r="B1098" s="35">
        <v>2</v>
      </c>
      <c r="C1098" s="35">
        <v>2</v>
      </c>
      <c r="D1098" s="2">
        <f t="shared" si="17"/>
        <v>4</v>
      </c>
    </row>
    <row r="1099" spans="1:4" x14ac:dyDescent="0.3">
      <c r="A1099" s="34">
        <v>17931</v>
      </c>
      <c r="B1099" s="35">
        <v>1</v>
      </c>
      <c r="C1099" s="35">
        <v>1</v>
      </c>
      <c r="D1099" s="2">
        <f t="shared" si="17"/>
        <v>2</v>
      </c>
    </row>
    <row r="1100" spans="1:4" x14ac:dyDescent="0.3">
      <c r="A1100" s="34">
        <v>17946</v>
      </c>
      <c r="B1100" s="35">
        <v>1</v>
      </c>
      <c r="C1100" s="35">
        <v>0</v>
      </c>
      <c r="D1100" s="2">
        <f t="shared" si="17"/>
        <v>1</v>
      </c>
    </row>
    <row r="1101" spans="1:4" x14ac:dyDescent="0.3">
      <c r="A1101" s="34">
        <v>17951</v>
      </c>
      <c r="B1101" s="35">
        <v>1</v>
      </c>
      <c r="C1101" s="35">
        <v>0</v>
      </c>
      <c r="D1101" s="2">
        <f t="shared" si="17"/>
        <v>1</v>
      </c>
    </row>
    <row r="1102" spans="1:4" x14ac:dyDescent="0.3">
      <c r="A1102" s="34">
        <v>17953</v>
      </c>
      <c r="B1102" s="35">
        <v>1</v>
      </c>
      <c r="C1102" s="35">
        <v>0</v>
      </c>
      <c r="D1102" s="2">
        <f t="shared" si="17"/>
        <v>1</v>
      </c>
    </row>
    <row r="1103" spans="1:4" x14ac:dyDescent="0.3">
      <c r="A1103" s="34">
        <v>17974</v>
      </c>
      <c r="B1103" s="35">
        <v>1</v>
      </c>
      <c r="C1103" s="35">
        <v>1</v>
      </c>
      <c r="D1103" s="2">
        <f t="shared" si="17"/>
        <v>2</v>
      </c>
    </row>
    <row r="1104" spans="1:4" x14ac:dyDescent="0.3">
      <c r="A1104" s="34">
        <v>17978</v>
      </c>
      <c r="B1104" s="35">
        <v>1</v>
      </c>
      <c r="C1104" s="35">
        <v>1</v>
      </c>
      <c r="D1104" s="2">
        <f t="shared" si="17"/>
        <v>2</v>
      </c>
    </row>
    <row r="1105" spans="1:4" x14ac:dyDescent="0.3">
      <c r="A1105" s="34">
        <v>17989</v>
      </c>
      <c r="B1105" s="35">
        <v>1</v>
      </c>
      <c r="C1105" s="35">
        <v>0</v>
      </c>
      <c r="D1105" s="2">
        <f t="shared" si="17"/>
        <v>1</v>
      </c>
    </row>
    <row r="1106" spans="1:4" x14ac:dyDescent="0.3">
      <c r="A1106" s="34">
        <v>17991</v>
      </c>
      <c r="B1106" s="35">
        <v>1</v>
      </c>
      <c r="C1106" s="35">
        <v>1</v>
      </c>
      <c r="D1106" s="2">
        <f t="shared" si="17"/>
        <v>2</v>
      </c>
    </row>
    <row r="1107" spans="1:4" x14ac:dyDescent="0.3">
      <c r="A1107" s="34">
        <v>17992</v>
      </c>
      <c r="B1107" s="35">
        <v>1</v>
      </c>
      <c r="C1107" s="35">
        <v>0</v>
      </c>
      <c r="D1107" s="2">
        <f t="shared" si="17"/>
        <v>1</v>
      </c>
    </row>
    <row r="1108" spans="1:4" x14ac:dyDescent="0.3">
      <c r="A1108" s="34">
        <v>17993</v>
      </c>
      <c r="B1108" s="35">
        <v>1</v>
      </c>
      <c r="C1108" s="35">
        <v>0</v>
      </c>
      <c r="D1108" s="2">
        <f t="shared" si="17"/>
        <v>1</v>
      </c>
    </row>
    <row r="1109" spans="1:4" x14ac:dyDescent="0.3">
      <c r="A1109" s="34">
        <v>17996</v>
      </c>
      <c r="B1109" s="35">
        <v>1</v>
      </c>
      <c r="C1109" s="35">
        <v>1</v>
      </c>
      <c r="D1109" s="2">
        <f t="shared" si="17"/>
        <v>2</v>
      </c>
    </row>
    <row r="1110" spans="1:4" x14ac:dyDescent="0.3">
      <c r="A1110" s="34">
        <v>17998</v>
      </c>
      <c r="B1110" s="35">
        <v>1</v>
      </c>
      <c r="C1110" s="35">
        <v>0</v>
      </c>
      <c r="D1110" s="2">
        <f t="shared" si="17"/>
        <v>1</v>
      </c>
    </row>
    <row r="1111" spans="1:4" x14ac:dyDescent="0.3">
      <c r="A1111" s="34">
        <v>17999</v>
      </c>
      <c r="B1111" s="35">
        <v>1</v>
      </c>
      <c r="C1111" s="35">
        <v>1</v>
      </c>
      <c r="D1111" s="2">
        <f t="shared" si="17"/>
        <v>2</v>
      </c>
    </row>
    <row r="1112" spans="1:4" x14ac:dyDescent="0.3">
      <c r="A1112" s="34">
        <v>18078</v>
      </c>
      <c r="B1112" s="35">
        <v>1</v>
      </c>
      <c r="C1112" s="35">
        <v>0</v>
      </c>
      <c r="D1112" s="2">
        <f t="shared" si="17"/>
        <v>1</v>
      </c>
    </row>
    <row r="1113" spans="1:4" x14ac:dyDescent="0.3">
      <c r="A1113" s="34">
        <v>18079</v>
      </c>
      <c r="B1113" s="35">
        <v>1</v>
      </c>
      <c r="C1113" s="35">
        <v>0</v>
      </c>
      <c r="D1113" s="2">
        <f t="shared" si="17"/>
        <v>1</v>
      </c>
    </row>
    <row r="1114" spans="1:4" x14ac:dyDescent="0.3">
      <c r="A1114" s="34">
        <v>18084</v>
      </c>
      <c r="B1114" s="35">
        <v>2</v>
      </c>
      <c r="C1114" s="35">
        <v>0</v>
      </c>
      <c r="D1114" s="2">
        <f t="shared" si="17"/>
        <v>2</v>
      </c>
    </row>
    <row r="1115" spans="1:4" x14ac:dyDescent="0.3">
      <c r="A1115" s="34">
        <v>18093</v>
      </c>
      <c r="B1115" s="35">
        <v>1</v>
      </c>
      <c r="C1115" s="35">
        <v>1</v>
      </c>
      <c r="D1115" s="2">
        <f t="shared" si="17"/>
        <v>2</v>
      </c>
    </row>
    <row r="1116" spans="1:4" x14ac:dyDescent="0.3">
      <c r="A1116" s="34">
        <v>18094</v>
      </c>
      <c r="B1116" s="35">
        <v>1</v>
      </c>
      <c r="C1116" s="35">
        <v>0</v>
      </c>
      <c r="D1116" s="2">
        <f t="shared" si="17"/>
        <v>1</v>
      </c>
    </row>
    <row r="1117" spans="1:4" x14ac:dyDescent="0.3">
      <c r="A1117" s="34">
        <v>18095</v>
      </c>
      <c r="B1117" s="35">
        <v>4</v>
      </c>
      <c r="C1117" s="35">
        <v>2</v>
      </c>
      <c r="D1117" s="2">
        <f t="shared" si="17"/>
        <v>6</v>
      </c>
    </row>
    <row r="1118" spans="1:4" x14ac:dyDescent="0.3">
      <c r="A1118" s="34">
        <v>18097</v>
      </c>
      <c r="B1118" s="35">
        <v>1</v>
      </c>
      <c r="C1118" s="35">
        <v>0</v>
      </c>
      <c r="D1118" s="2">
        <f t="shared" si="17"/>
        <v>1</v>
      </c>
    </row>
    <row r="1119" spans="1:4" x14ac:dyDescent="0.3">
      <c r="A1119" s="34">
        <v>18098</v>
      </c>
      <c r="B1119" s="35">
        <v>1</v>
      </c>
      <c r="C1119" s="35">
        <v>0</v>
      </c>
      <c r="D1119" s="2">
        <f t="shared" si="17"/>
        <v>1</v>
      </c>
    </row>
    <row r="1120" spans="1:4" x14ac:dyDescent="0.3">
      <c r="A1120" s="34">
        <v>18108</v>
      </c>
      <c r="B1120" s="35">
        <v>1</v>
      </c>
      <c r="C1120" s="35">
        <v>0</v>
      </c>
      <c r="D1120" s="2">
        <f t="shared" si="17"/>
        <v>1</v>
      </c>
    </row>
    <row r="1121" spans="1:4" x14ac:dyDescent="0.3">
      <c r="A1121" s="34">
        <v>18112</v>
      </c>
      <c r="B1121" s="35">
        <v>1</v>
      </c>
      <c r="C1121" s="35">
        <v>0</v>
      </c>
      <c r="D1121" s="2">
        <f t="shared" si="17"/>
        <v>1</v>
      </c>
    </row>
    <row r="1122" spans="1:4" x14ac:dyDescent="0.3">
      <c r="A1122" s="34">
        <v>18127</v>
      </c>
      <c r="B1122" s="35">
        <v>1</v>
      </c>
      <c r="C1122" s="35">
        <v>1</v>
      </c>
      <c r="D1122" s="2">
        <f t="shared" si="17"/>
        <v>2</v>
      </c>
    </row>
    <row r="1123" spans="1:4" x14ac:dyDescent="0.3">
      <c r="A1123" s="34">
        <v>18129</v>
      </c>
      <c r="B1123" s="35">
        <v>1</v>
      </c>
      <c r="C1123" s="35">
        <v>0</v>
      </c>
      <c r="D1123" s="2">
        <f t="shared" si="17"/>
        <v>1</v>
      </c>
    </row>
    <row r="1124" spans="1:4" x14ac:dyDescent="0.3">
      <c r="A1124" s="34">
        <v>18132</v>
      </c>
      <c r="B1124" s="35">
        <v>1</v>
      </c>
      <c r="C1124" s="35">
        <v>0</v>
      </c>
      <c r="D1124" s="2">
        <f t="shared" si="17"/>
        <v>1</v>
      </c>
    </row>
    <row r="1125" spans="1:4" x14ac:dyDescent="0.3">
      <c r="A1125" s="34">
        <v>18137</v>
      </c>
      <c r="B1125" s="35">
        <v>1</v>
      </c>
      <c r="C1125" s="35">
        <v>0</v>
      </c>
      <c r="D1125" s="2">
        <f t="shared" si="17"/>
        <v>1</v>
      </c>
    </row>
    <row r="1126" spans="1:4" x14ac:dyDescent="0.3">
      <c r="A1126" s="34">
        <v>18141</v>
      </c>
      <c r="B1126" s="35">
        <v>1</v>
      </c>
      <c r="C1126" s="35">
        <v>0</v>
      </c>
      <c r="D1126" s="2">
        <f t="shared" si="17"/>
        <v>1</v>
      </c>
    </row>
    <row r="1127" spans="1:4" x14ac:dyDescent="0.3">
      <c r="A1127" s="34">
        <v>18175</v>
      </c>
      <c r="B1127" s="35">
        <v>1</v>
      </c>
      <c r="C1127" s="35">
        <v>0</v>
      </c>
      <c r="D1127" s="2">
        <f t="shared" si="17"/>
        <v>1</v>
      </c>
    </row>
    <row r="1128" spans="1:4" x14ac:dyDescent="0.3">
      <c r="A1128" s="34">
        <v>18177</v>
      </c>
      <c r="B1128" s="35">
        <v>1</v>
      </c>
      <c r="C1128" s="35">
        <v>0</v>
      </c>
      <c r="D1128" s="2">
        <f t="shared" si="17"/>
        <v>1</v>
      </c>
    </row>
    <row r="1129" spans="1:4" x14ac:dyDescent="0.3">
      <c r="A1129" s="34">
        <v>18179</v>
      </c>
      <c r="B1129" s="35">
        <v>1</v>
      </c>
      <c r="C1129" s="35">
        <v>0</v>
      </c>
      <c r="D1129" s="2">
        <f t="shared" si="17"/>
        <v>1</v>
      </c>
    </row>
    <row r="1130" spans="1:4" x14ac:dyDescent="0.3">
      <c r="A1130" s="34">
        <v>18193</v>
      </c>
      <c r="B1130" s="35">
        <v>1</v>
      </c>
      <c r="C1130" s="35">
        <v>0</v>
      </c>
      <c r="D1130" s="2">
        <f t="shared" si="17"/>
        <v>1</v>
      </c>
    </row>
    <row r="1131" spans="1:4" x14ac:dyDescent="0.3">
      <c r="A1131" s="34">
        <v>18200</v>
      </c>
      <c r="B1131" s="35">
        <v>1</v>
      </c>
      <c r="C1131" s="35">
        <v>0</v>
      </c>
      <c r="D1131" s="2">
        <f t="shared" si="17"/>
        <v>1</v>
      </c>
    </row>
    <row r="1132" spans="1:4" x14ac:dyDescent="0.3">
      <c r="A1132" s="34">
        <v>18214</v>
      </c>
      <c r="B1132" s="35">
        <v>1</v>
      </c>
      <c r="C1132" s="35">
        <v>0</v>
      </c>
      <c r="D1132" s="2">
        <f t="shared" si="17"/>
        <v>1</v>
      </c>
    </row>
    <row r="1133" spans="1:4" x14ac:dyDescent="0.3">
      <c r="A1133" s="34">
        <v>18215</v>
      </c>
      <c r="B1133" s="35">
        <v>2</v>
      </c>
      <c r="C1133" s="35">
        <v>2</v>
      </c>
      <c r="D1133" s="2">
        <f t="shared" si="17"/>
        <v>4</v>
      </c>
    </row>
    <row r="1134" spans="1:4" x14ac:dyDescent="0.3">
      <c r="A1134" s="34">
        <v>18218</v>
      </c>
      <c r="B1134" s="35">
        <v>1</v>
      </c>
      <c r="C1134" s="35">
        <v>0</v>
      </c>
      <c r="D1134" s="2">
        <f t="shared" si="17"/>
        <v>1</v>
      </c>
    </row>
    <row r="1135" spans="1:4" x14ac:dyDescent="0.3">
      <c r="A1135" s="34">
        <v>18221</v>
      </c>
      <c r="B1135" s="35">
        <v>2</v>
      </c>
      <c r="C1135" s="35">
        <v>0</v>
      </c>
      <c r="D1135" s="2">
        <f t="shared" si="17"/>
        <v>2</v>
      </c>
    </row>
    <row r="1136" spans="1:4" x14ac:dyDescent="0.3">
      <c r="A1136" s="34">
        <v>18223</v>
      </c>
      <c r="B1136" s="35">
        <v>1</v>
      </c>
      <c r="C1136" s="35">
        <v>0</v>
      </c>
      <c r="D1136" s="2">
        <f t="shared" si="17"/>
        <v>1</v>
      </c>
    </row>
    <row r="1137" spans="1:4" x14ac:dyDescent="0.3">
      <c r="A1137" s="34">
        <v>18230</v>
      </c>
      <c r="B1137" s="35">
        <v>1</v>
      </c>
      <c r="C1137" s="35">
        <v>0</v>
      </c>
      <c r="D1137" s="2">
        <f t="shared" si="17"/>
        <v>1</v>
      </c>
    </row>
    <row r="1138" spans="1:4" x14ac:dyDescent="0.3">
      <c r="A1138" s="34">
        <v>18231</v>
      </c>
      <c r="B1138" s="35">
        <v>1</v>
      </c>
      <c r="C1138" s="35">
        <v>0</v>
      </c>
      <c r="D1138" s="2">
        <f t="shared" si="17"/>
        <v>1</v>
      </c>
    </row>
    <row r="1139" spans="1:4" x14ac:dyDescent="0.3">
      <c r="A1139" s="34">
        <v>18258</v>
      </c>
      <c r="B1139" s="35">
        <v>1</v>
      </c>
      <c r="C1139" s="35">
        <v>0</v>
      </c>
      <c r="D1139" s="2">
        <f t="shared" si="17"/>
        <v>1</v>
      </c>
    </row>
    <row r="1140" spans="1:4" x14ac:dyDescent="0.3">
      <c r="A1140" s="34">
        <v>18270</v>
      </c>
      <c r="B1140" s="35">
        <v>1</v>
      </c>
      <c r="C1140" s="35">
        <v>0</v>
      </c>
      <c r="D1140" s="2">
        <f t="shared" si="17"/>
        <v>1</v>
      </c>
    </row>
    <row r="1141" spans="1:4" x14ac:dyDescent="0.3">
      <c r="A1141" s="34">
        <v>18286</v>
      </c>
      <c r="B1141" s="35">
        <v>1</v>
      </c>
      <c r="C1141" s="35">
        <v>0</v>
      </c>
      <c r="D1141" s="2">
        <f t="shared" si="17"/>
        <v>1</v>
      </c>
    </row>
    <row r="1142" spans="1:4" x14ac:dyDescent="0.3">
      <c r="A1142" s="34">
        <v>18293</v>
      </c>
      <c r="B1142" s="35">
        <v>1</v>
      </c>
      <c r="C1142" s="35">
        <v>0</v>
      </c>
      <c r="D1142" s="2">
        <f t="shared" si="17"/>
        <v>1</v>
      </c>
    </row>
    <row r="1143" spans="1:4" x14ac:dyDescent="0.3">
      <c r="A1143" s="34">
        <v>18295</v>
      </c>
      <c r="B1143" s="35">
        <v>2</v>
      </c>
      <c r="C1143" s="35">
        <v>0</v>
      </c>
      <c r="D1143" s="2">
        <f t="shared" si="17"/>
        <v>2</v>
      </c>
    </row>
    <row r="1144" spans="1:4" x14ac:dyDescent="0.3">
      <c r="A1144" s="34">
        <v>18296</v>
      </c>
      <c r="B1144" s="35">
        <v>1</v>
      </c>
      <c r="C1144" s="35">
        <v>0</v>
      </c>
      <c r="D1144" s="2">
        <f t="shared" si="17"/>
        <v>1</v>
      </c>
    </row>
    <row r="1145" spans="1:4" x14ac:dyDescent="0.3">
      <c r="A1145" s="34">
        <v>18305</v>
      </c>
      <c r="B1145" s="35">
        <v>1</v>
      </c>
      <c r="C1145" s="35">
        <v>0</v>
      </c>
      <c r="D1145" s="2">
        <f t="shared" si="17"/>
        <v>1</v>
      </c>
    </row>
    <row r="1146" spans="1:4" x14ac:dyDescent="0.3">
      <c r="A1146" s="34">
        <v>18323</v>
      </c>
      <c r="B1146" s="35">
        <v>1</v>
      </c>
      <c r="C1146" s="35">
        <v>1</v>
      </c>
      <c r="D1146" s="2">
        <f t="shared" si="17"/>
        <v>2</v>
      </c>
    </row>
    <row r="1147" spans="1:4" x14ac:dyDescent="0.3">
      <c r="A1147" s="34">
        <v>18326</v>
      </c>
      <c r="B1147" s="35">
        <v>2</v>
      </c>
      <c r="C1147" s="35">
        <v>0</v>
      </c>
      <c r="D1147" s="2">
        <f t="shared" si="17"/>
        <v>2</v>
      </c>
    </row>
    <row r="1148" spans="1:4" x14ac:dyDescent="0.3">
      <c r="A1148" s="34">
        <v>18327</v>
      </c>
      <c r="B1148" s="35">
        <v>1</v>
      </c>
      <c r="C1148" s="35">
        <v>0</v>
      </c>
      <c r="D1148" s="2">
        <f t="shared" si="17"/>
        <v>1</v>
      </c>
    </row>
    <row r="1149" spans="1:4" x14ac:dyDescent="0.3">
      <c r="A1149" s="34">
        <v>18334</v>
      </c>
      <c r="B1149" s="35">
        <v>1</v>
      </c>
      <c r="C1149" s="35">
        <v>0</v>
      </c>
      <c r="D1149" s="2">
        <f t="shared" si="17"/>
        <v>1</v>
      </c>
    </row>
    <row r="1150" spans="1:4" x14ac:dyDescent="0.3">
      <c r="A1150" s="34">
        <v>18335</v>
      </c>
      <c r="B1150" s="35">
        <v>1</v>
      </c>
      <c r="C1150" s="35">
        <v>1</v>
      </c>
      <c r="D1150" s="2">
        <f t="shared" si="17"/>
        <v>2</v>
      </c>
    </row>
    <row r="1151" spans="1:4" x14ac:dyDescent="0.3">
      <c r="A1151" s="34">
        <v>18338</v>
      </c>
      <c r="B1151" s="35">
        <v>1</v>
      </c>
      <c r="C1151" s="35">
        <v>0</v>
      </c>
      <c r="D1151" s="2">
        <f t="shared" si="17"/>
        <v>1</v>
      </c>
    </row>
    <row r="1152" spans="1:4" x14ac:dyDescent="0.3">
      <c r="A1152" s="34">
        <v>18344</v>
      </c>
      <c r="B1152" s="35">
        <v>1</v>
      </c>
      <c r="C1152" s="35">
        <v>0</v>
      </c>
      <c r="D1152" s="2">
        <f t="shared" si="17"/>
        <v>1</v>
      </c>
    </row>
    <row r="1153" spans="1:4" x14ac:dyDescent="0.3">
      <c r="A1153" s="34">
        <v>18347</v>
      </c>
      <c r="B1153" s="35">
        <v>1</v>
      </c>
      <c r="C1153" s="35">
        <v>1</v>
      </c>
      <c r="D1153" s="2">
        <f t="shared" si="17"/>
        <v>2</v>
      </c>
    </row>
    <row r="1154" spans="1:4" x14ac:dyDescent="0.3">
      <c r="A1154" s="34">
        <v>18372</v>
      </c>
      <c r="B1154" s="35">
        <v>1</v>
      </c>
      <c r="C1154" s="35">
        <v>1</v>
      </c>
      <c r="D1154" s="2">
        <f t="shared" si="17"/>
        <v>2</v>
      </c>
    </row>
    <row r="1155" spans="1:4" x14ac:dyDescent="0.3">
      <c r="A1155" s="34">
        <v>18380</v>
      </c>
      <c r="B1155" s="35">
        <v>2</v>
      </c>
      <c r="C1155" s="35">
        <v>2</v>
      </c>
      <c r="D1155" s="2">
        <f t="shared" ref="D1155:D1218" si="18">B1155+C1155</f>
        <v>4</v>
      </c>
    </row>
    <row r="1156" spans="1:4" x14ac:dyDescent="0.3">
      <c r="A1156" s="34">
        <v>18383</v>
      </c>
      <c r="B1156" s="35">
        <v>1</v>
      </c>
      <c r="C1156" s="35">
        <v>0</v>
      </c>
      <c r="D1156" s="2">
        <f t="shared" si="18"/>
        <v>1</v>
      </c>
    </row>
    <row r="1157" spans="1:4" x14ac:dyDescent="0.3">
      <c r="A1157" s="34">
        <v>18393</v>
      </c>
      <c r="B1157" s="35">
        <v>1</v>
      </c>
      <c r="C1157" s="35">
        <v>0</v>
      </c>
      <c r="D1157" s="2">
        <f t="shared" si="18"/>
        <v>1</v>
      </c>
    </row>
    <row r="1158" spans="1:4" x14ac:dyDescent="0.3">
      <c r="A1158" s="34">
        <v>18406</v>
      </c>
      <c r="B1158" s="35">
        <v>1</v>
      </c>
      <c r="C1158" s="35">
        <v>1</v>
      </c>
      <c r="D1158" s="2">
        <f t="shared" si="18"/>
        <v>2</v>
      </c>
    </row>
    <row r="1159" spans="1:4" x14ac:dyDescent="0.3">
      <c r="A1159" s="34">
        <v>18427</v>
      </c>
      <c r="B1159" s="35">
        <v>1</v>
      </c>
      <c r="C1159" s="35">
        <v>0</v>
      </c>
      <c r="D1159" s="2">
        <f t="shared" si="18"/>
        <v>1</v>
      </c>
    </row>
    <row r="1160" spans="1:4" x14ac:dyDescent="0.3">
      <c r="A1160" s="34">
        <v>18429</v>
      </c>
      <c r="B1160" s="35">
        <v>1</v>
      </c>
      <c r="C1160" s="35">
        <v>0</v>
      </c>
      <c r="D1160" s="2">
        <f t="shared" si="18"/>
        <v>1</v>
      </c>
    </row>
    <row r="1161" spans="1:4" x14ac:dyDescent="0.3">
      <c r="A1161" s="34">
        <v>18445</v>
      </c>
      <c r="B1161" s="35">
        <v>1</v>
      </c>
      <c r="C1161" s="35">
        <v>0</v>
      </c>
      <c r="D1161" s="2">
        <f t="shared" si="18"/>
        <v>1</v>
      </c>
    </row>
    <row r="1162" spans="1:4" x14ac:dyDescent="0.3">
      <c r="A1162" s="34">
        <v>18446</v>
      </c>
      <c r="B1162" s="35">
        <v>1</v>
      </c>
      <c r="C1162" s="35">
        <v>0</v>
      </c>
      <c r="D1162" s="2">
        <f t="shared" si="18"/>
        <v>1</v>
      </c>
    </row>
    <row r="1163" spans="1:4" x14ac:dyDescent="0.3">
      <c r="A1163" s="34">
        <v>18448</v>
      </c>
      <c r="B1163" s="35">
        <v>1</v>
      </c>
      <c r="C1163" s="35">
        <v>0</v>
      </c>
      <c r="D1163" s="2">
        <f t="shared" si="18"/>
        <v>1</v>
      </c>
    </row>
    <row r="1164" spans="1:4" x14ac:dyDescent="0.3">
      <c r="A1164" s="34">
        <v>18459</v>
      </c>
      <c r="B1164" s="35">
        <v>1</v>
      </c>
      <c r="C1164" s="35">
        <v>0</v>
      </c>
      <c r="D1164" s="2">
        <f t="shared" si="18"/>
        <v>1</v>
      </c>
    </row>
    <row r="1165" spans="1:4" x14ac:dyDescent="0.3">
      <c r="A1165" s="34">
        <v>18460</v>
      </c>
      <c r="B1165" s="35">
        <v>1</v>
      </c>
      <c r="C1165" s="35">
        <v>0</v>
      </c>
      <c r="D1165" s="2">
        <f t="shared" si="18"/>
        <v>1</v>
      </c>
    </row>
    <row r="1166" spans="1:4" x14ac:dyDescent="0.3">
      <c r="A1166" s="34">
        <v>18464</v>
      </c>
      <c r="B1166" s="35">
        <v>1</v>
      </c>
      <c r="C1166" s="35">
        <v>1</v>
      </c>
      <c r="D1166" s="2">
        <f t="shared" si="18"/>
        <v>2</v>
      </c>
    </row>
    <row r="1167" spans="1:4" x14ac:dyDescent="0.3">
      <c r="A1167" s="34">
        <v>18477</v>
      </c>
      <c r="B1167" s="35">
        <v>1</v>
      </c>
      <c r="C1167" s="35">
        <v>0</v>
      </c>
      <c r="D1167" s="2">
        <f t="shared" si="18"/>
        <v>1</v>
      </c>
    </row>
    <row r="1168" spans="1:4" x14ac:dyDescent="0.3">
      <c r="A1168" s="34">
        <v>18482</v>
      </c>
      <c r="B1168" s="35">
        <v>1</v>
      </c>
      <c r="C1168" s="35">
        <v>0</v>
      </c>
      <c r="D1168" s="2">
        <f t="shared" si="18"/>
        <v>1</v>
      </c>
    </row>
    <row r="1169" spans="1:4" x14ac:dyDescent="0.3">
      <c r="A1169" s="34">
        <v>18485</v>
      </c>
      <c r="B1169" s="35">
        <v>1</v>
      </c>
      <c r="C1169" s="35">
        <v>0</v>
      </c>
      <c r="D1169" s="2">
        <f t="shared" si="18"/>
        <v>1</v>
      </c>
    </row>
    <row r="1170" spans="1:4" x14ac:dyDescent="0.3">
      <c r="A1170" s="34">
        <v>18492</v>
      </c>
      <c r="B1170" s="35">
        <v>1</v>
      </c>
      <c r="C1170" s="35">
        <v>0</v>
      </c>
      <c r="D1170" s="2">
        <f t="shared" si="18"/>
        <v>1</v>
      </c>
    </row>
    <row r="1171" spans="1:4" x14ac:dyDescent="0.3">
      <c r="A1171" s="34">
        <v>18493</v>
      </c>
      <c r="B1171" s="35">
        <v>1</v>
      </c>
      <c r="C1171" s="35">
        <v>0</v>
      </c>
      <c r="D1171" s="2">
        <f t="shared" si="18"/>
        <v>1</v>
      </c>
    </row>
    <row r="1172" spans="1:4" x14ac:dyDescent="0.3">
      <c r="A1172" s="34">
        <v>18496</v>
      </c>
      <c r="B1172" s="35">
        <v>1</v>
      </c>
      <c r="C1172" s="35">
        <v>0</v>
      </c>
      <c r="D1172" s="2">
        <f t="shared" si="18"/>
        <v>1</v>
      </c>
    </row>
    <row r="1173" spans="1:4" x14ac:dyDescent="0.3">
      <c r="A1173" s="34">
        <v>18504</v>
      </c>
      <c r="B1173" s="35">
        <v>1</v>
      </c>
      <c r="C1173" s="35">
        <v>0</v>
      </c>
      <c r="D1173" s="2">
        <f t="shared" si="18"/>
        <v>1</v>
      </c>
    </row>
    <row r="1174" spans="1:4" x14ac:dyDescent="0.3">
      <c r="A1174" s="34">
        <v>18506</v>
      </c>
      <c r="B1174" s="35">
        <v>2</v>
      </c>
      <c r="C1174" s="35">
        <v>2</v>
      </c>
      <c r="D1174" s="2">
        <f t="shared" si="18"/>
        <v>4</v>
      </c>
    </row>
    <row r="1175" spans="1:4" x14ac:dyDescent="0.3">
      <c r="A1175" s="34">
        <v>18510</v>
      </c>
      <c r="B1175" s="35">
        <v>2</v>
      </c>
      <c r="C1175" s="35">
        <v>1</v>
      </c>
      <c r="D1175" s="2">
        <f t="shared" si="18"/>
        <v>3</v>
      </c>
    </row>
    <row r="1176" spans="1:4" x14ac:dyDescent="0.3">
      <c r="A1176" s="34">
        <v>18511</v>
      </c>
      <c r="B1176" s="35">
        <v>1</v>
      </c>
      <c r="C1176" s="35">
        <v>0</v>
      </c>
      <c r="D1176" s="2">
        <f t="shared" si="18"/>
        <v>1</v>
      </c>
    </row>
    <row r="1177" spans="1:4" x14ac:dyDescent="0.3">
      <c r="A1177" s="34">
        <v>18515</v>
      </c>
      <c r="B1177" s="35">
        <v>1</v>
      </c>
      <c r="C1177" s="35">
        <v>0</v>
      </c>
      <c r="D1177" s="2">
        <f t="shared" si="18"/>
        <v>1</v>
      </c>
    </row>
    <row r="1178" spans="1:4" x14ac:dyDescent="0.3">
      <c r="A1178" s="34">
        <v>18516</v>
      </c>
      <c r="B1178" s="35">
        <v>1</v>
      </c>
      <c r="C1178" s="35">
        <v>0</v>
      </c>
      <c r="D1178" s="2">
        <f t="shared" si="18"/>
        <v>1</v>
      </c>
    </row>
    <row r="1179" spans="1:4" x14ac:dyDescent="0.3">
      <c r="A1179" s="34">
        <v>18520</v>
      </c>
      <c r="B1179" s="35">
        <v>1</v>
      </c>
      <c r="C1179" s="35">
        <v>1</v>
      </c>
      <c r="D1179" s="2">
        <f t="shared" si="18"/>
        <v>2</v>
      </c>
    </row>
    <row r="1180" spans="1:4" x14ac:dyDescent="0.3">
      <c r="A1180" s="34">
        <v>18521</v>
      </c>
      <c r="B1180" s="35">
        <v>1</v>
      </c>
      <c r="C1180" s="35">
        <v>0</v>
      </c>
      <c r="D1180" s="2">
        <f t="shared" si="18"/>
        <v>1</v>
      </c>
    </row>
    <row r="1181" spans="1:4" x14ac:dyDescent="0.3">
      <c r="A1181" s="34">
        <v>18523</v>
      </c>
      <c r="B1181" s="35">
        <v>1</v>
      </c>
      <c r="C1181" s="35">
        <v>0</v>
      </c>
      <c r="D1181" s="2">
        <f t="shared" si="18"/>
        <v>1</v>
      </c>
    </row>
    <row r="1182" spans="1:4" x14ac:dyDescent="0.3">
      <c r="A1182" s="34">
        <v>18529</v>
      </c>
      <c r="B1182" s="35">
        <v>1</v>
      </c>
      <c r="C1182" s="35">
        <v>0</v>
      </c>
      <c r="D1182" s="2">
        <f t="shared" si="18"/>
        <v>1</v>
      </c>
    </row>
    <row r="1183" spans="1:4" x14ac:dyDescent="0.3">
      <c r="A1183" s="34">
        <v>18535</v>
      </c>
      <c r="B1183" s="35">
        <v>1</v>
      </c>
      <c r="C1183" s="35">
        <v>1</v>
      </c>
      <c r="D1183" s="2">
        <f t="shared" si="18"/>
        <v>2</v>
      </c>
    </row>
    <row r="1184" spans="1:4" x14ac:dyDescent="0.3">
      <c r="A1184" s="34">
        <v>18539</v>
      </c>
      <c r="B1184" s="35">
        <v>2</v>
      </c>
      <c r="C1184" s="35">
        <v>0</v>
      </c>
      <c r="D1184" s="2">
        <f t="shared" si="18"/>
        <v>2</v>
      </c>
    </row>
    <row r="1185" spans="1:4" x14ac:dyDescent="0.3">
      <c r="A1185" s="34">
        <v>18545</v>
      </c>
      <c r="B1185" s="35">
        <v>1</v>
      </c>
      <c r="C1185" s="35">
        <v>0</v>
      </c>
      <c r="D1185" s="2">
        <f t="shared" si="18"/>
        <v>1</v>
      </c>
    </row>
    <row r="1186" spans="1:4" x14ac:dyDescent="0.3">
      <c r="A1186" s="34">
        <v>18547</v>
      </c>
      <c r="B1186" s="35">
        <v>1</v>
      </c>
      <c r="C1186" s="35">
        <v>0</v>
      </c>
      <c r="D1186" s="2">
        <f t="shared" si="18"/>
        <v>1</v>
      </c>
    </row>
    <row r="1187" spans="1:4" x14ac:dyDescent="0.3">
      <c r="A1187" s="34">
        <v>18551</v>
      </c>
      <c r="B1187" s="35">
        <v>3</v>
      </c>
      <c r="C1187" s="35">
        <v>2</v>
      </c>
      <c r="D1187" s="2">
        <f t="shared" si="18"/>
        <v>5</v>
      </c>
    </row>
    <row r="1188" spans="1:4" x14ac:dyDescent="0.3">
      <c r="A1188" s="34">
        <v>18552</v>
      </c>
      <c r="B1188" s="35">
        <v>2</v>
      </c>
      <c r="C1188" s="35">
        <v>2</v>
      </c>
      <c r="D1188" s="2">
        <f t="shared" si="18"/>
        <v>4</v>
      </c>
    </row>
    <row r="1189" spans="1:4" x14ac:dyDescent="0.3">
      <c r="A1189" s="34">
        <v>18559</v>
      </c>
      <c r="B1189" s="35">
        <v>1</v>
      </c>
      <c r="C1189" s="35">
        <v>0</v>
      </c>
      <c r="D1189" s="2">
        <f t="shared" si="18"/>
        <v>1</v>
      </c>
    </row>
    <row r="1190" spans="1:4" x14ac:dyDescent="0.3">
      <c r="A1190" s="34">
        <v>18560</v>
      </c>
      <c r="B1190" s="35">
        <v>1</v>
      </c>
      <c r="C1190" s="35">
        <v>0</v>
      </c>
      <c r="D1190" s="2">
        <f t="shared" si="18"/>
        <v>1</v>
      </c>
    </row>
    <row r="1191" spans="1:4" x14ac:dyDescent="0.3">
      <c r="A1191" s="34">
        <v>18562</v>
      </c>
      <c r="B1191" s="35">
        <v>2</v>
      </c>
      <c r="C1191" s="35">
        <v>0</v>
      </c>
      <c r="D1191" s="2">
        <f t="shared" si="18"/>
        <v>2</v>
      </c>
    </row>
    <row r="1192" spans="1:4" x14ac:dyDescent="0.3">
      <c r="A1192" s="34">
        <v>18571</v>
      </c>
      <c r="B1192" s="35">
        <v>1</v>
      </c>
      <c r="C1192" s="35">
        <v>0</v>
      </c>
      <c r="D1192" s="2">
        <f t="shared" si="18"/>
        <v>1</v>
      </c>
    </row>
    <row r="1193" spans="1:4" x14ac:dyDescent="0.3">
      <c r="A1193" s="34">
        <v>18573</v>
      </c>
      <c r="B1193" s="35">
        <v>1</v>
      </c>
      <c r="C1193" s="35">
        <v>1</v>
      </c>
      <c r="D1193" s="2">
        <f t="shared" si="18"/>
        <v>2</v>
      </c>
    </row>
    <row r="1194" spans="1:4" x14ac:dyDescent="0.3">
      <c r="A1194" s="34">
        <v>18576</v>
      </c>
      <c r="B1194" s="35">
        <v>1</v>
      </c>
      <c r="C1194" s="35">
        <v>1</v>
      </c>
      <c r="D1194" s="2">
        <f t="shared" si="18"/>
        <v>2</v>
      </c>
    </row>
    <row r="1195" spans="1:4" x14ac:dyDescent="0.3">
      <c r="A1195" s="34">
        <v>18581</v>
      </c>
      <c r="B1195" s="35">
        <v>2</v>
      </c>
      <c r="C1195" s="35">
        <v>0</v>
      </c>
      <c r="D1195" s="2">
        <f t="shared" si="18"/>
        <v>2</v>
      </c>
    </row>
    <row r="1196" spans="1:4" x14ac:dyDescent="0.3">
      <c r="A1196" s="34">
        <v>18613</v>
      </c>
      <c r="B1196" s="35">
        <v>1</v>
      </c>
      <c r="C1196" s="35">
        <v>0</v>
      </c>
      <c r="D1196" s="2">
        <f t="shared" si="18"/>
        <v>1</v>
      </c>
    </row>
    <row r="1197" spans="1:4" x14ac:dyDescent="0.3">
      <c r="A1197" s="34">
        <v>18619</v>
      </c>
      <c r="B1197" s="35">
        <v>2</v>
      </c>
      <c r="C1197" s="35">
        <v>2</v>
      </c>
      <c r="D1197" s="2">
        <f t="shared" si="18"/>
        <v>4</v>
      </c>
    </row>
    <row r="1198" spans="1:4" x14ac:dyDescent="0.3">
      <c r="A1198" s="34">
        <v>18620</v>
      </c>
      <c r="B1198" s="35">
        <v>1</v>
      </c>
      <c r="C1198" s="35">
        <v>0</v>
      </c>
      <c r="D1198" s="2">
        <f t="shared" si="18"/>
        <v>1</v>
      </c>
    </row>
    <row r="1199" spans="1:4" x14ac:dyDescent="0.3">
      <c r="A1199" s="34">
        <v>18622</v>
      </c>
      <c r="B1199" s="35">
        <v>1</v>
      </c>
      <c r="C1199" s="35">
        <v>0</v>
      </c>
      <c r="D1199" s="2">
        <f t="shared" si="18"/>
        <v>1</v>
      </c>
    </row>
    <row r="1200" spans="1:4" x14ac:dyDescent="0.3">
      <c r="A1200" s="34">
        <v>18623</v>
      </c>
      <c r="B1200" s="35">
        <v>1</v>
      </c>
      <c r="C1200" s="35">
        <v>1</v>
      </c>
      <c r="D1200" s="2">
        <f t="shared" si="18"/>
        <v>2</v>
      </c>
    </row>
    <row r="1201" spans="1:4" x14ac:dyDescent="0.3">
      <c r="A1201" s="34">
        <v>18630</v>
      </c>
      <c r="B1201" s="35">
        <v>1</v>
      </c>
      <c r="C1201" s="35">
        <v>1</v>
      </c>
      <c r="D1201" s="2">
        <f t="shared" si="18"/>
        <v>2</v>
      </c>
    </row>
    <row r="1202" spans="1:4" x14ac:dyDescent="0.3">
      <c r="A1202" s="34">
        <v>18632</v>
      </c>
      <c r="B1202" s="35">
        <v>1</v>
      </c>
      <c r="C1202" s="35">
        <v>0</v>
      </c>
      <c r="D1202" s="2">
        <f t="shared" si="18"/>
        <v>1</v>
      </c>
    </row>
    <row r="1203" spans="1:4" x14ac:dyDescent="0.3">
      <c r="A1203" s="34">
        <v>18642</v>
      </c>
      <c r="B1203" s="35">
        <v>1</v>
      </c>
      <c r="C1203" s="35">
        <v>0</v>
      </c>
      <c r="D1203" s="2">
        <f t="shared" si="18"/>
        <v>1</v>
      </c>
    </row>
    <row r="1204" spans="1:4" x14ac:dyDescent="0.3">
      <c r="A1204" s="34">
        <v>18670</v>
      </c>
      <c r="B1204" s="35">
        <v>1</v>
      </c>
      <c r="C1204" s="35">
        <v>0</v>
      </c>
      <c r="D1204" s="2">
        <f t="shared" si="18"/>
        <v>1</v>
      </c>
    </row>
    <row r="1205" spans="1:4" x14ac:dyDescent="0.3">
      <c r="A1205" s="34">
        <v>18692</v>
      </c>
      <c r="B1205" s="35">
        <v>1</v>
      </c>
      <c r="C1205" s="35">
        <v>0</v>
      </c>
      <c r="D1205" s="2">
        <f t="shared" si="18"/>
        <v>1</v>
      </c>
    </row>
    <row r="1206" spans="1:4" x14ac:dyDescent="0.3">
      <c r="A1206" s="34">
        <v>18703</v>
      </c>
      <c r="B1206" s="35">
        <v>1</v>
      </c>
      <c r="C1206" s="35">
        <v>1</v>
      </c>
      <c r="D1206" s="2">
        <f t="shared" si="18"/>
        <v>2</v>
      </c>
    </row>
    <row r="1207" spans="1:4" x14ac:dyDescent="0.3">
      <c r="A1207" s="34">
        <v>18708</v>
      </c>
      <c r="B1207" s="35">
        <v>1</v>
      </c>
      <c r="C1207" s="35">
        <v>0</v>
      </c>
      <c r="D1207" s="2">
        <f t="shared" si="18"/>
        <v>1</v>
      </c>
    </row>
    <row r="1208" spans="1:4" x14ac:dyDescent="0.3">
      <c r="A1208" s="34">
        <v>18710</v>
      </c>
      <c r="B1208" s="35">
        <v>1</v>
      </c>
      <c r="C1208" s="35">
        <v>1</v>
      </c>
      <c r="D1208" s="2">
        <f t="shared" si="18"/>
        <v>2</v>
      </c>
    </row>
    <row r="1209" spans="1:4" x14ac:dyDescent="0.3">
      <c r="A1209" s="34">
        <v>18711</v>
      </c>
      <c r="B1209" s="35">
        <v>1</v>
      </c>
      <c r="C1209" s="35">
        <v>0</v>
      </c>
      <c r="D1209" s="2">
        <f t="shared" si="18"/>
        <v>1</v>
      </c>
    </row>
    <row r="1210" spans="1:4" x14ac:dyDescent="0.3">
      <c r="A1210" s="34">
        <v>18715</v>
      </c>
      <c r="B1210" s="35">
        <v>1</v>
      </c>
      <c r="C1210" s="35">
        <v>0</v>
      </c>
      <c r="D1210" s="2">
        <f t="shared" si="18"/>
        <v>1</v>
      </c>
    </row>
    <row r="1211" spans="1:4" x14ac:dyDescent="0.3">
      <c r="A1211" s="34">
        <v>18720</v>
      </c>
      <c r="B1211" s="35">
        <v>1</v>
      </c>
      <c r="C1211" s="35">
        <v>0</v>
      </c>
      <c r="D1211" s="2">
        <f t="shared" si="18"/>
        <v>1</v>
      </c>
    </row>
    <row r="1212" spans="1:4" x14ac:dyDescent="0.3">
      <c r="A1212" s="34">
        <v>18726</v>
      </c>
      <c r="B1212" s="35">
        <v>2</v>
      </c>
      <c r="C1212" s="35">
        <v>0</v>
      </c>
      <c r="D1212" s="2">
        <f t="shared" si="18"/>
        <v>2</v>
      </c>
    </row>
    <row r="1213" spans="1:4" x14ac:dyDescent="0.3">
      <c r="A1213" s="34">
        <v>18727</v>
      </c>
      <c r="B1213" s="35">
        <v>2</v>
      </c>
      <c r="C1213" s="35">
        <v>0</v>
      </c>
      <c r="D1213" s="2">
        <f t="shared" si="18"/>
        <v>2</v>
      </c>
    </row>
    <row r="1214" spans="1:4" x14ac:dyDescent="0.3">
      <c r="A1214" s="34">
        <v>18753</v>
      </c>
      <c r="B1214" s="35">
        <v>1</v>
      </c>
      <c r="C1214" s="35">
        <v>0</v>
      </c>
      <c r="D1214" s="2">
        <f t="shared" si="18"/>
        <v>1</v>
      </c>
    </row>
    <row r="1215" spans="1:4" x14ac:dyDescent="0.3">
      <c r="A1215" s="34">
        <v>18760</v>
      </c>
      <c r="B1215" s="35">
        <v>2</v>
      </c>
      <c r="C1215" s="35">
        <v>1</v>
      </c>
      <c r="D1215" s="2">
        <f t="shared" si="18"/>
        <v>3</v>
      </c>
    </row>
    <row r="1216" spans="1:4" x14ac:dyDescent="0.3">
      <c r="A1216" s="34">
        <v>18770</v>
      </c>
      <c r="B1216" s="35">
        <v>1</v>
      </c>
      <c r="C1216" s="35">
        <v>0</v>
      </c>
      <c r="D1216" s="2">
        <f t="shared" si="18"/>
        <v>1</v>
      </c>
    </row>
    <row r="1217" spans="1:4" x14ac:dyDescent="0.3">
      <c r="A1217" s="34">
        <v>18779</v>
      </c>
      <c r="B1217" s="35">
        <v>1</v>
      </c>
      <c r="C1217" s="35">
        <v>1</v>
      </c>
      <c r="D1217" s="2">
        <f t="shared" si="18"/>
        <v>2</v>
      </c>
    </row>
    <row r="1218" spans="1:4" x14ac:dyDescent="0.3">
      <c r="A1218" s="34">
        <v>18782</v>
      </c>
      <c r="B1218" s="35">
        <v>1</v>
      </c>
      <c r="C1218" s="35">
        <v>0</v>
      </c>
      <c r="D1218" s="2">
        <f t="shared" si="18"/>
        <v>1</v>
      </c>
    </row>
    <row r="1219" spans="1:4" x14ac:dyDescent="0.3">
      <c r="A1219" s="34">
        <v>18786</v>
      </c>
      <c r="B1219" s="35">
        <v>2</v>
      </c>
      <c r="C1219" s="35">
        <v>0</v>
      </c>
      <c r="D1219" s="2">
        <f t="shared" ref="D1219:D1282" si="19">B1219+C1219</f>
        <v>2</v>
      </c>
    </row>
    <row r="1220" spans="1:4" x14ac:dyDescent="0.3">
      <c r="A1220" s="34">
        <v>18788</v>
      </c>
      <c r="B1220" s="35">
        <v>1</v>
      </c>
      <c r="C1220" s="35">
        <v>0</v>
      </c>
      <c r="D1220" s="2">
        <f t="shared" si="19"/>
        <v>1</v>
      </c>
    </row>
    <row r="1221" spans="1:4" x14ac:dyDescent="0.3">
      <c r="A1221" s="34">
        <v>18793</v>
      </c>
      <c r="B1221" s="35">
        <v>1</v>
      </c>
      <c r="C1221" s="35">
        <v>0</v>
      </c>
      <c r="D1221" s="2">
        <f t="shared" si="19"/>
        <v>1</v>
      </c>
    </row>
    <row r="1222" spans="1:4" x14ac:dyDescent="0.3">
      <c r="A1222" s="34">
        <v>18796</v>
      </c>
      <c r="B1222" s="35">
        <v>2</v>
      </c>
      <c r="C1222" s="35">
        <v>1</v>
      </c>
      <c r="D1222" s="2">
        <f t="shared" si="19"/>
        <v>3</v>
      </c>
    </row>
    <row r="1223" spans="1:4" x14ac:dyDescent="0.3">
      <c r="A1223" s="34">
        <v>18868</v>
      </c>
      <c r="B1223" s="35">
        <v>1</v>
      </c>
      <c r="C1223" s="35">
        <v>0</v>
      </c>
      <c r="D1223" s="2">
        <f t="shared" si="19"/>
        <v>1</v>
      </c>
    </row>
    <row r="1224" spans="1:4" x14ac:dyDescent="0.3">
      <c r="A1224" s="34">
        <v>18878</v>
      </c>
      <c r="B1224" s="35">
        <v>1</v>
      </c>
      <c r="C1224" s="35">
        <v>0</v>
      </c>
      <c r="D1224" s="2">
        <f t="shared" si="19"/>
        <v>1</v>
      </c>
    </row>
    <row r="1225" spans="1:4" x14ac:dyDescent="0.3">
      <c r="A1225" s="34">
        <v>18884</v>
      </c>
      <c r="B1225" s="35">
        <v>1</v>
      </c>
      <c r="C1225" s="35">
        <v>0</v>
      </c>
      <c r="D1225" s="2">
        <f t="shared" si="19"/>
        <v>1</v>
      </c>
    </row>
    <row r="1226" spans="1:4" x14ac:dyDescent="0.3">
      <c r="A1226" s="34">
        <v>18885</v>
      </c>
      <c r="B1226" s="35">
        <v>1</v>
      </c>
      <c r="C1226" s="35">
        <v>0</v>
      </c>
      <c r="D1226" s="2">
        <f t="shared" si="19"/>
        <v>1</v>
      </c>
    </row>
    <row r="1227" spans="1:4" x14ac:dyDescent="0.3">
      <c r="A1227" s="34">
        <v>18909</v>
      </c>
      <c r="B1227" s="35">
        <v>1</v>
      </c>
      <c r="C1227" s="35">
        <v>0</v>
      </c>
      <c r="D1227" s="2">
        <f t="shared" si="19"/>
        <v>1</v>
      </c>
    </row>
    <row r="1228" spans="1:4" x14ac:dyDescent="0.3">
      <c r="A1228" s="34">
        <v>18926</v>
      </c>
      <c r="B1228" s="35">
        <v>1</v>
      </c>
      <c r="C1228" s="35">
        <v>0</v>
      </c>
      <c r="D1228" s="2">
        <f t="shared" si="19"/>
        <v>1</v>
      </c>
    </row>
    <row r="1229" spans="1:4" x14ac:dyDescent="0.3">
      <c r="A1229" s="34">
        <v>18928</v>
      </c>
      <c r="B1229" s="35">
        <v>1</v>
      </c>
      <c r="C1229" s="35">
        <v>0</v>
      </c>
      <c r="D1229" s="2">
        <f t="shared" si="19"/>
        <v>1</v>
      </c>
    </row>
    <row r="1230" spans="1:4" x14ac:dyDescent="0.3">
      <c r="A1230" s="34">
        <v>18929</v>
      </c>
      <c r="B1230" s="35">
        <v>1</v>
      </c>
      <c r="C1230" s="35">
        <v>0</v>
      </c>
      <c r="D1230" s="2">
        <f t="shared" si="19"/>
        <v>1</v>
      </c>
    </row>
    <row r="1231" spans="1:4" x14ac:dyDescent="0.3">
      <c r="A1231" s="34">
        <v>18931</v>
      </c>
      <c r="B1231" s="35">
        <v>1</v>
      </c>
      <c r="C1231" s="35">
        <v>0</v>
      </c>
      <c r="D1231" s="2">
        <f t="shared" si="19"/>
        <v>1</v>
      </c>
    </row>
    <row r="1232" spans="1:4" x14ac:dyDescent="0.3">
      <c r="A1232" s="34">
        <v>18933</v>
      </c>
      <c r="B1232" s="35">
        <v>1</v>
      </c>
      <c r="C1232" s="35">
        <v>0</v>
      </c>
      <c r="D1232" s="2">
        <f t="shared" si="19"/>
        <v>1</v>
      </c>
    </row>
    <row r="1233" spans="1:4" x14ac:dyDescent="0.3">
      <c r="A1233" s="34">
        <v>18936</v>
      </c>
      <c r="B1233" s="35">
        <v>1</v>
      </c>
      <c r="C1233" s="35">
        <v>0</v>
      </c>
      <c r="D1233" s="2">
        <f t="shared" si="19"/>
        <v>1</v>
      </c>
    </row>
    <row r="1234" spans="1:4" x14ac:dyDescent="0.3">
      <c r="A1234" s="34">
        <v>18946</v>
      </c>
      <c r="B1234" s="35">
        <v>2</v>
      </c>
      <c r="C1234" s="35">
        <v>1</v>
      </c>
      <c r="D1234" s="2">
        <f t="shared" si="19"/>
        <v>3</v>
      </c>
    </row>
    <row r="1235" spans="1:4" x14ac:dyDescent="0.3">
      <c r="A1235" s="34">
        <v>18952</v>
      </c>
      <c r="B1235" s="35">
        <v>1</v>
      </c>
      <c r="C1235" s="35">
        <v>0</v>
      </c>
      <c r="D1235" s="2">
        <f t="shared" si="19"/>
        <v>1</v>
      </c>
    </row>
    <row r="1236" spans="1:4" x14ac:dyDescent="0.3">
      <c r="A1236" s="34">
        <v>18955</v>
      </c>
      <c r="B1236" s="35">
        <v>1</v>
      </c>
      <c r="C1236" s="35">
        <v>0</v>
      </c>
      <c r="D1236" s="2">
        <f t="shared" si="19"/>
        <v>1</v>
      </c>
    </row>
    <row r="1237" spans="1:4" x14ac:dyDescent="0.3">
      <c r="A1237" s="34">
        <v>18972</v>
      </c>
      <c r="B1237" s="35">
        <v>1</v>
      </c>
      <c r="C1237" s="35">
        <v>0</v>
      </c>
      <c r="D1237" s="2">
        <f t="shared" si="19"/>
        <v>1</v>
      </c>
    </row>
    <row r="1238" spans="1:4" x14ac:dyDescent="0.3">
      <c r="A1238" s="34">
        <v>18978</v>
      </c>
      <c r="B1238" s="35">
        <v>2</v>
      </c>
      <c r="C1238" s="35">
        <v>2</v>
      </c>
      <c r="D1238" s="2">
        <f t="shared" si="19"/>
        <v>4</v>
      </c>
    </row>
    <row r="1239" spans="1:4" x14ac:dyDescent="0.3">
      <c r="A1239" s="34">
        <v>18995</v>
      </c>
      <c r="B1239" s="35">
        <v>2</v>
      </c>
      <c r="C1239" s="35">
        <v>0</v>
      </c>
      <c r="D1239" s="2">
        <f t="shared" si="19"/>
        <v>2</v>
      </c>
    </row>
    <row r="1240" spans="1:4" x14ac:dyDescent="0.3">
      <c r="A1240" s="34">
        <v>19004</v>
      </c>
      <c r="B1240" s="35">
        <v>1</v>
      </c>
      <c r="C1240" s="35">
        <v>0</v>
      </c>
      <c r="D1240" s="2">
        <f t="shared" si="19"/>
        <v>1</v>
      </c>
    </row>
    <row r="1241" spans="1:4" x14ac:dyDescent="0.3">
      <c r="A1241" s="34">
        <v>19014</v>
      </c>
      <c r="B1241" s="35">
        <v>1</v>
      </c>
      <c r="C1241" s="35">
        <v>0</v>
      </c>
      <c r="D1241" s="2">
        <f t="shared" si="19"/>
        <v>1</v>
      </c>
    </row>
    <row r="1242" spans="1:4" x14ac:dyDescent="0.3">
      <c r="A1242" s="34">
        <v>19016</v>
      </c>
      <c r="B1242" s="35">
        <v>1</v>
      </c>
      <c r="C1242" s="35">
        <v>0</v>
      </c>
      <c r="D1242" s="2">
        <f t="shared" si="19"/>
        <v>1</v>
      </c>
    </row>
    <row r="1243" spans="1:4" x14ac:dyDescent="0.3">
      <c r="A1243" s="34">
        <v>19019</v>
      </c>
      <c r="B1243" s="35">
        <v>1</v>
      </c>
      <c r="C1243" s="35">
        <v>0</v>
      </c>
      <c r="D1243" s="2">
        <f t="shared" si="19"/>
        <v>1</v>
      </c>
    </row>
    <row r="1244" spans="1:4" x14ac:dyDescent="0.3">
      <c r="A1244" s="34">
        <v>19021</v>
      </c>
      <c r="B1244" s="35">
        <v>2</v>
      </c>
      <c r="C1244" s="35">
        <v>0</v>
      </c>
      <c r="D1244" s="2">
        <f t="shared" si="19"/>
        <v>2</v>
      </c>
    </row>
    <row r="1245" spans="1:4" x14ac:dyDescent="0.3">
      <c r="A1245" s="34">
        <v>19034</v>
      </c>
      <c r="B1245" s="35">
        <v>1</v>
      </c>
      <c r="C1245" s="35">
        <v>1</v>
      </c>
      <c r="D1245" s="2">
        <f t="shared" si="19"/>
        <v>2</v>
      </c>
    </row>
    <row r="1246" spans="1:4" x14ac:dyDescent="0.3">
      <c r="A1246" s="34">
        <v>19045</v>
      </c>
      <c r="B1246" s="35">
        <v>1</v>
      </c>
      <c r="C1246" s="35">
        <v>0</v>
      </c>
      <c r="D1246" s="2">
        <f t="shared" si="19"/>
        <v>1</v>
      </c>
    </row>
    <row r="1247" spans="1:4" x14ac:dyDescent="0.3">
      <c r="A1247" s="34">
        <v>19049</v>
      </c>
      <c r="B1247" s="35">
        <v>2</v>
      </c>
      <c r="C1247" s="35">
        <v>1</v>
      </c>
      <c r="D1247" s="2">
        <f t="shared" si="19"/>
        <v>3</v>
      </c>
    </row>
    <row r="1248" spans="1:4" x14ac:dyDescent="0.3">
      <c r="A1248" s="34">
        <v>19069</v>
      </c>
      <c r="B1248" s="35">
        <v>1</v>
      </c>
      <c r="C1248" s="35">
        <v>0</v>
      </c>
      <c r="D1248" s="2">
        <f t="shared" si="19"/>
        <v>1</v>
      </c>
    </row>
    <row r="1249" spans="1:4" x14ac:dyDescent="0.3">
      <c r="A1249" s="34">
        <v>19072</v>
      </c>
      <c r="B1249" s="35">
        <v>1</v>
      </c>
      <c r="C1249" s="35">
        <v>0</v>
      </c>
      <c r="D1249" s="2">
        <f t="shared" si="19"/>
        <v>1</v>
      </c>
    </row>
    <row r="1250" spans="1:4" x14ac:dyDescent="0.3">
      <c r="A1250" s="34">
        <v>19074</v>
      </c>
      <c r="B1250" s="35">
        <v>1</v>
      </c>
      <c r="C1250" s="35">
        <v>0</v>
      </c>
      <c r="D1250" s="2">
        <f t="shared" si="19"/>
        <v>1</v>
      </c>
    </row>
    <row r="1251" spans="1:4" x14ac:dyDescent="0.3">
      <c r="A1251" s="34">
        <v>19081</v>
      </c>
      <c r="B1251" s="35">
        <v>1</v>
      </c>
      <c r="C1251" s="35">
        <v>0</v>
      </c>
      <c r="D1251" s="2">
        <f t="shared" si="19"/>
        <v>1</v>
      </c>
    </row>
    <row r="1252" spans="1:4" x14ac:dyDescent="0.3">
      <c r="A1252" s="34">
        <v>19085</v>
      </c>
      <c r="B1252" s="35">
        <v>2</v>
      </c>
      <c r="C1252" s="35">
        <v>1</v>
      </c>
      <c r="D1252" s="2">
        <f t="shared" si="19"/>
        <v>3</v>
      </c>
    </row>
    <row r="1253" spans="1:4" x14ac:dyDescent="0.3">
      <c r="A1253" s="34">
        <v>19115</v>
      </c>
      <c r="B1253" s="35">
        <v>1</v>
      </c>
      <c r="C1253" s="35">
        <v>0</v>
      </c>
      <c r="D1253" s="2">
        <f t="shared" si="19"/>
        <v>1</v>
      </c>
    </row>
    <row r="1254" spans="1:4" x14ac:dyDescent="0.3">
      <c r="A1254" s="34">
        <v>19122</v>
      </c>
      <c r="B1254" s="35">
        <v>1</v>
      </c>
      <c r="C1254" s="35">
        <v>0</v>
      </c>
      <c r="D1254" s="2">
        <f t="shared" si="19"/>
        <v>1</v>
      </c>
    </row>
    <row r="1255" spans="1:4" x14ac:dyDescent="0.3">
      <c r="A1255" s="34">
        <v>19123</v>
      </c>
      <c r="B1255" s="35">
        <v>1</v>
      </c>
      <c r="C1255" s="35">
        <v>0</v>
      </c>
      <c r="D1255" s="2">
        <f t="shared" si="19"/>
        <v>1</v>
      </c>
    </row>
    <row r="1256" spans="1:4" x14ac:dyDescent="0.3">
      <c r="A1256" s="34">
        <v>19126</v>
      </c>
      <c r="B1256" s="35">
        <v>1</v>
      </c>
      <c r="C1256" s="35">
        <v>0</v>
      </c>
      <c r="D1256" s="2">
        <f t="shared" si="19"/>
        <v>1</v>
      </c>
    </row>
    <row r="1257" spans="1:4" x14ac:dyDescent="0.3">
      <c r="A1257" s="34">
        <v>19131</v>
      </c>
      <c r="B1257" s="35">
        <v>1</v>
      </c>
      <c r="C1257" s="35">
        <v>0</v>
      </c>
      <c r="D1257" s="2">
        <f t="shared" si="19"/>
        <v>1</v>
      </c>
    </row>
    <row r="1258" spans="1:4" x14ac:dyDescent="0.3">
      <c r="A1258" s="34">
        <v>19184</v>
      </c>
      <c r="B1258" s="35">
        <v>1</v>
      </c>
      <c r="C1258" s="35">
        <v>0</v>
      </c>
      <c r="D1258" s="2">
        <f t="shared" si="19"/>
        <v>1</v>
      </c>
    </row>
    <row r="1259" spans="1:4" x14ac:dyDescent="0.3">
      <c r="A1259" s="34">
        <v>19208</v>
      </c>
      <c r="B1259" s="35">
        <v>1</v>
      </c>
      <c r="C1259" s="35">
        <v>0</v>
      </c>
      <c r="D1259" s="2">
        <f t="shared" si="19"/>
        <v>1</v>
      </c>
    </row>
    <row r="1260" spans="1:4" x14ac:dyDescent="0.3">
      <c r="A1260" s="34">
        <v>19210</v>
      </c>
      <c r="B1260" s="35">
        <v>3</v>
      </c>
      <c r="C1260" s="35">
        <v>2</v>
      </c>
      <c r="D1260" s="2">
        <f t="shared" si="19"/>
        <v>5</v>
      </c>
    </row>
    <row r="1261" spans="1:4" x14ac:dyDescent="0.3">
      <c r="A1261" s="34">
        <v>19213</v>
      </c>
      <c r="B1261" s="35">
        <v>1</v>
      </c>
      <c r="C1261" s="35">
        <v>1</v>
      </c>
      <c r="D1261" s="2">
        <f t="shared" si="19"/>
        <v>2</v>
      </c>
    </row>
    <row r="1262" spans="1:4" x14ac:dyDescent="0.3">
      <c r="A1262" s="34">
        <v>19215</v>
      </c>
      <c r="B1262" s="35">
        <v>3</v>
      </c>
      <c r="C1262" s="35">
        <v>2</v>
      </c>
      <c r="D1262" s="2">
        <f t="shared" si="19"/>
        <v>5</v>
      </c>
    </row>
    <row r="1263" spans="1:4" x14ac:dyDescent="0.3">
      <c r="A1263" s="34">
        <v>19230</v>
      </c>
      <c r="B1263" s="35">
        <v>1</v>
      </c>
      <c r="C1263" s="35">
        <v>0</v>
      </c>
      <c r="D1263" s="2">
        <f t="shared" si="19"/>
        <v>1</v>
      </c>
    </row>
    <row r="1264" spans="1:4" x14ac:dyDescent="0.3">
      <c r="A1264" s="34">
        <v>19231</v>
      </c>
      <c r="B1264" s="35">
        <v>1</v>
      </c>
      <c r="C1264" s="35">
        <v>0</v>
      </c>
      <c r="D1264" s="2">
        <f t="shared" si="19"/>
        <v>1</v>
      </c>
    </row>
    <row r="1265" spans="1:4" x14ac:dyDescent="0.3">
      <c r="A1265" s="34">
        <v>19232</v>
      </c>
      <c r="B1265" s="35">
        <v>1</v>
      </c>
      <c r="C1265" s="35">
        <v>0</v>
      </c>
      <c r="D1265" s="2">
        <f t="shared" si="19"/>
        <v>1</v>
      </c>
    </row>
    <row r="1266" spans="1:4" x14ac:dyDescent="0.3">
      <c r="A1266" s="34">
        <v>19242</v>
      </c>
      <c r="B1266" s="35">
        <v>2</v>
      </c>
      <c r="C1266" s="35">
        <v>1</v>
      </c>
      <c r="D1266" s="2">
        <f t="shared" si="19"/>
        <v>3</v>
      </c>
    </row>
    <row r="1267" spans="1:4" x14ac:dyDescent="0.3">
      <c r="A1267" s="34">
        <v>19245</v>
      </c>
      <c r="B1267" s="35">
        <v>2</v>
      </c>
      <c r="C1267" s="35">
        <v>0</v>
      </c>
      <c r="D1267" s="2">
        <f t="shared" si="19"/>
        <v>2</v>
      </c>
    </row>
    <row r="1268" spans="1:4" x14ac:dyDescent="0.3">
      <c r="A1268" s="34">
        <v>19277</v>
      </c>
      <c r="B1268" s="35">
        <v>1</v>
      </c>
      <c r="C1268" s="35">
        <v>1</v>
      </c>
      <c r="D1268" s="2">
        <f t="shared" si="19"/>
        <v>2</v>
      </c>
    </row>
    <row r="1269" spans="1:4" x14ac:dyDescent="0.3">
      <c r="A1269" s="34">
        <v>19292</v>
      </c>
      <c r="B1269" s="35">
        <v>1</v>
      </c>
      <c r="C1269" s="35">
        <v>0</v>
      </c>
      <c r="D1269" s="2">
        <f t="shared" si="19"/>
        <v>1</v>
      </c>
    </row>
    <row r="1270" spans="1:4" x14ac:dyDescent="0.3">
      <c r="A1270" s="34">
        <v>19295</v>
      </c>
      <c r="B1270" s="35">
        <v>1</v>
      </c>
      <c r="C1270" s="35">
        <v>0</v>
      </c>
      <c r="D1270" s="2">
        <f t="shared" si="19"/>
        <v>1</v>
      </c>
    </row>
    <row r="1271" spans="1:4" x14ac:dyDescent="0.3">
      <c r="A1271" s="34">
        <v>19300</v>
      </c>
      <c r="B1271" s="35">
        <v>1</v>
      </c>
      <c r="C1271" s="35">
        <v>1</v>
      </c>
      <c r="D1271" s="2">
        <f t="shared" si="19"/>
        <v>2</v>
      </c>
    </row>
    <row r="1272" spans="1:4" x14ac:dyDescent="0.3">
      <c r="A1272" s="34">
        <v>19301</v>
      </c>
      <c r="B1272" s="35">
        <v>1</v>
      </c>
      <c r="C1272" s="35">
        <v>0</v>
      </c>
      <c r="D1272" s="2">
        <f t="shared" si="19"/>
        <v>1</v>
      </c>
    </row>
    <row r="1273" spans="1:4" x14ac:dyDescent="0.3">
      <c r="A1273" s="34">
        <v>19312</v>
      </c>
      <c r="B1273" s="35">
        <v>3</v>
      </c>
      <c r="C1273" s="35">
        <v>2</v>
      </c>
      <c r="D1273" s="2">
        <f t="shared" si="19"/>
        <v>5</v>
      </c>
    </row>
    <row r="1274" spans="1:4" x14ac:dyDescent="0.3">
      <c r="A1274" s="34">
        <v>19323</v>
      </c>
      <c r="B1274" s="35">
        <v>3</v>
      </c>
      <c r="C1274" s="35">
        <v>2</v>
      </c>
      <c r="D1274" s="2">
        <f t="shared" si="19"/>
        <v>5</v>
      </c>
    </row>
    <row r="1275" spans="1:4" x14ac:dyDescent="0.3">
      <c r="A1275" s="34">
        <v>19435</v>
      </c>
      <c r="B1275" s="35">
        <v>1</v>
      </c>
      <c r="C1275" s="35">
        <v>1</v>
      </c>
      <c r="D1275" s="2">
        <f t="shared" si="19"/>
        <v>2</v>
      </c>
    </row>
    <row r="1276" spans="1:4" x14ac:dyDescent="0.3">
      <c r="A1276" s="34">
        <v>19436</v>
      </c>
      <c r="B1276" s="35">
        <v>1</v>
      </c>
      <c r="C1276" s="35">
        <v>0</v>
      </c>
      <c r="D1276" s="2">
        <f t="shared" si="19"/>
        <v>1</v>
      </c>
    </row>
    <row r="1277" spans="1:4" x14ac:dyDescent="0.3">
      <c r="A1277" s="34">
        <v>19441</v>
      </c>
      <c r="B1277" s="35">
        <v>1</v>
      </c>
      <c r="C1277" s="35">
        <v>0</v>
      </c>
      <c r="D1277" s="2">
        <f t="shared" si="19"/>
        <v>1</v>
      </c>
    </row>
    <row r="1278" spans="1:4" x14ac:dyDescent="0.3">
      <c r="A1278" s="34">
        <v>19498</v>
      </c>
      <c r="B1278" s="35">
        <v>1</v>
      </c>
      <c r="C1278" s="35">
        <v>0</v>
      </c>
      <c r="D1278" s="2">
        <f t="shared" si="19"/>
        <v>1</v>
      </c>
    </row>
    <row r="1279" spans="1:4" x14ac:dyDescent="0.3">
      <c r="A1279" s="34">
        <v>19505</v>
      </c>
      <c r="B1279" s="35">
        <v>1</v>
      </c>
      <c r="C1279" s="35">
        <v>1</v>
      </c>
      <c r="D1279" s="2">
        <f t="shared" si="19"/>
        <v>2</v>
      </c>
    </row>
    <row r="1280" spans="1:4" x14ac:dyDescent="0.3">
      <c r="A1280" s="34">
        <v>19548</v>
      </c>
      <c r="B1280" s="35">
        <v>1</v>
      </c>
      <c r="C1280" s="35">
        <v>0</v>
      </c>
      <c r="D1280" s="2">
        <f t="shared" si="19"/>
        <v>1</v>
      </c>
    </row>
    <row r="1281" spans="1:4" x14ac:dyDescent="0.3">
      <c r="A1281" s="34">
        <v>19554</v>
      </c>
      <c r="B1281" s="35">
        <v>1</v>
      </c>
      <c r="C1281" s="35">
        <v>0</v>
      </c>
      <c r="D1281" s="2">
        <f t="shared" si="19"/>
        <v>1</v>
      </c>
    </row>
    <row r="1282" spans="1:4" x14ac:dyDescent="0.3">
      <c r="A1282" s="34">
        <v>19556</v>
      </c>
      <c r="B1282" s="35">
        <v>1</v>
      </c>
      <c r="C1282" s="35">
        <v>0</v>
      </c>
      <c r="D1282" s="2">
        <f t="shared" si="19"/>
        <v>1</v>
      </c>
    </row>
    <row r="1283" spans="1:4" x14ac:dyDescent="0.3">
      <c r="A1283" s="34">
        <v>19563</v>
      </c>
      <c r="B1283" s="35">
        <v>1</v>
      </c>
      <c r="C1283" s="35">
        <v>0</v>
      </c>
      <c r="D1283" s="2">
        <f t="shared" ref="D1283:D1346" si="20">B1283+C1283</f>
        <v>1</v>
      </c>
    </row>
    <row r="1284" spans="1:4" x14ac:dyDescent="0.3">
      <c r="A1284" s="34">
        <v>19593</v>
      </c>
      <c r="B1284" s="35">
        <v>1</v>
      </c>
      <c r="C1284" s="35">
        <v>0</v>
      </c>
      <c r="D1284" s="2">
        <f t="shared" si="20"/>
        <v>1</v>
      </c>
    </row>
    <row r="1285" spans="1:4" x14ac:dyDescent="0.3">
      <c r="A1285" s="34">
        <v>19594</v>
      </c>
      <c r="B1285" s="35">
        <v>1</v>
      </c>
      <c r="C1285" s="35">
        <v>0</v>
      </c>
      <c r="D1285" s="2">
        <f t="shared" si="20"/>
        <v>1</v>
      </c>
    </row>
    <row r="1286" spans="1:4" x14ac:dyDescent="0.3">
      <c r="A1286" s="34">
        <v>19596</v>
      </c>
      <c r="B1286" s="35">
        <v>1</v>
      </c>
      <c r="C1286" s="35">
        <v>0</v>
      </c>
      <c r="D1286" s="2">
        <f t="shared" si="20"/>
        <v>1</v>
      </c>
    </row>
    <row r="1287" spans="1:4" x14ac:dyDescent="0.3">
      <c r="A1287" s="34">
        <v>19597</v>
      </c>
      <c r="B1287" s="35">
        <v>1</v>
      </c>
      <c r="C1287" s="35">
        <v>0</v>
      </c>
      <c r="D1287" s="2">
        <f t="shared" si="20"/>
        <v>1</v>
      </c>
    </row>
    <row r="1288" spans="1:4" x14ac:dyDescent="0.3">
      <c r="A1288" s="34">
        <v>19603</v>
      </c>
      <c r="B1288" s="35">
        <v>1</v>
      </c>
      <c r="C1288" s="35">
        <v>0</v>
      </c>
      <c r="D1288" s="2">
        <f t="shared" si="20"/>
        <v>1</v>
      </c>
    </row>
    <row r="1289" spans="1:4" x14ac:dyDescent="0.3">
      <c r="A1289" s="34">
        <v>19604</v>
      </c>
      <c r="B1289" s="35">
        <v>1</v>
      </c>
      <c r="C1289" s="35">
        <v>1</v>
      </c>
      <c r="D1289" s="2">
        <f t="shared" si="20"/>
        <v>2</v>
      </c>
    </row>
    <row r="1290" spans="1:4" x14ac:dyDescent="0.3">
      <c r="A1290" s="34">
        <v>19605</v>
      </c>
      <c r="B1290" s="35">
        <v>1</v>
      </c>
      <c r="C1290" s="35">
        <v>0</v>
      </c>
      <c r="D1290" s="2">
        <f t="shared" si="20"/>
        <v>1</v>
      </c>
    </row>
    <row r="1291" spans="1:4" x14ac:dyDescent="0.3">
      <c r="A1291" s="34">
        <v>19619</v>
      </c>
      <c r="B1291" s="35">
        <v>2</v>
      </c>
      <c r="C1291" s="35">
        <v>0</v>
      </c>
      <c r="D1291" s="2">
        <f t="shared" si="20"/>
        <v>2</v>
      </c>
    </row>
    <row r="1292" spans="1:4" x14ac:dyDescent="0.3">
      <c r="A1292" s="34">
        <v>19622</v>
      </c>
      <c r="B1292" s="35">
        <v>2</v>
      </c>
      <c r="C1292" s="35">
        <v>0</v>
      </c>
      <c r="D1292" s="2">
        <f t="shared" si="20"/>
        <v>2</v>
      </c>
    </row>
    <row r="1293" spans="1:4" x14ac:dyDescent="0.3">
      <c r="A1293" s="34">
        <v>19625</v>
      </c>
      <c r="B1293" s="35">
        <v>2</v>
      </c>
      <c r="C1293" s="35">
        <v>0</v>
      </c>
      <c r="D1293" s="2">
        <f t="shared" si="20"/>
        <v>2</v>
      </c>
    </row>
    <row r="1294" spans="1:4" x14ac:dyDescent="0.3">
      <c r="A1294" s="34">
        <v>19643</v>
      </c>
      <c r="B1294" s="35">
        <v>1</v>
      </c>
      <c r="C1294" s="35">
        <v>1</v>
      </c>
      <c r="D1294" s="2">
        <f t="shared" si="20"/>
        <v>2</v>
      </c>
    </row>
    <row r="1295" spans="1:4" x14ac:dyDescent="0.3">
      <c r="A1295" s="34">
        <v>19647</v>
      </c>
      <c r="B1295" s="35">
        <v>1</v>
      </c>
      <c r="C1295" s="35">
        <v>0</v>
      </c>
      <c r="D1295" s="2">
        <f t="shared" si="20"/>
        <v>1</v>
      </c>
    </row>
    <row r="1296" spans="1:4" x14ac:dyDescent="0.3">
      <c r="A1296" s="34">
        <v>19651</v>
      </c>
      <c r="B1296" s="35">
        <v>1</v>
      </c>
      <c r="C1296" s="35">
        <v>0</v>
      </c>
      <c r="D1296" s="2">
        <f t="shared" si="20"/>
        <v>1</v>
      </c>
    </row>
    <row r="1297" spans="1:4" x14ac:dyDescent="0.3">
      <c r="A1297" s="34">
        <v>19652</v>
      </c>
      <c r="B1297" s="35">
        <v>1</v>
      </c>
      <c r="C1297" s="35">
        <v>0</v>
      </c>
      <c r="D1297" s="2">
        <f t="shared" si="20"/>
        <v>1</v>
      </c>
    </row>
    <row r="1298" spans="1:4" x14ac:dyDescent="0.3">
      <c r="A1298" s="34">
        <v>19653</v>
      </c>
      <c r="B1298" s="35">
        <v>1</v>
      </c>
      <c r="C1298" s="35">
        <v>0</v>
      </c>
      <c r="D1298" s="2">
        <f t="shared" si="20"/>
        <v>1</v>
      </c>
    </row>
    <row r="1299" spans="1:4" x14ac:dyDescent="0.3">
      <c r="A1299" s="34">
        <v>19669</v>
      </c>
      <c r="B1299" s="35">
        <v>2</v>
      </c>
      <c r="C1299" s="35">
        <v>0</v>
      </c>
      <c r="D1299" s="2">
        <f t="shared" si="20"/>
        <v>2</v>
      </c>
    </row>
    <row r="1300" spans="1:4" x14ac:dyDescent="0.3">
      <c r="A1300" s="34">
        <v>19671</v>
      </c>
      <c r="B1300" s="35">
        <v>1</v>
      </c>
      <c r="C1300" s="35">
        <v>0</v>
      </c>
      <c r="D1300" s="2">
        <f t="shared" si="20"/>
        <v>1</v>
      </c>
    </row>
    <row r="1301" spans="1:4" x14ac:dyDescent="0.3">
      <c r="A1301" s="34">
        <v>19677</v>
      </c>
      <c r="B1301" s="35">
        <v>1</v>
      </c>
      <c r="C1301" s="35">
        <v>1</v>
      </c>
      <c r="D1301" s="2">
        <f t="shared" si="20"/>
        <v>2</v>
      </c>
    </row>
    <row r="1302" spans="1:4" x14ac:dyDescent="0.3">
      <c r="A1302" s="34">
        <v>19694</v>
      </c>
      <c r="B1302" s="35">
        <v>1</v>
      </c>
      <c r="C1302" s="35">
        <v>0</v>
      </c>
      <c r="D1302" s="2">
        <f t="shared" si="20"/>
        <v>1</v>
      </c>
    </row>
    <row r="1303" spans="1:4" x14ac:dyDescent="0.3">
      <c r="A1303" s="34">
        <v>19695</v>
      </c>
      <c r="B1303" s="35">
        <v>2</v>
      </c>
      <c r="C1303" s="35">
        <v>2</v>
      </c>
      <c r="D1303" s="2">
        <f t="shared" si="20"/>
        <v>4</v>
      </c>
    </row>
    <row r="1304" spans="1:4" x14ac:dyDescent="0.3">
      <c r="A1304" s="34">
        <v>19697</v>
      </c>
      <c r="B1304" s="35">
        <v>1</v>
      </c>
      <c r="C1304" s="35">
        <v>1</v>
      </c>
      <c r="D1304" s="2">
        <f t="shared" si="20"/>
        <v>2</v>
      </c>
    </row>
    <row r="1305" spans="1:4" x14ac:dyDescent="0.3">
      <c r="A1305" s="34">
        <v>19698</v>
      </c>
      <c r="B1305" s="35">
        <v>1</v>
      </c>
      <c r="C1305" s="35">
        <v>1</v>
      </c>
      <c r="D1305" s="2">
        <f t="shared" si="20"/>
        <v>2</v>
      </c>
    </row>
    <row r="1306" spans="1:4" x14ac:dyDescent="0.3">
      <c r="A1306" s="34">
        <v>19704</v>
      </c>
      <c r="B1306" s="35">
        <v>1</v>
      </c>
      <c r="C1306" s="35">
        <v>0</v>
      </c>
      <c r="D1306" s="2">
        <f t="shared" si="20"/>
        <v>1</v>
      </c>
    </row>
    <row r="1307" spans="1:4" x14ac:dyDescent="0.3">
      <c r="A1307" s="34">
        <v>19706</v>
      </c>
      <c r="B1307" s="35">
        <v>3</v>
      </c>
      <c r="C1307" s="35">
        <v>2</v>
      </c>
      <c r="D1307" s="2">
        <f t="shared" si="20"/>
        <v>5</v>
      </c>
    </row>
    <row r="1308" spans="1:4" x14ac:dyDescent="0.3">
      <c r="A1308" s="34">
        <v>19714</v>
      </c>
      <c r="B1308" s="35">
        <v>1</v>
      </c>
      <c r="C1308" s="35">
        <v>1</v>
      </c>
      <c r="D1308" s="2">
        <f t="shared" si="20"/>
        <v>2</v>
      </c>
    </row>
    <row r="1309" spans="1:4" x14ac:dyDescent="0.3">
      <c r="A1309" s="34">
        <v>19719</v>
      </c>
      <c r="B1309" s="35">
        <v>1</v>
      </c>
      <c r="C1309" s="35">
        <v>0</v>
      </c>
      <c r="D1309" s="2">
        <f t="shared" si="20"/>
        <v>1</v>
      </c>
    </row>
    <row r="1310" spans="1:4" x14ac:dyDescent="0.3">
      <c r="A1310" s="34">
        <v>19722</v>
      </c>
      <c r="B1310" s="35">
        <v>1</v>
      </c>
      <c r="C1310" s="35">
        <v>0</v>
      </c>
      <c r="D1310" s="2">
        <f t="shared" si="20"/>
        <v>1</v>
      </c>
    </row>
    <row r="1311" spans="1:4" x14ac:dyDescent="0.3">
      <c r="A1311" s="34">
        <v>19724</v>
      </c>
      <c r="B1311" s="35">
        <v>1</v>
      </c>
      <c r="C1311" s="35">
        <v>0</v>
      </c>
      <c r="D1311" s="2">
        <f t="shared" si="20"/>
        <v>1</v>
      </c>
    </row>
    <row r="1312" spans="1:4" x14ac:dyDescent="0.3">
      <c r="A1312" s="34">
        <v>19730</v>
      </c>
      <c r="B1312" s="35">
        <v>1</v>
      </c>
      <c r="C1312" s="35">
        <v>0</v>
      </c>
      <c r="D1312" s="2">
        <f t="shared" si="20"/>
        <v>1</v>
      </c>
    </row>
    <row r="1313" spans="1:4" x14ac:dyDescent="0.3">
      <c r="A1313" s="34">
        <v>19741</v>
      </c>
      <c r="B1313" s="35">
        <v>1</v>
      </c>
      <c r="C1313" s="35">
        <v>0</v>
      </c>
      <c r="D1313" s="2">
        <f t="shared" si="20"/>
        <v>1</v>
      </c>
    </row>
    <row r="1314" spans="1:4" x14ac:dyDescent="0.3">
      <c r="A1314" s="34">
        <v>19745</v>
      </c>
      <c r="B1314" s="35">
        <v>1</v>
      </c>
      <c r="C1314" s="35">
        <v>0</v>
      </c>
      <c r="D1314" s="2">
        <f t="shared" si="20"/>
        <v>1</v>
      </c>
    </row>
    <row r="1315" spans="1:4" x14ac:dyDescent="0.3">
      <c r="A1315" s="34">
        <v>19747</v>
      </c>
      <c r="B1315" s="35">
        <v>2</v>
      </c>
      <c r="C1315" s="35">
        <v>2</v>
      </c>
      <c r="D1315" s="2">
        <f t="shared" si="20"/>
        <v>4</v>
      </c>
    </row>
    <row r="1316" spans="1:4" x14ac:dyDescent="0.3">
      <c r="A1316" s="34">
        <v>19752</v>
      </c>
      <c r="B1316" s="35">
        <v>1</v>
      </c>
      <c r="C1316" s="35">
        <v>0</v>
      </c>
      <c r="D1316" s="2">
        <f t="shared" si="20"/>
        <v>1</v>
      </c>
    </row>
    <row r="1317" spans="1:4" x14ac:dyDescent="0.3">
      <c r="A1317" s="34">
        <v>19759</v>
      </c>
      <c r="B1317" s="35">
        <v>1</v>
      </c>
      <c r="C1317" s="35">
        <v>1</v>
      </c>
      <c r="D1317" s="2">
        <f t="shared" si="20"/>
        <v>2</v>
      </c>
    </row>
    <row r="1318" spans="1:4" x14ac:dyDescent="0.3">
      <c r="A1318" s="34">
        <v>19762</v>
      </c>
      <c r="B1318" s="35">
        <v>1</v>
      </c>
      <c r="C1318" s="35">
        <v>0</v>
      </c>
      <c r="D1318" s="2">
        <f t="shared" si="20"/>
        <v>1</v>
      </c>
    </row>
    <row r="1319" spans="1:4" x14ac:dyDescent="0.3">
      <c r="A1319" s="34">
        <v>19766</v>
      </c>
      <c r="B1319" s="35">
        <v>1</v>
      </c>
      <c r="C1319" s="35">
        <v>0</v>
      </c>
      <c r="D1319" s="2">
        <f t="shared" si="20"/>
        <v>1</v>
      </c>
    </row>
    <row r="1320" spans="1:4" x14ac:dyDescent="0.3">
      <c r="A1320" s="34">
        <v>19783</v>
      </c>
      <c r="B1320" s="35">
        <v>1</v>
      </c>
      <c r="C1320" s="35">
        <v>0</v>
      </c>
      <c r="D1320" s="2">
        <f t="shared" si="20"/>
        <v>1</v>
      </c>
    </row>
    <row r="1321" spans="1:4" x14ac:dyDescent="0.3">
      <c r="A1321" s="34">
        <v>19788</v>
      </c>
      <c r="B1321" s="35">
        <v>1</v>
      </c>
      <c r="C1321" s="35">
        <v>0</v>
      </c>
      <c r="D1321" s="2">
        <f t="shared" si="20"/>
        <v>1</v>
      </c>
    </row>
    <row r="1322" spans="1:4" x14ac:dyDescent="0.3">
      <c r="A1322" s="34">
        <v>19799</v>
      </c>
      <c r="B1322" s="35">
        <v>1</v>
      </c>
      <c r="C1322" s="35">
        <v>1</v>
      </c>
      <c r="D1322" s="2">
        <f t="shared" si="20"/>
        <v>2</v>
      </c>
    </row>
    <row r="1323" spans="1:4" x14ac:dyDescent="0.3">
      <c r="A1323" s="34">
        <v>19805</v>
      </c>
      <c r="B1323" s="35">
        <v>1</v>
      </c>
      <c r="C1323" s="35">
        <v>0</v>
      </c>
      <c r="D1323" s="2">
        <f t="shared" si="20"/>
        <v>1</v>
      </c>
    </row>
    <row r="1324" spans="1:4" x14ac:dyDescent="0.3">
      <c r="A1324" s="34">
        <v>19810</v>
      </c>
      <c r="B1324" s="35">
        <v>1</v>
      </c>
      <c r="C1324" s="35">
        <v>0</v>
      </c>
      <c r="D1324" s="2">
        <f t="shared" si="20"/>
        <v>1</v>
      </c>
    </row>
    <row r="1325" spans="1:4" x14ac:dyDescent="0.3">
      <c r="A1325" s="34">
        <v>19811</v>
      </c>
      <c r="B1325" s="35">
        <v>1</v>
      </c>
      <c r="C1325" s="35">
        <v>1</v>
      </c>
      <c r="D1325" s="2">
        <f t="shared" si="20"/>
        <v>2</v>
      </c>
    </row>
    <row r="1326" spans="1:4" x14ac:dyDescent="0.3">
      <c r="A1326" s="34">
        <v>19812</v>
      </c>
      <c r="B1326" s="35">
        <v>1</v>
      </c>
      <c r="C1326" s="35">
        <v>0</v>
      </c>
      <c r="D1326" s="2">
        <f t="shared" si="20"/>
        <v>1</v>
      </c>
    </row>
    <row r="1327" spans="1:4" x14ac:dyDescent="0.3">
      <c r="A1327" s="34">
        <v>19815</v>
      </c>
      <c r="B1327" s="35">
        <v>1</v>
      </c>
      <c r="C1327" s="35">
        <v>0</v>
      </c>
      <c r="D1327" s="2">
        <f t="shared" si="20"/>
        <v>1</v>
      </c>
    </row>
    <row r="1328" spans="1:4" x14ac:dyDescent="0.3">
      <c r="A1328" s="34">
        <v>19825</v>
      </c>
      <c r="B1328" s="35">
        <v>1</v>
      </c>
      <c r="C1328" s="35">
        <v>0</v>
      </c>
      <c r="D1328" s="2">
        <f t="shared" si="20"/>
        <v>1</v>
      </c>
    </row>
    <row r="1329" spans="1:4" x14ac:dyDescent="0.3">
      <c r="A1329" s="34">
        <v>19841</v>
      </c>
      <c r="B1329" s="35">
        <v>1</v>
      </c>
      <c r="C1329" s="35">
        <v>1</v>
      </c>
      <c r="D1329" s="2">
        <f t="shared" si="20"/>
        <v>2</v>
      </c>
    </row>
    <row r="1330" spans="1:4" x14ac:dyDescent="0.3">
      <c r="A1330" s="34">
        <v>19843</v>
      </c>
      <c r="B1330" s="35">
        <v>1</v>
      </c>
      <c r="C1330" s="35">
        <v>0</v>
      </c>
      <c r="D1330" s="2">
        <f t="shared" si="20"/>
        <v>1</v>
      </c>
    </row>
    <row r="1331" spans="1:4" x14ac:dyDescent="0.3">
      <c r="A1331" s="34">
        <v>19844</v>
      </c>
      <c r="B1331" s="35">
        <v>1</v>
      </c>
      <c r="C1331" s="35">
        <v>0</v>
      </c>
      <c r="D1331" s="2">
        <f t="shared" si="20"/>
        <v>1</v>
      </c>
    </row>
    <row r="1332" spans="1:4" x14ac:dyDescent="0.3">
      <c r="A1332" s="34">
        <v>19848</v>
      </c>
      <c r="B1332" s="35">
        <v>2</v>
      </c>
      <c r="C1332" s="35">
        <v>0</v>
      </c>
      <c r="D1332" s="2">
        <f t="shared" si="20"/>
        <v>2</v>
      </c>
    </row>
    <row r="1333" spans="1:4" x14ac:dyDescent="0.3">
      <c r="A1333" s="34">
        <v>20490</v>
      </c>
      <c r="B1333" s="35">
        <v>1</v>
      </c>
      <c r="C1333" s="35">
        <v>0</v>
      </c>
      <c r="D1333" s="2">
        <f t="shared" si="20"/>
        <v>1</v>
      </c>
    </row>
    <row r="1334" spans="1:4" x14ac:dyDescent="0.3">
      <c r="A1334" s="34">
        <v>20491</v>
      </c>
      <c r="B1334" s="35">
        <v>1</v>
      </c>
      <c r="C1334" s="35">
        <v>0</v>
      </c>
      <c r="D1334" s="2">
        <f t="shared" si="20"/>
        <v>1</v>
      </c>
    </row>
    <row r="1335" spans="1:4" x14ac:dyDescent="0.3">
      <c r="A1335" s="34">
        <v>20503</v>
      </c>
      <c r="B1335" s="35">
        <v>1</v>
      </c>
      <c r="C1335" s="35">
        <v>1</v>
      </c>
      <c r="D1335" s="2">
        <f t="shared" si="20"/>
        <v>2</v>
      </c>
    </row>
    <row r="1336" spans="1:4" x14ac:dyDescent="0.3">
      <c r="A1336" s="34">
        <v>20513</v>
      </c>
      <c r="B1336" s="35">
        <v>1</v>
      </c>
      <c r="C1336" s="35">
        <v>0</v>
      </c>
      <c r="D1336" s="2">
        <f t="shared" si="20"/>
        <v>1</v>
      </c>
    </row>
    <row r="1337" spans="1:4" x14ac:dyDescent="0.3">
      <c r="A1337" s="34">
        <v>20514</v>
      </c>
      <c r="B1337" s="35">
        <v>1</v>
      </c>
      <c r="C1337" s="35">
        <v>0</v>
      </c>
      <c r="D1337" s="2">
        <f t="shared" si="20"/>
        <v>1</v>
      </c>
    </row>
    <row r="1338" spans="1:4" x14ac:dyDescent="0.3">
      <c r="A1338" s="34">
        <v>20520</v>
      </c>
      <c r="B1338" s="35">
        <v>1</v>
      </c>
      <c r="C1338" s="35">
        <v>1</v>
      </c>
      <c r="D1338" s="2">
        <f t="shared" si="20"/>
        <v>2</v>
      </c>
    </row>
    <row r="1339" spans="1:4" x14ac:dyDescent="0.3">
      <c r="A1339" s="34">
        <v>20521</v>
      </c>
      <c r="B1339" s="35">
        <v>1</v>
      </c>
      <c r="C1339" s="35">
        <v>1</v>
      </c>
      <c r="D1339" s="2">
        <f t="shared" si="20"/>
        <v>2</v>
      </c>
    </row>
    <row r="1340" spans="1:4" x14ac:dyDescent="0.3">
      <c r="A1340" s="34">
        <v>20522</v>
      </c>
      <c r="B1340" s="35">
        <v>1</v>
      </c>
      <c r="C1340" s="35">
        <v>0</v>
      </c>
      <c r="D1340" s="2">
        <f t="shared" si="20"/>
        <v>1</v>
      </c>
    </row>
    <row r="1341" spans="1:4" x14ac:dyDescent="0.3">
      <c r="A1341" s="34">
        <v>20530</v>
      </c>
      <c r="B1341" s="35">
        <v>1</v>
      </c>
      <c r="C1341" s="35">
        <v>0</v>
      </c>
      <c r="D1341" s="2">
        <f t="shared" si="20"/>
        <v>1</v>
      </c>
    </row>
    <row r="1342" spans="1:4" x14ac:dyDescent="0.3">
      <c r="A1342" s="34">
        <v>20534</v>
      </c>
      <c r="B1342" s="35">
        <v>1</v>
      </c>
      <c r="C1342" s="35">
        <v>0</v>
      </c>
      <c r="D1342" s="2">
        <f t="shared" si="20"/>
        <v>1</v>
      </c>
    </row>
    <row r="1343" spans="1:4" x14ac:dyDescent="0.3">
      <c r="A1343" s="34">
        <v>20537</v>
      </c>
      <c r="B1343" s="35">
        <v>1</v>
      </c>
      <c r="C1343" s="35">
        <v>0</v>
      </c>
      <c r="D1343" s="2">
        <f t="shared" si="20"/>
        <v>1</v>
      </c>
    </row>
    <row r="1344" spans="1:4" x14ac:dyDescent="0.3">
      <c r="A1344" s="34">
        <v>20545</v>
      </c>
      <c r="B1344" s="35">
        <v>2</v>
      </c>
      <c r="C1344" s="35">
        <v>0</v>
      </c>
      <c r="D1344" s="2">
        <f t="shared" si="20"/>
        <v>2</v>
      </c>
    </row>
    <row r="1345" spans="1:4" x14ac:dyDescent="0.3">
      <c r="A1345" s="34">
        <v>20546</v>
      </c>
      <c r="B1345" s="35">
        <v>1</v>
      </c>
      <c r="C1345" s="35">
        <v>0</v>
      </c>
      <c r="D1345" s="2">
        <f t="shared" si="20"/>
        <v>1</v>
      </c>
    </row>
    <row r="1346" spans="1:4" x14ac:dyDescent="0.3">
      <c r="A1346" s="34">
        <v>20548</v>
      </c>
      <c r="B1346" s="35">
        <v>1</v>
      </c>
      <c r="C1346" s="35">
        <v>1</v>
      </c>
      <c r="D1346" s="2">
        <f t="shared" si="20"/>
        <v>2</v>
      </c>
    </row>
    <row r="1347" spans="1:4" x14ac:dyDescent="0.3">
      <c r="A1347" s="34">
        <v>20553</v>
      </c>
      <c r="B1347" s="35">
        <v>1</v>
      </c>
      <c r="C1347" s="35">
        <v>0</v>
      </c>
      <c r="D1347" s="2">
        <f t="shared" ref="D1347:D1410" si="21">B1347+C1347</f>
        <v>1</v>
      </c>
    </row>
    <row r="1348" spans="1:4" x14ac:dyDescent="0.3">
      <c r="A1348" s="34">
        <v>20561</v>
      </c>
      <c r="B1348" s="35">
        <v>1</v>
      </c>
      <c r="C1348" s="35">
        <v>1</v>
      </c>
      <c r="D1348" s="2">
        <f t="shared" si="21"/>
        <v>2</v>
      </c>
    </row>
    <row r="1349" spans="1:4" x14ac:dyDescent="0.3">
      <c r="A1349" s="34">
        <v>20570</v>
      </c>
      <c r="B1349" s="35">
        <v>1</v>
      </c>
      <c r="C1349" s="35">
        <v>0</v>
      </c>
      <c r="D1349" s="2">
        <f t="shared" si="21"/>
        <v>1</v>
      </c>
    </row>
    <row r="1350" spans="1:4" x14ac:dyDescent="0.3">
      <c r="A1350" s="34">
        <v>20573</v>
      </c>
      <c r="B1350" s="35">
        <v>1</v>
      </c>
      <c r="C1350" s="35">
        <v>0</v>
      </c>
      <c r="D1350" s="2">
        <f t="shared" si="21"/>
        <v>1</v>
      </c>
    </row>
    <row r="1351" spans="1:4" x14ac:dyDescent="0.3">
      <c r="A1351" s="34">
        <v>20574</v>
      </c>
      <c r="B1351" s="35">
        <v>1</v>
      </c>
      <c r="C1351" s="35">
        <v>0</v>
      </c>
      <c r="D1351" s="2">
        <f t="shared" si="21"/>
        <v>1</v>
      </c>
    </row>
    <row r="1352" spans="1:4" x14ac:dyDescent="0.3">
      <c r="A1352" s="34">
        <v>20581</v>
      </c>
      <c r="B1352" s="35">
        <v>2</v>
      </c>
      <c r="C1352" s="35">
        <v>1</v>
      </c>
      <c r="D1352" s="2">
        <f t="shared" si="21"/>
        <v>3</v>
      </c>
    </row>
    <row r="1353" spans="1:4" x14ac:dyDescent="0.3">
      <c r="A1353" s="34">
        <v>20586</v>
      </c>
      <c r="B1353" s="35">
        <v>1</v>
      </c>
      <c r="C1353" s="35">
        <v>0</v>
      </c>
      <c r="D1353" s="2">
        <f t="shared" si="21"/>
        <v>1</v>
      </c>
    </row>
    <row r="1354" spans="1:4" x14ac:dyDescent="0.3">
      <c r="A1354" s="34">
        <v>20587</v>
      </c>
      <c r="B1354" s="35">
        <v>1</v>
      </c>
      <c r="C1354" s="35">
        <v>0</v>
      </c>
      <c r="D1354" s="2">
        <f t="shared" si="21"/>
        <v>1</v>
      </c>
    </row>
    <row r="1355" spans="1:4" x14ac:dyDescent="0.3">
      <c r="A1355" s="34">
        <v>20590</v>
      </c>
      <c r="B1355" s="35">
        <v>2</v>
      </c>
      <c r="C1355" s="35">
        <v>2</v>
      </c>
      <c r="D1355" s="2">
        <f t="shared" si="21"/>
        <v>4</v>
      </c>
    </row>
    <row r="1356" spans="1:4" x14ac:dyDescent="0.3">
      <c r="A1356" s="34">
        <v>20604</v>
      </c>
      <c r="B1356" s="35">
        <v>1</v>
      </c>
      <c r="C1356" s="35">
        <v>0</v>
      </c>
      <c r="D1356" s="2">
        <f t="shared" si="21"/>
        <v>1</v>
      </c>
    </row>
    <row r="1357" spans="1:4" x14ac:dyDescent="0.3">
      <c r="A1357" s="34">
        <v>20612</v>
      </c>
      <c r="B1357" s="35">
        <v>1</v>
      </c>
      <c r="C1357" s="35">
        <v>0</v>
      </c>
      <c r="D1357" s="2">
        <f t="shared" si="21"/>
        <v>1</v>
      </c>
    </row>
    <row r="1358" spans="1:4" x14ac:dyDescent="0.3">
      <c r="A1358" s="34">
        <v>20616</v>
      </c>
      <c r="B1358" s="35">
        <v>1</v>
      </c>
      <c r="C1358" s="35">
        <v>0</v>
      </c>
      <c r="D1358" s="2">
        <f t="shared" si="21"/>
        <v>1</v>
      </c>
    </row>
    <row r="1359" spans="1:4" x14ac:dyDescent="0.3">
      <c r="A1359" s="34">
        <v>20628</v>
      </c>
      <c r="B1359" s="35">
        <v>4</v>
      </c>
      <c r="C1359" s="35">
        <v>2</v>
      </c>
      <c r="D1359" s="2">
        <f t="shared" si="21"/>
        <v>6</v>
      </c>
    </row>
    <row r="1360" spans="1:4" x14ac:dyDescent="0.3">
      <c r="A1360" s="34">
        <v>20635</v>
      </c>
      <c r="B1360" s="35">
        <v>1</v>
      </c>
      <c r="C1360" s="35">
        <v>1</v>
      </c>
      <c r="D1360" s="2">
        <f t="shared" si="21"/>
        <v>2</v>
      </c>
    </row>
    <row r="1361" spans="1:4" x14ac:dyDescent="0.3">
      <c r="A1361" s="34">
        <v>20642</v>
      </c>
      <c r="B1361" s="35">
        <v>1</v>
      </c>
      <c r="C1361" s="35">
        <v>0</v>
      </c>
      <c r="D1361" s="2">
        <f t="shared" si="21"/>
        <v>1</v>
      </c>
    </row>
    <row r="1362" spans="1:4" x14ac:dyDescent="0.3">
      <c r="A1362" s="34">
        <v>20650</v>
      </c>
      <c r="B1362" s="35">
        <v>1</v>
      </c>
      <c r="C1362" s="35">
        <v>0</v>
      </c>
      <c r="D1362" s="2">
        <f t="shared" si="21"/>
        <v>1</v>
      </c>
    </row>
    <row r="1363" spans="1:4" x14ac:dyDescent="0.3">
      <c r="A1363" s="34">
        <v>20654</v>
      </c>
      <c r="B1363" s="35">
        <v>2</v>
      </c>
      <c r="C1363" s="35">
        <v>0</v>
      </c>
      <c r="D1363" s="2">
        <f t="shared" si="21"/>
        <v>2</v>
      </c>
    </row>
    <row r="1364" spans="1:4" x14ac:dyDescent="0.3">
      <c r="A1364" s="34">
        <v>20656</v>
      </c>
      <c r="B1364" s="35">
        <v>1</v>
      </c>
      <c r="C1364" s="35">
        <v>1</v>
      </c>
      <c r="D1364" s="2">
        <f t="shared" si="21"/>
        <v>2</v>
      </c>
    </row>
    <row r="1365" spans="1:4" x14ac:dyDescent="0.3">
      <c r="A1365" s="34">
        <v>20719</v>
      </c>
      <c r="B1365" s="35">
        <v>1</v>
      </c>
      <c r="C1365" s="35">
        <v>0</v>
      </c>
      <c r="D1365" s="2">
        <f t="shared" si="21"/>
        <v>1</v>
      </c>
    </row>
    <row r="1366" spans="1:4" x14ac:dyDescent="0.3">
      <c r="A1366" s="34">
        <v>20721</v>
      </c>
      <c r="B1366" s="35">
        <v>1</v>
      </c>
      <c r="C1366" s="35">
        <v>1</v>
      </c>
      <c r="D1366" s="2">
        <f t="shared" si="21"/>
        <v>2</v>
      </c>
    </row>
    <row r="1367" spans="1:4" x14ac:dyDescent="0.3">
      <c r="A1367" s="34">
        <v>20735</v>
      </c>
      <c r="B1367" s="35">
        <v>1</v>
      </c>
      <c r="C1367" s="35">
        <v>0</v>
      </c>
      <c r="D1367" s="2">
        <f t="shared" si="21"/>
        <v>1</v>
      </c>
    </row>
    <row r="1368" spans="1:4" x14ac:dyDescent="0.3">
      <c r="A1368" s="34">
        <v>20738</v>
      </c>
      <c r="B1368" s="35">
        <v>1</v>
      </c>
      <c r="C1368" s="35">
        <v>0</v>
      </c>
      <c r="D1368" s="2">
        <f t="shared" si="21"/>
        <v>1</v>
      </c>
    </row>
    <row r="1369" spans="1:4" x14ac:dyDescent="0.3">
      <c r="A1369" s="34">
        <v>20744</v>
      </c>
      <c r="B1369" s="35">
        <v>1</v>
      </c>
      <c r="C1369" s="35">
        <v>1</v>
      </c>
      <c r="D1369" s="2">
        <f t="shared" si="21"/>
        <v>2</v>
      </c>
    </row>
    <row r="1370" spans="1:4" x14ac:dyDescent="0.3">
      <c r="A1370" s="34">
        <v>20750</v>
      </c>
      <c r="B1370" s="35">
        <v>1</v>
      </c>
      <c r="C1370" s="35">
        <v>1</v>
      </c>
      <c r="D1370" s="2">
        <f t="shared" si="21"/>
        <v>2</v>
      </c>
    </row>
    <row r="1371" spans="1:4" x14ac:dyDescent="0.3">
      <c r="A1371" s="34">
        <v>20752</v>
      </c>
      <c r="B1371" s="35">
        <v>1</v>
      </c>
      <c r="C1371" s="35">
        <v>0</v>
      </c>
      <c r="D1371" s="2">
        <f t="shared" si="21"/>
        <v>1</v>
      </c>
    </row>
    <row r="1372" spans="1:4" x14ac:dyDescent="0.3">
      <c r="A1372" s="34">
        <v>20753</v>
      </c>
      <c r="B1372" s="35">
        <v>1</v>
      </c>
      <c r="C1372" s="35">
        <v>0</v>
      </c>
      <c r="D1372" s="2">
        <f t="shared" si="21"/>
        <v>1</v>
      </c>
    </row>
    <row r="1373" spans="1:4" x14ac:dyDescent="0.3">
      <c r="A1373" s="34">
        <v>20768</v>
      </c>
      <c r="B1373" s="35">
        <v>1</v>
      </c>
      <c r="C1373" s="35">
        <v>0</v>
      </c>
      <c r="D1373" s="2">
        <f t="shared" si="21"/>
        <v>1</v>
      </c>
    </row>
    <row r="1374" spans="1:4" x14ac:dyDescent="0.3">
      <c r="A1374" s="34">
        <v>20772</v>
      </c>
      <c r="B1374" s="35">
        <v>2</v>
      </c>
      <c r="C1374" s="35">
        <v>1</v>
      </c>
      <c r="D1374" s="2">
        <f t="shared" si="21"/>
        <v>3</v>
      </c>
    </row>
    <row r="1375" spans="1:4" x14ac:dyDescent="0.3">
      <c r="A1375" s="34">
        <v>20775</v>
      </c>
      <c r="B1375" s="35">
        <v>1</v>
      </c>
      <c r="C1375" s="35">
        <v>0</v>
      </c>
      <c r="D1375" s="2">
        <f t="shared" si="21"/>
        <v>1</v>
      </c>
    </row>
    <row r="1376" spans="1:4" x14ac:dyDescent="0.3">
      <c r="A1376" s="34">
        <v>20781</v>
      </c>
      <c r="B1376" s="35">
        <v>1</v>
      </c>
      <c r="C1376" s="35">
        <v>0</v>
      </c>
      <c r="D1376" s="2">
        <f t="shared" si="21"/>
        <v>1</v>
      </c>
    </row>
    <row r="1377" spans="1:4" x14ac:dyDescent="0.3">
      <c r="A1377" s="34">
        <v>20791</v>
      </c>
      <c r="B1377" s="35">
        <v>1</v>
      </c>
      <c r="C1377" s="35">
        <v>0</v>
      </c>
      <c r="D1377" s="2">
        <f t="shared" si="21"/>
        <v>1</v>
      </c>
    </row>
    <row r="1378" spans="1:4" x14ac:dyDescent="0.3">
      <c r="A1378" s="34">
        <v>20795</v>
      </c>
      <c r="B1378" s="35">
        <v>1</v>
      </c>
      <c r="C1378" s="35">
        <v>1</v>
      </c>
      <c r="D1378" s="2">
        <f t="shared" si="21"/>
        <v>2</v>
      </c>
    </row>
    <row r="1379" spans="1:4" x14ac:dyDescent="0.3">
      <c r="A1379" s="34">
        <v>20799</v>
      </c>
      <c r="B1379" s="35">
        <v>1</v>
      </c>
      <c r="C1379" s="35">
        <v>0</v>
      </c>
      <c r="D1379" s="2">
        <f t="shared" si="21"/>
        <v>1</v>
      </c>
    </row>
    <row r="1380" spans="1:4" x14ac:dyDescent="0.3">
      <c r="A1380" s="34">
        <v>20802</v>
      </c>
      <c r="B1380" s="35">
        <v>2</v>
      </c>
      <c r="C1380" s="35">
        <v>1</v>
      </c>
      <c r="D1380" s="2">
        <f t="shared" si="21"/>
        <v>3</v>
      </c>
    </row>
    <row r="1381" spans="1:4" x14ac:dyDescent="0.3">
      <c r="A1381" s="34">
        <v>20811</v>
      </c>
      <c r="B1381" s="35">
        <v>1</v>
      </c>
      <c r="C1381" s="35">
        <v>0</v>
      </c>
      <c r="D1381" s="2">
        <f t="shared" si="21"/>
        <v>1</v>
      </c>
    </row>
    <row r="1382" spans="1:4" x14ac:dyDescent="0.3">
      <c r="A1382" s="34">
        <v>20819</v>
      </c>
      <c r="B1382" s="35">
        <v>1</v>
      </c>
      <c r="C1382" s="35">
        <v>0</v>
      </c>
      <c r="D1382" s="2">
        <f t="shared" si="21"/>
        <v>1</v>
      </c>
    </row>
    <row r="1383" spans="1:4" x14ac:dyDescent="0.3">
      <c r="A1383" s="34">
        <v>20826</v>
      </c>
      <c r="B1383" s="35">
        <v>1</v>
      </c>
      <c r="C1383" s="35">
        <v>1</v>
      </c>
      <c r="D1383" s="2">
        <f t="shared" si="21"/>
        <v>2</v>
      </c>
    </row>
    <row r="1384" spans="1:4" x14ac:dyDescent="0.3">
      <c r="A1384" s="34">
        <v>20828</v>
      </c>
      <c r="B1384" s="35">
        <v>5</v>
      </c>
      <c r="C1384" s="35">
        <v>3</v>
      </c>
      <c r="D1384" s="2">
        <f t="shared" si="21"/>
        <v>8</v>
      </c>
    </row>
    <row r="1385" spans="1:4" x14ac:dyDescent="0.3">
      <c r="A1385" s="34">
        <v>20832</v>
      </c>
      <c r="B1385" s="35">
        <v>1</v>
      </c>
      <c r="C1385" s="35">
        <v>0</v>
      </c>
      <c r="D1385" s="2">
        <f t="shared" si="21"/>
        <v>1</v>
      </c>
    </row>
    <row r="1386" spans="1:4" x14ac:dyDescent="0.3">
      <c r="A1386" s="34">
        <v>20834</v>
      </c>
      <c r="B1386" s="35">
        <v>1</v>
      </c>
      <c r="C1386" s="35">
        <v>1</v>
      </c>
      <c r="D1386" s="2">
        <f t="shared" si="21"/>
        <v>2</v>
      </c>
    </row>
    <row r="1387" spans="1:4" x14ac:dyDescent="0.3">
      <c r="A1387" s="34">
        <v>20837</v>
      </c>
      <c r="B1387" s="35">
        <v>1</v>
      </c>
      <c r="C1387" s="35">
        <v>0</v>
      </c>
      <c r="D1387" s="2">
        <f t="shared" si="21"/>
        <v>1</v>
      </c>
    </row>
    <row r="1388" spans="1:4" x14ac:dyDescent="0.3">
      <c r="A1388" s="34">
        <v>20839</v>
      </c>
      <c r="B1388" s="35">
        <v>1</v>
      </c>
      <c r="C1388" s="35">
        <v>0</v>
      </c>
      <c r="D1388" s="2">
        <f t="shared" si="21"/>
        <v>1</v>
      </c>
    </row>
    <row r="1389" spans="1:4" x14ac:dyDescent="0.3">
      <c r="A1389" s="34">
        <v>20851</v>
      </c>
      <c r="B1389" s="35">
        <v>2</v>
      </c>
      <c r="C1389" s="35">
        <v>0</v>
      </c>
      <c r="D1389" s="2">
        <f t="shared" si="21"/>
        <v>2</v>
      </c>
    </row>
    <row r="1390" spans="1:4" x14ac:dyDescent="0.3">
      <c r="A1390" s="34">
        <v>20853</v>
      </c>
      <c r="B1390" s="35">
        <v>1</v>
      </c>
      <c r="C1390" s="35">
        <v>0</v>
      </c>
      <c r="D1390" s="2">
        <f t="shared" si="21"/>
        <v>1</v>
      </c>
    </row>
    <row r="1391" spans="1:4" x14ac:dyDescent="0.3">
      <c r="A1391" s="34">
        <v>20855</v>
      </c>
      <c r="B1391" s="35">
        <v>1</v>
      </c>
      <c r="C1391" s="35">
        <v>0</v>
      </c>
      <c r="D1391" s="2">
        <f t="shared" si="21"/>
        <v>1</v>
      </c>
    </row>
    <row r="1392" spans="1:4" x14ac:dyDescent="0.3">
      <c r="A1392" s="34">
        <v>20859</v>
      </c>
      <c r="B1392" s="35">
        <v>1</v>
      </c>
      <c r="C1392" s="35">
        <v>0</v>
      </c>
      <c r="D1392" s="2">
        <f t="shared" si="21"/>
        <v>1</v>
      </c>
    </row>
    <row r="1393" spans="1:4" x14ac:dyDescent="0.3">
      <c r="A1393" s="34">
        <v>20860</v>
      </c>
      <c r="B1393" s="35">
        <v>1</v>
      </c>
      <c r="C1393" s="35">
        <v>0</v>
      </c>
      <c r="D1393" s="2">
        <f t="shared" si="21"/>
        <v>1</v>
      </c>
    </row>
    <row r="1394" spans="1:4" x14ac:dyDescent="0.3">
      <c r="A1394" s="34">
        <v>20861</v>
      </c>
      <c r="B1394" s="35">
        <v>1</v>
      </c>
      <c r="C1394" s="35">
        <v>0</v>
      </c>
      <c r="D1394" s="2">
        <f t="shared" si="21"/>
        <v>1</v>
      </c>
    </row>
    <row r="1395" spans="1:4" x14ac:dyDescent="0.3">
      <c r="A1395" s="34">
        <v>20863</v>
      </c>
      <c r="B1395" s="35">
        <v>1</v>
      </c>
      <c r="C1395" s="35">
        <v>0</v>
      </c>
      <c r="D1395" s="2">
        <f t="shared" si="21"/>
        <v>1</v>
      </c>
    </row>
    <row r="1396" spans="1:4" x14ac:dyDescent="0.3">
      <c r="A1396" s="34">
        <v>20866</v>
      </c>
      <c r="B1396" s="35">
        <v>1</v>
      </c>
      <c r="C1396" s="35">
        <v>0</v>
      </c>
      <c r="D1396" s="2">
        <f t="shared" si="21"/>
        <v>1</v>
      </c>
    </row>
    <row r="1397" spans="1:4" x14ac:dyDescent="0.3">
      <c r="A1397" s="34">
        <v>20867</v>
      </c>
      <c r="B1397" s="35">
        <v>1</v>
      </c>
      <c r="C1397" s="35">
        <v>0</v>
      </c>
      <c r="D1397" s="2">
        <f t="shared" si="21"/>
        <v>1</v>
      </c>
    </row>
    <row r="1398" spans="1:4" x14ac:dyDescent="0.3">
      <c r="A1398" s="34">
        <v>20891</v>
      </c>
      <c r="B1398" s="35">
        <v>1</v>
      </c>
      <c r="C1398" s="35">
        <v>0</v>
      </c>
      <c r="D1398" s="2">
        <f t="shared" si="21"/>
        <v>1</v>
      </c>
    </row>
    <row r="1399" spans="1:4" x14ac:dyDescent="0.3">
      <c r="A1399" s="34">
        <v>20893</v>
      </c>
      <c r="B1399" s="35">
        <v>1</v>
      </c>
      <c r="C1399" s="35">
        <v>0</v>
      </c>
      <c r="D1399" s="2">
        <f t="shared" si="21"/>
        <v>1</v>
      </c>
    </row>
    <row r="1400" spans="1:4" x14ac:dyDescent="0.3">
      <c r="A1400" s="34">
        <v>20894</v>
      </c>
      <c r="B1400" s="35">
        <v>1</v>
      </c>
      <c r="C1400" s="35">
        <v>0</v>
      </c>
      <c r="D1400" s="2">
        <f t="shared" si="21"/>
        <v>1</v>
      </c>
    </row>
    <row r="1401" spans="1:4" x14ac:dyDescent="0.3">
      <c r="A1401" s="34">
        <v>20900</v>
      </c>
      <c r="B1401" s="35">
        <v>1</v>
      </c>
      <c r="C1401" s="35">
        <v>0</v>
      </c>
      <c r="D1401" s="2">
        <f t="shared" si="21"/>
        <v>1</v>
      </c>
    </row>
    <row r="1402" spans="1:4" x14ac:dyDescent="0.3">
      <c r="A1402" s="34">
        <v>20901</v>
      </c>
      <c r="B1402" s="35">
        <v>1</v>
      </c>
      <c r="C1402" s="35">
        <v>0</v>
      </c>
      <c r="D1402" s="2">
        <f t="shared" si="21"/>
        <v>1</v>
      </c>
    </row>
    <row r="1403" spans="1:4" x14ac:dyDescent="0.3">
      <c r="A1403" s="34">
        <v>20904</v>
      </c>
      <c r="B1403" s="35">
        <v>1</v>
      </c>
      <c r="C1403" s="35">
        <v>0</v>
      </c>
      <c r="D1403" s="2">
        <f t="shared" si="21"/>
        <v>1</v>
      </c>
    </row>
    <row r="1404" spans="1:4" x14ac:dyDescent="0.3">
      <c r="A1404" s="34">
        <v>20922</v>
      </c>
      <c r="B1404" s="35">
        <v>1</v>
      </c>
      <c r="C1404" s="35">
        <v>0</v>
      </c>
      <c r="D1404" s="2">
        <f t="shared" si="21"/>
        <v>1</v>
      </c>
    </row>
    <row r="1405" spans="1:4" x14ac:dyDescent="0.3">
      <c r="A1405" s="34">
        <v>20926</v>
      </c>
      <c r="B1405" s="35">
        <v>2</v>
      </c>
      <c r="C1405" s="35">
        <v>1</v>
      </c>
      <c r="D1405" s="2">
        <f t="shared" si="21"/>
        <v>3</v>
      </c>
    </row>
    <row r="1406" spans="1:4" x14ac:dyDescent="0.3">
      <c r="A1406" s="34">
        <v>20999</v>
      </c>
      <c r="B1406" s="35">
        <v>1</v>
      </c>
      <c r="C1406" s="35">
        <v>0</v>
      </c>
      <c r="D1406" s="2">
        <f t="shared" si="21"/>
        <v>1</v>
      </c>
    </row>
    <row r="1407" spans="1:4" x14ac:dyDescent="0.3">
      <c r="A1407" s="34">
        <v>21004</v>
      </c>
      <c r="B1407" s="35">
        <v>1</v>
      </c>
      <c r="C1407" s="35">
        <v>1</v>
      </c>
      <c r="D1407" s="2">
        <f t="shared" si="21"/>
        <v>2</v>
      </c>
    </row>
    <row r="1408" spans="1:4" x14ac:dyDescent="0.3">
      <c r="A1408" s="34">
        <v>21005</v>
      </c>
      <c r="B1408" s="35">
        <v>1</v>
      </c>
      <c r="C1408" s="35">
        <v>0</v>
      </c>
      <c r="D1408" s="2">
        <f t="shared" si="21"/>
        <v>1</v>
      </c>
    </row>
    <row r="1409" spans="1:4" x14ac:dyDescent="0.3">
      <c r="A1409" s="34">
        <v>21013</v>
      </c>
      <c r="B1409" s="35">
        <v>1</v>
      </c>
      <c r="C1409" s="35">
        <v>0</v>
      </c>
      <c r="D1409" s="2">
        <f t="shared" si="21"/>
        <v>1</v>
      </c>
    </row>
    <row r="1410" spans="1:4" x14ac:dyDescent="0.3">
      <c r="A1410" s="34">
        <v>21017</v>
      </c>
      <c r="B1410" s="35">
        <v>1</v>
      </c>
      <c r="C1410" s="35">
        <v>0</v>
      </c>
      <c r="D1410" s="2">
        <f t="shared" si="21"/>
        <v>1</v>
      </c>
    </row>
    <row r="1411" spans="1:4" x14ac:dyDescent="0.3">
      <c r="A1411" s="34">
        <v>21019</v>
      </c>
      <c r="B1411" s="35">
        <v>1</v>
      </c>
      <c r="C1411" s="35">
        <v>1</v>
      </c>
      <c r="D1411" s="2">
        <f t="shared" ref="D1411:D1474" si="22">B1411+C1411</f>
        <v>2</v>
      </c>
    </row>
    <row r="1412" spans="1:4" x14ac:dyDescent="0.3">
      <c r="A1412" s="34">
        <v>21022</v>
      </c>
      <c r="B1412" s="35">
        <v>1</v>
      </c>
      <c r="C1412" s="35">
        <v>0</v>
      </c>
      <c r="D1412" s="2">
        <f t="shared" si="22"/>
        <v>1</v>
      </c>
    </row>
    <row r="1413" spans="1:4" x14ac:dyDescent="0.3">
      <c r="A1413" s="34">
        <v>21028</v>
      </c>
      <c r="B1413" s="35">
        <v>1</v>
      </c>
      <c r="C1413" s="35">
        <v>0</v>
      </c>
      <c r="D1413" s="2">
        <f t="shared" si="22"/>
        <v>1</v>
      </c>
    </row>
    <row r="1414" spans="1:4" x14ac:dyDescent="0.3">
      <c r="A1414" s="34">
        <v>21041</v>
      </c>
      <c r="B1414" s="35">
        <v>1</v>
      </c>
      <c r="C1414" s="35">
        <v>0</v>
      </c>
      <c r="D1414" s="2">
        <f t="shared" si="22"/>
        <v>1</v>
      </c>
    </row>
    <row r="1415" spans="1:4" x14ac:dyDescent="0.3">
      <c r="A1415" s="34">
        <v>21050</v>
      </c>
      <c r="B1415" s="35">
        <v>1</v>
      </c>
      <c r="C1415" s="35">
        <v>0</v>
      </c>
      <c r="D1415" s="2">
        <f t="shared" si="22"/>
        <v>1</v>
      </c>
    </row>
    <row r="1416" spans="1:4" x14ac:dyDescent="0.3">
      <c r="A1416" s="34">
        <v>21056</v>
      </c>
      <c r="B1416" s="35">
        <v>2</v>
      </c>
      <c r="C1416" s="35">
        <v>0</v>
      </c>
      <c r="D1416" s="2">
        <f t="shared" si="22"/>
        <v>2</v>
      </c>
    </row>
    <row r="1417" spans="1:4" x14ac:dyDescent="0.3">
      <c r="A1417" s="34">
        <v>21058</v>
      </c>
      <c r="B1417" s="35">
        <v>1</v>
      </c>
      <c r="C1417" s="35">
        <v>0</v>
      </c>
      <c r="D1417" s="2">
        <f t="shared" si="22"/>
        <v>1</v>
      </c>
    </row>
    <row r="1418" spans="1:4" x14ac:dyDescent="0.3">
      <c r="A1418" s="34">
        <v>21075</v>
      </c>
      <c r="B1418" s="35">
        <v>1</v>
      </c>
      <c r="C1418" s="35">
        <v>1</v>
      </c>
      <c r="D1418" s="2">
        <f t="shared" si="22"/>
        <v>2</v>
      </c>
    </row>
    <row r="1419" spans="1:4" x14ac:dyDescent="0.3">
      <c r="A1419" s="34">
        <v>21077</v>
      </c>
      <c r="B1419" s="35">
        <v>1</v>
      </c>
      <c r="C1419" s="35">
        <v>1</v>
      </c>
      <c r="D1419" s="2">
        <f t="shared" si="22"/>
        <v>2</v>
      </c>
    </row>
    <row r="1420" spans="1:4" x14ac:dyDescent="0.3">
      <c r="A1420" s="34">
        <v>21083</v>
      </c>
      <c r="B1420" s="35">
        <v>1</v>
      </c>
      <c r="C1420" s="35">
        <v>0</v>
      </c>
      <c r="D1420" s="2">
        <f t="shared" si="22"/>
        <v>1</v>
      </c>
    </row>
    <row r="1421" spans="1:4" x14ac:dyDescent="0.3">
      <c r="A1421" s="34">
        <v>21097</v>
      </c>
      <c r="B1421" s="35">
        <v>1</v>
      </c>
      <c r="C1421" s="35">
        <v>0</v>
      </c>
      <c r="D1421" s="2">
        <f t="shared" si="22"/>
        <v>1</v>
      </c>
    </row>
    <row r="1422" spans="1:4" x14ac:dyDescent="0.3">
      <c r="A1422" s="34">
        <v>21114</v>
      </c>
      <c r="B1422" s="35">
        <v>1</v>
      </c>
      <c r="C1422" s="35">
        <v>0</v>
      </c>
      <c r="D1422" s="2">
        <f t="shared" si="22"/>
        <v>1</v>
      </c>
    </row>
    <row r="1423" spans="1:4" x14ac:dyDescent="0.3">
      <c r="A1423" s="34">
        <v>21118</v>
      </c>
      <c r="B1423" s="35">
        <v>1</v>
      </c>
      <c r="C1423" s="35">
        <v>0</v>
      </c>
      <c r="D1423" s="2">
        <f t="shared" si="22"/>
        <v>1</v>
      </c>
    </row>
    <row r="1424" spans="1:4" x14ac:dyDescent="0.3">
      <c r="A1424" s="34">
        <v>21119</v>
      </c>
      <c r="B1424" s="35">
        <v>1</v>
      </c>
      <c r="C1424" s="35">
        <v>0</v>
      </c>
      <c r="D1424" s="2">
        <f t="shared" si="22"/>
        <v>1</v>
      </c>
    </row>
    <row r="1425" spans="1:4" x14ac:dyDescent="0.3">
      <c r="A1425" s="34">
        <v>21124</v>
      </c>
      <c r="B1425" s="35">
        <v>1</v>
      </c>
      <c r="C1425" s="35">
        <v>0</v>
      </c>
      <c r="D1425" s="2">
        <f t="shared" si="22"/>
        <v>1</v>
      </c>
    </row>
    <row r="1426" spans="1:4" x14ac:dyDescent="0.3">
      <c r="A1426" s="34">
        <v>21126</v>
      </c>
      <c r="B1426" s="35">
        <v>1</v>
      </c>
      <c r="C1426" s="35">
        <v>0</v>
      </c>
      <c r="D1426" s="2">
        <f t="shared" si="22"/>
        <v>1</v>
      </c>
    </row>
    <row r="1427" spans="1:4" x14ac:dyDescent="0.3">
      <c r="A1427" s="34">
        <v>21127</v>
      </c>
      <c r="B1427" s="35">
        <v>1</v>
      </c>
      <c r="C1427" s="35">
        <v>0</v>
      </c>
      <c r="D1427" s="2">
        <f t="shared" si="22"/>
        <v>1</v>
      </c>
    </row>
    <row r="1428" spans="1:4" x14ac:dyDescent="0.3">
      <c r="A1428" s="34">
        <v>21128</v>
      </c>
      <c r="B1428" s="35">
        <v>1</v>
      </c>
      <c r="C1428" s="35">
        <v>0</v>
      </c>
      <c r="D1428" s="2">
        <f t="shared" si="22"/>
        <v>1</v>
      </c>
    </row>
    <row r="1429" spans="1:4" x14ac:dyDescent="0.3">
      <c r="A1429" s="34">
        <v>21129</v>
      </c>
      <c r="B1429" s="35">
        <v>1</v>
      </c>
      <c r="C1429" s="35">
        <v>0</v>
      </c>
      <c r="D1429" s="2">
        <f t="shared" si="22"/>
        <v>1</v>
      </c>
    </row>
    <row r="1430" spans="1:4" x14ac:dyDescent="0.3">
      <c r="A1430" s="34">
        <v>21130</v>
      </c>
      <c r="B1430" s="35">
        <v>1</v>
      </c>
      <c r="C1430" s="35">
        <v>0</v>
      </c>
      <c r="D1430" s="2">
        <f t="shared" si="22"/>
        <v>1</v>
      </c>
    </row>
    <row r="1431" spans="1:4" x14ac:dyDescent="0.3">
      <c r="A1431" s="34">
        <v>21131</v>
      </c>
      <c r="B1431" s="35">
        <v>1</v>
      </c>
      <c r="C1431" s="35">
        <v>0</v>
      </c>
      <c r="D1431" s="2">
        <f t="shared" si="22"/>
        <v>1</v>
      </c>
    </row>
    <row r="1432" spans="1:4" x14ac:dyDescent="0.3">
      <c r="A1432" s="34">
        <v>21132</v>
      </c>
      <c r="B1432" s="35">
        <v>1</v>
      </c>
      <c r="C1432" s="35">
        <v>0</v>
      </c>
      <c r="D1432" s="2">
        <f t="shared" si="22"/>
        <v>1</v>
      </c>
    </row>
    <row r="1433" spans="1:4" x14ac:dyDescent="0.3">
      <c r="A1433" s="34">
        <v>21134</v>
      </c>
      <c r="B1433" s="35">
        <v>1</v>
      </c>
      <c r="C1433" s="35">
        <v>0</v>
      </c>
      <c r="D1433" s="2">
        <f t="shared" si="22"/>
        <v>1</v>
      </c>
    </row>
    <row r="1434" spans="1:4" x14ac:dyDescent="0.3">
      <c r="A1434" s="34">
        <v>21138</v>
      </c>
      <c r="B1434" s="35">
        <v>1</v>
      </c>
      <c r="C1434" s="35">
        <v>0</v>
      </c>
      <c r="D1434" s="2">
        <f t="shared" si="22"/>
        <v>1</v>
      </c>
    </row>
    <row r="1435" spans="1:4" x14ac:dyDescent="0.3">
      <c r="A1435" s="34">
        <v>21139</v>
      </c>
      <c r="B1435" s="35">
        <v>1</v>
      </c>
      <c r="C1435" s="35">
        <v>0</v>
      </c>
      <c r="D1435" s="2">
        <f t="shared" si="22"/>
        <v>1</v>
      </c>
    </row>
    <row r="1436" spans="1:4" x14ac:dyDescent="0.3">
      <c r="A1436" s="34">
        <v>21147</v>
      </c>
      <c r="B1436" s="35">
        <v>1</v>
      </c>
      <c r="C1436" s="35">
        <v>1</v>
      </c>
      <c r="D1436" s="2">
        <f t="shared" si="22"/>
        <v>2</v>
      </c>
    </row>
    <row r="1437" spans="1:4" x14ac:dyDescent="0.3">
      <c r="A1437" s="34">
        <v>21149</v>
      </c>
      <c r="B1437" s="35">
        <v>2</v>
      </c>
      <c r="C1437" s="35">
        <v>2</v>
      </c>
      <c r="D1437" s="2">
        <f t="shared" si="22"/>
        <v>4</v>
      </c>
    </row>
    <row r="1438" spans="1:4" x14ac:dyDescent="0.3">
      <c r="A1438" s="34">
        <v>21153</v>
      </c>
      <c r="B1438" s="35">
        <v>1</v>
      </c>
      <c r="C1438" s="35">
        <v>0</v>
      </c>
      <c r="D1438" s="2">
        <f t="shared" si="22"/>
        <v>1</v>
      </c>
    </row>
    <row r="1439" spans="1:4" x14ac:dyDescent="0.3">
      <c r="A1439" s="34">
        <v>21156</v>
      </c>
      <c r="B1439" s="35">
        <v>1</v>
      </c>
      <c r="C1439" s="35">
        <v>0</v>
      </c>
      <c r="D1439" s="2">
        <f t="shared" si="22"/>
        <v>1</v>
      </c>
    </row>
    <row r="1440" spans="1:4" x14ac:dyDescent="0.3">
      <c r="A1440" s="34">
        <v>21162</v>
      </c>
      <c r="B1440" s="35">
        <v>1</v>
      </c>
      <c r="C1440" s="35">
        <v>0</v>
      </c>
      <c r="D1440" s="2">
        <f t="shared" si="22"/>
        <v>1</v>
      </c>
    </row>
    <row r="1441" spans="1:4" x14ac:dyDescent="0.3">
      <c r="A1441" s="34">
        <v>21163</v>
      </c>
      <c r="B1441" s="35">
        <v>1</v>
      </c>
      <c r="C1441" s="35">
        <v>0</v>
      </c>
      <c r="D1441" s="2">
        <f t="shared" si="22"/>
        <v>1</v>
      </c>
    </row>
    <row r="1442" spans="1:4" x14ac:dyDescent="0.3">
      <c r="A1442" s="34">
        <v>21164</v>
      </c>
      <c r="B1442" s="35">
        <v>1</v>
      </c>
      <c r="C1442" s="35">
        <v>0</v>
      </c>
      <c r="D1442" s="2">
        <f t="shared" si="22"/>
        <v>1</v>
      </c>
    </row>
    <row r="1443" spans="1:4" x14ac:dyDescent="0.3">
      <c r="A1443" s="34">
        <v>21171</v>
      </c>
      <c r="B1443" s="35">
        <v>1</v>
      </c>
      <c r="C1443" s="35">
        <v>0</v>
      </c>
      <c r="D1443" s="2">
        <f t="shared" si="22"/>
        <v>1</v>
      </c>
    </row>
    <row r="1444" spans="1:4" x14ac:dyDescent="0.3">
      <c r="A1444" s="34">
        <v>21179</v>
      </c>
      <c r="B1444" s="35">
        <v>1</v>
      </c>
      <c r="C1444" s="35">
        <v>0</v>
      </c>
      <c r="D1444" s="2">
        <f t="shared" si="22"/>
        <v>1</v>
      </c>
    </row>
    <row r="1445" spans="1:4" x14ac:dyDescent="0.3">
      <c r="A1445" s="34">
        <v>21193</v>
      </c>
      <c r="B1445" s="35">
        <v>1</v>
      </c>
      <c r="C1445" s="35">
        <v>0</v>
      </c>
      <c r="D1445" s="2">
        <f t="shared" si="22"/>
        <v>1</v>
      </c>
    </row>
    <row r="1446" spans="1:4" x14ac:dyDescent="0.3">
      <c r="A1446" s="34">
        <v>21211</v>
      </c>
      <c r="B1446" s="35">
        <v>4</v>
      </c>
      <c r="C1446" s="35">
        <v>2</v>
      </c>
      <c r="D1446" s="2">
        <f t="shared" si="22"/>
        <v>6</v>
      </c>
    </row>
    <row r="1447" spans="1:4" x14ac:dyDescent="0.3">
      <c r="A1447" s="34">
        <v>21213</v>
      </c>
      <c r="B1447" s="35">
        <v>1</v>
      </c>
      <c r="C1447" s="35">
        <v>0</v>
      </c>
      <c r="D1447" s="2">
        <f t="shared" si="22"/>
        <v>1</v>
      </c>
    </row>
    <row r="1448" spans="1:4" x14ac:dyDescent="0.3">
      <c r="A1448" s="34">
        <v>21214</v>
      </c>
      <c r="B1448" s="35">
        <v>1</v>
      </c>
      <c r="C1448" s="35">
        <v>0</v>
      </c>
      <c r="D1448" s="2">
        <f t="shared" si="22"/>
        <v>1</v>
      </c>
    </row>
    <row r="1449" spans="1:4" x14ac:dyDescent="0.3">
      <c r="A1449" s="34">
        <v>21219</v>
      </c>
      <c r="B1449" s="35">
        <v>1</v>
      </c>
      <c r="C1449" s="35">
        <v>0</v>
      </c>
      <c r="D1449" s="2">
        <f t="shared" si="22"/>
        <v>1</v>
      </c>
    </row>
    <row r="1450" spans="1:4" x14ac:dyDescent="0.3">
      <c r="A1450" s="34">
        <v>21248</v>
      </c>
      <c r="B1450" s="35">
        <v>1</v>
      </c>
      <c r="C1450" s="35">
        <v>0</v>
      </c>
      <c r="D1450" s="2">
        <f t="shared" si="22"/>
        <v>1</v>
      </c>
    </row>
    <row r="1451" spans="1:4" x14ac:dyDescent="0.3">
      <c r="A1451" s="34">
        <v>21261</v>
      </c>
      <c r="B1451" s="35">
        <v>1</v>
      </c>
      <c r="C1451" s="35">
        <v>0</v>
      </c>
      <c r="D1451" s="2">
        <f t="shared" si="22"/>
        <v>1</v>
      </c>
    </row>
    <row r="1452" spans="1:4" x14ac:dyDescent="0.3">
      <c r="A1452" s="34">
        <v>21262</v>
      </c>
      <c r="B1452" s="35">
        <v>1</v>
      </c>
      <c r="C1452" s="35">
        <v>0</v>
      </c>
      <c r="D1452" s="2">
        <f t="shared" si="22"/>
        <v>1</v>
      </c>
    </row>
    <row r="1453" spans="1:4" x14ac:dyDescent="0.3">
      <c r="A1453" s="34">
        <v>21263</v>
      </c>
      <c r="B1453" s="35">
        <v>1</v>
      </c>
      <c r="C1453" s="35">
        <v>0</v>
      </c>
      <c r="D1453" s="2">
        <f t="shared" si="22"/>
        <v>1</v>
      </c>
    </row>
    <row r="1454" spans="1:4" x14ac:dyDescent="0.3">
      <c r="A1454" s="34">
        <v>21267</v>
      </c>
      <c r="B1454" s="35">
        <v>1</v>
      </c>
      <c r="C1454" s="35">
        <v>0</v>
      </c>
      <c r="D1454" s="2">
        <f t="shared" si="22"/>
        <v>1</v>
      </c>
    </row>
    <row r="1455" spans="1:4" x14ac:dyDescent="0.3">
      <c r="A1455" s="34">
        <v>21302</v>
      </c>
      <c r="B1455" s="35">
        <v>1</v>
      </c>
      <c r="C1455" s="35">
        <v>0</v>
      </c>
      <c r="D1455" s="2">
        <f t="shared" si="22"/>
        <v>1</v>
      </c>
    </row>
    <row r="1456" spans="1:4" x14ac:dyDescent="0.3">
      <c r="A1456" s="34">
        <v>21307</v>
      </c>
      <c r="B1456" s="35">
        <v>2</v>
      </c>
      <c r="C1456" s="35">
        <v>0</v>
      </c>
      <c r="D1456" s="2">
        <f t="shared" si="22"/>
        <v>2</v>
      </c>
    </row>
    <row r="1457" spans="1:4" x14ac:dyDescent="0.3">
      <c r="A1457" s="34">
        <v>21319</v>
      </c>
      <c r="B1457" s="35">
        <v>1</v>
      </c>
      <c r="C1457" s="35">
        <v>0</v>
      </c>
      <c r="D1457" s="2">
        <f t="shared" si="22"/>
        <v>1</v>
      </c>
    </row>
    <row r="1458" spans="1:4" x14ac:dyDescent="0.3">
      <c r="A1458" s="34">
        <v>21321</v>
      </c>
      <c r="B1458" s="35">
        <v>1</v>
      </c>
      <c r="C1458" s="35">
        <v>0</v>
      </c>
      <c r="D1458" s="2">
        <f t="shared" si="22"/>
        <v>1</v>
      </c>
    </row>
    <row r="1459" spans="1:4" x14ac:dyDescent="0.3">
      <c r="A1459" s="34">
        <v>21323</v>
      </c>
      <c r="B1459" s="35">
        <v>1</v>
      </c>
      <c r="C1459" s="35">
        <v>1</v>
      </c>
      <c r="D1459" s="2">
        <f t="shared" si="22"/>
        <v>2</v>
      </c>
    </row>
    <row r="1460" spans="1:4" x14ac:dyDescent="0.3">
      <c r="A1460" s="34">
        <v>21334</v>
      </c>
      <c r="B1460" s="35">
        <v>1</v>
      </c>
      <c r="C1460" s="35">
        <v>0</v>
      </c>
      <c r="D1460" s="2">
        <f t="shared" si="22"/>
        <v>1</v>
      </c>
    </row>
    <row r="1461" spans="1:4" x14ac:dyDescent="0.3">
      <c r="A1461" s="34">
        <v>21338</v>
      </c>
      <c r="B1461" s="35">
        <v>1</v>
      </c>
      <c r="C1461" s="35">
        <v>1</v>
      </c>
      <c r="D1461" s="2">
        <f t="shared" si="22"/>
        <v>2</v>
      </c>
    </row>
    <row r="1462" spans="1:4" x14ac:dyDescent="0.3">
      <c r="A1462" s="34">
        <v>21345</v>
      </c>
      <c r="B1462" s="35">
        <v>1</v>
      </c>
      <c r="C1462" s="35">
        <v>0</v>
      </c>
      <c r="D1462" s="2">
        <f t="shared" si="22"/>
        <v>1</v>
      </c>
    </row>
    <row r="1463" spans="1:4" x14ac:dyDescent="0.3">
      <c r="A1463" s="34">
        <v>21347</v>
      </c>
      <c r="B1463" s="35">
        <v>1</v>
      </c>
      <c r="C1463" s="35">
        <v>0</v>
      </c>
      <c r="D1463" s="2">
        <f t="shared" si="22"/>
        <v>1</v>
      </c>
    </row>
    <row r="1464" spans="1:4" x14ac:dyDescent="0.3">
      <c r="A1464" s="34">
        <v>21350</v>
      </c>
      <c r="B1464" s="35">
        <v>2</v>
      </c>
      <c r="C1464" s="35">
        <v>0</v>
      </c>
      <c r="D1464" s="2">
        <f t="shared" si="22"/>
        <v>2</v>
      </c>
    </row>
    <row r="1465" spans="1:4" x14ac:dyDescent="0.3">
      <c r="A1465" s="34">
        <v>21355</v>
      </c>
      <c r="B1465" s="35">
        <v>1</v>
      </c>
      <c r="C1465" s="35">
        <v>1</v>
      </c>
      <c r="D1465" s="2">
        <f t="shared" si="22"/>
        <v>2</v>
      </c>
    </row>
    <row r="1466" spans="1:4" x14ac:dyDescent="0.3">
      <c r="A1466" s="34">
        <v>21387</v>
      </c>
      <c r="B1466" s="35">
        <v>1</v>
      </c>
      <c r="C1466" s="35">
        <v>0</v>
      </c>
      <c r="D1466" s="2">
        <f t="shared" si="22"/>
        <v>1</v>
      </c>
    </row>
    <row r="1467" spans="1:4" x14ac:dyDescent="0.3">
      <c r="A1467" s="34">
        <v>21415</v>
      </c>
      <c r="B1467" s="35">
        <v>1</v>
      </c>
      <c r="C1467" s="35">
        <v>0</v>
      </c>
      <c r="D1467" s="2">
        <f t="shared" si="22"/>
        <v>1</v>
      </c>
    </row>
    <row r="1468" spans="1:4" x14ac:dyDescent="0.3">
      <c r="A1468" s="34">
        <v>21425</v>
      </c>
      <c r="B1468" s="35">
        <v>2</v>
      </c>
      <c r="C1468" s="35">
        <v>1</v>
      </c>
      <c r="D1468" s="2">
        <f t="shared" si="22"/>
        <v>3</v>
      </c>
    </row>
    <row r="1469" spans="1:4" x14ac:dyDescent="0.3">
      <c r="A1469" s="34">
        <v>21427</v>
      </c>
      <c r="B1469" s="35">
        <v>1</v>
      </c>
      <c r="C1469" s="35">
        <v>0</v>
      </c>
      <c r="D1469" s="2">
        <f t="shared" si="22"/>
        <v>1</v>
      </c>
    </row>
    <row r="1470" spans="1:4" x14ac:dyDescent="0.3">
      <c r="A1470" s="34">
        <v>21442</v>
      </c>
      <c r="B1470" s="35">
        <v>1</v>
      </c>
      <c r="C1470" s="35">
        <v>0</v>
      </c>
      <c r="D1470" s="2">
        <f t="shared" si="22"/>
        <v>1</v>
      </c>
    </row>
    <row r="1471" spans="1:4" x14ac:dyDescent="0.3">
      <c r="A1471" s="34">
        <v>21444</v>
      </c>
      <c r="B1471" s="35">
        <v>2</v>
      </c>
      <c r="C1471" s="35">
        <v>0</v>
      </c>
      <c r="D1471" s="2">
        <f t="shared" si="22"/>
        <v>2</v>
      </c>
    </row>
    <row r="1472" spans="1:4" x14ac:dyDescent="0.3">
      <c r="A1472" s="34">
        <v>21450</v>
      </c>
      <c r="B1472" s="35">
        <v>1</v>
      </c>
      <c r="C1472" s="35">
        <v>0</v>
      </c>
      <c r="D1472" s="2">
        <f t="shared" si="22"/>
        <v>1</v>
      </c>
    </row>
    <row r="1473" spans="1:4" x14ac:dyDescent="0.3">
      <c r="A1473" s="34">
        <v>21456</v>
      </c>
      <c r="B1473" s="35">
        <v>1</v>
      </c>
      <c r="C1473" s="35">
        <v>1</v>
      </c>
      <c r="D1473" s="2">
        <f t="shared" si="22"/>
        <v>2</v>
      </c>
    </row>
    <row r="1474" spans="1:4" x14ac:dyDescent="0.3">
      <c r="A1474" s="34">
        <v>21457</v>
      </c>
      <c r="B1474" s="35">
        <v>1</v>
      </c>
      <c r="C1474" s="35">
        <v>0</v>
      </c>
      <c r="D1474" s="2">
        <f t="shared" si="22"/>
        <v>1</v>
      </c>
    </row>
    <row r="1475" spans="1:4" x14ac:dyDescent="0.3">
      <c r="A1475" s="34">
        <v>21460</v>
      </c>
      <c r="B1475" s="35">
        <v>1</v>
      </c>
      <c r="C1475" s="35">
        <v>0</v>
      </c>
      <c r="D1475" s="2">
        <f t="shared" ref="D1475:D1538" si="23">B1475+C1475</f>
        <v>1</v>
      </c>
    </row>
    <row r="1476" spans="1:4" x14ac:dyDescent="0.3">
      <c r="A1476" s="34">
        <v>21463</v>
      </c>
      <c r="B1476" s="35">
        <v>1</v>
      </c>
      <c r="C1476" s="35">
        <v>0</v>
      </c>
      <c r="D1476" s="2">
        <f t="shared" si="23"/>
        <v>1</v>
      </c>
    </row>
    <row r="1477" spans="1:4" x14ac:dyDescent="0.3">
      <c r="A1477" s="34">
        <v>21471</v>
      </c>
      <c r="B1477" s="35">
        <v>1</v>
      </c>
      <c r="C1477" s="35">
        <v>1</v>
      </c>
      <c r="D1477" s="2">
        <f t="shared" si="23"/>
        <v>2</v>
      </c>
    </row>
    <row r="1478" spans="1:4" x14ac:dyDescent="0.3">
      <c r="A1478" s="34">
        <v>21473</v>
      </c>
      <c r="B1478" s="35">
        <v>1</v>
      </c>
      <c r="C1478" s="35">
        <v>0</v>
      </c>
      <c r="D1478" s="2">
        <f t="shared" si="23"/>
        <v>1</v>
      </c>
    </row>
    <row r="1479" spans="1:4" x14ac:dyDescent="0.3">
      <c r="A1479" s="34">
        <v>21475</v>
      </c>
      <c r="B1479" s="35">
        <v>2</v>
      </c>
      <c r="C1479" s="35">
        <v>0</v>
      </c>
      <c r="D1479" s="2">
        <f t="shared" si="23"/>
        <v>2</v>
      </c>
    </row>
    <row r="1480" spans="1:4" x14ac:dyDescent="0.3">
      <c r="A1480" s="34">
        <v>21476</v>
      </c>
      <c r="B1480" s="35">
        <v>2</v>
      </c>
      <c r="C1480" s="35">
        <v>2</v>
      </c>
      <c r="D1480" s="2">
        <f t="shared" si="23"/>
        <v>4</v>
      </c>
    </row>
    <row r="1481" spans="1:4" x14ac:dyDescent="0.3">
      <c r="A1481" s="34">
        <v>21482</v>
      </c>
      <c r="B1481" s="35">
        <v>1</v>
      </c>
      <c r="C1481" s="35">
        <v>0</v>
      </c>
      <c r="D1481" s="2">
        <f t="shared" si="23"/>
        <v>1</v>
      </c>
    </row>
    <row r="1482" spans="1:4" x14ac:dyDescent="0.3">
      <c r="A1482" s="34">
        <v>21483</v>
      </c>
      <c r="B1482" s="35">
        <v>1</v>
      </c>
      <c r="C1482" s="35">
        <v>0</v>
      </c>
      <c r="D1482" s="2">
        <f t="shared" si="23"/>
        <v>1</v>
      </c>
    </row>
    <row r="1483" spans="1:4" x14ac:dyDescent="0.3">
      <c r="A1483" s="34">
        <v>21485</v>
      </c>
      <c r="B1483" s="35">
        <v>3</v>
      </c>
      <c r="C1483" s="35">
        <v>1</v>
      </c>
      <c r="D1483" s="2">
        <f t="shared" si="23"/>
        <v>4</v>
      </c>
    </row>
    <row r="1484" spans="1:4" x14ac:dyDescent="0.3">
      <c r="A1484" s="34">
        <v>21489</v>
      </c>
      <c r="B1484" s="35">
        <v>1</v>
      </c>
      <c r="C1484" s="35">
        <v>0</v>
      </c>
      <c r="D1484" s="2">
        <f t="shared" si="23"/>
        <v>1</v>
      </c>
    </row>
    <row r="1485" spans="1:4" x14ac:dyDescent="0.3">
      <c r="A1485" s="34">
        <v>21493</v>
      </c>
      <c r="B1485" s="35">
        <v>1</v>
      </c>
      <c r="C1485" s="35">
        <v>1</v>
      </c>
      <c r="D1485" s="2">
        <f t="shared" si="23"/>
        <v>2</v>
      </c>
    </row>
    <row r="1486" spans="1:4" x14ac:dyDescent="0.3">
      <c r="A1486" s="34">
        <v>21498</v>
      </c>
      <c r="B1486" s="35">
        <v>1</v>
      </c>
      <c r="C1486" s="35">
        <v>0</v>
      </c>
      <c r="D1486" s="2">
        <f t="shared" si="23"/>
        <v>1</v>
      </c>
    </row>
    <row r="1487" spans="1:4" x14ac:dyDescent="0.3">
      <c r="A1487" s="34">
        <v>21504</v>
      </c>
      <c r="B1487" s="35">
        <v>1</v>
      </c>
      <c r="C1487" s="35">
        <v>0</v>
      </c>
      <c r="D1487" s="2">
        <f t="shared" si="23"/>
        <v>1</v>
      </c>
    </row>
    <row r="1488" spans="1:4" x14ac:dyDescent="0.3">
      <c r="A1488" s="34">
        <v>21505</v>
      </c>
      <c r="B1488" s="35">
        <v>1</v>
      </c>
      <c r="C1488" s="35">
        <v>0</v>
      </c>
      <c r="D1488" s="2">
        <f t="shared" si="23"/>
        <v>1</v>
      </c>
    </row>
    <row r="1489" spans="1:4" x14ac:dyDescent="0.3">
      <c r="A1489" s="34">
        <v>21665</v>
      </c>
      <c r="B1489" s="35">
        <v>1</v>
      </c>
      <c r="C1489" s="35">
        <v>0</v>
      </c>
      <c r="D1489" s="2">
        <f t="shared" si="23"/>
        <v>1</v>
      </c>
    </row>
    <row r="1490" spans="1:4" x14ac:dyDescent="0.3">
      <c r="A1490" s="34">
        <v>21681</v>
      </c>
      <c r="B1490" s="35">
        <v>2</v>
      </c>
      <c r="C1490" s="35">
        <v>1</v>
      </c>
      <c r="D1490" s="2">
        <f t="shared" si="23"/>
        <v>3</v>
      </c>
    </row>
    <row r="1491" spans="1:4" x14ac:dyDescent="0.3">
      <c r="A1491" s="34">
        <v>21685</v>
      </c>
      <c r="B1491" s="35">
        <v>3</v>
      </c>
      <c r="C1491" s="35">
        <v>1</v>
      </c>
      <c r="D1491" s="2">
        <f t="shared" si="23"/>
        <v>4</v>
      </c>
    </row>
    <row r="1492" spans="1:4" x14ac:dyDescent="0.3">
      <c r="A1492" s="34">
        <v>21688</v>
      </c>
      <c r="B1492" s="35">
        <v>2</v>
      </c>
      <c r="C1492" s="35">
        <v>0</v>
      </c>
      <c r="D1492" s="2">
        <f t="shared" si="23"/>
        <v>2</v>
      </c>
    </row>
    <row r="1493" spans="1:4" x14ac:dyDescent="0.3">
      <c r="A1493" s="34">
        <v>21689</v>
      </c>
      <c r="B1493" s="35">
        <v>1</v>
      </c>
      <c r="C1493" s="35">
        <v>0</v>
      </c>
      <c r="D1493" s="2">
        <f t="shared" si="23"/>
        <v>1</v>
      </c>
    </row>
    <row r="1494" spans="1:4" x14ac:dyDescent="0.3">
      <c r="A1494" s="34">
        <v>21690</v>
      </c>
      <c r="B1494" s="35">
        <v>1</v>
      </c>
      <c r="C1494" s="35">
        <v>0</v>
      </c>
      <c r="D1494" s="2">
        <f t="shared" si="23"/>
        <v>1</v>
      </c>
    </row>
    <row r="1495" spans="1:4" x14ac:dyDescent="0.3">
      <c r="A1495" s="34">
        <v>21693</v>
      </c>
      <c r="B1495" s="35">
        <v>1</v>
      </c>
      <c r="C1495" s="35">
        <v>0</v>
      </c>
      <c r="D1495" s="2">
        <f t="shared" si="23"/>
        <v>1</v>
      </c>
    </row>
    <row r="1496" spans="1:4" x14ac:dyDescent="0.3">
      <c r="A1496" s="34">
        <v>21700</v>
      </c>
      <c r="B1496" s="35">
        <v>1</v>
      </c>
      <c r="C1496" s="35">
        <v>0</v>
      </c>
      <c r="D1496" s="2">
        <f t="shared" si="23"/>
        <v>1</v>
      </c>
    </row>
    <row r="1497" spans="1:4" x14ac:dyDescent="0.3">
      <c r="A1497" s="34">
        <v>21706</v>
      </c>
      <c r="B1497" s="35">
        <v>1</v>
      </c>
      <c r="C1497" s="35">
        <v>0</v>
      </c>
      <c r="D1497" s="2">
        <f t="shared" si="23"/>
        <v>1</v>
      </c>
    </row>
    <row r="1498" spans="1:4" x14ac:dyDescent="0.3">
      <c r="A1498" s="34">
        <v>21713</v>
      </c>
      <c r="B1498" s="35">
        <v>1</v>
      </c>
      <c r="C1498" s="35">
        <v>0</v>
      </c>
      <c r="D1498" s="2">
        <f t="shared" si="23"/>
        <v>1</v>
      </c>
    </row>
    <row r="1499" spans="1:4" x14ac:dyDescent="0.3">
      <c r="A1499" s="34">
        <v>21715</v>
      </c>
      <c r="B1499" s="35">
        <v>1</v>
      </c>
      <c r="C1499" s="35">
        <v>0</v>
      </c>
      <c r="D1499" s="2">
        <f t="shared" si="23"/>
        <v>1</v>
      </c>
    </row>
    <row r="1500" spans="1:4" x14ac:dyDescent="0.3">
      <c r="A1500" s="34">
        <v>21718</v>
      </c>
      <c r="B1500" s="35">
        <v>1</v>
      </c>
      <c r="C1500" s="35">
        <v>0</v>
      </c>
      <c r="D1500" s="2">
        <f t="shared" si="23"/>
        <v>1</v>
      </c>
    </row>
    <row r="1501" spans="1:4" x14ac:dyDescent="0.3">
      <c r="A1501" s="34">
        <v>21723</v>
      </c>
      <c r="B1501" s="35">
        <v>2</v>
      </c>
      <c r="C1501" s="35">
        <v>0</v>
      </c>
      <c r="D1501" s="2">
        <f t="shared" si="23"/>
        <v>2</v>
      </c>
    </row>
    <row r="1502" spans="1:4" x14ac:dyDescent="0.3">
      <c r="A1502" s="34">
        <v>21727</v>
      </c>
      <c r="B1502" s="35">
        <v>1</v>
      </c>
      <c r="C1502" s="35">
        <v>0</v>
      </c>
      <c r="D1502" s="2">
        <f t="shared" si="23"/>
        <v>1</v>
      </c>
    </row>
    <row r="1503" spans="1:4" x14ac:dyDescent="0.3">
      <c r="A1503" s="34">
        <v>21740</v>
      </c>
      <c r="B1503" s="35">
        <v>1</v>
      </c>
      <c r="C1503" s="35">
        <v>1</v>
      </c>
      <c r="D1503" s="2">
        <f t="shared" si="23"/>
        <v>2</v>
      </c>
    </row>
    <row r="1504" spans="1:4" x14ac:dyDescent="0.3">
      <c r="A1504" s="34">
        <v>21744</v>
      </c>
      <c r="B1504" s="35">
        <v>1</v>
      </c>
      <c r="C1504" s="35">
        <v>0</v>
      </c>
      <c r="D1504" s="2">
        <f t="shared" si="23"/>
        <v>1</v>
      </c>
    </row>
    <row r="1505" spans="1:4" x14ac:dyDescent="0.3">
      <c r="A1505" s="34">
        <v>21754</v>
      </c>
      <c r="B1505" s="35">
        <v>1</v>
      </c>
      <c r="C1505" s="35">
        <v>0</v>
      </c>
      <c r="D1505" s="2">
        <f t="shared" si="23"/>
        <v>1</v>
      </c>
    </row>
    <row r="1506" spans="1:4" x14ac:dyDescent="0.3">
      <c r="A1506" s="34">
        <v>21755</v>
      </c>
      <c r="B1506" s="35">
        <v>1</v>
      </c>
      <c r="C1506" s="35">
        <v>0</v>
      </c>
      <c r="D1506" s="2">
        <f t="shared" si="23"/>
        <v>1</v>
      </c>
    </row>
    <row r="1507" spans="1:4" x14ac:dyDescent="0.3">
      <c r="A1507" s="34">
        <v>21773</v>
      </c>
      <c r="B1507" s="35">
        <v>1</v>
      </c>
      <c r="C1507" s="35">
        <v>0</v>
      </c>
      <c r="D1507" s="2">
        <f t="shared" si="23"/>
        <v>1</v>
      </c>
    </row>
    <row r="1508" spans="1:4" x14ac:dyDescent="0.3">
      <c r="A1508" s="34">
        <v>21779</v>
      </c>
      <c r="B1508" s="35">
        <v>2</v>
      </c>
      <c r="C1508" s="35">
        <v>2</v>
      </c>
      <c r="D1508" s="2">
        <f t="shared" si="23"/>
        <v>4</v>
      </c>
    </row>
    <row r="1509" spans="1:4" x14ac:dyDescent="0.3">
      <c r="A1509" s="34">
        <v>21782</v>
      </c>
      <c r="B1509" s="35">
        <v>1</v>
      </c>
      <c r="C1509" s="35">
        <v>0</v>
      </c>
      <c r="D1509" s="2">
        <f t="shared" si="23"/>
        <v>1</v>
      </c>
    </row>
    <row r="1510" spans="1:4" x14ac:dyDescent="0.3">
      <c r="A1510" s="34">
        <v>21792</v>
      </c>
      <c r="B1510" s="35">
        <v>1</v>
      </c>
      <c r="C1510" s="35">
        <v>1</v>
      </c>
      <c r="D1510" s="2">
        <f t="shared" si="23"/>
        <v>2</v>
      </c>
    </row>
    <row r="1511" spans="1:4" x14ac:dyDescent="0.3">
      <c r="A1511" s="34">
        <v>21801</v>
      </c>
      <c r="B1511" s="35">
        <v>1</v>
      </c>
      <c r="C1511" s="35">
        <v>0</v>
      </c>
      <c r="D1511" s="2">
        <f t="shared" si="23"/>
        <v>1</v>
      </c>
    </row>
    <row r="1512" spans="1:4" x14ac:dyDescent="0.3">
      <c r="A1512" s="34">
        <v>21802</v>
      </c>
      <c r="B1512" s="35">
        <v>1</v>
      </c>
      <c r="C1512" s="35">
        <v>0</v>
      </c>
      <c r="D1512" s="2">
        <f t="shared" si="23"/>
        <v>1</v>
      </c>
    </row>
    <row r="1513" spans="1:4" x14ac:dyDescent="0.3">
      <c r="A1513" s="34">
        <v>21803</v>
      </c>
      <c r="B1513" s="35">
        <v>1</v>
      </c>
      <c r="C1513" s="35">
        <v>0</v>
      </c>
      <c r="D1513" s="2">
        <f t="shared" si="23"/>
        <v>1</v>
      </c>
    </row>
    <row r="1514" spans="1:4" x14ac:dyDescent="0.3">
      <c r="A1514" s="34">
        <v>21959</v>
      </c>
      <c r="B1514" s="35">
        <v>1</v>
      </c>
      <c r="C1514" s="35">
        <v>1</v>
      </c>
      <c r="D1514" s="2">
        <f t="shared" si="23"/>
        <v>2</v>
      </c>
    </row>
    <row r="1515" spans="1:4" x14ac:dyDescent="0.3">
      <c r="A1515" s="34">
        <v>21960</v>
      </c>
      <c r="B1515" s="35">
        <v>1</v>
      </c>
      <c r="C1515" s="35">
        <v>0</v>
      </c>
      <c r="D1515" s="2">
        <f t="shared" si="23"/>
        <v>1</v>
      </c>
    </row>
    <row r="1516" spans="1:4" x14ac:dyDescent="0.3">
      <c r="A1516" s="34">
        <v>21965</v>
      </c>
      <c r="B1516" s="35">
        <v>1</v>
      </c>
      <c r="C1516" s="35">
        <v>0</v>
      </c>
      <c r="D1516" s="2">
        <f t="shared" si="23"/>
        <v>1</v>
      </c>
    </row>
    <row r="1517" spans="1:4" x14ac:dyDescent="0.3">
      <c r="A1517" s="34">
        <v>22033</v>
      </c>
      <c r="B1517" s="35">
        <v>1</v>
      </c>
      <c r="C1517" s="35">
        <v>0</v>
      </c>
      <c r="D1517" s="2">
        <f t="shared" si="23"/>
        <v>1</v>
      </c>
    </row>
    <row r="1518" spans="1:4" x14ac:dyDescent="0.3">
      <c r="A1518" s="34">
        <v>22037</v>
      </c>
      <c r="B1518" s="35">
        <v>1</v>
      </c>
      <c r="C1518" s="35">
        <v>0</v>
      </c>
      <c r="D1518" s="2">
        <f t="shared" si="23"/>
        <v>1</v>
      </c>
    </row>
    <row r="1519" spans="1:4" x14ac:dyDescent="0.3">
      <c r="A1519" s="34">
        <v>22039</v>
      </c>
      <c r="B1519" s="35">
        <v>1</v>
      </c>
      <c r="C1519" s="35">
        <v>1</v>
      </c>
      <c r="D1519" s="2">
        <f t="shared" si="23"/>
        <v>2</v>
      </c>
    </row>
    <row r="1520" spans="1:4" x14ac:dyDescent="0.3">
      <c r="A1520" s="34">
        <v>22045</v>
      </c>
      <c r="B1520" s="35">
        <v>1</v>
      </c>
      <c r="C1520" s="35">
        <v>0</v>
      </c>
      <c r="D1520" s="2">
        <f t="shared" si="23"/>
        <v>1</v>
      </c>
    </row>
    <row r="1521" spans="1:4" x14ac:dyDescent="0.3">
      <c r="A1521" s="34">
        <v>22053</v>
      </c>
      <c r="B1521" s="35">
        <v>2</v>
      </c>
      <c r="C1521" s="35">
        <v>2</v>
      </c>
      <c r="D1521" s="2">
        <f t="shared" si="23"/>
        <v>4</v>
      </c>
    </row>
    <row r="1522" spans="1:4" x14ac:dyDescent="0.3">
      <c r="A1522" s="34">
        <v>22120</v>
      </c>
      <c r="B1522" s="35">
        <v>1</v>
      </c>
      <c r="C1522" s="35">
        <v>0</v>
      </c>
      <c r="D1522" s="2">
        <f t="shared" si="23"/>
        <v>1</v>
      </c>
    </row>
    <row r="1523" spans="1:4" x14ac:dyDescent="0.3">
      <c r="A1523" s="34">
        <v>22125</v>
      </c>
      <c r="B1523" s="35">
        <v>1</v>
      </c>
      <c r="C1523" s="35">
        <v>0</v>
      </c>
      <c r="D1523" s="2">
        <f t="shared" si="23"/>
        <v>1</v>
      </c>
    </row>
    <row r="1524" spans="1:4" x14ac:dyDescent="0.3">
      <c r="A1524" s="34">
        <v>22143</v>
      </c>
      <c r="B1524" s="35">
        <v>1</v>
      </c>
      <c r="C1524" s="35">
        <v>0</v>
      </c>
      <c r="D1524" s="2">
        <f t="shared" si="23"/>
        <v>1</v>
      </c>
    </row>
    <row r="1525" spans="1:4" x14ac:dyDescent="0.3">
      <c r="A1525" s="34">
        <v>22150</v>
      </c>
      <c r="B1525" s="35">
        <v>1</v>
      </c>
      <c r="C1525" s="35">
        <v>0</v>
      </c>
      <c r="D1525" s="2">
        <f t="shared" si="23"/>
        <v>1</v>
      </c>
    </row>
    <row r="1526" spans="1:4" x14ac:dyDescent="0.3">
      <c r="A1526" s="34">
        <v>22160</v>
      </c>
      <c r="B1526" s="35">
        <v>1</v>
      </c>
      <c r="C1526" s="35">
        <v>0</v>
      </c>
      <c r="D1526" s="2">
        <f t="shared" si="23"/>
        <v>1</v>
      </c>
    </row>
    <row r="1527" spans="1:4" x14ac:dyDescent="0.3">
      <c r="A1527" s="34">
        <v>22162</v>
      </c>
      <c r="B1527" s="35">
        <v>2</v>
      </c>
      <c r="C1527" s="35">
        <v>0</v>
      </c>
      <c r="D1527" s="2">
        <f t="shared" si="23"/>
        <v>2</v>
      </c>
    </row>
    <row r="1528" spans="1:4" x14ac:dyDescent="0.3">
      <c r="A1528" s="34">
        <v>22179</v>
      </c>
      <c r="B1528" s="35">
        <v>1</v>
      </c>
      <c r="C1528" s="35">
        <v>0</v>
      </c>
      <c r="D1528" s="2">
        <f t="shared" si="23"/>
        <v>1</v>
      </c>
    </row>
    <row r="1529" spans="1:4" x14ac:dyDescent="0.3">
      <c r="A1529" s="34">
        <v>22181</v>
      </c>
      <c r="B1529" s="35">
        <v>1</v>
      </c>
      <c r="C1529" s="35">
        <v>0</v>
      </c>
      <c r="D1529" s="2">
        <f t="shared" si="23"/>
        <v>1</v>
      </c>
    </row>
    <row r="1530" spans="1:4" x14ac:dyDescent="0.3">
      <c r="A1530" s="34">
        <v>22184</v>
      </c>
      <c r="B1530" s="35">
        <v>1</v>
      </c>
      <c r="C1530" s="35">
        <v>0</v>
      </c>
      <c r="D1530" s="2">
        <f t="shared" si="23"/>
        <v>1</v>
      </c>
    </row>
    <row r="1531" spans="1:4" x14ac:dyDescent="0.3">
      <c r="A1531" s="34">
        <v>22185</v>
      </c>
      <c r="B1531" s="35">
        <v>1</v>
      </c>
      <c r="C1531" s="35">
        <v>1</v>
      </c>
      <c r="D1531" s="2">
        <f t="shared" si="23"/>
        <v>2</v>
      </c>
    </row>
    <row r="1532" spans="1:4" x14ac:dyDescent="0.3">
      <c r="A1532" s="34">
        <v>22193</v>
      </c>
      <c r="B1532" s="35">
        <v>1</v>
      </c>
      <c r="C1532" s="35">
        <v>0</v>
      </c>
      <c r="D1532" s="2">
        <f t="shared" si="23"/>
        <v>1</v>
      </c>
    </row>
    <row r="1533" spans="1:4" x14ac:dyDescent="0.3">
      <c r="A1533" s="34">
        <v>22201</v>
      </c>
      <c r="B1533" s="35">
        <v>1</v>
      </c>
      <c r="C1533" s="35">
        <v>0</v>
      </c>
      <c r="D1533" s="2">
        <f t="shared" si="23"/>
        <v>1</v>
      </c>
    </row>
    <row r="1534" spans="1:4" x14ac:dyDescent="0.3">
      <c r="A1534" s="34">
        <v>22203</v>
      </c>
      <c r="B1534" s="35">
        <v>1</v>
      </c>
      <c r="C1534" s="35">
        <v>0</v>
      </c>
      <c r="D1534" s="2">
        <f t="shared" si="23"/>
        <v>1</v>
      </c>
    </row>
    <row r="1535" spans="1:4" x14ac:dyDescent="0.3">
      <c r="A1535" s="34">
        <v>22270</v>
      </c>
      <c r="B1535" s="35">
        <v>1</v>
      </c>
      <c r="C1535" s="35">
        <v>0</v>
      </c>
      <c r="D1535" s="2">
        <f t="shared" si="23"/>
        <v>1</v>
      </c>
    </row>
    <row r="1536" spans="1:4" x14ac:dyDescent="0.3">
      <c r="A1536" s="34">
        <v>22272</v>
      </c>
      <c r="B1536" s="35">
        <v>1</v>
      </c>
      <c r="C1536" s="35">
        <v>1</v>
      </c>
      <c r="D1536" s="2">
        <f t="shared" si="23"/>
        <v>2</v>
      </c>
    </row>
    <row r="1537" spans="1:4" x14ac:dyDescent="0.3">
      <c r="A1537" s="34">
        <v>22275</v>
      </c>
      <c r="B1537" s="35">
        <v>1</v>
      </c>
      <c r="C1537" s="35">
        <v>0</v>
      </c>
      <c r="D1537" s="2">
        <f t="shared" si="23"/>
        <v>1</v>
      </c>
    </row>
    <row r="1538" spans="1:4" x14ac:dyDescent="0.3">
      <c r="A1538" s="34">
        <v>22279</v>
      </c>
      <c r="B1538" s="35">
        <v>1</v>
      </c>
      <c r="C1538" s="35">
        <v>0</v>
      </c>
      <c r="D1538" s="2">
        <f t="shared" si="23"/>
        <v>1</v>
      </c>
    </row>
    <row r="1539" spans="1:4" x14ac:dyDescent="0.3">
      <c r="A1539" s="34">
        <v>22285</v>
      </c>
      <c r="B1539" s="35">
        <v>1</v>
      </c>
      <c r="C1539" s="35">
        <v>0</v>
      </c>
      <c r="D1539" s="2">
        <f t="shared" ref="D1539:D1602" si="24">B1539+C1539</f>
        <v>1</v>
      </c>
    </row>
    <row r="1540" spans="1:4" x14ac:dyDescent="0.3">
      <c r="A1540" s="34">
        <v>22288</v>
      </c>
      <c r="B1540" s="35">
        <v>1</v>
      </c>
      <c r="C1540" s="35">
        <v>0</v>
      </c>
      <c r="D1540" s="2">
        <f t="shared" si="24"/>
        <v>1</v>
      </c>
    </row>
    <row r="1541" spans="1:4" x14ac:dyDescent="0.3">
      <c r="A1541" s="34">
        <v>22290</v>
      </c>
      <c r="B1541" s="35">
        <v>1</v>
      </c>
      <c r="C1541" s="35">
        <v>0</v>
      </c>
      <c r="D1541" s="2">
        <f t="shared" si="24"/>
        <v>1</v>
      </c>
    </row>
    <row r="1542" spans="1:4" x14ac:dyDescent="0.3">
      <c r="A1542" s="34">
        <v>22293</v>
      </c>
      <c r="B1542" s="35">
        <v>2</v>
      </c>
      <c r="C1542" s="35">
        <v>0</v>
      </c>
      <c r="D1542" s="2">
        <f t="shared" si="24"/>
        <v>2</v>
      </c>
    </row>
    <row r="1543" spans="1:4" x14ac:dyDescent="0.3">
      <c r="A1543" s="34">
        <v>22302</v>
      </c>
      <c r="B1543" s="35">
        <v>1</v>
      </c>
      <c r="C1543" s="35">
        <v>0</v>
      </c>
      <c r="D1543" s="2">
        <f t="shared" si="24"/>
        <v>1</v>
      </c>
    </row>
    <row r="1544" spans="1:4" x14ac:dyDescent="0.3">
      <c r="A1544" s="34">
        <v>22303</v>
      </c>
      <c r="B1544" s="35">
        <v>1</v>
      </c>
      <c r="C1544" s="35">
        <v>1</v>
      </c>
      <c r="D1544" s="2">
        <f t="shared" si="24"/>
        <v>2</v>
      </c>
    </row>
    <row r="1545" spans="1:4" x14ac:dyDescent="0.3">
      <c r="A1545" s="34">
        <v>22306</v>
      </c>
      <c r="B1545" s="35">
        <v>2</v>
      </c>
      <c r="C1545" s="35">
        <v>0</v>
      </c>
      <c r="D1545" s="2">
        <f t="shared" si="24"/>
        <v>2</v>
      </c>
    </row>
    <row r="1546" spans="1:4" x14ac:dyDescent="0.3">
      <c r="A1546" s="34">
        <v>22431</v>
      </c>
      <c r="B1546" s="35">
        <v>1</v>
      </c>
      <c r="C1546" s="35">
        <v>1</v>
      </c>
      <c r="D1546" s="2">
        <f t="shared" si="24"/>
        <v>2</v>
      </c>
    </row>
    <row r="1547" spans="1:4" x14ac:dyDescent="0.3">
      <c r="A1547" s="34">
        <v>22452</v>
      </c>
      <c r="B1547" s="35">
        <v>1</v>
      </c>
      <c r="C1547" s="35">
        <v>0</v>
      </c>
      <c r="D1547" s="2">
        <f t="shared" si="24"/>
        <v>1</v>
      </c>
    </row>
    <row r="1548" spans="1:4" x14ac:dyDescent="0.3">
      <c r="A1548" s="34">
        <v>22455</v>
      </c>
      <c r="B1548" s="35">
        <v>1</v>
      </c>
      <c r="C1548" s="35">
        <v>1</v>
      </c>
      <c r="D1548" s="2">
        <f t="shared" si="24"/>
        <v>2</v>
      </c>
    </row>
    <row r="1549" spans="1:4" x14ac:dyDescent="0.3">
      <c r="A1549" s="34">
        <v>22460</v>
      </c>
      <c r="B1549" s="35">
        <v>1</v>
      </c>
      <c r="C1549" s="35">
        <v>0</v>
      </c>
      <c r="D1549" s="2">
        <f t="shared" si="24"/>
        <v>1</v>
      </c>
    </row>
    <row r="1550" spans="1:4" x14ac:dyDescent="0.3">
      <c r="A1550" s="34">
        <v>22463</v>
      </c>
      <c r="B1550" s="35">
        <v>1</v>
      </c>
      <c r="C1550" s="35">
        <v>0</v>
      </c>
      <c r="D1550" s="2">
        <f t="shared" si="24"/>
        <v>1</v>
      </c>
    </row>
    <row r="1551" spans="1:4" x14ac:dyDescent="0.3">
      <c r="A1551" s="34">
        <v>22464</v>
      </c>
      <c r="B1551" s="35">
        <v>1</v>
      </c>
      <c r="C1551" s="35">
        <v>1</v>
      </c>
      <c r="D1551" s="2">
        <f t="shared" si="24"/>
        <v>2</v>
      </c>
    </row>
    <row r="1552" spans="1:4" x14ac:dyDescent="0.3">
      <c r="A1552" s="34">
        <v>22465</v>
      </c>
      <c r="B1552" s="35">
        <v>1</v>
      </c>
      <c r="C1552" s="35">
        <v>0</v>
      </c>
      <c r="D1552" s="2">
        <f t="shared" si="24"/>
        <v>1</v>
      </c>
    </row>
    <row r="1553" spans="1:4" x14ac:dyDescent="0.3">
      <c r="A1553" s="34">
        <v>22466</v>
      </c>
      <c r="B1553" s="35">
        <v>2</v>
      </c>
      <c r="C1553" s="35">
        <v>0</v>
      </c>
      <c r="D1553" s="2">
        <f t="shared" si="24"/>
        <v>2</v>
      </c>
    </row>
    <row r="1554" spans="1:4" x14ac:dyDescent="0.3">
      <c r="A1554" s="34">
        <v>22470</v>
      </c>
      <c r="B1554" s="35">
        <v>1</v>
      </c>
      <c r="C1554" s="35">
        <v>0</v>
      </c>
      <c r="D1554" s="2">
        <f t="shared" si="24"/>
        <v>1</v>
      </c>
    </row>
    <row r="1555" spans="1:4" x14ac:dyDescent="0.3">
      <c r="A1555" s="34">
        <v>22473</v>
      </c>
      <c r="B1555" s="35">
        <v>1</v>
      </c>
      <c r="C1555" s="35">
        <v>1</v>
      </c>
      <c r="D1555" s="2">
        <f t="shared" si="24"/>
        <v>2</v>
      </c>
    </row>
    <row r="1556" spans="1:4" x14ac:dyDescent="0.3">
      <c r="A1556" s="34">
        <v>22478</v>
      </c>
      <c r="B1556" s="35">
        <v>1</v>
      </c>
      <c r="C1556" s="35">
        <v>0</v>
      </c>
      <c r="D1556" s="2">
        <f t="shared" si="24"/>
        <v>1</v>
      </c>
    </row>
    <row r="1557" spans="1:4" x14ac:dyDescent="0.3">
      <c r="A1557" s="34">
        <v>22489</v>
      </c>
      <c r="B1557" s="35">
        <v>1</v>
      </c>
      <c r="C1557" s="35">
        <v>0</v>
      </c>
      <c r="D1557" s="2">
        <f t="shared" si="24"/>
        <v>1</v>
      </c>
    </row>
    <row r="1558" spans="1:4" x14ac:dyDescent="0.3">
      <c r="A1558" s="34">
        <v>22518</v>
      </c>
      <c r="B1558" s="35">
        <v>1</v>
      </c>
      <c r="C1558" s="35">
        <v>0</v>
      </c>
      <c r="D1558" s="2">
        <f t="shared" si="24"/>
        <v>1</v>
      </c>
    </row>
    <row r="1559" spans="1:4" x14ac:dyDescent="0.3">
      <c r="A1559" s="34">
        <v>22522</v>
      </c>
      <c r="B1559" s="35">
        <v>2</v>
      </c>
      <c r="C1559" s="35">
        <v>1</v>
      </c>
      <c r="D1559" s="2">
        <f t="shared" si="24"/>
        <v>3</v>
      </c>
    </row>
    <row r="1560" spans="1:4" x14ac:dyDescent="0.3">
      <c r="A1560" s="34">
        <v>22537</v>
      </c>
      <c r="B1560" s="35">
        <v>1</v>
      </c>
      <c r="C1560" s="35">
        <v>0</v>
      </c>
      <c r="D1560" s="2">
        <f t="shared" si="24"/>
        <v>1</v>
      </c>
    </row>
    <row r="1561" spans="1:4" x14ac:dyDescent="0.3">
      <c r="A1561" s="34">
        <v>22540</v>
      </c>
      <c r="B1561" s="35">
        <v>1</v>
      </c>
      <c r="C1561" s="35">
        <v>0</v>
      </c>
      <c r="D1561" s="2">
        <f t="shared" si="24"/>
        <v>1</v>
      </c>
    </row>
    <row r="1562" spans="1:4" x14ac:dyDescent="0.3">
      <c r="A1562" s="34">
        <v>22557</v>
      </c>
      <c r="B1562" s="35">
        <v>2</v>
      </c>
      <c r="C1562" s="35">
        <v>0</v>
      </c>
      <c r="D1562" s="2">
        <f t="shared" si="24"/>
        <v>2</v>
      </c>
    </row>
    <row r="1563" spans="1:4" x14ac:dyDescent="0.3">
      <c r="A1563" s="34">
        <v>22558</v>
      </c>
      <c r="B1563" s="35">
        <v>1</v>
      </c>
      <c r="C1563" s="35">
        <v>0</v>
      </c>
      <c r="D1563" s="2">
        <f t="shared" si="24"/>
        <v>1</v>
      </c>
    </row>
    <row r="1564" spans="1:4" x14ac:dyDescent="0.3">
      <c r="A1564" s="34">
        <v>22562</v>
      </c>
      <c r="B1564" s="35">
        <v>1</v>
      </c>
      <c r="C1564" s="35">
        <v>0</v>
      </c>
      <c r="D1564" s="2">
        <f t="shared" si="24"/>
        <v>1</v>
      </c>
    </row>
    <row r="1565" spans="1:4" x14ac:dyDescent="0.3">
      <c r="A1565" s="34">
        <v>22564</v>
      </c>
      <c r="B1565" s="35">
        <v>3</v>
      </c>
      <c r="C1565" s="35">
        <v>3</v>
      </c>
      <c r="D1565" s="2">
        <f t="shared" si="24"/>
        <v>6</v>
      </c>
    </row>
    <row r="1566" spans="1:4" x14ac:dyDescent="0.3">
      <c r="A1566" s="34">
        <v>22566</v>
      </c>
      <c r="B1566" s="35">
        <v>1</v>
      </c>
      <c r="C1566" s="35">
        <v>0</v>
      </c>
      <c r="D1566" s="2">
        <f t="shared" si="24"/>
        <v>1</v>
      </c>
    </row>
    <row r="1567" spans="1:4" x14ac:dyDescent="0.3">
      <c r="A1567" s="34">
        <v>22577</v>
      </c>
      <c r="B1567" s="35">
        <v>3</v>
      </c>
      <c r="C1567" s="35">
        <v>3</v>
      </c>
      <c r="D1567" s="2">
        <f t="shared" si="24"/>
        <v>6</v>
      </c>
    </row>
    <row r="1568" spans="1:4" x14ac:dyDescent="0.3">
      <c r="A1568" s="34">
        <v>22578</v>
      </c>
      <c r="B1568" s="35">
        <v>3</v>
      </c>
      <c r="C1568" s="35">
        <v>1</v>
      </c>
      <c r="D1568" s="2">
        <f t="shared" si="24"/>
        <v>4</v>
      </c>
    </row>
    <row r="1569" spans="1:4" x14ac:dyDescent="0.3">
      <c r="A1569" s="34">
        <v>22582</v>
      </c>
      <c r="B1569" s="35">
        <v>1</v>
      </c>
      <c r="C1569" s="35">
        <v>0</v>
      </c>
      <c r="D1569" s="2">
        <f t="shared" si="24"/>
        <v>1</v>
      </c>
    </row>
    <row r="1570" spans="1:4" x14ac:dyDescent="0.3">
      <c r="A1570" s="34">
        <v>22590</v>
      </c>
      <c r="B1570" s="35">
        <v>1</v>
      </c>
      <c r="C1570" s="35">
        <v>1</v>
      </c>
      <c r="D1570" s="2">
        <f t="shared" si="24"/>
        <v>2</v>
      </c>
    </row>
    <row r="1571" spans="1:4" x14ac:dyDescent="0.3">
      <c r="A1571" s="34">
        <v>22592</v>
      </c>
      <c r="B1571" s="35">
        <v>1</v>
      </c>
      <c r="C1571" s="35">
        <v>0</v>
      </c>
      <c r="D1571" s="2">
        <f t="shared" si="24"/>
        <v>1</v>
      </c>
    </row>
    <row r="1572" spans="1:4" x14ac:dyDescent="0.3">
      <c r="A1572" s="34">
        <v>22608</v>
      </c>
      <c r="B1572" s="35">
        <v>1</v>
      </c>
      <c r="C1572" s="35">
        <v>0</v>
      </c>
      <c r="D1572" s="2">
        <f t="shared" si="24"/>
        <v>1</v>
      </c>
    </row>
    <row r="1573" spans="1:4" x14ac:dyDescent="0.3">
      <c r="A1573" s="34">
        <v>22617</v>
      </c>
      <c r="B1573" s="35">
        <v>1</v>
      </c>
      <c r="C1573" s="35">
        <v>0</v>
      </c>
      <c r="D1573" s="2">
        <f t="shared" si="24"/>
        <v>1</v>
      </c>
    </row>
    <row r="1574" spans="1:4" x14ac:dyDescent="0.3">
      <c r="A1574" s="34">
        <v>22622</v>
      </c>
      <c r="B1574" s="35">
        <v>1</v>
      </c>
      <c r="C1574" s="35">
        <v>0</v>
      </c>
      <c r="D1574" s="2">
        <f t="shared" si="24"/>
        <v>1</v>
      </c>
    </row>
    <row r="1575" spans="1:4" x14ac:dyDescent="0.3">
      <c r="A1575" s="34">
        <v>22624</v>
      </c>
      <c r="B1575" s="35">
        <v>1</v>
      </c>
      <c r="C1575" s="35">
        <v>0</v>
      </c>
      <c r="D1575" s="2">
        <f t="shared" si="24"/>
        <v>1</v>
      </c>
    </row>
    <row r="1576" spans="1:4" x14ac:dyDescent="0.3">
      <c r="A1576" s="34">
        <v>22626</v>
      </c>
      <c r="B1576" s="35">
        <v>1</v>
      </c>
      <c r="C1576" s="35">
        <v>0</v>
      </c>
      <c r="D1576" s="2">
        <f t="shared" si="24"/>
        <v>1</v>
      </c>
    </row>
    <row r="1577" spans="1:4" x14ac:dyDescent="0.3">
      <c r="A1577" s="34">
        <v>22628</v>
      </c>
      <c r="B1577" s="35">
        <v>1</v>
      </c>
      <c r="C1577" s="35">
        <v>0</v>
      </c>
      <c r="D1577" s="2">
        <f t="shared" si="24"/>
        <v>1</v>
      </c>
    </row>
    <row r="1578" spans="1:4" x14ac:dyDescent="0.3">
      <c r="A1578" s="34">
        <v>22632</v>
      </c>
      <c r="B1578" s="35">
        <v>1</v>
      </c>
      <c r="C1578" s="35">
        <v>0</v>
      </c>
      <c r="D1578" s="2">
        <f t="shared" si="24"/>
        <v>1</v>
      </c>
    </row>
    <row r="1579" spans="1:4" x14ac:dyDescent="0.3">
      <c r="A1579" s="34">
        <v>22633</v>
      </c>
      <c r="B1579" s="35">
        <v>1</v>
      </c>
      <c r="C1579" s="35">
        <v>0</v>
      </c>
      <c r="D1579" s="2">
        <f t="shared" si="24"/>
        <v>1</v>
      </c>
    </row>
    <row r="1580" spans="1:4" x14ac:dyDescent="0.3">
      <c r="A1580" s="34">
        <v>22634</v>
      </c>
      <c r="B1580" s="35">
        <v>1</v>
      </c>
      <c r="C1580" s="35">
        <v>0</v>
      </c>
      <c r="D1580" s="2">
        <f t="shared" si="24"/>
        <v>1</v>
      </c>
    </row>
    <row r="1581" spans="1:4" x14ac:dyDescent="0.3">
      <c r="A1581" s="34">
        <v>22635</v>
      </c>
      <c r="B1581" s="35">
        <v>1</v>
      </c>
      <c r="C1581" s="35">
        <v>0</v>
      </c>
      <c r="D1581" s="2">
        <f t="shared" si="24"/>
        <v>1</v>
      </c>
    </row>
    <row r="1582" spans="1:4" x14ac:dyDescent="0.3">
      <c r="A1582" s="34">
        <v>22637</v>
      </c>
      <c r="B1582" s="35">
        <v>1</v>
      </c>
      <c r="C1582" s="35">
        <v>0</v>
      </c>
      <c r="D1582" s="2">
        <f t="shared" si="24"/>
        <v>1</v>
      </c>
    </row>
    <row r="1583" spans="1:4" x14ac:dyDescent="0.3">
      <c r="A1583" s="34">
        <v>22640</v>
      </c>
      <c r="B1583" s="35">
        <v>1</v>
      </c>
      <c r="C1583" s="35">
        <v>1</v>
      </c>
      <c r="D1583" s="2">
        <f t="shared" si="24"/>
        <v>2</v>
      </c>
    </row>
    <row r="1584" spans="1:4" x14ac:dyDescent="0.3">
      <c r="A1584" s="34">
        <v>22651</v>
      </c>
      <c r="B1584" s="35">
        <v>1</v>
      </c>
      <c r="C1584" s="35">
        <v>0</v>
      </c>
      <c r="D1584" s="2">
        <f t="shared" si="24"/>
        <v>1</v>
      </c>
    </row>
    <row r="1585" spans="1:4" x14ac:dyDescent="0.3">
      <c r="A1585" s="34">
        <v>22656</v>
      </c>
      <c r="B1585" s="35">
        <v>2</v>
      </c>
      <c r="C1585" s="35">
        <v>1</v>
      </c>
      <c r="D1585" s="2">
        <f t="shared" si="24"/>
        <v>3</v>
      </c>
    </row>
    <row r="1586" spans="1:4" x14ac:dyDescent="0.3">
      <c r="A1586" s="34">
        <v>22657</v>
      </c>
      <c r="B1586" s="35">
        <v>1</v>
      </c>
      <c r="C1586" s="35">
        <v>0</v>
      </c>
      <c r="D1586" s="2">
        <f t="shared" si="24"/>
        <v>1</v>
      </c>
    </row>
    <row r="1587" spans="1:4" x14ac:dyDescent="0.3">
      <c r="A1587" s="34">
        <v>22658</v>
      </c>
      <c r="B1587" s="35">
        <v>1</v>
      </c>
      <c r="C1587" s="35">
        <v>0</v>
      </c>
      <c r="D1587" s="2">
        <f t="shared" si="24"/>
        <v>1</v>
      </c>
    </row>
    <row r="1588" spans="1:4" x14ac:dyDescent="0.3">
      <c r="A1588" s="34">
        <v>22667</v>
      </c>
      <c r="B1588" s="35">
        <v>1</v>
      </c>
      <c r="C1588" s="35">
        <v>0</v>
      </c>
      <c r="D1588" s="2">
        <f t="shared" si="24"/>
        <v>1</v>
      </c>
    </row>
    <row r="1589" spans="1:4" x14ac:dyDescent="0.3">
      <c r="A1589" s="34">
        <v>22671</v>
      </c>
      <c r="B1589" s="35">
        <v>1</v>
      </c>
      <c r="C1589" s="35">
        <v>1</v>
      </c>
      <c r="D1589" s="2">
        <f t="shared" si="24"/>
        <v>2</v>
      </c>
    </row>
    <row r="1590" spans="1:4" x14ac:dyDescent="0.3">
      <c r="A1590" s="34">
        <v>22678</v>
      </c>
      <c r="B1590" s="35">
        <v>1</v>
      </c>
      <c r="C1590" s="35">
        <v>0</v>
      </c>
      <c r="D1590" s="2">
        <f t="shared" si="24"/>
        <v>1</v>
      </c>
    </row>
    <row r="1591" spans="1:4" x14ac:dyDescent="0.3">
      <c r="A1591" s="34">
        <v>22684</v>
      </c>
      <c r="B1591" s="35">
        <v>1</v>
      </c>
      <c r="C1591" s="35">
        <v>0</v>
      </c>
      <c r="D1591" s="2">
        <f t="shared" si="24"/>
        <v>1</v>
      </c>
    </row>
    <row r="1592" spans="1:4" x14ac:dyDescent="0.3">
      <c r="A1592" s="34">
        <v>22693</v>
      </c>
      <c r="B1592" s="35">
        <v>1</v>
      </c>
      <c r="C1592" s="35">
        <v>1</v>
      </c>
      <c r="D1592" s="2">
        <f t="shared" si="24"/>
        <v>2</v>
      </c>
    </row>
    <row r="1593" spans="1:4" x14ac:dyDescent="0.3">
      <c r="A1593" s="34">
        <v>22695</v>
      </c>
      <c r="B1593" s="35">
        <v>1</v>
      </c>
      <c r="C1593" s="35">
        <v>0</v>
      </c>
      <c r="D1593" s="2">
        <f t="shared" si="24"/>
        <v>1</v>
      </c>
    </row>
    <row r="1594" spans="1:4" x14ac:dyDescent="0.3">
      <c r="A1594" s="34">
        <v>22697</v>
      </c>
      <c r="B1594" s="35">
        <v>1</v>
      </c>
      <c r="C1594" s="35">
        <v>0</v>
      </c>
      <c r="D1594" s="2">
        <f t="shared" si="24"/>
        <v>1</v>
      </c>
    </row>
    <row r="1595" spans="1:4" x14ac:dyDescent="0.3">
      <c r="A1595" s="34">
        <v>22699</v>
      </c>
      <c r="B1595" s="35">
        <v>1</v>
      </c>
      <c r="C1595" s="35">
        <v>1</v>
      </c>
      <c r="D1595" s="2">
        <f t="shared" si="24"/>
        <v>2</v>
      </c>
    </row>
    <row r="1596" spans="1:4" x14ac:dyDescent="0.3">
      <c r="A1596" s="34">
        <v>22700</v>
      </c>
      <c r="B1596" s="35">
        <v>1</v>
      </c>
      <c r="C1596" s="35">
        <v>0</v>
      </c>
      <c r="D1596" s="2">
        <f t="shared" si="24"/>
        <v>1</v>
      </c>
    </row>
    <row r="1597" spans="1:4" x14ac:dyDescent="0.3">
      <c r="A1597" s="34">
        <v>22704</v>
      </c>
      <c r="B1597" s="35">
        <v>1</v>
      </c>
      <c r="C1597" s="35">
        <v>1</v>
      </c>
      <c r="D1597" s="2">
        <f t="shared" si="24"/>
        <v>2</v>
      </c>
    </row>
    <row r="1598" spans="1:4" x14ac:dyDescent="0.3">
      <c r="A1598" s="34">
        <v>22725</v>
      </c>
      <c r="B1598" s="35">
        <v>1</v>
      </c>
      <c r="C1598" s="35">
        <v>0</v>
      </c>
      <c r="D1598" s="2">
        <f t="shared" si="24"/>
        <v>1</v>
      </c>
    </row>
    <row r="1599" spans="1:4" x14ac:dyDescent="0.3">
      <c r="A1599" s="34">
        <v>22750</v>
      </c>
      <c r="B1599" s="35">
        <v>1</v>
      </c>
      <c r="C1599" s="35">
        <v>0</v>
      </c>
      <c r="D1599" s="2">
        <f t="shared" si="24"/>
        <v>1</v>
      </c>
    </row>
    <row r="1600" spans="1:4" x14ac:dyDescent="0.3">
      <c r="A1600" s="34">
        <v>22756</v>
      </c>
      <c r="B1600" s="35">
        <v>1</v>
      </c>
      <c r="C1600" s="35">
        <v>0</v>
      </c>
      <c r="D1600" s="2">
        <f t="shared" si="24"/>
        <v>1</v>
      </c>
    </row>
    <row r="1601" spans="1:4" x14ac:dyDescent="0.3">
      <c r="A1601" s="34">
        <v>22758</v>
      </c>
      <c r="B1601" s="35">
        <v>1</v>
      </c>
      <c r="C1601" s="35">
        <v>0</v>
      </c>
      <c r="D1601" s="2">
        <f t="shared" si="24"/>
        <v>1</v>
      </c>
    </row>
    <row r="1602" spans="1:4" x14ac:dyDescent="0.3">
      <c r="A1602" s="34">
        <v>22761</v>
      </c>
      <c r="B1602" s="35">
        <v>1</v>
      </c>
      <c r="C1602" s="35">
        <v>0</v>
      </c>
      <c r="D1602" s="2">
        <f t="shared" si="24"/>
        <v>1</v>
      </c>
    </row>
    <row r="1603" spans="1:4" x14ac:dyDescent="0.3">
      <c r="A1603" s="34">
        <v>22762</v>
      </c>
      <c r="B1603" s="35">
        <v>2</v>
      </c>
      <c r="C1603" s="35">
        <v>0</v>
      </c>
      <c r="D1603" s="2">
        <f t="shared" ref="D1603:D1666" si="25">B1603+C1603</f>
        <v>2</v>
      </c>
    </row>
    <row r="1604" spans="1:4" x14ac:dyDescent="0.3">
      <c r="A1604" s="34">
        <v>22763</v>
      </c>
      <c r="B1604" s="35">
        <v>1</v>
      </c>
      <c r="C1604" s="35">
        <v>0</v>
      </c>
      <c r="D1604" s="2">
        <f t="shared" si="25"/>
        <v>1</v>
      </c>
    </row>
    <row r="1605" spans="1:4" x14ac:dyDescent="0.3">
      <c r="A1605" s="34">
        <v>22784</v>
      </c>
      <c r="B1605" s="35">
        <v>1</v>
      </c>
      <c r="C1605" s="35">
        <v>0</v>
      </c>
      <c r="D1605" s="2">
        <f t="shared" si="25"/>
        <v>1</v>
      </c>
    </row>
    <row r="1606" spans="1:4" x14ac:dyDescent="0.3">
      <c r="A1606" s="34">
        <v>22786</v>
      </c>
      <c r="B1606" s="35">
        <v>1</v>
      </c>
      <c r="C1606" s="35">
        <v>1</v>
      </c>
      <c r="D1606" s="2">
        <f t="shared" si="25"/>
        <v>2</v>
      </c>
    </row>
    <row r="1607" spans="1:4" x14ac:dyDescent="0.3">
      <c r="A1607" s="34">
        <v>22787</v>
      </c>
      <c r="B1607" s="35">
        <v>1</v>
      </c>
      <c r="C1607" s="35">
        <v>0</v>
      </c>
      <c r="D1607" s="2">
        <f t="shared" si="25"/>
        <v>1</v>
      </c>
    </row>
    <row r="1608" spans="1:4" x14ac:dyDescent="0.3">
      <c r="A1608" s="34">
        <v>22795</v>
      </c>
      <c r="B1608" s="35">
        <v>1</v>
      </c>
      <c r="C1608" s="35">
        <v>0</v>
      </c>
      <c r="D1608" s="2">
        <f t="shared" si="25"/>
        <v>1</v>
      </c>
    </row>
    <row r="1609" spans="1:4" x14ac:dyDescent="0.3">
      <c r="A1609" s="34">
        <v>22812</v>
      </c>
      <c r="B1609" s="35">
        <v>2</v>
      </c>
      <c r="C1609" s="35">
        <v>0</v>
      </c>
      <c r="D1609" s="2">
        <f t="shared" si="25"/>
        <v>2</v>
      </c>
    </row>
    <row r="1610" spans="1:4" x14ac:dyDescent="0.3">
      <c r="A1610" s="34">
        <v>22813</v>
      </c>
      <c r="B1610" s="35">
        <v>1</v>
      </c>
      <c r="C1610" s="35">
        <v>0</v>
      </c>
      <c r="D1610" s="2">
        <f t="shared" si="25"/>
        <v>1</v>
      </c>
    </row>
    <row r="1611" spans="1:4" x14ac:dyDescent="0.3">
      <c r="A1611" s="34">
        <v>22822</v>
      </c>
      <c r="B1611" s="35">
        <v>2</v>
      </c>
      <c r="C1611" s="35">
        <v>1</v>
      </c>
      <c r="D1611" s="2">
        <f t="shared" si="25"/>
        <v>3</v>
      </c>
    </row>
    <row r="1612" spans="1:4" x14ac:dyDescent="0.3">
      <c r="A1612" s="34">
        <v>22858</v>
      </c>
      <c r="B1612" s="35">
        <v>1</v>
      </c>
      <c r="C1612" s="35">
        <v>0</v>
      </c>
      <c r="D1612" s="2">
        <f t="shared" si="25"/>
        <v>1</v>
      </c>
    </row>
    <row r="1613" spans="1:4" x14ac:dyDescent="0.3">
      <c r="A1613" s="34">
        <v>22866</v>
      </c>
      <c r="B1613" s="35">
        <v>1</v>
      </c>
      <c r="C1613" s="35">
        <v>0</v>
      </c>
      <c r="D1613" s="2">
        <f t="shared" si="25"/>
        <v>1</v>
      </c>
    </row>
    <row r="1614" spans="1:4" x14ac:dyDescent="0.3">
      <c r="A1614" s="34">
        <v>22875</v>
      </c>
      <c r="B1614" s="35">
        <v>1</v>
      </c>
      <c r="C1614" s="35">
        <v>0</v>
      </c>
      <c r="D1614" s="2">
        <f t="shared" si="25"/>
        <v>1</v>
      </c>
    </row>
    <row r="1615" spans="1:4" x14ac:dyDescent="0.3">
      <c r="A1615" s="34">
        <v>22876</v>
      </c>
      <c r="B1615" s="35">
        <v>1</v>
      </c>
      <c r="C1615" s="35">
        <v>1</v>
      </c>
      <c r="D1615" s="2">
        <f t="shared" si="25"/>
        <v>2</v>
      </c>
    </row>
    <row r="1616" spans="1:4" x14ac:dyDescent="0.3">
      <c r="A1616" s="34">
        <v>22877</v>
      </c>
      <c r="B1616" s="35">
        <v>1</v>
      </c>
      <c r="C1616" s="35">
        <v>0</v>
      </c>
      <c r="D1616" s="2">
        <f t="shared" si="25"/>
        <v>1</v>
      </c>
    </row>
    <row r="1617" spans="1:4" x14ac:dyDescent="0.3">
      <c r="A1617" s="34">
        <v>22884</v>
      </c>
      <c r="B1617" s="35">
        <v>1</v>
      </c>
      <c r="C1617" s="35">
        <v>0</v>
      </c>
      <c r="D1617" s="2">
        <f t="shared" si="25"/>
        <v>1</v>
      </c>
    </row>
    <row r="1618" spans="1:4" x14ac:dyDescent="0.3">
      <c r="A1618" s="34">
        <v>22890</v>
      </c>
      <c r="B1618" s="35">
        <v>2</v>
      </c>
      <c r="C1618" s="35">
        <v>0</v>
      </c>
      <c r="D1618" s="2">
        <f t="shared" si="25"/>
        <v>2</v>
      </c>
    </row>
    <row r="1619" spans="1:4" x14ac:dyDescent="0.3">
      <c r="A1619" s="34">
        <v>22893</v>
      </c>
      <c r="B1619" s="35">
        <v>1</v>
      </c>
      <c r="C1619" s="35">
        <v>0</v>
      </c>
      <c r="D1619" s="2">
        <f t="shared" si="25"/>
        <v>1</v>
      </c>
    </row>
    <row r="1620" spans="1:4" x14ac:dyDescent="0.3">
      <c r="A1620" s="34">
        <v>22896</v>
      </c>
      <c r="B1620" s="35">
        <v>2</v>
      </c>
      <c r="C1620" s="35">
        <v>0</v>
      </c>
      <c r="D1620" s="2">
        <f t="shared" si="25"/>
        <v>2</v>
      </c>
    </row>
    <row r="1621" spans="1:4" x14ac:dyDescent="0.3">
      <c r="A1621" s="34">
        <v>22908</v>
      </c>
      <c r="B1621" s="35">
        <v>1</v>
      </c>
      <c r="C1621" s="35">
        <v>1</v>
      </c>
      <c r="D1621" s="2">
        <f t="shared" si="25"/>
        <v>2</v>
      </c>
    </row>
    <row r="1622" spans="1:4" x14ac:dyDescent="0.3">
      <c r="A1622" s="34">
        <v>22910</v>
      </c>
      <c r="B1622" s="35">
        <v>1</v>
      </c>
      <c r="C1622" s="35">
        <v>0</v>
      </c>
      <c r="D1622" s="2">
        <f t="shared" si="25"/>
        <v>1</v>
      </c>
    </row>
    <row r="1623" spans="1:4" x14ac:dyDescent="0.3">
      <c r="A1623" s="34">
        <v>22914</v>
      </c>
      <c r="B1623" s="35">
        <v>1</v>
      </c>
      <c r="C1623" s="35">
        <v>0</v>
      </c>
      <c r="D1623" s="2">
        <f t="shared" si="25"/>
        <v>1</v>
      </c>
    </row>
    <row r="1624" spans="1:4" x14ac:dyDescent="0.3">
      <c r="A1624" s="34">
        <v>22916</v>
      </c>
      <c r="B1624" s="35">
        <v>1</v>
      </c>
      <c r="C1624" s="35">
        <v>0</v>
      </c>
      <c r="D1624" s="2">
        <f t="shared" si="25"/>
        <v>1</v>
      </c>
    </row>
    <row r="1625" spans="1:4" x14ac:dyDescent="0.3">
      <c r="A1625" s="34">
        <v>22919</v>
      </c>
      <c r="B1625" s="35">
        <v>1</v>
      </c>
      <c r="C1625" s="35">
        <v>0</v>
      </c>
      <c r="D1625" s="2">
        <f t="shared" si="25"/>
        <v>1</v>
      </c>
    </row>
    <row r="1626" spans="1:4" x14ac:dyDescent="0.3">
      <c r="A1626" s="34">
        <v>22920</v>
      </c>
      <c r="B1626" s="35">
        <v>1</v>
      </c>
      <c r="C1626" s="35">
        <v>0</v>
      </c>
      <c r="D1626" s="2">
        <f t="shared" si="25"/>
        <v>1</v>
      </c>
    </row>
    <row r="1627" spans="1:4" x14ac:dyDescent="0.3">
      <c r="A1627" s="34">
        <v>22929</v>
      </c>
      <c r="B1627" s="35">
        <v>1</v>
      </c>
      <c r="C1627" s="35">
        <v>0</v>
      </c>
      <c r="D1627" s="2">
        <f t="shared" si="25"/>
        <v>1</v>
      </c>
    </row>
    <row r="1628" spans="1:4" x14ac:dyDescent="0.3">
      <c r="A1628" s="34">
        <v>22931</v>
      </c>
      <c r="B1628" s="35">
        <v>1</v>
      </c>
      <c r="C1628" s="35">
        <v>0</v>
      </c>
      <c r="D1628" s="2">
        <f t="shared" si="25"/>
        <v>1</v>
      </c>
    </row>
    <row r="1629" spans="1:4" x14ac:dyDescent="0.3">
      <c r="A1629" s="34">
        <v>22935</v>
      </c>
      <c r="B1629" s="35">
        <v>2</v>
      </c>
      <c r="C1629" s="35">
        <v>0</v>
      </c>
      <c r="D1629" s="2">
        <f t="shared" si="25"/>
        <v>2</v>
      </c>
    </row>
    <row r="1630" spans="1:4" x14ac:dyDescent="0.3">
      <c r="A1630" s="34">
        <v>22937</v>
      </c>
      <c r="B1630" s="35">
        <v>2</v>
      </c>
      <c r="C1630" s="35">
        <v>0</v>
      </c>
      <c r="D1630" s="2">
        <f t="shared" si="25"/>
        <v>2</v>
      </c>
    </row>
    <row r="1631" spans="1:4" x14ac:dyDescent="0.3">
      <c r="A1631" s="34">
        <v>22946</v>
      </c>
      <c r="B1631" s="35">
        <v>1</v>
      </c>
      <c r="C1631" s="35">
        <v>0</v>
      </c>
      <c r="D1631" s="2">
        <f t="shared" si="25"/>
        <v>1</v>
      </c>
    </row>
    <row r="1632" spans="1:4" x14ac:dyDescent="0.3">
      <c r="A1632" s="34">
        <v>22953</v>
      </c>
      <c r="B1632" s="35">
        <v>1</v>
      </c>
      <c r="C1632" s="35">
        <v>0</v>
      </c>
      <c r="D1632" s="2">
        <f t="shared" si="25"/>
        <v>1</v>
      </c>
    </row>
    <row r="1633" spans="1:4" x14ac:dyDescent="0.3">
      <c r="A1633" s="34">
        <v>22957</v>
      </c>
      <c r="B1633" s="35">
        <v>1</v>
      </c>
      <c r="C1633" s="35">
        <v>0</v>
      </c>
      <c r="D1633" s="2">
        <f t="shared" si="25"/>
        <v>1</v>
      </c>
    </row>
    <row r="1634" spans="1:4" x14ac:dyDescent="0.3">
      <c r="A1634" s="34">
        <v>22958</v>
      </c>
      <c r="B1634" s="35">
        <v>1</v>
      </c>
      <c r="C1634" s="35">
        <v>0</v>
      </c>
      <c r="D1634" s="2">
        <f t="shared" si="25"/>
        <v>1</v>
      </c>
    </row>
    <row r="1635" spans="1:4" x14ac:dyDescent="0.3">
      <c r="A1635" s="34">
        <v>22964</v>
      </c>
      <c r="B1635" s="35">
        <v>1</v>
      </c>
      <c r="C1635" s="35">
        <v>1</v>
      </c>
      <c r="D1635" s="2">
        <f t="shared" si="25"/>
        <v>2</v>
      </c>
    </row>
    <row r="1636" spans="1:4" x14ac:dyDescent="0.3">
      <c r="A1636" s="34">
        <v>22966</v>
      </c>
      <c r="B1636" s="35">
        <v>1</v>
      </c>
      <c r="C1636" s="35">
        <v>0</v>
      </c>
      <c r="D1636" s="2">
        <f t="shared" si="25"/>
        <v>1</v>
      </c>
    </row>
    <row r="1637" spans="1:4" x14ac:dyDescent="0.3">
      <c r="A1637" s="34">
        <v>22967</v>
      </c>
      <c r="B1637" s="35">
        <v>1</v>
      </c>
      <c r="C1637" s="35">
        <v>0</v>
      </c>
      <c r="D1637" s="2">
        <f t="shared" si="25"/>
        <v>1</v>
      </c>
    </row>
    <row r="1638" spans="1:4" x14ac:dyDescent="0.3">
      <c r="A1638" s="34">
        <v>22980</v>
      </c>
      <c r="B1638" s="35">
        <v>1</v>
      </c>
      <c r="C1638" s="35">
        <v>1</v>
      </c>
      <c r="D1638" s="2">
        <f t="shared" si="25"/>
        <v>2</v>
      </c>
    </row>
    <row r="1639" spans="1:4" x14ac:dyDescent="0.3">
      <c r="A1639" s="34">
        <v>22997</v>
      </c>
      <c r="B1639" s="35">
        <v>1</v>
      </c>
      <c r="C1639" s="35">
        <v>0</v>
      </c>
      <c r="D1639" s="2">
        <f t="shared" si="25"/>
        <v>1</v>
      </c>
    </row>
    <row r="1640" spans="1:4" x14ac:dyDescent="0.3">
      <c r="A1640" s="34">
        <v>23010</v>
      </c>
      <c r="B1640" s="35">
        <v>1</v>
      </c>
      <c r="C1640" s="35">
        <v>0</v>
      </c>
      <c r="D1640" s="2">
        <f t="shared" si="25"/>
        <v>1</v>
      </c>
    </row>
    <row r="1641" spans="1:4" x14ac:dyDescent="0.3">
      <c r="A1641" s="34">
        <v>23015</v>
      </c>
      <c r="B1641" s="35">
        <v>1</v>
      </c>
      <c r="C1641" s="35">
        <v>0</v>
      </c>
      <c r="D1641" s="2">
        <f t="shared" si="25"/>
        <v>1</v>
      </c>
    </row>
    <row r="1642" spans="1:4" x14ac:dyDescent="0.3">
      <c r="A1642" s="34">
        <v>23016</v>
      </c>
      <c r="B1642" s="35">
        <v>1</v>
      </c>
      <c r="C1642" s="35">
        <v>0</v>
      </c>
      <c r="D1642" s="2">
        <f t="shared" si="25"/>
        <v>1</v>
      </c>
    </row>
    <row r="1643" spans="1:4" x14ac:dyDescent="0.3">
      <c r="A1643" s="34">
        <v>23035</v>
      </c>
      <c r="B1643" s="35">
        <v>1</v>
      </c>
      <c r="C1643" s="35">
        <v>0</v>
      </c>
      <c r="D1643" s="2">
        <f t="shared" si="25"/>
        <v>1</v>
      </c>
    </row>
    <row r="1644" spans="1:4" x14ac:dyDescent="0.3">
      <c r="A1644" s="34">
        <v>23039</v>
      </c>
      <c r="B1644" s="35">
        <v>1</v>
      </c>
      <c r="C1644" s="35">
        <v>0</v>
      </c>
      <c r="D1644" s="2">
        <f t="shared" si="25"/>
        <v>1</v>
      </c>
    </row>
    <row r="1645" spans="1:4" x14ac:dyDescent="0.3">
      <c r="A1645" s="34">
        <v>23040</v>
      </c>
      <c r="B1645" s="35">
        <v>1</v>
      </c>
      <c r="C1645" s="35">
        <v>1</v>
      </c>
      <c r="D1645" s="2">
        <f t="shared" si="25"/>
        <v>2</v>
      </c>
    </row>
    <row r="1646" spans="1:4" x14ac:dyDescent="0.3">
      <c r="A1646" s="34">
        <v>23046</v>
      </c>
      <c r="B1646" s="35">
        <v>1</v>
      </c>
      <c r="C1646" s="35">
        <v>0</v>
      </c>
      <c r="D1646" s="2">
        <f t="shared" si="25"/>
        <v>1</v>
      </c>
    </row>
    <row r="1647" spans="1:4" x14ac:dyDescent="0.3">
      <c r="A1647" s="34">
        <v>23047</v>
      </c>
      <c r="B1647" s="35">
        <v>1</v>
      </c>
      <c r="C1647" s="35">
        <v>1</v>
      </c>
      <c r="D1647" s="2">
        <f t="shared" si="25"/>
        <v>2</v>
      </c>
    </row>
    <row r="1648" spans="1:4" x14ac:dyDescent="0.3">
      <c r="A1648" s="34">
        <v>23049</v>
      </c>
      <c r="B1648" s="35">
        <v>1</v>
      </c>
      <c r="C1648" s="35">
        <v>0</v>
      </c>
      <c r="D1648" s="2">
        <f t="shared" si="25"/>
        <v>1</v>
      </c>
    </row>
    <row r="1649" spans="1:4" x14ac:dyDescent="0.3">
      <c r="A1649" s="34">
        <v>23053</v>
      </c>
      <c r="B1649" s="35">
        <v>2</v>
      </c>
      <c r="C1649" s="35">
        <v>1</v>
      </c>
      <c r="D1649" s="2">
        <f t="shared" si="25"/>
        <v>3</v>
      </c>
    </row>
    <row r="1650" spans="1:4" x14ac:dyDescent="0.3">
      <c r="A1650" s="34">
        <v>23055</v>
      </c>
      <c r="B1650" s="35">
        <v>1</v>
      </c>
      <c r="C1650" s="35">
        <v>1</v>
      </c>
      <c r="D1650" s="2">
        <f t="shared" si="25"/>
        <v>2</v>
      </c>
    </row>
    <row r="1651" spans="1:4" x14ac:dyDescent="0.3">
      <c r="A1651" s="34">
        <v>23060</v>
      </c>
      <c r="B1651" s="35">
        <v>1</v>
      </c>
      <c r="C1651" s="35">
        <v>0</v>
      </c>
      <c r="D1651" s="2">
        <f t="shared" si="25"/>
        <v>1</v>
      </c>
    </row>
    <row r="1652" spans="1:4" x14ac:dyDescent="0.3">
      <c r="A1652" s="34">
        <v>23062</v>
      </c>
      <c r="B1652" s="35">
        <v>2</v>
      </c>
      <c r="C1652" s="35">
        <v>2</v>
      </c>
      <c r="D1652" s="2">
        <f t="shared" si="25"/>
        <v>4</v>
      </c>
    </row>
    <row r="1653" spans="1:4" x14ac:dyDescent="0.3">
      <c r="A1653" s="34">
        <v>23068</v>
      </c>
      <c r="B1653" s="35">
        <v>1</v>
      </c>
      <c r="C1653" s="35">
        <v>0</v>
      </c>
      <c r="D1653" s="2">
        <f t="shared" si="25"/>
        <v>1</v>
      </c>
    </row>
    <row r="1654" spans="1:4" x14ac:dyDescent="0.3">
      <c r="A1654" s="34">
        <v>23069</v>
      </c>
      <c r="B1654" s="35">
        <v>1</v>
      </c>
      <c r="C1654" s="35">
        <v>0</v>
      </c>
      <c r="D1654" s="2">
        <f t="shared" si="25"/>
        <v>1</v>
      </c>
    </row>
    <row r="1655" spans="1:4" x14ac:dyDescent="0.3">
      <c r="A1655" s="34">
        <v>23087</v>
      </c>
      <c r="B1655" s="35">
        <v>2</v>
      </c>
      <c r="C1655" s="35">
        <v>1</v>
      </c>
      <c r="D1655" s="2">
        <f t="shared" si="25"/>
        <v>3</v>
      </c>
    </row>
    <row r="1656" spans="1:4" x14ac:dyDescent="0.3">
      <c r="A1656" s="34">
        <v>23089</v>
      </c>
      <c r="B1656" s="35">
        <v>1</v>
      </c>
      <c r="C1656" s="35">
        <v>0</v>
      </c>
      <c r="D1656" s="2">
        <f t="shared" si="25"/>
        <v>1</v>
      </c>
    </row>
    <row r="1657" spans="1:4" x14ac:dyDescent="0.3">
      <c r="A1657" s="34">
        <v>23115</v>
      </c>
      <c r="B1657" s="35">
        <v>1</v>
      </c>
      <c r="C1657" s="35">
        <v>1</v>
      </c>
      <c r="D1657" s="2">
        <f t="shared" si="25"/>
        <v>2</v>
      </c>
    </row>
    <row r="1658" spans="1:4" x14ac:dyDescent="0.3">
      <c r="A1658" s="34">
        <v>23118</v>
      </c>
      <c r="B1658" s="35">
        <v>2</v>
      </c>
      <c r="C1658" s="35">
        <v>0</v>
      </c>
      <c r="D1658" s="2">
        <f t="shared" si="25"/>
        <v>2</v>
      </c>
    </row>
    <row r="1659" spans="1:4" x14ac:dyDescent="0.3">
      <c r="A1659" s="34">
        <v>23119</v>
      </c>
      <c r="B1659" s="35">
        <v>1</v>
      </c>
      <c r="C1659" s="35">
        <v>0</v>
      </c>
      <c r="D1659" s="2">
        <f t="shared" si="25"/>
        <v>1</v>
      </c>
    </row>
    <row r="1660" spans="1:4" x14ac:dyDescent="0.3">
      <c r="A1660" s="34">
        <v>23123</v>
      </c>
      <c r="B1660" s="35">
        <v>2</v>
      </c>
      <c r="C1660" s="35">
        <v>0</v>
      </c>
      <c r="D1660" s="2">
        <f t="shared" si="25"/>
        <v>2</v>
      </c>
    </row>
    <row r="1661" spans="1:4" x14ac:dyDescent="0.3">
      <c r="A1661" s="34">
        <v>23132</v>
      </c>
      <c r="B1661" s="35">
        <v>2</v>
      </c>
      <c r="C1661" s="35">
        <v>0</v>
      </c>
      <c r="D1661" s="2">
        <f t="shared" si="25"/>
        <v>2</v>
      </c>
    </row>
    <row r="1662" spans="1:4" x14ac:dyDescent="0.3">
      <c r="A1662" s="34">
        <v>23135</v>
      </c>
      <c r="B1662" s="35">
        <v>1</v>
      </c>
      <c r="C1662" s="35">
        <v>0</v>
      </c>
      <c r="D1662" s="2">
        <f t="shared" si="25"/>
        <v>1</v>
      </c>
    </row>
    <row r="1663" spans="1:4" x14ac:dyDescent="0.3">
      <c r="A1663" s="34">
        <v>23142</v>
      </c>
      <c r="B1663" s="35">
        <v>1</v>
      </c>
      <c r="C1663" s="35">
        <v>1</v>
      </c>
      <c r="D1663" s="2">
        <f t="shared" si="25"/>
        <v>2</v>
      </c>
    </row>
    <row r="1664" spans="1:4" x14ac:dyDescent="0.3">
      <c r="A1664" s="34">
        <v>23143</v>
      </c>
      <c r="B1664" s="35">
        <v>3</v>
      </c>
      <c r="C1664" s="35">
        <v>1</v>
      </c>
      <c r="D1664" s="2">
        <f t="shared" si="25"/>
        <v>4</v>
      </c>
    </row>
    <row r="1665" spans="1:4" x14ac:dyDescent="0.3">
      <c r="A1665" s="34">
        <v>23144</v>
      </c>
      <c r="B1665" s="35">
        <v>1</v>
      </c>
      <c r="C1665" s="35">
        <v>1</v>
      </c>
      <c r="D1665" s="2">
        <f t="shared" si="25"/>
        <v>2</v>
      </c>
    </row>
    <row r="1666" spans="1:4" x14ac:dyDescent="0.3">
      <c r="A1666" s="34">
        <v>23152</v>
      </c>
      <c r="B1666" s="35">
        <v>1</v>
      </c>
      <c r="C1666" s="35">
        <v>0</v>
      </c>
      <c r="D1666" s="2">
        <f t="shared" si="25"/>
        <v>1</v>
      </c>
    </row>
    <row r="1667" spans="1:4" x14ac:dyDescent="0.3">
      <c r="A1667" s="34">
        <v>23165</v>
      </c>
      <c r="B1667" s="35">
        <v>1</v>
      </c>
      <c r="C1667" s="35">
        <v>0</v>
      </c>
      <c r="D1667" s="2">
        <f t="shared" ref="D1667:D1730" si="26">B1667+C1667</f>
        <v>1</v>
      </c>
    </row>
    <row r="1668" spans="1:4" x14ac:dyDescent="0.3">
      <c r="A1668" s="34">
        <v>23336</v>
      </c>
      <c r="B1668" s="35">
        <v>1</v>
      </c>
      <c r="C1668" s="35">
        <v>0</v>
      </c>
      <c r="D1668" s="2">
        <f t="shared" si="26"/>
        <v>1</v>
      </c>
    </row>
    <row r="1669" spans="1:4" x14ac:dyDescent="0.3">
      <c r="A1669" s="34">
        <v>23339</v>
      </c>
      <c r="B1669" s="35">
        <v>1</v>
      </c>
      <c r="C1669" s="35">
        <v>1</v>
      </c>
      <c r="D1669" s="2">
        <f t="shared" si="26"/>
        <v>2</v>
      </c>
    </row>
    <row r="1670" spans="1:4" x14ac:dyDescent="0.3">
      <c r="A1670" s="34">
        <v>23354</v>
      </c>
      <c r="B1670" s="35">
        <v>1</v>
      </c>
      <c r="C1670" s="35">
        <v>0</v>
      </c>
      <c r="D1670" s="2">
        <f t="shared" si="26"/>
        <v>1</v>
      </c>
    </row>
    <row r="1671" spans="1:4" x14ac:dyDescent="0.3">
      <c r="A1671" s="34">
        <v>23360</v>
      </c>
      <c r="B1671" s="35">
        <v>1</v>
      </c>
      <c r="C1671" s="35">
        <v>0</v>
      </c>
      <c r="D1671" s="2">
        <f t="shared" si="26"/>
        <v>1</v>
      </c>
    </row>
    <row r="1672" spans="1:4" x14ac:dyDescent="0.3">
      <c r="A1672" s="34">
        <v>23362</v>
      </c>
      <c r="B1672" s="35">
        <v>2</v>
      </c>
      <c r="C1672" s="35">
        <v>2</v>
      </c>
      <c r="D1672" s="2">
        <f t="shared" si="26"/>
        <v>4</v>
      </c>
    </row>
    <row r="1673" spans="1:4" x14ac:dyDescent="0.3">
      <c r="A1673" s="34">
        <v>23363</v>
      </c>
      <c r="B1673" s="35">
        <v>1</v>
      </c>
      <c r="C1673" s="35">
        <v>0</v>
      </c>
      <c r="D1673" s="2">
        <f t="shared" si="26"/>
        <v>1</v>
      </c>
    </row>
    <row r="1674" spans="1:4" x14ac:dyDescent="0.3">
      <c r="A1674" s="34">
        <v>23365</v>
      </c>
      <c r="B1674" s="35">
        <v>1</v>
      </c>
      <c r="C1674" s="35">
        <v>1</v>
      </c>
      <c r="D1674" s="2">
        <f t="shared" si="26"/>
        <v>2</v>
      </c>
    </row>
    <row r="1675" spans="1:4" x14ac:dyDescent="0.3">
      <c r="A1675" s="34">
        <v>23373</v>
      </c>
      <c r="B1675" s="35">
        <v>1</v>
      </c>
      <c r="C1675" s="35">
        <v>0</v>
      </c>
      <c r="D1675" s="2">
        <f t="shared" si="26"/>
        <v>1</v>
      </c>
    </row>
    <row r="1676" spans="1:4" x14ac:dyDescent="0.3">
      <c r="A1676" s="34">
        <v>23381</v>
      </c>
      <c r="B1676" s="35">
        <v>1</v>
      </c>
      <c r="C1676" s="35">
        <v>0</v>
      </c>
      <c r="D1676" s="2">
        <f t="shared" si="26"/>
        <v>1</v>
      </c>
    </row>
    <row r="1677" spans="1:4" x14ac:dyDescent="0.3">
      <c r="A1677" s="34">
        <v>23385</v>
      </c>
      <c r="B1677" s="35">
        <v>1</v>
      </c>
      <c r="C1677" s="35">
        <v>0</v>
      </c>
      <c r="D1677" s="2">
        <f t="shared" si="26"/>
        <v>1</v>
      </c>
    </row>
    <row r="1678" spans="1:4" x14ac:dyDescent="0.3">
      <c r="A1678" s="34">
        <v>23387</v>
      </c>
      <c r="B1678" s="35">
        <v>1</v>
      </c>
      <c r="C1678" s="35">
        <v>0</v>
      </c>
      <c r="D1678" s="2">
        <f t="shared" si="26"/>
        <v>1</v>
      </c>
    </row>
    <row r="1679" spans="1:4" x14ac:dyDescent="0.3">
      <c r="A1679" s="34">
        <v>23395</v>
      </c>
      <c r="B1679" s="35">
        <v>1</v>
      </c>
      <c r="C1679" s="35">
        <v>0</v>
      </c>
      <c r="D1679" s="2">
        <f t="shared" si="26"/>
        <v>1</v>
      </c>
    </row>
    <row r="1680" spans="1:4" x14ac:dyDescent="0.3">
      <c r="A1680" s="34">
        <v>23406</v>
      </c>
      <c r="B1680" s="35">
        <v>1</v>
      </c>
      <c r="C1680" s="35">
        <v>0</v>
      </c>
      <c r="D1680" s="2">
        <f t="shared" si="26"/>
        <v>1</v>
      </c>
    </row>
    <row r="1681" spans="1:4" x14ac:dyDescent="0.3">
      <c r="A1681" s="34">
        <v>23408</v>
      </c>
      <c r="B1681" s="35">
        <v>1</v>
      </c>
      <c r="C1681" s="35">
        <v>0</v>
      </c>
      <c r="D1681" s="2">
        <f t="shared" si="26"/>
        <v>1</v>
      </c>
    </row>
    <row r="1682" spans="1:4" x14ac:dyDescent="0.3">
      <c r="A1682" s="34">
        <v>23409</v>
      </c>
      <c r="B1682" s="35">
        <v>1</v>
      </c>
      <c r="C1682" s="35">
        <v>0</v>
      </c>
      <c r="D1682" s="2">
        <f t="shared" si="26"/>
        <v>1</v>
      </c>
    </row>
    <row r="1683" spans="1:4" x14ac:dyDescent="0.3">
      <c r="A1683" s="34">
        <v>23413</v>
      </c>
      <c r="B1683" s="35">
        <v>1</v>
      </c>
      <c r="C1683" s="35">
        <v>0</v>
      </c>
      <c r="D1683" s="2">
        <f t="shared" si="26"/>
        <v>1</v>
      </c>
    </row>
    <row r="1684" spans="1:4" x14ac:dyDescent="0.3">
      <c r="A1684" s="34">
        <v>23428</v>
      </c>
      <c r="B1684" s="35">
        <v>1</v>
      </c>
      <c r="C1684" s="35">
        <v>0</v>
      </c>
      <c r="D1684" s="2">
        <f t="shared" si="26"/>
        <v>1</v>
      </c>
    </row>
    <row r="1685" spans="1:4" x14ac:dyDescent="0.3">
      <c r="A1685" s="34">
        <v>23429</v>
      </c>
      <c r="B1685" s="35">
        <v>2</v>
      </c>
      <c r="C1685" s="35">
        <v>1</v>
      </c>
      <c r="D1685" s="2">
        <f t="shared" si="26"/>
        <v>3</v>
      </c>
    </row>
    <row r="1686" spans="1:4" x14ac:dyDescent="0.3">
      <c r="A1686" s="34">
        <v>23431</v>
      </c>
      <c r="B1686" s="35">
        <v>2</v>
      </c>
      <c r="C1686" s="35">
        <v>1</v>
      </c>
      <c r="D1686" s="2">
        <f t="shared" si="26"/>
        <v>3</v>
      </c>
    </row>
    <row r="1687" spans="1:4" x14ac:dyDescent="0.3">
      <c r="A1687" s="34">
        <v>23433</v>
      </c>
      <c r="B1687" s="35">
        <v>2</v>
      </c>
      <c r="C1687" s="35">
        <v>2</v>
      </c>
      <c r="D1687" s="2">
        <f t="shared" si="26"/>
        <v>4</v>
      </c>
    </row>
    <row r="1688" spans="1:4" x14ac:dyDescent="0.3">
      <c r="A1688" s="34">
        <v>23448</v>
      </c>
      <c r="B1688" s="35">
        <v>1</v>
      </c>
      <c r="C1688" s="35">
        <v>0</v>
      </c>
      <c r="D1688" s="2">
        <f t="shared" si="26"/>
        <v>1</v>
      </c>
    </row>
    <row r="1689" spans="1:4" x14ac:dyDescent="0.3">
      <c r="A1689" s="34">
        <v>23457</v>
      </c>
      <c r="B1689" s="35">
        <v>1</v>
      </c>
      <c r="C1689" s="35">
        <v>0</v>
      </c>
      <c r="D1689" s="2">
        <f t="shared" si="26"/>
        <v>1</v>
      </c>
    </row>
    <row r="1690" spans="1:4" x14ac:dyDescent="0.3">
      <c r="A1690" s="34">
        <v>23459</v>
      </c>
      <c r="B1690" s="35">
        <v>1</v>
      </c>
      <c r="C1690" s="35">
        <v>0</v>
      </c>
      <c r="D1690" s="2">
        <f t="shared" si="26"/>
        <v>1</v>
      </c>
    </row>
    <row r="1691" spans="1:4" x14ac:dyDescent="0.3">
      <c r="A1691" s="34">
        <v>23460</v>
      </c>
      <c r="B1691" s="35">
        <v>1</v>
      </c>
      <c r="C1691" s="35">
        <v>1</v>
      </c>
      <c r="D1691" s="2">
        <f t="shared" si="26"/>
        <v>2</v>
      </c>
    </row>
    <row r="1692" spans="1:4" x14ac:dyDescent="0.3">
      <c r="A1692" s="34">
        <v>23461</v>
      </c>
      <c r="B1692" s="35">
        <v>1</v>
      </c>
      <c r="C1692" s="35">
        <v>1</v>
      </c>
      <c r="D1692" s="2">
        <f t="shared" si="26"/>
        <v>2</v>
      </c>
    </row>
    <row r="1693" spans="1:4" x14ac:dyDescent="0.3">
      <c r="A1693" s="34">
        <v>23468</v>
      </c>
      <c r="B1693" s="35">
        <v>1</v>
      </c>
      <c r="C1693" s="35">
        <v>0</v>
      </c>
      <c r="D1693" s="2">
        <f t="shared" si="26"/>
        <v>1</v>
      </c>
    </row>
    <row r="1694" spans="1:4" x14ac:dyDescent="0.3">
      <c r="A1694" s="34">
        <v>23470</v>
      </c>
      <c r="B1694" s="35">
        <v>1</v>
      </c>
      <c r="C1694" s="35">
        <v>0</v>
      </c>
      <c r="D1694" s="2">
        <f t="shared" si="26"/>
        <v>1</v>
      </c>
    </row>
    <row r="1695" spans="1:4" x14ac:dyDescent="0.3">
      <c r="A1695" s="34">
        <v>23471</v>
      </c>
      <c r="B1695" s="35">
        <v>1</v>
      </c>
      <c r="C1695" s="35">
        <v>0</v>
      </c>
      <c r="D1695" s="2">
        <f t="shared" si="26"/>
        <v>1</v>
      </c>
    </row>
    <row r="1696" spans="1:4" x14ac:dyDescent="0.3">
      <c r="A1696" s="34">
        <v>23472</v>
      </c>
      <c r="B1696" s="35">
        <v>1</v>
      </c>
      <c r="C1696" s="35">
        <v>0</v>
      </c>
      <c r="D1696" s="2">
        <f t="shared" si="26"/>
        <v>1</v>
      </c>
    </row>
    <row r="1697" spans="1:4" x14ac:dyDescent="0.3">
      <c r="A1697" s="34">
        <v>23473</v>
      </c>
      <c r="B1697" s="35">
        <v>1</v>
      </c>
      <c r="C1697" s="35">
        <v>0</v>
      </c>
      <c r="D1697" s="2">
        <f t="shared" si="26"/>
        <v>1</v>
      </c>
    </row>
    <row r="1698" spans="1:4" x14ac:dyDescent="0.3">
      <c r="A1698" s="34">
        <v>23475</v>
      </c>
      <c r="B1698" s="35">
        <v>1</v>
      </c>
      <c r="C1698" s="35">
        <v>0</v>
      </c>
      <c r="D1698" s="2">
        <f t="shared" si="26"/>
        <v>1</v>
      </c>
    </row>
    <row r="1699" spans="1:4" x14ac:dyDescent="0.3">
      <c r="A1699" s="34">
        <v>23476</v>
      </c>
      <c r="B1699" s="35">
        <v>1</v>
      </c>
      <c r="C1699" s="35">
        <v>0</v>
      </c>
      <c r="D1699" s="2">
        <f t="shared" si="26"/>
        <v>1</v>
      </c>
    </row>
    <row r="1700" spans="1:4" x14ac:dyDescent="0.3">
      <c r="A1700" s="34">
        <v>23477</v>
      </c>
      <c r="B1700" s="35">
        <v>1</v>
      </c>
      <c r="C1700" s="35">
        <v>0</v>
      </c>
      <c r="D1700" s="2">
        <f t="shared" si="26"/>
        <v>1</v>
      </c>
    </row>
    <row r="1701" spans="1:4" x14ac:dyDescent="0.3">
      <c r="A1701" s="34">
        <v>23480</v>
      </c>
      <c r="B1701" s="35">
        <v>1</v>
      </c>
      <c r="C1701" s="35">
        <v>0</v>
      </c>
      <c r="D1701" s="2">
        <f t="shared" si="26"/>
        <v>1</v>
      </c>
    </row>
    <row r="1702" spans="1:4" x14ac:dyDescent="0.3">
      <c r="A1702" s="34">
        <v>23483</v>
      </c>
      <c r="B1702" s="35">
        <v>1</v>
      </c>
      <c r="C1702" s="35">
        <v>0</v>
      </c>
      <c r="D1702" s="2">
        <f t="shared" si="26"/>
        <v>1</v>
      </c>
    </row>
    <row r="1703" spans="1:4" x14ac:dyDescent="0.3">
      <c r="A1703" s="34">
        <v>23492</v>
      </c>
      <c r="B1703" s="35">
        <v>1</v>
      </c>
      <c r="C1703" s="35">
        <v>0</v>
      </c>
      <c r="D1703" s="2">
        <f t="shared" si="26"/>
        <v>1</v>
      </c>
    </row>
    <row r="1704" spans="1:4" x14ac:dyDescent="0.3">
      <c r="A1704" s="34">
        <v>23506</v>
      </c>
      <c r="B1704" s="35">
        <v>1</v>
      </c>
      <c r="C1704" s="35">
        <v>0</v>
      </c>
      <c r="D1704" s="2">
        <f t="shared" si="26"/>
        <v>1</v>
      </c>
    </row>
    <row r="1705" spans="1:4" x14ac:dyDescent="0.3">
      <c r="A1705" s="34">
        <v>23511</v>
      </c>
      <c r="B1705" s="35">
        <v>1</v>
      </c>
      <c r="C1705" s="35">
        <v>0</v>
      </c>
      <c r="D1705" s="2">
        <f t="shared" si="26"/>
        <v>1</v>
      </c>
    </row>
    <row r="1706" spans="1:4" x14ac:dyDescent="0.3">
      <c r="A1706" s="34">
        <v>23516</v>
      </c>
      <c r="B1706" s="35">
        <v>2</v>
      </c>
      <c r="C1706" s="35">
        <v>0</v>
      </c>
      <c r="D1706" s="2">
        <f t="shared" si="26"/>
        <v>2</v>
      </c>
    </row>
    <row r="1707" spans="1:4" x14ac:dyDescent="0.3">
      <c r="A1707" s="34">
        <v>23517</v>
      </c>
      <c r="B1707" s="35">
        <v>1</v>
      </c>
      <c r="C1707" s="35">
        <v>0</v>
      </c>
      <c r="D1707" s="2">
        <f t="shared" si="26"/>
        <v>1</v>
      </c>
    </row>
    <row r="1708" spans="1:4" x14ac:dyDescent="0.3">
      <c r="A1708" s="34">
        <v>23518</v>
      </c>
      <c r="B1708" s="35">
        <v>1</v>
      </c>
      <c r="C1708" s="35">
        <v>0</v>
      </c>
      <c r="D1708" s="2">
        <f t="shared" si="26"/>
        <v>1</v>
      </c>
    </row>
    <row r="1709" spans="1:4" x14ac:dyDescent="0.3">
      <c r="A1709" s="34">
        <v>23519</v>
      </c>
      <c r="B1709" s="35">
        <v>1</v>
      </c>
      <c r="C1709" s="35">
        <v>0</v>
      </c>
      <c r="D1709" s="2">
        <f t="shared" si="26"/>
        <v>1</v>
      </c>
    </row>
    <row r="1710" spans="1:4" x14ac:dyDescent="0.3">
      <c r="A1710" s="34">
        <v>23523</v>
      </c>
      <c r="B1710" s="35">
        <v>1</v>
      </c>
      <c r="C1710" s="35">
        <v>1</v>
      </c>
      <c r="D1710" s="2">
        <f t="shared" si="26"/>
        <v>2</v>
      </c>
    </row>
    <row r="1711" spans="1:4" x14ac:dyDescent="0.3">
      <c r="A1711" s="34">
        <v>23524</v>
      </c>
      <c r="B1711" s="35">
        <v>1</v>
      </c>
      <c r="C1711" s="35">
        <v>0</v>
      </c>
      <c r="D1711" s="2">
        <f t="shared" si="26"/>
        <v>1</v>
      </c>
    </row>
    <row r="1712" spans="1:4" x14ac:dyDescent="0.3">
      <c r="A1712" s="34">
        <v>23534</v>
      </c>
      <c r="B1712" s="35">
        <v>3</v>
      </c>
      <c r="C1712" s="35">
        <v>2</v>
      </c>
      <c r="D1712" s="2">
        <f t="shared" si="26"/>
        <v>5</v>
      </c>
    </row>
    <row r="1713" spans="1:4" x14ac:dyDescent="0.3">
      <c r="A1713" s="34">
        <v>23544</v>
      </c>
      <c r="B1713" s="35">
        <v>1</v>
      </c>
      <c r="C1713" s="35">
        <v>1</v>
      </c>
      <c r="D1713" s="2">
        <f t="shared" si="26"/>
        <v>2</v>
      </c>
    </row>
    <row r="1714" spans="1:4" x14ac:dyDescent="0.3">
      <c r="A1714" s="34">
        <v>23547</v>
      </c>
      <c r="B1714" s="35">
        <v>1</v>
      </c>
      <c r="C1714" s="35">
        <v>0</v>
      </c>
      <c r="D1714" s="2">
        <f t="shared" si="26"/>
        <v>1</v>
      </c>
    </row>
    <row r="1715" spans="1:4" x14ac:dyDescent="0.3">
      <c r="A1715" s="34">
        <v>23556</v>
      </c>
      <c r="B1715" s="35">
        <v>1</v>
      </c>
      <c r="C1715" s="35">
        <v>0</v>
      </c>
      <c r="D1715" s="2">
        <f t="shared" si="26"/>
        <v>1</v>
      </c>
    </row>
    <row r="1716" spans="1:4" x14ac:dyDescent="0.3">
      <c r="A1716" s="34">
        <v>23559</v>
      </c>
      <c r="B1716" s="35">
        <v>1</v>
      </c>
      <c r="C1716" s="35">
        <v>0</v>
      </c>
      <c r="D1716" s="2">
        <f t="shared" si="26"/>
        <v>1</v>
      </c>
    </row>
    <row r="1717" spans="1:4" x14ac:dyDescent="0.3">
      <c r="A1717" s="34">
        <v>23561</v>
      </c>
      <c r="B1717" s="35">
        <v>1</v>
      </c>
      <c r="C1717" s="35">
        <v>1</v>
      </c>
      <c r="D1717" s="2">
        <f t="shared" si="26"/>
        <v>2</v>
      </c>
    </row>
    <row r="1718" spans="1:4" x14ac:dyDescent="0.3">
      <c r="A1718" s="34">
        <v>23562</v>
      </c>
      <c r="B1718" s="35">
        <v>1</v>
      </c>
      <c r="C1718" s="35">
        <v>0</v>
      </c>
      <c r="D1718" s="2">
        <f t="shared" si="26"/>
        <v>1</v>
      </c>
    </row>
    <row r="1719" spans="1:4" x14ac:dyDescent="0.3">
      <c r="A1719" s="34">
        <v>23585</v>
      </c>
      <c r="B1719" s="35">
        <v>1</v>
      </c>
      <c r="C1719" s="35">
        <v>0</v>
      </c>
      <c r="D1719" s="2">
        <f t="shared" si="26"/>
        <v>1</v>
      </c>
    </row>
    <row r="1720" spans="1:4" x14ac:dyDescent="0.3">
      <c r="A1720" s="34">
        <v>23586</v>
      </c>
      <c r="B1720" s="35">
        <v>1</v>
      </c>
      <c r="C1720" s="35">
        <v>0</v>
      </c>
      <c r="D1720" s="2">
        <f t="shared" si="26"/>
        <v>1</v>
      </c>
    </row>
    <row r="1721" spans="1:4" x14ac:dyDescent="0.3">
      <c r="A1721" s="34">
        <v>23599</v>
      </c>
      <c r="B1721" s="35">
        <v>2</v>
      </c>
      <c r="C1721" s="35">
        <v>1</v>
      </c>
      <c r="D1721" s="2">
        <f t="shared" si="26"/>
        <v>3</v>
      </c>
    </row>
    <row r="1722" spans="1:4" x14ac:dyDescent="0.3">
      <c r="A1722" s="34">
        <v>23606</v>
      </c>
      <c r="B1722" s="35">
        <v>1</v>
      </c>
      <c r="C1722" s="35">
        <v>1</v>
      </c>
      <c r="D1722" s="2">
        <f t="shared" si="26"/>
        <v>2</v>
      </c>
    </row>
    <row r="1723" spans="1:4" x14ac:dyDescent="0.3">
      <c r="A1723" s="34">
        <v>23617</v>
      </c>
      <c r="B1723" s="35">
        <v>2</v>
      </c>
      <c r="C1723" s="35">
        <v>0</v>
      </c>
      <c r="D1723" s="2">
        <f t="shared" si="26"/>
        <v>2</v>
      </c>
    </row>
    <row r="1724" spans="1:4" x14ac:dyDescent="0.3">
      <c r="A1724" s="34">
        <v>23618</v>
      </c>
      <c r="B1724" s="35">
        <v>1</v>
      </c>
      <c r="C1724" s="35">
        <v>0</v>
      </c>
      <c r="D1724" s="2">
        <f t="shared" si="26"/>
        <v>1</v>
      </c>
    </row>
    <row r="1725" spans="1:4" x14ac:dyDescent="0.3">
      <c r="A1725" s="34">
        <v>23622</v>
      </c>
      <c r="B1725" s="35">
        <v>2</v>
      </c>
      <c r="C1725" s="35">
        <v>1</v>
      </c>
      <c r="D1725" s="2">
        <f t="shared" si="26"/>
        <v>3</v>
      </c>
    </row>
    <row r="1726" spans="1:4" x14ac:dyDescent="0.3">
      <c r="A1726" s="34">
        <v>23624</v>
      </c>
      <c r="B1726" s="35">
        <v>1</v>
      </c>
      <c r="C1726" s="35">
        <v>0</v>
      </c>
      <c r="D1726" s="2">
        <f t="shared" si="26"/>
        <v>1</v>
      </c>
    </row>
    <row r="1727" spans="1:4" x14ac:dyDescent="0.3">
      <c r="A1727" s="34">
        <v>23625</v>
      </c>
      <c r="B1727" s="35">
        <v>1</v>
      </c>
      <c r="C1727" s="35">
        <v>0</v>
      </c>
      <c r="D1727" s="2">
        <f t="shared" si="26"/>
        <v>1</v>
      </c>
    </row>
    <row r="1728" spans="1:4" x14ac:dyDescent="0.3">
      <c r="A1728" s="34">
        <v>23626</v>
      </c>
      <c r="B1728" s="35">
        <v>1</v>
      </c>
      <c r="C1728" s="35">
        <v>0</v>
      </c>
      <c r="D1728" s="2">
        <f t="shared" si="26"/>
        <v>1</v>
      </c>
    </row>
    <row r="1729" spans="1:4" x14ac:dyDescent="0.3">
      <c r="A1729" s="34">
        <v>23628</v>
      </c>
      <c r="B1729" s="35">
        <v>1</v>
      </c>
      <c r="C1729" s="35">
        <v>0</v>
      </c>
      <c r="D1729" s="2">
        <f t="shared" si="26"/>
        <v>1</v>
      </c>
    </row>
    <row r="1730" spans="1:4" x14ac:dyDescent="0.3">
      <c r="A1730" s="34">
        <v>23632</v>
      </c>
      <c r="B1730" s="35">
        <v>1</v>
      </c>
      <c r="C1730" s="35">
        <v>0</v>
      </c>
      <c r="D1730" s="2">
        <f t="shared" si="26"/>
        <v>1</v>
      </c>
    </row>
    <row r="1731" spans="1:4" x14ac:dyDescent="0.3">
      <c r="A1731" s="34">
        <v>23637</v>
      </c>
      <c r="B1731" s="35">
        <v>2</v>
      </c>
      <c r="C1731" s="35">
        <v>1</v>
      </c>
      <c r="D1731" s="2">
        <f t="shared" ref="D1731:D1794" si="27">B1731+C1731</f>
        <v>3</v>
      </c>
    </row>
    <row r="1732" spans="1:4" x14ac:dyDescent="0.3">
      <c r="A1732" s="34">
        <v>23640</v>
      </c>
      <c r="B1732" s="35">
        <v>1</v>
      </c>
      <c r="C1732" s="35">
        <v>0</v>
      </c>
      <c r="D1732" s="2">
        <f t="shared" si="27"/>
        <v>1</v>
      </c>
    </row>
    <row r="1733" spans="1:4" x14ac:dyDescent="0.3">
      <c r="A1733" s="34">
        <v>23641</v>
      </c>
      <c r="B1733" s="35">
        <v>1</v>
      </c>
      <c r="C1733" s="35">
        <v>0</v>
      </c>
      <c r="D1733" s="2">
        <f t="shared" si="27"/>
        <v>1</v>
      </c>
    </row>
    <row r="1734" spans="1:4" x14ac:dyDescent="0.3">
      <c r="A1734" s="34">
        <v>23642</v>
      </c>
      <c r="B1734" s="35">
        <v>1</v>
      </c>
      <c r="C1734" s="35">
        <v>0</v>
      </c>
      <c r="D1734" s="2">
        <f t="shared" si="27"/>
        <v>1</v>
      </c>
    </row>
    <row r="1735" spans="1:4" x14ac:dyDescent="0.3">
      <c r="A1735" s="34">
        <v>23644</v>
      </c>
      <c r="B1735" s="35">
        <v>1</v>
      </c>
      <c r="C1735" s="35">
        <v>0</v>
      </c>
      <c r="D1735" s="2">
        <f t="shared" si="27"/>
        <v>1</v>
      </c>
    </row>
    <row r="1736" spans="1:4" x14ac:dyDescent="0.3">
      <c r="A1736" s="34">
        <v>23646</v>
      </c>
      <c r="B1736" s="35">
        <v>1</v>
      </c>
      <c r="C1736" s="35">
        <v>0</v>
      </c>
      <c r="D1736" s="2">
        <f t="shared" si="27"/>
        <v>1</v>
      </c>
    </row>
    <row r="1737" spans="1:4" x14ac:dyDescent="0.3">
      <c r="A1737" s="34">
        <v>23658</v>
      </c>
      <c r="B1737" s="35">
        <v>1</v>
      </c>
      <c r="C1737" s="35">
        <v>0</v>
      </c>
      <c r="D1737" s="2">
        <f t="shared" si="27"/>
        <v>1</v>
      </c>
    </row>
    <row r="1738" spans="1:4" x14ac:dyDescent="0.3">
      <c r="A1738" s="34">
        <v>23661</v>
      </c>
      <c r="B1738" s="35">
        <v>2</v>
      </c>
      <c r="C1738" s="35">
        <v>1</v>
      </c>
      <c r="D1738" s="2">
        <f t="shared" si="27"/>
        <v>3</v>
      </c>
    </row>
    <row r="1739" spans="1:4" x14ac:dyDescent="0.3">
      <c r="A1739" s="34">
        <v>23663</v>
      </c>
      <c r="B1739" s="35">
        <v>2</v>
      </c>
      <c r="C1739" s="35">
        <v>0</v>
      </c>
      <c r="D1739" s="2">
        <f t="shared" si="27"/>
        <v>2</v>
      </c>
    </row>
    <row r="1740" spans="1:4" x14ac:dyDescent="0.3">
      <c r="A1740" s="34">
        <v>23668</v>
      </c>
      <c r="B1740" s="35">
        <v>1</v>
      </c>
      <c r="C1740" s="35">
        <v>1</v>
      </c>
      <c r="D1740" s="2">
        <f t="shared" si="27"/>
        <v>2</v>
      </c>
    </row>
    <row r="1741" spans="1:4" x14ac:dyDescent="0.3">
      <c r="A1741" s="34">
        <v>23685</v>
      </c>
      <c r="B1741" s="35">
        <v>1</v>
      </c>
      <c r="C1741" s="35">
        <v>0</v>
      </c>
      <c r="D1741" s="2">
        <f t="shared" si="27"/>
        <v>1</v>
      </c>
    </row>
    <row r="1742" spans="1:4" x14ac:dyDescent="0.3">
      <c r="A1742" s="34">
        <v>23694</v>
      </c>
      <c r="B1742" s="35">
        <v>1</v>
      </c>
      <c r="C1742" s="35">
        <v>1</v>
      </c>
      <c r="D1742" s="2">
        <f t="shared" si="27"/>
        <v>2</v>
      </c>
    </row>
    <row r="1743" spans="1:4" x14ac:dyDescent="0.3">
      <c r="A1743" s="34">
        <v>23698</v>
      </c>
      <c r="B1743" s="35">
        <v>3</v>
      </c>
      <c r="C1743" s="35">
        <v>0</v>
      </c>
      <c r="D1743" s="2">
        <f t="shared" si="27"/>
        <v>3</v>
      </c>
    </row>
    <row r="1744" spans="1:4" x14ac:dyDescent="0.3">
      <c r="A1744" s="34">
        <v>23708</v>
      </c>
      <c r="B1744" s="35">
        <v>1</v>
      </c>
      <c r="C1744" s="35">
        <v>1</v>
      </c>
      <c r="D1744" s="2">
        <f t="shared" si="27"/>
        <v>2</v>
      </c>
    </row>
    <row r="1745" spans="1:4" x14ac:dyDescent="0.3">
      <c r="A1745" s="34">
        <v>23754</v>
      </c>
      <c r="B1745" s="35">
        <v>1</v>
      </c>
      <c r="C1745" s="35">
        <v>1</v>
      </c>
      <c r="D1745" s="2">
        <f t="shared" si="27"/>
        <v>2</v>
      </c>
    </row>
    <row r="1746" spans="1:4" x14ac:dyDescent="0.3">
      <c r="A1746" s="34">
        <v>23760</v>
      </c>
      <c r="B1746" s="35">
        <v>1</v>
      </c>
      <c r="C1746" s="35">
        <v>0</v>
      </c>
      <c r="D1746" s="2">
        <f t="shared" si="27"/>
        <v>1</v>
      </c>
    </row>
    <row r="1747" spans="1:4" x14ac:dyDescent="0.3">
      <c r="A1747" s="34">
        <v>23775</v>
      </c>
      <c r="B1747" s="35">
        <v>2</v>
      </c>
      <c r="C1747" s="35">
        <v>2</v>
      </c>
      <c r="D1747" s="2">
        <f t="shared" si="27"/>
        <v>4</v>
      </c>
    </row>
    <row r="1748" spans="1:4" x14ac:dyDescent="0.3">
      <c r="A1748" s="34">
        <v>23781</v>
      </c>
      <c r="B1748" s="35">
        <v>1</v>
      </c>
      <c r="C1748" s="35">
        <v>0</v>
      </c>
      <c r="D1748" s="2">
        <f t="shared" si="27"/>
        <v>1</v>
      </c>
    </row>
    <row r="1749" spans="1:4" x14ac:dyDescent="0.3">
      <c r="A1749" s="34">
        <v>23788</v>
      </c>
      <c r="B1749" s="35">
        <v>2</v>
      </c>
      <c r="C1749" s="35">
        <v>1</v>
      </c>
      <c r="D1749" s="2">
        <f t="shared" si="27"/>
        <v>3</v>
      </c>
    </row>
    <row r="1750" spans="1:4" x14ac:dyDescent="0.3">
      <c r="A1750" s="34">
        <v>23789</v>
      </c>
      <c r="B1750" s="35">
        <v>2</v>
      </c>
      <c r="C1750" s="35">
        <v>0</v>
      </c>
      <c r="D1750" s="2">
        <f t="shared" si="27"/>
        <v>2</v>
      </c>
    </row>
    <row r="1751" spans="1:4" x14ac:dyDescent="0.3">
      <c r="A1751" s="34">
        <v>23808</v>
      </c>
      <c r="B1751" s="35">
        <v>1</v>
      </c>
      <c r="C1751" s="35">
        <v>1</v>
      </c>
      <c r="D1751" s="2">
        <f t="shared" si="27"/>
        <v>2</v>
      </c>
    </row>
    <row r="1752" spans="1:4" x14ac:dyDescent="0.3">
      <c r="A1752" s="34">
        <v>23813</v>
      </c>
      <c r="B1752" s="35">
        <v>1</v>
      </c>
      <c r="C1752" s="35">
        <v>0</v>
      </c>
      <c r="D1752" s="2">
        <f t="shared" si="27"/>
        <v>1</v>
      </c>
    </row>
    <row r="1753" spans="1:4" x14ac:dyDescent="0.3">
      <c r="A1753" s="34">
        <v>23814</v>
      </c>
      <c r="B1753" s="35">
        <v>1</v>
      </c>
      <c r="C1753" s="35">
        <v>0</v>
      </c>
      <c r="D1753" s="2">
        <f t="shared" si="27"/>
        <v>1</v>
      </c>
    </row>
    <row r="1754" spans="1:4" x14ac:dyDescent="0.3">
      <c r="A1754" s="34">
        <v>23817</v>
      </c>
      <c r="B1754" s="35">
        <v>2</v>
      </c>
      <c r="C1754" s="35">
        <v>0</v>
      </c>
      <c r="D1754" s="2">
        <f t="shared" si="27"/>
        <v>2</v>
      </c>
    </row>
    <row r="1755" spans="1:4" x14ac:dyDescent="0.3">
      <c r="A1755" s="34">
        <v>23819</v>
      </c>
      <c r="B1755" s="35">
        <v>1</v>
      </c>
      <c r="C1755" s="35">
        <v>1</v>
      </c>
      <c r="D1755" s="2">
        <f t="shared" si="27"/>
        <v>2</v>
      </c>
    </row>
    <row r="1756" spans="1:4" x14ac:dyDescent="0.3">
      <c r="A1756" s="34">
        <v>23830</v>
      </c>
      <c r="B1756" s="35">
        <v>1</v>
      </c>
      <c r="C1756" s="35">
        <v>0</v>
      </c>
      <c r="D1756" s="2">
        <f t="shared" si="27"/>
        <v>1</v>
      </c>
    </row>
    <row r="1757" spans="1:4" x14ac:dyDescent="0.3">
      <c r="A1757" s="34">
        <v>23836</v>
      </c>
      <c r="B1757" s="35">
        <v>1</v>
      </c>
      <c r="C1757" s="35">
        <v>1</v>
      </c>
      <c r="D1757" s="2">
        <f t="shared" si="27"/>
        <v>2</v>
      </c>
    </row>
    <row r="1758" spans="1:4" x14ac:dyDescent="0.3">
      <c r="A1758" s="34">
        <v>23840</v>
      </c>
      <c r="B1758" s="35">
        <v>1</v>
      </c>
      <c r="C1758" s="35">
        <v>0</v>
      </c>
      <c r="D1758" s="2">
        <f t="shared" si="27"/>
        <v>1</v>
      </c>
    </row>
    <row r="1759" spans="1:4" x14ac:dyDescent="0.3">
      <c r="A1759" s="34">
        <v>23843</v>
      </c>
      <c r="B1759" s="35">
        <v>1</v>
      </c>
      <c r="C1759" s="35">
        <v>0</v>
      </c>
      <c r="D1759" s="2">
        <f t="shared" si="27"/>
        <v>1</v>
      </c>
    </row>
    <row r="1760" spans="1:4" x14ac:dyDescent="0.3">
      <c r="A1760" s="34">
        <v>23844</v>
      </c>
      <c r="B1760" s="35">
        <v>1</v>
      </c>
      <c r="C1760" s="35">
        <v>0</v>
      </c>
      <c r="D1760" s="2">
        <f t="shared" si="27"/>
        <v>1</v>
      </c>
    </row>
    <row r="1761" spans="1:4" x14ac:dyDescent="0.3">
      <c r="A1761" s="34">
        <v>23847</v>
      </c>
      <c r="B1761" s="35">
        <v>1</v>
      </c>
      <c r="C1761" s="35">
        <v>0</v>
      </c>
      <c r="D1761" s="2">
        <f t="shared" si="27"/>
        <v>1</v>
      </c>
    </row>
    <row r="1762" spans="1:4" x14ac:dyDescent="0.3">
      <c r="A1762" s="34">
        <v>23855</v>
      </c>
      <c r="B1762" s="35">
        <v>1</v>
      </c>
      <c r="C1762" s="35">
        <v>0</v>
      </c>
      <c r="D1762" s="2">
        <f t="shared" si="27"/>
        <v>1</v>
      </c>
    </row>
    <row r="1763" spans="1:4" x14ac:dyDescent="0.3">
      <c r="A1763" s="34">
        <v>23858</v>
      </c>
      <c r="B1763" s="35">
        <v>2</v>
      </c>
      <c r="C1763" s="35">
        <v>1</v>
      </c>
      <c r="D1763" s="2">
        <f t="shared" si="27"/>
        <v>3</v>
      </c>
    </row>
    <row r="1764" spans="1:4" x14ac:dyDescent="0.3">
      <c r="A1764" s="34">
        <v>23860</v>
      </c>
      <c r="B1764" s="35">
        <v>1</v>
      </c>
      <c r="C1764" s="35">
        <v>0</v>
      </c>
      <c r="D1764" s="2">
        <f t="shared" si="27"/>
        <v>1</v>
      </c>
    </row>
    <row r="1765" spans="1:4" x14ac:dyDescent="0.3">
      <c r="A1765" s="34">
        <v>23864</v>
      </c>
      <c r="B1765" s="35">
        <v>1</v>
      </c>
      <c r="C1765" s="35">
        <v>0</v>
      </c>
      <c r="D1765" s="2">
        <f t="shared" si="27"/>
        <v>1</v>
      </c>
    </row>
    <row r="1766" spans="1:4" x14ac:dyDescent="0.3">
      <c r="A1766" s="34">
        <v>23865</v>
      </c>
      <c r="B1766" s="35">
        <v>1</v>
      </c>
      <c r="C1766" s="35">
        <v>1</v>
      </c>
      <c r="D1766" s="2">
        <f t="shared" si="27"/>
        <v>2</v>
      </c>
    </row>
    <row r="1767" spans="1:4" x14ac:dyDescent="0.3">
      <c r="A1767" s="34">
        <v>23867</v>
      </c>
      <c r="B1767" s="35">
        <v>1</v>
      </c>
      <c r="C1767" s="35">
        <v>1</v>
      </c>
      <c r="D1767" s="2">
        <f t="shared" si="27"/>
        <v>2</v>
      </c>
    </row>
    <row r="1768" spans="1:4" x14ac:dyDescent="0.3">
      <c r="A1768" s="34">
        <v>23869</v>
      </c>
      <c r="B1768" s="35">
        <v>2</v>
      </c>
      <c r="C1768" s="35">
        <v>1</v>
      </c>
      <c r="D1768" s="2">
        <f t="shared" si="27"/>
        <v>3</v>
      </c>
    </row>
    <row r="1769" spans="1:4" x14ac:dyDescent="0.3">
      <c r="A1769" s="34">
        <v>23879</v>
      </c>
      <c r="B1769" s="35">
        <v>1</v>
      </c>
      <c r="C1769" s="35">
        <v>0</v>
      </c>
      <c r="D1769" s="2">
        <f t="shared" si="27"/>
        <v>1</v>
      </c>
    </row>
    <row r="1770" spans="1:4" x14ac:dyDescent="0.3">
      <c r="A1770" s="34">
        <v>23881</v>
      </c>
      <c r="B1770" s="35">
        <v>1</v>
      </c>
      <c r="C1770" s="35">
        <v>0</v>
      </c>
      <c r="D1770" s="2">
        <f t="shared" si="27"/>
        <v>1</v>
      </c>
    </row>
    <row r="1771" spans="1:4" x14ac:dyDescent="0.3">
      <c r="A1771" s="34">
        <v>23883</v>
      </c>
      <c r="B1771" s="35">
        <v>1</v>
      </c>
      <c r="C1771" s="35">
        <v>0</v>
      </c>
      <c r="D1771" s="2">
        <f t="shared" si="27"/>
        <v>1</v>
      </c>
    </row>
    <row r="1772" spans="1:4" x14ac:dyDescent="0.3">
      <c r="A1772" s="34">
        <v>23894</v>
      </c>
      <c r="B1772" s="35">
        <v>1</v>
      </c>
      <c r="C1772" s="35">
        <v>0</v>
      </c>
      <c r="D1772" s="2">
        <f t="shared" si="27"/>
        <v>1</v>
      </c>
    </row>
    <row r="1773" spans="1:4" x14ac:dyDescent="0.3">
      <c r="A1773" s="34">
        <v>23896</v>
      </c>
      <c r="B1773" s="35">
        <v>1</v>
      </c>
      <c r="C1773" s="35">
        <v>0</v>
      </c>
      <c r="D1773" s="2">
        <f t="shared" si="27"/>
        <v>1</v>
      </c>
    </row>
    <row r="1774" spans="1:4" x14ac:dyDescent="0.3">
      <c r="A1774" s="34">
        <v>23906</v>
      </c>
      <c r="B1774" s="35">
        <v>1</v>
      </c>
      <c r="C1774" s="35">
        <v>1</v>
      </c>
      <c r="D1774" s="2">
        <f t="shared" si="27"/>
        <v>2</v>
      </c>
    </row>
    <row r="1775" spans="1:4" x14ac:dyDescent="0.3">
      <c r="A1775" s="34">
        <v>23912</v>
      </c>
      <c r="B1775" s="35">
        <v>1</v>
      </c>
      <c r="C1775" s="35">
        <v>0</v>
      </c>
      <c r="D1775" s="2">
        <f t="shared" si="27"/>
        <v>1</v>
      </c>
    </row>
    <row r="1776" spans="1:4" x14ac:dyDescent="0.3">
      <c r="A1776" s="34">
        <v>23914</v>
      </c>
      <c r="B1776" s="35">
        <v>1</v>
      </c>
      <c r="C1776" s="35">
        <v>0</v>
      </c>
      <c r="D1776" s="2">
        <f t="shared" si="27"/>
        <v>1</v>
      </c>
    </row>
    <row r="1777" spans="1:4" x14ac:dyDescent="0.3">
      <c r="A1777" s="34">
        <v>23923</v>
      </c>
      <c r="B1777" s="35">
        <v>1</v>
      </c>
      <c r="C1777" s="35">
        <v>0</v>
      </c>
      <c r="D1777" s="2">
        <f t="shared" si="27"/>
        <v>1</v>
      </c>
    </row>
    <row r="1778" spans="1:4" x14ac:dyDescent="0.3">
      <c r="A1778" s="34">
        <v>23928</v>
      </c>
      <c r="B1778" s="35">
        <v>1</v>
      </c>
      <c r="C1778" s="35">
        <v>0</v>
      </c>
      <c r="D1778" s="2">
        <f t="shared" si="27"/>
        <v>1</v>
      </c>
    </row>
    <row r="1779" spans="1:4" x14ac:dyDescent="0.3">
      <c r="A1779" s="34">
        <v>23929</v>
      </c>
      <c r="B1779" s="35">
        <v>1</v>
      </c>
      <c r="C1779" s="35">
        <v>0</v>
      </c>
      <c r="D1779" s="2">
        <f t="shared" si="27"/>
        <v>1</v>
      </c>
    </row>
    <row r="1780" spans="1:4" x14ac:dyDescent="0.3">
      <c r="A1780" s="34">
        <v>23930</v>
      </c>
      <c r="B1780" s="35">
        <v>1</v>
      </c>
      <c r="C1780" s="35">
        <v>0</v>
      </c>
      <c r="D1780" s="2">
        <f t="shared" si="27"/>
        <v>1</v>
      </c>
    </row>
    <row r="1781" spans="1:4" x14ac:dyDescent="0.3">
      <c r="A1781" s="34">
        <v>23934</v>
      </c>
      <c r="B1781" s="35">
        <v>1</v>
      </c>
      <c r="C1781" s="35">
        <v>0</v>
      </c>
      <c r="D1781" s="2">
        <f t="shared" si="27"/>
        <v>1</v>
      </c>
    </row>
    <row r="1782" spans="1:4" x14ac:dyDescent="0.3">
      <c r="A1782" s="34">
        <v>23937</v>
      </c>
      <c r="B1782" s="35">
        <v>1</v>
      </c>
      <c r="C1782" s="35">
        <v>1</v>
      </c>
      <c r="D1782" s="2">
        <f t="shared" si="27"/>
        <v>2</v>
      </c>
    </row>
    <row r="1783" spans="1:4" x14ac:dyDescent="0.3">
      <c r="A1783" s="34">
        <v>23939</v>
      </c>
      <c r="B1783" s="35">
        <v>1</v>
      </c>
      <c r="C1783" s="35">
        <v>0</v>
      </c>
      <c r="D1783" s="2">
        <f t="shared" si="27"/>
        <v>1</v>
      </c>
    </row>
    <row r="1784" spans="1:4" x14ac:dyDescent="0.3">
      <c r="A1784" s="34">
        <v>23942</v>
      </c>
      <c r="B1784" s="35">
        <v>1</v>
      </c>
      <c r="C1784" s="35">
        <v>0</v>
      </c>
      <c r="D1784" s="2">
        <f t="shared" si="27"/>
        <v>1</v>
      </c>
    </row>
    <row r="1785" spans="1:4" x14ac:dyDescent="0.3">
      <c r="A1785" s="34">
        <v>23944</v>
      </c>
      <c r="B1785" s="35">
        <v>1</v>
      </c>
      <c r="C1785" s="35">
        <v>0</v>
      </c>
      <c r="D1785" s="2">
        <f t="shared" si="27"/>
        <v>1</v>
      </c>
    </row>
    <row r="1786" spans="1:4" x14ac:dyDescent="0.3">
      <c r="A1786" s="34">
        <v>23945</v>
      </c>
      <c r="B1786" s="35">
        <v>1</v>
      </c>
      <c r="C1786" s="35">
        <v>0</v>
      </c>
      <c r="D1786" s="2">
        <f t="shared" si="27"/>
        <v>1</v>
      </c>
    </row>
    <row r="1787" spans="1:4" x14ac:dyDescent="0.3">
      <c r="A1787" s="34">
        <v>23948</v>
      </c>
      <c r="B1787" s="35">
        <v>1</v>
      </c>
      <c r="C1787" s="35">
        <v>1</v>
      </c>
      <c r="D1787" s="2">
        <f t="shared" si="27"/>
        <v>2</v>
      </c>
    </row>
    <row r="1788" spans="1:4" x14ac:dyDescent="0.3">
      <c r="A1788" s="34">
        <v>23951</v>
      </c>
      <c r="B1788" s="35">
        <v>3</v>
      </c>
      <c r="C1788" s="35">
        <v>0</v>
      </c>
      <c r="D1788" s="2">
        <f t="shared" si="27"/>
        <v>3</v>
      </c>
    </row>
    <row r="1789" spans="1:4" x14ac:dyDescent="0.3">
      <c r="A1789" s="34">
        <v>23955</v>
      </c>
      <c r="B1789" s="35">
        <v>1</v>
      </c>
      <c r="C1789" s="35">
        <v>0</v>
      </c>
      <c r="D1789" s="2">
        <f t="shared" si="27"/>
        <v>1</v>
      </c>
    </row>
    <row r="1790" spans="1:4" x14ac:dyDescent="0.3">
      <c r="A1790" s="34">
        <v>23975</v>
      </c>
      <c r="B1790" s="35">
        <v>1</v>
      </c>
      <c r="C1790" s="35">
        <v>0</v>
      </c>
      <c r="D1790" s="2">
        <f t="shared" si="27"/>
        <v>1</v>
      </c>
    </row>
    <row r="1791" spans="1:4" x14ac:dyDescent="0.3">
      <c r="A1791" s="34">
        <v>23979</v>
      </c>
      <c r="B1791" s="35">
        <v>1</v>
      </c>
      <c r="C1791" s="35">
        <v>0</v>
      </c>
      <c r="D1791" s="2">
        <f t="shared" si="27"/>
        <v>1</v>
      </c>
    </row>
    <row r="1792" spans="1:4" x14ac:dyDescent="0.3">
      <c r="A1792" s="34">
        <v>23981</v>
      </c>
      <c r="B1792" s="35">
        <v>1</v>
      </c>
      <c r="C1792" s="35">
        <v>0</v>
      </c>
      <c r="D1792" s="2">
        <f t="shared" si="27"/>
        <v>1</v>
      </c>
    </row>
    <row r="1793" spans="1:4" x14ac:dyDescent="0.3">
      <c r="A1793" s="34">
        <v>23995</v>
      </c>
      <c r="B1793" s="35">
        <v>1</v>
      </c>
      <c r="C1793" s="35">
        <v>0</v>
      </c>
      <c r="D1793" s="2">
        <f t="shared" si="27"/>
        <v>1</v>
      </c>
    </row>
    <row r="1794" spans="1:4" x14ac:dyDescent="0.3">
      <c r="A1794" s="34">
        <v>24001</v>
      </c>
      <c r="B1794" s="35">
        <v>1</v>
      </c>
      <c r="C1794" s="35">
        <v>0</v>
      </c>
      <c r="D1794" s="2">
        <f t="shared" si="27"/>
        <v>1</v>
      </c>
    </row>
    <row r="1795" spans="1:4" x14ac:dyDescent="0.3">
      <c r="A1795" s="34">
        <v>24003</v>
      </c>
      <c r="B1795" s="35">
        <v>1</v>
      </c>
      <c r="C1795" s="35">
        <v>0</v>
      </c>
      <c r="D1795" s="2">
        <f t="shared" ref="D1795:D1858" si="28">B1795+C1795</f>
        <v>1</v>
      </c>
    </row>
    <row r="1796" spans="1:4" x14ac:dyDescent="0.3">
      <c r="A1796" s="34">
        <v>24005</v>
      </c>
      <c r="B1796" s="35">
        <v>1</v>
      </c>
      <c r="C1796" s="35">
        <v>0</v>
      </c>
      <c r="D1796" s="2">
        <f t="shared" si="28"/>
        <v>1</v>
      </c>
    </row>
    <row r="1797" spans="1:4" x14ac:dyDescent="0.3">
      <c r="A1797" s="34">
        <v>24009</v>
      </c>
      <c r="B1797" s="35">
        <v>1</v>
      </c>
      <c r="C1797" s="35">
        <v>0</v>
      </c>
      <c r="D1797" s="2">
        <f t="shared" si="28"/>
        <v>1</v>
      </c>
    </row>
    <row r="1798" spans="1:4" x14ac:dyDescent="0.3">
      <c r="A1798" s="34">
        <v>24035</v>
      </c>
      <c r="B1798" s="35">
        <v>1</v>
      </c>
      <c r="C1798" s="35">
        <v>1</v>
      </c>
      <c r="D1798" s="2">
        <f t="shared" si="28"/>
        <v>2</v>
      </c>
    </row>
    <row r="1799" spans="1:4" x14ac:dyDescent="0.3">
      <c r="A1799" s="34">
        <v>24074</v>
      </c>
      <c r="B1799" s="35">
        <v>1</v>
      </c>
      <c r="C1799" s="35">
        <v>0</v>
      </c>
      <c r="D1799" s="2">
        <f t="shared" si="28"/>
        <v>1</v>
      </c>
    </row>
    <row r="1800" spans="1:4" x14ac:dyDescent="0.3">
      <c r="A1800" s="34">
        <v>24079</v>
      </c>
      <c r="B1800" s="35">
        <v>1</v>
      </c>
      <c r="C1800" s="35">
        <v>0</v>
      </c>
      <c r="D1800" s="2">
        <f t="shared" si="28"/>
        <v>1</v>
      </c>
    </row>
    <row r="1801" spans="1:4" x14ac:dyDescent="0.3">
      <c r="A1801" s="34">
        <v>24081</v>
      </c>
      <c r="B1801" s="35">
        <v>1</v>
      </c>
      <c r="C1801" s="35">
        <v>0</v>
      </c>
      <c r="D1801" s="2">
        <f t="shared" si="28"/>
        <v>1</v>
      </c>
    </row>
    <row r="1802" spans="1:4" x14ac:dyDescent="0.3">
      <c r="A1802" s="34">
        <v>24088</v>
      </c>
      <c r="B1802" s="35">
        <v>2</v>
      </c>
      <c r="C1802" s="35">
        <v>0</v>
      </c>
      <c r="D1802" s="2">
        <f t="shared" si="28"/>
        <v>2</v>
      </c>
    </row>
    <row r="1803" spans="1:4" x14ac:dyDescent="0.3">
      <c r="A1803" s="34">
        <v>24094</v>
      </c>
      <c r="B1803" s="35">
        <v>1</v>
      </c>
      <c r="C1803" s="35">
        <v>0</v>
      </c>
      <c r="D1803" s="2">
        <f t="shared" si="28"/>
        <v>1</v>
      </c>
    </row>
    <row r="1804" spans="1:4" x14ac:dyDescent="0.3">
      <c r="A1804" s="34">
        <v>24097</v>
      </c>
      <c r="B1804" s="35">
        <v>1</v>
      </c>
      <c r="C1804" s="35">
        <v>0</v>
      </c>
      <c r="D1804" s="2">
        <f t="shared" si="28"/>
        <v>1</v>
      </c>
    </row>
    <row r="1805" spans="1:4" x14ac:dyDescent="0.3">
      <c r="A1805" s="34">
        <v>24107</v>
      </c>
      <c r="B1805" s="35">
        <v>1</v>
      </c>
      <c r="C1805" s="35">
        <v>0</v>
      </c>
      <c r="D1805" s="2">
        <f t="shared" si="28"/>
        <v>1</v>
      </c>
    </row>
    <row r="1806" spans="1:4" x14ac:dyDescent="0.3">
      <c r="A1806" s="34">
        <v>24110</v>
      </c>
      <c r="B1806" s="35">
        <v>1</v>
      </c>
      <c r="C1806" s="35">
        <v>0</v>
      </c>
      <c r="D1806" s="2">
        <f t="shared" si="28"/>
        <v>1</v>
      </c>
    </row>
    <row r="1807" spans="1:4" x14ac:dyDescent="0.3">
      <c r="A1807" s="34">
        <v>24111</v>
      </c>
      <c r="B1807" s="35">
        <v>1</v>
      </c>
      <c r="C1807" s="35">
        <v>0</v>
      </c>
      <c r="D1807" s="2">
        <f t="shared" si="28"/>
        <v>1</v>
      </c>
    </row>
    <row r="1808" spans="1:4" x14ac:dyDescent="0.3">
      <c r="A1808" s="34">
        <v>24114</v>
      </c>
      <c r="B1808" s="35">
        <v>1</v>
      </c>
      <c r="C1808" s="35">
        <v>0</v>
      </c>
      <c r="D1808" s="2">
        <f t="shared" si="28"/>
        <v>1</v>
      </c>
    </row>
    <row r="1809" spans="1:4" x14ac:dyDescent="0.3">
      <c r="A1809" s="34">
        <v>24116</v>
      </c>
      <c r="B1809" s="35">
        <v>1</v>
      </c>
      <c r="C1809" s="35">
        <v>0</v>
      </c>
      <c r="D1809" s="2">
        <f t="shared" si="28"/>
        <v>1</v>
      </c>
    </row>
    <row r="1810" spans="1:4" x14ac:dyDescent="0.3">
      <c r="A1810" s="34">
        <v>24121</v>
      </c>
      <c r="B1810" s="35">
        <v>1</v>
      </c>
      <c r="C1810" s="35">
        <v>0</v>
      </c>
      <c r="D1810" s="2">
        <f t="shared" si="28"/>
        <v>1</v>
      </c>
    </row>
    <row r="1811" spans="1:4" x14ac:dyDescent="0.3">
      <c r="A1811" s="34">
        <v>24125</v>
      </c>
      <c r="B1811" s="35">
        <v>1</v>
      </c>
      <c r="C1811" s="35">
        <v>0</v>
      </c>
      <c r="D1811" s="2">
        <f t="shared" si="28"/>
        <v>1</v>
      </c>
    </row>
    <row r="1812" spans="1:4" x14ac:dyDescent="0.3">
      <c r="A1812" s="34">
        <v>24130</v>
      </c>
      <c r="B1812" s="35">
        <v>2</v>
      </c>
      <c r="C1812" s="35">
        <v>0</v>
      </c>
      <c r="D1812" s="2">
        <f t="shared" si="28"/>
        <v>2</v>
      </c>
    </row>
    <row r="1813" spans="1:4" x14ac:dyDescent="0.3">
      <c r="A1813" s="34">
        <v>24137</v>
      </c>
      <c r="B1813" s="35">
        <v>1</v>
      </c>
      <c r="C1813" s="35">
        <v>0</v>
      </c>
      <c r="D1813" s="2">
        <f t="shared" si="28"/>
        <v>1</v>
      </c>
    </row>
    <row r="1814" spans="1:4" x14ac:dyDescent="0.3">
      <c r="A1814" s="34">
        <v>24139</v>
      </c>
      <c r="B1814" s="35">
        <v>1</v>
      </c>
      <c r="C1814" s="35">
        <v>0</v>
      </c>
      <c r="D1814" s="2">
        <f t="shared" si="28"/>
        <v>1</v>
      </c>
    </row>
    <row r="1815" spans="1:4" x14ac:dyDescent="0.3">
      <c r="A1815" s="34">
        <v>24142</v>
      </c>
      <c r="B1815" s="35">
        <v>1</v>
      </c>
      <c r="C1815" s="35">
        <v>0</v>
      </c>
      <c r="D1815" s="2">
        <f t="shared" si="28"/>
        <v>1</v>
      </c>
    </row>
    <row r="1816" spans="1:4" x14ac:dyDescent="0.3">
      <c r="A1816" s="34">
        <v>24145</v>
      </c>
      <c r="B1816" s="35">
        <v>1</v>
      </c>
      <c r="C1816" s="35">
        <v>0</v>
      </c>
      <c r="D1816" s="2">
        <f t="shared" si="28"/>
        <v>1</v>
      </c>
    </row>
    <row r="1817" spans="1:4" x14ac:dyDescent="0.3">
      <c r="A1817" s="34">
        <v>24151</v>
      </c>
      <c r="B1817" s="35">
        <v>1</v>
      </c>
      <c r="C1817" s="35">
        <v>0</v>
      </c>
      <c r="D1817" s="2">
        <f t="shared" si="28"/>
        <v>1</v>
      </c>
    </row>
    <row r="1818" spans="1:4" x14ac:dyDescent="0.3">
      <c r="A1818" s="34">
        <v>24154</v>
      </c>
      <c r="B1818" s="35">
        <v>2</v>
      </c>
      <c r="C1818" s="35">
        <v>1</v>
      </c>
      <c r="D1818" s="2">
        <f t="shared" si="28"/>
        <v>3</v>
      </c>
    </row>
    <row r="1819" spans="1:4" x14ac:dyDescent="0.3">
      <c r="A1819" s="34">
        <v>24155</v>
      </c>
      <c r="B1819" s="35">
        <v>2</v>
      </c>
      <c r="C1819" s="35">
        <v>0</v>
      </c>
      <c r="D1819" s="2">
        <f t="shared" si="28"/>
        <v>2</v>
      </c>
    </row>
    <row r="1820" spans="1:4" x14ac:dyDescent="0.3">
      <c r="A1820" s="34">
        <v>24161</v>
      </c>
      <c r="B1820" s="35">
        <v>2</v>
      </c>
      <c r="C1820" s="35">
        <v>2</v>
      </c>
      <c r="D1820" s="2">
        <f t="shared" si="28"/>
        <v>4</v>
      </c>
    </row>
    <row r="1821" spans="1:4" x14ac:dyDescent="0.3">
      <c r="A1821" s="34">
        <v>24176</v>
      </c>
      <c r="B1821" s="35">
        <v>1</v>
      </c>
      <c r="C1821" s="35">
        <v>0</v>
      </c>
      <c r="D1821" s="2">
        <f t="shared" si="28"/>
        <v>1</v>
      </c>
    </row>
    <row r="1822" spans="1:4" x14ac:dyDescent="0.3">
      <c r="A1822" s="34">
        <v>24197</v>
      </c>
      <c r="B1822" s="35">
        <v>1</v>
      </c>
      <c r="C1822" s="35">
        <v>0</v>
      </c>
      <c r="D1822" s="2">
        <f t="shared" si="28"/>
        <v>1</v>
      </c>
    </row>
    <row r="1823" spans="1:4" x14ac:dyDescent="0.3">
      <c r="A1823" s="34">
        <v>24220</v>
      </c>
      <c r="B1823" s="35">
        <v>1</v>
      </c>
      <c r="C1823" s="35">
        <v>0</v>
      </c>
      <c r="D1823" s="2">
        <f t="shared" si="28"/>
        <v>1</v>
      </c>
    </row>
    <row r="1824" spans="1:4" x14ac:dyDescent="0.3">
      <c r="A1824" s="34">
        <v>24221</v>
      </c>
      <c r="B1824" s="35">
        <v>1</v>
      </c>
      <c r="C1824" s="35">
        <v>0</v>
      </c>
      <c r="D1824" s="2">
        <f t="shared" si="28"/>
        <v>1</v>
      </c>
    </row>
    <row r="1825" spans="1:4" x14ac:dyDescent="0.3">
      <c r="A1825" s="34">
        <v>24228</v>
      </c>
      <c r="B1825" s="35">
        <v>1</v>
      </c>
      <c r="C1825" s="35">
        <v>0</v>
      </c>
      <c r="D1825" s="2">
        <f t="shared" si="28"/>
        <v>1</v>
      </c>
    </row>
    <row r="1826" spans="1:4" x14ac:dyDescent="0.3">
      <c r="A1826" s="34">
        <v>24236</v>
      </c>
      <c r="B1826" s="35">
        <v>4</v>
      </c>
      <c r="C1826" s="35">
        <v>3</v>
      </c>
      <c r="D1826" s="2">
        <f t="shared" si="28"/>
        <v>7</v>
      </c>
    </row>
    <row r="1827" spans="1:4" x14ac:dyDescent="0.3">
      <c r="A1827" s="34">
        <v>24238</v>
      </c>
      <c r="B1827" s="35">
        <v>1</v>
      </c>
      <c r="C1827" s="35">
        <v>0</v>
      </c>
      <c r="D1827" s="2">
        <f t="shared" si="28"/>
        <v>1</v>
      </c>
    </row>
    <row r="1828" spans="1:4" x14ac:dyDescent="0.3">
      <c r="A1828" s="34">
        <v>24239</v>
      </c>
      <c r="B1828" s="35">
        <v>4</v>
      </c>
      <c r="C1828" s="35">
        <v>4</v>
      </c>
      <c r="D1828" s="2">
        <f t="shared" si="28"/>
        <v>8</v>
      </c>
    </row>
    <row r="1829" spans="1:4" x14ac:dyDescent="0.3">
      <c r="A1829" s="34">
        <v>24240</v>
      </c>
      <c r="B1829" s="35">
        <v>1</v>
      </c>
      <c r="C1829" s="35">
        <v>0</v>
      </c>
      <c r="D1829" s="2">
        <f t="shared" si="28"/>
        <v>1</v>
      </c>
    </row>
    <row r="1830" spans="1:4" x14ac:dyDescent="0.3">
      <c r="A1830" s="34">
        <v>24242</v>
      </c>
      <c r="B1830" s="35">
        <v>1</v>
      </c>
      <c r="C1830" s="35">
        <v>0</v>
      </c>
      <c r="D1830" s="2">
        <f t="shared" si="28"/>
        <v>1</v>
      </c>
    </row>
    <row r="1831" spans="1:4" x14ac:dyDescent="0.3">
      <c r="A1831" s="34">
        <v>24244</v>
      </c>
      <c r="B1831" s="35">
        <v>1</v>
      </c>
      <c r="C1831" s="35">
        <v>0</v>
      </c>
      <c r="D1831" s="2">
        <f t="shared" si="28"/>
        <v>1</v>
      </c>
    </row>
    <row r="1832" spans="1:4" x14ac:dyDescent="0.3">
      <c r="A1832" s="34">
        <v>24248</v>
      </c>
      <c r="B1832" s="35">
        <v>1</v>
      </c>
      <c r="C1832" s="35">
        <v>0</v>
      </c>
      <c r="D1832" s="2">
        <f t="shared" si="28"/>
        <v>1</v>
      </c>
    </row>
    <row r="1833" spans="1:4" x14ac:dyDescent="0.3">
      <c r="A1833" s="34">
        <v>24254</v>
      </c>
      <c r="B1833" s="35">
        <v>1</v>
      </c>
      <c r="C1833" s="35">
        <v>0</v>
      </c>
      <c r="D1833" s="2">
        <f t="shared" si="28"/>
        <v>1</v>
      </c>
    </row>
    <row r="1834" spans="1:4" x14ac:dyDescent="0.3">
      <c r="A1834" s="34">
        <v>24274</v>
      </c>
      <c r="B1834" s="35">
        <v>1</v>
      </c>
      <c r="C1834" s="35">
        <v>0</v>
      </c>
      <c r="D1834" s="2">
        <f t="shared" si="28"/>
        <v>1</v>
      </c>
    </row>
    <row r="1835" spans="1:4" x14ac:dyDescent="0.3">
      <c r="A1835" s="34">
        <v>24277</v>
      </c>
      <c r="B1835" s="35">
        <v>1</v>
      </c>
      <c r="C1835" s="35">
        <v>0</v>
      </c>
      <c r="D1835" s="2">
        <f t="shared" si="28"/>
        <v>1</v>
      </c>
    </row>
    <row r="1836" spans="1:4" x14ac:dyDescent="0.3">
      <c r="A1836" s="34">
        <v>24303</v>
      </c>
      <c r="B1836" s="35">
        <v>1</v>
      </c>
      <c r="C1836" s="35">
        <v>1</v>
      </c>
      <c r="D1836" s="2">
        <f t="shared" si="28"/>
        <v>2</v>
      </c>
    </row>
    <row r="1837" spans="1:4" x14ac:dyDescent="0.3">
      <c r="A1837" s="34">
        <v>24313</v>
      </c>
      <c r="B1837" s="35">
        <v>1</v>
      </c>
      <c r="C1837" s="35">
        <v>0</v>
      </c>
      <c r="D1837" s="2">
        <f t="shared" si="28"/>
        <v>1</v>
      </c>
    </row>
    <row r="1838" spans="1:4" x14ac:dyDescent="0.3">
      <c r="A1838" s="34">
        <v>24330</v>
      </c>
      <c r="B1838" s="35">
        <v>1</v>
      </c>
      <c r="C1838" s="35">
        <v>0</v>
      </c>
      <c r="D1838" s="2">
        <f t="shared" si="28"/>
        <v>1</v>
      </c>
    </row>
    <row r="1839" spans="1:4" x14ac:dyDescent="0.3">
      <c r="A1839" s="34">
        <v>24339</v>
      </c>
      <c r="B1839" s="35">
        <v>1</v>
      </c>
      <c r="C1839" s="35">
        <v>0</v>
      </c>
      <c r="D1839" s="2">
        <f t="shared" si="28"/>
        <v>1</v>
      </c>
    </row>
    <row r="1840" spans="1:4" x14ac:dyDescent="0.3">
      <c r="A1840" s="34">
        <v>24340</v>
      </c>
      <c r="B1840" s="35">
        <v>1</v>
      </c>
      <c r="C1840" s="35">
        <v>0</v>
      </c>
      <c r="D1840" s="2">
        <f t="shared" si="28"/>
        <v>1</v>
      </c>
    </row>
    <row r="1841" spans="1:4" x14ac:dyDescent="0.3">
      <c r="A1841" s="34">
        <v>24341</v>
      </c>
      <c r="B1841" s="35">
        <v>1</v>
      </c>
      <c r="C1841" s="35">
        <v>0</v>
      </c>
      <c r="D1841" s="2">
        <f t="shared" si="28"/>
        <v>1</v>
      </c>
    </row>
    <row r="1842" spans="1:4" x14ac:dyDescent="0.3">
      <c r="A1842" s="34">
        <v>24343</v>
      </c>
      <c r="B1842" s="35">
        <v>2</v>
      </c>
      <c r="C1842" s="35">
        <v>0</v>
      </c>
      <c r="D1842" s="2">
        <f t="shared" si="28"/>
        <v>2</v>
      </c>
    </row>
    <row r="1843" spans="1:4" x14ac:dyDescent="0.3">
      <c r="A1843" s="34">
        <v>24349</v>
      </c>
      <c r="B1843" s="35">
        <v>1</v>
      </c>
      <c r="C1843" s="35">
        <v>0</v>
      </c>
      <c r="D1843" s="2">
        <f t="shared" si="28"/>
        <v>1</v>
      </c>
    </row>
    <row r="1844" spans="1:4" x14ac:dyDescent="0.3">
      <c r="A1844" s="34">
        <v>24352</v>
      </c>
      <c r="B1844" s="35">
        <v>1</v>
      </c>
      <c r="C1844" s="35">
        <v>0</v>
      </c>
      <c r="D1844" s="2">
        <f t="shared" si="28"/>
        <v>1</v>
      </c>
    </row>
    <row r="1845" spans="1:4" x14ac:dyDescent="0.3">
      <c r="A1845" s="34">
        <v>24353</v>
      </c>
      <c r="B1845" s="35">
        <v>1</v>
      </c>
      <c r="C1845" s="35">
        <v>0</v>
      </c>
      <c r="D1845" s="2">
        <f t="shared" si="28"/>
        <v>1</v>
      </c>
    </row>
    <row r="1846" spans="1:4" x14ac:dyDescent="0.3">
      <c r="A1846" s="34">
        <v>24359</v>
      </c>
      <c r="B1846" s="35">
        <v>2</v>
      </c>
      <c r="C1846" s="35">
        <v>1</v>
      </c>
      <c r="D1846" s="2">
        <f t="shared" si="28"/>
        <v>3</v>
      </c>
    </row>
    <row r="1847" spans="1:4" x14ac:dyDescent="0.3">
      <c r="A1847" s="34">
        <v>24363</v>
      </c>
      <c r="B1847" s="35">
        <v>1</v>
      </c>
      <c r="C1847" s="35">
        <v>0</v>
      </c>
      <c r="D1847" s="2">
        <f t="shared" si="28"/>
        <v>1</v>
      </c>
    </row>
    <row r="1848" spans="1:4" x14ac:dyDescent="0.3">
      <c r="A1848" s="34">
        <v>24365</v>
      </c>
      <c r="B1848" s="35">
        <v>1</v>
      </c>
      <c r="C1848" s="35">
        <v>0</v>
      </c>
      <c r="D1848" s="2">
        <f t="shared" si="28"/>
        <v>1</v>
      </c>
    </row>
    <row r="1849" spans="1:4" x14ac:dyDescent="0.3">
      <c r="A1849" s="34">
        <v>24369</v>
      </c>
      <c r="B1849" s="35">
        <v>1</v>
      </c>
      <c r="C1849" s="35">
        <v>0</v>
      </c>
      <c r="D1849" s="2">
        <f t="shared" si="28"/>
        <v>1</v>
      </c>
    </row>
    <row r="1850" spans="1:4" x14ac:dyDescent="0.3">
      <c r="A1850" s="34">
        <v>24370</v>
      </c>
      <c r="B1850" s="35">
        <v>1</v>
      </c>
      <c r="C1850" s="35">
        <v>0</v>
      </c>
      <c r="D1850" s="2">
        <f t="shared" si="28"/>
        <v>1</v>
      </c>
    </row>
    <row r="1851" spans="1:4" x14ac:dyDescent="0.3">
      <c r="A1851" s="34">
        <v>24375</v>
      </c>
      <c r="B1851" s="35">
        <v>1</v>
      </c>
      <c r="C1851" s="35">
        <v>0</v>
      </c>
      <c r="D1851" s="2">
        <f t="shared" si="28"/>
        <v>1</v>
      </c>
    </row>
    <row r="1852" spans="1:4" x14ac:dyDescent="0.3">
      <c r="A1852" s="34">
        <v>24376</v>
      </c>
      <c r="B1852" s="35">
        <v>1</v>
      </c>
      <c r="C1852" s="35">
        <v>0</v>
      </c>
      <c r="D1852" s="2">
        <f t="shared" si="28"/>
        <v>1</v>
      </c>
    </row>
    <row r="1853" spans="1:4" x14ac:dyDescent="0.3">
      <c r="A1853" s="34">
        <v>24377</v>
      </c>
      <c r="B1853" s="35">
        <v>1</v>
      </c>
      <c r="C1853" s="35">
        <v>0</v>
      </c>
      <c r="D1853" s="2">
        <f t="shared" si="28"/>
        <v>1</v>
      </c>
    </row>
    <row r="1854" spans="1:4" x14ac:dyDescent="0.3">
      <c r="A1854" s="34">
        <v>24378</v>
      </c>
      <c r="B1854" s="35">
        <v>3</v>
      </c>
      <c r="C1854" s="35">
        <v>2</v>
      </c>
      <c r="D1854" s="2">
        <f t="shared" si="28"/>
        <v>5</v>
      </c>
    </row>
    <row r="1855" spans="1:4" x14ac:dyDescent="0.3">
      <c r="A1855" s="34">
        <v>24390</v>
      </c>
      <c r="B1855" s="35">
        <v>1</v>
      </c>
      <c r="C1855" s="35">
        <v>0</v>
      </c>
      <c r="D1855" s="2">
        <f t="shared" si="28"/>
        <v>1</v>
      </c>
    </row>
    <row r="1856" spans="1:4" x14ac:dyDescent="0.3">
      <c r="A1856" s="34">
        <v>24403</v>
      </c>
      <c r="B1856" s="35">
        <v>1</v>
      </c>
      <c r="C1856" s="35">
        <v>0</v>
      </c>
      <c r="D1856" s="2">
        <f t="shared" si="28"/>
        <v>1</v>
      </c>
    </row>
    <row r="1857" spans="1:4" x14ac:dyDescent="0.3">
      <c r="A1857" s="34">
        <v>24405</v>
      </c>
      <c r="B1857" s="35">
        <v>1</v>
      </c>
      <c r="C1857" s="35">
        <v>0</v>
      </c>
      <c r="D1857" s="2">
        <f t="shared" si="28"/>
        <v>1</v>
      </c>
    </row>
    <row r="1858" spans="1:4" x14ac:dyDescent="0.3">
      <c r="A1858" s="34">
        <v>24407</v>
      </c>
      <c r="B1858" s="35">
        <v>1</v>
      </c>
      <c r="C1858" s="35">
        <v>0</v>
      </c>
      <c r="D1858" s="2">
        <f t="shared" si="28"/>
        <v>1</v>
      </c>
    </row>
    <row r="1859" spans="1:4" x14ac:dyDescent="0.3">
      <c r="A1859" s="34">
        <v>24410</v>
      </c>
      <c r="B1859" s="35">
        <v>2</v>
      </c>
      <c r="C1859" s="35">
        <v>2</v>
      </c>
      <c r="D1859" s="2">
        <f t="shared" ref="D1859:D1922" si="29">B1859+C1859</f>
        <v>4</v>
      </c>
    </row>
    <row r="1860" spans="1:4" x14ac:dyDescent="0.3">
      <c r="A1860" s="34">
        <v>24415</v>
      </c>
      <c r="B1860" s="35">
        <v>1</v>
      </c>
      <c r="C1860" s="35">
        <v>1</v>
      </c>
      <c r="D1860" s="2">
        <f t="shared" si="29"/>
        <v>2</v>
      </c>
    </row>
    <row r="1861" spans="1:4" x14ac:dyDescent="0.3">
      <c r="A1861" s="34">
        <v>24416</v>
      </c>
      <c r="B1861" s="35">
        <v>1</v>
      </c>
      <c r="C1861" s="35">
        <v>0</v>
      </c>
      <c r="D1861" s="2">
        <f t="shared" si="29"/>
        <v>1</v>
      </c>
    </row>
    <row r="1862" spans="1:4" x14ac:dyDescent="0.3">
      <c r="A1862" s="34">
        <v>24418</v>
      </c>
      <c r="B1862" s="35">
        <v>1</v>
      </c>
      <c r="C1862" s="35">
        <v>1</v>
      </c>
      <c r="D1862" s="2">
        <f t="shared" si="29"/>
        <v>2</v>
      </c>
    </row>
    <row r="1863" spans="1:4" x14ac:dyDescent="0.3">
      <c r="A1863" s="34">
        <v>24421</v>
      </c>
      <c r="B1863" s="35">
        <v>1</v>
      </c>
      <c r="C1863" s="35">
        <v>0</v>
      </c>
      <c r="D1863" s="2">
        <f t="shared" si="29"/>
        <v>1</v>
      </c>
    </row>
    <row r="1864" spans="1:4" x14ac:dyDescent="0.3">
      <c r="A1864" s="34">
        <v>24461</v>
      </c>
      <c r="B1864" s="35">
        <v>1</v>
      </c>
      <c r="C1864" s="35">
        <v>0</v>
      </c>
      <c r="D1864" s="2">
        <f t="shared" si="29"/>
        <v>1</v>
      </c>
    </row>
    <row r="1865" spans="1:4" x14ac:dyDescent="0.3">
      <c r="A1865" s="34">
        <v>24463</v>
      </c>
      <c r="B1865" s="35">
        <v>1</v>
      </c>
      <c r="C1865" s="35">
        <v>0</v>
      </c>
      <c r="D1865" s="2">
        <f t="shared" si="29"/>
        <v>1</v>
      </c>
    </row>
    <row r="1866" spans="1:4" x14ac:dyDescent="0.3">
      <c r="A1866" s="34">
        <v>24469</v>
      </c>
      <c r="B1866" s="35">
        <v>1</v>
      </c>
      <c r="C1866" s="35">
        <v>1</v>
      </c>
      <c r="D1866" s="2">
        <f t="shared" si="29"/>
        <v>2</v>
      </c>
    </row>
    <row r="1867" spans="1:4" x14ac:dyDescent="0.3">
      <c r="A1867" s="34">
        <v>24470</v>
      </c>
      <c r="B1867" s="35">
        <v>1</v>
      </c>
      <c r="C1867" s="35">
        <v>0</v>
      </c>
      <c r="D1867" s="2">
        <f t="shared" si="29"/>
        <v>1</v>
      </c>
    </row>
    <row r="1868" spans="1:4" x14ac:dyDescent="0.3">
      <c r="A1868" s="34">
        <v>24471</v>
      </c>
      <c r="B1868" s="35">
        <v>1</v>
      </c>
      <c r="C1868" s="35">
        <v>0</v>
      </c>
      <c r="D1868" s="2">
        <f t="shared" si="29"/>
        <v>1</v>
      </c>
    </row>
    <row r="1869" spans="1:4" x14ac:dyDescent="0.3">
      <c r="A1869" s="34">
        <v>24475</v>
      </c>
      <c r="B1869" s="35">
        <v>2</v>
      </c>
      <c r="C1869" s="35">
        <v>1</v>
      </c>
      <c r="D1869" s="2">
        <f t="shared" si="29"/>
        <v>3</v>
      </c>
    </row>
    <row r="1870" spans="1:4" x14ac:dyDescent="0.3">
      <c r="A1870" s="34">
        <v>24483</v>
      </c>
      <c r="B1870" s="35">
        <v>2</v>
      </c>
      <c r="C1870" s="35">
        <v>1</v>
      </c>
      <c r="D1870" s="2">
        <f t="shared" si="29"/>
        <v>3</v>
      </c>
    </row>
    <row r="1871" spans="1:4" x14ac:dyDescent="0.3">
      <c r="A1871" s="34">
        <v>24492</v>
      </c>
      <c r="B1871" s="35">
        <v>2</v>
      </c>
      <c r="C1871" s="35">
        <v>1</v>
      </c>
      <c r="D1871" s="2">
        <f t="shared" si="29"/>
        <v>3</v>
      </c>
    </row>
    <row r="1872" spans="1:4" x14ac:dyDescent="0.3">
      <c r="A1872" s="34">
        <v>24498</v>
      </c>
      <c r="B1872" s="35">
        <v>1</v>
      </c>
      <c r="C1872" s="35">
        <v>0</v>
      </c>
      <c r="D1872" s="2">
        <f t="shared" si="29"/>
        <v>1</v>
      </c>
    </row>
    <row r="1873" spans="1:4" x14ac:dyDescent="0.3">
      <c r="A1873" s="34">
        <v>24500</v>
      </c>
      <c r="B1873" s="35">
        <v>4</v>
      </c>
      <c r="C1873" s="35">
        <v>0</v>
      </c>
      <c r="D1873" s="2">
        <f t="shared" si="29"/>
        <v>4</v>
      </c>
    </row>
    <row r="1874" spans="1:4" x14ac:dyDescent="0.3">
      <c r="A1874" s="34">
        <v>24501</v>
      </c>
      <c r="B1874" s="35">
        <v>1</v>
      </c>
      <c r="C1874" s="35">
        <v>0</v>
      </c>
      <c r="D1874" s="2">
        <f t="shared" si="29"/>
        <v>1</v>
      </c>
    </row>
    <row r="1875" spans="1:4" x14ac:dyDescent="0.3">
      <c r="A1875" s="34">
        <v>24510</v>
      </c>
      <c r="B1875" s="35">
        <v>2</v>
      </c>
      <c r="C1875" s="35">
        <v>1</v>
      </c>
      <c r="D1875" s="2">
        <f t="shared" si="29"/>
        <v>3</v>
      </c>
    </row>
    <row r="1876" spans="1:4" x14ac:dyDescent="0.3">
      <c r="A1876" s="34">
        <v>24517</v>
      </c>
      <c r="B1876" s="35">
        <v>1</v>
      </c>
      <c r="C1876" s="35">
        <v>0</v>
      </c>
      <c r="D1876" s="2">
        <f t="shared" si="29"/>
        <v>1</v>
      </c>
    </row>
    <row r="1877" spans="1:4" x14ac:dyDescent="0.3">
      <c r="A1877" s="34">
        <v>24519</v>
      </c>
      <c r="B1877" s="35">
        <v>2</v>
      </c>
      <c r="C1877" s="35">
        <v>0</v>
      </c>
      <c r="D1877" s="2">
        <f t="shared" si="29"/>
        <v>2</v>
      </c>
    </row>
    <row r="1878" spans="1:4" x14ac:dyDescent="0.3">
      <c r="A1878" s="34">
        <v>24529</v>
      </c>
      <c r="B1878" s="35">
        <v>1</v>
      </c>
      <c r="C1878" s="35">
        <v>0</v>
      </c>
      <c r="D1878" s="2">
        <f t="shared" si="29"/>
        <v>1</v>
      </c>
    </row>
    <row r="1879" spans="1:4" x14ac:dyDescent="0.3">
      <c r="A1879" s="34">
        <v>24530</v>
      </c>
      <c r="B1879" s="35">
        <v>1</v>
      </c>
      <c r="C1879" s="35">
        <v>0</v>
      </c>
      <c r="D1879" s="2">
        <f t="shared" si="29"/>
        <v>1</v>
      </c>
    </row>
    <row r="1880" spans="1:4" x14ac:dyDescent="0.3">
      <c r="A1880" s="34">
        <v>24534</v>
      </c>
      <c r="B1880" s="35">
        <v>1</v>
      </c>
      <c r="C1880" s="35">
        <v>0</v>
      </c>
      <c r="D1880" s="2">
        <f t="shared" si="29"/>
        <v>1</v>
      </c>
    </row>
    <row r="1881" spans="1:4" x14ac:dyDescent="0.3">
      <c r="A1881" s="34">
        <v>24544</v>
      </c>
      <c r="B1881" s="35">
        <v>1</v>
      </c>
      <c r="C1881" s="35">
        <v>0</v>
      </c>
      <c r="D1881" s="2">
        <f t="shared" si="29"/>
        <v>1</v>
      </c>
    </row>
    <row r="1882" spans="1:4" x14ac:dyDescent="0.3">
      <c r="A1882" s="34">
        <v>24545</v>
      </c>
      <c r="B1882" s="35">
        <v>1</v>
      </c>
      <c r="C1882" s="35">
        <v>0</v>
      </c>
      <c r="D1882" s="2">
        <f t="shared" si="29"/>
        <v>1</v>
      </c>
    </row>
    <row r="1883" spans="1:4" x14ac:dyDescent="0.3">
      <c r="A1883" s="34">
        <v>24547</v>
      </c>
      <c r="B1883" s="35">
        <v>2</v>
      </c>
      <c r="C1883" s="35">
        <v>2</v>
      </c>
      <c r="D1883" s="2">
        <f t="shared" si="29"/>
        <v>4</v>
      </c>
    </row>
    <row r="1884" spans="1:4" x14ac:dyDescent="0.3">
      <c r="A1884" s="34">
        <v>24548</v>
      </c>
      <c r="B1884" s="35">
        <v>1</v>
      </c>
      <c r="C1884" s="35">
        <v>0</v>
      </c>
      <c r="D1884" s="2">
        <f t="shared" si="29"/>
        <v>1</v>
      </c>
    </row>
    <row r="1885" spans="1:4" x14ac:dyDescent="0.3">
      <c r="A1885" s="34">
        <v>24551</v>
      </c>
      <c r="B1885" s="35">
        <v>1</v>
      </c>
      <c r="C1885" s="35">
        <v>0</v>
      </c>
      <c r="D1885" s="2">
        <f t="shared" si="29"/>
        <v>1</v>
      </c>
    </row>
    <row r="1886" spans="1:4" x14ac:dyDescent="0.3">
      <c r="A1886" s="34">
        <v>24556</v>
      </c>
      <c r="B1886" s="35">
        <v>4</v>
      </c>
      <c r="C1886" s="35">
        <v>2</v>
      </c>
      <c r="D1886" s="2">
        <f t="shared" si="29"/>
        <v>6</v>
      </c>
    </row>
    <row r="1887" spans="1:4" x14ac:dyDescent="0.3">
      <c r="A1887" s="34">
        <v>24560</v>
      </c>
      <c r="B1887" s="35">
        <v>1</v>
      </c>
      <c r="C1887" s="35">
        <v>0</v>
      </c>
      <c r="D1887" s="2">
        <f t="shared" si="29"/>
        <v>1</v>
      </c>
    </row>
    <row r="1888" spans="1:4" x14ac:dyDescent="0.3">
      <c r="A1888" s="34">
        <v>24563</v>
      </c>
      <c r="B1888" s="35">
        <v>2</v>
      </c>
      <c r="C1888" s="35">
        <v>2</v>
      </c>
      <c r="D1888" s="2">
        <f t="shared" si="29"/>
        <v>4</v>
      </c>
    </row>
    <row r="1889" spans="1:4" x14ac:dyDescent="0.3">
      <c r="A1889" s="34">
        <v>24564</v>
      </c>
      <c r="B1889" s="35">
        <v>1</v>
      </c>
      <c r="C1889" s="35">
        <v>0</v>
      </c>
      <c r="D1889" s="2">
        <f t="shared" si="29"/>
        <v>1</v>
      </c>
    </row>
    <row r="1890" spans="1:4" x14ac:dyDescent="0.3">
      <c r="A1890" s="34">
        <v>24566</v>
      </c>
      <c r="B1890" s="35">
        <v>1</v>
      </c>
      <c r="C1890" s="35">
        <v>0</v>
      </c>
      <c r="D1890" s="2">
        <f t="shared" si="29"/>
        <v>1</v>
      </c>
    </row>
    <row r="1891" spans="1:4" x14ac:dyDescent="0.3">
      <c r="A1891" s="34">
        <v>24567</v>
      </c>
      <c r="B1891" s="35">
        <v>1</v>
      </c>
      <c r="C1891" s="35">
        <v>0</v>
      </c>
      <c r="D1891" s="2">
        <f t="shared" si="29"/>
        <v>1</v>
      </c>
    </row>
    <row r="1892" spans="1:4" x14ac:dyDescent="0.3">
      <c r="A1892" s="34">
        <v>24589</v>
      </c>
      <c r="B1892" s="35">
        <v>1</v>
      </c>
      <c r="C1892" s="35">
        <v>0</v>
      </c>
      <c r="D1892" s="2">
        <f t="shared" si="29"/>
        <v>1</v>
      </c>
    </row>
    <row r="1893" spans="1:4" x14ac:dyDescent="0.3">
      <c r="A1893" s="34">
        <v>24607</v>
      </c>
      <c r="B1893" s="35">
        <v>1</v>
      </c>
      <c r="C1893" s="35">
        <v>0</v>
      </c>
      <c r="D1893" s="2">
        <f t="shared" si="29"/>
        <v>1</v>
      </c>
    </row>
    <row r="1894" spans="1:4" x14ac:dyDescent="0.3">
      <c r="A1894" s="34">
        <v>24608</v>
      </c>
      <c r="B1894" s="35">
        <v>1</v>
      </c>
      <c r="C1894" s="35">
        <v>0</v>
      </c>
      <c r="D1894" s="2">
        <f t="shared" si="29"/>
        <v>1</v>
      </c>
    </row>
    <row r="1895" spans="1:4" x14ac:dyDescent="0.3">
      <c r="A1895" s="34">
        <v>24628</v>
      </c>
      <c r="B1895" s="35">
        <v>1</v>
      </c>
      <c r="C1895" s="35">
        <v>0</v>
      </c>
      <c r="D1895" s="2">
        <f t="shared" si="29"/>
        <v>1</v>
      </c>
    </row>
    <row r="1896" spans="1:4" x14ac:dyDescent="0.3">
      <c r="A1896" s="34">
        <v>24638</v>
      </c>
      <c r="B1896" s="35">
        <v>1</v>
      </c>
      <c r="C1896" s="35">
        <v>0</v>
      </c>
      <c r="D1896" s="2">
        <f t="shared" si="29"/>
        <v>1</v>
      </c>
    </row>
    <row r="1897" spans="1:4" x14ac:dyDescent="0.3">
      <c r="A1897" s="34">
        <v>24641</v>
      </c>
      <c r="B1897" s="35">
        <v>1</v>
      </c>
      <c r="C1897" s="35">
        <v>0</v>
      </c>
      <c r="D1897" s="2">
        <f t="shared" si="29"/>
        <v>1</v>
      </c>
    </row>
    <row r="1898" spans="1:4" x14ac:dyDescent="0.3">
      <c r="A1898" s="34">
        <v>24643</v>
      </c>
      <c r="B1898" s="35">
        <v>1</v>
      </c>
      <c r="C1898" s="35">
        <v>0</v>
      </c>
      <c r="D1898" s="2">
        <f t="shared" si="29"/>
        <v>1</v>
      </c>
    </row>
    <row r="1899" spans="1:4" x14ac:dyDescent="0.3">
      <c r="A1899" s="34">
        <v>24645</v>
      </c>
      <c r="B1899" s="35">
        <v>1</v>
      </c>
      <c r="C1899" s="35">
        <v>0</v>
      </c>
      <c r="D1899" s="2">
        <f t="shared" si="29"/>
        <v>1</v>
      </c>
    </row>
    <row r="1900" spans="1:4" x14ac:dyDescent="0.3">
      <c r="A1900" s="34">
        <v>24652</v>
      </c>
      <c r="B1900" s="35">
        <v>2</v>
      </c>
      <c r="C1900" s="35">
        <v>1</v>
      </c>
      <c r="D1900" s="2">
        <f t="shared" si="29"/>
        <v>3</v>
      </c>
    </row>
    <row r="1901" spans="1:4" x14ac:dyDescent="0.3">
      <c r="A1901" s="34">
        <v>24656</v>
      </c>
      <c r="B1901" s="35">
        <v>1</v>
      </c>
      <c r="C1901" s="35">
        <v>0</v>
      </c>
      <c r="D1901" s="2">
        <f t="shared" si="29"/>
        <v>1</v>
      </c>
    </row>
    <row r="1902" spans="1:4" x14ac:dyDescent="0.3">
      <c r="A1902" s="34">
        <v>24659</v>
      </c>
      <c r="B1902" s="35">
        <v>1</v>
      </c>
      <c r="C1902" s="35">
        <v>0</v>
      </c>
      <c r="D1902" s="2">
        <f t="shared" si="29"/>
        <v>1</v>
      </c>
    </row>
    <row r="1903" spans="1:4" x14ac:dyDescent="0.3">
      <c r="A1903" s="34">
        <v>24662</v>
      </c>
      <c r="B1903" s="35">
        <v>1</v>
      </c>
      <c r="C1903" s="35">
        <v>1</v>
      </c>
      <c r="D1903" s="2">
        <f t="shared" si="29"/>
        <v>2</v>
      </c>
    </row>
    <row r="1904" spans="1:4" x14ac:dyDescent="0.3">
      <c r="A1904" s="34">
        <v>24674</v>
      </c>
      <c r="B1904" s="35">
        <v>1</v>
      </c>
      <c r="C1904" s="35">
        <v>1</v>
      </c>
      <c r="D1904" s="2">
        <f t="shared" si="29"/>
        <v>2</v>
      </c>
    </row>
    <row r="1905" spans="1:4" x14ac:dyDescent="0.3">
      <c r="A1905" s="34">
        <v>24683</v>
      </c>
      <c r="B1905" s="35">
        <v>3</v>
      </c>
      <c r="C1905" s="35">
        <v>2</v>
      </c>
      <c r="D1905" s="2">
        <f t="shared" si="29"/>
        <v>5</v>
      </c>
    </row>
    <row r="1906" spans="1:4" x14ac:dyDescent="0.3">
      <c r="A1906" s="34">
        <v>24690</v>
      </c>
      <c r="B1906" s="35">
        <v>1</v>
      </c>
      <c r="C1906" s="35">
        <v>0</v>
      </c>
      <c r="D1906" s="2">
        <f t="shared" si="29"/>
        <v>1</v>
      </c>
    </row>
    <row r="1907" spans="1:4" x14ac:dyDescent="0.3">
      <c r="A1907" s="34">
        <v>24695</v>
      </c>
      <c r="B1907" s="35">
        <v>1</v>
      </c>
      <c r="C1907" s="35">
        <v>0</v>
      </c>
      <c r="D1907" s="2">
        <f t="shared" si="29"/>
        <v>1</v>
      </c>
    </row>
    <row r="1908" spans="1:4" x14ac:dyDescent="0.3">
      <c r="A1908" s="34">
        <v>24700</v>
      </c>
      <c r="B1908" s="35">
        <v>1</v>
      </c>
      <c r="C1908" s="35">
        <v>0</v>
      </c>
      <c r="D1908" s="2">
        <f t="shared" si="29"/>
        <v>1</v>
      </c>
    </row>
    <row r="1909" spans="1:4" x14ac:dyDescent="0.3">
      <c r="A1909" s="34">
        <v>24708</v>
      </c>
      <c r="B1909" s="35">
        <v>1</v>
      </c>
      <c r="C1909" s="35">
        <v>1</v>
      </c>
      <c r="D1909" s="2">
        <f t="shared" si="29"/>
        <v>2</v>
      </c>
    </row>
    <row r="1910" spans="1:4" x14ac:dyDescent="0.3">
      <c r="A1910" s="34">
        <v>24709</v>
      </c>
      <c r="B1910" s="35">
        <v>1</v>
      </c>
      <c r="C1910" s="35">
        <v>0</v>
      </c>
      <c r="D1910" s="2">
        <f t="shared" si="29"/>
        <v>1</v>
      </c>
    </row>
    <row r="1911" spans="1:4" x14ac:dyDescent="0.3">
      <c r="A1911" s="34">
        <v>24720</v>
      </c>
      <c r="B1911" s="35">
        <v>1</v>
      </c>
      <c r="C1911" s="35">
        <v>0</v>
      </c>
      <c r="D1911" s="2">
        <f t="shared" si="29"/>
        <v>1</v>
      </c>
    </row>
    <row r="1912" spans="1:4" x14ac:dyDescent="0.3">
      <c r="A1912" s="34">
        <v>24726</v>
      </c>
      <c r="B1912" s="35">
        <v>2</v>
      </c>
      <c r="C1912" s="35">
        <v>1</v>
      </c>
      <c r="D1912" s="2">
        <f t="shared" si="29"/>
        <v>3</v>
      </c>
    </row>
    <row r="1913" spans="1:4" x14ac:dyDescent="0.3">
      <c r="A1913" s="34">
        <v>24733</v>
      </c>
      <c r="B1913" s="35">
        <v>1</v>
      </c>
      <c r="C1913" s="35">
        <v>1</v>
      </c>
      <c r="D1913" s="2">
        <f t="shared" si="29"/>
        <v>2</v>
      </c>
    </row>
    <row r="1914" spans="1:4" x14ac:dyDescent="0.3">
      <c r="A1914" s="34">
        <v>24739</v>
      </c>
      <c r="B1914" s="35">
        <v>1</v>
      </c>
      <c r="C1914" s="35">
        <v>1</v>
      </c>
      <c r="D1914" s="2">
        <f t="shared" si="29"/>
        <v>2</v>
      </c>
    </row>
    <row r="1915" spans="1:4" x14ac:dyDescent="0.3">
      <c r="A1915" s="34">
        <v>24742</v>
      </c>
      <c r="B1915" s="35">
        <v>1</v>
      </c>
      <c r="C1915" s="35">
        <v>0</v>
      </c>
      <c r="D1915" s="2">
        <f t="shared" si="29"/>
        <v>1</v>
      </c>
    </row>
    <row r="1916" spans="1:4" x14ac:dyDescent="0.3">
      <c r="A1916" s="34">
        <v>24746</v>
      </c>
      <c r="B1916" s="35">
        <v>2</v>
      </c>
      <c r="C1916" s="35">
        <v>2</v>
      </c>
      <c r="D1916" s="2">
        <f t="shared" si="29"/>
        <v>4</v>
      </c>
    </row>
    <row r="1917" spans="1:4" x14ac:dyDescent="0.3">
      <c r="A1917" s="34">
        <v>24749</v>
      </c>
      <c r="B1917" s="35">
        <v>1</v>
      </c>
      <c r="C1917" s="35">
        <v>0</v>
      </c>
      <c r="D1917" s="2">
        <f t="shared" si="29"/>
        <v>1</v>
      </c>
    </row>
    <row r="1918" spans="1:4" x14ac:dyDescent="0.3">
      <c r="A1918" s="34">
        <v>24754</v>
      </c>
      <c r="B1918" s="35">
        <v>1</v>
      </c>
      <c r="C1918" s="35">
        <v>0</v>
      </c>
      <c r="D1918" s="2">
        <f t="shared" si="29"/>
        <v>1</v>
      </c>
    </row>
    <row r="1919" spans="1:4" x14ac:dyDescent="0.3">
      <c r="A1919" s="34">
        <v>24756</v>
      </c>
      <c r="B1919" s="35">
        <v>1</v>
      </c>
      <c r="C1919" s="35">
        <v>0</v>
      </c>
      <c r="D1919" s="2">
        <f t="shared" si="29"/>
        <v>1</v>
      </c>
    </row>
    <row r="1920" spans="1:4" x14ac:dyDescent="0.3">
      <c r="A1920" s="34">
        <v>24758</v>
      </c>
      <c r="B1920" s="35">
        <v>1</v>
      </c>
      <c r="C1920" s="35">
        <v>0</v>
      </c>
      <c r="D1920" s="2">
        <f t="shared" si="29"/>
        <v>1</v>
      </c>
    </row>
    <row r="1921" spans="1:4" x14ac:dyDescent="0.3">
      <c r="A1921" s="34">
        <v>24759</v>
      </c>
      <c r="B1921" s="35">
        <v>1</v>
      </c>
      <c r="C1921" s="35">
        <v>1</v>
      </c>
      <c r="D1921" s="2">
        <f t="shared" si="29"/>
        <v>2</v>
      </c>
    </row>
    <row r="1922" spans="1:4" x14ac:dyDescent="0.3">
      <c r="A1922" s="34">
        <v>24764</v>
      </c>
      <c r="B1922" s="35">
        <v>1</v>
      </c>
      <c r="C1922" s="35">
        <v>0</v>
      </c>
      <c r="D1922" s="2">
        <f t="shared" si="29"/>
        <v>1</v>
      </c>
    </row>
    <row r="1923" spans="1:4" x14ac:dyDescent="0.3">
      <c r="A1923" s="34">
        <v>24772</v>
      </c>
      <c r="B1923" s="35">
        <v>1</v>
      </c>
      <c r="C1923" s="35">
        <v>0</v>
      </c>
      <c r="D1923" s="2">
        <f t="shared" ref="D1923:D1986" si="30">B1923+C1923</f>
        <v>1</v>
      </c>
    </row>
    <row r="1924" spans="1:4" x14ac:dyDescent="0.3">
      <c r="A1924" s="34">
        <v>24774</v>
      </c>
      <c r="B1924" s="35">
        <v>1</v>
      </c>
      <c r="C1924" s="35">
        <v>0</v>
      </c>
      <c r="D1924" s="2">
        <f t="shared" si="30"/>
        <v>1</v>
      </c>
    </row>
    <row r="1925" spans="1:4" x14ac:dyDescent="0.3">
      <c r="A1925" s="34">
        <v>24783</v>
      </c>
      <c r="B1925" s="35">
        <v>1</v>
      </c>
      <c r="C1925" s="35">
        <v>0</v>
      </c>
      <c r="D1925" s="2">
        <f t="shared" si="30"/>
        <v>1</v>
      </c>
    </row>
    <row r="1926" spans="1:4" x14ac:dyDescent="0.3">
      <c r="A1926" s="34">
        <v>24799</v>
      </c>
      <c r="B1926" s="35">
        <v>1</v>
      </c>
      <c r="C1926" s="35">
        <v>0</v>
      </c>
      <c r="D1926" s="2">
        <f t="shared" si="30"/>
        <v>1</v>
      </c>
    </row>
    <row r="1927" spans="1:4" x14ac:dyDescent="0.3">
      <c r="A1927" s="34">
        <v>24809</v>
      </c>
      <c r="B1927" s="35">
        <v>1</v>
      </c>
      <c r="C1927" s="35">
        <v>1</v>
      </c>
      <c r="D1927" s="2">
        <f t="shared" si="30"/>
        <v>2</v>
      </c>
    </row>
    <row r="1928" spans="1:4" x14ac:dyDescent="0.3">
      <c r="A1928" s="34">
        <v>24823</v>
      </c>
      <c r="B1928" s="35">
        <v>1</v>
      </c>
      <c r="C1928" s="35">
        <v>0</v>
      </c>
      <c r="D1928" s="2">
        <f t="shared" si="30"/>
        <v>1</v>
      </c>
    </row>
    <row r="1929" spans="1:4" x14ac:dyDescent="0.3">
      <c r="A1929" s="34">
        <v>24828</v>
      </c>
      <c r="B1929" s="35">
        <v>1</v>
      </c>
      <c r="C1929" s="35">
        <v>0</v>
      </c>
      <c r="D1929" s="2">
        <f t="shared" si="30"/>
        <v>1</v>
      </c>
    </row>
    <row r="1930" spans="1:4" x14ac:dyDescent="0.3">
      <c r="A1930" s="34">
        <v>24832</v>
      </c>
      <c r="B1930" s="35">
        <v>1</v>
      </c>
      <c r="C1930" s="35">
        <v>0</v>
      </c>
      <c r="D1930" s="2">
        <f t="shared" si="30"/>
        <v>1</v>
      </c>
    </row>
    <row r="1931" spans="1:4" x14ac:dyDescent="0.3">
      <c r="A1931" s="34">
        <v>24835</v>
      </c>
      <c r="B1931" s="35">
        <v>1</v>
      </c>
      <c r="C1931" s="35">
        <v>0</v>
      </c>
      <c r="D1931" s="2">
        <f t="shared" si="30"/>
        <v>1</v>
      </c>
    </row>
    <row r="1932" spans="1:4" x14ac:dyDescent="0.3">
      <c r="A1932" s="34">
        <v>24836</v>
      </c>
      <c r="B1932" s="35">
        <v>1</v>
      </c>
      <c r="C1932" s="35">
        <v>0</v>
      </c>
      <c r="D1932" s="2">
        <f t="shared" si="30"/>
        <v>1</v>
      </c>
    </row>
    <row r="1933" spans="1:4" x14ac:dyDescent="0.3">
      <c r="A1933" s="34">
        <v>24837</v>
      </c>
      <c r="B1933" s="35">
        <v>1</v>
      </c>
      <c r="C1933" s="35">
        <v>0</v>
      </c>
      <c r="D1933" s="2">
        <f t="shared" si="30"/>
        <v>1</v>
      </c>
    </row>
    <row r="1934" spans="1:4" x14ac:dyDescent="0.3">
      <c r="A1934" s="34">
        <v>24838</v>
      </c>
      <c r="B1934" s="35">
        <v>1</v>
      </c>
      <c r="C1934" s="35">
        <v>1</v>
      </c>
      <c r="D1934" s="2">
        <f t="shared" si="30"/>
        <v>2</v>
      </c>
    </row>
    <row r="1935" spans="1:4" x14ac:dyDescent="0.3">
      <c r="A1935" s="34">
        <v>24847</v>
      </c>
      <c r="B1935" s="35">
        <v>1</v>
      </c>
      <c r="C1935" s="35">
        <v>0</v>
      </c>
      <c r="D1935" s="2">
        <f t="shared" si="30"/>
        <v>1</v>
      </c>
    </row>
    <row r="1936" spans="1:4" x14ac:dyDescent="0.3">
      <c r="A1936" s="34">
        <v>24848</v>
      </c>
      <c r="B1936" s="35">
        <v>1</v>
      </c>
      <c r="C1936" s="35">
        <v>1</v>
      </c>
      <c r="D1936" s="2">
        <f t="shared" si="30"/>
        <v>2</v>
      </c>
    </row>
    <row r="1937" spans="1:4" x14ac:dyDescent="0.3">
      <c r="A1937" s="34">
        <v>24853</v>
      </c>
      <c r="B1937" s="35">
        <v>1</v>
      </c>
      <c r="C1937" s="35">
        <v>0</v>
      </c>
      <c r="D1937" s="2">
        <f t="shared" si="30"/>
        <v>1</v>
      </c>
    </row>
    <row r="1938" spans="1:4" x14ac:dyDescent="0.3">
      <c r="A1938" s="34">
        <v>24871</v>
      </c>
      <c r="B1938" s="35">
        <v>1</v>
      </c>
      <c r="C1938" s="35">
        <v>0</v>
      </c>
      <c r="D1938" s="2">
        <f t="shared" si="30"/>
        <v>1</v>
      </c>
    </row>
    <row r="1939" spans="1:4" x14ac:dyDescent="0.3">
      <c r="A1939" s="34">
        <v>24878</v>
      </c>
      <c r="B1939" s="35">
        <v>1</v>
      </c>
      <c r="C1939" s="35">
        <v>0</v>
      </c>
      <c r="D1939" s="2">
        <f t="shared" si="30"/>
        <v>1</v>
      </c>
    </row>
    <row r="1940" spans="1:4" x14ac:dyDescent="0.3">
      <c r="A1940" s="34">
        <v>24895</v>
      </c>
      <c r="B1940" s="35">
        <v>1</v>
      </c>
      <c r="C1940" s="35">
        <v>0</v>
      </c>
      <c r="D1940" s="2">
        <f t="shared" si="30"/>
        <v>1</v>
      </c>
    </row>
    <row r="1941" spans="1:4" x14ac:dyDescent="0.3">
      <c r="A1941" s="34">
        <v>24903</v>
      </c>
      <c r="B1941" s="35">
        <v>1</v>
      </c>
      <c r="C1941" s="35">
        <v>0</v>
      </c>
      <c r="D1941" s="2">
        <f t="shared" si="30"/>
        <v>1</v>
      </c>
    </row>
    <row r="1942" spans="1:4" x14ac:dyDescent="0.3">
      <c r="A1942" s="34">
        <v>24904</v>
      </c>
      <c r="B1942" s="35">
        <v>1</v>
      </c>
      <c r="C1942" s="35">
        <v>0</v>
      </c>
      <c r="D1942" s="2">
        <f t="shared" si="30"/>
        <v>1</v>
      </c>
    </row>
    <row r="1943" spans="1:4" x14ac:dyDescent="0.3">
      <c r="A1943" s="34">
        <v>24918</v>
      </c>
      <c r="B1943" s="35">
        <v>1</v>
      </c>
      <c r="C1943" s="35">
        <v>0</v>
      </c>
      <c r="D1943" s="2">
        <f t="shared" si="30"/>
        <v>1</v>
      </c>
    </row>
    <row r="1944" spans="1:4" x14ac:dyDescent="0.3">
      <c r="A1944" s="34">
        <v>24922</v>
      </c>
      <c r="B1944" s="35">
        <v>1</v>
      </c>
      <c r="C1944" s="35">
        <v>0</v>
      </c>
      <c r="D1944" s="2">
        <f t="shared" si="30"/>
        <v>1</v>
      </c>
    </row>
    <row r="1945" spans="1:4" x14ac:dyDescent="0.3">
      <c r="A1945" s="34">
        <v>24951</v>
      </c>
      <c r="B1945" s="35">
        <v>1</v>
      </c>
      <c r="C1945" s="35">
        <v>1</v>
      </c>
      <c r="D1945" s="2">
        <f t="shared" si="30"/>
        <v>2</v>
      </c>
    </row>
    <row r="1946" spans="1:4" x14ac:dyDescent="0.3">
      <c r="A1946" s="34">
        <v>24955</v>
      </c>
      <c r="B1946" s="35">
        <v>1</v>
      </c>
      <c r="C1946" s="35">
        <v>0</v>
      </c>
      <c r="D1946" s="2">
        <f t="shared" si="30"/>
        <v>1</v>
      </c>
    </row>
    <row r="1947" spans="1:4" x14ac:dyDescent="0.3">
      <c r="A1947" s="34">
        <v>24956</v>
      </c>
      <c r="B1947" s="35">
        <v>1</v>
      </c>
      <c r="C1947" s="35">
        <v>0</v>
      </c>
      <c r="D1947" s="2">
        <f t="shared" si="30"/>
        <v>1</v>
      </c>
    </row>
    <row r="1948" spans="1:4" x14ac:dyDescent="0.3">
      <c r="A1948" s="34">
        <v>24963</v>
      </c>
      <c r="B1948" s="35">
        <v>1</v>
      </c>
      <c r="C1948" s="35">
        <v>0</v>
      </c>
      <c r="D1948" s="2">
        <f t="shared" si="30"/>
        <v>1</v>
      </c>
    </row>
    <row r="1949" spans="1:4" x14ac:dyDescent="0.3">
      <c r="A1949" s="34">
        <v>24964</v>
      </c>
      <c r="B1949" s="35">
        <v>1</v>
      </c>
      <c r="C1949" s="35">
        <v>0</v>
      </c>
      <c r="D1949" s="2">
        <f t="shared" si="30"/>
        <v>1</v>
      </c>
    </row>
    <row r="1950" spans="1:4" x14ac:dyDescent="0.3">
      <c r="A1950" s="34">
        <v>24969</v>
      </c>
      <c r="B1950" s="35">
        <v>1</v>
      </c>
      <c r="C1950" s="35">
        <v>0</v>
      </c>
      <c r="D1950" s="2">
        <f t="shared" si="30"/>
        <v>1</v>
      </c>
    </row>
    <row r="1951" spans="1:4" x14ac:dyDescent="0.3">
      <c r="A1951" s="34">
        <v>24970</v>
      </c>
      <c r="B1951" s="35">
        <v>1</v>
      </c>
      <c r="C1951" s="35">
        <v>0</v>
      </c>
      <c r="D1951" s="2">
        <f t="shared" si="30"/>
        <v>1</v>
      </c>
    </row>
    <row r="1952" spans="1:4" x14ac:dyDescent="0.3">
      <c r="A1952" s="34">
        <v>24976</v>
      </c>
      <c r="B1952" s="35">
        <v>1</v>
      </c>
      <c r="C1952" s="35">
        <v>0</v>
      </c>
      <c r="D1952" s="2">
        <f t="shared" si="30"/>
        <v>1</v>
      </c>
    </row>
    <row r="1953" spans="1:4" x14ac:dyDescent="0.3">
      <c r="A1953" s="34">
        <v>24982</v>
      </c>
      <c r="B1953" s="35">
        <v>2</v>
      </c>
      <c r="C1953" s="35">
        <v>2</v>
      </c>
      <c r="D1953" s="2">
        <f t="shared" si="30"/>
        <v>4</v>
      </c>
    </row>
    <row r="1954" spans="1:4" x14ac:dyDescent="0.3">
      <c r="A1954" s="34">
        <v>24983</v>
      </c>
      <c r="B1954" s="35">
        <v>1</v>
      </c>
      <c r="C1954" s="35">
        <v>0</v>
      </c>
      <c r="D1954" s="2">
        <f t="shared" si="30"/>
        <v>1</v>
      </c>
    </row>
    <row r="1955" spans="1:4" x14ac:dyDescent="0.3">
      <c r="A1955" s="34">
        <v>24987</v>
      </c>
      <c r="B1955" s="35">
        <v>1</v>
      </c>
      <c r="C1955" s="35">
        <v>0</v>
      </c>
      <c r="D1955" s="2">
        <f t="shared" si="30"/>
        <v>1</v>
      </c>
    </row>
    <row r="1956" spans="1:4" x14ac:dyDescent="0.3">
      <c r="A1956" s="34">
        <v>24990</v>
      </c>
      <c r="B1956" s="35">
        <v>1</v>
      </c>
      <c r="C1956" s="35">
        <v>0</v>
      </c>
      <c r="D1956" s="2">
        <f t="shared" si="30"/>
        <v>1</v>
      </c>
    </row>
    <row r="1957" spans="1:4" x14ac:dyDescent="0.3">
      <c r="A1957" s="34">
        <v>24992</v>
      </c>
      <c r="B1957" s="35">
        <v>1</v>
      </c>
      <c r="C1957" s="35">
        <v>0</v>
      </c>
      <c r="D1957" s="2">
        <f t="shared" si="30"/>
        <v>1</v>
      </c>
    </row>
    <row r="1958" spans="1:4" x14ac:dyDescent="0.3">
      <c r="A1958" s="34">
        <v>24993</v>
      </c>
      <c r="B1958" s="35">
        <v>1</v>
      </c>
      <c r="C1958" s="35">
        <v>1</v>
      </c>
      <c r="D1958" s="2">
        <f t="shared" si="30"/>
        <v>2</v>
      </c>
    </row>
    <row r="1959" spans="1:4" x14ac:dyDescent="0.3">
      <c r="A1959" s="34">
        <v>25002</v>
      </c>
      <c r="B1959" s="35">
        <v>1</v>
      </c>
      <c r="C1959" s="35">
        <v>0</v>
      </c>
      <c r="D1959" s="2">
        <f t="shared" si="30"/>
        <v>1</v>
      </c>
    </row>
    <row r="1960" spans="1:4" x14ac:dyDescent="0.3">
      <c r="A1960" s="34">
        <v>25005</v>
      </c>
      <c r="B1960" s="35">
        <v>1</v>
      </c>
      <c r="C1960" s="35">
        <v>0</v>
      </c>
      <c r="D1960" s="2">
        <f t="shared" si="30"/>
        <v>1</v>
      </c>
    </row>
    <row r="1961" spans="1:4" x14ac:dyDescent="0.3">
      <c r="A1961" s="34">
        <v>25006</v>
      </c>
      <c r="B1961" s="35">
        <v>1</v>
      </c>
      <c r="C1961" s="35">
        <v>1</v>
      </c>
      <c r="D1961" s="2">
        <f t="shared" si="30"/>
        <v>2</v>
      </c>
    </row>
    <row r="1962" spans="1:4" x14ac:dyDescent="0.3">
      <c r="A1962" s="34">
        <v>25016</v>
      </c>
      <c r="B1962" s="35">
        <v>1</v>
      </c>
      <c r="C1962" s="35">
        <v>0</v>
      </c>
      <c r="D1962" s="2">
        <f t="shared" si="30"/>
        <v>1</v>
      </c>
    </row>
    <row r="1963" spans="1:4" x14ac:dyDescent="0.3">
      <c r="A1963" s="34">
        <v>25017</v>
      </c>
      <c r="B1963" s="35">
        <v>1</v>
      </c>
      <c r="C1963" s="35">
        <v>1</v>
      </c>
      <c r="D1963" s="2">
        <f t="shared" si="30"/>
        <v>2</v>
      </c>
    </row>
    <row r="1964" spans="1:4" x14ac:dyDescent="0.3">
      <c r="A1964" s="34">
        <v>25024</v>
      </c>
      <c r="B1964" s="35">
        <v>1</v>
      </c>
      <c r="C1964" s="35">
        <v>0</v>
      </c>
      <c r="D1964" s="2">
        <f t="shared" si="30"/>
        <v>1</v>
      </c>
    </row>
    <row r="1965" spans="1:4" x14ac:dyDescent="0.3">
      <c r="A1965" s="34">
        <v>25026</v>
      </c>
      <c r="B1965" s="35">
        <v>1</v>
      </c>
      <c r="C1965" s="35">
        <v>0</v>
      </c>
      <c r="D1965" s="2">
        <f t="shared" si="30"/>
        <v>1</v>
      </c>
    </row>
    <row r="1966" spans="1:4" x14ac:dyDescent="0.3">
      <c r="A1966" s="34">
        <v>25028</v>
      </c>
      <c r="B1966" s="35">
        <v>1</v>
      </c>
      <c r="C1966" s="35">
        <v>0</v>
      </c>
      <c r="D1966" s="2">
        <f t="shared" si="30"/>
        <v>1</v>
      </c>
    </row>
    <row r="1967" spans="1:4" x14ac:dyDescent="0.3">
      <c r="A1967" s="34">
        <v>25031</v>
      </c>
      <c r="B1967" s="35">
        <v>1</v>
      </c>
      <c r="C1967" s="35">
        <v>0</v>
      </c>
      <c r="D1967" s="2">
        <f t="shared" si="30"/>
        <v>1</v>
      </c>
    </row>
    <row r="1968" spans="1:4" x14ac:dyDescent="0.3">
      <c r="A1968" s="34">
        <v>25032</v>
      </c>
      <c r="B1968" s="35">
        <v>1</v>
      </c>
      <c r="C1968" s="35">
        <v>0</v>
      </c>
      <c r="D1968" s="2">
        <f t="shared" si="30"/>
        <v>1</v>
      </c>
    </row>
    <row r="1969" spans="1:4" x14ac:dyDescent="0.3">
      <c r="A1969" s="34">
        <v>25036</v>
      </c>
      <c r="B1969" s="35">
        <v>1</v>
      </c>
      <c r="C1969" s="35">
        <v>0</v>
      </c>
      <c r="D1969" s="2">
        <f t="shared" si="30"/>
        <v>1</v>
      </c>
    </row>
    <row r="1970" spans="1:4" x14ac:dyDescent="0.3">
      <c r="A1970" s="34">
        <v>25038</v>
      </c>
      <c r="B1970" s="35">
        <v>1</v>
      </c>
      <c r="C1970" s="35">
        <v>0</v>
      </c>
      <c r="D1970" s="2">
        <f t="shared" si="30"/>
        <v>1</v>
      </c>
    </row>
    <row r="1971" spans="1:4" x14ac:dyDescent="0.3">
      <c r="A1971" s="34">
        <v>25042</v>
      </c>
      <c r="B1971" s="35">
        <v>2</v>
      </c>
      <c r="C1971" s="35">
        <v>1</v>
      </c>
      <c r="D1971" s="2">
        <f t="shared" si="30"/>
        <v>3</v>
      </c>
    </row>
    <row r="1972" spans="1:4" x14ac:dyDescent="0.3">
      <c r="A1972" s="34">
        <v>25043</v>
      </c>
      <c r="B1972" s="35">
        <v>1</v>
      </c>
      <c r="C1972" s="35">
        <v>0</v>
      </c>
      <c r="D1972" s="2">
        <f t="shared" si="30"/>
        <v>1</v>
      </c>
    </row>
    <row r="1973" spans="1:4" x14ac:dyDescent="0.3">
      <c r="A1973" s="34">
        <v>25050</v>
      </c>
      <c r="B1973" s="35">
        <v>1</v>
      </c>
      <c r="C1973" s="35">
        <v>0</v>
      </c>
      <c r="D1973" s="2">
        <f t="shared" si="30"/>
        <v>1</v>
      </c>
    </row>
    <row r="1974" spans="1:4" x14ac:dyDescent="0.3">
      <c r="A1974" s="34">
        <v>25055</v>
      </c>
      <c r="B1974" s="35">
        <v>1</v>
      </c>
      <c r="C1974" s="35">
        <v>0</v>
      </c>
      <c r="D1974" s="2">
        <f t="shared" si="30"/>
        <v>1</v>
      </c>
    </row>
    <row r="1975" spans="1:4" x14ac:dyDescent="0.3">
      <c r="A1975" s="34">
        <v>25063</v>
      </c>
      <c r="B1975" s="35">
        <v>1</v>
      </c>
      <c r="C1975" s="35">
        <v>0</v>
      </c>
      <c r="D1975" s="2">
        <f t="shared" si="30"/>
        <v>1</v>
      </c>
    </row>
    <row r="1976" spans="1:4" x14ac:dyDescent="0.3">
      <c r="A1976" s="34">
        <v>25070</v>
      </c>
      <c r="B1976" s="35">
        <v>2</v>
      </c>
      <c r="C1976" s="35">
        <v>0</v>
      </c>
      <c r="D1976" s="2">
        <f t="shared" si="30"/>
        <v>2</v>
      </c>
    </row>
    <row r="1977" spans="1:4" x14ac:dyDescent="0.3">
      <c r="A1977" s="34">
        <v>25074</v>
      </c>
      <c r="B1977" s="35">
        <v>1</v>
      </c>
      <c r="C1977" s="35">
        <v>0</v>
      </c>
      <c r="D1977" s="2">
        <f t="shared" si="30"/>
        <v>1</v>
      </c>
    </row>
    <row r="1978" spans="1:4" x14ac:dyDescent="0.3">
      <c r="A1978" s="34">
        <v>25075</v>
      </c>
      <c r="B1978" s="35">
        <v>2</v>
      </c>
      <c r="C1978" s="35">
        <v>1</v>
      </c>
      <c r="D1978" s="2">
        <f t="shared" si="30"/>
        <v>3</v>
      </c>
    </row>
    <row r="1979" spans="1:4" x14ac:dyDescent="0.3">
      <c r="A1979" s="34">
        <v>25077</v>
      </c>
      <c r="B1979" s="35">
        <v>1</v>
      </c>
      <c r="C1979" s="35">
        <v>0</v>
      </c>
      <c r="D1979" s="2">
        <f t="shared" si="30"/>
        <v>1</v>
      </c>
    </row>
    <row r="1980" spans="1:4" x14ac:dyDescent="0.3">
      <c r="A1980" s="34">
        <v>25085</v>
      </c>
      <c r="B1980" s="35">
        <v>2</v>
      </c>
      <c r="C1980" s="35">
        <v>0</v>
      </c>
      <c r="D1980" s="2">
        <f t="shared" si="30"/>
        <v>2</v>
      </c>
    </row>
    <row r="1981" spans="1:4" x14ac:dyDescent="0.3">
      <c r="A1981" s="34">
        <v>25086</v>
      </c>
      <c r="B1981" s="35">
        <v>1</v>
      </c>
      <c r="C1981" s="35">
        <v>0</v>
      </c>
      <c r="D1981" s="2">
        <f t="shared" si="30"/>
        <v>1</v>
      </c>
    </row>
    <row r="1982" spans="1:4" x14ac:dyDescent="0.3">
      <c r="A1982" s="34">
        <v>25088</v>
      </c>
      <c r="B1982" s="35">
        <v>1</v>
      </c>
      <c r="C1982" s="35">
        <v>0</v>
      </c>
      <c r="D1982" s="2">
        <f t="shared" si="30"/>
        <v>1</v>
      </c>
    </row>
    <row r="1983" spans="1:4" x14ac:dyDescent="0.3">
      <c r="A1983" s="34">
        <v>25099</v>
      </c>
      <c r="B1983" s="35">
        <v>1</v>
      </c>
      <c r="C1983" s="35">
        <v>0</v>
      </c>
      <c r="D1983" s="2">
        <f t="shared" si="30"/>
        <v>1</v>
      </c>
    </row>
    <row r="1984" spans="1:4" x14ac:dyDescent="0.3">
      <c r="A1984" s="34">
        <v>25116</v>
      </c>
      <c r="B1984" s="35">
        <v>1</v>
      </c>
      <c r="C1984" s="35">
        <v>0</v>
      </c>
      <c r="D1984" s="2">
        <f t="shared" si="30"/>
        <v>1</v>
      </c>
    </row>
    <row r="1985" spans="1:4" x14ac:dyDescent="0.3">
      <c r="A1985" s="34">
        <v>25119</v>
      </c>
      <c r="B1985" s="35">
        <v>1</v>
      </c>
      <c r="C1985" s="35">
        <v>0</v>
      </c>
      <c r="D1985" s="2">
        <f t="shared" si="30"/>
        <v>1</v>
      </c>
    </row>
    <row r="1986" spans="1:4" x14ac:dyDescent="0.3">
      <c r="A1986" s="34">
        <v>25120</v>
      </c>
      <c r="B1986" s="35">
        <v>1</v>
      </c>
      <c r="C1986" s="35">
        <v>0</v>
      </c>
      <c r="D1986" s="2">
        <f t="shared" si="30"/>
        <v>1</v>
      </c>
    </row>
    <row r="1987" spans="1:4" x14ac:dyDescent="0.3">
      <c r="A1987" s="34">
        <v>25124</v>
      </c>
      <c r="B1987" s="35">
        <v>1</v>
      </c>
      <c r="C1987" s="35">
        <v>0</v>
      </c>
      <c r="D1987" s="2">
        <f t="shared" ref="D1987:D2050" si="31">B1987+C1987</f>
        <v>1</v>
      </c>
    </row>
    <row r="1988" spans="1:4" x14ac:dyDescent="0.3">
      <c r="A1988" s="34">
        <v>25134</v>
      </c>
      <c r="B1988" s="35">
        <v>2</v>
      </c>
      <c r="C1988" s="35">
        <v>0</v>
      </c>
      <c r="D1988" s="2">
        <f t="shared" si="31"/>
        <v>2</v>
      </c>
    </row>
    <row r="1989" spans="1:4" x14ac:dyDescent="0.3">
      <c r="A1989" s="34">
        <v>25135</v>
      </c>
      <c r="B1989" s="35">
        <v>1</v>
      </c>
      <c r="C1989" s="35">
        <v>0</v>
      </c>
      <c r="D1989" s="2">
        <f t="shared" si="31"/>
        <v>1</v>
      </c>
    </row>
    <row r="1990" spans="1:4" x14ac:dyDescent="0.3">
      <c r="A1990" s="34">
        <v>25140</v>
      </c>
      <c r="B1990" s="35">
        <v>1</v>
      </c>
      <c r="C1990" s="35">
        <v>0</v>
      </c>
      <c r="D1990" s="2">
        <f t="shared" si="31"/>
        <v>1</v>
      </c>
    </row>
    <row r="1991" spans="1:4" x14ac:dyDescent="0.3">
      <c r="A1991" s="34">
        <v>25146</v>
      </c>
      <c r="B1991" s="35">
        <v>1</v>
      </c>
      <c r="C1991" s="35">
        <v>0</v>
      </c>
      <c r="D1991" s="2">
        <f t="shared" si="31"/>
        <v>1</v>
      </c>
    </row>
    <row r="1992" spans="1:4" x14ac:dyDescent="0.3">
      <c r="A1992" s="34">
        <v>25149</v>
      </c>
      <c r="B1992" s="35">
        <v>1</v>
      </c>
      <c r="C1992" s="35">
        <v>1</v>
      </c>
      <c r="D1992" s="2">
        <f t="shared" si="31"/>
        <v>2</v>
      </c>
    </row>
    <row r="1993" spans="1:4" x14ac:dyDescent="0.3">
      <c r="A1993" s="34">
        <v>25191</v>
      </c>
      <c r="B1993" s="35">
        <v>1</v>
      </c>
      <c r="C1993" s="35">
        <v>0</v>
      </c>
      <c r="D1993" s="2">
        <f t="shared" si="31"/>
        <v>1</v>
      </c>
    </row>
    <row r="1994" spans="1:4" x14ac:dyDescent="0.3">
      <c r="A1994" s="34">
        <v>25200</v>
      </c>
      <c r="B1994" s="35">
        <v>1</v>
      </c>
      <c r="C1994" s="35">
        <v>0</v>
      </c>
      <c r="D1994" s="2">
        <f t="shared" si="31"/>
        <v>1</v>
      </c>
    </row>
    <row r="1995" spans="1:4" x14ac:dyDescent="0.3">
      <c r="A1995" s="34">
        <v>25223</v>
      </c>
      <c r="B1995" s="35">
        <v>1</v>
      </c>
      <c r="C1995" s="35">
        <v>0</v>
      </c>
      <c r="D1995" s="2">
        <f t="shared" si="31"/>
        <v>1</v>
      </c>
    </row>
    <row r="1996" spans="1:4" x14ac:dyDescent="0.3">
      <c r="A1996" s="34">
        <v>25224</v>
      </c>
      <c r="B1996" s="35">
        <v>2</v>
      </c>
      <c r="C1996" s="35">
        <v>0</v>
      </c>
      <c r="D1996" s="2">
        <f t="shared" si="31"/>
        <v>2</v>
      </c>
    </row>
    <row r="1997" spans="1:4" x14ac:dyDescent="0.3">
      <c r="A1997" s="34">
        <v>25427</v>
      </c>
      <c r="B1997" s="35">
        <v>1</v>
      </c>
      <c r="C1997" s="35">
        <v>0</v>
      </c>
      <c r="D1997" s="2">
        <f t="shared" si="31"/>
        <v>1</v>
      </c>
    </row>
    <row r="1998" spans="1:4" x14ac:dyDescent="0.3">
      <c r="A1998" s="34">
        <v>25431</v>
      </c>
      <c r="B1998" s="35">
        <v>1</v>
      </c>
      <c r="C1998" s="35">
        <v>0</v>
      </c>
      <c r="D1998" s="2">
        <f t="shared" si="31"/>
        <v>1</v>
      </c>
    </row>
    <row r="1999" spans="1:4" x14ac:dyDescent="0.3">
      <c r="A1999" s="34">
        <v>25455</v>
      </c>
      <c r="B1999" s="35">
        <v>1</v>
      </c>
      <c r="C1999" s="35">
        <v>1</v>
      </c>
      <c r="D1999" s="2">
        <f t="shared" si="31"/>
        <v>2</v>
      </c>
    </row>
    <row r="2000" spans="1:4" x14ac:dyDescent="0.3">
      <c r="A2000" s="34">
        <v>25467</v>
      </c>
      <c r="B2000" s="35">
        <v>1</v>
      </c>
      <c r="C2000" s="35">
        <v>0</v>
      </c>
      <c r="D2000" s="2">
        <f t="shared" si="31"/>
        <v>1</v>
      </c>
    </row>
    <row r="2001" spans="1:4" x14ac:dyDescent="0.3">
      <c r="A2001" s="34">
        <v>25468</v>
      </c>
      <c r="B2001" s="35">
        <v>1</v>
      </c>
      <c r="C2001" s="35">
        <v>0</v>
      </c>
      <c r="D2001" s="2">
        <f t="shared" si="31"/>
        <v>1</v>
      </c>
    </row>
    <row r="2002" spans="1:4" x14ac:dyDescent="0.3">
      <c r="A2002" s="34">
        <v>25469</v>
      </c>
      <c r="B2002" s="35">
        <v>1</v>
      </c>
      <c r="C2002" s="35">
        <v>0</v>
      </c>
      <c r="D2002" s="2">
        <f t="shared" si="31"/>
        <v>1</v>
      </c>
    </row>
    <row r="2003" spans="1:4" x14ac:dyDescent="0.3">
      <c r="A2003" s="34">
        <v>25472</v>
      </c>
      <c r="B2003" s="35">
        <v>1</v>
      </c>
      <c r="C2003" s="35">
        <v>0</v>
      </c>
      <c r="D2003" s="2">
        <f t="shared" si="31"/>
        <v>1</v>
      </c>
    </row>
    <row r="2004" spans="1:4" x14ac:dyDescent="0.3">
      <c r="A2004" s="34">
        <v>25479</v>
      </c>
      <c r="B2004" s="35">
        <v>1</v>
      </c>
      <c r="C2004" s="35">
        <v>1</v>
      </c>
      <c r="D2004" s="2">
        <f t="shared" si="31"/>
        <v>2</v>
      </c>
    </row>
    <row r="2005" spans="1:4" x14ac:dyDescent="0.3">
      <c r="A2005" s="34">
        <v>25481</v>
      </c>
      <c r="B2005" s="35">
        <v>2</v>
      </c>
      <c r="C2005" s="35">
        <v>1</v>
      </c>
      <c r="D2005" s="2">
        <f t="shared" si="31"/>
        <v>3</v>
      </c>
    </row>
    <row r="2006" spans="1:4" x14ac:dyDescent="0.3">
      <c r="A2006" s="34">
        <v>25482</v>
      </c>
      <c r="B2006" s="35">
        <v>2</v>
      </c>
      <c r="C2006" s="35">
        <v>1</v>
      </c>
      <c r="D2006" s="2">
        <f t="shared" si="31"/>
        <v>3</v>
      </c>
    </row>
    <row r="2007" spans="1:4" x14ac:dyDescent="0.3">
      <c r="A2007" s="34">
        <v>25489</v>
      </c>
      <c r="B2007" s="35">
        <v>1</v>
      </c>
      <c r="C2007" s="35">
        <v>1</v>
      </c>
      <c r="D2007" s="2">
        <f t="shared" si="31"/>
        <v>2</v>
      </c>
    </row>
    <row r="2008" spans="1:4" x14ac:dyDescent="0.3">
      <c r="A2008" s="34">
        <v>25507</v>
      </c>
      <c r="B2008" s="35">
        <v>1</v>
      </c>
      <c r="C2008" s="35">
        <v>0</v>
      </c>
      <c r="D2008" s="2">
        <f t="shared" si="31"/>
        <v>1</v>
      </c>
    </row>
    <row r="2009" spans="1:4" x14ac:dyDescent="0.3">
      <c r="A2009" s="34">
        <v>25518</v>
      </c>
      <c r="B2009" s="35">
        <v>1</v>
      </c>
      <c r="C2009" s="35">
        <v>0</v>
      </c>
      <c r="D2009" s="2">
        <f t="shared" si="31"/>
        <v>1</v>
      </c>
    </row>
    <row r="2010" spans="1:4" x14ac:dyDescent="0.3">
      <c r="A2010" s="34">
        <v>25527</v>
      </c>
      <c r="B2010" s="35">
        <v>2</v>
      </c>
      <c r="C2010" s="35">
        <v>1</v>
      </c>
      <c r="D2010" s="2">
        <f t="shared" si="31"/>
        <v>3</v>
      </c>
    </row>
    <row r="2011" spans="1:4" x14ac:dyDescent="0.3">
      <c r="A2011" s="34">
        <v>25528</v>
      </c>
      <c r="B2011" s="35">
        <v>1</v>
      </c>
      <c r="C2011" s="35">
        <v>1</v>
      </c>
      <c r="D2011" s="2">
        <f t="shared" si="31"/>
        <v>2</v>
      </c>
    </row>
    <row r="2012" spans="1:4" x14ac:dyDescent="0.3">
      <c r="A2012" s="34">
        <v>25530</v>
      </c>
      <c r="B2012" s="35">
        <v>2</v>
      </c>
      <c r="C2012" s="35">
        <v>1</v>
      </c>
      <c r="D2012" s="2">
        <f t="shared" si="31"/>
        <v>3</v>
      </c>
    </row>
    <row r="2013" spans="1:4" x14ac:dyDescent="0.3">
      <c r="A2013" s="34">
        <v>25537</v>
      </c>
      <c r="B2013" s="35">
        <v>1</v>
      </c>
      <c r="C2013" s="35">
        <v>0</v>
      </c>
      <c r="D2013" s="2">
        <f t="shared" si="31"/>
        <v>1</v>
      </c>
    </row>
    <row r="2014" spans="1:4" x14ac:dyDescent="0.3">
      <c r="A2014" s="34">
        <v>25538</v>
      </c>
      <c r="B2014" s="35">
        <v>1</v>
      </c>
      <c r="C2014" s="35">
        <v>0</v>
      </c>
      <c r="D2014" s="2">
        <f t="shared" si="31"/>
        <v>1</v>
      </c>
    </row>
    <row r="2015" spans="1:4" x14ac:dyDescent="0.3">
      <c r="A2015" s="34">
        <v>25541</v>
      </c>
      <c r="B2015" s="35">
        <v>1</v>
      </c>
      <c r="C2015" s="35">
        <v>0</v>
      </c>
      <c r="D2015" s="2">
        <f t="shared" si="31"/>
        <v>1</v>
      </c>
    </row>
    <row r="2016" spans="1:4" x14ac:dyDescent="0.3">
      <c r="A2016" s="34">
        <v>25545</v>
      </c>
      <c r="B2016" s="35">
        <v>1</v>
      </c>
      <c r="C2016" s="35">
        <v>1</v>
      </c>
      <c r="D2016" s="2">
        <f t="shared" si="31"/>
        <v>2</v>
      </c>
    </row>
    <row r="2017" spans="1:4" x14ac:dyDescent="0.3">
      <c r="A2017" s="34">
        <v>25549</v>
      </c>
      <c r="B2017" s="35">
        <v>1</v>
      </c>
      <c r="C2017" s="35">
        <v>0</v>
      </c>
      <c r="D2017" s="2">
        <f t="shared" si="31"/>
        <v>1</v>
      </c>
    </row>
    <row r="2018" spans="1:4" x14ac:dyDescent="0.3">
      <c r="A2018" s="34">
        <v>25554</v>
      </c>
      <c r="B2018" s="35">
        <v>2</v>
      </c>
      <c r="C2018" s="35">
        <v>1</v>
      </c>
      <c r="D2018" s="2">
        <f t="shared" si="31"/>
        <v>3</v>
      </c>
    </row>
    <row r="2019" spans="1:4" x14ac:dyDescent="0.3">
      <c r="A2019" s="34">
        <v>25556</v>
      </c>
      <c r="B2019" s="35">
        <v>1</v>
      </c>
      <c r="C2019" s="35">
        <v>0</v>
      </c>
      <c r="D2019" s="2">
        <f t="shared" si="31"/>
        <v>1</v>
      </c>
    </row>
    <row r="2020" spans="1:4" x14ac:dyDescent="0.3">
      <c r="A2020" s="34">
        <v>25558</v>
      </c>
      <c r="B2020" s="35">
        <v>1</v>
      </c>
      <c r="C2020" s="35">
        <v>1</v>
      </c>
      <c r="D2020" s="2">
        <f t="shared" si="31"/>
        <v>2</v>
      </c>
    </row>
    <row r="2021" spans="1:4" x14ac:dyDescent="0.3">
      <c r="A2021" s="34">
        <v>25594</v>
      </c>
      <c r="B2021" s="35">
        <v>2</v>
      </c>
      <c r="C2021" s="35">
        <v>2</v>
      </c>
      <c r="D2021" s="2">
        <f t="shared" si="31"/>
        <v>4</v>
      </c>
    </row>
    <row r="2022" spans="1:4" x14ac:dyDescent="0.3">
      <c r="A2022" s="34">
        <v>25596</v>
      </c>
      <c r="B2022" s="35">
        <v>1</v>
      </c>
      <c r="C2022" s="35">
        <v>0</v>
      </c>
      <c r="D2022" s="2">
        <f t="shared" si="31"/>
        <v>1</v>
      </c>
    </row>
    <row r="2023" spans="1:4" x14ac:dyDescent="0.3">
      <c r="A2023" s="34">
        <v>25600</v>
      </c>
      <c r="B2023" s="35">
        <v>1</v>
      </c>
      <c r="C2023" s="35">
        <v>0</v>
      </c>
      <c r="D2023" s="2">
        <f t="shared" si="31"/>
        <v>1</v>
      </c>
    </row>
    <row r="2024" spans="1:4" x14ac:dyDescent="0.3">
      <c r="A2024" s="34">
        <v>25606</v>
      </c>
      <c r="B2024" s="35">
        <v>1</v>
      </c>
      <c r="C2024" s="35">
        <v>0</v>
      </c>
      <c r="D2024" s="2">
        <f t="shared" si="31"/>
        <v>1</v>
      </c>
    </row>
    <row r="2025" spans="1:4" x14ac:dyDescent="0.3">
      <c r="A2025" s="34">
        <v>25609</v>
      </c>
      <c r="B2025" s="35">
        <v>1</v>
      </c>
      <c r="C2025" s="35">
        <v>1</v>
      </c>
      <c r="D2025" s="2">
        <f t="shared" si="31"/>
        <v>2</v>
      </c>
    </row>
    <row r="2026" spans="1:4" x14ac:dyDescent="0.3">
      <c r="A2026" s="34">
        <v>25614</v>
      </c>
      <c r="B2026" s="35">
        <v>1</v>
      </c>
      <c r="C2026" s="35">
        <v>1</v>
      </c>
      <c r="D2026" s="2">
        <f t="shared" si="31"/>
        <v>2</v>
      </c>
    </row>
    <row r="2027" spans="1:4" x14ac:dyDescent="0.3">
      <c r="A2027" s="34">
        <v>25615</v>
      </c>
      <c r="B2027" s="35">
        <v>1</v>
      </c>
      <c r="C2027" s="35">
        <v>0</v>
      </c>
      <c r="D2027" s="2">
        <f t="shared" si="31"/>
        <v>1</v>
      </c>
    </row>
    <row r="2028" spans="1:4" x14ac:dyDescent="0.3">
      <c r="A2028" s="34">
        <v>25627</v>
      </c>
      <c r="B2028" s="35">
        <v>1</v>
      </c>
      <c r="C2028" s="35">
        <v>0</v>
      </c>
      <c r="D2028" s="2">
        <f t="shared" si="31"/>
        <v>1</v>
      </c>
    </row>
    <row r="2029" spans="1:4" x14ac:dyDescent="0.3">
      <c r="A2029" s="34">
        <v>25628</v>
      </c>
      <c r="B2029" s="35">
        <v>1</v>
      </c>
      <c r="C2029" s="35">
        <v>0</v>
      </c>
      <c r="D2029" s="2">
        <f t="shared" si="31"/>
        <v>1</v>
      </c>
    </row>
    <row r="2030" spans="1:4" x14ac:dyDescent="0.3">
      <c r="A2030" s="34">
        <v>25645</v>
      </c>
      <c r="B2030" s="35">
        <v>1</v>
      </c>
      <c r="C2030" s="35">
        <v>0</v>
      </c>
      <c r="D2030" s="2">
        <f t="shared" si="31"/>
        <v>1</v>
      </c>
    </row>
    <row r="2031" spans="1:4" x14ac:dyDescent="0.3">
      <c r="A2031" s="34">
        <v>25647</v>
      </c>
      <c r="B2031" s="35">
        <v>2</v>
      </c>
      <c r="C2031" s="35">
        <v>2</v>
      </c>
      <c r="D2031" s="2">
        <f t="shared" si="31"/>
        <v>4</v>
      </c>
    </row>
    <row r="2032" spans="1:4" x14ac:dyDescent="0.3">
      <c r="A2032" s="34">
        <v>25649</v>
      </c>
      <c r="B2032" s="35">
        <v>2</v>
      </c>
      <c r="C2032" s="35">
        <v>1</v>
      </c>
      <c r="D2032" s="2">
        <f t="shared" si="31"/>
        <v>3</v>
      </c>
    </row>
    <row r="2033" spans="1:4" x14ac:dyDescent="0.3">
      <c r="A2033" s="34">
        <v>25651</v>
      </c>
      <c r="B2033" s="35">
        <v>2</v>
      </c>
      <c r="C2033" s="35">
        <v>1</v>
      </c>
      <c r="D2033" s="2">
        <f t="shared" si="31"/>
        <v>3</v>
      </c>
    </row>
    <row r="2034" spans="1:4" x14ac:dyDescent="0.3">
      <c r="A2034" s="34">
        <v>25652</v>
      </c>
      <c r="B2034" s="35">
        <v>2</v>
      </c>
      <c r="C2034" s="35">
        <v>1</v>
      </c>
      <c r="D2034" s="2">
        <f t="shared" si="31"/>
        <v>3</v>
      </c>
    </row>
    <row r="2035" spans="1:4" x14ac:dyDescent="0.3">
      <c r="A2035" s="34">
        <v>25653</v>
      </c>
      <c r="B2035" s="35">
        <v>2</v>
      </c>
      <c r="C2035" s="35">
        <v>1</v>
      </c>
      <c r="D2035" s="2">
        <f t="shared" si="31"/>
        <v>3</v>
      </c>
    </row>
    <row r="2036" spans="1:4" x14ac:dyDescent="0.3">
      <c r="A2036" s="34">
        <v>25654</v>
      </c>
      <c r="B2036" s="35">
        <v>1</v>
      </c>
      <c r="C2036" s="35">
        <v>0</v>
      </c>
      <c r="D2036" s="2">
        <f t="shared" si="31"/>
        <v>1</v>
      </c>
    </row>
    <row r="2037" spans="1:4" x14ac:dyDescent="0.3">
      <c r="A2037" s="34">
        <v>25655</v>
      </c>
      <c r="B2037" s="35">
        <v>1</v>
      </c>
      <c r="C2037" s="35">
        <v>0</v>
      </c>
      <c r="D2037" s="2">
        <f t="shared" si="31"/>
        <v>1</v>
      </c>
    </row>
    <row r="2038" spans="1:4" x14ac:dyDescent="0.3">
      <c r="A2038" s="34">
        <v>25659</v>
      </c>
      <c r="B2038" s="35">
        <v>1</v>
      </c>
      <c r="C2038" s="35">
        <v>0</v>
      </c>
      <c r="D2038" s="2">
        <f t="shared" si="31"/>
        <v>1</v>
      </c>
    </row>
    <row r="2039" spans="1:4" x14ac:dyDescent="0.3">
      <c r="A2039" s="34">
        <v>25665</v>
      </c>
      <c r="B2039" s="35">
        <v>1</v>
      </c>
      <c r="C2039" s="35">
        <v>0</v>
      </c>
      <c r="D2039" s="2">
        <f t="shared" si="31"/>
        <v>1</v>
      </c>
    </row>
    <row r="2040" spans="1:4" x14ac:dyDescent="0.3">
      <c r="A2040" s="34">
        <v>25666</v>
      </c>
      <c r="B2040" s="35">
        <v>1</v>
      </c>
      <c r="C2040" s="35">
        <v>0</v>
      </c>
      <c r="D2040" s="2">
        <f t="shared" si="31"/>
        <v>1</v>
      </c>
    </row>
    <row r="2041" spans="1:4" x14ac:dyDescent="0.3">
      <c r="A2041" s="34">
        <v>25668</v>
      </c>
      <c r="B2041" s="35">
        <v>1</v>
      </c>
      <c r="C2041" s="35">
        <v>0</v>
      </c>
      <c r="D2041" s="2">
        <f t="shared" si="31"/>
        <v>1</v>
      </c>
    </row>
    <row r="2042" spans="1:4" x14ac:dyDescent="0.3">
      <c r="A2042" s="34">
        <v>25669</v>
      </c>
      <c r="B2042" s="35">
        <v>1</v>
      </c>
      <c r="C2042" s="35">
        <v>0</v>
      </c>
      <c r="D2042" s="2">
        <f t="shared" si="31"/>
        <v>1</v>
      </c>
    </row>
    <row r="2043" spans="1:4" x14ac:dyDescent="0.3">
      <c r="A2043" s="34">
        <v>25672</v>
      </c>
      <c r="B2043" s="35">
        <v>1</v>
      </c>
      <c r="C2043" s="35">
        <v>0</v>
      </c>
      <c r="D2043" s="2">
        <f t="shared" si="31"/>
        <v>1</v>
      </c>
    </row>
    <row r="2044" spans="1:4" x14ac:dyDescent="0.3">
      <c r="A2044" s="34">
        <v>25676</v>
      </c>
      <c r="B2044" s="35">
        <v>1</v>
      </c>
      <c r="C2044" s="35">
        <v>0</v>
      </c>
      <c r="D2044" s="2">
        <f t="shared" si="31"/>
        <v>1</v>
      </c>
    </row>
    <row r="2045" spans="1:4" x14ac:dyDescent="0.3">
      <c r="A2045" s="34">
        <v>25685</v>
      </c>
      <c r="B2045" s="35">
        <v>1</v>
      </c>
      <c r="C2045" s="35">
        <v>0</v>
      </c>
      <c r="D2045" s="2">
        <f t="shared" si="31"/>
        <v>1</v>
      </c>
    </row>
    <row r="2046" spans="1:4" x14ac:dyDescent="0.3">
      <c r="A2046" s="34">
        <v>25690</v>
      </c>
      <c r="B2046" s="35">
        <v>1</v>
      </c>
      <c r="C2046" s="35">
        <v>0</v>
      </c>
      <c r="D2046" s="2">
        <f t="shared" si="31"/>
        <v>1</v>
      </c>
    </row>
    <row r="2047" spans="1:4" x14ac:dyDescent="0.3">
      <c r="A2047" s="34">
        <v>25692</v>
      </c>
      <c r="B2047" s="35">
        <v>1</v>
      </c>
      <c r="C2047" s="35">
        <v>0</v>
      </c>
      <c r="D2047" s="2">
        <f t="shared" si="31"/>
        <v>1</v>
      </c>
    </row>
    <row r="2048" spans="1:4" x14ac:dyDescent="0.3">
      <c r="A2048" s="34">
        <v>25694</v>
      </c>
      <c r="B2048" s="35">
        <v>1</v>
      </c>
      <c r="C2048" s="35">
        <v>0</v>
      </c>
      <c r="D2048" s="2">
        <f t="shared" si="31"/>
        <v>1</v>
      </c>
    </row>
    <row r="2049" spans="1:4" x14ac:dyDescent="0.3">
      <c r="A2049" s="34">
        <v>25695</v>
      </c>
      <c r="B2049" s="35">
        <v>1</v>
      </c>
      <c r="C2049" s="35">
        <v>0</v>
      </c>
      <c r="D2049" s="2">
        <f t="shared" si="31"/>
        <v>1</v>
      </c>
    </row>
    <row r="2050" spans="1:4" x14ac:dyDescent="0.3">
      <c r="A2050" s="34">
        <v>25697</v>
      </c>
      <c r="B2050" s="35">
        <v>1</v>
      </c>
      <c r="C2050" s="35">
        <v>1</v>
      </c>
      <c r="D2050" s="2">
        <f t="shared" si="31"/>
        <v>2</v>
      </c>
    </row>
    <row r="2051" spans="1:4" x14ac:dyDescent="0.3">
      <c r="A2051" s="34">
        <v>25698</v>
      </c>
      <c r="B2051" s="35">
        <v>1</v>
      </c>
      <c r="C2051" s="35">
        <v>0</v>
      </c>
      <c r="D2051" s="2">
        <f t="shared" ref="D2051:D2114" si="32">B2051+C2051</f>
        <v>1</v>
      </c>
    </row>
    <row r="2052" spans="1:4" x14ac:dyDescent="0.3">
      <c r="A2052" s="34">
        <v>25700</v>
      </c>
      <c r="B2052" s="35">
        <v>1</v>
      </c>
      <c r="C2052" s="35">
        <v>0</v>
      </c>
      <c r="D2052" s="2">
        <f t="shared" si="32"/>
        <v>1</v>
      </c>
    </row>
    <row r="2053" spans="1:4" x14ac:dyDescent="0.3">
      <c r="A2053" s="34">
        <v>25703</v>
      </c>
      <c r="B2053" s="35">
        <v>1</v>
      </c>
      <c r="C2053" s="35">
        <v>0</v>
      </c>
      <c r="D2053" s="2">
        <f t="shared" si="32"/>
        <v>1</v>
      </c>
    </row>
    <row r="2054" spans="1:4" x14ac:dyDescent="0.3">
      <c r="A2054" s="34">
        <v>25704</v>
      </c>
      <c r="B2054" s="35">
        <v>1</v>
      </c>
      <c r="C2054" s="35">
        <v>0</v>
      </c>
      <c r="D2054" s="2">
        <f t="shared" si="32"/>
        <v>1</v>
      </c>
    </row>
    <row r="2055" spans="1:4" x14ac:dyDescent="0.3">
      <c r="A2055" s="34">
        <v>25707</v>
      </c>
      <c r="B2055" s="35">
        <v>1</v>
      </c>
      <c r="C2055" s="35">
        <v>0</v>
      </c>
      <c r="D2055" s="2">
        <f t="shared" si="32"/>
        <v>1</v>
      </c>
    </row>
    <row r="2056" spans="1:4" x14ac:dyDescent="0.3">
      <c r="A2056" s="34">
        <v>25708</v>
      </c>
      <c r="B2056" s="35">
        <v>1</v>
      </c>
      <c r="C2056" s="35">
        <v>0</v>
      </c>
      <c r="D2056" s="2">
        <f t="shared" si="32"/>
        <v>1</v>
      </c>
    </row>
    <row r="2057" spans="1:4" x14ac:dyDescent="0.3">
      <c r="A2057" s="34">
        <v>25711</v>
      </c>
      <c r="B2057" s="35">
        <v>2</v>
      </c>
      <c r="C2057" s="35">
        <v>1</v>
      </c>
      <c r="D2057" s="2">
        <f t="shared" si="32"/>
        <v>3</v>
      </c>
    </row>
    <row r="2058" spans="1:4" x14ac:dyDescent="0.3">
      <c r="A2058" s="34">
        <v>25713</v>
      </c>
      <c r="B2058" s="35">
        <v>2</v>
      </c>
      <c r="C2058" s="35">
        <v>1</v>
      </c>
      <c r="D2058" s="2">
        <f t="shared" si="32"/>
        <v>3</v>
      </c>
    </row>
    <row r="2059" spans="1:4" x14ac:dyDescent="0.3">
      <c r="A2059" s="34">
        <v>25714</v>
      </c>
      <c r="B2059" s="35">
        <v>1</v>
      </c>
      <c r="C2059" s="35">
        <v>0</v>
      </c>
      <c r="D2059" s="2">
        <f t="shared" si="32"/>
        <v>1</v>
      </c>
    </row>
    <row r="2060" spans="1:4" x14ac:dyDescent="0.3">
      <c r="A2060" s="34">
        <v>25721</v>
      </c>
      <c r="B2060" s="35">
        <v>1</v>
      </c>
      <c r="C2060" s="35">
        <v>0</v>
      </c>
      <c r="D2060" s="2">
        <f t="shared" si="32"/>
        <v>1</v>
      </c>
    </row>
    <row r="2061" spans="1:4" x14ac:dyDescent="0.3">
      <c r="A2061" s="34">
        <v>25722</v>
      </c>
      <c r="B2061" s="35">
        <v>1</v>
      </c>
      <c r="C2061" s="35">
        <v>0</v>
      </c>
      <c r="D2061" s="2">
        <f t="shared" si="32"/>
        <v>1</v>
      </c>
    </row>
    <row r="2062" spans="1:4" x14ac:dyDescent="0.3">
      <c r="A2062" s="34">
        <v>25723</v>
      </c>
      <c r="B2062" s="35">
        <v>1</v>
      </c>
      <c r="C2062" s="35">
        <v>1</v>
      </c>
      <c r="D2062" s="2">
        <f t="shared" si="32"/>
        <v>2</v>
      </c>
    </row>
    <row r="2063" spans="1:4" x14ac:dyDescent="0.3">
      <c r="A2063" s="34">
        <v>25730</v>
      </c>
      <c r="B2063" s="35">
        <v>1</v>
      </c>
      <c r="C2063" s="35">
        <v>0</v>
      </c>
      <c r="D2063" s="2">
        <f t="shared" si="32"/>
        <v>1</v>
      </c>
    </row>
    <row r="2064" spans="1:4" x14ac:dyDescent="0.3">
      <c r="A2064" s="34">
        <v>25756</v>
      </c>
      <c r="B2064" s="35">
        <v>1</v>
      </c>
      <c r="C2064" s="35">
        <v>0</v>
      </c>
      <c r="D2064" s="2">
        <f t="shared" si="32"/>
        <v>1</v>
      </c>
    </row>
    <row r="2065" spans="1:4" x14ac:dyDescent="0.3">
      <c r="A2065" s="34">
        <v>25757</v>
      </c>
      <c r="B2065" s="35">
        <v>1</v>
      </c>
      <c r="C2065" s="35">
        <v>0</v>
      </c>
      <c r="D2065" s="2">
        <f t="shared" si="32"/>
        <v>1</v>
      </c>
    </row>
    <row r="2066" spans="1:4" x14ac:dyDescent="0.3">
      <c r="A2066" s="34">
        <v>25762</v>
      </c>
      <c r="B2066" s="35">
        <v>1</v>
      </c>
      <c r="C2066" s="35">
        <v>0</v>
      </c>
      <c r="D2066" s="2">
        <f t="shared" si="32"/>
        <v>1</v>
      </c>
    </row>
    <row r="2067" spans="1:4" x14ac:dyDescent="0.3">
      <c r="A2067" s="34">
        <v>25772</v>
      </c>
      <c r="B2067" s="35">
        <v>1</v>
      </c>
      <c r="C2067" s="35">
        <v>0</v>
      </c>
      <c r="D2067" s="2">
        <f t="shared" si="32"/>
        <v>1</v>
      </c>
    </row>
    <row r="2068" spans="1:4" x14ac:dyDescent="0.3">
      <c r="A2068" s="34">
        <v>25791</v>
      </c>
      <c r="B2068" s="35">
        <v>1</v>
      </c>
      <c r="C2068" s="35">
        <v>1</v>
      </c>
      <c r="D2068" s="2">
        <f t="shared" si="32"/>
        <v>2</v>
      </c>
    </row>
    <row r="2069" spans="1:4" x14ac:dyDescent="0.3">
      <c r="A2069" s="34">
        <v>25792</v>
      </c>
      <c r="B2069" s="35">
        <v>2</v>
      </c>
      <c r="C2069" s="35">
        <v>1</v>
      </c>
      <c r="D2069" s="2">
        <f t="shared" si="32"/>
        <v>3</v>
      </c>
    </row>
    <row r="2070" spans="1:4" x14ac:dyDescent="0.3">
      <c r="A2070" s="34">
        <v>25797</v>
      </c>
      <c r="B2070" s="35">
        <v>1</v>
      </c>
      <c r="C2070" s="35">
        <v>0</v>
      </c>
      <c r="D2070" s="2">
        <f t="shared" si="32"/>
        <v>1</v>
      </c>
    </row>
    <row r="2071" spans="1:4" x14ac:dyDescent="0.3">
      <c r="A2071" s="34">
        <v>25804</v>
      </c>
      <c r="B2071" s="35">
        <v>1</v>
      </c>
      <c r="C2071" s="35">
        <v>0</v>
      </c>
      <c r="D2071" s="2">
        <f t="shared" si="32"/>
        <v>1</v>
      </c>
    </row>
    <row r="2072" spans="1:4" x14ac:dyDescent="0.3">
      <c r="A2072" s="34">
        <v>25813</v>
      </c>
      <c r="B2072" s="35">
        <v>1</v>
      </c>
      <c r="C2072" s="35">
        <v>0</v>
      </c>
      <c r="D2072" s="2">
        <f t="shared" si="32"/>
        <v>1</v>
      </c>
    </row>
    <row r="2073" spans="1:4" x14ac:dyDescent="0.3">
      <c r="A2073" s="34">
        <v>25819</v>
      </c>
      <c r="B2073" s="35">
        <v>1</v>
      </c>
      <c r="C2073" s="35">
        <v>0</v>
      </c>
      <c r="D2073" s="2">
        <f t="shared" si="32"/>
        <v>1</v>
      </c>
    </row>
    <row r="2074" spans="1:4" x14ac:dyDescent="0.3">
      <c r="A2074" s="34">
        <v>25820</v>
      </c>
      <c r="B2074" s="35">
        <v>1</v>
      </c>
      <c r="C2074" s="35">
        <v>0</v>
      </c>
      <c r="D2074" s="2">
        <f t="shared" si="32"/>
        <v>1</v>
      </c>
    </row>
    <row r="2075" spans="1:4" x14ac:dyDescent="0.3">
      <c r="A2075" s="34">
        <v>25825</v>
      </c>
      <c r="B2075" s="35">
        <v>1</v>
      </c>
      <c r="C2075" s="35">
        <v>0</v>
      </c>
      <c r="D2075" s="2">
        <f t="shared" si="32"/>
        <v>1</v>
      </c>
    </row>
    <row r="2076" spans="1:4" x14ac:dyDescent="0.3">
      <c r="A2076" s="34">
        <v>25827</v>
      </c>
      <c r="B2076" s="35">
        <v>1</v>
      </c>
      <c r="C2076" s="35">
        <v>0</v>
      </c>
      <c r="D2076" s="2">
        <f t="shared" si="32"/>
        <v>1</v>
      </c>
    </row>
    <row r="2077" spans="1:4" x14ac:dyDescent="0.3">
      <c r="A2077" s="34">
        <v>25829</v>
      </c>
      <c r="B2077" s="35">
        <v>2</v>
      </c>
      <c r="C2077" s="35">
        <v>0</v>
      </c>
      <c r="D2077" s="2">
        <f t="shared" si="32"/>
        <v>2</v>
      </c>
    </row>
    <row r="2078" spans="1:4" x14ac:dyDescent="0.3">
      <c r="A2078" s="34">
        <v>25839</v>
      </c>
      <c r="B2078" s="35">
        <v>1</v>
      </c>
      <c r="C2078" s="35">
        <v>0</v>
      </c>
      <c r="D2078" s="2">
        <f t="shared" si="32"/>
        <v>1</v>
      </c>
    </row>
    <row r="2079" spans="1:4" x14ac:dyDescent="0.3">
      <c r="A2079" s="34">
        <v>25843</v>
      </c>
      <c r="B2079" s="35">
        <v>1</v>
      </c>
      <c r="C2079" s="35">
        <v>0</v>
      </c>
      <c r="D2079" s="2">
        <f t="shared" si="32"/>
        <v>1</v>
      </c>
    </row>
    <row r="2080" spans="1:4" x14ac:dyDescent="0.3">
      <c r="A2080" s="34">
        <v>25844</v>
      </c>
      <c r="B2080" s="35">
        <v>1</v>
      </c>
      <c r="C2080" s="35">
        <v>0</v>
      </c>
      <c r="D2080" s="2">
        <f t="shared" si="32"/>
        <v>1</v>
      </c>
    </row>
    <row r="2081" spans="1:4" x14ac:dyDescent="0.3">
      <c r="A2081" s="34">
        <v>25846</v>
      </c>
      <c r="B2081" s="35">
        <v>3</v>
      </c>
      <c r="C2081" s="35">
        <v>0</v>
      </c>
      <c r="D2081" s="2">
        <f t="shared" si="32"/>
        <v>3</v>
      </c>
    </row>
    <row r="2082" spans="1:4" x14ac:dyDescent="0.3">
      <c r="A2082" s="34">
        <v>25851</v>
      </c>
      <c r="B2082" s="35">
        <v>1</v>
      </c>
      <c r="C2082" s="35">
        <v>0</v>
      </c>
      <c r="D2082" s="2">
        <f t="shared" si="32"/>
        <v>1</v>
      </c>
    </row>
    <row r="2083" spans="1:4" x14ac:dyDescent="0.3">
      <c r="A2083" s="34">
        <v>25882</v>
      </c>
      <c r="B2083" s="35">
        <v>1</v>
      </c>
      <c r="C2083" s="35">
        <v>0</v>
      </c>
      <c r="D2083" s="2">
        <f t="shared" si="32"/>
        <v>1</v>
      </c>
    </row>
    <row r="2084" spans="1:4" x14ac:dyDescent="0.3">
      <c r="A2084" s="34">
        <v>25885</v>
      </c>
      <c r="B2084" s="35">
        <v>1</v>
      </c>
      <c r="C2084" s="35">
        <v>0</v>
      </c>
      <c r="D2084" s="2">
        <f t="shared" si="32"/>
        <v>1</v>
      </c>
    </row>
    <row r="2085" spans="1:4" x14ac:dyDescent="0.3">
      <c r="A2085" s="34">
        <v>25894</v>
      </c>
      <c r="B2085" s="35">
        <v>1</v>
      </c>
      <c r="C2085" s="35">
        <v>0</v>
      </c>
      <c r="D2085" s="2">
        <f t="shared" si="32"/>
        <v>1</v>
      </c>
    </row>
    <row r="2086" spans="1:4" x14ac:dyDescent="0.3">
      <c r="A2086" s="34">
        <v>25899</v>
      </c>
      <c r="B2086" s="35">
        <v>2</v>
      </c>
      <c r="C2086" s="35">
        <v>2</v>
      </c>
      <c r="D2086" s="2">
        <f t="shared" si="32"/>
        <v>4</v>
      </c>
    </row>
    <row r="2087" spans="1:4" x14ac:dyDescent="0.3">
      <c r="A2087" s="34">
        <v>25911</v>
      </c>
      <c r="B2087" s="35">
        <v>2</v>
      </c>
      <c r="C2087" s="35">
        <v>1</v>
      </c>
      <c r="D2087" s="2">
        <f t="shared" si="32"/>
        <v>3</v>
      </c>
    </row>
    <row r="2088" spans="1:4" x14ac:dyDescent="0.3">
      <c r="A2088" s="34">
        <v>25923</v>
      </c>
      <c r="B2088" s="35">
        <v>1</v>
      </c>
      <c r="C2088" s="35">
        <v>1</v>
      </c>
      <c r="D2088" s="2">
        <f t="shared" si="32"/>
        <v>2</v>
      </c>
    </row>
    <row r="2089" spans="1:4" x14ac:dyDescent="0.3">
      <c r="A2089" s="34">
        <v>25942</v>
      </c>
      <c r="B2089" s="35">
        <v>1</v>
      </c>
      <c r="C2089" s="35">
        <v>0</v>
      </c>
      <c r="D2089" s="2">
        <f t="shared" si="32"/>
        <v>1</v>
      </c>
    </row>
    <row r="2090" spans="1:4" x14ac:dyDescent="0.3">
      <c r="A2090" s="34">
        <v>25943</v>
      </c>
      <c r="B2090" s="35">
        <v>1</v>
      </c>
      <c r="C2090" s="35">
        <v>0</v>
      </c>
      <c r="D2090" s="2">
        <f t="shared" si="32"/>
        <v>1</v>
      </c>
    </row>
    <row r="2091" spans="1:4" x14ac:dyDescent="0.3">
      <c r="A2091" s="34">
        <v>25952</v>
      </c>
      <c r="B2091" s="35">
        <v>1</v>
      </c>
      <c r="C2091" s="35">
        <v>0</v>
      </c>
      <c r="D2091" s="2">
        <f t="shared" si="32"/>
        <v>1</v>
      </c>
    </row>
    <row r="2092" spans="1:4" x14ac:dyDescent="0.3">
      <c r="A2092" s="34">
        <v>25960</v>
      </c>
      <c r="B2092" s="35">
        <v>1</v>
      </c>
      <c r="C2092" s="35">
        <v>0</v>
      </c>
      <c r="D2092" s="2">
        <f t="shared" si="32"/>
        <v>1</v>
      </c>
    </row>
    <row r="2093" spans="1:4" x14ac:dyDescent="0.3">
      <c r="A2093" s="34">
        <v>25982</v>
      </c>
      <c r="B2093" s="35">
        <v>1</v>
      </c>
      <c r="C2093" s="35">
        <v>0</v>
      </c>
      <c r="D2093" s="2">
        <f t="shared" si="32"/>
        <v>1</v>
      </c>
    </row>
    <row r="2094" spans="1:4" x14ac:dyDescent="0.3">
      <c r="A2094" s="34">
        <v>25984</v>
      </c>
      <c r="B2094" s="35">
        <v>1</v>
      </c>
      <c r="C2094" s="35">
        <v>0</v>
      </c>
      <c r="D2094" s="2">
        <f t="shared" si="32"/>
        <v>1</v>
      </c>
    </row>
    <row r="2095" spans="1:4" x14ac:dyDescent="0.3">
      <c r="A2095" s="34">
        <v>25986</v>
      </c>
      <c r="B2095" s="35">
        <v>1</v>
      </c>
      <c r="C2095" s="35">
        <v>0</v>
      </c>
      <c r="D2095" s="2">
        <f t="shared" si="32"/>
        <v>1</v>
      </c>
    </row>
    <row r="2096" spans="1:4" x14ac:dyDescent="0.3">
      <c r="A2096" s="34">
        <v>25991</v>
      </c>
      <c r="B2096" s="35">
        <v>2</v>
      </c>
      <c r="C2096" s="35">
        <v>0</v>
      </c>
      <c r="D2096" s="2">
        <f t="shared" si="32"/>
        <v>2</v>
      </c>
    </row>
    <row r="2097" spans="1:4" x14ac:dyDescent="0.3">
      <c r="A2097" s="34">
        <v>25994</v>
      </c>
      <c r="B2097" s="35">
        <v>1</v>
      </c>
      <c r="C2097" s="35">
        <v>0</v>
      </c>
      <c r="D2097" s="2">
        <f t="shared" si="32"/>
        <v>1</v>
      </c>
    </row>
    <row r="2098" spans="1:4" x14ac:dyDescent="0.3">
      <c r="A2098" s="34">
        <v>25995</v>
      </c>
      <c r="B2098" s="35">
        <v>1</v>
      </c>
      <c r="C2098" s="35">
        <v>0</v>
      </c>
      <c r="D2098" s="2">
        <f t="shared" si="32"/>
        <v>1</v>
      </c>
    </row>
    <row r="2099" spans="1:4" x14ac:dyDescent="0.3">
      <c r="A2099" s="34">
        <v>25996</v>
      </c>
      <c r="B2099" s="35">
        <v>1</v>
      </c>
      <c r="C2099" s="35">
        <v>1</v>
      </c>
      <c r="D2099" s="2">
        <f t="shared" si="32"/>
        <v>2</v>
      </c>
    </row>
    <row r="2100" spans="1:4" x14ac:dyDescent="0.3">
      <c r="A2100" s="34">
        <v>25999</v>
      </c>
      <c r="B2100" s="35">
        <v>1</v>
      </c>
      <c r="C2100" s="35">
        <v>0</v>
      </c>
      <c r="D2100" s="2">
        <f t="shared" si="32"/>
        <v>1</v>
      </c>
    </row>
    <row r="2101" spans="1:4" x14ac:dyDescent="0.3">
      <c r="A2101" s="34">
        <v>26001</v>
      </c>
      <c r="B2101" s="35">
        <v>1</v>
      </c>
      <c r="C2101" s="35">
        <v>0</v>
      </c>
      <c r="D2101" s="2">
        <f t="shared" si="32"/>
        <v>1</v>
      </c>
    </row>
    <row r="2102" spans="1:4" x14ac:dyDescent="0.3">
      <c r="A2102" s="34">
        <v>26042</v>
      </c>
      <c r="B2102" s="35">
        <v>1</v>
      </c>
      <c r="C2102" s="35">
        <v>0</v>
      </c>
      <c r="D2102" s="2">
        <f t="shared" si="32"/>
        <v>1</v>
      </c>
    </row>
    <row r="2103" spans="1:4" x14ac:dyDescent="0.3">
      <c r="A2103" s="34">
        <v>26048</v>
      </c>
      <c r="B2103" s="35">
        <v>1</v>
      </c>
      <c r="C2103" s="35">
        <v>1</v>
      </c>
      <c r="D2103" s="2">
        <f t="shared" si="32"/>
        <v>2</v>
      </c>
    </row>
    <row r="2104" spans="1:4" x14ac:dyDescent="0.3">
      <c r="A2104" s="34">
        <v>26085</v>
      </c>
      <c r="B2104" s="35">
        <v>1</v>
      </c>
      <c r="C2104" s="35">
        <v>0</v>
      </c>
      <c r="D2104" s="2">
        <f t="shared" si="32"/>
        <v>1</v>
      </c>
    </row>
    <row r="2105" spans="1:4" x14ac:dyDescent="0.3">
      <c r="A2105" s="34">
        <v>26090</v>
      </c>
      <c r="B2105" s="35">
        <v>1</v>
      </c>
      <c r="C2105" s="35">
        <v>0</v>
      </c>
      <c r="D2105" s="2">
        <f t="shared" si="32"/>
        <v>1</v>
      </c>
    </row>
    <row r="2106" spans="1:4" x14ac:dyDescent="0.3">
      <c r="A2106" s="34">
        <v>26113</v>
      </c>
      <c r="B2106" s="35">
        <v>1</v>
      </c>
      <c r="C2106" s="35">
        <v>0</v>
      </c>
      <c r="D2106" s="2">
        <f t="shared" si="32"/>
        <v>1</v>
      </c>
    </row>
    <row r="2107" spans="1:4" x14ac:dyDescent="0.3">
      <c r="A2107" s="34">
        <v>26135</v>
      </c>
      <c r="B2107" s="35">
        <v>1</v>
      </c>
      <c r="C2107" s="35">
        <v>1</v>
      </c>
      <c r="D2107" s="2">
        <f t="shared" si="32"/>
        <v>2</v>
      </c>
    </row>
    <row r="2108" spans="1:4" x14ac:dyDescent="0.3">
      <c r="A2108" s="34">
        <v>26150</v>
      </c>
      <c r="B2108" s="35">
        <v>1</v>
      </c>
      <c r="C2108" s="35">
        <v>0</v>
      </c>
      <c r="D2108" s="2">
        <f t="shared" si="32"/>
        <v>1</v>
      </c>
    </row>
    <row r="2109" spans="1:4" x14ac:dyDescent="0.3">
      <c r="A2109" s="34">
        <v>26151</v>
      </c>
      <c r="B2109" s="35">
        <v>1</v>
      </c>
      <c r="C2109" s="35">
        <v>0</v>
      </c>
      <c r="D2109" s="2">
        <f t="shared" si="32"/>
        <v>1</v>
      </c>
    </row>
    <row r="2110" spans="1:4" x14ac:dyDescent="0.3">
      <c r="A2110" s="34">
        <v>26156</v>
      </c>
      <c r="B2110" s="35">
        <v>1</v>
      </c>
      <c r="C2110" s="35">
        <v>1</v>
      </c>
      <c r="D2110" s="2">
        <f t="shared" si="32"/>
        <v>2</v>
      </c>
    </row>
    <row r="2111" spans="1:4" x14ac:dyDescent="0.3">
      <c r="A2111" s="34">
        <v>26173</v>
      </c>
      <c r="B2111" s="35">
        <v>1</v>
      </c>
      <c r="C2111" s="35">
        <v>0</v>
      </c>
      <c r="D2111" s="2">
        <f t="shared" si="32"/>
        <v>1</v>
      </c>
    </row>
    <row r="2112" spans="1:4" x14ac:dyDescent="0.3">
      <c r="A2112" s="34">
        <v>26176</v>
      </c>
      <c r="B2112" s="35">
        <v>1</v>
      </c>
      <c r="C2112" s="35">
        <v>1</v>
      </c>
      <c r="D2112" s="2">
        <f t="shared" si="32"/>
        <v>2</v>
      </c>
    </row>
    <row r="2113" spans="1:4" x14ac:dyDescent="0.3">
      <c r="A2113" s="34">
        <v>26179</v>
      </c>
      <c r="B2113" s="35">
        <v>1</v>
      </c>
      <c r="C2113" s="35">
        <v>1</v>
      </c>
      <c r="D2113" s="2">
        <f t="shared" si="32"/>
        <v>2</v>
      </c>
    </row>
    <row r="2114" spans="1:4" x14ac:dyDescent="0.3">
      <c r="A2114" s="34">
        <v>26192</v>
      </c>
      <c r="B2114" s="35">
        <v>1</v>
      </c>
      <c r="C2114" s="35">
        <v>0</v>
      </c>
      <c r="D2114" s="2">
        <f t="shared" si="32"/>
        <v>1</v>
      </c>
    </row>
    <row r="2115" spans="1:4" x14ac:dyDescent="0.3">
      <c r="A2115" s="34">
        <v>26234</v>
      </c>
      <c r="B2115" s="35">
        <v>1</v>
      </c>
      <c r="C2115" s="35">
        <v>0</v>
      </c>
      <c r="D2115" s="2">
        <f t="shared" ref="D2115:D2178" si="33">B2115+C2115</f>
        <v>1</v>
      </c>
    </row>
    <row r="2116" spans="1:4" x14ac:dyDescent="0.3">
      <c r="A2116" s="34">
        <v>26247</v>
      </c>
      <c r="B2116" s="35">
        <v>1</v>
      </c>
      <c r="C2116" s="35">
        <v>0</v>
      </c>
      <c r="D2116" s="2">
        <f t="shared" si="33"/>
        <v>1</v>
      </c>
    </row>
    <row r="2117" spans="1:4" x14ac:dyDescent="0.3">
      <c r="A2117" s="34">
        <v>26250</v>
      </c>
      <c r="B2117" s="35">
        <v>1</v>
      </c>
      <c r="C2117" s="35">
        <v>0</v>
      </c>
      <c r="D2117" s="2">
        <f t="shared" si="33"/>
        <v>1</v>
      </c>
    </row>
    <row r="2118" spans="1:4" x14ac:dyDescent="0.3">
      <c r="A2118" s="34">
        <v>26257</v>
      </c>
      <c r="B2118" s="35">
        <v>2</v>
      </c>
      <c r="C2118" s="35">
        <v>1</v>
      </c>
      <c r="D2118" s="2">
        <f t="shared" si="33"/>
        <v>3</v>
      </c>
    </row>
    <row r="2119" spans="1:4" x14ac:dyDescent="0.3">
      <c r="A2119" s="34">
        <v>26278</v>
      </c>
      <c r="B2119" s="35">
        <v>2</v>
      </c>
      <c r="C2119" s="35">
        <v>0</v>
      </c>
      <c r="D2119" s="2">
        <f t="shared" si="33"/>
        <v>2</v>
      </c>
    </row>
    <row r="2120" spans="1:4" x14ac:dyDescent="0.3">
      <c r="A2120" s="34">
        <v>26279</v>
      </c>
      <c r="B2120" s="35">
        <v>1</v>
      </c>
      <c r="C2120" s="35">
        <v>0</v>
      </c>
      <c r="D2120" s="2">
        <f t="shared" si="33"/>
        <v>1</v>
      </c>
    </row>
    <row r="2121" spans="1:4" x14ac:dyDescent="0.3">
      <c r="A2121" s="34">
        <v>26283</v>
      </c>
      <c r="B2121" s="35">
        <v>1</v>
      </c>
      <c r="C2121" s="35">
        <v>0</v>
      </c>
      <c r="D2121" s="2">
        <f t="shared" si="33"/>
        <v>1</v>
      </c>
    </row>
    <row r="2122" spans="1:4" x14ac:dyDescent="0.3">
      <c r="A2122" s="34">
        <v>26295</v>
      </c>
      <c r="B2122" s="35">
        <v>1</v>
      </c>
      <c r="C2122" s="35">
        <v>0</v>
      </c>
      <c r="D2122" s="2">
        <f t="shared" si="33"/>
        <v>1</v>
      </c>
    </row>
    <row r="2123" spans="1:4" x14ac:dyDescent="0.3">
      <c r="A2123" s="34">
        <v>26299</v>
      </c>
      <c r="B2123" s="35">
        <v>1</v>
      </c>
      <c r="C2123" s="35">
        <v>0</v>
      </c>
      <c r="D2123" s="2">
        <f t="shared" si="33"/>
        <v>1</v>
      </c>
    </row>
    <row r="2124" spans="1:4" x14ac:dyDescent="0.3">
      <c r="A2124" s="34">
        <v>26302</v>
      </c>
      <c r="B2124" s="35">
        <v>3</v>
      </c>
      <c r="C2124" s="35">
        <v>2</v>
      </c>
      <c r="D2124" s="2">
        <f t="shared" si="33"/>
        <v>5</v>
      </c>
    </row>
    <row r="2125" spans="1:4" x14ac:dyDescent="0.3">
      <c r="A2125" s="34">
        <v>26309</v>
      </c>
      <c r="B2125" s="35">
        <v>1</v>
      </c>
      <c r="C2125" s="35">
        <v>0</v>
      </c>
      <c r="D2125" s="2">
        <f t="shared" si="33"/>
        <v>1</v>
      </c>
    </row>
    <row r="2126" spans="1:4" x14ac:dyDescent="0.3">
      <c r="A2126" s="34">
        <v>26312</v>
      </c>
      <c r="B2126" s="35">
        <v>1</v>
      </c>
      <c r="C2126" s="35">
        <v>0</v>
      </c>
      <c r="D2126" s="2">
        <f t="shared" si="33"/>
        <v>1</v>
      </c>
    </row>
    <row r="2127" spans="1:4" x14ac:dyDescent="0.3">
      <c r="A2127" s="34">
        <v>26320</v>
      </c>
      <c r="B2127" s="35">
        <v>1</v>
      </c>
      <c r="C2127" s="35">
        <v>1</v>
      </c>
      <c r="D2127" s="2">
        <f t="shared" si="33"/>
        <v>2</v>
      </c>
    </row>
    <row r="2128" spans="1:4" x14ac:dyDescent="0.3">
      <c r="A2128" s="34">
        <v>26321</v>
      </c>
      <c r="B2128" s="35">
        <v>1</v>
      </c>
      <c r="C2128" s="35">
        <v>0</v>
      </c>
      <c r="D2128" s="2">
        <f t="shared" si="33"/>
        <v>1</v>
      </c>
    </row>
    <row r="2129" spans="1:4" x14ac:dyDescent="0.3">
      <c r="A2129" s="34">
        <v>26328</v>
      </c>
      <c r="B2129" s="35">
        <v>1</v>
      </c>
      <c r="C2129" s="35">
        <v>0</v>
      </c>
      <c r="D2129" s="2">
        <f t="shared" si="33"/>
        <v>1</v>
      </c>
    </row>
    <row r="2130" spans="1:4" x14ac:dyDescent="0.3">
      <c r="A2130" s="34">
        <v>26331</v>
      </c>
      <c r="B2130" s="35">
        <v>1</v>
      </c>
      <c r="C2130" s="35">
        <v>0</v>
      </c>
      <c r="D2130" s="2">
        <f t="shared" si="33"/>
        <v>1</v>
      </c>
    </row>
    <row r="2131" spans="1:4" x14ac:dyDescent="0.3">
      <c r="A2131" s="34">
        <v>26332</v>
      </c>
      <c r="B2131" s="35">
        <v>1</v>
      </c>
      <c r="C2131" s="35">
        <v>0</v>
      </c>
      <c r="D2131" s="2">
        <f t="shared" si="33"/>
        <v>1</v>
      </c>
    </row>
    <row r="2132" spans="1:4" x14ac:dyDescent="0.3">
      <c r="A2132" s="34">
        <v>26342</v>
      </c>
      <c r="B2132" s="35">
        <v>1</v>
      </c>
      <c r="C2132" s="35">
        <v>1</v>
      </c>
      <c r="D2132" s="2">
        <f t="shared" si="33"/>
        <v>2</v>
      </c>
    </row>
    <row r="2133" spans="1:4" x14ac:dyDescent="0.3">
      <c r="A2133" s="34">
        <v>26345</v>
      </c>
      <c r="B2133" s="35">
        <v>1</v>
      </c>
      <c r="C2133" s="35">
        <v>0</v>
      </c>
      <c r="D2133" s="2">
        <f t="shared" si="33"/>
        <v>1</v>
      </c>
    </row>
    <row r="2134" spans="1:4" x14ac:dyDescent="0.3">
      <c r="A2134" s="34">
        <v>26346</v>
      </c>
      <c r="B2134" s="35">
        <v>2</v>
      </c>
      <c r="C2134" s="35">
        <v>0</v>
      </c>
      <c r="D2134" s="2">
        <f t="shared" si="33"/>
        <v>2</v>
      </c>
    </row>
    <row r="2135" spans="1:4" x14ac:dyDescent="0.3">
      <c r="A2135" s="34">
        <v>26347</v>
      </c>
      <c r="B2135" s="35">
        <v>2</v>
      </c>
      <c r="C2135" s="35">
        <v>0</v>
      </c>
      <c r="D2135" s="2">
        <f t="shared" si="33"/>
        <v>2</v>
      </c>
    </row>
    <row r="2136" spans="1:4" x14ac:dyDescent="0.3">
      <c r="A2136" s="34">
        <v>26348</v>
      </c>
      <c r="B2136" s="35">
        <v>3</v>
      </c>
      <c r="C2136" s="35">
        <v>0</v>
      </c>
      <c r="D2136" s="2">
        <f t="shared" si="33"/>
        <v>3</v>
      </c>
    </row>
    <row r="2137" spans="1:4" x14ac:dyDescent="0.3">
      <c r="A2137" s="34">
        <v>26353</v>
      </c>
      <c r="B2137" s="35">
        <v>1</v>
      </c>
      <c r="C2137" s="35">
        <v>1</v>
      </c>
      <c r="D2137" s="2">
        <f t="shared" si="33"/>
        <v>2</v>
      </c>
    </row>
    <row r="2138" spans="1:4" x14ac:dyDescent="0.3">
      <c r="A2138" s="34">
        <v>26356</v>
      </c>
      <c r="B2138" s="35">
        <v>1</v>
      </c>
      <c r="C2138" s="35">
        <v>1</v>
      </c>
      <c r="D2138" s="2">
        <f t="shared" si="33"/>
        <v>2</v>
      </c>
    </row>
    <row r="2139" spans="1:4" x14ac:dyDescent="0.3">
      <c r="A2139" s="34">
        <v>26357</v>
      </c>
      <c r="B2139" s="35">
        <v>1</v>
      </c>
      <c r="C2139" s="35">
        <v>0</v>
      </c>
      <c r="D2139" s="2">
        <f t="shared" si="33"/>
        <v>1</v>
      </c>
    </row>
    <row r="2140" spans="1:4" x14ac:dyDescent="0.3">
      <c r="A2140" s="34">
        <v>26368</v>
      </c>
      <c r="B2140" s="35">
        <v>1</v>
      </c>
      <c r="C2140" s="35">
        <v>0</v>
      </c>
      <c r="D2140" s="2">
        <f t="shared" si="33"/>
        <v>1</v>
      </c>
    </row>
    <row r="2141" spans="1:4" x14ac:dyDescent="0.3">
      <c r="A2141" s="34">
        <v>26369</v>
      </c>
      <c r="B2141" s="35">
        <v>1</v>
      </c>
      <c r="C2141" s="35">
        <v>0</v>
      </c>
      <c r="D2141" s="2">
        <f t="shared" si="33"/>
        <v>1</v>
      </c>
    </row>
    <row r="2142" spans="1:4" x14ac:dyDescent="0.3">
      <c r="A2142" s="34">
        <v>26375</v>
      </c>
      <c r="B2142" s="35">
        <v>2</v>
      </c>
      <c r="C2142" s="35">
        <v>2</v>
      </c>
      <c r="D2142" s="2">
        <f t="shared" si="33"/>
        <v>4</v>
      </c>
    </row>
    <row r="2143" spans="1:4" x14ac:dyDescent="0.3">
      <c r="A2143" s="34">
        <v>26382</v>
      </c>
      <c r="B2143" s="35">
        <v>1</v>
      </c>
      <c r="C2143" s="35">
        <v>1</v>
      </c>
      <c r="D2143" s="2">
        <f t="shared" si="33"/>
        <v>2</v>
      </c>
    </row>
    <row r="2144" spans="1:4" x14ac:dyDescent="0.3">
      <c r="A2144" s="34">
        <v>26384</v>
      </c>
      <c r="B2144" s="35">
        <v>1</v>
      </c>
      <c r="C2144" s="35">
        <v>0</v>
      </c>
      <c r="D2144" s="2">
        <f t="shared" si="33"/>
        <v>1</v>
      </c>
    </row>
    <row r="2145" spans="1:4" x14ac:dyDescent="0.3">
      <c r="A2145" s="34">
        <v>26388</v>
      </c>
      <c r="B2145" s="35">
        <v>2</v>
      </c>
      <c r="C2145" s="35">
        <v>2</v>
      </c>
      <c r="D2145" s="2">
        <f t="shared" si="33"/>
        <v>4</v>
      </c>
    </row>
    <row r="2146" spans="1:4" x14ac:dyDescent="0.3">
      <c r="A2146" s="34">
        <v>26393</v>
      </c>
      <c r="B2146" s="35">
        <v>1</v>
      </c>
      <c r="C2146" s="35">
        <v>0</v>
      </c>
      <c r="D2146" s="2">
        <f t="shared" si="33"/>
        <v>1</v>
      </c>
    </row>
    <row r="2147" spans="1:4" x14ac:dyDescent="0.3">
      <c r="A2147" s="34">
        <v>26396</v>
      </c>
      <c r="B2147" s="35">
        <v>1</v>
      </c>
      <c r="C2147" s="35">
        <v>1</v>
      </c>
      <c r="D2147" s="2">
        <f t="shared" si="33"/>
        <v>2</v>
      </c>
    </row>
    <row r="2148" spans="1:4" x14ac:dyDescent="0.3">
      <c r="A2148" s="34">
        <v>26399</v>
      </c>
      <c r="B2148" s="35">
        <v>1</v>
      </c>
      <c r="C2148" s="35">
        <v>1</v>
      </c>
      <c r="D2148" s="2">
        <f t="shared" si="33"/>
        <v>2</v>
      </c>
    </row>
    <row r="2149" spans="1:4" x14ac:dyDescent="0.3">
      <c r="A2149" s="34">
        <v>26405</v>
      </c>
      <c r="B2149" s="35">
        <v>1</v>
      </c>
      <c r="C2149" s="35">
        <v>0</v>
      </c>
      <c r="D2149" s="2">
        <f t="shared" si="33"/>
        <v>1</v>
      </c>
    </row>
    <row r="2150" spans="1:4" x14ac:dyDescent="0.3">
      <c r="A2150" s="34">
        <v>26408</v>
      </c>
      <c r="B2150" s="35">
        <v>1</v>
      </c>
      <c r="C2150" s="35">
        <v>0</v>
      </c>
      <c r="D2150" s="2">
        <f t="shared" si="33"/>
        <v>1</v>
      </c>
    </row>
    <row r="2151" spans="1:4" x14ac:dyDescent="0.3">
      <c r="A2151" s="34">
        <v>26420</v>
      </c>
      <c r="B2151" s="35">
        <v>1</v>
      </c>
      <c r="C2151" s="35">
        <v>1</v>
      </c>
      <c r="D2151" s="2">
        <f t="shared" si="33"/>
        <v>2</v>
      </c>
    </row>
    <row r="2152" spans="1:4" x14ac:dyDescent="0.3">
      <c r="A2152" s="34">
        <v>26438</v>
      </c>
      <c r="B2152" s="35">
        <v>2</v>
      </c>
      <c r="C2152" s="35">
        <v>0</v>
      </c>
      <c r="D2152" s="2">
        <f t="shared" si="33"/>
        <v>2</v>
      </c>
    </row>
    <row r="2153" spans="1:4" x14ac:dyDescent="0.3">
      <c r="A2153" s="34">
        <v>26447</v>
      </c>
      <c r="B2153" s="35">
        <v>1</v>
      </c>
      <c r="C2153" s="35">
        <v>0</v>
      </c>
      <c r="D2153" s="2">
        <f t="shared" si="33"/>
        <v>1</v>
      </c>
    </row>
    <row r="2154" spans="1:4" x14ac:dyDescent="0.3">
      <c r="A2154" s="34">
        <v>26454</v>
      </c>
      <c r="B2154" s="35">
        <v>2</v>
      </c>
      <c r="C2154" s="35">
        <v>0</v>
      </c>
      <c r="D2154" s="2">
        <f t="shared" si="33"/>
        <v>2</v>
      </c>
    </row>
    <row r="2155" spans="1:4" x14ac:dyDescent="0.3">
      <c r="A2155" s="34">
        <v>26460</v>
      </c>
      <c r="B2155" s="35">
        <v>1</v>
      </c>
      <c r="C2155" s="35">
        <v>0</v>
      </c>
      <c r="D2155" s="2">
        <f t="shared" si="33"/>
        <v>1</v>
      </c>
    </row>
    <row r="2156" spans="1:4" x14ac:dyDescent="0.3">
      <c r="A2156" s="34">
        <v>26464</v>
      </c>
      <c r="B2156" s="35">
        <v>2</v>
      </c>
      <c r="C2156" s="35">
        <v>1</v>
      </c>
      <c r="D2156" s="2">
        <f t="shared" si="33"/>
        <v>3</v>
      </c>
    </row>
    <row r="2157" spans="1:4" x14ac:dyDescent="0.3">
      <c r="A2157" s="34">
        <v>26472</v>
      </c>
      <c r="B2157" s="35">
        <v>2</v>
      </c>
      <c r="C2157" s="35">
        <v>2</v>
      </c>
      <c r="D2157" s="2">
        <f t="shared" si="33"/>
        <v>4</v>
      </c>
    </row>
    <row r="2158" spans="1:4" x14ac:dyDescent="0.3">
      <c r="A2158" s="34">
        <v>26481</v>
      </c>
      <c r="B2158" s="35">
        <v>1</v>
      </c>
      <c r="C2158" s="35">
        <v>0</v>
      </c>
      <c r="D2158" s="2">
        <f t="shared" si="33"/>
        <v>1</v>
      </c>
    </row>
    <row r="2159" spans="1:4" x14ac:dyDescent="0.3">
      <c r="A2159" s="34">
        <v>26486</v>
      </c>
      <c r="B2159" s="35">
        <v>1</v>
      </c>
      <c r="C2159" s="35">
        <v>0</v>
      </c>
      <c r="D2159" s="2">
        <f t="shared" si="33"/>
        <v>1</v>
      </c>
    </row>
    <row r="2160" spans="1:4" x14ac:dyDescent="0.3">
      <c r="A2160" s="34">
        <v>26503</v>
      </c>
      <c r="B2160" s="35">
        <v>1</v>
      </c>
      <c r="C2160" s="35">
        <v>1</v>
      </c>
      <c r="D2160" s="2">
        <f t="shared" si="33"/>
        <v>2</v>
      </c>
    </row>
    <row r="2161" spans="1:4" x14ac:dyDescent="0.3">
      <c r="A2161" s="34">
        <v>26504</v>
      </c>
      <c r="B2161" s="35">
        <v>1</v>
      </c>
      <c r="C2161" s="35">
        <v>0</v>
      </c>
      <c r="D2161" s="2">
        <f t="shared" si="33"/>
        <v>1</v>
      </c>
    </row>
    <row r="2162" spans="1:4" x14ac:dyDescent="0.3">
      <c r="A2162" s="34">
        <v>26509</v>
      </c>
      <c r="B2162" s="35">
        <v>1</v>
      </c>
      <c r="C2162" s="35">
        <v>0</v>
      </c>
      <c r="D2162" s="2">
        <f t="shared" si="33"/>
        <v>1</v>
      </c>
    </row>
    <row r="2163" spans="1:4" x14ac:dyDescent="0.3">
      <c r="A2163" s="34">
        <v>26510</v>
      </c>
      <c r="B2163" s="35">
        <v>1</v>
      </c>
      <c r="C2163" s="35">
        <v>0</v>
      </c>
      <c r="D2163" s="2">
        <f t="shared" si="33"/>
        <v>1</v>
      </c>
    </row>
    <row r="2164" spans="1:4" x14ac:dyDescent="0.3">
      <c r="A2164" s="34">
        <v>26511</v>
      </c>
      <c r="B2164" s="35">
        <v>1</v>
      </c>
      <c r="C2164" s="35">
        <v>0</v>
      </c>
      <c r="D2164" s="2">
        <f t="shared" si="33"/>
        <v>1</v>
      </c>
    </row>
    <row r="2165" spans="1:4" x14ac:dyDescent="0.3">
      <c r="A2165" s="34">
        <v>26513</v>
      </c>
      <c r="B2165" s="35">
        <v>1</v>
      </c>
      <c r="C2165" s="35">
        <v>0</v>
      </c>
      <c r="D2165" s="2">
        <f t="shared" si="33"/>
        <v>1</v>
      </c>
    </row>
    <row r="2166" spans="1:4" x14ac:dyDescent="0.3">
      <c r="A2166" s="34">
        <v>26515</v>
      </c>
      <c r="B2166" s="35">
        <v>1</v>
      </c>
      <c r="C2166" s="35">
        <v>0</v>
      </c>
      <c r="D2166" s="2">
        <f t="shared" si="33"/>
        <v>1</v>
      </c>
    </row>
    <row r="2167" spans="1:4" x14ac:dyDescent="0.3">
      <c r="A2167" s="34">
        <v>26520</v>
      </c>
      <c r="B2167" s="35">
        <v>1</v>
      </c>
      <c r="C2167" s="35">
        <v>0</v>
      </c>
      <c r="D2167" s="2">
        <f t="shared" si="33"/>
        <v>1</v>
      </c>
    </row>
    <row r="2168" spans="1:4" x14ac:dyDescent="0.3">
      <c r="A2168" s="34">
        <v>26522</v>
      </c>
      <c r="B2168" s="35">
        <v>1</v>
      </c>
      <c r="C2168" s="35">
        <v>0</v>
      </c>
      <c r="D2168" s="2">
        <f t="shared" si="33"/>
        <v>1</v>
      </c>
    </row>
    <row r="2169" spans="1:4" x14ac:dyDescent="0.3">
      <c r="A2169" s="34">
        <v>26527</v>
      </c>
      <c r="B2169" s="35">
        <v>1</v>
      </c>
      <c r="C2169" s="35">
        <v>0</v>
      </c>
      <c r="D2169" s="2">
        <f t="shared" si="33"/>
        <v>1</v>
      </c>
    </row>
    <row r="2170" spans="1:4" x14ac:dyDescent="0.3">
      <c r="A2170" s="34">
        <v>26528</v>
      </c>
      <c r="B2170" s="35">
        <v>2</v>
      </c>
      <c r="C2170" s="35">
        <v>1</v>
      </c>
      <c r="D2170" s="2">
        <f t="shared" si="33"/>
        <v>3</v>
      </c>
    </row>
    <row r="2171" spans="1:4" x14ac:dyDescent="0.3">
      <c r="A2171" s="34">
        <v>26533</v>
      </c>
      <c r="B2171" s="35">
        <v>1</v>
      </c>
      <c r="C2171" s="35">
        <v>0</v>
      </c>
      <c r="D2171" s="2">
        <f t="shared" si="33"/>
        <v>1</v>
      </c>
    </row>
    <row r="2172" spans="1:4" x14ac:dyDescent="0.3">
      <c r="A2172" s="34">
        <v>26535</v>
      </c>
      <c r="B2172" s="35">
        <v>2</v>
      </c>
      <c r="C2172" s="35">
        <v>2</v>
      </c>
      <c r="D2172" s="2">
        <f t="shared" si="33"/>
        <v>4</v>
      </c>
    </row>
    <row r="2173" spans="1:4" x14ac:dyDescent="0.3">
      <c r="A2173" s="34">
        <v>26537</v>
      </c>
      <c r="B2173" s="35">
        <v>1</v>
      </c>
      <c r="C2173" s="35">
        <v>0</v>
      </c>
      <c r="D2173" s="2">
        <f t="shared" si="33"/>
        <v>1</v>
      </c>
    </row>
    <row r="2174" spans="1:4" x14ac:dyDescent="0.3">
      <c r="A2174" s="34">
        <v>26546</v>
      </c>
      <c r="B2174" s="35">
        <v>1</v>
      </c>
      <c r="C2174" s="35">
        <v>0</v>
      </c>
      <c r="D2174" s="2">
        <f t="shared" si="33"/>
        <v>1</v>
      </c>
    </row>
    <row r="2175" spans="1:4" x14ac:dyDescent="0.3">
      <c r="A2175" s="34">
        <v>26550</v>
      </c>
      <c r="B2175" s="35">
        <v>2</v>
      </c>
      <c r="C2175" s="35">
        <v>2</v>
      </c>
      <c r="D2175" s="2">
        <f t="shared" si="33"/>
        <v>4</v>
      </c>
    </row>
    <row r="2176" spans="1:4" x14ac:dyDescent="0.3">
      <c r="A2176" s="34">
        <v>26551</v>
      </c>
      <c r="B2176" s="35">
        <v>1</v>
      </c>
      <c r="C2176" s="35">
        <v>0</v>
      </c>
      <c r="D2176" s="2">
        <f t="shared" si="33"/>
        <v>1</v>
      </c>
    </row>
    <row r="2177" spans="1:4" x14ac:dyDescent="0.3">
      <c r="A2177" s="34">
        <v>26558</v>
      </c>
      <c r="B2177" s="35">
        <v>1</v>
      </c>
      <c r="C2177" s="35">
        <v>0</v>
      </c>
      <c r="D2177" s="2">
        <f t="shared" si="33"/>
        <v>1</v>
      </c>
    </row>
    <row r="2178" spans="1:4" x14ac:dyDescent="0.3">
      <c r="A2178" s="34">
        <v>26560</v>
      </c>
      <c r="B2178" s="35">
        <v>1</v>
      </c>
      <c r="C2178" s="35">
        <v>0</v>
      </c>
      <c r="D2178" s="2">
        <f t="shared" si="33"/>
        <v>1</v>
      </c>
    </row>
    <row r="2179" spans="1:4" x14ac:dyDescent="0.3">
      <c r="A2179" s="34">
        <v>26570</v>
      </c>
      <c r="B2179" s="35">
        <v>2</v>
      </c>
      <c r="C2179" s="35">
        <v>0</v>
      </c>
      <c r="D2179" s="2">
        <f t="shared" ref="D2179:D2242" si="34">B2179+C2179</f>
        <v>2</v>
      </c>
    </row>
    <row r="2180" spans="1:4" x14ac:dyDescent="0.3">
      <c r="A2180" s="34">
        <v>26576</v>
      </c>
      <c r="B2180" s="35">
        <v>5</v>
      </c>
      <c r="C2180" s="35">
        <v>2</v>
      </c>
      <c r="D2180" s="2">
        <f t="shared" si="34"/>
        <v>7</v>
      </c>
    </row>
    <row r="2181" spans="1:4" x14ac:dyDescent="0.3">
      <c r="A2181" s="34">
        <v>26578</v>
      </c>
      <c r="B2181" s="35">
        <v>1</v>
      </c>
      <c r="C2181" s="35">
        <v>0</v>
      </c>
      <c r="D2181" s="2">
        <f t="shared" si="34"/>
        <v>1</v>
      </c>
    </row>
    <row r="2182" spans="1:4" x14ac:dyDescent="0.3">
      <c r="A2182" s="34">
        <v>26625</v>
      </c>
      <c r="B2182" s="35">
        <v>1</v>
      </c>
      <c r="C2182" s="35">
        <v>0</v>
      </c>
      <c r="D2182" s="2">
        <f t="shared" si="34"/>
        <v>1</v>
      </c>
    </row>
    <row r="2183" spans="1:4" x14ac:dyDescent="0.3">
      <c r="A2183" s="34">
        <v>26637</v>
      </c>
      <c r="B2183" s="35">
        <v>1</v>
      </c>
      <c r="C2183" s="35">
        <v>1</v>
      </c>
      <c r="D2183" s="2">
        <f t="shared" si="34"/>
        <v>2</v>
      </c>
    </row>
    <row r="2184" spans="1:4" x14ac:dyDescent="0.3">
      <c r="A2184" s="34">
        <v>26642</v>
      </c>
      <c r="B2184" s="35">
        <v>1</v>
      </c>
      <c r="C2184" s="35">
        <v>1</v>
      </c>
      <c r="D2184" s="2">
        <f t="shared" si="34"/>
        <v>2</v>
      </c>
    </row>
    <row r="2185" spans="1:4" x14ac:dyDescent="0.3">
      <c r="A2185" s="34">
        <v>26648</v>
      </c>
      <c r="B2185" s="35">
        <v>1</v>
      </c>
      <c r="C2185" s="35">
        <v>1</v>
      </c>
      <c r="D2185" s="2">
        <f t="shared" si="34"/>
        <v>2</v>
      </c>
    </row>
    <row r="2186" spans="1:4" x14ac:dyDescent="0.3">
      <c r="A2186" s="34">
        <v>26654</v>
      </c>
      <c r="B2186" s="35">
        <v>1</v>
      </c>
      <c r="C2186" s="35">
        <v>0</v>
      </c>
      <c r="D2186" s="2">
        <f t="shared" si="34"/>
        <v>1</v>
      </c>
    </row>
    <row r="2187" spans="1:4" x14ac:dyDescent="0.3">
      <c r="A2187" s="34">
        <v>26661</v>
      </c>
      <c r="B2187" s="35">
        <v>1</v>
      </c>
      <c r="C2187" s="35">
        <v>0</v>
      </c>
      <c r="D2187" s="2">
        <f t="shared" si="34"/>
        <v>1</v>
      </c>
    </row>
    <row r="2188" spans="1:4" x14ac:dyDescent="0.3">
      <c r="A2188" s="34">
        <v>26663</v>
      </c>
      <c r="B2188" s="35">
        <v>1</v>
      </c>
      <c r="C2188" s="35">
        <v>0</v>
      </c>
      <c r="D2188" s="2">
        <f t="shared" si="34"/>
        <v>1</v>
      </c>
    </row>
    <row r="2189" spans="1:4" x14ac:dyDescent="0.3">
      <c r="A2189" s="34">
        <v>26664</v>
      </c>
      <c r="B2189" s="35">
        <v>1</v>
      </c>
      <c r="C2189" s="35">
        <v>0</v>
      </c>
      <c r="D2189" s="2">
        <f t="shared" si="34"/>
        <v>1</v>
      </c>
    </row>
    <row r="2190" spans="1:4" x14ac:dyDescent="0.3">
      <c r="A2190" s="34">
        <v>26668</v>
      </c>
      <c r="B2190" s="35">
        <v>1</v>
      </c>
      <c r="C2190" s="35">
        <v>1</v>
      </c>
      <c r="D2190" s="2">
        <f t="shared" si="34"/>
        <v>2</v>
      </c>
    </row>
    <row r="2191" spans="1:4" x14ac:dyDescent="0.3">
      <c r="A2191" s="34">
        <v>26672</v>
      </c>
      <c r="B2191" s="35">
        <v>1</v>
      </c>
      <c r="C2191" s="35">
        <v>0</v>
      </c>
      <c r="D2191" s="2">
        <f t="shared" si="34"/>
        <v>1</v>
      </c>
    </row>
    <row r="2192" spans="1:4" x14ac:dyDescent="0.3">
      <c r="A2192" s="34">
        <v>26676</v>
      </c>
      <c r="B2192" s="35">
        <v>1</v>
      </c>
      <c r="C2192" s="35">
        <v>1</v>
      </c>
      <c r="D2192" s="2">
        <f t="shared" si="34"/>
        <v>2</v>
      </c>
    </row>
    <row r="2193" spans="1:4" x14ac:dyDescent="0.3">
      <c r="A2193" s="34">
        <v>26677</v>
      </c>
      <c r="B2193" s="35">
        <v>1</v>
      </c>
      <c r="C2193" s="35">
        <v>1</v>
      </c>
      <c r="D2193" s="2">
        <f t="shared" si="34"/>
        <v>2</v>
      </c>
    </row>
    <row r="2194" spans="1:4" x14ac:dyDescent="0.3">
      <c r="A2194" s="34">
        <v>26683</v>
      </c>
      <c r="B2194" s="35">
        <v>1</v>
      </c>
      <c r="C2194" s="35">
        <v>0</v>
      </c>
      <c r="D2194" s="2">
        <f t="shared" si="34"/>
        <v>1</v>
      </c>
    </row>
    <row r="2195" spans="1:4" x14ac:dyDescent="0.3">
      <c r="A2195" s="34">
        <v>26685</v>
      </c>
      <c r="B2195" s="35">
        <v>2</v>
      </c>
      <c r="C2195" s="35">
        <v>1</v>
      </c>
      <c r="D2195" s="2">
        <f t="shared" si="34"/>
        <v>3</v>
      </c>
    </row>
    <row r="2196" spans="1:4" x14ac:dyDescent="0.3">
      <c r="A2196" s="34">
        <v>26687</v>
      </c>
      <c r="B2196" s="35">
        <v>1</v>
      </c>
      <c r="C2196" s="35">
        <v>1</v>
      </c>
      <c r="D2196" s="2">
        <f t="shared" si="34"/>
        <v>2</v>
      </c>
    </row>
    <row r="2197" spans="1:4" x14ac:dyDescent="0.3">
      <c r="A2197" s="34">
        <v>26691</v>
      </c>
      <c r="B2197" s="35">
        <v>1</v>
      </c>
      <c r="C2197" s="35">
        <v>0</v>
      </c>
      <c r="D2197" s="2">
        <f t="shared" si="34"/>
        <v>1</v>
      </c>
    </row>
    <row r="2198" spans="1:4" x14ac:dyDescent="0.3">
      <c r="A2198" s="34">
        <v>26692</v>
      </c>
      <c r="B2198" s="35">
        <v>1</v>
      </c>
      <c r="C2198" s="35">
        <v>0</v>
      </c>
      <c r="D2198" s="2">
        <f t="shared" si="34"/>
        <v>1</v>
      </c>
    </row>
    <row r="2199" spans="1:4" x14ac:dyDescent="0.3">
      <c r="A2199" s="34">
        <v>26700</v>
      </c>
      <c r="B2199" s="35">
        <v>1</v>
      </c>
      <c r="C2199" s="35">
        <v>0</v>
      </c>
      <c r="D2199" s="2">
        <f t="shared" si="34"/>
        <v>1</v>
      </c>
    </row>
    <row r="2200" spans="1:4" x14ac:dyDescent="0.3">
      <c r="A2200" s="34">
        <v>26704</v>
      </c>
      <c r="B2200" s="35">
        <v>2</v>
      </c>
      <c r="C2200" s="35">
        <v>0</v>
      </c>
      <c r="D2200" s="2">
        <f t="shared" si="34"/>
        <v>2</v>
      </c>
    </row>
    <row r="2201" spans="1:4" x14ac:dyDescent="0.3">
      <c r="A2201" s="34">
        <v>26711</v>
      </c>
      <c r="B2201" s="35">
        <v>1</v>
      </c>
      <c r="C2201" s="35">
        <v>0</v>
      </c>
      <c r="D2201" s="2">
        <f t="shared" si="34"/>
        <v>1</v>
      </c>
    </row>
    <row r="2202" spans="1:4" x14ac:dyDescent="0.3">
      <c r="A2202" s="34">
        <v>26713</v>
      </c>
      <c r="B2202" s="35">
        <v>1</v>
      </c>
      <c r="C2202" s="35">
        <v>0</v>
      </c>
      <c r="D2202" s="2">
        <f t="shared" si="34"/>
        <v>1</v>
      </c>
    </row>
    <row r="2203" spans="1:4" x14ac:dyDescent="0.3">
      <c r="A2203" s="34">
        <v>26729</v>
      </c>
      <c r="B2203" s="35">
        <v>1</v>
      </c>
      <c r="C2203" s="35">
        <v>0</v>
      </c>
      <c r="D2203" s="2">
        <f t="shared" si="34"/>
        <v>1</v>
      </c>
    </row>
    <row r="2204" spans="1:4" x14ac:dyDescent="0.3">
      <c r="A2204" s="34">
        <v>26732</v>
      </c>
      <c r="B2204" s="35">
        <v>1</v>
      </c>
      <c r="C2204" s="35">
        <v>0</v>
      </c>
      <c r="D2204" s="2">
        <f t="shared" si="34"/>
        <v>1</v>
      </c>
    </row>
    <row r="2205" spans="1:4" x14ac:dyDescent="0.3">
      <c r="A2205" s="34">
        <v>26740</v>
      </c>
      <c r="B2205" s="35">
        <v>1</v>
      </c>
      <c r="C2205" s="35">
        <v>1</v>
      </c>
      <c r="D2205" s="2">
        <f t="shared" si="34"/>
        <v>2</v>
      </c>
    </row>
    <row r="2206" spans="1:4" x14ac:dyDescent="0.3">
      <c r="A2206" s="34">
        <v>26748</v>
      </c>
      <c r="B2206" s="35">
        <v>1</v>
      </c>
      <c r="C2206" s="35">
        <v>0</v>
      </c>
      <c r="D2206" s="2">
        <f t="shared" si="34"/>
        <v>1</v>
      </c>
    </row>
    <row r="2207" spans="1:4" x14ac:dyDescent="0.3">
      <c r="A2207" s="34">
        <v>26751</v>
      </c>
      <c r="B2207" s="35">
        <v>1</v>
      </c>
      <c r="C2207" s="35">
        <v>0</v>
      </c>
      <c r="D2207" s="2">
        <f t="shared" si="34"/>
        <v>1</v>
      </c>
    </row>
    <row r="2208" spans="1:4" x14ac:dyDescent="0.3">
      <c r="A2208" s="34">
        <v>26752</v>
      </c>
      <c r="B2208" s="35">
        <v>1</v>
      </c>
      <c r="C2208" s="35">
        <v>0</v>
      </c>
      <c r="D2208" s="2">
        <f t="shared" si="34"/>
        <v>1</v>
      </c>
    </row>
    <row r="2209" spans="1:4" x14ac:dyDescent="0.3">
      <c r="A2209" s="34">
        <v>26753</v>
      </c>
      <c r="B2209" s="35">
        <v>1</v>
      </c>
      <c r="C2209" s="35">
        <v>1</v>
      </c>
      <c r="D2209" s="2">
        <f t="shared" si="34"/>
        <v>2</v>
      </c>
    </row>
    <row r="2210" spans="1:4" x14ac:dyDescent="0.3">
      <c r="A2210" s="34">
        <v>26754</v>
      </c>
      <c r="B2210" s="35">
        <v>1</v>
      </c>
      <c r="C2210" s="35">
        <v>0</v>
      </c>
      <c r="D2210" s="2">
        <f t="shared" si="34"/>
        <v>1</v>
      </c>
    </row>
    <row r="2211" spans="1:4" x14ac:dyDescent="0.3">
      <c r="A2211" s="34">
        <v>26757</v>
      </c>
      <c r="B2211" s="35">
        <v>3</v>
      </c>
      <c r="C2211" s="35">
        <v>2</v>
      </c>
      <c r="D2211" s="2">
        <f t="shared" si="34"/>
        <v>5</v>
      </c>
    </row>
    <row r="2212" spans="1:4" x14ac:dyDescent="0.3">
      <c r="A2212" s="34">
        <v>26768</v>
      </c>
      <c r="B2212" s="35">
        <v>2</v>
      </c>
      <c r="C2212" s="35">
        <v>1</v>
      </c>
      <c r="D2212" s="2">
        <f t="shared" si="34"/>
        <v>3</v>
      </c>
    </row>
    <row r="2213" spans="1:4" x14ac:dyDescent="0.3">
      <c r="A2213" s="34">
        <v>26780</v>
      </c>
      <c r="B2213" s="35">
        <v>1</v>
      </c>
      <c r="C2213" s="35">
        <v>0</v>
      </c>
      <c r="D2213" s="2">
        <f t="shared" si="34"/>
        <v>1</v>
      </c>
    </row>
    <row r="2214" spans="1:4" x14ac:dyDescent="0.3">
      <c r="A2214" s="34">
        <v>26798</v>
      </c>
      <c r="B2214" s="35">
        <v>1</v>
      </c>
      <c r="C2214" s="35">
        <v>0</v>
      </c>
      <c r="D2214" s="2">
        <f t="shared" si="34"/>
        <v>1</v>
      </c>
    </row>
    <row r="2215" spans="1:4" x14ac:dyDescent="0.3">
      <c r="A2215" s="34">
        <v>26799</v>
      </c>
      <c r="B2215" s="35">
        <v>1</v>
      </c>
      <c r="C2215" s="35">
        <v>0</v>
      </c>
      <c r="D2215" s="2">
        <f t="shared" si="34"/>
        <v>1</v>
      </c>
    </row>
    <row r="2216" spans="1:4" x14ac:dyDescent="0.3">
      <c r="A2216" s="34">
        <v>26800</v>
      </c>
      <c r="B2216" s="35">
        <v>5</v>
      </c>
      <c r="C2216" s="35">
        <v>4</v>
      </c>
      <c r="D2216" s="2">
        <f t="shared" si="34"/>
        <v>9</v>
      </c>
    </row>
    <row r="2217" spans="1:4" x14ac:dyDescent="0.3">
      <c r="A2217" s="34">
        <v>26801</v>
      </c>
      <c r="B2217" s="35">
        <v>1</v>
      </c>
      <c r="C2217" s="35">
        <v>0</v>
      </c>
      <c r="D2217" s="2">
        <f t="shared" si="34"/>
        <v>1</v>
      </c>
    </row>
    <row r="2218" spans="1:4" x14ac:dyDescent="0.3">
      <c r="A2218" s="34">
        <v>26802</v>
      </c>
      <c r="B2218" s="35">
        <v>1</v>
      </c>
      <c r="C2218" s="35">
        <v>1</v>
      </c>
      <c r="D2218" s="2">
        <f t="shared" si="34"/>
        <v>2</v>
      </c>
    </row>
    <row r="2219" spans="1:4" x14ac:dyDescent="0.3">
      <c r="A2219" s="34">
        <v>26806</v>
      </c>
      <c r="B2219" s="35">
        <v>1</v>
      </c>
      <c r="C2219" s="35">
        <v>0</v>
      </c>
      <c r="D2219" s="2">
        <f t="shared" si="34"/>
        <v>1</v>
      </c>
    </row>
    <row r="2220" spans="1:4" x14ac:dyDescent="0.3">
      <c r="A2220" s="34">
        <v>26809</v>
      </c>
      <c r="B2220" s="35">
        <v>1</v>
      </c>
      <c r="C2220" s="35">
        <v>0</v>
      </c>
      <c r="D2220" s="2">
        <f t="shared" si="34"/>
        <v>1</v>
      </c>
    </row>
    <row r="2221" spans="1:4" x14ac:dyDescent="0.3">
      <c r="A2221" s="34">
        <v>26812</v>
      </c>
      <c r="B2221" s="35">
        <v>1</v>
      </c>
      <c r="C2221" s="35">
        <v>0</v>
      </c>
      <c r="D2221" s="2">
        <f t="shared" si="34"/>
        <v>1</v>
      </c>
    </row>
    <row r="2222" spans="1:4" x14ac:dyDescent="0.3">
      <c r="A2222" s="34">
        <v>26814</v>
      </c>
      <c r="B2222" s="35">
        <v>1</v>
      </c>
      <c r="C2222" s="35">
        <v>0</v>
      </c>
      <c r="D2222" s="2">
        <f t="shared" si="34"/>
        <v>1</v>
      </c>
    </row>
    <row r="2223" spans="1:4" x14ac:dyDescent="0.3">
      <c r="A2223" s="34">
        <v>26826</v>
      </c>
      <c r="B2223" s="35">
        <v>1</v>
      </c>
      <c r="C2223" s="35">
        <v>1</v>
      </c>
      <c r="D2223" s="2">
        <f t="shared" si="34"/>
        <v>2</v>
      </c>
    </row>
    <row r="2224" spans="1:4" x14ac:dyDescent="0.3">
      <c r="A2224" s="34">
        <v>26829</v>
      </c>
      <c r="B2224" s="35">
        <v>1</v>
      </c>
      <c r="C2224" s="35">
        <v>0</v>
      </c>
      <c r="D2224" s="2">
        <f t="shared" si="34"/>
        <v>1</v>
      </c>
    </row>
    <row r="2225" spans="1:4" x14ac:dyDescent="0.3">
      <c r="A2225" s="34">
        <v>26834</v>
      </c>
      <c r="B2225" s="35">
        <v>1</v>
      </c>
      <c r="C2225" s="35">
        <v>0</v>
      </c>
      <c r="D2225" s="2">
        <f t="shared" si="34"/>
        <v>1</v>
      </c>
    </row>
    <row r="2226" spans="1:4" x14ac:dyDescent="0.3">
      <c r="A2226" s="34">
        <v>26841</v>
      </c>
      <c r="B2226" s="35">
        <v>1</v>
      </c>
      <c r="C2226" s="35">
        <v>0</v>
      </c>
      <c r="D2226" s="2">
        <f t="shared" si="34"/>
        <v>1</v>
      </c>
    </row>
    <row r="2227" spans="1:4" x14ac:dyDescent="0.3">
      <c r="A2227" s="34">
        <v>26843</v>
      </c>
      <c r="B2227" s="35">
        <v>1</v>
      </c>
      <c r="C2227" s="35">
        <v>0</v>
      </c>
      <c r="D2227" s="2">
        <f t="shared" si="34"/>
        <v>1</v>
      </c>
    </row>
    <row r="2228" spans="1:4" x14ac:dyDescent="0.3">
      <c r="A2228" s="34">
        <v>26847</v>
      </c>
      <c r="B2228" s="35">
        <v>1</v>
      </c>
      <c r="C2228" s="35">
        <v>1</v>
      </c>
      <c r="D2228" s="2">
        <f t="shared" si="34"/>
        <v>2</v>
      </c>
    </row>
    <row r="2229" spans="1:4" x14ac:dyDescent="0.3">
      <c r="A2229" s="34">
        <v>26855</v>
      </c>
      <c r="B2229" s="35">
        <v>1</v>
      </c>
      <c r="C2229" s="35">
        <v>0</v>
      </c>
      <c r="D2229" s="2">
        <f t="shared" si="34"/>
        <v>1</v>
      </c>
    </row>
    <row r="2230" spans="1:4" x14ac:dyDescent="0.3">
      <c r="A2230" s="34">
        <v>26868</v>
      </c>
      <c r="B2230" s="35">
        <v>1</v>
      </c>
      <c r="C2230" s="35">
        <v>0</v>
      </c>
      <c r="D2230" s="2">
        <f t="shared" si="34"/>
        <v>1</v>
      </c>
    </row>
    <row r="2231" spans="1:4" x14ac:dyDescent="0.3">
      <c r="A2231" s="34">
        <v>26871</v>
      </c>
      <c r="B2231" s="35">
        <v>1</v>
      </c>
      <c r="C2231" s="35">
        <v>1</v>
      </c>
      <c r="D2231" s="2">
        <f t="shared" si="34"/>
        <v>2</v>
      </c>
    </row>
    <row r="2232" spans="1:4" x14ac:dyDescent="0.3">
      <c r="A2232" s="34">
        <v>26880</v>
      </c>
      <c r="B2232" s="35">
        <v>1</v>
      </c>
      <c r="C2232" s="35">
        <v>0</v>
      </c>
      <c r="D2232" s="2">
        <f t="shared" si="34"/>
        <v>1</v>
      </c>
    </row>
    <row r="2233" spans="1:4" x14ac:dyDescent="0.3">
      <c r="A2233" s="34">
        <v>26881</v>
      </c>
      <c r="B2233" s="35">
        <v>1</v>
      </c>
      <c r="C2233" s="35">
        <v>0</v>
      </c>
      <c r="D2233" s="2">
        <f t="shared" si="34"/>
        <v>1</v>
      </c>
    </row>
    <row r="2234" spans="1:4" x14ac:dyDescent="0.3">
      <c r="A2234" s="34">
        <v>26884</v>
      </c>
      <c r="B2234" s="35">
        <v>1</v>
      </c>
      <c r="C2234" s="35">
        <v>0</v>
      </c>
      <c r="D2234" s="2">
        <f t="shared" si="34"/>
        <v>1</v>
      </c>
    </row>
    <row r="2235" spans="1:4" x14ac:dyDescent="0.3">
      <c r="A2235" s="34">
        <v>26894</v>
      </c>
      <c r="B2235" s="35">
        <v>1</v>
      </c>
      <c r="C2235" s="35">
        <v>0</v>
      </c>
      <c r="D2235" s="2">
        <f t="shared" si="34"/>
        <v>1</v>
      </c>
    </row>
    <row r="2236" spans="1:4" x14ac:dyDescent="0.3">
      <c r="A2236" s="34">
        <v>26901</v>
      </c>
      <c r="B2236" s="35">
        <v>2</v>
      </c>
      <c r="C2236" s="35">
        <v>0</v>
      </c>
      <c r="D2236" s="2">
        <f t="shared" si="34"/>
        <v>2</v>
      </c>
    </row>
    <row r="2237" spans="1:4" x14ac:dyDescent="0.3">
      <c r="A2237" s="34">
        <v>26910</v>
      </c>
      <c r="B2237" s="35">
        <v>1</v>
      </c>
      <c r="C2237" s="35">
        <v>0</v>
      </c>
      <c r="D2237" s="2">
        <f t="shared" si="34"/>
        <v>1</v>
      </c>
    </row>
    <row r="2238" spans="1:4" x14ac:dyDescent="0.3">
      <c r="A2238" s="34">
        <v>26911</v>
      </c>
      <c r="B2238" s="35">
        <v>1</v>
      </c>
      <c r="C2238" s="35">
        <v>1</v>
      </c>
      <c r="D2238" s="2">
        <f t="shared" si="34"/>
        <v>2</v>
      </c>
    </row>
    <row r="2239" spans="1:4" x14ac:dyDescent="0.3">
      <c r="A2239" s="34">
        <v>26913</v>
      </c>
      <c r="B2239" s="35">
        <v>1</v>
      </c>
      <c r="C2239" s="35">
        <v>0</v>
      </c>
      <c r="D2239" s="2">
        <f t="shared" si="34"/>
        <v>1</v>
      </c>
    </row>
    <row r="2240" spans="1:4" x14ac:dyDescent="0.3">
      <c r="A2240" s="34">
        <v>26918</v>
      </c>
      <c r="B2240" s="35">
        <v>1</v>
      </c>
      <c r="C2240" s="35">
        <v>1</v>
      </c>
      <c r="D2240" s="2">
        <f t="shared" si="34"/>
        <v>2</v>
      </c>
    </row>
    <row r="2241" spans="1:4" x14ac:dyDescent="0.3">
      <c r="A2241" s="34">
        <v>26919</v>
      </c>
      <c r="B2241" s="35">
        <v>1</v>
      </c>
      <c r="C2241" s="35">
        <v>0</v>
      </c>
      <c r="D2241" s="2">
        <f t="shared" si="34"/>
        <v>1</v>
      </c>
    </row>
    <row r="2242" spans="1:4" x14ac:dyDescent="0.3">
      <c r="A2242" s="34">
        <v>26921</v>
      </c>
      <c r="B2242" s="35">
        <v>1</v>
      </c>
      <c r="C2242" s="35">
        <v>0</v>
      </c>
      <c r="D2242" s="2">
        <f t="shared" si="34"/>
        <v>1</v>
      </c>
    </row>
    <row r="2243" spans="1:4" x14ac:dyDescent="0.3">
      <c r="A2243" s="34">
        <v>26923</v>
      </c>
      <c r="B2243" s="35">
        <v>2</v>
      </c>
      <c r="C2243" s="35">
        <v>0</v>
      </c>
      <c r="D2243" s="2">
        <f t="shared" ref="D2243:D2306" si="35">B2243+C2243</f>
        <v>2</v>
      </c>
    </row>
    <row r="2244" spans="1:4" x14ac:dyDescent="0.3">
      <c r="A2244" s="34">
        <v>26926</v>
      </c>
      <c r="B2244" s="35">
        <v>1</v>
      </c>
      <c r="C2244" s="35">
        <v>0</v>
      </c>
      <c r="D2244" s="2">
        <f t="shared" si="35"/>
        <v>1</v>
      </c>
    </row>
    <row r="2245" spans="1:4" x14ac:dyDescent="0.3">
      <c r="A2245" s="34">
        <v>26929</v>
      </c>
      <c r="B2245" s="35">
        <v>1</v>
      </c>
      <c r="C2245" s="35">
        <v>0</v>
      </c>
      <c r="D2245" s="2">
        <f t="shared" si="35"/>
        <v>1</v>
      </c>
    </row>
    <row r="2246" spans="1:4" x14ac:dyDescent="0.3">
      <c r="A2246" s="34">
        <v>26931</v>
      </c>
      <c r="B2246" s="35">
        <v>1</v>
      </c>
      <c r="C2246" s="35">
        <v>0</v>
      </c>
      <c r="D2246" s="2">
        <f t="shared" si="35"/>
        <v>1</v>
      </c>
    </row>
    <row r="2247" spans="1:4" x14ac:dyDescent="0.3">
      <c r="A2247" s="34">
        <v>26935</v>
      </c>
      <c r="B2247" s="35">
        <v>1</v>
      </c>
      <c r="C2247" s="35">
        <v>0</v>
      </c>
      <c r="D2247" s="2">
        <f t="shared" si="35"/>
        <v>1</v>
      </c>
    </row>
    <row r="2248" spans="1:4" x14ac:dyDescent="0.3">
      <c r="A2248" s="34">
        <v>26936</v>
      </c>
      <c r="B2248" s="35">
        <v>1</v>
      </c>
      <c r="C2248" s="35">
        <v>0</v>
      </c>
      <c r="D2248" s="2">
        <f t="shared" si="35"/>
        <v>1</v>
      </c>
    </row>
    <row r="2249" spans="1:4" x14ac:dyDescent="0.3">
      <c r="A2249" s="34">
        <v>26937</v>
      </c>
      <c r="B2249" s="35">
        <v>2</v>
      </c>
      <c r="C2249" s="35">
        <v>0</v>
      </c>
      <c r="D2249" s="2">
        <f t="shared" si="35"/>
        <v>2</v>
      </c>
    </row>
    <row r="2250" spans="1:4" x14ac:dyDescent="0.3">
      <c r="A2250" s="34">
        <v>26938</v>
      </c>
      <c r="B2250" s="35">
        <v>1</v>
      </c>
      <c r="C2250" s="35">
        <v>0</v>
      </c>
      <c r="D2250" s="2">
        <f t="shared" si="35"/>
        <v>1</v>
      </c>
    </row>
    <row r="2251" spans="1:4" x14ac:dyDescent="0.3">
      <c r="A2251" s="34">
        <v>26942</v>
      </c>
      <c r="B2251" s="35">
        <v>1</v>
      </c>
      <c r="C2251" s="35">
        <v>0</v>
      </c>
      <c r="D2251" s="2">
        <f t="shared" si="35"/>
        <v>1</v>
      </c>
    </row>
    <row r="2252" spans="1:4" x14ac:dyDescent="0.3">
      <c r="A2252" s="34">
        <v>26945</v>
      </c>
      <c r="B2252" s="35">
        <v>1</v>
      </c>
      <c r="C2252" s="35">
        <v>1</v>
      </c>
      <c r="D2252" s="2">
        <f t="shared" si="35"/>
        <v>2</v>
      </c>
    </row>
    <row r="2253" spans="1:4" x14ac:dyDescent="0.3">
      <c r="A2253" s="34">
        <v>26947</v>
      </c>
      <c r="B2253" s="35">
        <v>1</v>
      </c>
      <c r="C2253" s="35">
        <v>0</v>
      </c>
      <c r="D2253" s="2">
        <f t="shared" si="35"/>
        <v>1</v>
      </c>
    </row>
    <row r="2254" spans="1:4" x14ac:dyDescent="0.3">
      <c r="A2254" s="34">
        <v>26955</v>
      </c>
      <c r="B2254" s="35">
        <v>1</v>
      </c>
      <c r="C2254" s="35">
        <v>0</v>
      </c>
      <c r="D2254" s="2">
        <f t="shared" si="35"/>
        <v>1</v>
      </c>
    </row>
    <row r="2255" spans="1:4" x14ac:dyDescent="0.3">
      <c r="A2255" s="34">
        <v>26969</v>
      </c>
      <c r="B2255" s="35">
        <v>1</v>
      </c>
      <c r="C2255" s="35">
        <v>2</v>
      </c>
      <c r="D2255" s="2">
        <f t="shared" si="35"/>
        <v>3</v>
      </c>
    </row>
    <row r="2256" spans="1:4" x14ac:dyDescent="0.3">
      <c r="A2256" s="34">
        <v>26972</v>
      </c>
      <c r="B2256" s="35">
        <v>1</v>
      </c>
      <c r="C2256" s="35">
        <v>0</v>
      </c>
      <c r="D2256" s="2">
        <f t="shared" si="35"/>
        <v>1</v>
      </c>
    </row>
    <row r="2257" spans="1:4" x14ac:dyDescent="0.3">
      <c r="A2257" s="34">
        <v>26983</v>
      </c>
      <c r="B2257" s="35">
        <v>3</v>
      </c>
      <c r="C2257" s="35">
        <v>3</v>
      </c>
      <c r="D2257" s="2">
        <f t="shared" si="35"/>
        <v>6</v>
      </c>
    </row>
    <row r="2258" spans="1:4" x14ac:dyDescent="0.3">
      <c r="A2258" s="34">
        <v>26988</v>
      </c>
      <c r="B2258" s="35">
        <v>2</v>
      </c>
      <c r="C2258" s="35">
        <v>0</v>
      </c>
      <c r="D2258" s="2">
        <f t="shared" si="35"/>
        <v>2</v>
      </c>
    </row>
    <row r="2259" spans="1:4" x14ac:dyDescent="0.3">
      <c r="A2259" s="34">
        <v>27009</v>
      </c>
      <c r="B2259" s="35">
        <v>1</v>
      </c>
      <c r="C2259" s="35">
        <v>1</v>
      </c>
      <c r="D2259" s="2">
        <f t="shared" si="35"/>
        <v>2</v>
      </c>
    </row>
    <row r="2260" spans="1:4" x14ac:dyDescent="0.3">
      <c r="A2260" s="34">
        <v>27011</v>
      </c>
      <c r="B2260" s="35">
        <v>1</v>
      </c>
      <c r="C2260" s="35">
        <v>0</v>
      </c>
      <c r="D2260" s="2">
        <f t="shared" si="35"/>
        <v>1</v>
      </c>
    </row>
    <row r="2261" spans="1:4" x14ac:dyDescent="0.3">
      <c r="A2261" s="34">
        <v>27014</v>
      </c>
      <c r="B2261" s="35">
        <v>1</v>
      </c>
      <c r="C2261" s="35">
        <v>0</v>
      </c>
      <c r="D2261" s="2">
        <f t="shared" si="35"/>
        <v>1</v>
      </c>
    </row>
    <row r="2262" spans="1:4" x14ac:dyDescent="0.3">
      <c r="A2262" s="34">
        <v>27017</v>
      </c>
      <c r="B2262" s="35">
        <v>1</v>
      </c>
      <c r="C2262" s="35">
        <v>0</v>
      </c>
      <c r="D2262" s="2">
        <f t="shared" si="35"/>
        <v>1</v>
      </c>
    </row>
    <row r="2263" spans="1:4" x14ac:dyDescent="0.3">
      <c r="A2263" s="34">
        <v>27018</v>
      </c>
      <c r="B2263" s="35">
        <v>1</v>
      </c>
      <c r="C2263" s="35">
        <v>0</v>
      </c>
      <c r="D2263" s="2">
        <f t="shared" si="35"/>
        <v>1</v>
      </c>
    </row>
    <row r="2264" spans="1:4" x14ac:dyDescent="0.3">
      <c r="A2264" s="34">
        <v>27022</v>
      </c>
      <c r="B2264" s="35">
        <v>1</v>
      </c>
      <c r="C2264" s="35">
        <v>0</v>
      </c>
      <c r="D2264" s="2">
        <f t="shared" si="35"/>
        <v>1</v>
      </c>
    </row>
    <row r="2265" spans="1:4" x14ac:dyDescent="0.3">
      <c r="A2265" s="34">
        <v>27023</v>
      </c>
      <c r="B2265" s="35">
        <v>1</v>
      </c>
      <c r="C2265" s="35">
        <v>0</v>
      </c>
      <c r="D2265" s="2">
        <f t="shared" si="35"/>
        <v>1</v>
      </c>
    </row>
    <row r="2266" spans="1:4" x14ac:dyDescent="0.3">
      <c r="A2266" s="34">
        <v>27031</v>
      </c>
      <c r="B2266" s="35">
        <v>1</v>
      </c>
      <c r="C2266" s="35">
        <v>0</v>
      </c>
      <c r="D2266" s="2">
        <f t="shared" si="35"/>
        <v>1</v>
      </c>
    </row>
    <row r="2267" spans="1:4" x14ac:dyDescent="0.3">
      <c r="A2267" s="34">
        <v>27034</v>
      </c>
      <c r="B2267" s="35">
        <v>1</v>
      </c>
      <c r="C2267" s="35">
        <v>0</v>
      </c>
      <c r="D2267" s="2">
        <f t="shared" si="35"/>
        <v>1</v>
      </c>
    </row>
    <row r="2268" spans="1:4" x14ac:dyDescent="0.3">
      <c r="A2268" s="34">
        <v>27037</v>
      </c>
      <c r="B2268" s="35">
        <v>1</v>
      </c>
      <c r="C2268" s="35">
        <v>0</v>
      </c>
      <c r="D2268" s="2">
        <f t="shared" si="35"/>
        <v>1</v>
      </c>
    </row>
    <row r="2269" spans="1:4" x14ac:dyDescent="0.3">
      <c r="A2269" s="34">
        <v>27039</v>
      </c>
      <c r="B2269" s="35">
        <v>1</v>
      </c>
      <c r="C2269" s="35">
        <v>0</v>
      </c>
      <c r="D2269" s="2">
        <f t="shared" si="35"/>
        <v>1</v>
      </c>
    </row>
    <row r="2270" spans="1:4" x14ac:dyDescent="0.3">
      <c r="A2270" s="34">
        <v>27055</v>
      </c>
      <c r="B2270" s="35">
        <v>1</v>
      </c>
      <c r="C2270" s="35">
        <v>0</v>
      </c>
      <c r="D2270" s="2">
        <f t="shared" si="35"/>
        <v>1</v>
      </c>
    </row>
    <row r="2271" spans="1:4" x14ac:dyDescent="0.3">
      <c r="A2271" s="34">
        <v>27056</v>
      </c>
      <c r="B2271" s="35">
        <v>1</v>
      </c>
      <c r="C2271" s="35">
        <v>0</v>
      </c>
      <c r="D2271" s="2">
        <f t="shared" si="35"/>
        <v>1</v>
      </c>
    </row>
    <row r="2272" spans="1:4" x14ac:dyDescent="0.3">
      <c r="A2272" s="34">
        <v>27068</v>
      </c>
      <c r="B2272" s="35">
        <v>1</v>
      </c>
      <c r="C2272" s="35">
        <v>2</v>
      </c>
      <c r="D2272" s="2">
        <f t="shared" si="35"/>
        <v>3</v>
      </c>
    </row>
    <row r="2273" spans="1:4" x14ac:dyDescent="0.3">
      <c r="A2273" s="34">
        <v>27073</v>
      </c>
      <c r="B2273" s="35">
        <v>1</v>
      </c>
      <c r="C2273" s="35">
        <v>0</v>
      </c>
      <c r="D2273" s="2">
        <f t="shared" si="35"/>
        <v>1</v>
      </c>
    </row>
    <row r="2274" spans="1:4" x14ac:dyDescent="0.3">
      <c r="A2274" s="34">
        <v>27074</v>
      </c>
      <c r="B2274" s="35">
        <v>2</v>
      </c>
      <c r="C2274" s="35">
        <v>0</v>
      </c>
      <c r="D2274" s="2">
        <f t="shared" si="35"/>
        <v>2</v>
      </c>
    </row>
    <row r="2275" spans="1:4" x14ac:dyDescent="0.3">
      <c r="A2275" s="34">
        <v>27075</v>
      </c>
      <c r="B2275" s="35">
        <v>2</v>
      </c>
      <c r="C2275" s="35">
        <v>0</v>
      </c>
      <c r="D2275" s="2">
        <f t="shared" si="35"/>
        <v>2</v>
      </c>
    </row>
    <row r="2276" spans="1:4" x14ac:dyDescent="0.3">
      <c r="A2276" s="34">
        <v>27078</v>
      </c>
      <c r="B2276" s="35">
        <v>1</v>
      </c>
      <c r="C2276" s="35">
        <v>0</v>
      </c>
      <c r="D2276" s="2">
        <f t="shared" si="35"/>
        <v>1</v>
      </c>
    </row>
    <row r="2277" spans="1:4" x14ac:dyDescent="0.3">
      <c r="A2277" s="34">
        <v>27079</v>
      </c>
      <c r="B2277" s="35">
        <v>2</v>
      </c>
      <c r="C2277" s="35">
        <v>0</v>
      </c>
      <c r="D2277" s="2">
        <f t="shared" si="35"/>
        <v>2</v>
      </c>
    </row>
    <row r="2278" spans="1:4" x14ac:dyDescent="0.3">
      <c r="A2278" s="34">
        <v>27080</v>
      </c>
      <c r="B2278" s="35">
        <v>1</v>
      </c>
      <c r="C2278" s="35">
        <v>0</v>
      </c>
      <c r="D2278" s="2">
        <f t="shared" si="35"/>
        <v>1</v>
      </c>
    </row>
    <row r="2279" spans="1:4" x14ac:dyDescent="0.3">
      <c r="A2279" s="34">
        <v>27088</v>
      </c>
      <c r="B2279" s="35">
        <v>1</v>
      </c>
      <c r="C2279" s="35">
        <v>0</v>
      </c>
      <c r="D2279" s="2">
        <f t="shared" si="35"/>
        <v>1</v>
      </c>
    </row>
    <row r="2280" spans="1:4" x14ac:dyDescent="0.3">
      <c r="A2280" s="34">
        <v>27090</v>
      </c>
      <c r="B2280" s="35">
        <v>1</v>
      </c>
      <c r="C2280" s="35">
        <v>0</v>
      </c>
      <c r="D2280" s="2">
        <f t="shared" si="35"/>
        <v>1</v>
      </c>
    </row>
    <row r="2281" spans="1:4" x14ac:dyDescent="0.3">
      <c r="A2281" s="34">
        <v>27110</v>
      </c>
      <c r="B2281" s="35">
        <v>1</v>
      </c>
      <c r="C2281" s="35">
        <v>0</v>
      </c>
      <c r="D2281" s="2">
        <f t="shared" si="35"/>
        <v>1</v>
      </c>
    </row>
    <row r="2282" spans="1:4" x14ac:dyDescent="0.3">
      <c r="A2282" s="34">
        <v>27117</v>
      </c>
      <c r="B2282" s="35">
        <v>1</v>
      </c>
      <c r="C2282" s="35">
        <v>0</v>
      </c>
      <c r="D2282" s="2">
        <f t="shared" si="35"/>
        <v>1</v>
      </c>
    </row>
    <row r="2283" spans="1:4" x14ac:dyDescent="0.3">
      <c r="A2283" s="34">
        <v>27118</v>
      </c>
      <c r="B2283" s="35">
        <v>1</v>
      </c>
      <c r="C2283" s="35">
        <v>0</v>
      </c>
      <c r="D2283" s="2">
        <f t="shared" si="35"/>
        <v>1</v>
      </c>
    </row>
    <row r="2284" spans="1:4" x14ac:dyDescent="0.3">
      <c r="A2284" s="34">
        <v>27119</v>
      </c>
      <c r="B2284" s="35">
        <v>1</v>
      </c>
      <c r="C2284" s="35">
        <v>1</v>
      </c>
      <c r="D2284" s="2">
        <f t="shared" si="35"/>
        <v>2</v>
      </c>
    </row>
    <row r="2285" spans="1:4" x14ac:dyDescent="0.3">
      <c r="A2285" s="34">
        <v>27120</v>
      </c>
      <c r="B2285" s="35">
        <v>2</v>
      </c>
      <c r="C2285" s="35">
        <v>1</v>
      </c>
      <c r="D2285" s="2">
        <f t="shared" si="35"/>
        <v>3</v>
      </c>
    </row>
    <row r="2286" spans="1:4" x14ac:dyDescent="0.3">
      <c r="A2286" s="34">
        <v>27130</v>
      </c>
      <c r="B2286" s="35">
        <v>1</v>
      </c>
      <c r="C2286" s="35">
        <v>1</v>
      </c>
      <c r="D2286" s="2">
        <f t="shared" si="35"/>
        <v>2</v>
      </c>
    </row>
    <row r="2287" spans="1:4" x14ac:dyDescent="0.3">
      <c r="A2287" s="34">
        <v>27134</v>
      </c>
      <c r="B2287" s="35">
        <v>1</v>
      </c>
      <c r="C2287" s="35">
        <v>0</v>
      </c>
      <c r="D2287" s="2">
        <f t="shared" si="35"/>
        <v>1</v>
      </c>
    </row>
    <row r="2288" spans="1:4" x14ac:dyDescent="0.3">
      <c r="A2288" s="34">
        <v>27150</v>
      </c>
      <c r="B2288" s="35">
        <v>1</v>
      </c>
      <c r="C2288" s="35">
        <v>1</v>
      </c>
      <c r="D2288" s="2">
        <f t="shared" si="35"/>
        <v>2</v>
      </c>
    </row>
    <row r="2289" spans="1:4" x14ac:dyDescent="0.3">
      <c r="A2289" s="34">
        <v>27151</v>
      </c>
      <c r="B2289" s="35">
        <v>1</v>
      </c>
      <c r="C2289" s="35">
        <v>0</v>
      </c>
      <c r="D2289" s="2">
        <f t="shared" si="35"/>
        <v>1</v>
      </c>
    </row>
    <row r="2290" spans="1:4" x14ac:dyDescent="0.3">
      <c r="A2290" s="34">
        <v>27155</v>
      </c>
      <c r="B2290" s="35">
        <v>1</v>
      </c>
      <c r="C2290" s="35">
        <v>0</v>
      </c>
      <c r="D2290" s="2">
        <f t="shared" si="35"/>
        <v>1</v>
      </c>
    </row>
    <row r="2291" spans="1:4" x14ac:dyDescent="0.3">
      <c r="A2291" s="34">
        <v>27156</v>
      </c>
      <c r="B2291" s="35">
        <v>1</v>
      </c>
      <c r="C2291" s="35">
        <v>0</v>
      </c>
      <c r="D2291" s="2">
        <f t="shared" si="35"/>
        <v>1</v>
      </c>
    </row>
    <row r="2292" spans="1:4" x14ac:dyDescent="0.3">
      <c r="A2292" s="34">
        <v>27159</v>
      </c>
      <c r="B2292" s="35">
        <v>1</v>
      </c>
      <c r="C2292" s="35">
        <v>0</v>
      </c>
      <c r="D2292" s="2">
        <f t="shared" si="35"/>
        <v>1</v>
      </c>
    </row>
    <row r="2293" spans="1:4" x14ac:dyDescent="0.3">
      <c r="A2293" s="34">
        <v>27163</v>
      </c>
      <c r="B2293" s="35">
        <v>1</v>
      </c>
      <c r="C2293" s="35">
        <v>0</v>
      </c>
      <c r="D2293" s="2">
        <f t="shared" si="35"/>
        <v>1</v>
      </c>
    </row>
    <row r="2294" spans="1:4" x14ac:dyDescent="0.3">
      <c r="A2294" s="34">
        <v>27173</v>
      </c>
      <c r="B2294" s="35">
        <v>2</v>
      </c>
      <c r="C2294" s="35">
        <v>2</v>
      </c>
      <c r="D2294" s="2">
        <f t="shared" si="35"/>
        <v>4</v>
      </c>
    </row>
    <row r="2295" spans="1:4" x14ac:dyDescent="0.3">
      <c r="A2295" s="34">
        <v>27179</v>
      </c>
      <c r="B2295" s="35">
        <v>3</v>
      </c>
      <c r="C2295" s="35">
        <v>1</v>
      </c>
      <c r="D2295" s="2">
        <f t="shared" si="35"/>
        <v>4</v>
      </c>
    </row>
    <row r="2296" spans="1:4" x14ac:dyDescent="0.3">
      <c r="A2296" s="34">
        <v>27180</v>
      </c>
      <c r="B2296" s="35">
        <v>1</v>
      </c>
      <c r="C2296" s="35">
        <v>1</v>
      </c>
      <c r="D2296" s="2">
        <f t="shared" si="35"/>
        <v>2</v>
      </c>
    </row>
    <row r="2297" spans="1:4" x14ac:dyDescent="0.3">
      <c r="A2297" s="34">
        <v>27184</v>
      </c>
      <c r="B2297" s="35">
        <v>1</v>
      </c>
      <c r="C2297" s="35">
        <v>0</v>
      </c>
      <c r="D2297" s="2">
        <f t="shared" si="35"/>
        <v>1</v>
      </c>
    </row>
    <row r="2298" spans="1:4" x14ac:dyDescent="0.3">
      <c r="A2298" s="34">
        <v>27192</v>
      </c>
      <c r="B2298" s="35">
        <v>1</v>
      </c>
      <c r="C2298" s="35">
        <v>0</v>
      </c>
      <c r="D2298" s="2">
        <f t="shared" si="35"/>
        <v>1</v>
      </c>
    </row>
    <row r="2299" spans="1:4" x14ac:dyDescent="0.3">
      <c r="A2299" s="34">
        <v>27193</v>
      </c>
      <c r="B2299" s="35">
        <v>1</v>
      </c>
      <c r="C2299" s="35">
        <v>1</v>
      </c>
      <c r="D2299" s="2">
        <f t="shared" si="35"/>
        <v>2</v>
      </c>
    </row>
    <row r="2300" spans="1:4" x14ac:dyDescent="0.3">
      <c r="A2300" s="34">
        <v>27213</v>
      </c>
      <c r="B2300" s="35">
        <v>1</v>
      </c>
      <c r="C2300" s="35">
        <v>1</v>
      </c>
      <c r="D2300" s="2">
        <f t="shared" si="35"/>
        <v>2</v>
      </c>
    </row>
    <row r="2301" spans="1:4" x14ac:dyDescent="0.3">
      <c r="A2301" s="34">
        <v>27230</v>
      </c>
      <c r="B2301" s="35">
        <v>1</v>
      </c>
      <c r="C2301" s="35">
        <v>0</v>
      </c>
      <c r="D2301" s="2">
        <f t="shared" si="35"/>
        <v>1</v>
      </c>
    </row>
    <row r="2302" spans="1:4" x14ac:dyDescent="0.3">
      <c r="A2302" s="34">
        <v>27236</v>
      </c>
      <c r="B2302" s="35">
        <v>2</v>
      </c>
      <c r="C2302" s="35">
        <v>0</v>
      </c>
      <c r="D2302" s="2">
        <f t="shared" si="35"/>
        <v>2</v>
      </c>
    </row>
    <row r="2303" spans="1:4" x14ac:dyDescent="0.3">
      <c r="A2303" s="34">
        <v>27239</v>
      </c>
      <c r="B2303" s="35">
        <v>1</v>
      </c>
      <c r="C2303" s="35">
        <v>0</v>
      </c>
      <c r="D2303" s="2">
        <f t="shared" si="35"/>
        <v>1</v>
      </c>
    </row>
    <row r="2304" spans="1:4" x14ac:dyDescent="0.3">
      <c r="A2304" s="34">
        <v>27241</v>
      </c>
      <c r="B2304" s="35">
        <v>2</v>
      </c>
      <c r="C2304" s="35">
        <v>0</v>
      </c>
      <c r="D2304" s="2">
        <f t="shared" si="35"/>
        <v>2</v>
      </c>
    </row>
    <row r="2305" spans="1:4" x14ac:dyDescent="0.3">
      <c r="A2305" s="34">
        <v>27244</v>
      </c>
      <c r="B2305" s="35">
        <v>1</v>
      </c>
      <c r="C2305" s="35">
        <v>0</v>
      </c>
      <c r="D2305" s="2">
        <f t="shared" si="35"/>
        <v>1</v>
      </c>
    </row>
    <row r="2306" spans="1:4" x14ac:dyDescent="0.3">
      <c r="A2306" s="34">
        <v>27256</v>
      </c>
      <c r="B2306" s="35">
        <v>1</v>
      </c>
      <c r="C2306" s="35">
        <v>0</v>
      </c>
      <c r="D2306" s="2">
        <f t="shared" si="35"/>
        <v>1</v>
      </c>
    </row>
    <row r="2307" spans="1:4" x14ac:dyDescent="0.3">
      <c r="A2307" s="34">
        <v>27259</v>
      </c>
      <c r="B2307" s="35">
        <v>1</v>
      </c>
      <c r="C2307" s="35">
        <v>0</v>
      </c>
      <c r="D2307" s="2">
        <f t="shared" ref="D2307:D2370" si="36">B2307+C2307</f>
        <v>1</v>
      </c>
    </row>
    <row r="2308" spans="1:4" x14ac:dyDescent="0.3">
      <c r="A2308" s="34">
        <v>27260</v>
      </c>
      <c r="B2308" s="35">
        <v>1</v>
      </c>
      <c r="C2308" s="35">
        <v>0</v>
      </c>
      <c r="D2308" s="2">
        <f t="shared" si="36"/>
        <v>1</v>
      </c>
    </row>
    <row r="2309" spans="1:4" x14ac:dyDescent="0.3">
      <c r="A2309" s="34">
        <v>27268</v>
      </c>
      <c r="B2309" s="35">
        <v>1</v>
      </c>
      <c r="C2309" s="35">
        <v>0</v>
      </c>
      <c r="D2309" s="2">
        <f t="shared" si="36"/>
        <v>1</v>
      </c>
    </row>
    <row r="2310" spans="1:4" x14ac:dyDescent="0.3">
      <c r="A2310" s="34">
        <v>27281</v>
      </c>
      <c r="B2310" s="35">
        <v>1</v>
      </c>
      <c r="C2310" s="35">
        <v>0</v>
      </c>
      <c r="D2310" s="2">
        <f t="shared" si="36"/>
        <v>1</v>
      </c>
    </row>
    <row r="2311" spans="1:4" x14ac:dyDescent="0.3">
      <c r="A2311" s="34">
        <v>27290</v>
      </c>
      <c r="B2311" s="35">
        <v>1</v>
      </c>
      <c r="C2311" s="35">
        <v>1</v>
      </c>
      <c r="D2311" s="2">
        <f t="shared" si="36"/>
        <v>2</v>
      </c>
    </row>
    <row r="2312" spans="1:4" x14ac:dyDescent="0.3">
      <c r="A2312" s="34">
        <v>27295</v>
      </c>
      <c r="B2312" s="35">
        <v>1</v>
      </c>
      <c r="C2312" s="35">
        <v>0</v>
      </c>
      <c r="D2312" s="2">
        <f t="shared" si="36"/>
        <v>1</v>
      </c>
    </row>
    <row r="2313" spans="1:4" x14ac:dyDescent="0.3">
      <c r="A2313" s="34">
        <v>27315</v>
      </c>
      <c r="B2313" s="35">
        <v>1</v>
      </c>
      <c r="C2313" s="35">
        <v>0</v>
      </c>
      <c r="D2313" s="2">
        <f t="shared" si="36"/>
        <v>1</v>
      </c>
    </row>
    <row r="2314" spans="1:4" x14ac:dyDescent="0.3">
      <c r="A2314" s="34">
        <v>27333</v>
      </c>
      <c r="B2314" s="35">
        <v>1</v>
      </c>
      <c r="C2314" s="35">
        <v>0</v>
      </c>
      <c r="D2314" s="2">
        <f t="shared" si="36"/>
        <v>1</v>
      </c>
    </row>
    <row r="2315" spans="1:4" x14ac:dyDescent="0.3">
      <c r="A2315" s="34">
        <v>27334</v>
      </c>
      <c r="B2315" s="35">
        <v>1</v>
      </c>
      <c r="C2315" s="35">
        <v>0</v>
      </c>
      <c r="D2315" s="2">
        <f t="shared" si="36"/>
        <v>1</v>
      </c>
    </row>
    <row r="2316" spans="1:4" x14ac:dyDescent="0.3">
      <c r="A2316" s="34">
        <v>27344</v>
      </c>
      <c r="B2316" s="35">
        <v>2</v>
      </c>
      <c r="C2316" s="35">
        <v>1</v>
      </c>
      <c r="D2316" s="2">
        <f t="shared" si="36"/>
        <v>3</v>
      </c>
    </row>
    <row r="2317" spans="1:4" x14ac:dyDescent="0.3">
      <c r="A2317" s="34">
        <v>27345</v>
      </c>
      <c r="B2317" s="35">
        <v>1</v>
      </c>
      <c r="C2317" s="35">
        <v>0</v>
      </c>
      <c r="D2317" s="2">
        <f t="shared" si="36"/>
        <v>1</v>
      </c>
    </row>
    <row r="2318" spans="1:4" x14ac:dyDescent="0.3">
      <c r="A2318" s="34">
        <v>27351</v>
      </c>
      <c r="B2318" s="35">
        <v>1</v>
      </c>
      <c r="C2318" s="35">
        <v>0</v>
      </c>
      <c r="D2318" s="2">
        <f t="shared" si="36"/>
        <v>1</v>
      </c>
    </row>
    <row r="2319" spans="1:4" x14ac:dyDescent="0.3">
      <c r="A2319" s="34">
        <v>27352</v>
      </c>
      <c r="B2319" s="35">
        <v>1</v>
      </c>
      <c r="C2319" s="35">
        <v>0</v>
      </c>
      <c r="D2319" s="2">
        <f t="shared" si="36"/>
        <v>1</v>
      </c>
    </row>
    <row r="2320" spans="1:4" x14ac:dyDescent="0.3">
      <c r="A2320" s="34">
        <v>27364</v>
      </c>
      <c r="B2320" s="35">
        <v>1</v>
      </c>
      <c r="C2320" s="35">
        <v>0</v>
      </c>
      <c r="D2320" s="2">
        <f t="shared" si="36"/>
        <v>1</v>
      </c>
    </row>
    <row r="2321" spans="1:4" x14ac:dyDescent="0.3">
      <c r="A2321" s="34">
        <v>27368</v>
      </c>
      <c r="B2321" s="35">
        <v>1</v>
      </c>
      <c r="C2321" s="35">
        <v>0</v>
      </c>
      <c r="D2321" s="2">
        <f t="shared" si="36"/>
        <v>1</v>
      </c>
    </row>
    <row r="2322" spans="1:4" x14ac:dyDescent="0.3">
      <c r="A2322" s="34">
        <v>27369</v>
      </c>
      <c r="B2322" s="35">
        <v>1</v>
      </c>
      <c r="C2322" s="35">
        <v>0</v>
      </c>
      <c r="D2322" s="2">
        <f t="shared" si="36"/>
        <v>1</v>
      </c>
    </row>
    <row r="2323" spans="1:4" x14ac:dyDescent="0.3">
      <c r="A2323" s="34">
        <v>27379</v>
      </c>
      <c r="B2323" s="35">
        <v>1</v>
      </c>
      <c r="C2323" s="35">
        <v>0</v>
      </c>
      <c r="D2323" s="2">
        <f t="shared" si="36"/>
        <v>1</v>
      </c>
    </row>
    <row r="2324" spans="1:4" x14ac:dyDescent="0.3">
      <c r="A2324" s="34">
        <v>27388</v>
      </c>
      <c r="B2324" s="35">
        <v>4</v>
      </c>
      <c r="C2324" s="35">
        <v>3</v>
      </c>
      <c r="D2324" s="2">
        <f t="shared" si="36"/>
        <v>7</v>
      </c>
    </row>
    <row r="2325" spans="1:4" x14ac:dyDescent="0.3">
      <c r="A2325" s="34">
        <v>27390</v>
      </c>
      <c r="B2325" s="35">
        <v>1</v>
      </c>
      <c r="C2325" s="35">
        <v>0</v>
      </c>
      <c r="D2325" s="2">
        <f t="shared" si="36"/>
        <v>1</v>
      </c>
    </row>
    <row r="2326" spans="1:4" x14ac:dyDescent="0.3">
      <c r="A2326" s="34">
        <v>27391</v>
      </c>
      <c r="B2326" s="35">
        <v>1</v>
      </c>
      <c r="C2326" s="35">
        <v>0</v>
      </c>
      <c r="D2326" s="2">
        <f t="shared" si="36"/>
        <v>1</v>
      </c>
    </row>
    <row r="2327" spans="1:4" x14ac:dyDescent="0.3">
      <c r="A2327" s="34">
        <v>27392</v>
      </c>
      <c r="B2327" s="35">
        <v>1</v>
      </c>
      <c r="C2327" s="35">
        <v>0</v>
      </c>
      <c r="D2327" s="2">
        <f t="shared" si="36"/>
        <v>1</v>
      </c>
    </row>
    <row r="2328" spans="1:4" x14ac:dyDescent="0.3">
      <c r="A2328" s="34">
        <v>27412</v>
      </c>
      <c r="B2328" s="35">
        <v>1</v>
      </c>
      <c r="C2328" s="35">
        <v>1</v>
      </c>
      <c r="D2328" s="2">
        <f t="shared" si="36"/>
        <v>2</v>
      </c>
    </row>
    <row r="2329" spans="1:4" x14ac:dyDescent="0.3">
      <c r="A2329" s="34">
        <v>27419</v>
      </c>
      <c r="B2329" s="35">
        <v>1</v>
      </c>
      <c r="C2329" s="35">
        <v>1</v>
      </c>
      <c r="D2329" s="2">
        <f t="shared" si="36"/>
        <v>2</v>
      </c>
    </row>
    <row r="2330" spans="1:4" x14ac:dyDescent="0.3">
      <c r="A2330" s="34">
        <v>27421</v>
      </c>
      <c r="B2330" s="35">
        <v>1</v>
      </c>
      <c r="C2330" s="35">
        <v>0</v>
      </c>
      <c r="D2330" s="2">
        <f t="shared" si="36"/>
        <v>1</v>
      </c>
    </row>
    <row r="2331" spans="1:4" x14ac:dyDescent="0.3">
      <c r="A2331" s="34">
        <v>27422</v>
      </c>
      <c r="B2331" s="35">
        <v>1</v>
      </c>
      <c r="C2331" s="35">
        <v>0</v>
      </c>
      <c r="D2331" s="2">
        <f t="shared" si="36"/>
        <v>1</v>
      </c>
    </row>
    <row r="2332" spans="1:4" x14ac:dyDescent="0.3">
      <c r="A2332" s="34">
        <v>27428</v>
      </c>
      <c r="B2332" s="35">
        <v>1</v>
      </c>
      <c r="C2332" s="35">
        <v>0</v>
      </c>
      <c r="D2332" s="2">
        <f t="shared" si="36"/>
        <v>1</v>
      </c>
    </row>
    <row r="2333" spans="1:4" x14ac:dyDescent="0.3">
      <c r="A2333" s="34">
        <v>27429</v>
      </c>
      <c r="B2333" s="35">
        <v>1</v>
      </c>
      <c r="C2333" s="35">
        <v>0</v>
      </c>
      <c r="D2333" s="2">
        <f t="shared" si="36"/>
        <v>1</v>
      </c>
    </row>
    <row r="2334" spans="1:4" x14ac:dyDescent="0.3">
      <c r="A2334" s="34">
        <v>27434</v>
      </c>
      <c r="B2334" s="35">
        <v>3</v>
      </c>
      <c r="C2334" s="35">
        <v>0</v>
      </c>
      <c r="D2334" s="2">
        <f t="shared" si="36"/>
        <v>3</v>
      </c>
    </row>
    <row r="2335" spans="1:4" x14ac:dyDescent="0.3">
      <c r="A2335" s="34">
        <v>27435</v>
      </c>
      <c r="B2335" s="35">
        <v>1</v>
      </c>
      <c r="C2335" s="35">
        <v>0</v>
      </c>
      <c r="D2335" s="2">
        <f t="shared" si="36"/>
        <v>1</v>
      </c>
    </row>
    <row r="2336" spans="1:4" x14ac:dyDescent="0.3">
      <c r="A2336" s="34">
        <v>27442</v>
      </c>
      <c r="B2336" s="35">
        <v>1</v>
      </c>
      <c r="C2336" s="35">
        <v>1</v>
      </c>
      <c r="D2336" s="2">
        <f t="shared" si="36"/>
        <v>2</v>
      </c>
    </row>
    <row r="2337" spans="1:4" x14ac:dyDescent="0.3">
      <c r="A2337" s="34">
        <v>27445</v>
      </c>
      <c r="B2337" s="35">
        <v>1</v>
      </c>
      <c r="C2337" s="35">
        <v>0</v>
      </c>
      <c r="D2337" s="2">
        <f t="shared" si="36"/>
        <v>1</v>
      </c>
    </row>
    <row r="2338" spans="1:4" x14ac:dyDescent="0.3">
      <c r="A2338" s="34">
        <v>27448</v>
      </c>
      <c r="B2338" s="35">
        <v>1</v>
      </c>
      <c r="C2338" s="35">
        <v>0</v>
      </c>
      <c r="D2338" s="2">
        <f t="shared" si="36"/>
        <v>1</v>
      </c>
    </row>
    <row r="2339" spans="1:4" x14ac:dyDescent="0.3">
      <c r="A2339" s="34">
        <v>27455</v>
      </c>
      <c r="B2339" s="35">
        <v>3</v>
      </c>
      <c r="C2339" s="35">
        <v>0</v>
      </c>
      <c r="D2339" s="2">
        <f t="shared" si="36"/>
        <v>3</v>
      </c>
    </row>
    <row r="2340" spans="1:4" x14ac:dyDescent="0.3">
      <c r="A2340" s="34">
        <v>27456</v>
      </c>
      <c r="B2340" s="35">
        <v>1</v>
      </c>
      <c r="C2340" s="35">
        <v>1</v>
      </c>
      <c r="D2340" s="2">
        <f t="shared" si="36"/>
        <v>2</v>
      </c>
    </row>
    <row r="2341" spans="1:4" x14ac:dyDescent="0.3">
      <c r="A2341" s="34">
        <v>27464</v>
      </c>
      <c r="B2341" s="35">
        <v>1</v>
      </c>
      <c r="C2341" s="35">
        <v>0</v>
      </c>
      <c r="D2341" s="2">
        <f t="shared" si="36"/>
        <v>1</v>
      </c>
    </row>
    <row r="2342" spans="1:4" x14ac:dyDescent="0.3">
      <c r="A2342" s="34">
        <v>27481</v>
      </c>
      <c r="B2342" s="35">
        <v>1</v>
      </c>
      <c r="C2342" s="35">
        <v>0</v>
      </c>
      <c r="D2342" s="2">
        <f t="shared" si="36"/>
        <v>1</v>
      </c>
    </row>
    <row r="2343" spans="1:4" x14ac:dyDescent="0.3">
      <c r="A2343" s="34">
        <v>27489</v>
      </c>
      <c r="B2343" s="35">
        <v>1</v>
      </c>
      <c r="C2343" s="35">
        <v>0</v>
      </c>
      <c r="D2343" s="2">
        <f t="shared" si="36"/>
        <v>1</v>
      </c>
    </row>
    <row r="2344" spans="1:4" x14ac:dyDescent="0.3">
      <c r="A2344" s="34">
        <v>27491</v>
      </c>
      <c r="B2344" s="35">
        <v>1</v>
      </c>
      <c r="C2344" s="35">
        <v>1</v>
      </c>
      <c r="D2344" s="2">
        <f t="shared" si="36"/>
        <v>2</v>
      </c>
    </row>
    <row r="2345" spans="1:4" x14ac:dyDescent="0.3">
      <c r="A2345" s="34">
        <v>27493</v>
      </c>
      <c r="B2345" s="35">
        <v>1</v>
      </c>
      <c r="C2345" s="35">
        <v>0</v>
      </c>
      <c r="D2345" s="2">
        <f t="shared" si="36"/>
        <v>1</v>
      </c>
    </row>
    <row r="2346" spans="1:4" x14ac:dyDescent="0.3">
      <c r="A2346" s="34">
        <v>27494</v>
      </c>
      <c r="B2346" s="35">
        <v>1</v>
      </c>
      <c r="C2346" s="35">
        <v>0</v>
      </c>
      <c r="D2346" s="2">
        <f t="shared" si="36"/>
        <v>1</v>
      </c>
    </row>
    <row r="2347" spans="1:4" x14ac:dyDescent="0.3">
      <c r="A2347" s="34">
        <v>27505</v>
      </c>
      <c r="B2347" s="35">
        <v>1</v>
      </c>
      <c r="C2347" s="35">
        <v>1</v>
      </c>
      <c r="D2347" s="2">
        <f t="shared" si="36"/>
        <v>2</v>
      </c>
    </row>
    <row r="2348" spans="1:4" x14ac:dyDescent="0.3">
      <c r="A2348" s="34">
        <v>27507</v>
      </c>
      <c r="B2348" s="35">
        <v>1</v>
      </c>
      <c r="C2348" s="35">
        <v>0</v>
      </c>
      <c r="D2348" s="2">
        <f t="shared" si="36"/>
        <v>1</v>
      </c>
    </row>
    <row r="2349" spans="1:4" x14ac:dyDescent="0.3">
      <c r="A2349" s="34">
        <v>27511</v>
      </c>
      <c r="B2349" s="35">
        <v>1</v>
      </c>
      <c r="C2349" s="35">
        <v>0</v>
      </c>
      <c r="D2349" s="2">
        <f t="shared" si="36"/>
        <v>1</v>
      </c>
    </row>
    <row r="2350" spans="1:4" x14ac:dyDescent="0.3">
      <c r="A2350" s="34">
        <v>27513</v>
      </c>
      <c r="B2350" s="35">
        <v>2</v>
      </c>
      <c r="C2350" s="35">
        <v>0</v>
      </c>
      <c r="D2350" s="2">
        <f t="shared" si="36"/>
        <v>2</v>
      </c>
    </row>
    <row r="2351" spans="1:4" x14ac:dyDescent="0.3">
      <c r="A2351" s="34">
        <v>27514</v>
      </c>
      <c r="B2351" s="35">
        <v>1</v>
      </c>
      <c r="C2351" s="35">
        <v>0</v>
      </c>
      <c r="D2351" s="2">
        <f t="shared" si="36"/>
        <v>1</v>
      </c>
    </row>
    <row r="2352" spans="1:4" x14ac:dyDescent="0.3">
      <c r="A2352" s="34">
        <v>27518</v>
      </c>
      <c r="B2352" s="35">
        <v>1</v>
      </c>
      <c r="C2352" s="35">
        <v>1</v>
      </c>
      <c r="D2352" s="2">
        <f t="shared" si="36"/>
        <v>2</v>
      </c>
    </row>
    <row r="2353" spans="1:4" x14ac:dyDescent="0.3">
      <c r="A2353" s="34">
        <v>27520</v>
      </c>
      <c r="B2353" s="35">
        <v>1</v>
      </c>
      <c r="C2353" s="35">
        <v>0</v>
      </c>
      <c r="D2353" s="2">
        <f t="shared" si="36"/>
        <v>1</v>
      </c>
    </row>
    <row r="2354" spans="1:4" x14ac:dyDescent="0.3">
      <c r="A2354" s="34">
        <v>27523</v>
      </c>
      <c r="B2354" s="35">
        <v>1</v>
      </c>
      <c r="C2354" s="35">
        <v>0</v>
      </c>
      <c r="D2354" s="2">
        <f t="shared" si="36"/>
        <v>1</v>
      </c>
    </row>
    <row r="2355" spans="1:4" x14ac:dyDescent="0.3">
      <c r="A2355" s="34">
        <v>27533</v>
      </c>
      <c r="B2355" s="35">
        <v>1</v>
      </c>
      <c r="C2355" s="35">
        <v>0</v>
      </c>
      <c r="D2355" s="2">
        <f t="shared" si="36"/>
        <v>1</v>
      </c>
    </row>
    <row r="2356" spans="1:4" x14ac:dyDescent="0.3">
      <c r="A2356" s="34">
        <v>27535</v>
      </c>
      <c r="B2356" s="35">
        <v>1</v>
      </c>
      <c r="C2356" s="35">
        <v>0</v>
      </c>
      <c r="D2356" s="2">
        <f t="shared" si="36"/>
        <v>1</v>
      </c>
    </row>
    <row r="2357" spans="1:4" x14ac:dyDescent="0.3">
      <c r="A2357" s="34">
        <v>27561</v>
      </c>
      <c r="B2357" s="35">
        <v>1</v>
      </c>
      <c r="C2357" s="35">
        <v>0</v>
      </c>
      <c r="D2357" s="2">
        <f t="shared" si="36"/>
        <v>1</v>
      </c>
    </row>
    <row r="2358" spans="1:4" x14ac:dyDescent="0.3">
      <c r="A2358" s="34">
        <v>27564</v>
      </c>
      <c r="B2358" s="35">
        <v>1</v>
      </c>
      <c r="C2358" s="35">
        <v>1</v>
      </c>
      <c r="D2358" s="2">
        <f t="shared" si="36"/>
        <v>2</v>
      </c>
    </row>
    <row r="2359" spans="1:4" x14ac:dyDescent="0.3">
      <c r="A2359" s="34">
        <v>27569</v>
      </c>
      <c r="B2359" s="35">
        <v>1</v>
      </c>
      <c r="C2359" s="35">
        <v>1</v>
      </c>
      <c r="D2359" s="2">
        <f t="shared" si="36"/>
        <v>2</v>
      </c>
    </row>
    <row r="2360" spans="1:4" x14ac:dyDescent="0.3">
      <c r="A2360" s="34">
        <v>27571</v>
      </c>
      <c r="B2360" s="35">
        <v>1</v>
      </c>
      <c r="C2360" s="35">
        <v>0</v>
      </c>
      <c r="D2360" s="2">
        <f t="shared" si="36"/>
        <v>1</v>
      </c>
    </row>
    <row r="2361" spans="1:4" x14ac:dyDescent="0.3">
      <c r="A2361" s="34">
        <v>27575</v>
      </c>
      <c r="B2361" s="35">
        <v>2</v>
      </c>
      <c r="C2361" s="35">
        <v>0</v>
      </c>
      <c r="D2361" s="2">
        <f t="shared" si="36"/>
        <v>2</v>
      </c>
    </row>
    <row r="2362" spans="1:4" x14ac:dyDescent="0.3">
      <c r="A2362" s="34">
        <v>27582</v>
      </c>
      <c r="B2362" s="35">
        <v>1</v>
      </c>
      <c r="C2362" s="35">
        <v>0</v>
      </c>
      <c r="D2362" s="2">
        <f t="shared" si="36"/>
        <v>1</v>
      </c>
    </row>
    <row r="2363" spans="1:4" x14ac:dyDescent="0.3">
      <c r="A2363" s="34">
        <v>27586</v>
      </c>
      <c r="B2363" s="35">
        <v>1</v>
      </c>
      <c r="C2363" s="35">
        <v>0</v>
      </c>
      <c r="D2363" s="2">
        <f t="shared" si="36"/>
        <v>1</v>
      </c>
    </row>
    <row r="2364" spans="1:4" x14ac:dyDescent="0.3">
      <c r="A2364" s="34">
        <v>27592</v>
      </c>
      <c r="B2364" s="35">
        <v>2</v>
      </c>
      <c r="C2364" s="35">
        <v>0</v>
      </c>
      <c r="D2364" s="2">
        <f t="shared" si="36"/>
        <v>2</v>
      </c>
    </row>
    <row r="2365" spans="1:4" x14ac:dyDescent="0.3">
      <c r="A2365" s="34">
        <v>27593</v>
      </c>
      <c r="B2365" s="35">
        <v>1</v>
      </c>
      <c r="C2365" s="35">
        <v>0</v>
      </c>
      <c r="D2365" s="2">
        <f t="shared" si="36"/>
        <v>1</v>
      </c>
    </row>
    <row r="2366" spans="1:4" x14ac:dyDescent="0.3">
      <c r="A2366" s="34">
        <v>27599</v>
      </c>
      <c r="B2366" s="35">
        <v>1</v>
      </c>
      <c r="C2366" s="35">
        <v>0</v>
      </c>
      <c r="D2366" s="2">
        <f t="shared" si="36"/>
        <v>1</v>
      </c>
    </row>
    <row r="2367" spans="1:4" x14ac:dyDescent="0.3">
      <c r="A2367" s="34">
        <v>27601</v>
      </c>
      <c r="B2367" s="35">
        <v>1</v>
      </c>
      <c r="C2367" s="35">
        <v>1</v>
      </c>
      <c r="D2367" s="2">
        <f t="shared" si="36"/>
        <v>2</v>
      </c>
    </row>
    <row r="2368" spans="1:4" x14ac:dyDescent="0.3">
      <c r="A2368" s="34">
        <v>27603</v>
      </c>
      <c r="B2368" s="35">
        <v>1</v>
      </c>
      <c r="C2368" s="35">
        <v>0</v>
      </c>
      <c r="D2368" s="2">
        <f t="shared" si="36"/>
        <v>1</v>
      </c>
    </row>
    <row r="2369" spans="1:4" x14ac:dyDescent="0.3">
      <c r="A2369" s="34">
        <v>27604</v>
      </c>
      <c r="B2369" s="35">
        <v>1</v>
      </c>
      <c r="C2369" s="35">
        <v>0</v>
      </c>
      <c r="D2369" s="2">
        <f t="shared" si="36"/>
        <v>1</v>
      </c>
    </row>
    <row r="2370" spans="1:4" x14ac:dyDescent="0.3">
      <c r="A2370" s="34">
        <v>27605</v>
      </c>
      <c r="B2370" s="35">
        <v>1</v>
      </c>
      <c r="C2370" s="35">
        <v>0</v>
      </c>
      <c r="D2370" s="2">
        <f t="shared" si="36"/>
        <v>1</v>
      </c>
    </row>
    <row r="2371" spans="1:4" x14ac:dyDescent="0.3">
      <c r="A2371" s="34">
        <v>27607</v>
      </c>
      <c r="B2371" s="35">
        <v>2</v>
      </c>
      <c r="C2371" s="35">
        <v>2</v>
      </c>
      <c r="D2371" s="2">
        <f t="shared" ref="D2371:D2434" si="37">B2371+C2371</f>
        <v>4</v>
      </c>
    </row>
    <row r="2372" spans="1:4" x14ac:dyDescent="0.3">
      <c r="A2372" s="34">
        <v>27613</v>
      </c>
      <c r="B2372" s="35">
        <v>1</v>
      </c>
      <c r="C2372" s="35">
        <v>1</v>
      </c>
      <c r="D2372" s="2">
        <f t="shared" si="37"/>
        <v>2</v>
      </c>
    </row>
    <row r="2373" spans="1:4" x14ac:dyDescent="0.3">
      <c r="A2373" s="34">
        <v>27616</v>
      </c>
      <c r="B2373" s="35">
        <v>1</v>
      </c>
      <c r="C2373" s="35">
        <v>0</v>
      </c>
      <c r="D2373" s="2">
        <f t="shared" si="37"/>
        <v>1</v>
      </c>
    </row>
    <row r="2374" spans="1:4" x14ac:dyDescent="0.3">
      <c r="A2374" s="34">
        <v>27619</v>
      </c>
      <c r="B2374" s="35">
        <v>1</v>
      </c>
      <c r="C2374" s="35">
        <v>0</v>
      </c>
      <c r="D2374" s="2">
        <f t="shared" si="37"/>
        <v>1</v>
      </c>
    </row>
    <row r="2375" spans="1:4" x14ac:dyDescent="0.3">
      <c r="A2375" s="34">
        <v>27620</v>
      </c>
      <c r="B2375" s="35">
        <v>1</v>
      </c>
      <c r="C2375" s="35">
        <v>0</v>
      </c>
      <c r="D2375" s="2">
        <f t="shared" si="37"/>
        <v>1</v>
      </c>
    </row>
    <row r="2376" spans="1:4" x14ac:dyDescent="0.3">
      <c r="A2376" s="34">
        <v>27622</v>
      </c>
      <c r="B2376" s="35">
        <v>2</v>
      </c>
      <c r="C2376" s="35">
        <v>0</v>
      </c>
      <c r="D2376" s="2">
        <f t="shared" si="37"/>
        <v>2</v>
      </c>
    </row>
    <row r="2377" spans="1:4" x14ac:dyDescent="0.3">
      <c r="A2377" s="34">
        <v>27627</v>
      </c>
      <c r="B2377" s="35">
        <v>1</v>
      </c>
      <c r="C2377" s="35">
        <v>0</v>
      </c>
      <c r="D2377" s="2">
        <f t="shared" si="37"/>
        <v>1</v>
      </c>
    </row>
    <row r="2378" spans="1:4" x14ac:dyDescent="0.3">
      <c r="A2378" s="34">
        <v>27629</v>
      </c>
      <c r="B2378" s="35">
        <v>1</v>
      </c>
      <c r="C2378" s="35">
        <v>0</v>
      </c>
      <c r="D2378" s="2">
        <f t="shared" si="37"/>
        <v>1</v>
      </c>
    </row>
    <row r="2379" spans="1:4" x14ac:dyDescent="0.3">
      <c r="A2379" s="34">
        <v>27632</v>
      </c>
      <c r="B2379" s="35">
        <v>1</v>
      </c>
      <c r="C2379" s="35">
        <v>0</v>
      </c>
      <c r="D2379" s="2">
        <f t="shared" si="37"/>
        <v>1</v>
      </c>
    </row>
    <row r="2380" spans="1:4" x14ac:dyDescent="0.3">
      <c r="A2380" s="34">
        <v>27633</v>
      </c>
      <c r="B2380" s="35">
        <v>2</v>
      </c>
      <c r="C2380" s="35">
        <v>2</v>
      </c>
      <c r="D2380" s="2">
        <f t="shared" si="37"/>
        <v>4</v>
      </c>
    </row>
    <row r="2381" spans="1:4" x14ac:dyDescent="0.3">
      <c r="A2381" s="34">
        <v>27644</v>
      </c>
      <c r="B2381" s="35">
        <v>1</v>
      </c>
      <c r="C2381" s="35">
        <v>0</v>
      </c>
      <c r="D2381" s="2">
        <f t="shared" si="37"/>
        <v>1</v>
      </c>
    </row>
    <row r="2382" spans="1:4" x14ac:dyDescent="0.3">
      <c r="A2382" s="34">
        <v>27650</v>
      </c>
      <c r="B2382" s="35">
        <v>1</v>
      </c>
      <c r="C2382" s="35">
        <v>1</v>
      </c>
      <c r="D2382" s="2">
        <f t="shared" si="37"/>
        <v>2</v>
      </c>
    </row>
    <row r="2383" spans="1:4" x14ac:dyDescent="0.3">
      <c r="A2383" s="34">
        <v>27653</v>
      </c>
      <c r="B2383" s="35">
        <v>1</v>
      </c>
      <c r="C2383" s="35">
        <v>1</v>
      </c>
      <c r="D2383" s="2">
        <f t="shared" si="37"/>
        <v>2</v>
      </c>
    </row>
    <row r="2384" spans="1:4" x14ac:dyDescent="0.3">
      <c r="A2384" s="34">
        <v>27663</v>
      </c>
      <c r="B2384" s="35">
        <v>1</v>
      </c>
      <c r="C2384" s="35">
        <v>0</v>
      </c>
      <c r="D2384" s="2">
        <f t="shared" si="37"/>
        <v>1</v>
      </c>
    </row>
    <row r="2385" spans="1:4" x14ac:dyDescent="0.3">
      <c r="A2385" s="34">
        <v>27670</v>
      </c>
      <c r="B2385" s="35">
        <v>1</v>
      </c>
      <c r="C2385" s="35">
        <v>0</v>
      </c>
      <c r="D2385" s="2">
        <f t="shared" si="37"/>
        <v>1</v>
      </c>
    </row>
    <row r="2386" spans="1:4" x14ac:dyDescent="0.3">
      <c r="A2386" s="34">
        <v>27706</v>
      </c>
      <c r="B2386" s="35">
        <v>1</v>
      </c>
      <c r="C2386" s="35">
        <v>0</v>
      </c>
      <c r="D2386" s="2">
        <f t="shared" si="37"/>
        <v>1</v>
      </c>
    </row>
    <row r="2387" spans="1:4" x14ac:dyDescent="0.3">
      <c r="A2387" s="34">
        <v>27720</v>
      </c>
      <c r="B2387" s="35">
        <v>1</v>
      </c>
      <c r="C2387" s="35">
        <v>0</v>
      </c>
      <c r="D2387" s="2">
        <f t="shared" si="37"/>
        <v>1</v>
      </c>
    </row>
    <row r="2388" spans="1:4" x14ac:dyDescent="0.3">
      <c r="A2388" s="34">
        <v>27731</v>
      </c>
      <c r="B2388" s="35">
        <v>1</v>
      </c>
      <c r="C2388" s="35">
        <v>1</v>
      </c>
      <c r="D2388" s="2">
        <f t="shared" si="37"/>
        <v>2</v>
      </c>
    </row>
    <row r="2389" spans="1:4" x14ac:dyDescent="0.3">
      <c r="A2389" s="34">
        <v>27754</v>
      </c>
      <c r="B2389" s="35">
        <v>1</v>
      </c>
      <c r="C2389" s="35">
        <v>0</v>
      </c>
      <c r="D2389" s="2">
        <f t="shared" si="37"/>
        <v>1</v>
      </c>
    </row>
    <row r="2390" spans="1:4" x14ac:dyDescent="0.3">
      <c r="A2390" s="34">
        <v>27756</v>
      </c>
      <c r="B2390" s="35">
        <v>1</v>
      </c>
      <c r="C2390" s="35">
        <v>0</v>
      </c>
      <c r="D2390" s="2">
        <f t="shared" si="37"/>
        <v>1</v>
      </c>
    </row>
    <row r="2391" spans="1:4" x14ac:dyDescent="0.3">
      <c r="A2391" s="34">
        <v>27765</v>
      </c>
      <c r="B2391" s="35">
        <v>2</v>
      </c>
      <c r="C2391" s="35">
        <v>0</v>
      </c>
      <c r="D2391" s="2">
        <f t="shared" si="37"/>
        <v>2</v>
      </c>
    </row>
    <row r="2392" spans="1:4" x14ac:dyDescent="0.3">
      <c r="A2392" s="34">
        <v>27808</v>
      </c>
      <c r="B2392" s="35">
        <v>1</v>
      </c>
      <c r="C2392" s="35">
        <v>0</v>
      </c>
      <c r="D2392" s="2">
        <f t="shared" si="37"/>
        <v>1</v>
      </c>
    </row>
    <row r="2393" spans="1:4" x14ac:dyDescent="0.3">
      <c r="A2393" s="34">
        <v>27809</v>
      </c>
      <c r="B2393" s="35">
        <v>1</v>
      </c>
      <c r="C2393" s="35">
        <v>0</v>
      </c>
      <c r="D2393" s="2">
        <f t="shared" si="37"/>
        <v>1</v>
      </c>
    </row>
    <row r="2394" spans="1:4" x14ac:dyDescent="0.3">
      <c r="A2394" s="34">
        <v>27810</v>
      </c>
      <c r="B2394" s="35">
        <v>1</v>
      </c>
      <c r="C2394" s="35">
        <v>0</v>
      </c>
      <c r="D2394" s="2">
        <f t="shared" si="37"/>
        <v>1</v>
      </c>
    </row>
    <row r="2395" spans="1:4" x14ac:dyDescent="0.3">
      <c r="A2395" s="34">
        <v>27813</v>
      </c>
      <c r="B2395" s="35">
        <v>1</v>
      </c>
      <c r="C2395" s="35">
        <v>0</v>
      </c>
      <c r="D2395" s="2">
        <f t="shared" si="37"/>
        <v>1</v>
      </c>
    </row>
    <row r="2396" spans="1:4" x14ac:dyDescent="0.3">
      <c r="A2396" s="34">
        <v>27832</v>
      </c>
      <c r="B2396" s="35">
        <v>1</v>
      </c>
      <c r="C2396" s="35">
        <v>0</v>
      </c>
      <c r="D2396" s="2">
        <f t="shared" si="37"/>
        <v>1</v>
      </c>
    </row>
    <row r="2397" spans="1:4" x14ac:dyDescent="0.3">
      <c r="A2397" s="34">
        <v>27833</v>
      </c>
      <c r="B2397" s="35">
        <v>1</v>
      </c>
      <c r="C2397" s="35">
        <v>0</v>
      </c>
      <c r="D2397" s="2">
        <f t="shared" si="37"/>
        <v>1</v>
      </c>
    </row>
    <row r="2398" spans="1:4" x14ac:dyDescent="0.3">
      <c r="A2398" s="34">
        <v>27834</v>
      </c>
      <c r="B2398" s="35">
        <v>1</v>
      </c>
      <c r="C2398" s="35">
        <v>0</v>
      </c>
      <c r="D2398" s="2">
        <f t="shared" si="37"/>
        <v>1</v>
      </c>
    </row>
    <row r="2399" spans="1:4" x14ac:dyDescent="0.3">
      <c r="A2399" s="34">
        <v>27835</v>
      </c>
      <c r="B2399" s="35">
        <v>1</v>
      </c>
      <c r="C2399" s="35">
        <v>1</v>
      </c>
      <c r="D2399" s="2">
        <f t="shared" si="37"/>
        <v>2</v>
      </c>
    </row>
    <row r="2400" spans="1:4" x14ac:dyDescent="0.3">
      <c r="A2400" s="34">
        <v>27839</v>
      </c>
      <c r="B2400" s="35">
        <v>1</v>
      </c>
      <c r="C2400" s="35">
        <v>1</v>
      </c>
      <c r="D2400" s="2">
        <f t="shared" si="37"/>
        <v>2</v>
      </c>
    </row>
    <row r="2401" spans="1:4" x14ac:dyDescent="0.3">
      <c r="A2401" s="34">
        <v>27841</v>
      </c>
      <c r="B2401" s="35">
        <v>1</v>
      </c>
      <c r="C2401" s="35">
        <v>0</v>
      </c>
      <c r="D2401" s="2">
        <f t="shared" si="37"/>
        <v>1</v>
      </c>
    </row>
    <row r="2402" spans="1:4" x14ac:dyDescent="0.3">
      <c r="A2402" s="34">
        <v>27856</v>
      </c>
      <c r="B2402" s="35">
        <v>1</v>
      </c>
      <c r="C2402" s="35">
        <v>0</v>
      </c>
      <c r="D2402" s="2">
        <f t="shared" si="37"/>
        <v>1</v>
      </c>
    </row>
    <row r="2403" spans="1:4" x14ac:dyDescent="0.3">
      <c r="A2403" s="34">
        <v>27864</v>
      </c>
      <c r="B2403" s="35">
        <v>1</v>
      </c>
      <c r="C2403" s="35">
        <v>0</v>
      </c>
      <c r="D2403" s="2">
        <f t="shared" si="37"/>
        <v>1</v>
      </c>
    </row>
    <row r="2404" spans="1:4" x14ac:dyDescent="0.3">
      <c r="A2404" s="34">
        <v>27869</v>
      </c>
      <c r="B2404" s="35">
        <v>2</v>
      </c>
      <c r="C2404" s="35">
        <v>1</v>
      </c>
      <c r="D2404" s="2">
        <f t="shared" si="37"/>
        <v>3</v>
      </c>
    </row>
    <row r="2405" spans="1:4" x14ac:dyDescent="0.3">
      <c r="A2405" s="34">
        <v>27871</v>
      </c>
      <c r="B2405" s="35">
        <v>4</v>
      </c>
      <c r="C2405" s="35">
        <v>4</v>
      </c>
      <c r="D2405" s="2">
        <f t="shared" si="37"/>
        <v>8</v>
      </c>
    </row>
    <row r="2406" spans="1:4" x14ac:dyDescent="0.3">
      <c r="A2406" s="34">
        <v>27878</v>
      </c>
      <c r="B2406" s="35">
        <v>1</v>
      </c>
      <c r="C2406" s="35">
        <v>1</v>
      </c>
      <c r="D2406" s="2">
        <f t="shared" si="37"/>
        <v>2</v>
      </c>
    </row>
    <row r="2407" spans="1:4" x14ac:dyDescent="0.3">
      <c r="A2407" s="34">
        <v>27879</v>
      </c>
      <c r="B2407" s="35">
        <v>1</v>
      </c>
      <c r="C2407" s="35">
        <v>1</v>
      </c>
      <c r="D2407" s="2">
        <f t="shared" si="37"/>
        <v>2</v>
      </c>
    </row>
    <row r="2408" spans="1:4" x14ac:dyDescent="0.3">
      <c r="A2408" s="34">
        <v>27882</v>
      </c>
      <c r="B2408" s="35">
        <v>1</v>
      </c>
      <c r="C2408" s="35">
        <v>0</v>
      </c>
      <c r="D2408" s="2">
        <f t="shared" si="37"/>
        <v>1</v>
      </c>
    </row>
    <row r="2409" spans="1:4" x14ac:dyDescent="0.3">
      <c r="A2409" s="34">
        <v>27883</v>
      </c>
      <c r="B2409" s="35">
        <v>1</v>
      </c>
      <c r="C2409" s="35">
        <v>0</v>
      </c>
      <c r="D2409" s="2">
        <f t="shared" si="37"/>
        <v>1</v>
      </c>
    </row>
    <row r="2410" spans="1:4" x14ac:dyDescent="0.3">
      <c r="A2410" s="34">
        <v>27884</v>
      </c>
      <c r="B2410" s="35">
        <v>1</v>
      </c>
      <c r="C2410" s="35">
        <v>1</v>
      </c>
      <c r="D2410" s="2">
        <f t="shared" si="37"/>
        <v>2</v>
      </c>
    </row>
    <row r="2411" spans="1:4" x14ac:dyDescent="0.3">
      <c r="A2411" s="34">
        <v>27886</v>
      </c>
      <c r="B2411" s="35">
        <v>1</v>
      </c>
      <c r="C2411" s="35">
        <v>0</v>
      </c>
      <c r="D2411" s="2">
        <f t="shared" si="37"/>
        <v>1</v>
      </c>
    </row>
    <row r="2412" spans="1:4" x14ac:dyDescent="0.3">
      <c r="A2412" s="34">
        <v>27888</v>
      </c>
      <c r="B2412" s="35">
        <v>1</v>
      </c>
      <c r="C2412" s="35">
        <v>0</v>
      </c>
      <c r="D2412" s="2">
        <f t="shared" si="37"/>
        <v>1</v>
      </c>
    </row>
    <row r="2413" spans="1:4" x14ac:dyDescent="0.3">
      <c r="A2413" s="34">
        <v>27892</v>
      </c>
      <c r="B2413" s="35">
        <v>1</v>
      </c>
      <c r="C2413" s="35">
        <v>0</v>
      </c>
      <c r="D2413" s="2">
        <f t="shared" si="37"/>
        <v>1</v>
      </c>
    </row>
    <row r="2414" spans="1:4" x14ac:dyDescent="0.3">
      <c r="A2414" s="34">
        <v>27897</v>
      </c>
      <c r="B2414" s="35">
        <v>1</v>
      </c>
      <c r="C2414" s="35">
        <v>0</v>
      </c>
      <c r="D2414" s="2">
        <f t="shared" si="37"/>
        <v>1</v>
      </c>
    </row>
    <row r="2415" spans="1:4" x14ac:dyDescent="0.3">
      <c r="A2415" s="34">
        <v>27898</v>
      </c>
      <c r="B2415" s="35">
        <v>1</v>
      </c>
      <c r="C2415" s="35">
        <v>1</v>
      </c>
      <c r="D2415" s="2">
        <f t="shared" si="37"/>
        <v>2</v>
      </c>
    </row>
    <row r="2416" spans="1:4" x14ac:dyDescent="0.3">
      <c r="A2416" s="34">
        <v>27900</v>
      </c>
      <c r="B2416" s="35">
        <v>1</v>
      </c>
      <c r="C2416" s="35">
        <v>0</v>
      </c>
      <c r="D2416" s="2">
        <f t="shared" si="37"/>
        <v>1</v>
      </c>
    </row>
    <row r="2417" spans="1:4" x14ac:dyDescent="0.3">
      <c r="A2417" s="34">
        <v>27904</v>
      </c>
      <c r="B2417" s="35">
        <v>1</v>
      </c>
      <c r="C2417" s="35">
        <v>0</v>
      </c>
      <c r="D2417" s="2">
        <f t="shared" si="37"/>
        <v>1</v>
      </c>
    </row>
    <row r="2418" spans="1:4" x14ac:dyDescent="0.3">
      <c r="A2418" s="34">
        <v>27905</v>
      </c>
      <c r="B2418" s="35">
        <v>2</v>
      </c>
      <c r="C2418" s="35">
        <v>1</v>
      </c>
      <c r="D2418" s="2">
        <f t="shared" si="37"/>
        <v>3</v>
      </c>
    </row>
    <row r="2419" spans="1:4" x14ac:dyDescent="0.3">
      <c r="A2419" s="34">
        <v>27914</v>
      </c>
      <c r="B2419" s="35">
        <v>1</v>
      </c>
      <c r="C2419" s="35">
        <v>0</v>
      </c>
      <c r="D2419" s="2">
        <f t="shared" si="37"/>
        <v>1</v>
      </c>
    </row>
    <row r="2420" spans="1:4" x14ac:dyDescent="0.3">
      <c r="A2420" s="34">
        <v>27931</v>
      </c>
      <c r="B2420" s="35">
        <v>2</v>
      </c>
      <c r="C2420" s="35">
        <v>0</v>
      </c>
      <c r="D2420" s="2">
        <f t="shared" si="37"/>
        <v>2</v>
      </c>
    </row>
    <row r="2421" spans="1:4" x14ac:dyDescent="0.3">
      <c r="A2421" s="34">
        <v>27937</v>
      </c>
      <c r="B2421" s="35">
        <v>3</v>
      </c>
      <c r="C2421" s="35">
        <v>2</v>
      </c>
      <c r="D2421" s="2">
        <f t="shared" si="37"/>
        <v>5</v>
      </c>
    </row>
    <row r="2422" spans="1:4" x14ac:dyDescent="0.3">
      <c r="A2422" s="34">
        <v>27940</v>
      </c>
      <c r="B2422" s="35">
        <v>1</v>
      </c>
      <c r="C2422" s="35">
        <v>0</v>
      </c>
      <c r="D2422" s="2">
        <f t="shared" si="37"/>
        <v>1</v>
      </c>
    </row>
    <row r="2423" spans="1:4" x14ac:dyDescent="0.3">
      <c r="A2423" s="34">
        <v>27941</v>
      </c>
      <c r="B2423" s="35">
        <v>1</v>
      </c>
      <c r="C2423" s="35">
        <v>0</v>
      </c>
      <c r="D2423" s="2">
        <f t="shared" si="37"/>
        <v>1</v>
      </c>
    </row>
    <row r="2424" spans="1:4" x14ac:dyDescent="0.3">
      <c r="A2424" s="34">
        <v>27949</v>
      </c>
      <c r="B2424" s="35">
        <v>1</v>
      </c>
      <c r="C2424" s="35">
        <v>0</v>
      </c>
      <c r="D2424" s="2">
        <f t="shared" si="37"/>
        <v>1</v>
      </c>
    </row>
    <row r="2425" spans="1:4" x14ac:dyDescent="0.3">
      <c r="A2425" s="34">
        <v>27950</v>
      </c>
      <c r="B2425" s="35">
        <v>2</v>
      </c>
      <c r="C2425" s="35">
        <v>0</v>
      </c>
      <c r="D2425" s="2">
        <f t="shared" si="37"/>
        <v>2</v>
      </c>
    </row>
    <row r="2426" spans="1:4" x14ac:dyDescent="0.3">
      <c r="A2426" s="34">
        <v>27954</v>
      </c>
      <c r="B2426" s="35">
        <v>1</v>
      </c>
      <c r="C2426" s="35">
        <v>1</v>
      </c>
      <c r="D2426" s="2">
        <f t="shared" si="37"/>
        <v>2</v>
      </c>
    </row>
    <row r="2427" spans="1:4" x14ac:dyDescent="0.3">
      <c r="A2427" s="34">
        <v>27957</v>
      </c>
      <c r="B2427" s="35">
        <v>1</v>
      </c>
      <c r="C2427" s="35">
        <v>0</v>
      </c>
      <c r="D2427" s="2">
        <f t="shared" si="37"/>
        <v>1</v>
      </c>
    </row>
    <row r="2428" spans="1:4" x14ac:dyDescent="0.3">
      <c r="A2428" s="34">
        <v>27958</v>
      </c>
      <c r="B2428" s="35">
        <v>1</v>
      </c>
      <c r="C2428" s="35">
        <v>0</v>
      </c>
      <c r="D2428" s="2">
        <f t="shared" si="37"/>
        <v>1</v>
      </c>
    </row>
    <row r="2429" spans="1:4" x14ac:dyDescent="0.3">
      <c r="A2429" s="34">
        <v>27967</v>
      </c>
      <c r="B2429" s="35">
        <v>1</v>
      </c>
      <c r="C2429" s="35">
        <v>0</v>
      </c>
      <c r="D2429" s="2">
        <f t="shared" si="37"/>
        <v>1</v>
      </c>
    </row>
    <row r="2430" spans="1:4" x14ac:dyDescent="0.3">
      <c r="A2430" s="34">
        <v>27974</v>
      </c>
      <c r="B2430" s="35">
        <v>1</v>
      </c>
      <c r="C2430" s="35">
        <v>0</v>
      </c>
      <c r="D2430" s="2">
        <f t="shared" si="37"/>
        <v>1</v>
      </c>
    </row>
    <row r="2431" spans="1:4" x14ac:dyDescent="0.3">
      <c r="A2431" s="34">
        <v>27980</v>
      </c>
      <c r="B2431" s="35">
        <v>2</v>
      </c>
      <c r="C2431" s="35">
        <v>1</v>
      </c>
      <c r="D2431" s="2">
        <f t="shared" si="37"/>
        <v>3</v>
      </c>
    </row>
    <row r="2432" spans="1:4" x14ac:dyDescent="0.3">
      <c r="A2432" s="34">
        <v>27982</v>
      </c>
      <c r="B2432" s="35">
        <v>1</v>
      </c>
      <c r="C2432" s="35">
        <v>1</v>
      </c>
      <c r="D2432" s="2">
        <f t="shared" si="37"/>
        <v>2</v>
      </c>
    </row>
    <row r="2433" spans="1:4" x14ac:dyDescent="0.3">
      <c r="A2433" s="34">
        <v>27984</v>
      </c>
      <c r="B2433" s="35">
        <v>1</v>
      </c>
      <c r="C2433" s="35">
        <v>0</v>
      </c>
      <c r="D2433" s="2">
        <f t="shared" si="37"/>
        <v>1</v>
      </c>
    </row>
    <row r="2434" spans="1:4" x14ac:dyDescent="0.3">
      <c r="A2434" s="34">
        <v>27988</v>
      </c>
      <c r="B2434" s="35">
        <v>1</v>
      </c>
      <c r="C2434" s="35">
        <v>0</v>
      </c>
      <c r="D2434" s="2">
        <f t="shared" si="37"/>
        <v>1</v>
      </c>
    </row>
    <row r="2435" spans="1:4" x14ac:dyDescent="0.3">
      <c r="A2435" s="34">
        <v>27989</v>
      </c>
      <c r="B2435" s="35">
        <v>1</v>
      </c>
      <c r="C2435" s="35">
        <v>0</v>
      </c>
      <c r="D2435" s="2">
        <f t="shared" ref="D2435:D2498" si="38">B2435+C2435</f>
        <v>1</v>
      </c>
    </row>
    <row r="2436" spans="1:4" x14ac:dyDescent="0.3">
      <c r="A2436" s="34">
        <v>27992</v>
      </c>
      <c r="B2436" s="35">
        <v>1</v>
      </c>
      <c r="C2436" s="35">
        <v>0</v>
      </c>
      <c r="D2436" s="2">
        <f t="shared" si="38"/>
        <v>1</v>
      </c>
    </row>
    <row r="2437" spans="1:4" x14ac:dyDescent="0.3">
      <c r="A2437" s="34">
        <v>27993</v>
      </c>
      <c r="B2437" s="35">
        <v>3</v>
      </c>
      <c r="C2437" s="35">
        <v>2</v>
      </c>
      <c r="D2437" s="2">
        <f t="shared" si="38"/>
        <v>5</v>
      </c>
    </row>
    <row r="2438" spans="1:4" x14ac:dyDescent="0.3">
      <c r="A2438" s="34">
        <v>27996</v>
      </c>
      <c r="B2438" s="35">
        <v>2</v>
      </c>
      <c r="C2438" s="35">
        <v>0</v>
      </c>
      <c r="D2438" s="2">
        <f t="shared" si="38"/>
        <v>2</v>
      </c>
    </row>
    <row r="2439" spans="1:4" x14ac:dyDescent="0.3">
      <c r="A2439" s="34">
        <v>27998</v>
      </c>
      <c r="B2439" s="35">
        <v>1</v>
      </c>
      <c r="C2439" s="35">
        <v>0</v>
      </c>
      <c r="D2439" s="2">
        <f t="shared" si="38"/>
        <v>1</v>
      </c>
    </row>
    <row r="2440" spans="1:4" x14ac:dyDescent="0.3">
      <c r="A2440" s="34">
        <v>28000</v>
      </c>
      <c r="B2440" s="35">
        <v>1</v>
      </c>
      <c r="C2440" s="35">
        <v>0</v>
      </c>
      <c r="D2440" s="2">
        <f t="shared" si="38"/>
        <v>1</v>
      </c>
    </row>
    <row r="2441" spans="1:4" x14ac:dyDescent="0.3">
      <c r="A2441" s="34">
        <v>28002</v>
      </c>
      <c r="B2441" s="35">
        <v>1</v>
      </c>
      <c r="C2441" s="35">
        <v>0</v>
      </c>
      <c r="D2441" s="2">
        <f t="shared" si="38"/>
        <v>1</v>
      </c>
    </row>
    <row r="2442" spans="1:4" x14ac:dyDescent="0.3">
      <c r="A2442" s="34">
        <v>28018</v>
      </c>
      <c r="B2442" s="35">
        <v>1</v>
      </c>
      <c r="C2442" s="35">
        <v>1</v>
      </c>
      <c r="D2442" s="2">
        <f t="shared" si="38"/>
        <v>2</v>
      </c>
    </row>
    <row r="2443" spans="1:4" x14ac:dyDescent="0.3">
      <c r="A2443" s="34">
        <v>28019</v>
      </c>
      <c r="B2443" s="35">
        <v>1</v>
      </c>
      <c r="C2443" s="35">
        <v>0</v>
      </c>
      <c r="D2443" s="2">
        <f t="shared" si="38"/>
        <v>1</v>
      </c>
    </row>
    <row r="2444" spans="1:4" x14ac:dyDescent="0.3">
      <c r="A2444" s="34">
        <v>28024</v>
      </c>
      <c r="B2444" s="35">
        <v>1</v>
      </c>
      <c r="C2444" s="35">
        <v>0</v>
      </c>
      <c r="D2444" s="2">
        <f t="shared" si="38"/>
        <v>1</v>
      </c>
    </row>
    <row r="2445" spans="1:4" x14ac:dyDescent="0.3">
      <c r="A2445" s="34">
        <v>28030</v>
      </c>
      <c r="B2445" s="35">
        <v>1</v>
      </c>
      <c r="C2445" s="35">
        <v>0</v>
      </c>
      <c r="D2445" s="2">
        <f t="shared" si="38"/>
        <v>1</v>
      </c>
    </row>
    <row r="2446" spans="1:4" x14ac:dyDescent="0.3">
      <c r="A2446" s="34">
        <v>28031</v>
      </c>
      <c r="B2446" s="35">
        <v>1</v>
      </c>
      <c r="C2446" s="35">
        <v>1</v>
      </c>
      <c r="D2446" s="2">
        <f t="shared" si="38"/>
        <v>2</v>
      </c>
    </row>
    <row r="2447" spans="1:4" x14ac:dyDescent="0.3">
      <c r="A2447" s="34">
        <v>28036</v>
      </c>
      <c r="B2447" s="35">
        <v>1</v>
      </c>
      <c r="C2447" s="35">
        <v>0</v>
      </c>
      <c r="D2447" s="2">
        <f t="shared" si="38"/>
        <v>1</v>
      </c>
    </row>
    <row r="2448" spans="1:4" x14ac:dyDescent="0.3">
      <c r="A2448" s="34">
        <v>28037</v>
      </c>
      <c r="B2448" s="35">
        <v>1</v>
      </c>
      <c r="C2448" s="35">
        <v>0</v>
      </c>
      <c r="D2448" s="2">
        <f t="shared" si="38"/>
        <v>1</v>
      </c>
    </row>
    <row r="2449" spans="1:4" x14ac:dyDescent="0.3">
      <c r="A2449" s="34">
        <v>28039</v>
      </c>
      <c r="B2449" s="35">
        <v>1</v>
      </c>
      <c r="C2449" s="35">
        <v>0</v>
      </c>
      <c r="D2449" s="2">
        <f t="shared" si="38"/>
        <v>1</v>
      </c>
    </row>
    <row r="2450" spans="1:4" x14ac:dyDescent="0.3">
      <c r="A2450" s="34">
        <v>28046</v>
      </c>
      <c r="B2450" s="35">
        <v>1</v>
      </c>
      <c r="C2450" s="35">
        <v>0</v>
      </c>
      <c r="D2450" s="2">
        <f t="shared" si="38"/>
        <v>1</v>
      </c>
    </row>
    <row r="2451" spans="1:4" x14ac:dyDescent="0.3">
      <c r="A2451" s="34">
        <v>28060</v>
      </c>
      <c r="B2451" s="35">
        <v>1</v>
      </c>
      <c r="C2451" s="35">
        <v>0</v>
      </c>
      <c r="D2451" s="2">
        <f t="shared" si="38"/>
        <v>1</v>
      </c>
    </row>
    <row r="2452" spans="1:4" x14ac:dyDescent="0.3">
      <c r="A2452" s="34">
        <v>28067</v>
      </c>
      <c r="B2452" s="35">
        <v>1</v>
      </c>
      <c r="C2452" s="35">
        <v>0</v>
      </c>
      <c r="D2452" s="2">
        <f t="shared" si="38"/>
        <v>1</v>
      </c>
    </row>
    <row r="2453" spans="1:4" x14ac:dyDescent="0.3">
      <c r="A2453" s="34">
        <v>28074</v>
      </c>
      <c r="B2453" s="35">
        <v>3</v>
      </c>
      <c r="C2453" s="35">
        <v>3</v>
      </c>
      <c r="D2453" s="2">
        <f t="shared" si="38"/>
        <v>6</v>
      </c>
    </row>
    <row r="2454" spans="1:4" x14ac:dyDescent="0.3">
      <c r="A2454" s="34">
        <v>28087</v>
      </c>
      <c r="B2454" s="35">
        <v>1</v>
      </c>
      <c r="C2454" s="35">
        <v>0</v>
      </c>
      <c r="D2454" s="2">
        <f t="shared" si="38"/>
        <v>1</v>
      </c>
    </row>
    <row r="2455" spans="1:4" x14ac:dyDescent="0.3">
      <c r="A2455" s="34">
        <v>28098</v>
      </c>
      <c r="B2455" s="35">
        <v>1</v>
      </c>
      <c r="C2455" s="35">
        <v>0</v>
      </c>
      <c r="D2455" s="2">
        <f t="shared" si="38"/>
        <v>1</v>
      </c>
    </row>
    <row r="2456" spans="1:4" x14ac:dyDescent="0.3">
      <c r="A2456" s="34">
        <v>28110</v>
      </c>
      <c r="B2456" s="35">
        <v>1</v>
      </c>
      <c r="C2456" s="35">
        <v>1</v>
      </c>
      <c r="D2456" s="2">
        <f t="shared" si="38"/>
        <v>2</v>
      </c>
    </row>
    <row r="2457" spans="1:4" x14ac:dyDescent="0.3">
      <c r="A2457" s="34">
        <v>28113</v>
      </c>
      <c r="B2457" s="35">
        <v>1</v>
      </c>
      <c r="C2457" s="35">
        <v>1</v>
      </c>
      <c r="D2457" s="2">
        <f t="shared" si="38"/>
        <v>2</v>
      </c>
    </row>
    <row r="2458" spans="1:4" x14ac:dyDescent="0.3">
      <c r="A2458" s="34">
        <v>28121</v>
      </c>
      <c r="B2458" s="35">
        <v>1</v>
      </c>
      <c r="C2458" s="35">
        <v>0</v>
      </c>
      <c r="D2458" s="2">
        <f t="shared" si="38"/>
        <v>1</v>
      </c>
    </row>
    <row r="2459" spans="1:4" x14ac:dyDescent="0.3">
      <c r="A2459" s="34">
        <v>28126</v>
      </c>
      <c r="B2459" s="35">
        <v>1</v>
      </c>
      <c r="C2459" s="35">
        <v>0</v>
      </c>
      <c r="D2459" s="2">
        <f t="shared" si="38"/>
        <v>1</v>
      </c>
    </row>
    <row r="2460" spans="1:4" x14ac:dyDescent="0.3">
      <c r="A2460" s="34">
        <v>28128</v>
      </c>
      <c r="B2460" s="35">
        <v>1</v>
      </c>
      <c r="C2460" s="35">
        <v>0</v>
      </c>
      <c r="D2460" s="2">
        <f t="shared" si="38"/>
        <v>1</v>
      </c>
    </row>
    <row r="2461" spans="1:4" x14ac:dyDescent="0.3">
      <c r="A2461" s="34">
        <v>28130</v>
      </c>
      <c r="B2461" s="35">
        <v>1</v>
      </c>
      <c r="C2461" s="35">
        <v>0</v>
      </c>
      <c r="D2461" s="2">
        <f t="shared" si="38"/>
        <v>1</v>
      </c>
    </row>
    <row r="2462" spans="1:4" x14ac:dyDescent="0.3">
      <c r="A2462" s="34">
        <v>28132</v>
      </c>
      <c r="B2462" s="35">
        <v>1</v>
      </c>
      <c r="C2462" s="35">
        <v>1</v>
      </c>
      <c r="D2462" s="2">
        <f t="shared" si="38"/>
        <v>2</v>
      </c>
    </row>
    <row r="2463" spans="1:4" x14ac:dyDescent="0.3">
      <c r="A2463" s="34">
        <v>28143</v>
      </c>
      <c r="B2463" s="35">
        <v>1</v>
      </c>
      <c r="C2463" s="35">
        <v>0</v>
      </c>
      <c r="D2463" s="2">
        <f t="shared" si="38"/>
        <v>1</v>
      </c>
    </row>
    <row r="2464" spans="1:4" x14ac:dyDescent="0.3">
      <c r="A2464" s="34">
        <v>28147</v>
      </c>
      <c r="B2464" s="35">
        <v>1</v>
      </c>
      <c r="C2464" s="35">
        <v>0</v>
      </c>
      <c r="D2464" s="2">
        <f t="shared" si="38"/>
        <v>1</v>
      </c>
    </row>
    <row r="2465" spans="1:4" x14ac:dyDescent="0.3">
      <c r="A2465" s="34">
        <v>28148</v>
      </c>
      <c r="B2465" s="35">
        <v>1</v>
      </c>
      <c r="C2465" s="35">
        <v>0</v>
      </c>
      <c r="D2465" s="2">
        <f t="shared" si="38"/>
        <v>1</v>
      </c>
    </row>
    <row r="2466" spans="1:4" x14ac:dyDescent="0.3">
      <c r="A2466" s="34">
        <v>28152</v>
      </c>
      <c r="B2466" s="35">
        <v>1</v>
      </c>
      <c r="C2466" s="35">
        <v>0</v>
      </c>
      <c r="D2466" s="2">
        <f t="shared" si="38"/>
        <v>1</v>
      </c>
    </row>
    <row r="2467" spans="1:4" x14ac:dyDescent="0.3">
      <c r="A2467" s="34">
        <v>28170</v>
      </c>
      <c r="B2467" s="35">
        <v>1</v>
      </c>
      <c r="C2467" s="35">
        <v>1</v>
      </c>
      <c r="D2467" s="2">
        <f t="shared" si="38"/>
        <v>2</v>
      </c>
    </row>
    <row r="2468" spans="1:4" x14ac:dyDescent="0.3">
      <c r="A2468" s="34">
        <v>28172</v>
      </c>
      <c r="B2468" s="35">
        <v>1</v>
      </c>
      <c r="C2468" s="35">
        <v>0</v>
      </c>
      <c r="D2468" s="2">
        <f t="shared" si="38"/>
        <v>1</v>
      </c>
    </row>
    <row r="2469" spans="1:4" x14ac:dyDescent="0.3">
      <c r="A2469" s="34">
        <v>28176</v>
      </c>
      <c r="B2469" s="35">
        <v>1</v>
      </c>
      <c r="C2469" s="35">
        <v>0</v>
      </c>
      <c r="D2469" s="2">
        <f t="shared" si="38"/>
        <v>1</v>
      </c>
    </row>
    <row r="2470" spans="1:4" x14ac:dyDescent="0.3">
      <c r="A2470" s="34">
        <v>28179</v>
      </c>
      <c r="B2470" s="35">
        <v>1</v>
      </c>
      <c r="C2470" s="35">
        <v>0</v>
      </c>
      <c r="D2470" s="2">
        <f t="shared" si="38"/>
        <v>1</v>
      </c>
    </row>
    <row r="2471" spans="1:4" x14ac:dyDescent="0.3">
      <c r="A2471" s="34">
        <v>28199</v>
      </c>
      <c r="B2471" s="35">
        <v>1</v>
      </c>
      <c r="C2471" s="35">
        <v>0</v>
      </c>
      <c r="D2471" s="2">
        <f t="shared" si="38"/>
        <v>1</v>
      </c>
    </row>
    <row r="2472" spans="1:4" x14ac:dyDescent="0.3">
      <c r="A2472" s="34">
        <v>28201</v>
      </c>
      <c r="B2472" s="35">
        <v>1</v>
      </c>
      <c r="C2472" s="35">
        <v>0</v>
      </c>
      <c r="D2472" s="2">
        <f t="shared" si="38"/>
        <v>1</v>
      </c>
    </row>
    <row r="2473" spans="1:4" x14ac:dyDescent="0.3">
      <c r="A2473" s="34">
        <v>28207</v>
      </c>
      <c r="B2473" s="35">
        <v>1</v>
      </c>
      <c r="C2473" s="35">
        <v>0</v>
      </c>
      <c r="D2473" s="2">
        <f t="shared" si="38"/>
        <v>1</v>
      </c>
    </row>
    <row r="2474" spans="1:4" x14ac:dyDescent="0.3">
      <c r="A2474" s="34">
        <v>28208</v>
      </c>
      <c r="B2474" s="35">
        <v>1</v>
      </c>
      <c r="C2474" s="35">
        <v>0</v>
      </c>
      <c r="D2474" s="2">
        <f t="shared" si="38"/>
        <v>1</v>
      </c>
    </row>
    <row r="2475" spans="1:4" x14ac:dyDescent="0.3">
      <c r="A2475" s="34">
        <v>28210</v>
      </c>
      <c r="B2475" s="35">
        <v>1</v>
      </c>
      <c r="C2475" s="35">
        <v>0</v>
      </c>
      <c r="D2475" s="2">
        <f t="shared" si="38"/>
        <v>1</v>
      </c>
    </row>
    <row r="2476" spans="1:4" x14ac:dyDescent="0.3">
      <c r="A2476" s="34">
        <v>28218</v>
      </c>
      <c r="B2476" s="35">
        <v>1</v>
      </c>
      <c r="C2476" s="35">
        <v>0</v>
      </c>
      <c r="D2476" s="2">
        <f t="shared" si="38"/>
        <v>1</v>
      </c>
    </row>
    <row r="2477" spans="1:4" x14ac:dyDescent="0.3">
      <c r="A2477" s="34">
        <v>28238</v>
      </c>
      <c r="B2477" s="35">
        <v>1</v>
      </c>
      <c r="C2477" s="35">
        <v>0</v>
      </c>
      <c r="D2477" s="2">
        <f t="shared" si="38"/>
        <v>1</v>
      </c>
    </row>
    <row r="2478" spans="1:4" x14ac:dyDescent="0.3">
      <c r="A2478" s="34">
        <v>28241</v>
      </c>
      <c r="B2478" s="35">
        <v>2</v>
      </c>
      <c r="C2478" s="35">
        <v>1</v>
      </c>
      <c r="D2478" s="2">
        <f t="shared" si="38"/>
        <v>3</v>
      </c>
    </row>
    <row r="2479" spans="1:4" x14ac:dyDescent="0.3">
      <c r="A2479" s="34">
        <v>28242</v>
      </c>
      <c r="B2479" s="35">
        <v>1</v>
      </c>
      <c r="C2479" s="35">
        <v>0</v>
      </c>
      <c r="D2479" s="2">
        <f t="shared" si="38"/>
        <v>1</v>
      </c>
    </row>
    <row r="2480" spans="1:4" x14ac:dyDescent="0.3">
      <c r="A2480" s="34">
        <v>28249</v>
      </c>
      <c r="B2480" s="35">
        <v>1</v>
      </c>
      <c r="C2480" s="35">
        <v>0</v>
      </c>
      <c r="D2480" s="2">
        <f t="shared" si="38"/>
        <v>1</v>
      </c>
    </row>
    <row r="2481" spans="1:4" x14ac:dyDescent="0.3">
      <c r="A2481" s="34">
        <v>28250</v>
      </c>
      <c r="B2481" s="35">
        <v>1</v>
      </c>
      <c r="C2481" s="35">
        <v>0</v>
      </c>
      <c r="D2481" s="2">
        <f t="shared" si="38"/>
        <v>1</v>
      </c>
    </row>
    <row r="2482" spans="1:4" x14ac:dyDescent="0.3">
      <c r="A2482" s="34">
        <v>28262</v>
      </c>
      <c r="B2482" s="35">
        <v>1</v>
      </c>
      <c r="C2482" s="35">
        <v>0</v>
      </c>
      <c r="D2482" s="2">
        <f t="shared" si="38"/>
        <v>1</v>
      </c>
    </row>
    <row r="2483" spans="1:4" x14ac:dyDescent="0.3">
      <c r="A2483" s="34">
        <v>28281</v>
      </c>
      <c r="B2483" s="35">
        <v>2</v>
      </c>
      <c r="C2483" s="35">
        <v>1</v>
      </c>
      <c r="D2483" s="2">
        <f t="shared" si="38"/>
        <v>3</v>
      </c>
    </row>
    <row r="2484" spans="1:4" x14ac:dyDescent="0.3">
      <c r="A2484" s="34">
        <v>28283</v>
      </c>
      <c r="B2484" s="35">
        <v>1</v>
      </c>
      <c r="C2484" s="35">
        <v>1</v>
      </c>
      <c r="D2484" s="2">
        <f t="shared" si="38"/>
        <v>2</v>
      </c>
    </row>
    <row r="2485" spans="1:4" x14ac:dyDescent="0.3">
      <c r="A2485" s="34">
        <v>28285</v>
      </c>
      <c r="B2485" s="35">
        <v>1</v>
      </c>
      <c r="C2485" s="35">
        <v>0</v>
      </c>
      <c r="D2485" s="2">
        <f t="shared" si="38"/>
        <v>1</v>
      </c>
    </row>
    <row r="2486" spans="1:4" x14ac:dyDescent="0.3">
      <c r="A2486" s="34">
        <v>28286</v>
      </c>
      <c r="B2486" s="35">
        <v>1</v>
      </c>
      <c r="C2486" s="35">
        <v>0</v>
      </c>
      <c r="D2486" s="2">
        <f t="shared" si="38"/>
        <v>1</v>
      </c>
    </row>
    <row r="2487" spans="1:4" x14ac:dyDescent="0.3">
      <c r="A2487" s="34">
        <v>28293</v>
      </c>
      <c r="B2487" s="35">
        <v>1</v>
      </c>
      <c r="C2487" s="35">
        <v>0</v>
      </c>
      <c r="D2487" s="2">
        <f t="shared" si="38"/>
        <v>1</v>
      </c>
    </row>
    <row r="2488" spans="1:4" x14ac:dyDescent="0.3">
      <c r="A2488" s="34">
        <v>28298</v>
      </c>
      <c r="B2488" s="35">
        <v>2</v>
      </c>
      <c r="C2488" s="35">
        <v>0</v>
      </c>
      <c r="D2488" s="2">
        <f t="shared" si="38"/>
        <v>2</v>
      </c>
    </row>
    <row r="2489" spans="1:4" x14ac:dyDescent="0.3">
      <c r="A2489" s="34">
        <v>28302</v>
      </c>
      <c r="B2489" s="35">
        <v>1</v>
      </c>
      <c r="C2489" s="35">
        <v>1</v>
      </c>
      <c r="D2489" s="2">
        <f t="shared" si="38"/>
        <v>2</v>
      </c>
    </row>
    <row r="2490" spans="1:4" x14ac:dyDescent="0.3">
      <c r="A2490" s="34">
        <v>28306</v>
      </c>
      <c r="B2490" s="35">
        <v>1</v>
      </c>
      <c r="C2490" s="35">
        <v>0</v>
      </c>
      <c r="D2490" s="2">
        <f t="shared" si="38"/>
        <v>1</v>
      </c>
    </row>
    <row r="2491" spans="1:4" x14ac:dyDescent="0.3">
      <c r="A2491" s="34">
        <v>28318</v>
      </c>
      <c r="B2491" s="35">
        <v>1</v>
      </c>
      <c r="C2491" s="35">
        <v>0</v>
      </c>
      <c r="D2491" s="2">
        <f t="shared" si="38"/>
        <v>1</v>
      </c>
    </row>
    <row r="2492" spans="1:4" x14ac:dyDescent="0.3">
      <c r="A2492" s="34">
        <v>28320</v>
      </c>
      <c r="B2492" s="35">
        <v>1</v>
      </c>
      <c r="C2492" s="35">
        <v>0</v>
      </c>
      <c r="D2492" s="2">
        <f t="shared" si="38"/>
        <v>1</v>
      </c>
    </row>
    <row r="2493" spans="1:4" x14ac:dyDescent="0.3">
      <c r="A2493" s="34">
        <v>28327</v>
      </c>
      <c r="B2493" s="35">
        <v>1</v>
      </c>
      <c r="C2493" s="35">
        <v>0</v>
      </c>
      <c r="D2493" s="2">
        <f t="shared" si="38"/>
        <v>1</v>
      </c>
    </row>
    <row r="2494" spans="1:4" x14ac:dyDescent="0.3">
      <c r="A2494" s="34">
        <v>28329</v>
      </c>
      <c r="B2494" s="35">
        <v>2</v>
      </c>
      <c r="C2494" s="35">
        <v>0</v>
      </c>
      <c r="D2494" s="2">
        <f t="shared" si="38"/>
        <v>2</v>
      </c>
    </row>
    <row r="2495" spans="1:4" x14ac:dyDescent="0.3">
      <c r="A2495" s="34">
        <v>28342</v>
      </c>
      <c r="B2495" s="35">
        <v>1</v>
      </c>
      <c r="C2495" s="35">
        <v>0</v>
      </c>
      <c r="D2495" s="2">
        <f t="shared" si="38"/>
        <v>1</v>
      </c>
    </row>
    <row r="2496" spans="1:4" x14ac:dyDescent="0.3">
      <c r="A2496" s="34">
        <v>28350</v>
      </c>
      <c r="B2496" s="35">
        <v>1</v>
      </c>
      <c r="C2496" s="35">
        <v>1</v>
      </c>
      <c r="D2496" s="2">
        <f t="shared" si="38"/>
        <v>2</v>
      </c>
    </row>
    <row r="2497" spans="1:4" x14ac:dyDescent="0.3">
      <c r="A2497" s="34">
        <v>28357</v>
      </c>
      <c r="B2497" s="35">
        <v>1</v>
      </c>
      <c r="C2497" s="35">
        <v>1</v>
      </c>
      <c r="D2497" s="2">
        <f t="shared" si="38"/>
        <v>2</v>
      </c>
    </row>
    <row r="2498" spans="1:4" x14ac:dyDescent="0.3">
      <c r="A2498" s="34">
        <v>28359</v>
      </c>
      <c r="B2498" s="35">
        <v>1</v>
      </c>
      <c r="C2498" s="35">
        <v>0</v>
      </c>
      <c r="D2498" s="2">
        <f t="shared" si="38"/>
        <v>1</v>
      </c>
    </row>
    <row r="2499" spans="1:4" x14ac:dyDescent="0.3">
      <c r="A2499" s="34">
        <v>28363</v>
      </c>
      <c r="B2499" s="35">
        <v>1</v>
      </c>
      <c r="C2499" s="35">
        <v>0</v>
      </c>
      <c r="D2499" s="2">
        <f t="shared" ref="D2499:D2562" si="39">B2499+C2499</f>
        <v>1</v>
      </c>
    </row>
    <row r="2500" spans="1:4" x14ac:dyDescent="0.3">
      <c r="A2500" s="34">
        <v>28364</v>
      </c>
      <c r="B2500" s="35">
        <v>1</v>
      </c>
      <c r="C2500" s="35">
        <v>0</v>
      </c>
      <c r="D2500" s="2">
        <f t="shared" si="39"/>
        <v>1</v>
      </c>
    </row>
    <row r="2501" spans="1:4" x14ac:dyDescent="0.3">
      <c r="A2501" s="34">
        <v>28366</v>
      </c>
      <c r="B2501" s="35">
        <v>1</v>
      </c>
      <c r="C2501" s="35">
        <v>1</v>
      </c>
      <c r="D2501" s="2">
        <f t="shared" si="39"/>
        <v>2</v>
      </c>
    </row>
    <row r="2502" spans="1:4" x14ac:dyDescent="0.3">
      <c r="A2502" s="34">
        <v>28367</v>
      </c>
      <c r="B2502" s="35">
        <v>2</v>
      </c>
      <c r="C2502" s="35">
        <v>2</v>
      </c>
      <c r="D2502" s="2">
        <f t="shared" si="39"/>
        <v>4</v>
      </c>
    </row>
    <row r="2503" spans="1:4" x14ac:dyDescent="0.3">
      <c r="A2503" s="34">
        <v>28374</v>
      </c>
      <c r="B2503" s="35">
        <v>1</v>
      </c>
      <c r="C2503" s="35">
        <v>0</v>
      </c>
      <c r="D2503" s="2">
        <f t="shared" si="39"/>
        <v>1</v>
      </c>
    </row>
    <row r="2504" spans="1:4" x14ac:dyDescent="0.3">
      <c r="A2504" s="34">
        <v>28384</v>
      </c>
      <c r="B2504" s="35">
        <v>1</v>
      </c>
      <c r="C2504" s="35">
        <v>0</v>
      </c>
      <c r="D2504" s="2">
        <f t="shared" si="39"/>
        <v>1</v>
      </c>
    </row>
    <row r="2505" spans="1:4" x14ac:dyDescent="0.3">
      <c r="A2505" s="34">
        <v>28429</v>
      </c>
      <c r="B2505" s="35">
        <v>1</v>
      </c>
      <c r="C2505" s="35">
        <v>0</v>
      </c>
      <c r="D2505" s="2">
        <f t="shared" si="39"/>
        <v>1</v>
      </c>
    </row>
    <row r="2506" spans="1:4" x14ac:dyDescent="0.3">
      <c r="A2506" s="34">
        <v>28432</v>
      </c>
      <c r="B2506" s="35">
        <v>1</v>
      </c>
      <c r="C2506" s="35">
        <v>0</v>
      </c>
      <c r="D2506" s="2">
        <f t="shared" si="39"/>
        <v>1</v>
      </c>
    </row>
    <row r="2507" spans="1:4" x14ac:dyDescent="0.3">
      <c r="A2507" s="34">
        <v>28433</v>
      </c>
      <c r="B2507" s="35">
        <v>2</v>
      </c>
      <c r="C2507" s="35">
        <v>0</v>
      </c>
      <c r="D2507" s="2">
        <f t="shared" si="39"/>
        <v>2</v>
      </c>
    </row>
    <row r="2508" spans="1:4" x14ac:dyDescent="0.3">
      <c r="A2508" s="34">
        <v>28434</v>
      </c>
      <c r="B2508" s="35">
        <v>1</v>
      </c>
      <c r="C2508" s="35">
        <v>0</v>
      </c>
      <c r="D2508" s="2">
        <f t="shared" si="39"/>
        <v>1</v>
      </c>
    </row>
    <row r="2509" spans="1:4" x14ac:dyDescent="0.3">
      <c r="A2509" s="34">
        <v>28458</v>
      </c>
      <c r="B2509" s="35">
        <v>1</v>
      </c>
      <c r="C2509" s="35">
        <v>0</v>
      </c>
      <c r="D2509" s="2">
        <f t="shared" si="39"/>
        <v>1</v>
      </c>
    </row>
    <row r="2510" spans="1:4" x14ac:dyDescent="0.3">
      <c r="A2510" s="34">
        <v>28486</v>
      </c>
      <c r="B2510" s="35">
        <v>2</v>
      </c>
      <c r="C2510" s="35">
        <v>0</v>
      </c>
      <c r="D2510" s="2">
        <f t="shared" si="39"/>
        <v>2</v>
      </c>
    </row>
    <row r="2511" spans="1:4" x14ac:dyDescent="0.3">
      <c r="A2511" s="34">
        <v>28495</v>
      </c>
      <c r="B2511" s="35">
        <v>1</v>
      </c>
      <c r="C2511" s="35">
        <v>0</v>
      </c>
      <c r="D2511" s="2">
        <f t="shared" si="39"/>
        <v>1</v>
      </c>
    </row>
    <row r="2512" spans="1:4" x14ac:dyDescent="0.3">
      <c r="A2512" s="34">
        <v>28499</v>
      </c>
      <c r="B2512" s="35">
        <v>1</v>
      </c>
      <c r="C2512" s="35">
        <v>0</v>
      </c>
      <c r="D2512" s="2">
        <f t="shared" si="39"/>
        <v>1</v>
      </c>
    </row>
    <row r="2513" spans="1:4" x14ac:dyDescent="0.3">
      <c r="A2513" s="34">
        <v>28512</v>
      </c>
      <c r="B2513" s="35">
        <v>1</v>
      </c>
      <c r="C2513" s="35">
        <v>0</v>
      </c>
      <c r="D2513" s="2">
        <f t="shared" si="39"/>
        <v>1</v>
      </c>
    </row>
    <row r="2514" spans="1:4" x14ac:dyDescent="0.3">
      <c r="A2514" s="34">
        <v>28515</v>
      </c>
      <c r="B2514" s="35">
        <v>1</v>
      </c>
      <c r="C2514" s="35">
        <v>0</v>
      </c>
      <c r="D2514" s="2">
        <f t="shared" si="39"/>
        <v>1</v>
      </c>
    </row>
    <row r="2515" spans="1:4" x14ac:dyDescent="0.3">
      <c r="A2515" s="34">
        <v>28519</v>
      </c>
      <c r="B2515" s="35">
        <v>2</v>
      </c>
      <c r="C2515" s="35">
        <v>0</v>
      </c>
      <c r="D2515" s="2">
        <f t="shared" si="39"/>
        <v>2</v>
      </c>
    </row>
    <row r="2516" spans="1:4" x14ac:dyDescent="0.3">
      <c r="A2516" s="34">
        <v>28521</v>
      </c>
      <c r="B2516" s="35">
        <v>1</v>
      </c>
      <c r="C2516" s="35">
        <v>0</v>
      </c>
      <c r="D2516" s="2">
        <f t="shared" si="39"/>
        <v>1</v>
      </c>
    </row>
    <row r="2517" spans="1:4" x14ac:dyDescent="0.3">
      <c r="A2517" s="34">
        <v>28526</v>
      </c>
      <c r="B2517" s="35">
        <v>1</v>
      </c>
      <c r="C2517" s="35">
        <v>0</v>
      </c>
      <c r="D2517" s="2">
        <f t="shared" si="39"/>
        <v>1</v>
      </c>
    </row>
    <row r="2518" spans="1:4" x14ac:dyDescent="0.3">
      <c r="A2518" s="34">
        <v>28531</v>
      </c>
      <c r="B2518" s="35">
        <v>1</v>
      </c>
      <c r="C2518" s="35">
        <v>1</v>
      </c>
      <c r="D2518" s="2">
        <f t="shared" si="39"/>
        <v>2</v>
      </c>
    </row>
    <row r="2519" spans="1:4" x14ac:dyDescent="0.3">
      <c r="A2519" s="34">
        <v>28537</v>
      </c>
      <c r="B2519" s="35">
        <v>1</v>
      </c>
      <c r="C2519" s="35">
        <v>0</v>
      </c>
      <c r="D2519" s="2">
        <f t="shared" si="39"/>
        <v>1</v>
      </c>
    </row>
    <row r="2520" spans="1:4" x14ac:dyDescent="0.3">
      <c r="A2520" s="34">
        <v>28542</v>
      </c>
      <c r="B2520" s="35">
        <v>1</v>
      </c>
      <c r="C2520" s="35">
        <v>0</v>
      </c>
      <c r="D2520" s="2">
        <f t="shared" si="39"/>
        <v>1</v>
      </c>
    </row>
    <row r="2521" spans="1:4" x14ac:dyDescent="0.3">
      <c r="A2521" s="34">
        <v>28544</v>
      </c>
      <c r="B2521" s="35">
        <v>1</v>
      </c>
      <c r="C2521" s="35">
        <v>0</v>
      </c>
      <c r="D2521" s="2">
        <f t="shared" si="39"/>
        <v>1</v>
      </c>
    </row>
    <row r="2522" spans="1:4" x14ac:dyDescent="0.3">
      <c r="A2522" s="34">
        <v>28554</v>
      </c>
      <c r="B2522" s="35">
        <v>1</v>
      </c>
      <c r="C2522" s="35">
        <v>0</v>
      </c>
      <c r="D2522" s="2">
        <f t="shared" si="39"/>
        <v>1</v>
      </c>
    </row>
    <row r="2523" spans="1:4" x14ac:dyDescent="0.3">
      <c r="A2523" s="34">
        <v>28562</v>
      </c>
      <c r="B2523" s="35">
        <v>1</v>
      </c>
      <c r="C2523" s="35">
        <v>0</v>
      </c>
      <c r="D2523" s="2">
        <f t="shared" si="39"/>
        <v>1</v>
      </c>
    </row>
    <row r="2524" spans="1:4" x14ac:dyDescent="0.3">
      <c r="A2524" s="34">
        <v>28564</v>
      </c>
      <c r="B2524" s="35">
        <v>1</v>
      </c>
      <c r="C2524" s="35">
        <v>0</v>
      </c>
      <c r="D2524" s="2">
        <f t="shared" si="39"/>
        <v>1</v>
      </c>
    </row>
    <row r="2525" spans="1:4" x14ac:dyDescent="0.3">
      <c r="A2525" s="34">
        <v>28572</v>
      </c>
      <c r="B2525" s="35">
        <v>2</v>
      </c>
      <c r="C2525" s="35">
        <v>1</v>
      </c>
      <c r="D2525" s="2">
        <f t="shared" si="39"/>
        <v>3</v>
      </c>
    </row>
    <row r="2526" spans="1:4" x14ac:dyDescent="0.3">
      <c r="A2526" s="34">
        <v>28593</v>
      </c>
      <c r="B2526" s="35">
        <v>1</v>
      </c>
      <c r="C2526" s="35">
        <v>0</v>
      </c>
      <c r="D2526" s="2">
        <f t="shared" si="39"/>
        <v>1</v>
      </c>
    </row>
    <row r="2527" spans="1:4" x14ac:dyDescent="0.3">
      <c r="A2527" s="34">
        <v>28597</v>
      </c>
      <c r="B2527" s="35">
        <v>1</v>
      </c>
      <c r="C2527" s="35">
        <v>0</v>
      </c>
      <c r="D2527" s="2">
        <f t="shared" si="39"/>
        <v>1</v>
      </c>
    </row>
    <row r="2528" spans="1:4" x14ac:dyDescent="0.3">
      <c r="A2528" s="34">
        <v>28607</v>
      </c>
      <c r="B2528" s="35">
        <v>1</v>
      </c>
      <c r="C2528" s="35">
        <v>0</v>
      </c>
      <c r="D2528" s="2">
        <f t="shared" si="39"/>
        <v>1</v>
      </c>
    </row>
    <row r="2529" spans="1:4" x14ac:dyDescent="0.3">
      <c r="A2529" s="34">
        <v>28611</v>
      </c>
      <c r="B2529" s="35">
        <v>1</v>
      </c>
      <c r="C2529" s="35">
        <v>0</v>
      </c>
      <c r="D2529" s="2">
        <f t="shared" si="39"/>
        <v>1</v>
      </c>
    </row>
    <row r="2530" spans="1:4" x14ac:dyDescent="0.3">
      <c r="A2530" s="34">
        <v>28614</v>
      </c>
      <c r="B2530" s="35">
        <v>1</v>
      </c>
      <c r="C2530" s="35">
        <v>0</v>
      </c>
      <c r="D2530" s="2">
        <f t="shared" si="39"/>
        <v>1</v>
      </c>
    </row>
    <row r="2531" spans="1:4" x14ac:dyDescent="0.3">
      <c r="A2531" s="34">
        <v>28617</v>
      </c>
      <c r="B2531" s="35">
        <v>1</v>
      </c>
      <c r="C2531" s="35">
        <v>0</v>
      </c>
      <c r="D2531" s="2">
        <f t="shared" si="39"/>
        <v>1</v>
      </c>
    </row>
    <row r="2532" spans="1:4" x14ac:dyDescent="0.3">
      <c r="A2532" s="34">
        <v>28620</v>
      </c>
      <c r="B2532" s="35">
        <v>1</v>
      </c>
      <c r="C2532" s="35">
        <v>0</v>
      </c>
      <c r="D2532" s="2">
        <f t="shared" si="39"/>
        <v>1</v>
      </c>
    </row>
    <row r="2533" spans="1:4" x14ac:dyDescent="0.3">
      <c r="A2533" s="34">
        <v>28623</v>
      </c>
      <c r="B2533" s="35">
        <v>1</v>
      </c>
      <c r="C2533" s="35">
        <v>0</v>
      </c>
      <c r="D2533" s="2">
        <f t="shared" si="39"/>
        <v>1</v>
      </c>
    </row>
    <row r="2534" spans="1:4" x14ac:dyDescent="0.3">
      <c r="A2534" s="34">
        <v>28626</v>
      </c>
      <c r="B2534" s="35">
        <v>1</v>
      </c>
      <c r="C2534" s="35">
        <v>0</v>
      </c>
      <c r="D2534" s="2">
        <f t="shared" si="39"/>
        <v>1</v>
      </c>
    </row>
    <row r="2535" spans="1:4" x14ac:dyDescent="0.3">
      <c r="A2535" s="34">
        <v>28627</v>
      </c>
      <c r="B2535" s="35">
        <v>2</v>
      </c>
      <c r="C2535" s="35">
        <v>0</v>
      </c>
      <c r="D2535" s="2">
        <f t="shared" si="39"/>
        <v>2</v>
      </c>
    </row>
    <row r="2536" spans="1:4" x14ac:dyDescent="0.3">
      <c r="A2536" s="34">
        <v>28629</v>
      </c>
      <c r="B2536" s="35">
        <v>2</v>
      </c>
      <c r="C2536" s="35">
        <v>1</v>
      </c>
      <c r="D2536" s="2">
        <f t="shared" si="39"/>
        <v>3</v>
      </c>
    </row>
    <row r="2537" spans="1:4" x14ac:dyDescent="0.3">
      <c r="A2537" s="34">
        <v>28646</v>
      </c>
      <c r="B2537" s="35">
        <v>1</v>
      </c>
      <c r="C2537" s="35">
        <v>0</v>
      </c>
      <c r="D2537" s="2">
        <f t="shared" si="39"/>
        <v>1</v>
      </c>
    </row>
    <row r="2538" spans="1:4" x14ac:dyDescent="0.3">
      <c r="A2538" s="34">
        <v>28659</v>
      </c>
      <c r="B2538" s="35">
        <v>1</v>
      </c>
      <c r="C2538" s="35">
        <v>0</v>
      </c>
      <c r="D2538" s="2">
        <f t="shared" si="39"/>
        <v>1</v>
      </c>
    </row>
    <row r="2539" spans="1:4" x14ac:dyDescent="0.3">
      <c r="A2539" s="34">
        <v>28660</v>
      </c>
      <c r="B2539" s="35">
        <v>1</v>
      </c>
      <c r="C2539" s="35">
        <v>0</v>
      </c>
      <c r="D2539" s="2">
        <f t="shared" si="39"/>
        <v>1</v>
      </c>
    </row>
    <row r="2540" spans="1:4" x14ac:dyDescent="0.3">
      <c r="A2540" s="34">
        <v>28663</v>
      </c>
      <c r="B2540" s="35">
        <v>1</v>
      </c>
      <c r="C2540" s="35">
        <v>1</v>
      </c>
      <c r="D2540" s="2">
        <f t="shared" si="39"/>
        <v>2</v>
      </c>
    </row>
    <row r="2541" spans="1:4" x14ac:dyDescent="0.3">
      <c r="A2541" s="34">
        <v>28671</v>
      </c>
      <c r="B2541" s="35">
        <v>1</v>
      </c>
      <c r="C2541" s="35">
        <v>0</v>
      </c>
      <c r="D2541" s="2">
        <f t="shared" si="39"/>
        <v>1</v>
      </c>
    </row>
    <row r="2542" spans="1:4" x14ac:dyDescent="0.3">
      <c r="A2542" s="34">
        <v>28673</v>
      </c>
      <c r="B2542" s="35">
        <v>2</v>
      </c>
      <c r="C2542" s="35">
        <v>2</v>
      </c>
      <c r="D2542" s="2">
        <f t="shared" si="39"/>
        <v>4</v>
      </c>
    </row>
    <row r="2543" spans="1:4" x14ac:dyDescent="0.3">
      <c r="A2543" s="34">
        <v>28677</v>
      </c>
      <c r="B2543" s="35">
        <v>3</v>
      </c>
      <c r="C2543" s="35">
        <v>3</v>
      </c>
      <c r="D2543" s="2">
        <f t="shared" si="39"/>
        <v>6</v>
      </c>
    </row>
    <row r="2544" spans="1:4" x14ac:dyDescent="0.3">
      <c r="A2544" s="34">
        <v>28683</v>
      </c>
      <c r="B2544" s="35">
        <v>1</v>
      </c>
      <c r="C2544" s="35">
        <v>1</v>
      </c>
      <c r="D2544" s="2">
        <f t="shared" si="39"/>
        <v>2</v>
      </c>
    </row>
    <row r="2545" spans="1:4" x14ac:dyDescent="0.3">
      <c r="A2545" s="34">
        <v>28697</v>
      </c>
      <c r="B2545" s="35">
        <v>1</v>
      </c>
      <c r="C2545" s="35">
        <v>1</v>
      </c>
      <c r="D2545" s="2">
        <f t="shared" si="39"/>
        <v>2</v>
      </c>
    </row>
    <row r="2546" spans="1:4" x14ac:dyDescent="0.3">
      <c r="A2546" s="34">
        <v>28753</v>
      </c>
      <c r="B2546" s="35">
        <v>1</v>
      </c>
      <c r="C2546" s="35">
        <v>1</v>
      </c>
      <c r="D2546" s="2">
        <f t="shared" si="39"/>
        <v>2</v>
      </c>
    </row>
    <row r="2547" spans="1:4" x14ac:dyDescent="0.3">
      <c r="A2547" s="34">
        <v>28755</v>
      </c>
      <c r="B2547" s="35">
        <v>1</v>
      </c>
      <c r="C2547" s="35">
        <v>0</v>
      </c>
      <c r="D2547" s="2">
        <f t="shared" si="39"/>
        <v>1</v>
      </c>
    </row>
    <row r="2548" spans="1:4" x14ac:dyDescent="0.3">
      <c r="A2548" s="34">
        <v>28759</v>
      </c>
      <c r="B2548" s="35">
        <v>1</v>
      </c>
      <c r="C2548" s="35">
        <v>1</v>
      </c>
      <c r="D2548" s="2">
        <f t="shared" si="39"/>
        <v>2</v>
      </c>
    </row>
    <row r="2549" spans="1:4" x14ac:dyDescent="0.3">
      <c r="A2549" s="34">
        <v>28781</v>
      </c>
      <c r="B2549" s="35">
        <v>1</v>
      </c>
      <c r="C2549" s="35">
        <v>0</v>
      </c>
      <c r="D2549" s="2">
        <f t="shared" si="39"/>
        <v>1</v>
      </c>
    </row>
    <row r="2550" spans="1:4" x14ac:dyDescent="0.3">
      <c r="A2550" s="34">
        <v>28786</v>
      </c>
      <c r="B2550" s="35">
        <v>1</v>
      </c>
      <c r="C2550" s="35">
        <v>0</v>
      </c>
      <c r="D2550" s="2">
        <f t="shared" si="39"/>
        <v>1</v>
      </c>
    </row>
    <row r="2551" spans="1:4" x14ac:dyDescent="0.3">
      <c r="A2551" s="34">
        <v>28793</v>
      </c>
      <c r="B2551" s="35">
        <v>1</v>
      </c>
      <c r="C2551" s="35">
        <v>0</v>
      </c>
      <c r="D2551" s="2">
        <f t="shared" si="39"/>
        <v>1</v>
      </c>
    </row>
    <row r="2552" spans="1:4" x14ac:dyDescent="0.3">
      <c r="A2552" s="34">
        <v>28797</v>
      </c>
      <c r="B2552" s="35">
        <v>1</v>
      </c>
      <c r="C2552" s="35">
        <v>0</v>
      </c>
      <c r="D2552" s="2">
        <f t="shared" si="39"/>
        <v>1</v>
      </c>
    </row>
    <row r="2553" spans="1:4" x14ac:dyDescent="0.3">
      <c r="A2553" s="34">
        <v>28800</v>
      </c>
      <c r="B2553" s="35">
        <v>1</v>
      </c>
      <c r="C2553" s="35">
        <v>0</v>
      </c>
      <c r="D2553" s="2">
        <f t="shared" si="39"/>
        <v>1</v>
      </c>
    </row>
    <row r="2554" spans="1:4" x14ac:dyDescent="0.3">
      <c r="A2554" s="34">
        <v>28809</v>
      </c>
      <c r="B2554" s="35">
        <v>2</v>
      </c>
      <c r="C2554" s="35">
        <v>0</v>
      </c>
      <c r="D2554" s="2">
        <f t="shared" si="39"/>
        <v>2</v>
      </c>
    </row>
    <row r="2555" spans="1:4" x14ac:dyDescent="0.3">
      <c r="A2555" s="34">
        <v>28815</v>
      </c>
      <c r="B2555" s="35">
        <v>2</v>
      </c>
      <c r="C2555" s="35">
        <v>0</v>
      </c>
      <c r="D2555" s="2">
        <f t="shared" si="39"/>
        <v>2</v>
      </c>
    </row>
    <row r="2556" spans="1:4" x14ac:dyDescent="0.3">
      <c r="A2556" s="34">
        <v>28816</v>
      </c>
      <c r="B2556" s="35">
        <v>1</v>
      </c>
      <c r="C2556" s="35">
        <v>0</v>
      </c>
      <c r="D2556" s="2">
        <f t="shared" si="39"/>
        <v>1</v>
      </c>
    </row>
    <row r="2557" spans="1:4" x14ac:dyDescent="0.3">
      <c r="A2557" s="34">
        <v>28818</v>
      </c>
      <c r="B2557" s="35">
        <v>1</v>
      </c>
      <c r="C2557" s="35">
        <v>1</v>
      </c>
      <c r="D2557" s="2">
        <f t="shared" si="39"/>
        <v>2</v>
      </c>
    </row>
    <row r="2558" spans="1:4" x14ac:dyDescent="0.3">
      <c r="A2558" s="34">
        <v>28820</v>
      </c>
      <c r="B2558" s="35">
        <v>1</v>
      </c>
      <c r="C2558" s="35">
        <v>1</v>
      </c>
      <c r="D2558" s="2">
        <f t="shared" si="39"/>
        <v>2</v>
      </c>
    </row>
    <row r="2559" spans="1:4" x14ac:dyDescent="0.3">
      <c r="A2559" s="34">
        <v>28822</v>
      </c>
      <c r="B2559" s="35">
        <v>1</v>
      </c>
      <c r="C2559" s="35">
        <v>0</v>
      </c>
      <c r="D2559" s="2">
        <f t="shared" si="39"/>
        <v>1</v>
      </c>
    </row>
    <row r="2560" spans="1:4" x14ac:dyDescent="0.3">
      <c r="A2560" s="34">
        <v>28823</v>
      </c>
      <c r="B2560" s="35">
        <v>1</v>
      </c>
      <c r="C2560" s="35">
        <v>0</v>
      </c>
      <c r="D2560" s="2">
        <f t="shared" si="39"/>
        <v>1</v>
      </c>
    </row>
    <row r="2561" spans="1:4" x14ac:dyDescent="0.3">
      <c r="A2561" s="34">
        <v>28830</v>
      </c>
      <c r="B2561" s="35">
        <v>2</v>
      </c>
      <c r="C2561" s="35">
        <v>0</v>
      </c>
      <c r="D2561" s="2">
        <f t="shared" si="39"/>
        <v>2</v>
      </c>
    </row>
    <row r="2562" spans="1:4" x14ac:dyDescent="0.3">
      <c r="A2562" s="34">
        <v>28835</v>
      </c>
      <c r="B2562" s="35">
        <v>2</v>
      </c>
      <c r="C2562" s="35">
        <v>0</v>
      </c>
      <c r="D2562" s="2">
        <f t="shared" si="39"/>
        <v>2</v>
      </c>
    </row>
    <row r="2563" spans="1:4" x14ac:dyDescent="0.3">
      <c r="A2563" s="34">
        <v>28837</v>
      </c>
      <c r="B2563" s="35">
        <v>1</v>
      </c>
      <c r="C2563" s="35">
        <v>0</v>
      </c>
      <c r="D2563" s="2">
        <f t="shared" ref="D2563:D2626" si="40">B2563+C2563</f>
        <v>1</v>
      </c>
    </row>
    <row r="2564" spans="1:4" x14ac:dyDescent="0.3">
      <c r="A2564" s="34">
        <v>28838</v>
      </c>
      <c r="B2564" s="35">
        <v>1</v>
      </c>
      <c r="C2564" s="35">
        <v>0</v>
      </c>
      <c r="D2564" s="2">
        <f t="shared" si="40"/>
        <v>1</v>
      </c>
    </row>
    <row r="2565" spans="1:4" x14ac:dyDescent="0.3">
      <c r="A2565" s="34">
        <v>28841</v>
      </c>
      <c r="B2565" s="35">
        <v>1</v>
      </c>
      <c r="C2565" s="35">
        <v>0</v>
      </c>
      <c r="D2565" s="2">
        <f t="shared" si="40"/>
        <v>1</v>
      </c>
    </row>
    <row r="2566" spans="1:4" x14ac:dyDescent="0.3">
      <c r="A2566" s="34">
        <v>28843</v>
      </c>
      <c r="B2566" s="35">
        <v>1</v>
      </c>
      <c r="C2566" s="35">
        <v>0</v>
      </c>
      <c r="D2566" s="2">
        <f t="shared" si="40"/>
        <v>1</v>
      </c>
    </row>
    <row r="2567" spans="1:4" x14ac:dyDescent="0.3">
      <c r="A2567" s="34">
        <v>28846</v>
      </c>
      <c r="B2567" s="35">
        <v>1</v>
      </c>
      <c r="C2567" s="35">
        <v>0</v>
      </c>
      <c r="D2567" s="2">
        <f t="shared" si="40"/>
        <v>1</v>
      </c>
    </row>
    <row r="2568" spans="1:4" x14ac:dyDescent="0.3">
      <c r="A2568" s="34">
        <v>28848</v>
      </c>
      <c r="B2568" s="35">
        <v>2</v>
      </c>
      <c r="C2568" s="35">
        <v>0</v>
      </c>
      <c r="D2568" s="2">
        <f t="shared" si="40"/>
        <v>2</v>
      </c>
    </row>
    <row r="2569" spans="1:4" x14ac:dyDescent="0.3">
      <c r="A2569" s="34">
        <v>28851</v>
      </c>
      <c r="B2569" s="35">
        <v>2</v>
      </c>
      <c r="C2569" s="35">
        <v>2</v>
      </c>
      <c r="D2569" s="2">
        <f t="shared" si="40"/>
        <v>4</v>
      </c>
    </row>
    <row r="2570" spans="1:4" x14ac:dyDescent="0.3">
      <c r="A2570" s="34">
        <v>28856</v>
      </c>
      <c r="B2570" s="35">
        <v>1</v>
      </c>
      <c r="C2570" s="35">
        <v>0</v>
      </c>
      <c r="D2570" s="2">
        <f t="shared" si="40"/>
        <v>1</v>
      </c>
    </row>
    <row r="2571" spans="1:4" x14ac:dyDescent="0.3">
      <c r="A2571" s="34">
        <v>28865</v>
      </c>
      <c r="B2571" s="35">
        <v>2</v>
      </c>
      <c r="C2571" s="35">
        <v>0</v>
      </c>
      <c r="D2571" s="2">
        <f t="shared" si="40"/>
        <v>2</v>
      </c>
    </row>
    <row r="2572" spans="1:4" x14ac:dyDescent="0.3">
      <c r="A2572" s="34">
        <v>28866</v>
      </c>
      <c r="B2572" s="35">
        <v>1</v>
      </c>
      <c r="C2572" s="35">
        <v>0</v>
      </c>
      <c r="D2572" s="2">
        <f t="shared" si="40"/>
        <v>1</v>
      </c>
    </row>
    <row r="2573" spans="1:4" x14ac:dyDescent="0.3">
      <c r="A2573" s="34">
        <v>28871</v>
      </c>
      <c r="B2573" s="35">
        <v>2</v>
      </c>
      <c r="C2573" s="35">
        <v>2</v>
      </c>
      <c r="D2573" s="2">
        <f t="shared" si="40"/>
        <v>4</v>
      </c>
    </row>
    <row r="2574" spans="1:4" x14ac:dyDescent="0.3">
      <c r="A2574" s="34">
        <v>28872</v>
      </c>
      <c r="B2574" s="35">
        <v>1</v>
      </c>
      <c r="C2574" s="35">
        <v>0</v>
      </c>
      <c r="D2574" s="2">
        <f t="shared" si="40"/>
        <v>1</v>
      </c>
    </row>
    <row r="2575" spans="1:4" x14ac:dyDescent="0.3">
      <c r="A2575" s="34">
        <v>28875</v>
      </c>
      <c r="B2575" s="35">
        <v>1</v>
      </c>
      <c r="C2575" s="35">
        <v>1</v>
      </c>
      <c r="D2575" s="2">
        <f t="shared" si="40"/>
        <v>2</v>
      </c>
    </row>
    <row r="2576" spans="1:4" x14ac:dyDescent="0.3">
      <c r="A2576" s="34">
        <v>28877</v>
      </c>
      <c r="B2576" s="35">
        <v>1</v>
      </c>
      <c r="C2576" s="35">
        <v>0</v>
      </c>
      <c r="D2576" s="2">
        <f t="shared" si="40"/>
        <v>1</v>
      </c>
    </row>
    <row r="2577" spans="1:4" x14ac:dyDescent="0.3">
      <c r="A2577" s="34">
        <v>28878</v>
      </c>
      <c r="B2577" s="35">
        <v>1</v>
      </c>
      <c r="C2577" s="35">
        <v>0</v>
      </c>
      <c r="D2577" s="2">
        <f t="shared" si="40"/>
        <v>1</v>
      </c>
    </row>
    <row r="2578" spans="1:4" x14ac:dyDescent="0.3">
      <c r="A2578" s="34">
        <v>28890</v>
      </c>
      <c r="B2578" s="35">
        <v>1</v>
      </c>
      <c r="C2578" s="35">
        <v>0</v>
      </c>
      <c r="D2578" s="2">
        <f t="shared" si="40"/>
        <v>1</v>
      </c>
    </row>
    <row r="2579" spans="1:4" x14ac:dyDescent="0.3">
      <c r="A2579" s="34">
        <v>28896</v>
      </c>
      <c r="B2579" s="35">
        <v>2</v>
      </c>
      <c r="C2579" s="35">
        <v>2</v>
      </c>
      <c r="D2579" s="2">
        <f t="shared" si="40"/>
        <v>4</v>
      </c>
    </row>
    <row r="2580" spans="1:4" x14ac:dyDescent="0.3">
      <c r="A2580" s="34">
        <v>28898</v>
      </c>
      <c r="B2580" s="35">
        <v>1</v>
      </c>
      <c r="C2580" s="35">
        <v>0</v>
      </c>
      <c r="D2580" s="2">
        <f t="shared" si="40"/>
        <v>1</v>
      </c>
    </row>
    <row r="2581" spans="1:4" x14ac:dyDescent="0.3">
      <c r="A2581" s="34">
        <v>28907</v>
      </c>
      <c r="B2581" s="35">
        <v>1</v>
      </c>
      <c r="C2581" s="35">
        <v>0</v>
      </c>
      <c r="D2581" s="2">
        <f t="shared" si="40"/>
        <v>1</v>
      </c>
    </row>
    <row r="2582" spans="1:4" x14ac:dyDescent="0.3">
      <c r="A2582" s="34">
        <v>28914</v>
      </c>
      <c r="B2582" s="35">
        <v>1</v>
      </c>
      <c r="C2582" s="35">
        <v>0</v>
      </c>
      <c r="D2582" s="2">
        <f t="shared" si="40"/>
        <v>1</v>
      </c>
    </row>
    <row r="2583" spans="1:4" x14ac:dyDescent="0.3">
      <c r="A2583" s="34">
        <v>28916</v>
      </c>
      <c r="B2583" s="35">
        <v>1</v>
      </c>
      <c r="C2583" s="35">
        <v>0</v>
      </c>
      <c r="D2583" s="2">
        <f t="shared" si="40"/>
        <v>1</v>
      </c>
    </row>
    <row r="2584" spans="1:4" x14ac:dyDescent="0.3">
      <c r="A2584" s="34">
        <v>28917</v>
      </c>
      <c r="B2584" s="35">
        <v>1</v>
      </c>
      <c r="C2584" s="35">
        <v>0</v>
      </c>
      <c r="D2584" s="2">
        <f t="shared" si="40"/>
        <v>1</v>
      </c>
    </row>
    <row r="2585" spans="1:4" x14ac:dyDescent="0.3">
      <c r="A2585" s="34">
        <v>28926</v>
      </c>
      <c r="B2585" s="35">
        <v>1</v>
      </c>
      <c r="C2585" s="35">
        <v>0</v>
      </c>
      <c r="D2585" s="2">
        <f t="shared" si="40"/>
        <v>1</v>
      </c>
    </row>
    <row r="2586" spans="1:4" x14ac:dyDescent="0.3">
      <c r="A2586" s="34">
        <v>28927</v>
      </c>
      <c r="B2586" s="35">
        <v>1</v>
      </c>
      <c r="C2586" s="35">
        <v>0</v>
      </c>
      <c r="D2586" s="2">
        <f t="shared" si="40"/>
        <v>1</v>
      </c>
    </row>
    <row r="2587" spans="1:4" x14ac:dyDescent="0.3">
      <c r="A2587" s="34">
        <v>28930</v>
      </c>
      <c r="B2587" s="35">
        <v>1</v>
      </c>
      <c r="C2587" s="35">
        <v>0</v>
      </c>
      <c r="D2587" s="2">
        <f t="shared" si="40"/>
        <v>1</v>
      </c>
    </row>
    <row r="2588" spans="1:4" x14ac:dyDescent="0.3">
      <c r="A2588" s="34">
        <v>28943</v>
      </c>
      <c r="B2588" s="35">
        <v>1</v>
      </c>
      <c r="C2588" s="35">
        <v>0</v>
      </c>
      <c r="D2588" s="2">
        <f t="shared" si="40"/>
        <v>1</v>
      </c>
    </row>
    <row r="2589" spans="1:4" x14ac:dyDescent="0.3">
      <c r="A2589" s="34">
        <v>28944</v>
      </c>
      <c r="B2589" s="35">
        <v>1</v>
      </c>
      <c r="C2589" s="35">
        <v>0</v>
      </c>
      <c r="D2589" s="2">
        <f t="shared" si="40"/>
        <v>1</v>
      </c>
    </row>
    <row r="2590" spans="1:4" x14ac:dyDescent="0.3">
      <c r="A2590" s="34">
        <v>28945</v>
      </c>
      <c r="B2590" s="35">
        <v>1</v>
      </c>
      <c r="C2590" s="35">
        <v>0</v>
      </c>
      <c r="D2590" s="2">
        <f t="shared" si="40"/>
        <v>1</v>
      </c>
    </row>
    <row r="2591" spans="1:4" x14ac:dyDescent="0.3">
      <c r="A2591" s="34">
        <v>28951</v>
      </c>
      <c r="B2591" s="35">
        <v>1</v>
      </c>
      <c r="C2591" s="35">
        <v>0</v>
      </c>
      <c r="D2591" s="2">
        <f t="shared" si="40"/>
        <v>1</v>
      </c>
    </row>
    <row r="2592" spans="1:4" x14ac:dyDescent="0.3">
      <c r="A2592" s="34">
        <v>28952</v>
      </c>
      <c r="B2592" s="35">
        <v>1</v>
      </c>
      <c r="C2592" s="35">
        <v>0</v>
      </c>
      <c r="D2592" s="2">
        <f t="shared" si="40"/>
        <v>1</v>
      </c>
    </row>
    <row r="2593" spans="1:4" x14ac:dyDescent="0.3">
      <c r="A2593" s="34">
        <v>28954</v>
      </c>
      <c r="B2593" s="35">
        <v>1</v>
      </c>
      <c r="C2593" s="35">
        <v>0</v>
      </c>
      <c r="D2593" s="2">
        <f t="shared" si="40"/>
        <v>1</v>
      </c>
    </row>
    <row r="2594" spans="1:4" x14ac:dyDescent="0.3">
      <c r="A2594" s="34">
        <v>28963</v>
      </c>
      <c r="B2594" s="35">
        <v>1</v>
      </c>
      <c r="C2594" s="35">
        <v>0</v>
      </c>
      <c r="D2594" s="2">
        <f t="shared" si="40"/>
        <v>1</v>
      </c>
    </row>
    <row r="2595" spans="1:4" x14ac:dyDescent="0.3">
      <c r="A2595" s="34">
        <v>28969</v>
      </c>
      <c r="B2595" s="35">
        <v>2</v>
      </c>
      <c r="C2595" s="35">
        <v>0</v>
      </c>
      <c r="D2595" s="2">
        <f t="shared" si="40"/>
        <v>2</v>
      </c>
    </row>
    <row r="2596" spans="1:4" x14ac:dyDescent="0.3">
      <c r="A2596" s="34">
        <v>28974</v>
      </c>
      <c r="B2596" s="35">
        <v>2</v>
      </c>
      <c r="C2596" s="35">
        <v>2</v>
      </c>
      <c r="D2596" s="2">
        <f t="shared" si="40"/>
        <v>4</v>
      </c>
    </row>
    <row r="2597" spans="1:4" x14ac:dyDescent="0.3">
      <c r="A2597" s="34">
        <v>28978</v>
      </c>
      <c r="B2597" s="35">
        <v>1</v>
      </c>
      <c r="C2597" s="35">
        <v>0</v>
      </c>
      <c r="D2597" s="2">
        <f t="shared" si="40"/>
        <v>1</v>
      </c>
    </row>
    <row r="2598" spans="1:4" x14ac:dyDescent="0.3">
      <c r="A2598" s="34">
        <v>28981</v>
      </c>
      <c r="B2598" s="35">
        <v>1</v>
      </c>
      <c r="C2598" s="35">
        <v>0</v>
      </c>
      <c r="D2598" s="2">
        <f t="shared" si="40"/>
        <v>1</v>
      </c>
    </row>
    <row r="2599" spans="1:4" x14ac:dyDescent="0.3">
      <c r="A2599" s="34">
        <v>28984</v>
      </c>
      <c r="B2599" s="35">
        <v>1</v>
      </c>
      <c r="C2599" s="35">
        <v>0</v>
      </c>
      <c r="D2599" s="2">
        <f t="shared" si="40"/>
        <v>1</v>
      </c>
    </row>
    <row r="2600" spans="1:4" x14ac:dyDescent="0.3">
      <c r="A2600" s="34">
        <v>28986</v>
      </c>
      <c r="B2600" s="35">
        <v>1</v>
      </c>
      <c r="C2600" s="35">
        <v>0</v>
      </c>
      <c r="D2600" s="2">
        <f t="shared" si="40"/>
        <v>1</v>
      </c>
    </row>
    <row r="2601" spans="1:4" x14ac:dyDescent="0.3">
      <c r="A2601" s="34">
        <v>28993</v>
      </c>
      <c r="B2601" s="35">
        <v>1</v>
      </c>
      <c r="C2601" s="35">
        <v>0</v>
      </c>
      <c r="D2601" s="2">
        <f t="shared" si="40"/>
        <v>1</v>
      </c>
    </row>
    <row r="2602" spans="1:4" x14ac:dyDescent="0.3">
      <c r="A2602" s="34">
        <v>29006</v>
      </c>
      <c r="B2602" s="35">
        <v>1</v>
      </c>
      <c r="C2602" s="35">
        <v>0</v>
      </c>
      <c r="D2602" s="2">
        <f t="shared" si="40"/>
        <v>1</v>
      </c>
    </row>
    <row r="2603" spans="1:4" x14ac:dyDescent="0.3">
      <c r="A2603" s="34">
        <v>29007</v>
      </c>
      <c r="B2603" s="35">
        <v>1</v>
      </c>
      <c r="C2603" s="35">
        <v>0</v>
      </c>
      <c r="D2603" s="2">
        <f t="shared" si="40"/>
        <v>1</v>
      </c>
    </row>
    <row r="2604" spans="1:4" x14ac:dyDescent="0.3">
      <c r="A2604" s="34">
        <v>29012</v>
      </c>
      <c r="B2604" s="35">
        <v>1</v>
      </c>
      <c r="C2604" s="35">
        <v>1</v>
      </c>
      <c r="D2604" s="2">
        <f t="shared" si="40"/>
        <v>2</v>
      </c>
    </row>
    <row r="2605" spans="1:4" x14ac:dyDescent="0.3">
      <c r="A2605" s="34">
        <v>29014</v>
      </c>
      <c r="B2605" s="35">
        <v>1</v>
      </c>
      <c r="C2605" s="35">
        <v>0</v>
      </c>
      <c r="D2605" s="2">
        <f t="shared" si="40"/>
        <v>1</v>
      </c>
    </row>
    <row r="2606" spans="1:4" x14ac:dyDescent="0.3">
      <c r="A2606" s="34">
        <v>29015</v>
      </c>
      <c r="B2606" s="35">
        <v>1</v>
      </c>
      <c r="C2606" s="35">
        <v>0</v>
      </c>
      <c r="D2606" s="2">
        <f t="shared" si="40"/>
        <v>1</v>
      </c>
    </row>
    <row r="2607" spans="1:4" x14ac:dyDescent="0.3">
      <c r="A2607" s="34">
        <v>29017</v>
      </c>
      <c r="B2607" s="35">
        <v>1</v>
      </c>
      <c r="C2607" s="35">
        <v>0</v>
      </c>
      <c r="D2607" s="2">
        <f t="shared" si="40"/>
        <v>1</v>
      </c>
    </row>
    <row r="2608" spans="1:4" x14ac:dyDescent="0.3">
      <c r="A2608" s="34">
        <v>29018</v>
      </c>
      <c r="B2608" s="35">
        <v>1</v>
      </c>
      <c r="C2608" s="35">
        <v>0</v>
      </c>
      <c r="D2608" s="2">
        <f t="shared" si="40"/>
        <v>1</v>
      </c>
    </row>
    <row r="2609" spans="1:4" x14ac:dyDescent="0.3">
      <c r="A2609" s="34">
        <v>29021</v>
      </c>
      <c r="B2609" s="35">
        <v>2</v>
      </c>
      <c r="C2609" s="35">
        <v>0</v>
      </c>
      <c r="D2609" s="2">
        <f t="shared" si="40"/>
        <v>2</v>
      </c>
    </row>
    <row r="2610" spans="1:4" x14ac:dyDescent="0.3">
      <c r="A2610" s="34">
        <v>29022</v>
      </c>
      <c r="B2610" s="35">
        <v>1</v>
      </c>
      <c r="C2610" s="35">
        <v>1</v>
      </c>
      <c r="D2610" s="2">
        <f t="shared" si="40"/>
        <v>2</v>
      </c>
    </row>
    <row r="2611" spans="1:4" x14ac:dyDescent="0.3">
      <c r="A2611" s="34">
        <v>29030</v>
      </c>
      <c r="B2611" s="35">
        <v>1</v>
      </c>
      <c r="C2611" s="35">
        <v>0</v>
      </c>
      <c r="D2611" s="2">
        <f t="shared" si="40"/>
        <v>1</v>
      </c>
    </row>
    <row r="2612" spans="1:4" x14ac:dyDescent="0.3">
      <c r="A2612" s="34">
        <v>29031</v>
      </c>
      <c r="B2612" s="35">
        <v>1</v>
      </c>
      <c r="C2612" s="35">
        <v>0</v>
      </c>
      <c r="D2612" s="2">
        <f t="shared" si="40"/>
        <v>1</v>
      </c>
    </row>
    <row r="2613" spans="1:4" x14ac:dyDescent="0.3">
      <c r="A2613" s="34">
        <v>29033</v>
      </c>
      <c r="B2613" s="35">
        <v>1</v>
      </c>
      <c r="C2613" s="35">
        <v>1</v>
      </c>
      <c r="D2613" s="2">
        <f t="shared" si="40"/>
        <v>2</v>
      </c>
    </row>
    <row r="2614" spans="1:4" x14ac:dyDescent="0.3">
      <c r="A2614" s="34">
        <v>29034</v>
      </c>
      <c r="B2614" s="35">
        <v>1</v>
      </c>
      <c r="C2614" s="35">
        <v>0</v>
      </c>
      <c r="D2614" s="2">
        <f t="shared" si="40"/>
        <v>1</v>
      </c>
    </row>
    <row r="2615" spans="1:4" x14ac:dyDescent="0.3">
      <c r="A2615" s="34">
        <v>29035</v>
      </c>
      <c r="B2615" s="35">
        <v>1</v>
      </c>
      <c r="C2615" s="35">
        <v>0</v>
      </c>
      <c r="D2615" s="2">
        <f t="shared" si="40"/>
        <v>1</v>
      </c>
    </row>
    <row r="2616" spans="1:4" x14ac:dyDescent="0.3">
      <c r="A2616" s="34">
        <v>29037</v>
      </c>
      <c r="B2616" s="35">
        <v>1</v>
      </c>
      <c r="C2616" s="35">
        <v>0</v>
      </c>
      <c r="D2616" s="2">
        <f t="shared" si="40"/>
        <v>1</v>
      </c>
    </row>
    <row r="2617" spans="1:4" x14ac:dyDescent="0.3">
      <c r="A2617" s="34">
        <v>29038</v>
      </c>
      <c r="B2617" s="35">
        <v>1</v>
      </c>
      <c r="C2617" s="35">
        <v>0</v>
      </c>
      <c r="D2617" s="2">
        <f t="shared" si="40"/>
        <v>1</v>
      </c>
    </row>
    <row r="2618" spans="1:4" x14ac:dyDescent="0.3">
      <c r="A2618" s="34">
        <v>29039</v>
      </c>
      <c r="B2618" s="35">
        <v>1</v>
      </c>
      <c r="C2618" s="35">
        <v>0</v>
      </c>
      <c r="D2618" s="2">
        <f t="shared" si="40"/>
        <v>1</v>
      </c>
    </row>
    <row r="2619" spans="1:4" x14ac:dyDescent="0.3">
      <c r="A2619" s="34">
        <v>29040</v>
      </c>
      <c r="B2619" s="35">
        <v>1</v>
      </c>
      <c r="C2619" s="35">
        <v>0</v>
      </c>
      <c r="D2619" s="2">
        <f t="shared" si="40"/>
        <v>1</v>
      </c>
    </row>
    <row r="2620" spans="1:4" x14ac:dyDescent="0.3">
      <c r="A2620" s="34">
        <v>29041</v>
      </c>
      <c r="B2620" s="35">
        <v>1</v>
      </c>
      <c r="C2620" s="35">
        <v>0</v>
      </c>
      <c r="D2620" s="2">
        <f t="shared" si="40"/>
        <v>1</v>
      </c>
    </row>
    <row r="2621" spans="1:4" x14ac:dyDescent="0.3">
      <c r="A2621" s="34">
        <v>29042</v>
      </c>
      <c r="B2621" s="35">
        <v>1</v>
      </c>
      <c r="C2621" s="35">
        <v>0</v>
      </c>
      <c r="D2621" s="2">
        <f t="shared" si="40"/>
        <v>1</v>
      </c>
    </row>
    <row r="2622" spans="1:4" x14ac:dyDescent="0.3">
      <c r="A2622" s="34">
        <v>29043</v>
      </c>
      <c r="B2622" s="35">
        <v>1</v>
      </c>
      <c r="C2622" s="35">
        <v>0</v>
      </c>
      <c r="D2622" s="2">
        <f t="shared" si="40"/>
        <v>1</v>
      </c>
    </row>
    <row r="2623" spans="1:4" x14ac:dyDescent="0.3">
      <c r="A2623" s="34">
        <v>29045</v>
      </c>
      <c r="B2623" s="35">
        <v>1</v>
      </c>
      <c r="C2623" s="35">
        <v>0</v>
      </c>
      <c r="D2623" s="2">
        <f t="shared" si="40"/>
        <v>1</v>
      </c>
    </row>
    <row r="2624" spans="1:4" x14ac:dyDescent="0.3">
      <c r="A2624" s="34">
        <v>29051</v>
      </c>
      <c r="B2624" s="35">
        <v>1</v>
      </c>
      <c r="C2624" s="35">
        <v>0</v>
      </c>
      <c r="D2624" s="2">
        <f t="shared" si="40"/>
        <v>1</v>
      </c>
    </row>
    <row r="2625" spans="1:4" x14ac:dyDescent="0.3">
      <c r="A2625" s="34">
        <v>29052</v>
      </c>
      <c r="B2625" s="35">
        <v>1</v>
      </c>
      <c r="C2625" s="35">
        <v>0</v>
      </c>
      <c r="D2625" s="2">
        <f t="shared" si="40"/>
        <v>1</v>
      </c>
    </row>
    <row r="2626" spans="1:4" x14ac:dyDescent="0.3">
      <c r="A2626" s="34">
        <v>29071</v>
      </c>
      <c r="B2626" s="35">
        <v>1</v>
      </c>
      <c r="C2626" s="35">
        <v>1</v>
      </c>
      <c r="D2626" s="2">
        <f t="shared" si="40"/>
        <v>2</v>
      </c>
    </row>
    <row r="2627" spans="1:4" x14ac:dyDescent="0.3">
      <c r="A2627" s="34">
        <v>29076</v>
      </c>
      <c r="B2627" s="35">
        <v>1</v>
      </c>
      <c r="C2627" s="35">
        <v>0</v>
      </c>
      <c r="D2627" s="2">
        <f t="shared" ref="D2627:D2690" si="41">B2627+C2627</f>
        <v>1</v>
      </c>
    </row>
    <row r="2628" spans="1:4" x14ac:dyDescent="0.3">
      <c r="A2628" s="34">
        <v>29078</v>
      </c>
      <c r="B2628" s="35">
        <v>1</v>
      </c>
      <c r="C2628" s="35">
        <v>0</v>
      </c>
      <c r="D2628" s="2">
        <f t="shared" si="41"/>
        <v>1</v>
      </c>
    </row>
    <row r="2629" spans="1:4" x14ac:dyDescent="0.3">
      <c r="A2629" s="34">
        <v>29094</v>
      </c>
      <c r="B2629" s="35">
        <v>1</v>
      </c>
      <c r="C2629" s="35">
        <v>0</v>
      </c>
      <c r="D2629" s="2">
        <f t="shared" si="41"/>
        <v>1</v>
      </c>
    </row>
    <row r="2630" spans="1:4" x14ac:dyDescent="0.3">
      <c r="A2630" s="34">
        <v>29108</v>
      </c>
      <c r="B2630" s="35">
        <v>1</v>
      </c>
      <c r="C2630" s="35">
        <v>0</v>
      </c>
      <c r="D2630" s="2">
        <f t="shared" si="41"/>
        <v>1</v>
      </c>
    </row>
    <row r="2631" spans="1:4" x14ac:dyDescent="0.3">
      <c r="A2631" s="34">
        <v>29125</v>
      </c>
      <c r="B2631" s="35">
        <v>1</v>
      </c>
      <c r="C2631" s="35">
        <v>0</v>
      </c>
      <c r="D2631" s="2">
        <f t="shared" si="41"/>
        <v>1</v>
      </c>
    </row>
    <row r="2632" spans="1:4" x14ac:dyDescent="0.3">
      <c r="A2632" s="34">
        <v>29127</v>
      </c>
      <c r="B2632" s="35">
        <v>1</v>
      </c>
      <c r="C2632" s="35">
        <v>0</v>
      </c>
      <c r="D2632" s="2">
        <f t="shared" si="41"/>
        <v>1</v>
      </c>
    </row>
    <row r="2633" spans="1:4" x14ac:dyDescent="0.3">
      <c r="A2633" s="34">
        <v>29130</v>
      </c>
      <c r="B2633" s="35">
        <v>1</v>
      </c>
      <c r="C2633" s="35">
        <v>0</v>
      </c>
      <c r="D2633" s="2">
        <f t="shared" si="41"/>
        <v>1</v>
      </c>
    </row>
    <row r="2634" spans="1:4" x14ac:dyDescent="0.3">
      <c r="A2634" s="34">
        <v>29131</v>
      </c>
      <c r="B2634" s="35">
        <v>1</v>
      </c>
      <c r="C2634" s="35">
        <v>0</v>
      </c>
      <c r="D2634" s="2">
        <f t="shared" si="41"/>
        <v>1</v>
      </c>
    </row>
    <row r="2635" spans="1:4" x14ac:dyDescent="0.3">
      <c r="A2635" s="34">
        <v>29132</v>
      </c>
      <c r="B2635" s="35">
        <v>1</v>
      </c>
      <c r="C2635" s="35">
        <v>0</v>
      </c>
      <c r="D2635" s="2">
        <f t="shared" si="41"/>
        <v>1</v>
      </c>
    </row>
    <row r="2636" spans="1:4" x14ac:dyDescent="0.3">
      <c r="A2636" s="34">
        <v>29134</v>
      </c>
      <c r="B2636" s="35">
        <v>1</v>
      </c>
      <c r="C2636" s="35">
        <v>1</v>
      </c>
      <c r="D2636" s="2">
        <f t="shared" si="41"/>
        <v>2</v>
      </c>
    </row>
    <row r="2637" spans="1:4" x14ac:dyDescent="0.3">
      <c r="A2637" s="34">
        <v>29138</v>
      </c>
      <c r="B2637" s="35">
        <v>1</v>
      </c>
      <c r="C2637" s="35">
        <v>0</v>
      </c>
      <c r="D2637" s="2">
        <f t="shared" si="41"/>
        <v>1</v>
      </c>
    </row>
    <row r="2638" spans="1:4" x14ac:dyDescent="0.3">
      <c r="A2638" s="34">
        <v>29140</v>
      </c>
      <c r="B2638" s="35">
        <v>2</v>
      </c>
      <c r="C2638" s="35">
        <v>1</v>
      </c>
      <c r="D2638" s="2">
        <f t="shared" si="41"/>
        <v>3</v>
      </c>
    </row>
    <row r="2639" spans="1:4" x14ac:dyDescent="0.3">
      <c r="A2639" s="34">
        <v>29144</v>
      </c>
      <c r="B2639" s="35">
        <v>1</v>
      </c>
      <c r="C2639" s="35">
        <v>0</v>
      </c>
      <c r="D2639" s="2">
        <f t="shared" si="41"/>
        <v>1</v>
      </c>
    </row>
    <row r="2640" spans="1:4" x14ac:dyDescent="0.3">
      <c r="A2640" s="34">
        <v>29145</v>
      </c>
      <c r="B2640" s="35">
        <v>1</v>
      </c>
      <c r="C2640" s="35">
        <v>0</v>
      </c>
      <c r="D2640" s="2">
        <f t="shared" si="41"/>
        <v>1</v>
      </c>
    </row>
    <row r="2641" spans="1:4" x14ac:dyDescent="0.3">
      <c r="A2641" s="34">
        <v>29150</v>
      </c>
      <c r="B2641" s="35">
        <v>2</v>
      </c>
      <c r="C2641" s="35">
        <v>0</v>
      </c>
      <c r="D2641" s="2">
        <f t="shared" si="41"/>
        <v>2</v>
      </c>
    </row>
    <row r="2642" spans="1:4" x14ac:dyDescent="0.3">
      <c r="A2642" s="34">
        <v>29158</v>
      </c>
      <c r="B2642" s="35">
        <v>1</v>
      </c>
      <c r="C2642" s="35">
        <v>0</v>
      </c>
      <c r="D2642" s="2">
        <f t="shared" si="41"/>
        <v>1</v>
      </c>
    </row>
    <row r="2643" spans="1:4" x14ac:dyDescent="0.3">
      <c r="A2643" s="34">
        <v>29161</v>
      </c>
      <c r="B2643" s="35">
        <v>1</v>
      </c>
      <c r="C2643" s="35">
        <v>0</v>
      </c>
      <c r="D2643" s="2">
        <f t="shared" si="41"/>
        <v>1</v>
      </c>
    </row>
    <row r="2644" spans="1:4" x14ac:dyDescent="0.3">
      <c r="A2644" s="34">
        <v>29165</v>
      </c>
      <c r="B2644" s="35">
        <v>1</v>
      </c>
      <c r="C2644" s="35">
        <v>0</v>
      </c>
      <c r="D2644" s="2">
        <f t="shared" si="41"/>
        <v>1</v>
      </c>
    </row>
    <row r="2645" spans="1:4" x14ac:dyDescent="0.3">
      <c r="A2645" s="34">
        <v>29171</v>
      </c>
      <c r="B2645" s="35">
        <v>1</v>
      </c>
      <c r="C2645" s="35">
        <v>0</v>
      </c>
      <c r="D2645" s="2">
        <f t="shared" si="41"/>
        <v>1</v>
      </c>
    </row>
    <row r="2646" spans="1:4" x14ac:dyDescent="0.3">
      <c r="A2646" s="34">
        <v>29174</v>
      </c>
      <c r="B2646" s="35">
        <v>1</v>
      </c>
      <c r="C2646" s="35">
        <v>1</v>
      </c>
      <c r="D2646" s="2">
        <f t="shared" si="41"/>
        <v>2</v>
      </c>
    </row>
    <row r="2647" spans="1:4" x14ac:dyDescent="0.3">
      <c r="A2647" s="34">
        <v>29176</v>
      </c>
      <c r="B2647" s="35">
        <v>1</v>
      </c>
      <c r="C2647" s="35">
        <v>0</v>
      </c>
      <c r="D2647" s="2">
        <f t="shared" si="41"/>
        <v>1</v>
      </c>
    </row>
    <row r="2648" spans="1:4" x14ac:dyDescent="0.3">
      <c r="A2648" s="34">
        <v>29177</v>
      </c>
      <c r="B2648" s="35">
        <v>1</v>
      </c>
      <c r="C2648" s="35">
        <v>0</v>
      </c>
      <c r="D2648" s="2">
        <f t="shared" si="41"/>
        <v>1</v>
      </c>
    </row>
    <row r="2649" spans="1:4" x14ac:dyDescent="0.3">
      <c r="A2649" s="34">
        <v>29180</v>
      </c>
      <c r="B2649" s="35">
        <v>2</v>
      </c>
      <c r="C2649" s="35">
        <v>0</v>
      </c>
      <c r="D2649" s="2">
        <f t="shared" si="41"/>
        <v>2</v>
      </c>
    </row>
    <row r="2650" spans="1:4" x14ac:dyDescent="0.3">
      <c r="A2650" s="34">
        <v>29187</v>
      </c>
      <c r="B2650" s="35">
        <v>1</v>
      </c>
      <c r="C2650" s="35">
        <v>0</v>
      </c>
      <c r="D2650" s="2">
        <f t="shared" si="41"/>
        <v>1</v>
      </c>
    </row>
    <row r="2651" spans="1:4" x14ac:dyDescent="0.3">
      <c r="A2651" s="34">
        <v>29197</v>
      </c>
      <c r="B2651" s="35">
        <v>1</v>
      </c>
      <c r="C2651" s="35">
        <v>0</v>
      </c>
      <c r="D2651" s="2">
        <f t="shared" si="41"/>
        <v>1</v>
      </c>
    </row>
    <row r="2652" spans="1:4" x14ac:dyDescent="0.3">
      <c r="A2652" s="34">
        <v>29198</v>
      </c>
      <c r="B2652" s="35">
        <v>1</v>
      </c>
      <c r="C2652" s="35">
        <v>0</v>
      </c>
      <c r="D2652" s="2">
        <f t="shared" si="41"/>
        <v>1</v>
      </c>
    </row>
    <row r="2653" spans="1:4" x14ac:dyDescent="0.3">
      <c r="A2653" s="34">
        <v>29202</v>
      </c>
      <c r="B2653" s="35">
        <v>1</v>
      </c>
      <c r="C2653" s="35">
        <v>0</v>
      </c>
      <c r="D2653" s="2">
        <f t="shared" si="41"/>
        <v>1</v>
      </c>
    </row>
    <row r="2654" spans="1:4" x14ac:dyDescent="0.3">
      <c r="A2654" s="34">
        <v>29204</v>
      </c>
      <c r="B2654" s="35">
        <v>1</v>
      </c>
      <c r="C2654" s="35">
        <v>0</v>
      </c>
      <c r="D2654" s="2">
        <f t="shared" si="41"/>
        <v>1</v>
      </c>
    </row>
    <row r="2655" spans="1:4" x14ac:dyDescent="0.3">
      <c r="A2655" s="34">
        <v>29210</v>
      </c>
      <c r="B2655" s="35">
        <v>1</v>
      </c>
      <c r="C2655" s="35">
        <v>0</v>
      </c>
      <c r="D2655" s="2">
        <f t="shared" si="41"/>
        <v>1</v>
      </c>
    </row>
    <row r="2656" spans="1:4" x14ac:dyDescent="0.3">
      <c r="A2656" s="34">
        <v>29218</v>
      </c>
      <c r="B2656" s="35">
        <v>1</v>
      </c>
      <c r="C2656" s="35">
        <v>0</v>
      </c>
      <c r="D2656" s="2">
        <f t="shared" si="41"/>
        <v>1</v>
      </c>
    </row>
    <row r="2657" spans="1:4" x14ac:dyDescent="0.3">
      <c r="A2657" s="34">
        <v>29240</v>
      </c>
      <c r="B2657" s="35">
        <v>1</v>
      </c>
      <c r="C2657" s="35">
        <v>0</v>
      </c>
      <c r="D2657" s="2">
        <f t="shared" si="41"/>
        <v>1</v>
      </c>
    </row>
    <row r="2658" spans="1:4" x14ac:dyDescent="0.3">
      <c r="A2658" s="34">
        <v>29241</v>
      </c>
      <c r="B2658" s="35">
        <v>2</v>
      </c>
      <c r="C2658" s="35">
        <v>0</v>
      </c>
      <c r="D2658" s="2">
        <f t="shared" si="41"/>
        <v>2</v>
      </c>
    </row>
    <row r="2659" spans="1:4" x14ac:dyDescent="0.3">
      <c r="A2659" s="34">
        <v>29245</v>
      </c>
      <c r="B2659" s="35">
        <v>1</v>
      </c>
      <c r="C2659" s="35">
        <v>0</v>
      </c>
      <c r="D2659" s="2">
        <f t="shared" si="41"/>
        <v>1</v>
      </c>
    </row>
    <row r="2660" spans="1:4" x14ac:dyDescent="0.3">
      <c r="A2660" s="34">
        <v>29253</v>
      </c>
      <c r="B2660" s="35">
        <v>1</v>
      </c>
      <c r="C2660" s="35">
        <v>0</v>
      </c>
      <c r="D2660" s="2">
        <f t="shared" si="41"/>
        <v>1</v>
      </c>
    </row>
    <row r="2661" spans="1:4" x14ac:dyDescent="0.3">
      <c r="A2661" s="34">
        <v>29256</v>
      </c>
      <c r="B2661" s="35">
        <v>1</v>
      </c>
      <c r="C2661" s="35">
        <v>0</v>
      </c>
      <c r="D2661" s="2">
        <f t="shared" si="41"/>
        <v>1</v>
      </c>
    </row>
    <row r="2662" spans="1:4" x14ac:dyDescent="0.3">
      <c r="A2662" s="34">
        <v>29265</v>
      </c>
      <c r="B2662" s="35">
        <v>1</v>
      </c>
      <c r="C2662" s="35">
        <v>0</v>
      </c>
      <c r="D2662" s="2">
        <f t="shared" si="41"/>
        <v>1</v>
      </c>
    </row>
    <row r="2663" spans="1:4" x14ac:dyDescent="0.3">
      <c r="A2663" s="34">
        <v>29267</v>
      </c>
      <c r="B2663" s="35">
        <v>1</v>
      </c>
      <c r="C2663" s="35">
        <v>0</v>
      </c>
      <c r="D2663" s="2">
        <f t="shared" si="41"/>
        <v>1</v>
      </c>
    </row>
    <row r="2664" spans="1:4" x14ac:dyDescent="0.3">
      <c r="A2664" s="34">
        <v>29270</v>
      </c>
      <c r="B2664" s="35">
        <v>1</v>
      </c>
      <c r="C2664" s="35">
        <v>0</v>
      </c>
      <c r="D2664" s="2">
        <f t="shared" si="41"/>
        <v>1</v>
      </c>
    </row>
    <row r="2665" spans="1:4" x14ac:dyDescent="0.3">
      <c r="A2665" s="34">
        <v>29271</v>
      </c>
      <c r="B2665" s="35">
        <v>2</v>
      </c>
      <c r="C2665" s="35">
        <v>1</v>
      </c>
      <c r="D2665" s="2">
        <f t="shared" si="41"/>
        <v>3</v>
      </c>
    </row>
    <row r="2666" spans="1:4" x14ac:dyDescent="0.3">
      <c r="A2666" s="34">
        <v>29272</v>
      </c>
      <c r="B2666" s="35">
        <v>1</v>
      </c>
      <c r="C2666" s="35">
        <v>1</v>
      </c>
      <c r="D2666" s="2">
        <f t="shared" si="41"/>
        <v>2</v>
      </c>
    </row>
    <row r="2667" spans="1:4" x14ac:dyDescent="0.3">
      <c r="A2667" s="34">
        <v>29277</v>
      </c>
      <c r="B2667" s="35">
        <v>1</v>
      </c>
      <c r="C2667" s="35">
        <v>0</v>
      </c>
      <c r="D2667" s="2">
        <f t="shared" si="41"/>
        <v>1</v>
      </c>
    </row>
    <row r="2668" spans="1:4" x14ac:dyDescent="0.3">
      <c r="A2668" s="34">
        <v>29283</v>
      </c>
      <c r="B2668" s="35">
        <v>2</v>
      </c>
      <c r="C2668" s="35">
        <v>1</v>
      </c>
      <c r="D2668" s="2">
        <f t="shared" si="41"/>
        <v>3</v>
      </c>
    </row>
    <row r="2669" spans="1:4" x14ac:dyDescent="0.3">
      <c r="A2669" s="34">
        <v>29290</v>
      </c>
      <c r="B2669" s="35">
        <v>1</v>
      </c>
      <c r="C2669" s="35">
        <v>1</v>
      </c>
      <c r="D2669" s="2">
        <f t="shared" si="41"/>
        <v>2</v>
      </c>
    </row>
    <row r="2670" spans="1:4" x14ac:dyDescent="0.3">
      <c r="A2670" s="34">
        <v>29299</v>
      </c>
      <c r="B2670" s="35">
        <v>1</v>
      </c>
      <c r="C2670" s="35">
        <v>0</v>
      </c>
      <c r="D2670" s="2">
        <f t="shared" si="41"/>
        <v>1</v>
      </c>
    </row>
    <row r="2671" spans="1:4" x14ac:dyDescent="0.3">
      <c r="A2671" s="34">
        <v>29305</v>
      </c>
      <c r="B2671" s="35">
        <v>1</v>
      </c>
      <c r="C2671" s="35">
        <v>0</v>
      </c>
      <c r="D2671" s="2">
        <f t="shared" si="41"/>
        <v>1</v>
      </c>
    </row>
    <row r="2672" spans="1:4" x14ac:dyDescent="0.3">
      <c r="A2672" s="34">
        <v>29309</v>
      </c>
      <c r="B2672" s="35">
        <v>1</v>
      </c>
      <c r="C2672" s="35">
        <v>0</v>
      </c>
      <c r="D2672" s="2">
        <f t="shared" si="41"/>
        <v>1</v>
      </c>
    </row>
    <row r="2673" spans="1:4" x14ac:dyDescent="0.3">
      <c r="A2673" s="34">
        <v>29312</v>
      </c>
      <c r="B2673" s="35">
        <v>1</v>
      </c>
      <c r="C2673" s="35">
        <v>0</v>
      </c>
      <c r="D2673" s="2">
        <f t="shared" si="41"/>
        <v>1</v>
      </c>
    </row>
    <row r="2674" spans="1:4" x14ac:dyDescent="0.3">
      <c r="A2674" s="34">
        <v>29313</v>
      </c>
      <c r="B2674" s="35">
        <v>1</v>
      </c>
      <c r="C2674" s="35">
        <v>0</v>
      </c>
      <c r="D2674" s="2">
        <f t="shared" si="41"/>
        <v>1</v>
      </c>
    </row>
    <row r="2675" spans="1:4" x14ac:dyDescent="0.3">
      <c r="A2675" s="34">
        <v>29316</v>
      </c>
      <c r="B2675" s="35">
        <v>1</v>
      </c>
      <c r="C2675" s="35">
        <v>0</v>
      </c>
      <c r="D2675" s="2">
        <f t="shared" si="41"/>
        <v>1</v>
      </c>
    </row>
    <row r="2676" spans="1:4" x14ac:dyDescent="0.3">
      <c r="A2676" s="34">
        <v>29317</v>
      </c>
      <c r="B2676" s="35">
        <v>1</v>
      </c>
      <c r="C2676" s="35">
        <v>0</v>
      </c>
      <c r="D2676" s="2">
        <f t="shared" si="41"/>
        <v>1</v>
      </c>
    </row>
    <row r="2677" spans="1:4" x14ac:dyDescent="0.3">
      <c r="A2677" s="34">
        <v>29318</v>
      </c>
      <c r="B2677" s="35">
        <v>1</v>
      </c>
      <c r="C2677" s="35">
        <v>0</v>
      </c>
      <c r="D2677" s="2">
        <f t="shared" si="41"/>
        <v>1</v>
      </c>
    </row>
    <row r="2678" spans="1:4" x14ac:dyDescent="0.3">
      <c r="A2678" s="34">
        <v>29328</v>
      </c>
      <c r="B2678" s="35">
        <v>1</v>
      </c>
      <c r="C2678" s="35">
        <v>0</v>
      </c>
      <c r="D2678" s="2">
        <f t="shared" si="41"/>
        <v>1</v>
      </c>
    </row>
    <row r="2679" spans="1:4" x14ac:dyDescent="0.3">
      <c r="A2679" s="34">
        <v>29329</v>
      </c>
      <c r="B2679" s="35">
        <v>1</v>
      </c>
      <c r="C2679" s="35">
        <v>0</v>
      </c>
      <c r="D2679" s="2">
        <f t="shared" si="41"/>
        <v>1</v>
      </c>
    </row>
    <row r="2680" spans="1:4" x14ac:dyDescent="0.3">
      <c r="A2680" s="34">
        <v>29331</v>
      </c>
      <c r="B2680" s="35">
        <v>1</v>
      </c>
      <c r="C2680" s="35">
        <v>0</v>
      </c>
      <c r="D2680" s="2">
        <f t="shared" si="41"/>
        <v>1</v>
      </c>
    </row>
    <row r="2681" spans="1:4" x14ac:dyDescent="0.3">
      <c r="A2681" s="34">
        <v>29338</v>
      </c>
      <c r="B2681" s="35">
        <v>1</v>
      </c>
      <c r="C2681" s="35">
        <v>0</v>
      </c>
      <c r="D2681" s="2">
        <f t="shared" si="41"/>
        <v>1</v>
      </c>
    </row>
    <row r="2682" spans="1:4" x14ac:dyDescent="0.3">
      <c r="A2682" s="34">
        <v>29339</v>
      </c>
      <c r="B2682" s="35">
        <v>1</v>
      </c>
      <c r="C2682" s="35">
        <v>0</v>
      </c>
      <c r="D2682" s="2">
        <f t="shared" si="41"/>
        <v>1</v>
      </c>
    </row>
    <row r="2683" spans="1:4" x14ac:dyDescent="0.3">
      <c r="A2683" s="34">
        <v>29347</v>
      </c>
      <c r="B2683" s="35">
        <v>1</v>
      </c>
      <c r="C2683" s="35">
        <v>0</v>
      </c>
      <c r="D2683" s="2">
        <f t="shared" si="41"/>
        <v>1</v>
      </c>
    </row>
    <row r="2684" spans="1:4" x14ac:dyDescent="0.3">
      <c r="A2684" s="34">
        <v>29348</v>
      </c>
      <c r="B2684" s="35">
        <v>1</v>
      </c>
      <c r="C2684" s="35">
        <v>0</v>
      </c>
      <c r="D2684" s="2">
        <f t="shared" si="41"/>
        <v>1</v>
      </c>
    </row>
    <row r="2685" spans="1:4" x14ac:dyDescent="0.3">
      <c r="A2685" s="34">
        <v>29350</v>
      </c>
      <c r="B2685" s="35">
        <v>1</v>
      </c>
      <c r="C2685" s="35">
        <v>0</v>
      </c>
      <c r="D2685" s="2">
        <f t="shared" si="41"/>
        <v>1</v>
      </c>
    </row>
    <row r="2686" spans="1:4" x14ac:dyDescent="0.3">
      <c r="A2686" s="34">
        <v>29355</v>
      </c>
      <c r="B2686" s="35">
        <v>1</v>
      </c>
      <c r="C2686" s="35">
        <v>0</v>
      </c>
      <c r="D2686" s="2">
        <f t="shared" si="41"/>
        <v>1</v>
      </c>
    </row>
    <row r="2687" spans="1:4" x14ac:dyDescent="0.3">
      <c r="A2687" s="34">
        <v>29357</v>
      </c>
      <c r="B2687" s="35">
        <v>1</v>
      </c>
      <c r="C2687" s="35">
        <v>0</v>
      </c>
      <c r="D2687" s="2">
        <f t="shared" si="41"/>
        <v>1</v>
      </c>
    </row>
    <row r="2688" spans="1:4" x14ac:dyDescent="0.3">
      <c r="A2688" s="34">
        <v>29360</v>
      </c>
      <c r="B2688" s="35">
        <v>1</v>
      </c>
      <c r="C2688" s="35">
        <v>0</v>
      </c>
      <c r="D2688" s="2">
        <f t="shared" si="41"/>
        <v>1</v>
      </c>
    </row>
    <row r="2689" spans="1:4" x14ac:dyDescent="0.3">
      <c r="A2689" s="34">
        <v>29374</v>
      </c>
      <c r="B2689" s="35">
        <v>1</v>
      </c>
      <c r="C2689" s="35">
        <v>0</v>
      </c>
      <c r="D2689" s="2">
        <f t="shared" si="41"/>
        <v>1</v>
      </c>
    </row>
    <row r="2690" spans="1:4" x14ac:dyDescent="0.3">
      <c r="A2690" s="34">
        <v>29381</v>
      </c>
      <c r="B2690" s="35">
        <v>1</v>
      </c>
      <c r="C2690" s="35">
        <v>0</v>
      </c>
      <c r="D2690" s="2">
        <f t="shared" si="41"/>
        <v>1</v>
      </c>
    </row>
    <row r="2691" spans="1:4" x14ac:dyDescent="0.3">
      <c r="A2691" s="34">
        <v>29383</v>
      </c>
      <c r="B2691" s="35">
        <v>1</v>
      </c>
      <c r="C2691" s="35">
        <v>0</v>
      </c>
      <c r="D2691" s="2">
        <f t="shared" ref="D2691:D2754" si="42">B2691+C2691</f>
        <v>1</v>
      </c>
    </row>
    <row r="2692" spans="1:4" x14ac:dyDescent="0.3">
      <c r="A2692" s="34">
        <v>29385</v>
      </c>
      <c r="B2692" s="35">
        <v>1</v>
      </c>
      <c r="C2692" s="35">
        <v>0</v>
      </c>
      <c r="D2692" s="2">
        <f t="shared" si="42"/>
        <v>1</v>
      </c>
    </row>
    <row r="2693" spans="1:4" x14ac:dyDescent="0.3">
      <c r="A2693" s="34">
        <v>29389</v>
      </c>
      <c r="B2693" s="35">
        <v>1</v>
      </c>
      <c r="C2693" s="35">
        <v>1</v>
      </c>
      <c r="D2693" s="2">
        <f t="shared" si="42"/>
        <v>2</v>
      </c>
    </row>
    <row r="2694" spans="1:4" x14ac:dyDescent="0.3">
      <c r="A2694" s="34">
        <v>29390</v>
      </c>
      <c r="B2694" s="35">
        <v>2</v>
      </c>
      <c r="C2694" s="35">
        <v>1</v>
      </c>
      <c r="D2694" s="2">
        <f t="shared" si="42"/>
        <v>3</v>
      </c>
    </row>
    <row r="2695" spans="1:4" x14ac:dyDescent="0.3">
      <c r="A2695" s="34">
        <v>29391</v>
      </c>
      <c r="B2695" s="35">
        <v>1</v>
      </c>
      <c r="C2695" s="35">
        <v>0</v>
      </c>
      <c r="D2695" s="2">
        <f t="shared" si="42"/>
        <v>1</v>
      </c>
    </row>
    <row r="2696" spans="1:4" x14ac:dyDescent="0.3">
      <c r="A2696" s="34">
        <v>29392</v>
      </c>
      <c r="B2696" s="35">
        <v>1</v>
      </c>
      <c r="C2696" s="35">
        <v>0</v>
      </c>
      <c r="D2696" s="2">
        <f t="shared" si="42"/>
        <v>1</v>
      </c>
    </row>
    <row r="2697" spans="1:4" x14ac:dyDescent="0.3">
      <c r="A2697" s="34">
        <v>29396</v>
      </c>
      <c r="B2697" s="35">
        <v>1</v>
      </c>
      <c r="C2697" s="35">
        <v>0</v>
      </c>
      <c r="D2697" s="2">
        <f t="shared" si="42"/>
        <v>1</v>
      </c>
    </row>
    <row r="2698" spans="1:4" x14ac:dyDescent="0.3">
      <c r="A2698" s="34">
        <v>29397</v>
      </c>
      <c r="B2698" s="35">
        <v>1</v>
      </c>
      <c r="C2698" s="35">
        <v>0</v>
      </c>
      <c r="D2698" s="2">
        <f t="shared" si="42"/>
        <v>1</v>
      </c>
    </row>
    <row r="2699" spans="1:4" x14ac:dyDescent="0.3">
      <c r="A2699" s="34">
        <v>29399</v>
      </c>
      <c r="B2699" s="35">
        <v>1</v>
      </c>
      <c r="C2699" s="35">
        <v>0</v>
      </c>
      <c r="D2699" s="2">
        <f t="shared" si="42"/>
        <v>1</v>
      </c>
    </row>
    <row r="2700" spans="1:4" x14ac:dyDescent="0.3">
      <c r="A2700" s="34">
        <v>29402</v>
      </c>
      <c r="B2700" s="35">
        <v>1</v>
      </c>
      <c r="C2700" s="35">
        <v>0</v>
      </c>
      <c r="D2700" s="2">
        <f t="shared" si="42"/>
        <v>1</v>
      </c>
    </row>
    <row r="2701" spans="1:4" x14ac:dyDescent="0.3">
      <c r="A2701" s="34">
        <v>29404</v>
      </c>
      <c r="B2701" s="35">
        <v>1</v>
      </c>
      <c r="C2701" s="35">
        <v>1</v>
      </c>
      <c r="D2701" s="2">
        <f t="shared" si="42"/>
        <v>2</v>
      </c>
    </row>
    <row r="2702" spans="1:4" x14ac:dyDescent="0.3">
      <c r="A2702" s="34">
        <v>29406</v>
      </c>
      <c r="B2702" s="35">
        <v>1</v>
      </c>
      <c r="C2702" s="35">
        <v>0</v>
      </c>
      <c r="D2702" s="2">
        <f t="shared" si="42"/>
        <v>1</v>
      </c>
    </row>
    <row r="2703" spans="1:4" x14ac:dyDescent="0.3">
      <c r="A2703" s="34">
        <v>29420</v>
      </c>
      <c r="B2703" s="35">
        <v>1</v>
      </c>
      <c r="C2703" s="35">
        <v>0</v>
      </c>
      <c r="D2703" s="2">
        <f t="shared" si="42"/>
        <v>1</v>
      </c>
    </row>
    <row r="2704" spans="1:4" x14ac:dyDescent="0.3">
      <c r="A2704" s="34">
        <v>29422</v>
      </c>
      <c r="B2704" s="35">
        <v>1</v>
      </c>
      <c r="C2704" s="35">
        <v>0</v>
      </c>
      <c r="D2704" s="2">
        <f t="shared" si="42"/>
        <v>1</v>
      </c>
    </row>
    <row r="2705" spans="1:4" x14ac:dyDescent="0.3">
      <c r="A2705" s="34">
        <v>29423</v>
      </c>
      <c r="B2705" s="35">
        <v>1</v>
      </c>
      <c r="C2705" s="35">
        <v>0</v>
      </c>
      <c r="D2705" s="2">
        <f t="shared" si="42"/>
        <v>1</v>
      </c>
    </row>
    <row r="2706" spans="1:4" x14ac:dyDescent="0.3">
      <c r="A2706" s="34">
        <v>29425</v>
      </c>
      <c r="B2706" s="35">
        <v>1</v>
      </c>
      <c r="C2706" s="35">
        <v>0</v>
      </c>
      <c r="D2706" s="2">
        <f t="shared" si="42"/>
        <v>1</v>
      </c>
    </row>
    <row r="2707" spans="1:4" x14ac:dyDescent="0.3">
      <c r="A2707" s="34">
        <v>29435</v>
      </c>
      <c r="B2707" s="35">
        <v>1</v>
      </c>
      <c r="C2707" s="35">
        <v>1</v>
      </c>
      <c r="D2707" s="2">
        <f t="shared" si="42"/>
        <v>2</v>
      </c>
    </row>
    <row r="2708" spans="1:4" x14ac:dyDescent="0.3">
      <c r="A2708" s="34">
        <v>29438</v>
      </c>
      <c r="B2708" s="35">
        <v>1</v>
      </c>
      <c r="C2708" s="35">
        <v>0</v>
      </c>
      <c r="D2708" s="2">
        <f t="shared" si="42"/>
        <v>1</v>
      </c>
    </row>
    <row r="2709" spans="1:4" x14ac:dyDescent="0.3">
      <c r="A2709" s="34">
        <v>29442</v>
      </c>
      <c r="B2709" s="35">
        <v>1</v>
      </c>
      <c r="C2709" s="35">
        <v>0</v>
      </c>
      <c r="D2709" s="2">
        <f t="shared" si="42"/>
        <v>1</v>
      </c>
    </row>
    <row r="2710" spans="1:4" x14ac:dyDescent="0.3">
      <c r="A2710" s="34">
        <v>29443</v>
      </c>
      <c r="B2710" s="35">
        <v>1</v>
      </c>
      <c r="C2710" s="35">
        <v>0</v>
      </c>
      <c r="D2710" s="2">
        <f t="shared" si="42"/>
        <v>1</v>
      </c>
    </row>
    <row r="2711" spans="1:4" x14ac:dyDescent="0.3">
      <c r="A2711" s="34">
        <v>29464</v>
      </c>
      <c r="B2711" s="35">
        <v>1</v>
      </c>
      <c r="C2711" s="35">
        <v>0</v>
      </c>
      <c r="D2711" s="2">
        <f t="shared" si="42"/>
        <v>1</v>
      </c>
    </row>
    <row r="2712" spans="1:4" x14ac:dyDescent="0.3">
      <c r="A2712" s="34">
        <v>29471</v>
      </c>
      <c r="B2712" s="35">
        <v>1</v>
      </c>
      <c r="C2712" s="35">
        <v>0</v>
      </c>
      <c r="D2712" s="2">
        <f t="shared" si="42"/>
        <v>1</v>
      </c>
    </row>
    <row r="2713" spans="1:4" x14ac:dyDescent="0.3">
      <c r="A2713" s="34">
        <v>29472</v>
      </c>
      <c r="B2713" s="35">
        <v>1</v>
      </c>
      <c r="C2713" s="35">
        <v>0</v>
      </c>
      <c r="D2713" s="2">
        <f t="shared" si="42"/>
        <v>1</v>
      </c>
    </row>
    <row r="2714" spans="1:4" x14ac:dyDescent="0.3">
      <c r="A2714" s="34">
        <v>29481</v>
      </c>
      <c r="B2714" s="35">
        <v>1</v>
      </c>
      <c r="C2714" s="35">
        <v>0</v>
      </c>
      <c r="D2714" s="2">
        <f t="shared" si="42"/>
        <v>1</v>
      </c>
    </row>
    <row r="2715" spans="1:4" x14ac:dyDescent="0.3">
      <c r="A2715" s="34">
        <v>29489</v>
      </c>
      <c r="B2715" s="35">
        <v>2</v>
      </c>
      <c r="C2715" s="35">
        <v>0</v>
      </c>
      <c r="D2715" s="2">
        <f t="shared" si="42"/>
        <v>2</v>
      </c>
    </row>
    <row r="2716" spans="1:4" x14ac:dyDescent="0.3">
      <c r="A2716" s="34">
        <v>29492</v>
      </c>
      <c r="B2716" s="35">
        <v>1</v>
      </c>
      <c r="C2716" s="35">
        <v>0</v>
      </c>
      <c r="D2716" s="2">
        <f t="shared" si="42"/>
        <v>1</v>
      </c>
    </row>
    <row r="2717" spans="1:4" x14ac:dyDescent="0.3">
      <c r="A2717" s="34">
        <v>29530</v>
      </c>
      <c r="B2717" s="35">
        <v>1</v>
      </c>
      <c r="C2717" s="35">
        <v>0</v>
      </c>
      <c r="D2717" s="2">
        <f t="shared" si="42"/>
        <v>1</v>
      </c>
    </row>
    <row r="2718" spans="1:4" x14ac:dyDescent="0.3">
      <c r="A2718" s="34">
        <v>29532</v>
      </c>
      <c r="B2718" s="35">
        <v>1</v>
      </c>
      <c r="C2718" s="35">
        <v>1</v>
      </c>
      <c r="D2718" s="2">
        <f t="shared" si="42"/>
        <v>2</v>
      </c>
    </row>
    <row r="2719" spans="1:4" x14ac:dyDescent="0.3">
      <c r="A2719" s="34">
        <v>29551</v>
      </c>
      <c r="B2719" s="35">
        <v>1</v>
      </c>
      <c r="C2719" s="35">
        <v>0</v>
      </c>
      <c r="D2719" s="2">
        <f t="shared" si="42"/>
        <v>1</v>
      </c>
    </row>
    <row r="2720" spans="1:4" x14ac:dyDescent="0.3">
      <c r="A2720" s="34">
        <v>29555</v>
      </c>
      <c r="B2720" s="35">
        <v>1</v>
      </c>
      <c r="C2720" s="35">
        <v>0</v>
      </c>
      <c r="D2720" s="2">
        <f t="shared" si="42"/>
        <v>1</v>
      </c>
    </row>
    <row r="2721" spans="1:4" x14ac:dyDescent="0.3">
      <c r="A2721" s="34">
        <v>29557</v>
      </c>
      <c r="B2721" s="35">
        <v>1</v>
      </c>
      <c r="C2721" s="35">
        <v>0</v>
      </c>
      <c r="D2721" s="2">
        <f t="shared" si="42"/>
        <v>1</v>
      </c>
    </row>
    <row r="2722" spans="1:4" x14ac:dyDescent="0.3">
      <c r="A2722" s="34">
        <v>29571</v>
      </c>
      <c r="B2722" s="35">
        <v>1</v>
      </c>
      <c r="C2722" s="35">
        <v>0</v>
      </c>
      <c r="D2722" s="2">
        <f t="shared" si="42"/>
        <v>1</v>
      </c>
    </row>
    <row r="2723" spans="1:4" x14ac:dyDescent="0.3">
      <c r="A2723" s="34">
        <v>29576</v>
      </c>
      <c r="B2723" s="35">
        <v>1</v>
      </c>
      <c r="C2723" s="35">
        <v>1</v>
      </c>
      <c r="D2723" s="2">
        <f t="shared" si="42"/>
        <v>2</v>
      </c>
    </row>
    <row r="2724" spans="1:4" x14ac:dyDescent="0.3">
      <c r="A2724" s="34">
        <v>29579</v>
      </c>
      <c r="B2724" s="35">
        <v>1</v>
      </c>
      <c r="C2724" s="35">
        <v>0</v>
      </c>
      <c r="D2724" s="2">
        <f t="shared" si="42"/>
        <v>1</v>
      </c>
    </row>
    <row r="2725" spans="1:4" x14ac:dyDescent="0.3">
      <c r="A2725" s="34">
        <v>29582</v>
      </c>
      <c r="B2725" s="35">
        <v>3</v>
      </c>
      <c r="C2725" s="35">
        <v>1</v>
      </c>
      <c r="D2725" s="2">
        <f t="shared" si="42"/>
        <v>4</v>
      </c>
    </row>
    <row r="2726" spans="1:4" x14ac:dyDescent="0.3">
      <c r="A2726" s="34">
        <v>29583</v>
      </c>
      <c r="B2726" s="35">
        <v>1</v>
      </c>
      <c r="C2726" s="35">
        <v>0</v>
      </c>
      <c r="D2726" s="2">
        <f t="shared" si="42"/>
        <v>1</v>
      </c>
    </row>
    <row r="2727" spans="1:4" x14ac:dyDescent="0.3">
      <c r="A2727" s="34">
        <v>29585</v>
      </c>
      <c r="B2727" s="35">
        <v>1</v>
      </c>
      <c r="C2727" s="35">
        <v>0</v>
      </c>
      <c r="D2727" s="2">
        <f t="shared" si="42"/>
        <v>1</v>
      </c>
    </row>
    <row r="2728" spans="1:4" x14ac:dyDescent="0.3">
      <c r="A2728" s="34">
        <v>29596</v>
      </c>
      <c r="B2728" s="35">
        <v>3</v>
      </c>
      <c r="C2728" s="35">
        <v>0</v>
      </c>
      <c r="D2728" s="2">
        <f t="shared" si="42"/>
        <v>3</v>
      </c>
    </row>
    <row r="2729" spans="1:4" x14ac:dyDescent="0.3">
      <c r="A2729" s="34">
        <v>29612</v>
      </c>
      <c r="B2729" s="35">
        <v>1</v>
      </c>
      <c r="C2729" s="35">
        <v>0</v>
      </c>
      <c r="D2729" s="2">
        <f t="shared" si="42"/>
        <v>1</v>
      </c>
    </row>
    <row r="2730" spans="1:4" x14ac:dyDescent="0.3">
      <c r="A2730" s="34">
        <v>29618</v>
      </c>
      <c r="B2730" s="35">
        <v>2</v>
      </c>
      <c r="C2730" s="35">
        <v>1</v>
      </c>
      <c r="D2730" s="2">
        <f t="shared" si="42"/>
        <v>3</v>
      </c>
    </row>
    <row r="2731" spans="1:4" x14ac:dyDescent="0.3">
      <c r="A2731" s="34">
        <v>29632</v>
      </c>
      <c r="B2731" s="35">
        <v>1</v>
      </c>
      <c r="C2731" s="35">
        <v>0</v>
      </c>
      <c r="D2731" s="2">
        <f t="shared" si="42"/>
        <v>1</v>
      </c>
    </row>
    <row r="2732" spans="1:4" x14ac:dyDescent="0.3">
      <c r="A2732" s="34">
        <v>29641</v>
      </c>
      <c r="B2732" s="35">
        <v>2</v>
      </c>
      <c r="C2732" s="35">
        <v>2</v>
      </c>
      <c r="D2732" s="2">
        <f t="shared" si="42"/>
        <v>4</v>
      </c>
    </row>
    <row r="2733" spans="1:4" x14ac:dyDescent="0.3">
      <c r="A2733" s="34">
        <v>29653</v>
      </c>
      <c r="B2733" s="35">
        <v>1</v>
      </c>
      <c r="C2733" s="35">
        <v>0</v>
      </c>
      <c r="D2733" s="2">
        <f t="shared" si="42"/>
        <v>1</v>
      </c>
    </row>
    <row r="2734" spans="1:4" x14ac:dyDescent="0.3">
      <c r="A2734" s="34">
        <v>29654</v>
      </c>
      <c r="B2734" s="35">
        <v>1</v>
      </c>
      <c r="C2734" s="35">
        <v>0</v>
      </c>
      <c r="D2734" s="2">
        <f t="shared" si="42"/>
        <v>1</v>
      </c>
    </row>
    <row r="2735" spans="1:4" x14ac:dyDescent="0.3">
      <c r="A2735" s="34">
        <v>29655</v>
      </c>
      <c r="B2735" s="35">
        <v>1</v>
      </c>
      <c r="C2735" s="35">
        <v>0</v>
      </c>
      <c r="D2735" s="2">
        <f t="shared" si="42"/>
        <v>1</v>
      </c>
    </row>
    <row r="2736" spans="1:4" x14ac:dyDescent="0.3">
      <c r="A2736" s="34">
        <v>29665</v>
      </c>
      <c r="B2736" s="35">
        <v>1</v>
      </c>
      <c r="C2736" s="35">
        <v>0</v>
      </c>
      <c r="D2736" s="2">
        <f t="shared" si="42"/>
        <v>1</v>
      </c>
    </row>
    <row r="2737" spans="1:4" x14ac:dyDescent="0.3">
      <c r="A2737" s="34">
        <v>29669</v>
      </c>
      <c r="B2737" s="35">
        <v>1</v>
      </c>
      <c r="C2737" s="35">
        <v>0</v>
      </c>
      <c r="D2737" s="2">
        <f t="shared" si="42"/>
        <v>1</v>
      </c>
    </row>
    <row r="2738" spans="1:4" x14ac:dyDescent="0.3">
      <c r="A2738" s="34">
        <v>29693</v>
      </c>
      <c r="B2738" s="35">
        <v>2</v>
      </c>
      <c r="C2738" s="35">
        <v>0</v>
      </c>
      <c r="D2738" s="2">
        <f t="shared" si="42"/>
        <v>2</v>
      </c>
    </row>
    <row r="2739" spans="1:4" x14ac:dyDescent="0.3">
      <c r="A2739" s="34">
        <v>29694</v>
      </c>
      <c r="B2739" s="35">
        <v>1</v>
      </c>
      <c r="C2739" s="35">
        <v>0</v>
      </c>
      <c r="D2739" s="2">
        <f t="shared" si="42"/>
        <v>1</v>
      </c>
    </row>
    <row r="2740" spans="1:4" x14ac:dyDescent="0.3">
      <c r="A2740" s="34">
        <v>29701</v>
      </c>
      <c r="B2740" s="35">
        <v>1</v>
      </c>
      <c r="C2740" s="35">
        <v>0</v>
      </c>
      <c r="D2740" s="2">
        <f t="shared" si="42"/>
        <v>1</v>
      </c>
    </row>
    <row r="2741" spans="1:4" x14ac:dyDescent="0.3">
      <c r="A2741" s="34">
        <v>29708</v>
      </c>
      <c r="B2741" s="35">
        <v>1</v>
      </c>
      <c r="C2741" s="35">
        <v>0</v>
      </c>
      <c r="D2741" s="2">
        <f t="shared" si="42"/>
        <v>1</v>
      </c>
    </row>
    <row r="2742" spans="1:4" x14ac:dyDescent="0.3">
      <c r="A2742" s="34">
        <v>29713</v>
      </c>
      <c r="B2742" s="35">
        <v>1</v>
      </c>
      <c r="C2742" s="35">
        <v>0</v>
      </c>
      <c r="D2742" s="2">
        <f t="shared" si="42"/>
        <v>1</v>
      </c>
    </row>
    <row r="2743" spans="1:4" x14ac:dyDescent="0.3">
      <c r="A2743" s="34">
        <v>29714</v>
      </c>
      <c r="B2743" s="35">
        <v>1</v>
      </c>
      <c r="C2743" s="35">
        <v>0</v>
      </c>
      <c r="D2743" s="2">
        <f t="shared" si="42"/>
        <v>1</v>
      </c>
    </row>
    <row r="2744" spans="1:4" x14ac:dyDescent="0.3">
      <c r="A2744" s="34">
        <v>29715</v>
      </c>
      <c r="B2744" s="35">
        <v>2</v>
      </c>
      <c r="C2744" s="35">
        <v>0</v>
      </c>
      <c r="D2744" s="2">
        <f t="shared" si="42"/>
        <v>2</v>
      </c>
    </row>
    <row r="2745" spans="1:4" x14ac:dyDescent="0.3">
      <c r="A2745" s="34">
        <v>29718</v>
      </c>
      <c r="B2745" s="35">
        <v>1</v>
      </c>
      <c r="C2745" s="35">
        <v>0</v>
      </c>
      <c r="D2745" s="2">
        <f t="shared" si="42"/>
        <v>1</v>
      </c>
    </row>
    <row r="2746" spans="1:4" x14ac:dyDescent="0.3">
      <c r="A2746" s="34">
        <v>29726</v>
      </c>
      <c r="B2746" s="35">
        <v>1</v>
      </c>
      <c r="C2746" s="35">
        <v>0</v>
      </c>
      <c r="D2746" s="2">
        <f t="shared" si="42"/>
        <v>1</v>
      </c>
    </row>
    <row r="2747" spans="1:4" x14ac:dyDescent="0.3">
      <c r="A2747" s="34">
        <v>29767</v>
      </c>
      <c r="B2747" s="35">
        <v>1</v>
      </c>
      <c r="C2747" s="35">
        <v>0</v>
      </c>
      <c r="D2747" s="2">
        <f t="shared" si="42"/>
        <v>1</v>
      </c>
    </row>
    <row r="2748" spans="1:4" x14ac:dyDescent="0.3">
      <c r="A2748" s="34">
        <v>29773</v>
      </c>
      <c r="B2748" s="35">
        <v>1</v>
      </c>
      <c r="C2748" s="35">
        <v>0</v>
      </c>
      <c r="D2748" s="2">
        <f t="shared" si="42"/>
        <v>1</v>
      </c>
    </row>
    <row r="2749" spans="1:4" x14ac:dyDescent="0.3">
      <c r="A2749" s="34">
        <v>29778</v>
      </c>
      <c r="B2749" s="35">
        <v>2</v>
      </c>
      <c r="C2749" s="35">
        <v>0</v>
      </c>
      <c r="D2749" s="2">
        <f t="shared" si="42"/>
        <v>2</v>
      </c>
    </row>
    <row r="2750" spans="1:4" x14ac:dyDescent="0.3">
      <c r="A2750" s="34">
        <v>29784</v>
      </c>
      <c r="B2750" s="35">
        <v>1</v>
      </c>
      <c r="C2750" s="35">
        <v>0</v>
      </c>
      <c r="D2750" s="2">
        <f t="shared" si="42"/>
        <v>1</v>
      </c>
    </row>
    <row r="2751" spans="1:4" x14ac:dyDescent="0.3">
      <c r="A2751" s="34">
        <v>29786</v>
      </c>
      <c r="B2751" s="35">
        <v>1</v>
      </c>
      <c r="C2751" s="35">
        <v>0</v>
      </c>
      <c r="D2751" s="2">
        <f t="shared" si="42"/>
        <v>1</v>
      </c>
    </row>
    <row r="2752" spans="1:4" x14ac:dyDescent="0.3">
      <c r="A2752" s="34">
        <v>29787</v>
      </c>
      <c r="B2752" s="35">
        <v>1</v>
      </c>
      <c r="C2752" s="35">
        <v>0</v>
      </c>
      <c r="D2752" s="2">
        <f t="shared" si="42"/>
        <v>1</v>
      </c>
    </row>
    <row r="2753" spans="1:4" x14ac:dyDescent="0.3">
      <c r="A2753" s="34">
        <v>29788</v>
      </c>
      <c r="B2753" s="35">
        <v>1</v>
      </c>
      <c r="C2753" s="35">
        <v>0</v>
      </c>
      <c r="D2753" s="2">
        <f t="shared" si="42"/>
        <v>1</v>
      </c>
    </row>
    <row r="2754" spans="1:4" x14ac:dyDescent="0.3">
      <c r="A2754" s="34">
        <v>29791</v>
      </c>
      <c r="B2754" s="35">
        <v>1</v>
      </c>
      <c r="C2754" s="35">
        <v>0</v>
      </c>
      <c r="D2754" s="2">
        <f t="shared" si="42"/>
        <v>1</v>
      </c>
    </row>
    <row r="2755" spans="1:4" x14ac:dyDescent="0.3">
      <c r="A2755" s="34">
        <v>29792</v>
      </c>
      <c r="B2755" s="35">
        <v>1</v>
      </c>
      <c r="C2755" s="35">
        <v>0</v>
      </c>
      <c r="D2755" s="2">
        <f t="shared" ref="D2755:D2818" si="43">B2755+C2755</f>
        <v>1</v>
      </c>
    </row>
    <row r="2756" spans="1:4" x14ac:dyDescent="0.3">
      <c r="A2756" s="34">
        <v>29794</v>
      </c>
      <c r="B2756" s="35">
        <v>2</v>
      </c>
      <c r="C2756" s="35">
        <v>0</v>
      </c>
      <c r="D2756" s="2">
        <f t="shared" si="43"/>
        <v>2</v>
      </c>
    </row>
    <row r="2757" spans="1:4" x14ac:dyDescent="0.3">
      <c r="A2757" s="34">
        <v>29797</v>
      </c>
      <c r="B2757" s="35">
        <v>1</v>
      </c>
      <c r="C2757" s="35">
        <v>0</v>
      </c>
      <c r="D2757" s="2">
        <f t="shared" si="43"/>
        <v>1</v>
      </c>
    </row>
    <row r="2758" spans="1:4" x14ac:dyDescent="0.3">
      <c r="A2758" s="34">
        <v>29809</v>
      </c>
      <c r="B2758" s="35">
        <v>2</v>
      </c>
      <c r="C2758" s="35">
        <v>1</v>
      </c>
      <c r="D2758" s="2">
        <f t="shared" si="43"/>
        <v>3</v>
      </c>
    </row>
    <row r="2759" spans="1:4" x14ac:dyDescent="0.3">
      <c r="A2759" s="34">
        <v>29810</v>
      </c>
      <c r="B2759" s="35">
        <v>1</v>
      </c>
      <c r="C2759" s="35">
        <v>0</v>
      </c>
      <c r="D2759" s="2">
        <f t="shared" si="43"/>
        <v>1</v>
      </c>
    </row>
    <row r="2760" spans="1:4" x14ac:dyDescent="0.3">
      <c r="A2760" s="34">
        <v>29812</v>
      </c>
      <c r="B2760" s="35">
        <v>1</v>
      </c>
      <c r="C2760" s="35">
        <v>1</v>
      </c>
      <c r="D2760" s="2">
        <f t="shared" si="43"/>
        <v>2</v>
      </c>
    </row>
    <row r="2761" spans="1:4" x14ac:dyDescent="0.3">
      <c r="A2761" s="34">
        <v>29814</v>
      </c>
      <c r="B2761" s="35">
        <v>1</v>
      </c>
      <c r="C2761" s="35">
        <v>0</v>
      </c>
      <c r="D2761" s="2">
        <f t="shared" si="43"/>
        <v>1</v>
      </c>
    </row>
    <row r="2762" spans="1:4" x14ac:dyDescent="0.3">
      <c r="A2762" s="34">
        <v>29819</v>
      </c>
      <c r="B2762" s="35">
        <v>1</v>
      </c>
      <c r="C2762" s="35">
        <v>0</v>
      </c>
      <c r="D2762" s="2">
        <f t="shared" si="43"/>
        <v>1</v>
      </c>
    </row>
    <row r="2763" spans="1:4" x14ac:dyDescent="0.3">
      <c r="A2763" s="34">
        <v>29823</v>
      </c>
      <c r="B2763" s="35">
        <v>1</v>
      </c>
      <c r="C2763" s="35">
        <v>0</v>
      </c>
      <c r="D2763" s="2">
        <f t="shared" si="43"/>
        <v>1</v>
      </c>
    </row>
    <row r="2764" spans="1:4" x14ac:dyDescent="0.3">
      <c r="A2764" s="34">
        <v>29825</v>
      </c>
      <c r="B2764" s="35">
        <v>1</v>
      </c>
      <c r="C2764" s="35">
        <v>1</v>
      </c>
      <c r="D2764" s="2">
        <f t="shared" si="43"/>
        <v>2</v>
      </c>
    </row>
    <row r="2765" spans="1:4" x14ac:dyDescent="0.3">
      <c r="A2765" s="34">
        <v>29831</v>
      </c>
      <c r="B2765" s="35">
        <v>1</v>
      </c>
      <c r="C2765" s="35">
        <v>0</v>
      </c>
      <c r="D2765" s="2">
        <f t="shared" si="43"/>
        <v>1</v>
      </c>
    </row>
    <row r="2766" spans="1:4" x14ac:dyDescent="0.3">
      <c r="A2766" s="34">
        <v>29863</v>
      </c>
      <c r="B2766" s="35">
        <v>1</v>
      </c>
      <c r="C2766" s="35">
        <v>0</v>
      </c>
      <c r="D2766" s="2">
        <f t="shared" si="43"/>
        <v>1</v>
      </c>
    </row>
    <row r="2767" spans="1:4" x14ac:dyDescent="0.3">
      <c r="A2767" s="34">
        <v>29881</v>
      </c>
      <c r="B2767" s="35">
        <v>1</v>
      </c>
      <c r="C2767" s="35">
        <v>0</v>
      </c>
      <c r="D2767" s="2">
        <f t="shared" si="43"/>
        <v>1</v>
      </c>
    </row>
    <row r="2768" spans="1:4" x14ac:dyDescent="0.3">
      <c r="A2768" s="34">
        <v>29891</v>
      </c>
      <c r="B2768" s="35">
        <v>1</v>
      </c>
      <c r="C2768" s="35">
        <v>0</v>
      </c>
      <c r="D2768" s="2">
        <f t="shared" si="43"/>
        <v>1</v>
      </c>
    </row>
    <row r="2769" spans="1:4" x14ac:dyDescent="0.3">
      <c r="A2769" s="34">
        <v>29892</v>
      </c>
      <c r="B2769" s="35">
        <v>1</v>
      </c>
      <c r="C2769" s="35">
        <v>1</v>
      </c>
      <c r="D2769" s="2">
        <f t="shared" si="43"/>
        <v>2</v>
      </c>
    </row>
    <row r="2770" spans="1:4" x14ac:dyDescent="0.3">
      <c r="A2770" s="34">
        <v>29894</v>
      </c>
      <c r="B2770" s="35">
        <v>1</v>
      </c>
      <c r="C2770" s="35">
        <v>0</v>
      </c>
      <c r="D2770" s="2">
        <f t="shared" si="43"/>
        <v>1</v>
      </c>
    </row>
    <row r="2771" spans="1:4" x14ac:dyDescent="0.3">
      <c r="A2771" s="34">
        <v>29896</v>
      </c>
      <c r="B2771" s="35">
        <v>1</v>
      </c>
      <c r="C2771" s="35">
        <v>0</v>
      </c>
      <c r="D2771" s="2">
        <f t="shared" si="43"/>
        <v>1</v>
      </c>
    </row>
    <row r="2772" spans="1:4" x14ac:dyDescent="0.3">
      <c r="A2772" s="34">
        <v>29899</v>
      </c>
      <c r="B2772" s="35">
        <v>3</v>
      </c>
      <c r="C2772" s="35">
        <v>0</v>
      </c>
      <c r="D2772" s="2">
        <f t="shared" si="43"/>
        <v>3</v>
      </c>
    </row>
    <row r="2773" spans="1:4" x14ac:dyDescent="0.3">
      <c r="A2773" s="34">
        <v>29905</v>
      </c>
      <c r="B2773" s="35">
        <v>1</v>
      </c>
      <c r="C2773" s="35">
        <v>0</v>
      </c>
      <c r="D2773" s="2">
        <f t="shared" si="43"/>
        <v>1</v>
      </c>
    </row>
    <row r="2774" spans="1:4" x14ac:dyDescent="0.3">
      <c r="A2774" s="34">
        <v>29911</v>
      </c>
      <c r="B2774" s="35">
        <v>1</v>
      </c>
      <c r="C2774" s="35">
        <v>0</v>
      </c>
      <c r="D2774" s="2">
        <f t="shared" si="43"/>
        <v>1</v>
      </c>
    </row>
    <row r="2775" spans="1:4" x14ac:dyDescent="0.3">
      <c r="A2775" s="34">
        <v>29917</v>
      </c>
      <c r="B2775" s="35">
        <v>1</v>
      </c>
      <c r="C2775" s="35">
        <v>0</v>
      </c>
      <c r="D2775" s="2">
        <f t="shared" si="43"/>
        <v>1</v>
      </c>
    </row>
    <row r="2776" spans="1:4" x14ac:dyDescent="0.3">
      <c r="A2776" s="34">
        <v>29919</v>
      </c>
      <c r="B2776" s="35">
        <v>3</v>
      </c>
      <c r="C2776" s="35">
        <v>2</v>
      </c>
      <c r="D2776" s="2">
        <f t="shared" si="43"/>
        <v>5</v>
      </c>
    </row>
    <row r="2777" spans="1:4" x14ac:dyDescent="0.3">
      <c r="A2777" s="34">
        <v>29923</v>
      </c>
      <c r="B2777" s="35">
        <v>1</v>
      </c>
      <c r="C2777" s="35">
        <v>0</v>
      </c>
      <c r="D2777" s="2">
        <f t="shared" si="43"/>
        <v>1</v>
      </c>
    </row>
    <row r="2778" spans="1:4" x14ac:dyDescent="0.3">
      <c r="A2778" s="34">
        <v>29925</v>
      </c>
      <c r="B2778" s="35">
        <v>2</v>
      </c>
      <c r="C2778" s="35">
        <v>2</v>
      </c>
      <c r="D2778" s="2">
        <f t="shared" si="43"/>
        <v>4</v>
      </c>
    </row>
    <row r="2779" spans="1:4" x14ac:dyDescent="0.3">
      <c r="A2779" s="34">
        <v>29941</v>
      </c>
      <c r="B2779" s="35">
        <v>1</v>
      </c>
      <c r="C2779" s="35">
        <v>1</v>
      </c>
      <c r="D2779" s="2">
        <f t="shared" si="43"/>
        <v>2</v>
      </c>
    </row>
    <row r="2780" spans="1:4" x14ac:dyDescent="0.3">
      <c r="A2780" s="34">
        <v>29949</v>
      </c>
      <c r="B2780" s="35">
        <v>2</v>
      </c>
      <c r="C2780" s="35">
        <v>2</v>
      </c>
      <c r="D2780" s="2">
        <f t="shared" si="43"/>
        <v>4</v>
      </c>
    </row>
    <row r="2781" spans="1:4" x14ac:dyDescent="0.3">
      <c r="A2781" s="34">
        <v>29954</v>
      </c>
      <c r="B2781" s="35">
        <v>1</v>
      </c>
      <c r="C2781" s="35">
        <v>0</v>
      </c>
      <c r="D2781" s="2">
        <f t="shared" si="43"/>
        <v>1</v>
      </c>
    </row>
    <row r="2782" spans="1:4" x14ac:dyDescent="0.3">
      <c r="A2782" s="34">
        <v>29955</v>
      </c>
      <c r="B2782" s="35">
        <v>1</v>
      </c>
      <c r="C2782" s="35">
        <v>0</v>
      </c>
      <c r="D2782" s="2">
        <f t="shared" si="43"/>
        <v>1</v>
      </c>
    </row>
    <row r="2783" spans="1:4" x14ac:dyDescent="0.3">
      <c r="A2783" s="34">
        <v>29959</v>
      </c>
      <c r="B2783" s="35">
        <v>1</v>
      </c>
      <c r="C2783" s="35">
        <v>0</v>
      </c>
      <c r="D2783" s="2">
        <f t="shared" si="43"/>
        <v>1</v>
      </c>
    </row>
    <row r="2784" spans="1:4" x14ac:dyDescent="0.3">
      <c r="A2784" s="34">
        <v>29963</v>
      </c>
      <c r="B2784" s="35">
        <v>1</v>
      </c>
      <c r="C2784" s="35">
        <v>1</v>
      </c>
      <c r="D2784" s="2">
        <f t="shared" si="43"/>
        <v>2</v>
      </c>
    </row>
    <row r="2785" spans="1:4" x14ac:dyDescent="0.3">
      <c r="A2785" s="34">
        <v>29968</v>
      </c>
      <c r="B2785" s="35">
        <v>1</v>
      </c>
      <c r="C2785" s="35">
        <v>0</v>
      </c>
      <c r="D2785" s="2">
        <f t="shared" si="43"/>
        <v>1</v>
      </c>
    </row>
    <row r="2786" spans="1:4" x14ac:dyDescent="0.3">
      <c r="A2786" s="34">
        <v>29972</v>
      </c>
      <c r="B2786" s="35">
        <v>1</v>
      </c>
      <c r="C2786" s="35">
        <v>1</v>
      </c>
      <c r="D2786" s="2">
        <f t="shared" si="43"/>
        <v>2</v>
      </c>
    </row>
    <row r="2787" spans="1:4" x14ac:dyDescent="0.3">
      <c r="A2787" s="34">
        <v>29973</v>
      </c>
      <c r="B2787" s="35">
        <v>1</v>
      </c>
      <c r="C2787" s="35">
        <v>0</v>
      </c>
      <c r="D2787" s="2">
        <f t="shared" si="43"/>
        <v>1</v>
      </c>
    </row>
    <row r="2788" spans="1:4" x14ac:dyDescent="0.3">
      <c r="A2788" s="34">
        <v>29976</v>
      </c>
      <c r="B2788" s="35">
        <v>2</v>
      </c>
      <c r="C2788" s="35">
        <v>0</v>
      </c>
      <c r="D2788" s="2">
        <f t="shared" si="43"/>
        <v>2</v>
      </c>
    </row>
    <row r="2789" spans="1:4" x14ac:dyDescent="0.3">
      <c r="A2789" s="34">
        <v>29977</v>
      </c>
      <c r="B2789" s="35">
        <v>1</v>
      </c>
      <c r="C2789" s="35">
        <v>0</v>
      </c>
      <c r="D2789" s="2">
        <f t="shared" si="43"/>
        <v>1</v>
      </c>
    </row>
    <row r="2790" spans="1:4" x14ac:dyDescent="0.3">
      <c r="A2790" s="34">
        <v>29980</v>
      </c>
      <c r="B2790" s="35">
        <v>1</v>
      </c>
      <c r="C2790" s="35">
        <v>0</v>
      </c>
      <c r="D2790" s="2">
        <f t="shared" si="43"/>
        <v>1</v>
      </c>
    </row>
    <row r="2791" spans="1:4" x14ac:dyDescent="0.3">
      <c r="A2791" s="34">
        <v>29984</v>
      </c>
      <c r="B2791" s="35">
        <v>1</v>
      </c>
      <c r="C2791" s="35">
        <v>0</v>
      </c>
      <c r="D2791" s="2">
        <f t="shared" si="43"/>
        <v>1</v>
      </c>
    </row>
    <row r="2792" spans="1:4" x14ac:dyDescent="0.3">
      <c r="A2792" s="34">
        <v>29986</v>
      </c>
      <c r="B2792" s="35">
        <v>1</v>
      </c>
      <c r="C2792" s="35">
        <v>0</v>
      </c>
      <c r="D2792" s="2">
        <f t="shared" si="43"/>
        <v>1</v>
      </c>
    </row>
    <row r="2793" spans="1:4" x14ac:dyDescent="0.3">
      <c r="A2793" s="34">
        <v>29987</v>
      </c>
      <c r="B2793" s="35">
        <v>1</v>
      </c>
      <c r="C2793" s="35">
        <v>0</v>
      </c>
      <c r="D2793" s="2">
        <f t="shared" si="43"/>
        <v>1</v>
      </c>
    </row>
    <row r="2794" spans="1:4" x14ac:dyDescent="0.3">
      <c r="A2794" s="34">
        <v>29988</v>
      </c>
      <c r="B2794" s="35">
        <v>2</v>
      </c>
      <c r="C2794" s="35">
        <v>0</v>
      </c>
      <c r="D2794" s="2">
        <f t="shared" si="43"/>
        <v>2</v>
      </c>
    </row>
    <row r="2795" spans="1:4" x14ac:dyDescent="0.3">
      <c r="A2795" s="34">
        <v>29990</v>
      </c>
      <c r="B2795" s="35">
        <v>2</v>
      </c>
      <c r="C2795" s="35">
        <v>2</v>
      </c>
      <c r="D2795" s="2">
        <f t="shared" si="43"/>
        <v>4</v>
      </c>
    </row>
    <row r="2796" spans="1:4" x14ac:dyDescent="0.3">
      <c r="A2796" s="34">
        <v>29995</v>
      </c>
      <c r="B2796" s="35">
        <v>1</v>
      </c>
      <c r="C2796" s="35">
        <v>0</v>
      </c>
      <c r="D2796" s="2">
        <f t="shared" si="43"/>
        <v>1</v>
      </c>
    </row>
    <row r="2797" spans="1:4" x14ac:dyDescent="0.3">
      <c r="A2797" s="34">
        <v>29998</v>
      </c>
      <c r="B2797" s="35">
        <v>2</v>
      </c>
      <c r="C2797" s="35">
        <v>1</v>
      </c>
      <c r="D2797" s="2">
        <f t="shared" si="43"/>
        <v>3</v>
      </c>
    </row>
    <row r="2798" spans="1:4" x14ac:dyDescent="0.3">
      <c r="A2798" s="34">
        <v>30001</v>
      </c>
      <c r="B2798" s="35">
        <v>1</v>
      </c>
      <c r="C2798" s="35">
        <v>0</v>
      </c>
      <c r="D2798" s="2">
        <f t="shared" si="43"/>
        <v>1</v>
      </c>
    </row>
    <row r="2799" spans="1:4" x14ac:dyDescent="0.3">
      <c r="A2799" s="34">
        <v>30002</v>
      </c>
      <c r="B2799" s="35">
        <v>1</v>
      </c>
      <c r="C2799" s="35">
        <v>0</v>
      </c>
      <c r="D2799" s="2">
        <f t="shared" si="43"/>
        <v>1</v>
      </c>
    </row>
    <row r="2800" spans="1:4" x14ac:dyDescent="0.3">
      <c r="A2800" s="34">
        <v>30004</v>
      </c>
      <c r="B2800" s="35">
        <v>1</v>
      </c>
      <c r="C2800" s="35">
        <v>0</v>
      </c>
      <c r="D2800" s="2">
        <f t="shared" si="43"/>
        <v>1</v>
      </c>
    </row>
    <row r="2801" spans="1:4" x14ac:dyDescent="0.3">
      <c r="A2801" s="34">
        <v>30024</v>
      </c>
      <c r="B2801" s="35">
        <v>1</v>
      </c>
      <c r="C2801" s="35">
        <v>0</v>
      </c>
      <c r="D2801" s="2">
        <f t="shared" si="43"/>
        <v>1</v>
      </c>
    </row>
    <row r="2802" spans="1:4" x14ac:dyDescent="0.3">
      <c r="A2802" s="34">
        <v>30026</v>
      </c>
      <c r="B2802" s="35">
        <v>1</v>
      </c>
      <c r="C2802" s="35">
        <v>1</v>
      </c>
      <c r="D2802" s="2">
        <f t="shared" si="43"/>
        <v>2</v>
      </c>
    </row>
    <row r="2803" spans="1:4" x14ac:dyDescent="0.3">
      <c r="A2803" s="34">
        <v>30030</v>
      </c>
      <c r="B2803" s="35">
        <v>1</v>
      </c>
      <c r="C2803" s="35">
        <v>0</v>
      </c>
      <c r="D2803" s="2">
        <f t="shared" si="43"/>
        <v>1</v>
      </c>
    </row>
    <row r="2804" spans="1:4" x14ac:dyDescent="0.3">
      <c r="A2804" s="34">
        <v>30038</v>
      </c>
      <c r="B2804" s="35">
        <v>1</v>
      </c>
      <c r="C2804" s="35">
        <v>0</v>
      </c>
      <c r="D2804" s="2">
        <f t="shared" si="43"/>
        <v>1</v>
      </c>
    </row>
    <row r="2805" spans="1:4" x14ac:dyDescent="0.3">
      <c r="A2805" s="34">
        <v>30051</v>
      </c>
      <c r="B2805" s="35">
        <v>1</v>
      </c>
      <c r="C2805" s="35">
        <v>0</v>
      </c>
      <c r="D2805" s="2">
        <f t="shared" si="43"/>
        <v>1</v>
      </c>
    </row>
    <row r="2806" spans="1:4" x14ac:dyDescent="0.3">
      <c r="A2806" s="34">
        <v>30057</v>
      </c>
      <c r="B2806" s="35">
        <v>1</v>
      </c>
      <c r="C2806" s="35">
        <v>0</v>
      </c>
      <c r="D2806" s="2">
        <f t="shared" si="43"/>
        <v>1</v>
      </c>
    </row>
    <row r="2807" spans="1:4" x14ac:dyDescent="0.3">
      <c r="A2807" s="34">
        <v>30058</v>
      </c>
      <c r="B2807" s="35">
        <v>1</v>
      </c>
      <c r="C2807" s="35">
        <v>0</v>
      </c>
      <c r="D2807" s="2">
        <f t="shared" si="43"/>
        <v>1</v>
      </c>
    </row>
    <row r="2808" spans="1:4" x14ac:dyDescent="0.3">
      <c r="A2808" s="34">
        <v>30072</v>
      </c>
      <c r="B2808" s="35">
        <v>1</v>
      </c>
      <c r="C2808" s="35">
        <v>0</v>
      </c>
      <c r="D2808" s="2">
        <f t="shared" si="43"/>
        <v>1</v>
      </c>
    </row>
    <row r="2809" spans="1:4" x14ac:dyDescent="0.3">
      <c r="A2809" s="34">
        <v>30081</v>
      </c>
      <c r="B2809" s="35">
        <v>2</v>
      </c>
      <c r="C2809" s="35">
        <v>0</v>
      </c>
      <c r="D2809" s="2">
        <f t="shared" si="43"/>
        <v>2</v>
      </c>
    </row>
    <row r="2810" spans="1:4" x14ac:dyDescent="0.3">
      <c r="A2810" s="34">
        <v>30082</v>
      </c>
      <c r="B2810" s="35">
        <v>1</v>
      </c>
      <c r="C2810" s="35">
        <v>0</v>
      </c>
      <c r="D2810" s="2">
        <f t="shared" si="43"/>
        <v>1</v>
      </c>
    </row>
    <row r="2811" spans="1:4" x14ac:dyDescent="0.3">
      <c r="A2811" s="34">
        <v>30091</v>
      </c>
      <c r="B2811" s="35">
        <v>1</v>
      </c>
      <c r="C2811" s="35">
        <v>0</v>
      </c>
      <c r="D2811" s="2">
        <f t="shared" si="43"/>
        <v>1</v>
      </c>
    </row>
    <row r="2812" spans="1:4" x14ac:dyDescent="0.3">
      <c r="A2812" s="34">
        <v>30094</v>
      </c>
      <c r="B2812" s="35">
        <v>1</v>
      </c>
      <c r="C2812" s="35">
        <v>0</v>
      </c>
      <c r="D2812" s="2">
        <f t="shared" si="43"/>
        <v>1</v>
      </c>
    </row>
    <row r="2813" spans="1:4" x14ac:dyDescent="0.3">
      <c r="A2813" s="34">
        <v>30101</v>
      </c>
      <c r="B2813" s="35">
        <v>1</v>
      </c>
      <c r="C2813" s="35">
        <v>0</v>
      </c>
      <c r="D2813" s="2">
        <f t="shared" si="43"/>
        <v>1</v>
      </c>
    </row>
    <row r="2814" spans="1:4" x14ac:dyDescent="0.3">
      <c r="A2814" s="34">
        <v>30104</v>
      </c>
      <c r="B2814" s="35">
        <v>1</v>
      </c>
      <c r="C2814" s="35">
        <v>1</v>
      </c>
      <c r="D2814" s="2">
        <f t="shared" si="43"/>
        <v>2</v>
      </c>
    </row>
    <row r="2815" spans="1:4" x14ac:dyDescent="0.3">
      <c r="A2815" s="34">
        <v>30105</v>
      </c>
      <c r="B2815" s="35">
        <v>2</v>
      </c>
      <c r="C2815" s="35">
        <v>1</v>
      </c>
      <c r="D2815" s="2">
        <f t="shared" si="43"/>
        <v>3</v>
      </c>
    </row>
    <row r="2816" spans="1:4" x14ac:dyDescent="0.3">
      <c r="A2816" s="34">
        <v>30106</v>
      </c>
      <c r="B2816" s="35">
        <v>1</v>
      </c>
      <c r="C2816" s="35">
        <v>0</v>
      </c>
      <c r="D2816" s="2">
        <f t="shared" si="43"/>
        <v>1</v>
      </c>
    </row>
    <row r="2817" spans="1:4" x14ac:dyDescent="0.3">
      <c r="A2817" s="34">
        <v>30107</v>
      </c>
      <c r="B2817" s="35">
        <v>1</v>
      </c>
      <c r="C2817" s="35">
        <v>1</v>
      </c>
      <c r="D2817" s="2">
        <f t="shared" si="43"/>
        <v>2</v>
      </c>
    </row>
    <row r="2818" spans="1:4" x14ac:dyDescent="0.3">
      <c r="A2818" s="34">
        <v>30108</v>
      </c>
      <c r="B2818" s="35">
        <v>1</v>
      </c>
      <c r="C2818" s="35">
        <v>0</v>
      </c>
      <c r="D2818" s="2">
        <f t="shared" si="43"/>
        <v>1</v>
      </c>
    </row>
    <row r="2819" spans="1:4" x14ac:dyDescent="0.3">
      <c r="A2819" s="34">
        <v>30114</v>
      </c>
      <c r="B2819" s="35">
        <v>2</v>
      </c>
      <c r="C2819" s="35">
        <v>0</v>
      </c>
      <c r="D2819" s="2">
        <f t="shared" ref="D2819:D2882" si="44">B2819+C2819</f>
        <v>2</v>
      </c>
    </row>
    <row r="2820" spans="1:4" x14ac:dyDescent="0.3">
      <c r="A2820" s="34">
        <v>30117</v>
      </c>
      <c r="B2820" s="35">
        <v>2</v>
      </c>
      <c r="C2820" s="35">
        <v>1</v>
      </c>
      <c r="D2820" s="2">
        <f t="shared" si="44"/>
        <v>3</v>
      </c>
    </row>
    <row r="2821" spans="1:4" x14ac:dyDescent="0.3">
      <c r="A2821" s="34">
        <v>30129</v>
      </c>
      <c r="B2821" s="35">
        <v>1</v>
      </c>
      <c r="C2821" s="35">
        <v>1</v>
      </c>
      <c r="D2821" s="2">
        <f t="shared" si="44"/>
        <v>2</v>
      </c>
    </row>
    <row r="2822" spans="1:4" x14ac:dyDescent="0.3">
      <c r="A2822" s="34">
        <v>30131</v>
      </c>
      <c r="B2822" s="35">
        <v>2</v>
      </c>
      <c r="C2822" s="35">
        <v>2</v>
      </c>
      <c r="D2822" s="2">
        <f t="shared" si="44"/>
        <v>4</v>
      </c>
    </row>
    <row r="2823" spans="1:4" x14ac:dyDescent="0.3">
      <c r="A2823" s="34">
        <v>30149</v>
      </c>
      <c r="B2823" s="35">
        <v>1</v>
      </c>
      <c r="C2823" s="35">
        <v>0</v>
      </c>
      <c r="D2823" s="2">
        <f t="shared" si="44"/>
        <v>1</v>
      </c>
    </row>
    <row r="2824" spans="1:4" x14ac:dyDescent="0.3">
      <c r="A2824" s="34">
        <v>30155</v>
      </c>
      <c r="B2824" s="35">
        <v>1</v>
      </c>
      <c r="C2824" s="35">
        <v>0</v>
      </c>
      <c r="D2824" s="2">
        <f t="shared" si="44"/>
        <v>1</v>
      </c>
    </row>
    <row r="2825" spans="1:4" x14ac:dyDescent="0.3">
      <c r="A2825" s="34">
        <v>30157</v>
      </c>
      <c r="B2825" s="35">
        <v>1</v>
      </c>
      <c r="C2825" s="35">
        <v>0</v>
      </c>
      <c r="D2825" s="2">
        <f t="shared" si="44"/>
        <v>1</v>
      </c>
    </row>
    <row r="2826" spans="1:4" x14ac:dyDescent="0.3">
      <c r="A2826" s="34">
        <v>30160</v>
      </c>
      <c r="B2826" s="35">
        <v>2</v>
      </c>
      <c r="C2826" s="35">
        <v>2</v>
      </c>
      <c r="D2826" s="2">
        <f t="shared" si="44"/>
        <v>4</v>
      </c>
    </row>
    <row r="2827" spans="1:4" x14ac:dyDescent="0.3">
      <c r="A2827" s="34">
        <v>30161</v>
      </c>
      <c r="B2827" s="35">
        <v>1</v>
      </c>
      <c r="C2827" s="35">
        <v>1</v>
      </c>
      <c r="D2827" s="2">
        <f t="shared" si="44"/>
        <v>2</v>
      </c>
    </row>
    <row r="2828" spans="1:4" x14ac:dyDescent="0.3">
      <c r="A2828" s="34">
        <v>30165</v>
      </c>
      <c r="B2828" s="35">
        <v>1</v>
      </c>
      <c r="C2828" s="35">
        <v>0</v>
      </c>
      <c r="D2828" s="2">
        <f t="shared" si="44"/>
        <v>1</v>
      </c>
    </row>
    <row r="2829" spans="1:4" x14ac:dyDescent="0.3">
      <c r="A2829" s="34">
        <v>30168</v>
      </c>
      <c r="B2829" s="35">
        <v>1</v>
      </c>
      <c r="C2829" s="35">
        <v>0</v>
      </c>
      <c r="D2829" s="2">
        <f t="shared" si="44"/>
        <v>1</v>
      </c>
    </row>
    <row r="2830" spans="1:4" x14ac:dyDescent="0.3">
      <c r="A2830" s="34">
        <v>30169</v>
      </c>
      <c r="B2830" s="35">
        <v>1</v>
      </c>
      <c r="C2830" s="35">
        <v>0</v>
      </c>
      <c r="D2830" s="2">
        <f t="shared" si="44"/>
        <v>1</v>
      </c>
    </row>
    <row r="2831" spans="1:4" x14ac:dyDescent="0.3">
      <c r="A2831" s="34">
        <v>30170</v>
      </c>
      <c r="B2831" s="35">
        <v>1</v>
      </c>
      <c r="C2831" s="35">
        <v>0</v>
      </c>
      <c r="D2831" s="2">
        <f t="shared" si="44"/>
        <v>1</v>
      </c>
    </row>
    <row r="2832" spans="1:4" x14ac:dyDescent="0.3">
      <c r="A2832" s="34">
        <v>30178</v>
      </c>
      <c r="B2832" s="35">
        <v>1</v>
      </c>
      <c r="C2832" s="35">
        <v>0</v>
      </c>
      <c r="D2832" s="2">
        <f t="shared" si="44"/>
        <v>1</v>
      </c>
    </row>
    <row r="2833" spans="1:4" x14ac:dyDescent="0.3">
      <c r="A2833" s="34">
        <v>30179</v>
      </c>
      <c r="B2833" s="35">
        <v>1</v>
      </c>
      <c r="C2833" s="35">
        <v>1</v>
      </c>
      <c r="D2833" s="2">
        <f t="shared" si="44"/>
        <v>2</v>
      </c>
    </row>
    <row r="2834" spans="1:4" x14ac:dyDescent="0.3">
      <c r="A2834" s="34">
        <v>30180</v>
      </c>
      <c r="B2834" s="35">
        <v>1</v>
      </c>
      <c r="C2834" s="35">
        <v>1</v>
      </c>
      <c r="D2834" s="2">
        <f t="shared" si="44"/>
        <v>2</v>
      </c>
    </row>
    <row r="2835" spans="1:4" x14ac:dyDescent="0.3">
      <c r="A2835" s="34">
        <v>30185</v>
      </c>
      <c r="B2835" s="35">
        <v>1</v>
      </c>
      <c r="C2835" s="35">
        <v>1</v>
      </c>
      <c r="D2835" s="2">
        <f t="shared" si="44"/>
        <v>2</v>
      </c>
    </row>
    <row r="2836" spans="1:4" x14ac:dyDescent="0.3">
      <c r="A2836" s="34">
        <v>30187</v>
      </c>
      <c r="B2836" s="35">
        <v>1</v>
      </c>
      <c r="C2836" s="35">
        <v>1</v>
      </c>
      <c r="D2836" s="2">
        <f t="shared" si="44"/>
        <v>2</v>
      </c>
    </row>
    <row r="2837" spans="1:4" x14ac:dyDescent="0.3">
      <c r="A2837" s="34">
        <v>30195</v>
      </c>
      <c r="B2837" s="35">
        <v>1</v>
      </c>
      <c r="C2837" s="35">
        <v>1</v>
      </c>
      <c r="D2837" s="2">
        <f t="shared" si="44"/>
        <v>2</v>
      </c>
    </row>
    <row r="2838" spans="1:4" x14ac:dyDescent="0.3">
      <c r="A2838" s="34">
        <v>30201</v>
      </c>
      <c r="B2838" s="35">
        <v>2</v>
      </c>
      <c r="C2838" s="35">
        <v>1</v>
      </c>
      <c r="D2838" s="2">
        <f t="shared" si="44"/>
        <v>3</v>
      </c>
    </row>
    <row r="2839" spans="1:4" x14ac:dyDescent="0.3">
      <c r="A2839" s="34">
        <v>30202</v>
      </c>
      <c r="B2839" s="35">
        <v>2</v>
      </c>
      <c r="C2839" s="35">
        <v>1</v>
      </c>
      <c r="D2839" s="2">
        <f t="shared" si="44"/>
        <v>3</v>
      </c>
    </row>
    <row r="2840" spans="1:4" x14ac:dyDescent="0.3">
      <c r="A2840" s="34">
        <v>30204</v>
      </c>
      <c r="B2840" s="35">
        <v>1</v>
      </c>
      <c r="C2840" s="35">
        <v>0</v>
      </c>
      <c r="D2840" s="2">
        <f t="shared" si="44"/>
        <v>1</v>
      </c>
    </row>
    <row r="2841" spans="1:4" x14ac:dyDescent="0.3">
      <c r="A2841" s="34">
        <v>30207</v>
      </c>
      <c r="B2841" s="35">
        <v>1</v>
      </c>
      <c r="C2841" s="35">
        <v>0</v>
      </c>
      <c r="D2841" s="2">
        <f t="shared" si="44"/>
        <v>1</v>
      </c>
    </row>
    <row r="2842" spans="1:4" x14ac:dyDescent="0.3">
      <c r="A2842" s="34">
        <v>30209</v>
      </c>
      <c r="B2842" s="35">
        <v>1</v>
      </c>
      <c r="C2842" s="35">
        <v>0</v>
      </c>
      <c r="D2842" s="2">
        <f t="shared" si="44"/>
        <v>1</v>
      </c>
    </row>
    <row r="2843" spans="1:4" x14ac:dyDescent="0.3">
      <c r="A2843" s="34">
        <v>30212</v>
      </c>
      <c r="B2843" s="35">
        <v>1</v>
      </c>
      <c r="C2843" s="35">
        <v>0</v>
      </c>
      <c r="D2843" s="2">
        <f t="shared" si="44"/>
        <v>1</v>
      </c>
    </row>
    <row r="2844" spans="1:4" x14ac:dyDescent="0.3">
      <c r="A2844" s="34">
        <v>30214</v>
      </c>
      <c r="B2844" s="35">
        <v>1</v>
      </c>
      <c r="C2844" s="35">
        <v>0</v>
      </c>
      <c r="D2844" s="2">
        <f t="shared" si="44"/>
        <v>1</v>
      </c>
    </row>
    <row r="2845" spans="1:4" x14ac:dyDescent="0.3">
      <c r="A2845" s="34">
        <v>30218</v>
      </c>
      <c r="B2845" s="35">
        <v>1</v>
      </c>
      <c r="C2845" s="35">
        <v>0</v>
      </c>
      <c r="D2845" s="2">
        <f t="shared" si="44"/>
        <v>1</v>
      </c>
    </row>
    <row r="2846" spans="1:4" x14ac:dyDescent="0.3">
      <c r="A2846" s="34">
        <v>30234</v>
      </c>
      <c r="B2846" s="35">
        <v>1</v>
      </c>
      <c r="C2846" s="35">
        <v>0</v>
      </c>
      <c r="D2846" s="2">
        <f t="shared" si="44"/>
        <v>1</v>
      </c>
    </row>
    <row r="2847" spans="1:4" x14ac:dyDescent="0.3">
      <c r="A2847" s="34">
        <v>30238</v>
      </c>
      <c r="B2847" s="35">
        <v>1</v>
      </c>
      <c r="C2847" s="35">
        <v>0</v>
      </c>
      <c r="D2847" s="2">
        <f t="shared" si="44"/>
        <v>1</v>
      </c>
    </row>
    <row r="2848" spans="1:4" x14ac:dyDescent="0.3">
      <c r="A2848" s="34">
        <v>30261</v>
      </c>
      <c r="B2848" s="35">
        <v>1</v>
      </c>
      <c r="C2848" s="35">
        <v>0</v>
      </c>
      <c r="D2848" s="2">
        <f t="shared" si="44"/>
        <v>1</v>
      </c>
    </row>
    <row r="2849" spans="1:4" x14ac:dyDescent="0.3">
      <c r="A2849" s="34">
        <v>30264</v>
      </c>
      <c r="B2849" s="35">
        <v>1</v>
      </c>
      <c r="C2849" s="35">
        <v>0</v>
      </c>
      <c r="D2849" s="2">
        <f t="shared" si="44"/>
        <v>1</v>
      </c>
    </row>
    <row r="2850" spans="1:4" x14ac:dyDescent="0.3">
      <c r="A2850" s="34">
        <v>30265</v>
      </c>
      <c r="B2850" s="35">
        <v>1</v>
      </c>
      <c r="C2850" s="35">
        <v>0</v>
      </c>
      <c r="D2850" s="2">
        <f t="shared" si="44"/>
        <v>1</v>
      </c>
    </row>
    <row r="2851" spans="1:4" x14ac:dyDescent="0.3">
      <c r="A2851" s="34">
        <v>30273</v>
      </c>
      <c r="B2851" s="35">
        <v>1</v>
      </c>
      <c r="C2851" s="35">
        <v>0</v>
      </c>
      <c r="D2851" s="2">
        <f t="shared" si="44"/>
        <v>1</v>
      </c>
    </row>
    <row r="2852" spans="1:4" x14ac:dyDescent="0.3">
      <c r="A2852" s="34">
        <v>30280</v>
      </c>
      <c r="B2852" s="35">
        <v>1</v>
      </c>
      <c r="C2852" s="35">
        <v>0</v>
      </c>
      <c r="D2852" s="2">
        <f t="shared" si="44"/>
        <v>1</v>
      </c>
    </row>
    <row r="2853" spans="1:4" x14ac:dyDescent="0.3">
      <c r="A2853" s="34">
        <v>30285</v>
      </c>
      <c r="B2853" s="35">
        <v>1</v>
      </c>
      <c r="C2853" s="35">
        <v>0</v>
      </c>
      <c r="D2853" s="2">
        <f t="shared" si="44"/>
        <v>1</v>
      </c>
    </row>
    <row r="2854" spans="1:4" x14ac:dyDescent="0.3">
      <c r="A2854" s="34">
        <v>30293</v>
      </c>
      <c r="B2854" s="35">
        <v>1</v>
      </c>
      <c r="C2854" s="35">
        <v>0</v>
      </c>
      <c r="D2854" s="2">
        <f t="shared" si="44"/>
        <v>1</v>
      </c>
    </row>
    <row r="2855" spans="1:4" x14ac:dyDescent="0.3">
      <c r="A2855" s="34">
        <v>30295</v>
      </c>
      <c r="B2855" s="35">
        <v>2</v>
      </c>
      <c r="C2855" s="35">
        <v>0</v>
      </c>
      <c r="D2855" s="2">
        <f t="shared" si="44"/>
        <v>2</v>
      </c>
    </row>
    <row r="2856" spans="1:4" x14ac:dyDescent="0.3">
      <c r="A2856" s="34">
        <v>30298</v>
      </c>
      <c r="B2856" s="35">
        <v>1</v>
      </c>
      <c r="C2856" s="35">
        <v>0</v>
      </c>
      <c r="D2856" s="2">
        <f t="shared" si="44"/>
        <v>1</v>
      </c>
    </row>
    <row r="2857" spans="1:4" x14ac:dyDescent="0.3">
      <c r="A2857" s="34">
        <v>30299</v>
      </c>
      <c r="B2857" s="35">
        <v>1</v>
      </c>
      <c r="C2857" s="35">
        <v>0</v>
      </c>
      <c r="D2857" s="2">
        <f t="shared" si="44"/>
        <v>1</v>
      </c>
    </row>
    <row r="2858" spans="1:4" x14ac:dyDescent="0.3">
      <c r="A2858" s="34">
        <v>30300</v>
      </c>
      <c r="B2858" s="35">
        <v>1</v>
      </c>
      <c r="C2858" s="35">
        <v>0</v>
      </c>
      <c r="D2858" s="2">
        <f t="shared" si="44"/>
        <v>1</v>
      </c>
    </row>
    <row r="2859" spans="1:4" x14ac:dyDescent="0.3">
      <c r="A2859" s="34">
        <v>30301</v>
      </c>
      <c r="B2859" s="35">
        <v>1</v>
      </c>
      <c r="C2859" s="35">
        <v>0</v>
      </c>
      <c r="D2859" s="2">
        <f t="shared" si="44"/>
        <v>1</v>
      </c>
    </row>
    <row r="2860" spans="1:4" x14ac:dyDescent="0.3">
      <c r="A2860" s="34">
        <v>30304</v>
      </c>
      <c r="B2860" s="35">
        <v>1</v>
      </c>
      <c r="C2860" s="35">
        <v>0</v>
      </c>
      <c r="D2860" s="2">
        <f t="shared" si="44"/>
        <v>1</v>
      </c>
    </row>
    <row r="2861" spans="1:4" x14ac:dyDescent="0.3">
      <c r="A2861" s="34">
        <v>30309</v>
      </c>
      <c r="B2861" s="35">
        <v>1</v>
      </c>
      <c r="C2861" s="35">
        <v>1</v>
      </c>
      <c r="D2861" s="2">
        <f t="shared" si="44"/>
        <v>2</v>
      </c>
    </row>
    <row r="2862" spans="1:4" x14ac:dyDescent="0.3">
      <c r="A2862" s="34">
        <v>30310</v>
      </c>
      <c r="B2862" s="35">
        <v>1</v>
      </c>
      <c r="C2862" s="35">
        <v>0</v>
      </c>
      <c r="D2862" s="2">
        <f t="shared" si="44"/>
        <v>1</v>
      </c>
    </row>
    <row r="2863" spans="1:4" x14ac:dyDescent="0.3">
      <c r="A2863" s="34">
        <v>30313</v>
      </c>
      <c r="B2863" s="35">
        <v>1</v>
      </c>
      <c r="C2863" s="35">
        <v>1</v>
      </c>
      <c r="D2863" s="2">
        <f t="shared" si="44"/>
        <v>2</v>
      </c>
    </row>
    <row r="2864" spans="1:4" x14ac:dyDescent="0.3">
      <c r="A2864" s="34">
        <v>30315</v>
      </c>
      <c r="B2864" s="35">
        <v>1</v>
      </c>
      <c r="C2864" s="35">
        <v>0</v>
      </c>
      <c r="D2864" s="2">
        <f t="shared" si="44"/>
        <v>1</v>
      </c>
    </row>
    <row r="2865" spans="1:4" x14ac:dyDescent="0.3">
      <c r="A2865" s="34">
        <v>30321</v>
      </c>
      <c r="B2865" s="35">
        <v>1</v>
      </c>
      <c r="C2865" s="35">
        <v>0</v>
      </c>
      <c r="D2865" s="2">
        <f t="shared" si="44"/>
        <v>1</v>
      </c>
    </row>
    <row r="2866" spans="1:4" x14ac:dyDescent="0.3">
      <c r="A2866" s="34">
        <v>30324</v>
      </c>
      <c r="B2866" s="35">
        <v>1</v>
      </c>
      <c r="C2866" s="35">
        <v>0</v>
      </c>
      <c r="D2866" s="2">
        <f t="shared" si="44"/>
        <v>1</v>
      </c>
    </row>
    <row r="2867" spans="1:4" x14ac:dyDescent="0.3">
      <c r="A2867" s="34">
        <v>30329</v>
      </c>
      <c r="B2867" s="35">
        <v>1</v>
      </c>
      <c r="C2867" s="35">
        <v>1</v>
      </c>
      <c r="D2867" s="2">
        <f t="shared" si="44"/>
        <v>2</v>
      </c>
    </row>
    <row r="2868" spans="1:4" x14ac:dyDescent="0.3">
      <c r="A2868" s="34">
        <v>30330</v>
      </c>
      <c r="B2868" s="35">
        <v>1</v>
      </c>
      <c r="C2868" s="35">
        <v>0</v>
      </c>
      <c r="D2868" s="2">
        <f t="shared" si="44"/>
        <v>1</v>
      </c>
    </row>
    <row r="2869" spans="1:4" x14ac:dyDescent="0.3">
      <c r="A2869" s="34">
        <v>30332</v>
      </c>
      <c r="B2869" s="35">
        <v>1</v>
      </c>
      <c r="C2869" s="35">
        <v>1</v>
      </c>
      <c r="D2869" s="2">
        <f t="shared" si="44"/>
        <v>2</v>
      </c>
    </row>
    <row r="2870" spans="1:4" x14ac:dyDescent="0.3">
      <c r="A2870" s="34">
        <v>30333</v>
      </c>
      <c r="B2870" s="35">
        <v>1</v>
      </c>
      <c r="C2870" s="35">
        <v>0</v>
      </c>
      <c r="D2870" s="2">
        <f t="shared" si="44"/>
        <v>1</v>
      </c>
    </row>
    <row r="2871" spans="1:4" x14ac:dyDescent="0.3">
      <c r="A2871" s="34">
        <v>30335</v>
      </c>
      <c r="B2871" s="35">
        <v>1</v>
      </c>
      <c r="C2871" s="35">
        <v>0</v>
      </c>
      <c r="D2871" s="2">
        <f t="shared" si="44"/>
        <v>1</v>
      </c>
    </row>
    <row r="2872" spans="1:4" x14ac:dyDescent="0.3">
      <c r="A2872" s="34">
        <v>30336</v>
      </c>
      <c r="B2872" s="35">
        <v>1</v>
      </c>
      <c r="C2872" s="35">
        <v>0</v>
      </c>
      <c r="D2872" s="2">
        <f t="shared" si="44"/>
        <v>1</v>
      </c>
    </row>
    <row r="2873" spans="1:4" x14ac:dyDescent="0.3">
      <c r="A2873" s="34">
        <v>30339</v>
      </c>
      <c r="B2873" s="35">
        <v>1</v>
      </c>
      <c r="C2873" s="35">
        <v>1</v>
      </c>
      <c r="D2873" s="2">
        <f t="shared" si="44"/>
        <v>2</v>
      </c>
    </row>
    <row r="2874" spans="1:4" x14ac:dyDescent="0.3">
      <c r="A2874" s="34">
        <v>30341</v>
      </c>
      <c r="B2874" s="35">
        <v>1</v>
      </c>
      <c r="C2874" s="35">
        <v>0</v>
      </c>
      <c r="D2874" s="2">
        <f t="shared" si="44"/>
        <v>1</v>
      </c>
    </row>
    <row r="2875" spans="1:4" x14ac:dyDescent="0.3">
      <c r="A2875" s="34">
        <v>30343</v>
      </c>
      <c r="B2875" s="35">
        <v>1</v>
      </c>
      <c r="C2875" s="35">
        <v>0</v>
      </c>
      <c r="D2875" s="2">
        <f t="shared" si="44"/>
        <v>1</v>
      </c>
    </row>
    <row r="2876" spans="1:4" x14ac:dyDescent="0.3">
      <c r="A2876" s="34">
        <v>30344</v>
      </c>
      <c r="B2876" s="35">
        <v>1</v>
      </c>
      <c r="C2876" s="35">
        <v>0</v>
      </c>
      <c r="D2876" s="2">
        <f t="shared" si="44"/>
        <v>1</v>
      </c>
    </row>
    <row r="2877" spans="1:4" x14ac:dyDescent="0.3">
      <c r="A2877" s="34">
        <v>30350</v>
      </c>
      <c r="B2877" s="35">
        <v>1</v>
      </c>
      <c r="C2877" s="35">
        <v>0</v>
      </c>
      <c r="D2877" s="2">
        <f t="shared" si="44"/>
        <v>1</v>
      </c>
    </row>
    <row r="2878" spans="1:4" x14ac:dyDescent="0.3">
      <c r="A2878" s="34">
        <v>30351</v>
      </c>
      <c r="B2878" s="35">
        <v>2</v>
      </c>
      <c r="C2878" s="35">
        <v>0</v>
      </c>
      <c r="D2878" s="2">
        <f t="shared" si="44"/>
        <v>2</v>
      </c>
    </row>
    <row r="2879" spans="1:4" x14ac:dyDescent="0.3">
      <c r="A2879" s="34">
        <v>30361</v>
      </c>
      <c r="B2879" s="35">
        <v>1</v>
      </c>
      <c r="C2879" s="35">
        <v>0</v>
      </c>
      <c r="D2879" s="2">
        <f t="shared" si="44"/>
        <v>1</v>
      </c>
    </row>
    <row r="2880" spans="1:4" x14ac:dyDescent="0.3">
      <c r="A2880" s="34">
        <v>30362</v>
      </c>
      <c r="B2880" s="35">
        <v>1</v>
      </c>
      <c r="C2880" s="35">
        <v>0</v>
      </c>
      <c r="D2880" s="2">
        <f t="shared" si="44"/>
        <v>1</v>
      </c>
    </row>
    <row r="2881" spans="1:4" x14ac:dyDescent="0.3">
      <c r="A2881" s="34">
        <v>30364</v>
      </c>
      <c r="B2881" s="35">
        <v>2</v>
      </c>
      <c r="C2881" s="35">
        <v>1</v>
      </c>
      <c r="D2881" s="2">
        <f t="shared" si="44"/>
        <v>3</v>
      </c>
    </row>
    <row r="2882" spans="1:4" x14ac:dyDescent="0.3">
      <c r="A2882" s="34">
        <v>30366</v>
      </c>
      <c r="B2882" s="35">
        <v>1</v>
      </c>
      <c r="C2882" s="35">
        <v>0</v>
      </c>
      <c r="D2882" s="2">
        <f t="shared" si="44"/>
        <v>1</v>
      </c>
    </row>
    <row r="2883" spans="1:4" x14ac:dyDescent="0.3">
      <c r="A2883" s="34">
        <v>30368</v>
      </c>
      <c r="B2883" s="35">
        <v>1</v>
      </c>
      <c r="C2883" s="35">
        <v>0</v>
      </c>
      <c r="D2883" s="2">
        <f t="shared" ref="D2883:D2946" si="45">B2883+C2883</f>
        <v>1</v>
      </c>
    </row>
    <row r="2884" spans="1:4" x14ac:dyDescent="0.3">
      <c r="A2884" s="34">
        <v>30376</v>
      </c>
      <c r="B2884" s="35">
        <v>1</v>
      </c>
      <c r="C2884" s="35">
        <v>0</v>
      </c>
      <c r="D2884" s="2">
        <f t="shared" si="45"/>
        <v>1</v>
      </c>
    </row>
    <row r="2885" spans="1:4" x14ac:dyDescent="0.3">
      <c r="A2885" s="34">
        <v>30377</v>
      </c>
      <c r="B2885" s="35">
        <v>1</v>
      </c>
      <c r="C2885" s="35">
        <v>0</v>
      </c>
      <c r="D2885" s="2">
        <f t="shared" si="45"/>
        <v>1</v>
      </c>
    </row>
    <row r="2886" spans="1:4" x14ac:dyDescent="0.3">
      <c r="A2886" s="34">
        <v>30384</v>
      </c>
      <c r="B2886" s="35">
        <v>1</v>
      </c>
      <c r="C2886" s="35">
        <v>0</v>
      </c>
      <c r="D2886" s="2">
        <f t="shared" si="45"/>
        <v>1</v>
      </c>
    </row>
    <row r="2887" spans="1:4" x14ac:dyDescent="0.3">
      <c r="A2887" s="34">
        <v>30387</v>
      </c>
      <c r="B2887" s="35">
        <v>1</v>
      </c>
      <c r="C2887" s="35">
        <v>1</v>
      </c>
      <c r="D2887" s="2">
        <f t="shared" si="45"/>
        <v>2</v>
      </c>
    </row>
    <row r="2888" spans="1:4" x14ac:dyDescent="0.3">
      <c r="A2888" s="34">
        <v>30392</v>
      </c>
      <c r="B2888" s="35">
        <v>1</v>
      </c>
      <c r="C2888" s="35">
        <v>0</v>
      </c>
      <c r="D2888" s="2">
        <f t="shared" si="45"/>
        <v>1</v>
      </c>
    </row>
    <row r="2889" spans="1:4" x14ac:dyDescent="0.3">
      <c r="A2889" s="34">
        <v>30395</v>
      </c>
      <c r="B2889" s="35">
        <v>1</v>
      </c>
      <c r="C2889" s="35">
        <v>0</v>
      </c>
      <c r="D2889" s="2">
        <f t="shared" si="45"/>
        <v>1</v>
      </c>
    </row>
    <row r="2890" spans="1:4" x14ac:dyDescent="0.3">
      <c r="A2890" s="34">
        <v>30397</v>
      </c>
      <c r="B2890" s="35">
        <v>2</v>
      </c>
      <c r="C2890" s="35">
        <v>0</v>
      </c>
      <c r="D2890" s="2">
        <f t="shared" si="45"/>
        <v>2</v>
      </c>
    </row>
    <row r="2891" spans="1:4" x14ac:dyDescent="0.3">
      <c r="A2891" s="34">
        <v>30403</v>
      </c>
      <c r="B2891" s="35">
        <v>1</v>
      </c>
      <c r="C2891" s="35">
        <v>0</v>
      </c>
      <c r="D2891" s="2">
        <f t="shared" si="45"/>
        <v>1</v>
      </c>
    </row>
    <row r="2892" spans="1:4" x14ac:dyDescent="0.3">
      <c r="A2892" s="34">
        <v>30405</v>
      </c>
      <c r="B2892" s="35">
        <v>1</v>
      </c>
      <c r="C2892" s="35">
        <v>0</v>
      </c>
      <c r="D2892" s="2">
        <f t="shared" si="45"/>
        <v>1</v>
      </c>
    </row>
    <row r="2893" spans="1:4" x14ac:dyDescent="0.3">
      <c r="A2893" s="34">
        <v>30409</v>
      </c>
      <c r="B2893" s="35">
        <v>1</v>
      </c>
      <c r="C2893" s="35">
        <v>0</v>
      </c>
      <c r="D2893" s="2">
        <f t="shared" si="45"/>
        <v>1</v>
      </c>
    </row>
    <row r="2894" spans="1:4" x14ac:dyDescent="0.3">
      <c r="A2894" s="34">
        <v>30410</v>
      </c>
      <c r="B2894" s="35">
        <v>1</v>
      </c>
      <c r="C2894" s="35">
        <v>0</v>
      </c>
      <c r="D2894" s="2">
        <f t="shared" si="45"/>
        <v>1</v>
      </c>
    </row>
    <row r="2895" spans="1:4" x14ac:dyDescent="0.3">
      <c r="A2895" s="34">
        <v>30412</v>
      </c>
      <c r="B2895" s="35">
        <v>1</v>
      </c>
      <c r="C2895" s="35">
        <v>0</v>
      </c>
      <c r="D2895" s="2">
        <f t="shared" si="45"/>
        <v>1</v>
      </c>
    </row>
    <row r="2896" spans="1:4" x14ac:dyDescent="0.3">
      <c r="A2896" s="34">
        <v>30414</v>
      </c>
      <c r="B2896" s="35">
        <v>1</v>
      </c>
      <c r="C2896" s="35">
        <v>1</v>
      </c>
      <c r="D2896" s="2">
        <f t="shared" si="45"/>
        <v>2</v>
      </c>
    </row>
    <row r="2897" spans="1:4" x14ac:dyDescent="0.3">
      <c r="A2897" s="34">
        <v>30423</v>
      </c>
      <c r="B2897" s="35">
        <v>1</v>
      </c>
      <c r="C2897" s="35">
        <v>1</v>
      </c>
      <c r="D2897" s="2">
        <f t="shared" si="45"/>
        <v>2</v>
      </c>
    </row>
    <row r="2898" spans="1:4" x14ac:dyDescent="0.3">
      <c r="A2898" s="34">
        <v>30434</v>
      </c>
      <c r="B2898" s="35">
        <v>1</v>
      </c>
      <c r="C2898" s="35">
        <v>0</v>
      </c>
      <c r="D2898" s="2">
        <f t="shared" si="45"/>
        <v>1</v>
      </c>
    </row>
    <row r="2899" spans="1:4" x14ac:dyDescent="0.3">
      <c r="A2899" s="34">
        <v>30447</v>
      </c>
      <c r="B2899" s="35">
        <v>1</v>
      </c>
      <c r="C2899" s="35">
        <v>0</v>
      </c>
      <c r="D2899" s="2">
        <f t="shared" si="45"/>
        <v>1</v>
      </c>
    </row>
    <row r="2900" spans="1:4" x14ac:dyDescent="0.3">
      <c r="A2900" s="34">
        <v>30449</v>
      </c>
      <c r="B2900" s="35">
        <v>1</v>
      </c>
      <c r="C2900" s="35">
        <v>0</v>
      </c>
      <c r="D2900" s="2">
        <f t="shared" si="45"/>
        <v>1</v>
      </c>
    </row>
    <row r="2901" spans="1:4" x14ac:dyDescent="0.3">
      <c r="A2901" s="34">
        <v>30455</v>
      </c>
      <c r="B2901" s="35">
        <v>1</v>
      </c>
      <c r="C2901" s="35">
        <v>0</v>
      </c>
      <c r="D2901" s="2">
        <f t="shared" si="45"/>
        <v>1</v>
      </c>
    </row>
    <row r="2902" spans="1:4" x14ac:dyDescent="0.3">
      <c r="A2902" s="34">
        <v>30461</v>
      </c>
      <c r="B2902" s="35">
        <v>1</v>
      </c>
      <c r="C2902" s="35">
        <v>0</v>
      </c>
      <c r="D2902" s="2">
        <f t="shared" si="45"/>
        <v>1</v>
      </c>
    </row>
    <row r="2903" spans="1:4" x14ac:dyDescent="0.3">
      <c r="A2903" s="34">
        <v>30463</v>
      </c>
      <c r="B2903" s="35">
        <v>1</v>
      </c>
      <c r="C2903" s="35">
        <v>1</v>
      </c>
      <c r="D2903" s="2">
        <f t="shared" si="45"/>
        <v>2</v>
      </c>
    </row>
    <row r="2904" spans="1:4" x14ac:dyDescent="0.3">
      <c r="A2904" s="34">
        <v>30464</v>
      </c>
      <c r="B2904" s="35">
        <v>1</v>
      </c>
      <c r="C2904" s="35">
        <v>0</v>
      </c>
      <c r="D2904" s="2">
        <f t="shared" si="45"/>
        <v>1</v>
      </c>
    </row>
    <row r="2905" spans="1:4" x14ac:dyDescent="0.3">
      <c r="A2905" s="34">
        <v>30479</v>
      </c>
      <c r="B2905" s="35">
        <v>2</v>
      </c>
      <c r="C2905" s="35">
        <v>1</v>
      </c>
      <c r="D2905" s="2">
        <f t="shared" si="45"/>
        <v>3</v>
      </c>
    </row>
    <row r="2906" spans="1:4" x14ac:dyDescent="0.3">
      <c r="A2906" s="34">
        <v>30480</v>
      </c>
      <c r="B2906" s="35">
        <v>1</v>
      </c>
      <c r="C2906" s="35">
        <v>0</v>
      </c>
      <c r="D2906" s="2">
        <f t="shared" si="45"/>
        <v>1</v>
      </c>
    </row>
    <row r="2907" spans="1:4" x14ac:dyDescent="0.3">
      <c r="A2907" s="34">
        <v>30485</v>
      </c>
      <c r="B2907" s="35">
        <v>1</v>
      </c>
      <c r="C2907" s="35">
        <v>1</v>
      </c>
      <c r="D2907" s="2">
        <f t="shared" si="45"/>
        <v>2</v>
      </c>
    </row>
    <row r="2908" spans="1:4" x14ac:dyDescent="0.3">
      <c r="A2908" s="34">
        <v>30486</v>
      </c>
      <c r="B2908" s="35">
        <v>1</v>
      </c>
      <c r="C2908" s="35">
        <v>0</v>
      </c>
      <c r="D2908" s="2">
        <f t="shared" si="45"/>
        <v>1</v>
      </c>
    </row>
    <row r="2909" spans="1:4" x14ac:dyDescent="0.3">
      <c r="A2909" s="34">
        <v>30487</v>
      </c>
      <c r="B2909" s="35">
        <v>1</v>
      </c>
      <c r="C2909" s="35">
        <v>0</v>
      </c>
      <c r="D2909" s="2">
        <f t="shared" si="45"/>
        <v>1</v>
      </c>
    </row>
    <row r="2910" spans="1:4" x14ac:dyDescent="0.3">
      <c r="A2910" s="34">
        <v>30503</v>
      </c>
      <c r="B2910" s="35">
        <v>1</v>
      </c>
      <c r="C2910" s="35">
        <v>1</v>
      </c>
      <c r="D2910" s="2">
        <f t="shared" si="45"/>
        <v>2</v>
      </c>
    </row>
    <row r="2911" spans="1:4" x14ac:dyDescent="0.3">
      <c r="A2911" s="34">
        <v>30504</v>
      </c>
      <c r="B2911" s="35">
        <v>1</v>
      </c>
      <c r="C2911" s="35">
        <v>0</v>
      </c>
      <c r="D2911" s="2">
        <f t="shared" si="45"/>
        <v>1</v>
      </c>
    </row>
    <row r="2912" spans="1:4" x14ac:dyDescent="0.3">
      <c r="A2912" s="34">
        <v>30509</v>
      </c>
      <c r="B2912" s="35">
        <v>1</v>
      </c>
      <c r="C2912" s="35">
        <v>0</v>
      </c>
      <c r="D2912" s="2">
        <f t="shared" si="45"/>
        <v>1</v>
      </c>
    </row>
    <row r="2913" spans="1:4" x14ac:dyDescent="0.3">
      <c r="A2913" s="34">
        <v>30529</v>
      </c>
      <c r="B2913" s="35">
        <v>2</v>
      </c>
      <c r="C2913" s="35">
        <v>1</v>
      </c>
      <c r="D2913" s="2">
        <f t="shared" si="45"/>
        <v>3</v>
      </c>
    </row>
    <row r="2914" spans="1:4" x14ac:dyDescent="0.3">
      <c r="A2914" s="34">
        <v>30538</v>
      </c>
      <c r="B2914" s="35">
        <v>2</v>
      </c>
      <c r="C2914" s="35">
        <v>0</v>
      </c>
      <c r="D2914" s="2">
        <f t="shared" si="45"/>
        <v>2</v>
      </c>
    </row>
    <row r="2915" spans="1:4" x14ac:dyDescent="0.3">
      <c r="A2915" s="34">
        <v>30539</v>
      </c>
      <c r="B2915" s="35">
        <v>3</v>
      </c>
      <c r="C2915" s="35">
        <v>2</v>
      </c>
      <c r="D2915" s="2">
        <f t="shared" si="45"/>
        <v>5</v>
      </c>
    </row>
    <row r="2916" spans="1:4" x14ac:dyDescent="0.3">
      <c r="A2916" s="34">
        <v>30548</v>
      </c>
      <c r="B2916" s="35">
        <v>1</v>
      </c>
      <c r="C2916" s="35">
        <v>0</v>
      </c>
      <c r="D2916" s="2">
        <f t="shared" si="45"/>
        <v>1</v>
      </c>
    </row>
    <row r="2917" spans="1:4" x14ac:dyDescent="0.3">
      <c r="A2917" s="34">
        <v>30553</v>
      </c>
      <c r="B2917" s="35">
        <v>1</v>
      </c>
      <c r="C2917" s="35">
        <v>0</v>
      </c>
      <c r="D2917" s="2">
        <f t="shared" si="45"/>
        <v>1</v>
      </c>
    </row>
    <row r="2918" spans="1:4" x14ac:dyDescent="0.3">
      <c r="A2918" s="34">
        <v>30556</v>
      </c>
      <c r="B2918" s="35">
        <v>1</v>
      </c>
      <c r="C2918" s="35">
        <v>0</v>
      </c>
      <c r="D2918" s="2">
        <f t="shared" si="45"/>
        <v>1</v>
      </c>
    </row>
    <row r="2919" spans="1:4" x14ac:dyDescent="0.3">
      <c r="A2919" s="34">
        <v>30558</v>
      </c>
      <c r="B2919" s="35">
        <v>1</v>
      </c>
      <c r="C2919" s="35">
        <v>1</v>
      </c>
      <c r="D2919" s="2">
        <f t="shared" si="45"/>
        <v>2</v>
      </c>
    </row>
    <row r="2920" spans="1:4" x14ac:dyDescent="0.3">
      <c r="A2920" s="34">
        <v>30567</v>
      </c>
      <c r="B2920" s="35">
        <v>1</v>
      </c>
      <c r="C2920" s="35">
        <v>0</v>
      </c>
      <c r="D2920" s="2">
        <f t="shared" si="45"/>
        <v>1</v>
      </c>
    </row>
    <row r="2921" spans="1:4" x14ac:dyDescent="0.3">
      <c r="A2921" s="34">
        <v>30568</v>
      </c>
      <c r="B2921" s="35">
        <v>1</v>
      </c>
      <c r="C2921" s="35">
        <v>0</v>
      </c>
      <c r="D2921" s="2">
        <f t="shared" si="45"/>
        <v>1</v>
      </c>
    </row>
    <row r="2922" spans="1:4" x14ac:dyDescent="0.3">
      <c r="A2922" s="34">
        <v>30570</v>
      </c>
      <c r="B2922" s="35">
        <v>1</v>
      </c>
      <c r="C2922" s="35">
        <v>0</v>
      </c>
      <c r="D2922" s="2">
        <f t="shared" si="45"/>
        <v>1</v>
      </c>
    </row>
    <row r="2923" spans="1:4" x14ac:dyDescent="0.3">
      <c r="A2923" s="34">
        <v>30572</v>
      </c>
      <c r="B2923" s="35">
        <v>1</v>
      </c>
      <c r="C2923" s="35">
        <v>0</v>
      </c>
      <c r="D2923" s="2">
        <f t="shared" si="45"/>
        <v>1</v>
      </c>
    </row>
    <row r="2924" spans="1:4" x14ac:dyDescent="0.3">
      <c r="A2924" s="34">
        <v>30580</v>
      </c>
      <c r="B2924" s="35">
        <v>1</v>
      </c>
      <c r="C2924" s="35">
        <v>0</v>
      </c>
      <c r="D2924" s="2">
        <f t="shared" si="45"/>
        <v>1</v>
      </c>
    </row>
    <row r="2925" spans="1:4" x14ac:dyDescent="0.3">
      <c r="A2925" s="34">
        <v>30583</v>
      </c>
      <c r="B2925" s="35">
        <v>1</v>
      </c>
      <c r="C2925" s="35">
        <v>0</v>
      </c>
      <c r="D2925" s="2">
        <f t="shared" si="45"/>
        <v>1</v>
      </c>
    </row>
    <row r="2926" spans="1:4" x14ac:dyDescent="0.3">
      <c r="A2926" s="34">
        <v>30586</v>
      </c>
      <c r="B2926" s="35">
        <v>1</v>
      </c>
      <c r="C2926" s="35">
        <v>0</v>
      </c>
      <c r="D2926" s="2">
        <f t="shared" si="45"/>
        <v>1</v>
      </c>
    </row>
    <row r="2927" spans="1:4" x14ac:dyDescent="0.3">
      <c r="A2927" s="34">
        <v>30588</v>
      </c>
      <c r="B2927" s="35">
        <v>1</v>
      </c>
      <c r="C2927" s="35">
        <v>0</v>
      </c>
      <c r="D2927" s="2">
        <f t="shared" si="45"/>
        <v>1</v>
      </c>
    </row>
    <row r="2928" spans="1:4" x14ac:dyDescent="0.3">
      <c r="A2928" s="34">
        <v>30590</v>
      </c>
      <c r="B2928" s="35">
        <v>1</v>
      </c>
      <c r="C2928" s="35">
        <v>0</v>
      </c>
      <c r="D2928" s="2">
        <f t="shared" si="45"/>
        <v>1</v>
      </c>
    </row>
    <row r="2929" spans="1:4" x14ac:dyDescent="0.3">
      <c r="A2929" s="34">
        <v>30592</v>
      </c>
      <c r="B2929" s="35">
        <v>2</v>
      </c>
      <c r="C2929" s="35">
        <v>1</v>
      </c>
      <c r="D2929" s="2">
        <f t="shared" si="45"/>
        <v>3</v>
      </c>
    </row>
    <row r="2930" spans="1:4" x14ac:dyDescent="0.3">
      <c r="A2930" s="34">
        <v>30597</v>
      </c>
      <c r="B2930" s="35">
        <v>1</v>
      </c>
      <c r="C2930" s="35">
        <v>1</v>
      </c>
      <c r="D2930" s="2">
        <f t="shared" si="45"/>
        <v>2</v>
      </c>
    </row>
    <row r="2931" spans="1:4" x14ac:dyDescent="0.3">
      <c r="A2931" s="34">
        <v>30600</v>
      </c>
      <c r="B2931" s="35">
        <v>1</v>
      </c>
      <c r="C2931" s="35">
        <v>0</v>
      </c>
      <c r="D2931" s="2">
        <f t="shared" si="45"/>
        <v>1</v>
      </c>
    </row>
    <row r="2932" spans="1:4" x14ac:dyDescent="0.3">
      <c r="A2932" s="34">
        <v>30605</v>
      </c>
      <c r="B2932" s="35">
        <v>1</v>
      </c>
      <c r="C2932" s="35">
        <v>0</v>
      </c>
      <c r="D2932" s="2">
        <f t="shared" si="45"/>
        <v>1</v>
      </c>
    </row>
    <row r="2933" spans="1:4" x14ac:dyDescent="0.3">
      <c r="A2933" s="34">
        <v>30609</v>
      </c>
      <c r="B2933" s="35">
        <v>1</v>
      </c>
      <c r="C2933" s="35">
        <v>0</v>
      </c>
      <c r="D2933" s="2">
        <f t="shared" si="45"/>
        <v>1</v>
      </c>
    </row>
    <row r="2934" spans="1:4" x14ac:dyDescent="0.3">
      <c r="A2934" s="34">
        <v>30610</v>
      </c>
      <c r="B2934" s="35">
        <v>1</v>
      </c>
      <c r="C2934" s="35">
        <v>0</v>
      </c>
      <c r="D2934" s="2">
        <f t="shared" si="45"/>
        <v>1</v>
      </c>
    </row>
    <row r="2935" spans="1:4" x14ac:dyDescent="0.3">
      <c r="A2935" s="34">
        <v>30613</v>
      </c>
      <c r="B2935" s="35">
        <v>1</v>
      </c>
      <c r="C2935" s="35">
        <v>0</v>
      </c>
      <c r="D2935" s="2">
        <f t="shared" si="45"/>
        <v>1</v>
      </c>
    </row>
    <row r="2936" spans="1:4" x14ac:dyDescent="0.3">
      <c r="A2936" s="34">
        <v>30616</v>
      </c>
      <c r="B2936" s="35">
        <v>1</v>
      </c>
      <c r="C2936" s="35">
        <v>0</v>
      </c>
      <c r="D2936" s="2">
        <f t="shared" si="45"/>
        <v>1</v>
      </c>
    </row>
    <row r="2937" spans="1:4" x14ac:dyDescent="0.3">
      <c r="A2937" s="34">
        <v>30617</v>
      </c>
      <c r="B2937" s="35">
        <v>1</v>
      </c>
      <c r="C2937" s="35">
        <v>0</v>
      </c>
      <c r="D2937" s="2">
        <f t="shared" si="45"/>
        <v>1</v>
      </c>
    </row>
    <row r="2938" spans="1:4" x14ac:dyDescent="0.3">
      <c r="A2938" s="34">
        <v>30634</v>
      </c>
      <c r="B2938" s="35">
        <v>1</v>
      </c>
      <c r="C2938" s="35">
        <v>0</v>
      </c>
      <c r="D2938" s="2">
        <f t="shared" si="45"/>
        <v>1</v>
      </c>
    </row>
    <row r="2939" spans="1:4" x14ac:dyDescent="0.3">
      <c r="A2939" s="34">
        <v>30635</v>
      </c>
      <c r="B2939" s="35">
        <v>1</v>
      </c>
      <c r="C2939" s="35">
        <v>1</v>
      </c>
      <c r="D2939" s="2">
        <f t="shared" si="45"/>
        <v>2</v>
      </c>
    </row>
    <row r="2940" spans="1:4" x14ac:dyDescent="0.3">
      <c r="A2940" s="34">
        <v>30636</v>
      </c>
      <c r="B2940" s="35">
        <v>2</v>
      </c>
      <c r="C2940" s="35">
        <v>2</v>
      </c>
      <c r="D2940" s="2">
        <f t="shared" si="45"/>
        <v>4</v>
      </c>
    </row>
    <row r="2941" spans="1:4" x14ac:dyDescent="0.3">
      <c r="A2941" s="34">
        <v>30639</v>
      </c>
      <c r="B2941" s="35">
        <v>1</v>
      </c>
      <c r="C2941" s="35">
        <v>0</v>
      </c>
      <c r="D2941" s="2">
        <f t="shared" si="45"/>
        <v>1</v>
      </c>
    </row>
    <row r="2942" spans="1:4" x14ac:dyDescent="0.3">
      <c r="A2942" s="34">
        <v>30640</v>
      </c>
      <c r="B2942" s="35">
        <v>1</v>
      </c>
      <c r="C2942" s="35">
        <v>1</v>
      </c>
      <c r="D2942" s="2">
        <f t="shared" si="45"/>
        <v>2</v>
      </c>
    </row>
    <row r="2943" spans="1:4" x14ac:dyDescent="0.3">
      <c r="A2943" s="34">
        <v>30641</v>
      </c>
      <c r="B2943" s="35">
        <v>1</v>
      </c>
      <c r="C2943" s="35">
        <v>0</v>
      </c>
      <c r="D2943" s="2">
        <f t="shared" si="45"/>
        <v>1</v>
      </c>
    </row>
    <row r="2944" spans="1:4" x14ac:dyDescent="0.3">
      <c r="A2944" s="34">
        <v>30642</v>
      </c>
      <c r="B2944" s="35">
        <v>1</v>
      </c>
      <c r="C2944" s="35">
        <v>0</v>
      </c>
      <c r="D2944" s="2">
        <f t="shared" si="45"/>
        <v>1</v>
      </c>
    </row>
    <row r="2945" spans="1:4" x14ac:dyDescent="0.3">
      <c r="A2945" s="34">
        <v>30645</v>
      </c>
      <c r="B2945" s="35">
        <v>1</v>
      </c>
      <c r="C2945" s="35">
        <v>0</v>
      </c>
      <c r="D2945" s="2">
        <f t="shared" si="45"/>
        <v>1</v>
      </c>
    </row>
    <row r="2946" spans="1:4" x14ac:dyDescent="0.3">
      <c r="A2946" s="34">
        <v>30647</v>
      </c>
      <c r="B2946" s="35">
        <v>1</v>
      </c>
      <c r="C2946" s="35">
        <v>0</v>
      </c>
      <c r="D2946" s="2">
        <f t="shared" si="45"/>
        <v>1</v>
      </c>
    </row>
    <row r="2947" spans="1:4" x14ac:dyDescent="0.3">
      <c r="A2947" s="34">
        <v>30658</v>
      </c>
      <c r="B2947" s="35">
        <v>1</v>
      </c>
      <c r="C2947" s="35">
        <v>0</v>
      </c>
      <c r="D2947" s="2">
        <f t="shared" ref="D2947:D3010" si="46">B2947+C2947</f>
        <v>1</v>
      </c>
    </row>
    <row r="2948" spans="1:4" x14ac:dyDescent="0.3">
      <c r="A2948" s="34">
        <v>30662</v>
      </c>
      <c r="B2948" s="35">
        <v>1</v>
      </c>
      <c r="C2948" s="35">
        <v>0</v>
      </c>
      <c r="D2948" s="2">
        <f t="shared" si="46"/>
        <v>1</v>
      </c>
    </row>
    <row r="2949" spans="1:4" x14ac:dyDescent="0.3">
      <c r="A2949" s="34">
        <v>30664</v>
      </c>
      <c r="B2949" s="35">
        <v>1</v>
      </c>
      <c r="C2949" s="35">
        <v>0</v>
      </c>
      <c r="D2949" s="2">
        <f t="shared" si="46"/>
        <v>1</v>
      </c>
    </row>
    <row r="2950" spans="1:4" x14ac:dyDescent="0.3">
      <c r="A2950" s="34">
        <v>30667</v>
      </c>
      <c r="B2950" s="35">
        <v>1</v>
      </c>
      <c r="C2950" s="35">
        <v>0</v>
      </c>
      <c r="D2950" s="2">
        <f t="shared" si="46"/>
        <v>1</v>
      </c>
    </row>
    <row r="2951" spans="1:4" x14ac:dyDescent="0.3">
      <c r="A2951" s="34">
        <v>30669</v>
      </c>
      <c r="B2951" s="35">
        <v>1</v>
      </c>
      <c r="C2951" s="35">
        <v>0</v>
      </c>
      <c r="D2951" s="2">
        <f t="shared" si="46"/>
        <v>1</v>
      </c>
    </row>
    <row r="2952" spans="1:4" x14ac:dyDescent="0.3">
      <c r="A2952" s="34">
        <v>30670</v>
      </c>
      <c r="B2952" s="35">
        <v>1</v>
      </c>
      <c r="C2952" s="35">
        <v>0</v>
      </c>
      <c r="D2952" s="2">
        <f t="shared" si="46"/>
        <v>1</v>
      </c>
    </row>
    <row r="2953" spans="1:4" x14ac:dyDescent="0.3">
      <c r="A2953" s="34">
        <v>30672</v>
      </c>
      <c r="B2953" s="35">
        <v>1</v>
      </c>
      <c r="C2953" s="35">
        <v>1</v>
      </c>
      <c r="D2953" s="2">
        <f t="shared" si="46"/>
        <v>2</v>
      </c>
    </row>
    <row r="2954" spans="1:4" x14ac:dyDescent="0.3">
      <c r="A2954" s="34">
        <v>30673</v>
      </c>
      <c r="B2954" s="35">
        <v>1</v>
      </c>
      <c r="C2954" s="35">
        <v>1</v>
      </c>
      <c r="D2954" s="2">
        <f t="shared" si="46"/>
        <v>2</v>
      </c>
    </row>
    <row r="2955" spans="1:4" x14ac:dyDescent="0.3">
      <c r="A2955" s="34">
        <v>30674</v>
      </c>
      <c r="B2955" s="35">
        <v>1</v>
      </c>
      <c r="C2955" s="35">
        <v>0</v>
      </c>
      <c r="D2955" s="2">
        <f t="shared" si="46"/>
        <v>1</v>
      </c>
    </row>
    <row r="2956" spans="1:4" x14ac:dyDescent="0.3">
      <c r="A2956" s="34">
        <v>30687</v>
      </c>
      <c r="B2956" s="35">
        <v>1</v>
      </c>
      <c r="C2956" s="35">
        <v>0</v>
      </c>
      <c r="D2956" s="2">
        <f t="shared" si="46"/>
        <v>1</v>
      </c>
    </row>
    <row r="2957" spans="1:4" x14ac:dyDescent="0.3">
      <c r="A2957" s="34">
        <v>30694</v>
      </c>
      <c r="B2957" s="35">
        <v>1</v>
      </c>
      <c r="C2957" s="35">
        <v>0</v>
      </c>
      <c r="D2957" s="2">
        <f t="shared" si="46"/>
        <v>1</v>
      </c>
    </row>
    <row r="2958" spans="1:4" x14ac:dyDescent="0.3">
      <c r="A2958" s="34">
        <v>30702</v>
      </c>
      <c r="B2958" s="35">
        <v>1</v>
      </c>
      <c r="C2958" s="35">
        <v>0</v>
      </c>
      <c r="D2958" s="2">
        <f t="shared" si="46"/>
        <v>1</v>
      </c>
    </row>
    <row r="2959" spans="1:4" x14ac:dyDescent="0.3">
      <c r="A2959" s="34">
        <v>30703</v>
      </c>
      <c r="B2959" s="35">
        <v>1</v>
      </c>
      <c r="C2959" s="35">
        <v>0</v>
      </c>
      <c r="D2959" s="2">
        <f t="shared" si="46"/>
        <v>1</v>
      </c>
    </row>
    <row r="2960" spans="1:4" x14ac:dyDescent="0.3">
      <c r="A2960" s="34">
        <v>30709</v>
      </c>
      <c r="B2960" s="35">
        <v>1</v>
      </c>
      <c r="C2960" s="35">
        <v>0</v>
      </c>
      <c r="D2960" s="2">
        <f t="shared" si="46"/>
        <v>1</v>
      </c>
    </row>
    <row r="2961" spans="1:4" x14ac:dyDescent="0.3">
      <c r="A2961" s="34">
        <v>30713</v>
      </c>
      <c r="B2961" s="35">
        <v>1</v>
      </c>
      <c r="C2961" s="35">
        <v>0</v>
      </c>
      <c r="D2961" s="2">
        <f t="shared" si="46"/>
        <v>1</v>
      </c>
    </row>
    <row r="2962" spans="1:4" x14ac:dyDescent="0.3">
      <c r="A2962" s="34">
        <v>30733</v>
      </c>
      <c r="B2962" s="35">
        <v>1</v>
      </c>
      <c r="C2962" s="35">
        <v>0</v>
      </c>
      <c r="D2962" s="2">
        <f t="shared" si="46"/>
        <v>1</v>
      </c>
    </row>
    <row r="2963" spans="1:4" x14ac:dyDescent="0.3">
      <c r="A2963" s="34">
        <v>30736</v>
      </c>
      <c r="B2963" s="35">
        <v>1</v>
      </c>
      <c r="C2963" s="35">
        <v>0</v>
      </c>
      <c r="D2963" s="2">
        <f t="shared" si="46"/>
        <v>1</v>
      </c>
    </row>
    <row r="2964" spans="1:4" x14ac:dyDescent="0.3">
      <c r="A2964" s="34">
        <v>30737</v>
      </c>
      <c r="B2964" s="35">
        <v>1</v>
      </c>
      <c r="C2964" s="35">
        <v>1</v>
      </c>
      <c r="D2964" s="2">
        <f t="shared" si="46"/>
        <v>2</v>
      </c>
    </row>
    <row r="2965" spans="1:4" x14ac:dyDescent="0.3">
      <c r="A2965" s="34">
        <v>30746</v>
      </c>
      <c r="B2965" s="35">
        <v>1</v>
      </c>
      <c r="C2965" s="35">
        <v>0</v>
      </c>
      <c r="D2965" s="2">
        <f t="shared" si="46"/>
        <v>1</v>
      </c>
    </row>
    <row r="2966" spans="1:4" x14ac:dyDescent="0.3">
      <c r="A2966" s="34">
        <v>30754</v>
      </c>
      <c r="B2966" s="35">
        <v>2</v>
      </c>
      <c r="C2966" s="35">
        <v>2</v>
      </c>
      <c r="D2966" s="2">
        <f t="shared" si="46"/>
        <v>4</v>
      </c>
    </row>
    <row r="2967" spans="1:4" x14ac:dyDescent="0.3">
      <c r="A2967" s="34">
        <v>30761</v>
      </c>
      <c r="B2967" s="35">
        <v>1</v>
      </c>
      <c r="C2967" s="35">
        <v>0</v>
      </c>
      <c r="D2967" s="2">
        <f t="shared" si="46"/>
        <v>1</v>
      </c>
    </row>
    <row r="2968" spans="1:4" x14ac:dyDescent="0.3">
      <c r="A2968" s="34">
        <v>30762</v>
      </c>
      <c r="B2968" s="35">
        <v>1</v>
      </c>
      <c r="C2968" s="35">
        <v>0</v>
      </c>
      <c r="D2968" s="2">
        <f t="shared" si="46"/>
        <v>1</v>
      </c>
    </row>
    <row r="2969" spans="1:4" x14ac:dyDescent="0.3">
      <c r="A2969" s="34">
        <v>30763</v>
      </c>
      <c r="B2969" s="35">
        <v>5</v>
      </c>
      <c r="C2969" s="35">
        <v>0</v>
      </c>
      <c r="D2969" s="2">
        <f t="shared" si="46"/>
        <v>5</v>
      </c>
    </row>
    <row r="2970" spans="1:4" x14ac:dyDescent="0.3">
      <c r="A2970" s="34">
        <v>30766</v>
      </c>
      <c r="B2970" s="35">
        <v>1</v>
      </c>
      <c r="C2970" s="35">
        <v>0</v>
      </c>
      <c r="D2970" s="2">
        <f t="shared" si="46"/>
        <v>1</v>
      </c>
    </row>
    <row r="2971" spans="1:4" x14ac:dyDescent="0.3">
      <c r="A2971" s="34">
        <v>30769</v>
      </c>
      <c r="B2971" s="35">
        <v>1</v>
      </c>
      <c r="C2971" s="35">
        <v>1</v>
      </c>
      <c r="D2971" s="2">
        <f t="shared" si="46"/>
        <v>2</v>
      </c>
    </row>
    <row r="2972" spans="1:4" x14ac:dyDescent="0.3">
      <c r="A2972" s="34">
        <v>30774</v>
      </c>
      <c r="B2972" s="35">
        <v>1</v>
      </c>
      <c r="C2972" s="35">
        <v>0</v>
      </c>
      <c r="D2972" s="2">
        <f t="shared" si="46"/>
        <v>1</v>
      </c>
    </row>
    <row r="2973" spans="1:4" x14ac:dyDescent="0.3">
      <c r="A2973" s="34">
        <v>30778</v>
      </c>
      <c r="B2973" s="35">
        <v>1</v>
      </c>
      <c r="C2973" s="35">
        <v>0</v>
      </c>
      <c r="D2973" s="2">
        <f t="shared" si="46"/>
        <v>1</v>
      </c>
    </row>
    <row r="2974" spans="1:4" x14ac:dyDescent="0.3">
      <c r="A2974" s="34">
        <v>30781</v>
      </c>
      <c r="B2974" s="35">
        <v>1</v>
      </c>
      <c r="C2974" s="35">
        <v>0</v>
      </c>
      <c r="D2974" s="2">
        <f t="shared" si="46"/>
        <v>1</v>
      </c>
    </row>
    <row r="2975" spans="1:4" x14ac:dyDescent="0.3">
      <c r="A2975" s="34">
        <v>30785</v>
      </c>
      <c r="B2975" s="35">
        <v>1</v>
      </c>
      <c r="C2975" s="35">
        <v>0</v>
      </c>
      <c r="D2975" s="2">
        <f t="shared" si="46"/>
        <v>1</v>
      </c>
    </row>
    <row r="2976" spans="1:4" x14ac:dyDescent="0.3">
      <c r="A2976" s="34">
        <v>30791</v>
      </c>
      <c r="B2976" s="35">
        <v>1</v>
      </c>
      <c r="C2976" s="35">
        <v>0</v>
      </c>
      <c r="D2976" s="2">
        <f t="shared" si="46"/>
        <v>1</v>
      </c>
    </row>
    <row r="2977" spans="1:4" x14ac:dyDescent="0.3">
      <c r="A2977" s="34">
        <v>30797</v>
      </c>
      <c r="B2977" s="35">
        <v>1</v>
      </c>
      <c r="C2977" s="35">
        <v>0</v>
      </c>
      <c r="D2977" s="2">
        <f t="shared" si="46"/>
        <v>1</v>
      </c>
    </row>
    <row r="2978" spans="1:4" x14ac:dyDescent="0.3">
      <c r="A2978" s="34">
        <v>30800</v>
      </c>
      <c r="B2978" s="35">
        <v>1</v>
      </c>
      <c r="C2978" s="35">
        <v>0</v>
      </c>
      <c r="D2978" s="2">
        <f t="shared" si="46"/>
        <v>1</v>
      </c>
    </row>
    <row r="2979" spans="1:4" x14ac:dyDescent="0.3">
      <c r="A2979" s="34">
        <v>30801</v>
      </c>
      <c r="B2979" s="35">
        <v>2</v>
      </c>
      <c r="C2979" s="35">
        <v>2</v>
      </c>
      <c r="D2979" s="2">
        <f t="shared" si="46"/>
        <v>4</v>
      </c>
    </row>
    <row r="2980" spans="1:4" x14ac:dyDescent="0.3">
      <c r="A2980" s="34">
        <v>30805</v>
      </c>
      <c r="B2980" s="35">
        <v>1</v>
      </c>
      <c r="C2980" s="35">
        <v>0</v>
      </c>
      <c r="D2980" s="2">
        <f t="shared" si="46"/>
        <v>1</v>
      </c>
    </row>
    <row r="2981" spans="1:4" x14ac:dyDescent="0.3">
      <c r="A2981" s="34">
        <v>30806</v>
      </c>
      <c r="B2981" s="35">
        <v>1</v>
      </c>
      <c r="C2981" s="35">
        <v>0</v>
      </c>
      <c r="D2981" s="2">
        <f t="shared" si="46"/>
        <v>1</v>
      </c>
    </row>
    <row r="2982" spans="1:4" x14ac:dyDescent="0.3">
      <c r="A2982" s="34">
        <v>30807</v>
      </c>
      <c r="B2982" s="35">
        <v>1</v>
      </c>
      <c r="C2982" s="35">
        <v>1</v>
      </c>
      <c r="D2982" s="2">
        <f t="shared" si="46"/>
        <v>2</v>
      </c>
    </row>
    <row r="2983" spans="1:4" x14ac:dyDescent="0.3">
      <c r="A2983" s="34">
        <v>30809</v>
      </c>
      <c r="B2983" s="35">
        <v>1</v>
      </c>
      <c r="C2983" s="35">
        <v>0</v>
      </c>
      <c r="D2983" s="2">
        <f t="shared" si="46"/>
        <v>1</v>
      </c>
    </row>
    <row r="2984" spans="1:4" x14ac:dyDescent="0.3">
      <c r="A2984" s="34">
        <v>30812</v>
      </c>
      <c r="B2984" s="35">
        <v>1</v>
      </c>
      <c r="C2984" s="35">
        <v>0</v>
      </c>
      <c r="D2984" s="2">
        <f t="shared" si="46"/>
        <v>1</v>
      </c>
    </row>
    <row r="2985" spans="1:4" x14ac:dyDescent="0.3">
      <c r="A2985" s="34">
        <v>30823</v>
      </c>
      <c r="B2985" s="35">
        <v>1</v>
      </c>
      <c r="C2985" s="35">
        <v>0</v>
      </c>
      <c r="D2985" s="2">
        <f t="shared" si="46"/>
        <v>1</v>
      </c>
    </row>
    <row r="2986" spans="1:4" x14ac:dyDescent="0.3">
      <c r="A2986" s="34">
        <v>30845</v>
      </c>
      <c r="B2986" s="35">
        <v>1</v>
      </c>
      <c r="C2986" s="35">
        <v>0</v>
      </c>
      <c r="D2986" s="2">
        <f t="shared" si="46"/>
        <v>1</v>
      </c>
    </row>
    <row r="2987" spans="1:4" x14ac:dyDescent="0.3">
      <c r="A2987" s="34">
        <v>30858</v>
      </c>
      <c r="B2987" s="35">
        <v>1</v>
      </c>
      <c r="C2987" s="35">
        <v>0</v>
      </c>
      <c r="D2987" s="2">
        <f t="shared" si="46"/>
        <v>1</v>
      </c>
    </row>
    <row r="2988" spans="1:4" x14ac:dyDescent="0.3">
      <c r="A2988" s="34">
        <v>30881</v>
      </c>
      <c r="B2988" s="35">
        <v>1</v>
      </c>
      <c r="C2988" s="35">
        <v>0</v>
      </c>
      <c r="D2988" s="2">
        <f t="shared" si="46"/>
        <v>1</v>
      </c>
    </row>
    <row r="2989" spans="1:4" x14ac:dyDescent="0.3">
      <c r="A2989" s="34">
        <v>30896</v>
      </c>
      <c r="B2989" s="35">
        <v>1</v>
      </c>
      <c r="C2989" s="35">
        <v>0</v>
      </c>
      <c r="D2989" s="2">
        <f t="shared" si="46"/>
        <v>1</v>
      </c>
    </row>
    <row r="2990" spans="1:4" x14ac:dyDescent="0.3">
      <c r="A2990" s="34">
        <v>30898</v>
      </c>
      <c r="B2990" s="35">
        <v>2</v>
      </c>
      <c r="C2990" s="35">
        <v>0</v>
      </c>
      <c r="D2990" s="2">
        <f t="shared" si="46"/>
        <v>2</v>
      </c>
    </row>
    <row r="2991" spans="1:4" x14ac:dyDescent="0.3">
      <c r="A2991" s="34">
        <v>30906</v>
      </c>
      <c r="B2991" s="35">
        <v>3</v>
      </c>
      <c r="C2991" s="35">
        <v>2</v>
      </c>
      <c r="D2991" s="2">
        <f t="shared" si="46"/>
        <v>5</v>
      </c>
    </row>
    <row r="2992" spans="1:4" x14ac:dyDescent="0.3">
      <c r="A2992" s="34">
        <v>30907</v>
      </c>
      <c r="B2992" s="35">
        <v>1</v>
      </c>
      <c r="C2992" s="35">
        <v>1</v>
      </c>
      <c r="D2992" s="2">
        <f t="shared" si="46"/>
        <v>2</v>
      </c>
    </row>
    <row r="2993" spans="1:4" x14ac:dyDescent="0.3">
      <c r="A2993" s="34">
        <v>30908</v>
      </c>
      <c r="B2993" s="35">
        <v>1</v>
      </c>
      <c r="C2993" s="35">
        <v>1</v>
      </c>
      <c r="D2993" s="2">
        <f t="shared" si="46"/>
        <v>2</v>
      </c>
    </row>
    <row r="2994" spans="1:4" x14ac:dyDescent="0.3">
      <c r="A2994" s="34">
        <v>30910</v>
      </c>
      <c r="B2994" s="35">
        <v>1</v>
      </c>
      <c r="C2994" s="35">
        <v>1</v>
      </c>
      <c r="D2994" s="2">
        <f t="shared" si="46"/>
        <v>2</v>
      </c>
    </row>
    <row r="2995" spans="1:4" x14ac:dyDescent="0.3">
      <c r="A2995" s="34">
        <v>30912</v>
      </c>
      <c r="B2995" s="35">
        <v>1</v>
      </c>
      <c r="C2995" s="35">
        <v>0</v>
      </c>
      <c r="D2995" s="2">
        <f t="shared" si="46"/>
        <v>1</v>
      </c>
    </row>
    <row r="2996" spans="1:4" x14ac:dyDescent="0.3">
      <c r="A2996" s="34">
        <v>30918</v>
      </c>
      <c r="B2996" s="35">
        <v>1</v>
      </c>
      <c r="C2996" s="35">
        <v>0</v>
      </c>
      <c r="D2996" s="2">
        <f t="shared" si="46"/>
        <v>1</v>
      </c>
    </row>
    <row r="2997" spans="1:4" x14ac:dyDescent="0.3">
      <c r="A2997" s="34">
        <v>30926</v>
      </c>
      <c r="B2997" s="35">
        <v>1</v>
      </c>
      <c r="C2997" s="35">
        <v>0</v>
      </c>
      <c r="D2997" s="2">
        <f t="shared" si="46"/>
        <v>1</v>
      </c>
    </row>
    <row r="2998" spans="1:4" x14ac:dyDescent="0.3">
      <c r="A2998" s="34">
        <v>30931</v>
      </c>
      <c r="B2998" s="35">
        <v>1</v>
      </c>
      <c r="C2998" s="35">
        <v>1</v>
      </c>
      <c r="D2998" s="2">
        <f t="shared" si="46"/>
        <v>2</v>
      </c>
    </row>
    <row r="2999" spans="1:4" x14ac:dyDescent="0.3">
      <c r="A2999" s="34">
        <v>30932</v>
      </c>
      <c r="B2999" s="35">
        <v>1</v>
      </c>
      <c r="C2999" s="35">
        <v>0</v>
      </c>
      <c r="D2999" s="2">
        <f t="shared" si="46"/>
        <v>1</v>
      </c>
    </row>
    <row r="3000" spans="1:4" x14ac:dyDescent="0.3">
      <c r="A3000" s="34">
        <v>30935</v>
      </c>
      <c r="B3000" s="35">
        <v>1</v>
      </c>
      <c r="C3000" s="35">
        <v>0</v>
      </c>
      <c r="D3000" s="2">
        <f t="shared" si="46"/>
        <v>1</v>
      </c>
    </row>
    <row r="3001" spans="1:4" x14ac:dyDescent="0.3">
      <c r="A3001" s="34">
        <v>30947</v>
      </c>
      <c r="B3001" s="35">
        <v>1</v>
      </c>
      <c r="C3001" s="35">
        <v>0</v>
      </c>
      <c r="D3001" s="2">
        <f t="shared" si="46"/>
        <v>1</v>
      </c>
    </row>
    <row r="3002" spans="1:4" x14ac:dyDescent="0.3">
      <c r="A3002" s="34">
        <v>30964</v>
      </c>
      <c r="B3002" s="35">
        <v>1</v>
      </c>
      <c r="C3002" s="35">
        <v>0</v>
      </c>
      <c r="D3002" s="2">
        <f t="shared" si="46"/>
        <v>1</v>
      </c>
    </row>
    <row r="3003" spans="1:4" x14ac:dyDescent="0.3">
      <c r="A3003" s="34">
        <v>30967</v>
      </c>
      <c r="B3003" s="35">
        <v>1</v>
      </c>
      <c r="C3003" s="35">
        <v>0</v>
      </c>
      <c r="D3003" s="2">
        <f t="shared" si="46"/>
        <v>1</v>
      </c>
    </row>
    <row r="3004" spans="1:4" x14ac:dyDescent="0.3">
      <c r="A3004" s="34">
        <v>30976</v>
      </c>
      <c r="B3004" s="35">
        <v>1</v>
      </c>
      <c r="C3004" s="35">
        <v>1</v>
      </c>
      <c r="D3004" s="2">
        <f t="shared" si="46"/>
        <v>2</v>
      </c>
    </row>
    <row r="3005" spans="1:4" x14ac:dyDescent="0.3">
      <c r="A3005" s="34">
        <v>30977</v>
      </c>
      <c r="B3005" s="35">
        <v>1</v>
      </c>
      <c r="C3005" s="35">
        <v>0</v>
      </c>
      <c r="D3005" s="2">
        <f t="shared" si="46"/>
        <v>1</v>
      </c>
    </row>
    <row r="3006" spans="1:4" x14ac:dyDescent="0.3">
      <c r="A3006" s="34">
        <v>30980</v>
      </c>
      <c r="B3006" s="35">
        <v>1</v>
      </c>
      <c r="C3006" s="35">
        <v>0</v>
      </c>
      <c r="D3006" s="2">
        <f t="shared" si="46"/>
        <v>1</v>
      </c>
    </row>
    <row r="3007" spans="1:4" x14ac:dyDescent="0.3">
      <c r="A3007" s="34">
        <v>30981</v>
      </c>
      <c r="B3007" s="35">
        <v>1</v>
      </c>
      <c r="C3007" s="35">
        <v>0</v>
      </c>
      <c r="D3007" s="2">
        <f t="shared" si="46"/>
        <v>1</v>
      </c>
    </row>
    <row r="3008" spans="1:4" x14ac:dyDescent="0.3">
      <c r="A3008" s="34">
        <v>30983</v>
      </c>
      <c r="B3008" s="35">
        <v>1</v>
      </c>
      <c r="C3008" s="35">
        <v>0</v>
      </c>
      <c r="D3008" s="2">
        <f t="shared" si="46"/>
        <v>1</v>
      </c>
    </row>
    <row r="3009" spans="1:4" x14ac:dyDescent="0.3">
      <c r="A3009" s="34">
        <v>30985</v>
      </c>
      <c r="B3009" s="35">
        <v>3</v>
      </c>
      <c r="C3009" s="35">
        <v>0</v>
      </c>
      <c r="D3009" s="2">
        <f t="shared" si="46"/>
        <v>3</v>
      </c>
    </row>
    <row r="3010" spans="1:4" x14ac:dyDescent="0.3">
      <c r="A3010" s="34">
        <v>30987</v>
      </c>
      <c r="B3010" s="35">
        <v>1</v>
      </c>
      <c r="C3010" s="35">
        <v>0</v>
      </c>
      <c r="D3010" s="2">
        <f t="shared" si="46"/>
        <v>1</v>
      </c>
    </row>
    <row r="3011" spans="1:4" x14ac:dyDescent="0.3">
      <c r="A3011" s="34">
        <v>30988</v>
      </c>
      <c r="B3011" s="35">
        <v>1</v>
      </c>
      <c r="C3011" s="35">
        <v>0</v>
      </c>
      <c r="D3011" s="2">
        <f t="shared" ref="D3011:D3074" si="47">B3011+C3011</f>
        <v>1</v>
      </c>
    </row>
    <row r="3012" spans="1:4" x14ac:dyDescent="0.3">
      <c r="A3012" s="34">
        <v>30997</v>
      </c>
      <c r="B3012" s="35">
        <v>1</v>
      </c>
      <c r="C3012" s="35">
        <v>0</v>
      </c>
      <c r="D3012" s="2">
        <f t="shared" si="47"/>
        <v>1</v>
      </c>
    </row>
    <row r="3013" spans="1:4" x14ac:dyDescent="0.3">
      <c r="A3013" s="34">
        <v>31006</v>
      </c>
      <c r="B3013" s="35">
        <v>1</v>
      </c>
      <c r="C3013" s="35">
        <v>1</v>
      </c>
      <c r="D3013" s="2">
        <f t="shared" si="47"/>
        <v>2</v>
      </c>
    </row>
    <row r="3014" spans="1:4" x14ac:dyDescent="0.3">
      <c r="A3014" s="34">
        <v>31007</v>
      </c>
      <c r="B3014" s="35">
        <v>1</v>
      </c>
      <c r="C3014" s="35">
        <v>0</v>
      </c>
      <c r="D3014" s="2">
        <f t="shared" si="47"/>
        <v>1</v>
      </c>
    </row>
    <row r="3015" spans="1:4" x14ac:dyDescent="0.3">
      <c r="A3015" s="34">
        <v>31008</v>
      </c>
      <c r="B3015" s="35">
        <v>2</v>
      </c>
      <c r="C3015" s="35">
        <v>0</v>
      </c>
      <c r="D3015" s="2">
        <f t="shared" si="47"/>
        <v>2</v>
      </c>
    </row>
    <row r="3016" spans="1:4" x14ac:dyDescent="0.3">
      <c r="A3016" s="34">
        <v>31013</v>
      </c>
      <c r="B3016" s="35">
        <v>1</v>
      </c>
      <c r="C3016" s="35">
        <v>0</v>
      </c>
      <c r="D3016" s="2">
        <f t="shared" si="47"/>
        <v>1</v>
      </c>
    </row>
    <row r="3017" spans="1:4" x14ac:dyDescent="0.3">
      <c r="A3017" s="34">
        <v>31014</v>
      </c>
      <c r="B3017" s="35">
        <v>1</v>
      </c>
      <c r="C3017" s="35">
        <v>0</v>
      </c>
      <c r="D3017" s="2">
        <f t="shared" si="47"/>
        <v>1</v>
      </c>
    </row>
    <row r="3018" spans="1:4" x14ac:dyDescent="0.3">
      <c r="A3018" s="34">
        <v>31025</v>
      </c>
      <c r="B3018" s="35">
        <v>1</v>
      </c>
      <c r="C3018" s="35">
        <v>0</v>
      </c>
      <c r="D3018" s="2">
        <f t="shared" si="47"/>
        <v>1</v>
      </c>
    </row>
    <row r="3019" spans="1:4" x14ac:dyDescent="0.3">
      <c r="A3019" s="34">
        <v>31028</v>
      </c>
      <c r="B3019" s="35">
        <v>1</v>
      </c>
      <c r="C3019" s="35">
        <v>0</v>
      </c>
      <c r="D3019" s="2">
        <f t="shared" si="47"/>
        <v>1</v>
      </c>
    </row>
    <row r="3020" spans="1:4" x14ac:dyDescent="0.3">
      <c r="A3020" s="34">
        <v>31029</v>
      </c>
      <c r="B3020" s="35">
        <v>1</v>
      </c>
      <c r="C3020" s="35">
        <v>1</v>
      </c>
      <c r="D3020" s="2">
        <f t="shared" si="47"/>
        <v>2</v>
      </c>
    </row>
    <row r="3021" spans="1:4" x14ac:dyDescent="0.3">
      <c r="A3021" s="34">
        <v>31037</v>
      </c>
      <c r="B3021" s="35">
        <v>1</v>
      </c>
      <c r="C3021" s="35">
        <v>1</v>
      </c>
      <c r="D3021" s="2">
        <f t="shared" si="47"/>
        <v>2</v>
      </c>
    </row>
    <row r="3022" spans="1:4" x14ac:dyDescent="0.3">
      <c r="A3022" s="34">
        <v>31044</v>
      </c>
      <c r="B3022" s="35">
        <v>1</v>
      </c>
      <c r="C3022" s="35">
        <v>0</v>
      </c>
      <c r="D3022" s="2">
        <f t="shared" si="47"/>
        <v>1</v>
      </c>
    </row>
    <row r="3023" spans="1:4" x14ac:dyDescent="0.3">
      <c r="A3023" s="34">
        <v>31047</v>
      </c>
      <c r="B3023" s="35">
        <v>1</v>
      </c>
      <c r="C3023" s="35">
        <v>0</v>
      </c>
      <c r="D3023" s="2">
        <f t="shared" si="47"/>
        <v>1</v>
      </c>
    </row>
    <row r="3024" spans="1:4" x14ac:dyDescent="0.3">
      <c r="A3024" s="34">
        <v>31048</v>
      </c>
      <c r="B3024" s="35">
        <v>1</v>
      </c>
      <c r="C3024" s="35">
        <v>0</v>
      </c>
      <c r="D3024" s="2">
        <f t="shared" si="47"/>
        <v>1</v>
      </c>
    </row>
    <row r="3025" spans="1:4" x14ac:dyDescent="0.3">
      <c r="A3025" s="34">
        <v>31056</v>
      </c>
      <c r="B3025" s="35">
        <v>1</v>
      </c>
      <c r="C3025" s="35">
        <v>0</v>
      </c>
      <c r="D3025" s="2">
        <f t="shared" si="47"/>
        <v>1</v>
      </c>
    </row>
    <row r="3026" spans="1:4" x14ac:dyDescent="0.3">
      <c r="A3026" s="34">
        <v>31059</v>
      </c>
      <c r="B3026" s="35">
        <v>1</v>
      </c>
      <c r="C3026" s="35">
        <v>0</v>
      </c>
      <c r="D3026" s="2">
        <f t="shared" si="47"/>
        <v>1</v>
      </c>
    </row>
    <row r="3027" spans="1:4" x14ac:dyDescent="0.3">
      <c r="A3027" s="34">
        <v>31060</v>
      </c>
      <c r="B3027" s="35">
        <v>1</v>
      </c>
      <c r="C3027" s="35">
        <v>0</v>
      </c>
      <c r="D3027" s="2">
        <f t="shared" si="47"/>
        <v>1</v>
      </c>
    </row>
    <row r="3028" spans="1:4" x14ac:dyDescent="0.3">
      <c r="A3028" s="34">
        <v>31061</v>
      </c>
      <c r="B3028" s="35">
        <v>2</v>
      </c>
      <c r="C3028" s="35">
        <v>1</v>
      </c>
      <c r="D3028" s="2">
        <f t="shared" si="47"/>
        <v>3</v>
      </c>
    </row>
    <row r="3029" spans="1:4" x14ac:dyDescent="0.3">
      <c r="A3029" s="34">
        <v>31068</v>
      </c>
      <c r="B3029" s="35">
        <v>1</v>
      </c>
      <c r="C3029" s="35">
        <v>0</v>
      </c>
      <c r="D3029" s="2">
        <f t="shared" si="47"/>
        <v>1</v>
      </c>
    </row>
    <row r="3030" spans="1:4" x14ac:dyDescent="0.3">
      <c r="A3030" s="34">
        <v>31069</v>
      </c>
      <c r="B3030" s="35">
        <v>1</v>
      </c>
      <c r="C3030" s="35">
        <v>0</v>
      </c>
      <c r="D3030" s="2">
        <f t="shared" si="47"/>
        <v>1</v>
      </c>
    </row>
    <row r="3031" spans="1:4" x14ac:dyDescent="0.3">
      <c r="A3031" s="34">
        <v>31072</v>
      </c>
      <c r="B3031" s="35">
        <v>1</v>
      </c>
      <c r="C3031" s="35">
        <v>0</v>
      </c>
      <c r="D3031" s="2">
        <f t="shared" si="47"/>
        <v>1</v>
      </c>
    </row>
    <row r="3032" spans="1:4" x14ac:dyDescent="0.3">
      <c r="A3032" s="34">
        <v>31073</v>
      </c>
      <c r="B3032" s="35">
        <v>1</v>
      </c>
      <c r="C3032" s="35">
        <v>0</v>
      </c>
      <c r="D3032" s="2">
        <f t="shared" si="47"/>
        <v>1</v>
      </c>
    </row>
    <row r="3033" spans="1:4" x14ac:dyDescent="0.3">
      <c r="A3033" s="34">
        <v>31075</v>
      </c>
      <c r="B3033" s="35">
        <v>2</v>
      </c>
      <c r="C3033" s="35">
        <v>1</v>
      </c>
      <c r="D3033" s="2">
        <f t="shared" si="47"/>
        <v>3</v>
      </c>
    </row>
    <row r="3034" spans="1:4" x14ac:dyDescent="0.3">
      <c r="A3034" s="34">
        <v>31078</v>
      </c>
      <c r="B3034" s="35">
        <v>1</v>
      </c>
      <c r="C3034" s="35">
        <v>1</v>
      </c>
      <c r="D3034" s="2">
        <f t="shared" si="47"/>
        <v>2</v>
      </c>
    </row>
    <row r="3035" spans="1:4" x14ac:dyDescent="0.3">
      <c r="A3035" s="34">
        <v>31087</v>
      </c>
      <c r="B3035" s="35">
        <v>2</v>
      </c>
      <c r="C3035" s="35">
        <v>1</v>
      </c>
      <c r="D3035" s="2">
        <f t="shared" si="47"/>
        <v>3</v>
      </c>
    </row>
    <row r="3036" spans="1:4" x14ac:dyDescent="0.3">
      <c r="A3036" s="34">
        <v>31089</v>
      </c>
      <c r="B3036" s="35">
        <v>1</v>
      </c>
      <c r="C3036" s="35">
        <v>0</v>
      </c>
      <c r="D3036" s="2">
        <f t="shared" si="47"/>
        <v>1</v>
      </c>
    </row>
    <row r="3037" spans="1:4" x14ac:dyDescent="0.3">
      <c r="A3037" s="34">
        <v>31093</v>
      </c>
      <c r="B3037" s="35">
        <v>1</v>
      </c>
      <c r="C3037" s="35">
        <v>0</v>
      </c>
      <c r="D3037" s="2">
        <f t="shared" si="47"/>
        <v>1</v>
      </c>
    </row>
    <row r="3038" spans="1:4" x14ac:dyDescent="0.3">
      <c r="A3038" s="34">
        <v>31115</v>
      </c>
      <c r="B3038" s="35">
        <v>2</v>
      </c>
      <c r="C3038" s="35">
        <v>0</v>
      </c>
      <c r="D3038" s="2">
        <f t="shared" si="47"/>
        <v>2</v>
      </c>
    </row>
    <row r="3039" spans="1:4" x14ac:dyDescent="0.3">
      <c r="A3039" s="34">
        <v>31118</v>
      </c>
      <c r="B3039" s="35">
        <v>1</v>
      </c>
      <c r="C3039" s="35">
        <v>0</v>
      </c>
      <c r="D3039" s="2">
        <f t="shared" si="47"/>
        <v>1</v>
      </c>
    </row>
    <row r="3040" spans="1:4" x14ac:dyDescent="0.3">
      <c r="A3040" s="34">
        <v>31122</v>
      </c>
      <c r="B3040" s="35">
        <v>1</v>
      </c>
      <c r="C3040" s="35">
        <v>0</v>
      </c>
      <c r="D3040" s="2">
        <f t="shared" si="47"/>
        <v>1</v>
      </c>
    </row>
    <row r="3041" spans="1:4" x14ac:dyDescent="0.3">
      <c r="A3041" s="34">
        <v>31123</v>
      </c>
      <c r="B3041" s="35">
        <v>1</v>
      </c>
      <c r="C3041" s="35">
        <v>1</v>
      </c>
      <c r="D3041" s="2">
        <f t="shared" si="47"/>
        <v>2</v>
      </c>
    </row>
    <row r="3042" spans="1:4" x14ac:dyDescent="0.3">
      <c r="A3042" s="34">
        <v>31129</v>
      </c>
      <c r="B3042" s="35">
        <v>1</v>
      </c>
      <c r="C3042" s="35">
        <v>0</v>
      </c>
      <c r="D3042" s="2">
        <f t="shared" si="47"/>
        <v>1</v>
      </c>
    </row>
    <row r="3043" spans="1:4" x14ac:dyDescent="0.3">
      <c r="A3043" s="34">
        <v>31130</v>
      </c>
      <c r="B3043" s="35">
        <v>1</v>
      </c>
      <c r="C3043" s="35">
        <v>0</v>
      </c>
      <c r="D3043" s="2">
        <f t="shared" si="47"/>
        <v>1</v>
      </c>
    </row>
    <row r="3044" spans="1:4" x14ac:dyDescent="0.3">
      <c r="A3044" s="34">
        <v>31135</v>
      </c>
      <c r="B3044" s="35">
        <v>1</v>
      </c>
      <c r="C3044" s="35">
        <v>0</v>
      </c>
      <c r="D3044" s="2">
        <f t="shared" si="47"/>
        <v>1</v>
      </c>
    </row>
    <row r="3045" spans="1:4" x14ac:dyDescent="0.3">
      <c r="A3045" s="34">
        <v>31149</v>
      </c>
      <c r="B3045" s="35">
        <v>1</v>
      </c>
      <c r="C3045" s="35">
        <v>0</v>
      </c>
      <c r="D3045" s="2">
        <f t="shared" si="47"/>
        <v>1</v>
      </c>
    </row>
    <row r="3046" spans="1:4" x14ac:dyDescent="0.3">
      <c r="A3046" s="34">
        <v>31155</v>
      </c>
      <c r="B3046" s="35">
        <v>2</v>
      </c>
      <c r="C3046" s="35">
        <v>0</v>
      </c>
      <c r="D3046" s="2">
        <f t="shared" si="47"/>
        <v>2</v>
      </c>
    </row>
    <row r="3047" spans="1:4" x14ac:dyDescent="0.3">
      <c r="A3047" s="34">
        <v>31161</v>
      </c>
      <c r="B3047" s="35">
        <v>1</v>
      </c>
      <c r="C3047" s="35">
        <v>0</v>
      </c>
      <c r="D3047" s="2">
        <f t="shared" si="47"/>
        <v>1</v>
      </c>
    </row>
    <row r="3048" spans="1:4" x14ac:dyDescent="0.3">
      <c r="A3048" s="34">
        <v>31162</v>
      </c>
      <c r="B3048" s="35">
        <v>1</v>
      </c>
      <c r="C3048" s="35">
        <v>1</v>
      </c>
      <c r="D3048" s="2">
        <f t="shared" si="47"/>
        <v>2</v>
      </c>
    </row>
    <row r="3049" spans="1:4" x14ac:dyDescent="0.3">
      <c r="A3049" s="34">
        <v>31177</v>
      </c>
      <c r="B3049" s="35">
        <v>1</v>
      </c>
      <c r="C3049" s="35">
        <v>0</v>
      </c>
      <c r="D3049" s="2">
        <f t="shared" si="47"/>
        <v>1</v>
      </c>
    </row>
    <row r="3050" spans="1:4" x14ac:dyDescent="0.3">
      <c r="A3050" s="34">
        <v>31178</v>
      </c>
      <c r="B3050" s="35">
        <v>1</v>
      </c>
      <c r="C3050" s="35">
        <v>1</v>
      </c>
      <c r="D3050" s="2">
        <f t="shared" si="47"/>
        <v>2</v>
      </c>
    </row>
    <row r="3051" spans="1:4" x14ac:dyDescent="0.3">
      <c r="A3051" s="34">
        <v>31180</v>
      </c>
      <c r="B3051" s="35">
        <v>1</v>
      </c>
      <c r="C3051" s="35">
        <v>1</v>
      </c>
      <c r="D3051" s="2">
        <f t="shared" si="47"/>
        <v>2</v>
      </c>
    </row>
    <row r="3052" spans="1:4" x14ac:dyDescent="0.3">
      <c r="A3052" s="34">
        <v>31185</v>
      </c>
      <c r="B3052" s="35">
        <v>1</v>
      </c>
      <c r="C3052" s="35">
        <v>0</v>
      </c>
      <c r="D3052" s="2">
        <f t="shared" si="47"/>
        <v>1</v>
      </c>
    </row>
    <row r="3053" spans="1:4" x14ac:dyDescent="0.3">
      <c r="A3053" s="34">
        <v>31187</v>
      </c>
      <c r="B3053" s="35">
        <v>1</v>
      </c>
      <c r="C3053" s="35">
        <v>1</v>
      </c>
      <c r="D3053" s="2">
        <f t="shared" si="47"/>
        <v>2</v>
      </c>
    </row>
    <row r="3054" spans="1:4" x14ac:dyDescent="0.3">
      <c r="A3054" s="34">
        <v>31190</v>
      </c>
      <c r="B3054" s="35">
        <v>1</v>
      </c>
      <c r="C3054" s="35">
        <v>0</v>
      </c>
      <c r="D3054" s="2">
        <f t="shared" si="47"/>
        <v>1</v>
      </c>
    </row>
    <row r="3055" spans="1:4" x14ac:dyDescent="0.3">
      <c r="A3055" s="34">
        <v>31192</v>
      </c>
      <c r="B3055" s="35">
        <v>1</v>
      </c>
      <c r="C3055" s="35">
        <v>0</v>
      </c>
      <c r="D3055" s="2">
        <f t="shared" si="47"/>
        <v>1</v>
      </c>
    </row>
    <row r="3056" spans="1:4" x14ac:dyDescent="0.3">
      <c r="A3056" s="34">
        <v>31193</v>
      </c>
      <c r="B3056" s="35">
        <v>1</v>
      </c>
      <c r="C3056" s="35">
        <v>0</v>
      </c>
      <c r="D3056" s="2">
        <f t="shared" si="47"/>
        <v>1</v>
      </c>
    </row>
    <row r="3057" spans="1:4" x14ac:dyDescent="0.3">
      <c r="A3057" s="34">
        <v>31194</v>
      </c>
      <c r="B3057" s="35">
        <v>3</v>
      </c>
      <c r="C3057" s="35">
        <v>3</v>
      </c>
      <c r="D3057" s="2">
        <f t="shared" si="47"/>
        <v>6</v>
      </c>
    </row>
    <row r="3058" spans="1:4" x14ac:dyDescent="0.3">
      <c r="A3058" s="34">
        <v>31198</v>
      </c>
      <c r="B3058" s="35">
        <v>2</v>
      </c>
      <c r="C3058" s="35">
        <v>2</v>
      </c>
      <c r="D3058" s="2">
        <f t="shared" si="47"/>
        <v>4</v>
      </c>
    </row>
    <row r="3059" spans="1:4" x14ac:dyDescent="0.3">
      <c r="A3059" s="34">
        <v>31204</v>
      </c>
      <c r="B3059" s="35">
        <v>1</v>
      </c>
      <c r="C3059" s="35">
        <v>0</v>
      </c>
      <c r="D3059" s="2">
        <f t="shared" si="47"/>
        <v>1</v>
      </c>
    </row>
    <row r="3060" spans="1:4" x14ac:dyDescent="0.3">
      <c r="A3060" s="34">
        <v>31217</v>
      </c>
      <c r="B3060" s="35">
        <v>1</v>
      </c>
      <c r="C3060" s="35">
        <v>0</v>
      </c>
      <c r="D3060" s="2">
        <f t="shared" si="47"/>
        <v>1</v>
      </c>
    </row>
    <row r="3061" spans="1:4" x14ac:dyDescent="0.3">
      <c r="A3061" s="34">
        <v>31221</v>
      </c>
      <c r="B3061" s="35">
        <v>1</v>
      </c>
      <c r="C3061" s="35">
        <v>0</v>
      </c>
      <c r="D3061" s="2">
        <f t="shared" si="47"/>
        <v>1</v>
      </c>
    </row>
    <row r="3062" spans="1:4" x14ac:dyDescent="0.3">
      <c r="A3062" s="34">
        <v>31226</v>
      </c>
      <c r="B3062" s="35">
        <v>2</v>
      </c>
      <c r="C3062" s="35">
        <v>0</v>
      </c>
      <c r="D3062" s="2">
        <f t="shared" si="47"/>
        <v>2</v>
      </c>
    </row>
    <row r="3063" spans="1:4" x14ac:dyDescent="0.3">
      <c r="A3063" s="34">
        <v>31229</v>
      </c>
      <c r="B3063" s="35">
        <v>1</v>
      </c>
      <c r="C3063" s="35">
        <v>0</v>
      </c>
      <c r="D3063" s="2">
        <f t="shared" si="47"/>
        <v>1</v>
      </c>
    </row>
    <row r="3064" spans="1:4" x14ac:dyDescent="0.3">
      <c r="A3064" s="34">
        <v>31230</v>
      </c>
      <c r="B3064" s="35">
        <v>1</v>
      </c>
      <c r="C3064" s="35">
        <v>0</v>
      </c>
      <c r="D3064" s="2">
        <f t="shared" si="47"/>
        <v>1</v>
      </c>
    </row>
    <row r="3065" spans="1:4" x14ac:dyDescent="0.3">
      <c r="A3065" s="34">
        <v>31231</v>
      </c>
      <c r="B3065" s="35">
        <v>2</v>
      </c>
      <c r="C3065" s="35">
        <v>2</v>
      </c>
      <c r="D3065" s="2">
        <f t="shared" si="47"/>
        <v>4</v>
      </c>
    </row>
    <row r="3066" spans="1:4" x14ac:dyDescent="0.3">
      <c r="A3066" s="34">
        <v>31244</v>
      </c>
      <c r="B3066" s="35">
        <v>1</v>
      </c>
      <c r="C3066" s="35">
        <v>0</v>
      </c>
      <c r="D3066" s="2">
        <f t="shared" si="47"/>
        <v>1</v>
      </c>
    </row>
    <row r="3067" spans="1:4" x14ac:dyDescent="0.3">
      <c r="A3067" s="34">
        <v>31246</v>
      </c>
      <c r="B3067" s="35">
        <v>2</v>
      </c>
      <c r="C3067" s="35">
        <v>1</v>
      </c>
      <c r="D3067" s="2">
        <f t="shared" si="47"/>
        <v>3</v>
      </c>
    </row>
    <row r="3068" spans="1:4" x14ac:dyDescent="0.3">
      <c r="A3068" s="34">
        <v>31252</v>
      </c>
      <c r="B3068" s="35">
        <v>1</v>
      </c>
      <c r="C3068" s="35">
        <v>1</v>
      </c>
      <c r="D3068" s="2">
        <f t="shared" si="47"/>
        <v>2</v>
      </c>
    </row>
    <row r="3069" spans="1:4" x14ac:dyDescent="0.3">
      <c r="A3069" s="34">
        <v>31257</v>
      </c>
      <c r="B3069" s="35">
        <v>1</v>
      </c>
      <c r="C3069" s="35">
        <v>1</v>
      </c>
      <c r="D3069" s="2">
        <f t="shared" si="47"/>
        <v>2</v>
      </c>
    </row>
    <row r="3070" spans="1:4" x14ac:dyDescent="0.3">
      <c r="A3070" s="34">
        <v>31271</v>
      </c>
      <c r="B3070" s="35">
        <v>1</v>
      </c>
      <c r="C3070" s="35">
        <v>0</v>
      </c>
      <c r="D3070" s="2">
        <f t="shared" si="47"/>
        <v>1</v>
      </c>
    </row>
    <row r="3071" spans="1:4" x14ac:dyDescent="0.3">
      <c r="A3071" s="34">
        <v>31274</v>
      </c>
      <c r="B3071" s="35">
        <v>1</v>
      </c>
      <c r="C3071" s="35">
        <v>0</v>
      </c>
      <c r="D3071" s="2">
        <f t="shared" si="47"/>
        <v>1</v>
      </c>
    </row>
    <row r="3072" spans="1:4" x14ac:dyDescent="0.3">
      <c r="A3072" s="34">
        <v>31280</v>
      </c>
      <c r="B3072" s="35">
        <v>2</v>
      </c>
      <c r="C3072" s="35">
        <v>0</v>
      </c>
      <c r="D3072" s="2">
        <f t="shared" si="47"/>
        <v>2</v>
      </c>
    </row>
    <row r="3073" spans="1:4" x14ac:dyDescent="0.3">
      <c r="A3073" s="34">
        <v>31282</v>
      </c>
      <c r="B3073" s="35">
        <v>1</v>
      </c>
      <c r="C3073" s="35">
        <v>0</v>
      </c>
      <c r="D3073" s="2">
        <f t="shared" si="47"/>
        <v>1</v>
      </c>
    </row>
    <row r="3074" spans="1:4" x14ac:dyDescent="0.3">
      <c r="A3074" s="34">
        <v>31283</v>
      </c>
      <c r="B3074" s="35">
        <v>1</v>
      </c>
      <c r="C3074" s="35">
        <v>0</v>
      </c>
      <c r="D3074" s="2">
        <f t="shared" si="47"/>
        <v>1</v>
      </c>
    </row>
    <row r="3075" spans="1:4" x14ac:dyDescent="0.3">
      <c r="A3075" s="34">
        <v>31285</v>
      </c>
      <c r="B3075" s="35">
        <v>2</v>
      </c>
      <c r="C3075" s="35">
        <v>1</v>
      </c>
      <c r="D3075" s="2">
        <f t="shared" ref="D3075:D3138" si="48">B3075+C3075</f>
        <v>3</v>
      </c>
    </row>
    <row r="3076" spans="1:4" x14ac:dyDescent="0.3">
      <c r="A3076" s="34">
        <v>31292</v>
      </c>
      <c r="B3076" s="35">
        <v>1</v>
      </c>
      <c r="C3076" s="35">
        <v>0</v>
      </c>
      <c r="D3076" s="2">
        <f t="shared" si="48"/>
        <v>1</v>
      </c>
    </row>
    <row r="3077" spans="1:4" x14ac:dyDescent="0.3">
      <c r="A3077" s="34">
        <v>31294</v>
      </c>
      <c r="B3077" s="35">
        <v>1</v>
      </c>
      <c r="C3077" s="35">
        <v>0</v>
      </c>
      <c r="D3077" s="2">
        <f t="shared" si="48"/>
        <v>1</v>
      </c>
    </row>
    <row r="3078" spans="1:4" x14ac:dyDescent="0.3">
      <c r="A3078" s="34">
        <v>31305</v>
      </c>
      <c r="B3078" s="35">
        <v>1</v>
      </c>
      <c r="C3078" s="35">
        <v>0</v>
      </c>
      <c r="D3078" s="2">
        <f t="shared" si="48"/>
        <v>1</v>
      </c>
    </row>
    <row r="3079" spans="1:4" x14ac:dyDescent="0.3">
      <c r="A3079" s="34">
        <v>31317</v>
      </c>
      <c r="B3079" s="35">
        <v>2</v>
      </c>
      <c r="C3079" s="35">
        <v>0</v>
      </c>
      <c r="D3079" s="2">
        <f t="shared" si="48"/>
        <v>2</v>
      </c>
    </row>
    <row r="3080" spans="1:4" x14ac:dyDescent="0.3">
      <c r="A3080" s="34">
        <v>31331</v>
      </c>
      <c r="B3080" s="35">
        <v>1</v>
      </c>
      <c r="C3080" s="35">
        <v>0</v>
      </c>
      <c r="D3080" s="2">
        <f t="shared" si="48"/>
        <v>1</v>
      </c>
    </row>
    <row r="3081" spans="1:4" x14ac:dyDescent="0.3">
      <c r="A3081" s="34">
        <v>31333</v>
      </c>
      <c r="B3081" s="35">
        <v>2</v>
      </c>
      <c r="C3081" s="35">
        <v>1</v>
      </c>
      <c r="D3081" s="2">
        <f t="shared" si="48"/>
        <v>3</v>
      </c>
    </row>
    <row r="3082" spans="1:4" x14ac:dyDescent="0.3">
      <c r="A3082" s="34">
        <v>31338</v>
      </c>
      <c r="B3082" s="35">
        <v>1</v>
      </c>
      <c r="C3082" s="35">
        <v>0</v>
      </c>
      <c r="D3082" s="2">
        <f t="shared" si="48"/>
        <v>1</v>
      </c>
    </row>
    <row r="3083" spans="1:4" x14ac:dyDescent="0.3">
      <c r="A3083" s="34">
        <v>31351</v>
      </c>
      <c r="B3083" s="35">
        <v>1</v>
      </c>
      <c r="C3083" s="35">
        <v>0</v>
      </c>
      <c r="D3083" s="2">
        <f t="shared" si="48"/>
        <v>1</v>
      </c>
    </row>
    <row r="3084" spans="1:4" x14ac:dyDescent="0.3">
      <c r="A3084" s="34">
        <v>31353</v>
      </c>
      <c r="B3084" s="35">
        <v>1</v>
      </c>
      <c r="C3084" s="35">
        <v>0</v>
      </c>
      <c r="D3084" s="2">
        <f t="shared" si="48"/>
        <v>1</v>
      </c>
    </row>
    <row r="3085" spans="1:4" x14ac:dyDescent="0.3">
      <c r="A3085" s="34">
        <v>31355</v>
      </c>
      <c r="B3085" s="35">
        <v>1</v>
      </c>
      <c r="C3085" s="35">
        <v>0</v>
      </c>
      <c r="D3085" s="2">
        <f t="shared" si="48"/>
        <v>1</v>
      </c>
    </row>
    <row r="3086" spans="1:4" x14ac:dyDescent="0.3">
      <c r="A3086" s="34">
        <v>31359</v>
      </c>
      <c r="B3086" s="35">
        <v>1</v>
      </c>
      <c r="C3086" s="35">
        <v>0</v>
      </c>
      <c r="D3086" s="2">
        <f t="shared" si="48"/>
        <v>1</v>
      </c>
    </row>
    <row r="3087" spans="1:4" x14ac:dyDescent="0.3">
      <c r="A3087" s="34">
        <v>31361</v>
      </c>
      <c r="B3087" s="35">
        <v>1</v>
      </c>
      <c r="C3087" s="35">
        <v>0</v>
      </c>
      <c r="D3087" s="2">
        <f t="shared" si="48"/>
        <v>1</v>
      </c>
    </row>
    <row r="3088" spans="1:4" x14ac:dyDescent="0.3">
      <c r="A3088" s="34">
        <v>31364</v>
      </c>
      <c r="B3088" s="35">
        <v>1</v>
      </c>
      <c r="C3088" s="35">
        <v>0</v>
      </c>
      <c r="D3088" s="2">
        <f t="shared" si="48"/>
        <v>1</v>
      </c>
    </row>
    <row r="3089" spans="1:4" x14ac:dyDescent="0.3">
      <c r="A3089" s="34">
        <v>31368</v>
      </c>
      <c r="B3089" s="35">
        <v>1</v>
      </c>
      <c r="C3089" s="35">
        <v>1</v>
      </c>
      <c r="D3089" s="2">
        <f t="shared" si="48"/>
        <v>2</v>
      </c>
    </row>
    <row r="3090" spans="1:4" x14ac:dyDescent="0.3">
      <c r="A3090" s="34">
        <v>31372</v>
      </c>
      <c r="B3090" s="35">
        <v>1</v>
      </c>
      <c r="C3090" s="35">
        <v>0</v>
      </c>
      <c r="D3090" s="2">
        <f t="shared" si="48"/>
        <v>1</v>
      </c>
    </row>
    <row r="3091" spans="1:4" x14ac:dyDescent="0.3">
      <c r="A3091" s="34">
        <v>31374</v>
      </c>
      <c r="B3091" s="35">
        <v>1</v>
      </c>
      <c r="C3091" s="35">
        <v>0</v>
      </c>
      <c r="D3091" s="2">
        <f t="shared" si="48"/>
        <v>1</v>
      </c>
    </row>
    <row r="3092" spans="1:4" x14ac:dyDescent="0.3">
      <c r="A3092" s="34">
        <v>31375</v>
      </c>
      <c r="B3092" s="35">
        <v>1</v>
      </c>
      <c r="C3092" s="35">
        <v>0</v>
      </c>
      <c r="D3092" s="2">
        <f t="shared" si="48"/>
        <v>1</v>
      </c>
    </row>
    <row r="3093" spans="1:4" x14ac:dyDescent="0.3">
      <c r="A3093" s="34">
        <v>31376</v>
      </c>
      <c r="B3093" s="35">
        <v>1</v>
      </c>
      <c r="C3093" s="35">
        <v>0</v>
      </c>
      <c r="D3093" s="2">
        <f t="shared" si="48"/>
        <v>1</v>
      </c>
    </row>
    <row r="3094" spans="1:4" x14ac:dyDescent="0.3">
      <c r="A3094" s="34">
        <v>31383</v>
      </c>
      <c r="B3094" s="35">
        <v>1</v>
      </c>
      <c r="C3094" s="35">
        <v>0</v>
      </c>
      <c r="D3094" s="2">
        <f t="shared" si="48"/>
        <v>1</v>
      </c>
    </row>
    <row r="3095" spans="1:4" x14ac:dyDescent="0.3">
      <c r="A3095" s="34">
        <v>31389</v>
      </c>
      <c r="B3095" s="35">
        <v>1</v>
      </c>
      <c r="C3095" s="35">
        <v>0</v>
      </c>
      <c r="D3095" s="2">
        <f t="shared" si="48"/>
        <v>1</v>
      </c>
    </row>
    <row r="3096" spans="1:4" x14ac:dyDescent="0.3">
      <c r="A3096" s="34">
        <v>31395</v>
      </c>
      <c r="B3096" s="35">
        <v>1</v>
      </c>
      <c r="C3096" s="35">
        <v>0</v>
      </c>
      <c r="D3096" s="2">
        <f t="shared" si="48"/>
        <v>1</v>
      </c>
    </row>
    <row r="3097" spans="1:4" x14ac:dyDescent="0.3">
      <c r="A3097" s="34">
        <v>31396</v>
      </c>
      <c r="B3097" s="35">
        <v>1</v>
      </c>
      <c r="C3097" s="35">
        <v>0</v>
      </c>
      <c r="D3097" s="2">
        <f t="shared" si="48"/>
        <v>1</v>
      </c>
    </row>
    <row r="3098" spans="1:4" x14ac:dyDescent="0.3">
      <c r="A3098" s="34">
        <v>31397</v>
      </c>
      <c r="B3098" s="35">
        <v>1</v>
      </c>
      <c r="C3098" s="35">
        <v>1</v>
      </c>
      <c r="D3098" s="2">
        <f t="shared" si="48"/>
        <v>2</v>
      </c>
    </row>
    <row r="3099" spans="1:4" x14ac:dyDescent="0.3">
      <c r="A3099" s="34">
        <v>31405</v>
      </c>
      <c r="B3099" s="35">
        <v>1</v>
      </c>
      <c r="C3099" s="35">
        <v>0</v>
      </c>
      <c r="D3099" s="2">
        <f t="shared" si="48"/>
        <v>1</v>
      </c>
    </row>
    <row r="3100" spans="1:4" x14ac:dyDescent="0.3">
      <c r="A3100" s="34">
        <v>31406</v>
      </c>
      <c r="B3100" s="35">
        <v>1</v>
      </c>
      <c r="C3100" s="35">
        <v>0</v>
      </c>
      <c r="D3100" s="2">
        <f t="shared" si="48"/>
        <v>1</v>
      </c>
    </row>
    <row r="3101" spans="1:4" x14ac:dyDescent="0.3">
      <c r="A3101" s="34">
        <v>31408</v>
      </c>
      <c r="B3101" s="35">
        <v>1</v>
      </c>
      <c r="C3101" s="35">
        <v>0</v>
      </c>
      <c r="D3101" s="2">
        <f t="shared" si="48"/>
        <v>1</v>
      </c>
    </row>
    <row r="3102" spans="1:4" x14ac:dyDescent="0.3">
      <c r="A3102" s="34">
        <v>31414</v>
      </c>
      <c r="B3102" s="35">
        <v>1</v>
      </c>
      <c r="C3102" s="35">
        <v>0</v>
      </c>
      <c r="D3102" s="2">
        <f t="shared" si="48"/>
        <v>1</v>
      </c>
    </row>
    <row r="3103" spans="1:4" x14ac:dyDescent="0.3">
      <c r="A3103" s="34">
        <v>31422</v>
      </c>
      <c r="B3103" s="35">
        <v>1</v>
      </c>
      <c r="C3103" s="35">
        <v>0</v>
      </c>
      <c r="D3103" s="2">
        <f t="shared" si="48"/>
        <v>1</v>
      </c>
    </row>
    <row r="3104" spans="1:4" x14ac:dyDescent="0.3">
      <c r="A3104" s="34">
        <v>31424</v>
      </c>
      <c r="B3104" s="35">
        <v>1</v>
      </c>
      <c r="C3104" s="35">
        <v>0</v>
      </c>
      <c r="D3104" s="2">
        <f t="shared" si="48"/>
        <v>1</v>
      </c>
    </row>
    <row r="3105" spans="1:4" x14ac:dyDescent="0.3">
      <c r="A3105" s="34">
        <v>31431</v>
      </c>
      <c r="B3105" s="35">
        <v>1</v>
      </c>
      <c r="C3105" s="35">
        <v>0</v>
      </c>
      <c r="D3105" s="2">
        <f t="shared" si="48"/>
        <v>1</v>
      </c>
    </row>
    <row r="3106" spans="1:4" x14ac:dyDescent="0.3">
      <c r="A3106" s="34">
        <v>31436</v>
      </c>
      <c r="B3106" s="35">
        <v>1</v>
      </c>
      <c r="C3106" s="35">
        <v>0</v>
      </c>
      <c r="D3106" s="2">
        <f t="shared" si="48"/>
        <v>1</v>
      </c>
    </row>
    <row r="3107" spans="1:4" x14ac:dyDescent="0.3">
      <c r="A3107" s="34">
        <v>31442</v>
      </c>
      <c r="B3107" s="35">
        <v>1</v>
      </c>
      <c r="C3107" s="35">
        <v>0</v>
      </c>
      <c r="D3107" s="2">
        <f t="shared" si="48"/>
        <v>1</v>
      </c>
    </row>
    <row r="3108" spans="1:4" x14ac:dyDescent="0.3">
      <c r="A3108" s="34">
        <v>31444</v>
      </c>
      <c r="B3108" s="35">
        <v>1</v>
      </c>
      <c r="C3108" s="35">
        <v>0</v>
      </c>
      <c r="D3108" s="2">
        <f t="shared" si="48"/>
        <v>1</v>
      </c>
    </row>
    <row r="3109" spans="1:4" x14ac:dyDescent="0.3">
      <c r="A3109" s="34">
        <v>31446</v>
      </c>
      <c r="B3109" s="35">
        <v>1</v>
      </c>
      <c r="C3109" s="35">
        <v>0</v>
      </c>
      <c r="D3109" s="2">
        <f t="shared" si="48"/>
        <v>1</v>
      </c>
    </row>
    <row r="3110" spans="1:4" x14ac:dyDescent="0.3">
      <c r="A3110" s="34">
        <v>31447</v>
      </c>
      <c r="B3110" s="35">
        <v>1</v>
      </c>
      <c r="C3110" s="35">
        <v>1</v>
      </c>
      <c r="D3110" s="2">
        <f t="shared" si="48"/>
        <v>2</v>
      </c>
    </row>
    <row r="3111" spans="1:4" x14ac:dyDescent="0.3">
      <c r="A3111" s="34">
        <v>31461</v>
      </c>
      <c r="B3111" s="35">
        <v>1</v>
      </c>
      <c r="C3111" s="35">
        <v>0</v>
      </c>
      <c r="D3111" s="2">
        <f t="shared" si="48"/>
        <v>1</v>
      </c>
    </row>
    <row r="3112" spans="1:4" x14ac:dyDescent="0.3">
      <c r="A3112" s="34">
        <v>31465</v>
      </c>
      <c r="B3112" s="35">
        <v>1</v>
      </c>
      <c r="C3112" s="35">
        <v>1</v>
      </c>
      <c r="D3112" s="2">
        <f t="shared" si="48"/>
        <v>2</v>
      </c>
    </row>
    <row r="3113" spans="1:4" x14ac:dyDescent="0.3">
      <c r="A3113" s="34">
        <v>31466</v>
      </c>
      <c r="B3113" s="35">
        <v>3</v>
      </c>
      <c r="C3113" s="35">
        <v>3</v>
      </c>
      <c r="D3113" s="2">
        <f t="shared" si="48"/>
        <v>6</v>
      </c>
    </row>
    <row r="3114" spans="1:4" x14ac:dyDescent="0.3">
      <c r="A3114" s="34">
        <v>31470</v>
      </c>
      <c r="B3114" s="35">
        <v>2</v>
      </c>
      <c r="C3114" s="35">
        <v>1</v>
      </c>
      <c r="D3114" s="2">
        <f t="shared" si="48"/>
        <v>3</v>
      </c>
    </row>
    <row r="3115" spans="1:4" x14ac:dyDescent="0.3">
      <c r="A3115" s="34">
        <v>31482</v>
      </c>
      <c r="B3115" s="35">
        <v>1</v>
      </c>
      <c r="C3115" s="35">
        <v>0</v>
      </c>
      <c r="D3115" s="2">
        <f t="shared" si="48"/>
        <v>1</v>
      </c>
    </row>
    <row r="3116" spans="1:4" x14ac:dyDescent="0.3">
      <c r="A3116" s="34">
        <v>31484</v>
      </c>
      <c r="B3116" s="35">
        <v>1</v>
      </c>
      <c r="C3116" s="35">
        <v>0</v>
      </c>
      <c r="D3116" s="2">
        <f t="shared" si="48"/>
        <v>1</v>
      </c>
    </row>
    <row r="3117" spans="1:4" x14ac:dyDescent="0.3">
      <c r="A3117" s="34">
        <v>31485</v>
      </c>
      <c r="B3117" s="35">
        <v>2</v>
      </c>
      <c r="C3117" s="35">
        <v>1</v>
      </c>
      <c r="D3117" s="2">
        <f t="shared" si="48"/>
        <v>3</v>
      </c>
    </row>
    <row r="3118" spans="1:4" x14ac:dyDescent="0.3">
      <c r="A3118" s="34">
        <v>31486</v>
      </c>
      <c r="B3118" s="35">
        <v>2</v>
      </c>
      <c r="C3118" s="35">
        <v>2</v>
      </c>
      <c r="D3118" s="2">
        <f t="shared" si="48"/>
        <v>4</v>
      </c>
    </row>
    <row r="3119" spans="1:4" x14ac:dyDescent="0.3">
      <c r="A3119" s="34">
        <v>31487</v>
      </c>
      <c r="B3119" s="35">
        <v>2</v>
      </c>
      <c r="C3119" s="35">
        <v>2</v>
      </c>
      <c r="D3119" s="2">
        <f t="shared" si="48"/>
        <v>4</v>
      </c>
    </row>
    <row r="3120" spans="1:4" x14ac:dyDescent="0.3">
      <c r="A3120" s="34">
        <v>31489</v>
      </c>
      <c r="B3120" s="35">
        <v>2</v>
      </c>
      <c r="C3120" s="35">
        <v>0</v>
      </c>
      <c r="D3120" s="2">
        <f t="shared" si="48"/>
        <v>2</v>
      </c>
    </row>
    <row r="3121" spans="1:4" x14ac:dyDescent="0.3">
      <c r="A3121" s="34">
        <v>31495</v>
      </c>
      <c r="B3121" s="35">
        <v>1</v>
      </c>
      <c r="C3121" s="35">
        <v>0</v>
      </c>
      <c r="D3121" s="2">
        <f t="shared" si="48"/>
        <v>1</v>
      </c>
    </row>
    <row r="3122" spans="1:4" x14ac:dyDescent="0.3">
      <c r="A3122" s="34">
        <v>31497</v>
      </c>
      <c r="B3122" s="35">
        <v>1</v>
      </c>
      <c r="C3122" s="35">
        <v>1</v>
      </c>
      <c r="D3122" s="2">
        <f t="shared" si="48"/>
        <v>2</v>
      </c>
    </row>
    <row r="3123" spans="1:4" x14ac:dyDescent="0.3">
      <c r="A3123" s="34">
        <v>31498</v>
      </c>
      <c r="B3123" s="35">
        <v>1</v>
      </c>
      <c r="C3123" s="35">
        <v>0</v>
      </c>
      <c r="D3123" s="2">
        <f t="shared" si="48"/>
        <v>1</v>
      </c>
    </row>
    <row r="3124" spans="1:4" x14ac:dyDescent="0.3">
      <c r="A3124" s="34">
        <v>31505</v>
      </c>
      <c r="B3124" s="35">
        <v>1</v>
      </c>
      <c r="C3124" s="35">
        <v>0</v>
      </c>
      <c r="D3124" s="2">
        <f t="shared" si="48"/>
        <v>1</v>
      </c>
    </row>
    <row r="3125" spans="1:4" x14ac:dyDescent="0.3">
      <c r="A3125" s="34">
        <v>31516</v>
      </c>
      <c r="B3125" s="35">
        <v>1</v>
      </c>
      <c r="C3125" s="35">
        <v>0</v>
      </c>
      <c r="D3125" s="2">
        <f t="shared" si="48"/>
        <v>1</v>
      </c>
    </row>
    <row r="3126" spans="1:4" x14ac:dyDescent="0.3">
      <c r="A3126" s="34">
        <v>31539</v>
      </c>
      <c r="B3126" s="35">
        <v>1</v>
      </c>
      <c r="C3126" s="35">
        <v>0</v>
      </c>
      <c r="D3126" s="2">
        <f t="shared" si="48"/>
        <v>1</v>
      </c>
    </row>
    <row r="3127" spans="1:4" x14ac:dyDescent="0.3">
      <c r="A3127" s="34">
        <v>31547</v>
      </c>
      <c r="B3127" s="35">
        <v>1</v>
      </c>
      <c r="C3127" s="35">
        <v>0</v>
      </c>
      <c r="D3127" s="2">
        <f t="shared" si="48"/>
        <v>1</v>
      </c>
    </row>
    <row r="3128" spans="1:4" x14ac:dyDescent="0.3">
      <c r="A3128" s="34">
        <v>31549</v>
      </c>
      <c r="B3128" s="35">
        <v>1</v>
      </c>
      <c r="C3128" s="35">
        <v>0</v>
      </c>
      <c r="D3128" s="2">
        <f t="shared" si="48"/>
        <v>1</v>
      </c>
    </row>
    <row r="3129" spans="1:4" x14ac:dyDescent="0.3">
      <c r="A3129" s="34">
        <v>31561</v>
      </c>
      <c r="B3129" s="35">
        <v>1</v>
      </c>
      <c r="C3129" s="35">
        <v>0</v>
      </c>
      <c r="D3129" s="2">
        <f t="shared" si="48"/>
        <v>1</v>
      </c>
    </row>
    <row r="3130" spans="1:4" x14ac:dyDescent="0.3">
      <c r="A3130" s="34">
        <v>31562</v>
      </c>
      <c r="B3130" s="35">
        <v>1</v>
      </c>
      <c r="C3130" s="35">
        <v>0</v>
      </c>
      <c r="D3130" s="2">
        <f t="shared" si="48"/>
        <v>1</v>
      </c>
    </row>
    <row r="3131" spans="1:4" x14ac:dyDescent="0.3">
      <c r="A3131" s="34">
        <v>31563</v>
      </c>
      <c r="B3131" s="35">
        <v>1</v>
      </c>
      <c r="C3131" s="35">
        <v>0</v>
      </c>
      <c r="D3131" s="2">
        <f t="shared" si="48"/>
        <v>1</v>
      </c>
    </row>
    <row r="3132" spans="1:4" x14ac:dyDescent="0.3">
      <c r="A3132" s="34">
        <v>31566</v>
      </c>
      <c r="B3132" s="35">
        <v>1</v>
      </c>
      <c r="C3132" s="35">
        <v>0</v>
      </c>
      <c r="D3132" s="2">
        <f t="shared" si="48"/>
        <v>1</v>
      </c>
    </row>
    <row r="3133" spans="1:4" x14ac:dyDescent="0.3">
      <c r="A3133" s="34">
        <v>31568</v>
      </c>
      <c r="B3133" s="35">
        <v>1</v>
      </c>
      <c r="C3133" s="35">
        <v>0</v>
      </c>
      <c r="D3133" s="2">
        <f t="shared" si="48"/>
        <v>1</v>
      </c>
    </row>
    <row r="3134" spans="1:4" x14ac:dyDescent="0.3">
      <c r="A3134" s="34">
        <v>31569</v>
      </c>
      <c r="B3134" s="35">
        <v>1</v>
      </c>
      <c r="C3134" s="35">
        <v>0</v>
      </c>
      <c r="D3134" s="2">
        <f t="shared" si="48"/>
        <v>1</v>
      </c>
    </row>
    <row r="3135" spans="1:4" x14ac:dyDescent="0.3">
      <c r="A3135" s="34">
        <v>31580</v>
      </c>
      <c r="B3135" s="35">
        <v>1</v>
      </c>
      <c r="C3135" s="35">
        <v>0</v>
      </c>
      <c r="D3135" s="2">
        <f t="shared" si="48"/>
        <v>1</v>
      </c>
    </row>
    <row r="3136" spans="1:4" x14ac:dyDescent="0.3">
      <c r="A3136" s="34">
        <v>31589</v>
      </c>
      <c r="B3136" s="35">
        <v>1</v>
      </c>
      <c r="C3136" s="35">
        <v>0</v>
      </c>
      <c r="D3136" s="2">
        <f t="shared" si="48"/>
        <v>1</v>
      </c>
    </row>
    <row r="3137" spans="1:4" x14ac:dyDescent="0.3">
      <c r="A3137" s="34">
        <v>31603</v>
      </c>
      <c r="B3137" s="35">
        <v>2</v>
      </c>
      <c r="C3137" s="35">
        <v>2</v>
      </c>
      <c r="D3137" s="2">
        <f t="shared" si="48"/>
        <v>4</v>
      </c>
    </row>
    <row r="3138" spans="1:4" x14ac:dyDescent="0.3">
      <c r="A3138" s="34">
        <v>31606</v>
      </c>
      <c r="B3138" s="35">
        <v>1</v>
      </c>
      <c r="C3138" s="35">
        <v>0</v>
      </c>
      <c r="D3138" s="2">
        <f t="shared" si="48"/>
        <v>1</v>
      </c>
    </row>
    <row r="3139" spans="1:4" x14ac:dyDescent="0.3">
      <c r="A3139" s="34">
        <v>31607</v>
      </c>
      <c r="B3139" s="35">
        <v>1</v>
      </c>
      <c r="C3139" s="35">
        <v>0</v>
      </c>
      <c r="D3139" s="2">
        <f t="shared" ref="D3139:D3202" si="49">B3139+C3139</f>
        <v>1</v>
      </c>
    </row>
    <row r="3140" spans="1:4" x14ac:dyDescent="0.3">
      <c r="A3140" s="34">
        <v>31612</v>
      </c>
      <c r="B3140" s="35">
        <v>2</v>
      </c>
      <c r="C3140" s="35">
        <v>1</v>
      </c>
      <c r="D3140" s="2">
        <f t="shared" si="49"/>
        <v>3</v>
      </c>
    </row>
    <row r="3141" spans="1:4" x14ac:dyDescent="0.3">
      <c r="A3141" s="34">
        <v>31613</v>
      </c>
      <c r="B3141" s="35">
        <v>2</v>
      </c>
      <c r="C3141" s="35">
        <v>2</v>
      </c>
      <c r="D3141" s="2">
        <f t="shared" si="49"/>
        <v>4</v>
      </c>
    </row>
    <row r="3142" spans="1:4" x14ac:dyDescent="0.3">
      <c r="A3142" s="34">
        <v>31617</v>
      </c>
      <c r="B3142" s="35">
        <v>1</v>
      </c>
      <c r="C3142" s="35">
        <v>0</v>
      </c>
      <c r="D3142" s="2">
        <f t="shared" si="49"/>
        <v>1</v>
      </c>
    </row>
    <row r="3143" spans="1:4" x14ac:dyDescent="0.3">
      <c r="A3143" s="34">
        <v>31621</v>
      </c>
      <c r="B3143" s="35">
        <v>1</v>
      </c>
      <c r="C3143" s="35">
        <v>0</v>
      </c>
      <c r="D3143" s="2">
        <f t="shared" si="49"/>
        <v>1</v>
      </c>
    </row>
    <row r="3144" spans="1:4" x14ac:dyDescent="0.3">
      <c r="A3144" s="34">
        <v>31625</v>
      </c>
      <c r="B3144" s="35">
        <v>1</v>
      </c>
      <c r="C3144" s="35">
        <v>0</v>
      </c>
      <c r="D3144" s="2">
        <f t="shared" si="49"/>
        <v>1</v>
      </c>
    </row>
    <row r="3145" spans="1:4" x14ac:dyDescent="0.3">
      <c r="A3145" s="34">
        <v>31639</v>
      </c>
      <c r="B3145" s="35">
        <v>1</v>
      </c>
      <c r="C3145" s="35">
        <v>0</v>
      </c>
      <c r="D3145" s="2">
        <f t="shared" si="49"/>
        <v>1</v>
      </c>
    </row>
    <row r="3146" spans="1:4" x14ac:dyDescent="0.3">
      <c r="A3146" s="34">
        <v>31668</v>
      </c>
      <c r="B3146" s="35">
        <v>1</v>
      </c>
      <c r="C3146" s="35">
        <v>0</v>
      </c>
      <c r="D3146" s="2">
        <f t="shared" si="49"/>
        <v>1</v>
      </c>
    </row>
    <row r="3147" spans="1:4" x14ac:dyDescent="0.3">
      <c r="A3147" s="34">
        <v>31671</v>
      </c>
      <c r="B3147" s="35">
        <v>1</v>
      </c>
      <c r="C3147" s="35">
        <v>1</v>
      </c>
      <c r="D3147" s="2">
        <f t="shared" si="49"/>
        <v>2</v>
      </c>
    </row>
    <row r="3148" spans="1:4" x14ac:dyDescent="0.3">
      <c r="A3148" s="34">
        <v>31672</v>
      </c>
      <c r="B3148" s="35">
        <v>1</v>
      </c>
      <c r="C3148" s="35">
        <v>1</v>
      </c>
      <c r="D3148" s="2">
        <f t="shared" si="49"/>
        <v>2</v>
      </c>
    </row>
    <row r="3149" spans="1:4" x14ac:dyDescent="0.3">
      <c r="A3149" s="34">
        <v>31675</v>
      </c>
      <c r="B3149" s="35">
        <v>1</v>
      </c>
      <c r="C3149" s="35">
        <v>0</v>
      </c>
      <c r="D3149" s="2">
        <f t="shared" si="49"/>
        <v>1</v>
      </c>
    </row>
    <row r="3150" spans="1:4" x14ac:dyDescent="0.3">
      <c r="A3150" s="34">
        <v>31677</v>
      </c>
      <c r="B3150" s="35">
        <v>2</v>
      </c>
      <c r="C3150" s="35">
        <v>0</v>
      </c>
      <c r="D3150" s="2">
        <f t="shared" si="49"/>
        <v>2</v>
      </c>
    </row>
    <row r="3151" spans="1:4" x14ac:dyDescent="0.3">
      <c r="A3151" s="34">
        <v>31678</v>
      </c>
      <c r="B3151" s="35">
        <v>1</v>
      </c>
      <c r="C3151" s="35">
        <v>0</v>
      </c>
      <c r="D3151" s="2">
        <f t="shared" si="49"/>
        <v>1</v>
      </c>
    </row>
    <row r="3152" spans="1:4" x14ac:dyDescent="0.3">
      <c r="A3152" s="34">
        <v>31680</v>
      </c>
      <c r="B3152" s="35">
        <v>2</v>
      </c>
      <c r="C3152" s="35">
        <v>1</v>
      </c>
      <c r="D3152" s="2">
        <f t="shared" si="49"/>
        <v>3</v>
      </c>
    </row>
    <row r="3153" spans="1:4" x14ac:dyDescent="0.3">
      <c r="A3153" s="34">
        <v>31681</v>
      </c>
      <c r="B3153" s="35">
        <v>1</v>
      </c>
      <c r="C3153" s="35">
        <v>0</v>
      </c>
      <c r="D3153" s="2">
        <f t="shared" si="49"/>
        <v>1</v>
      </c>
    </row>
    <row r="3154" spans="1:4" x14ac:dyDescent="0.3">
      <c r="A3154" s="34">
        <v>31688</v>
      </c>
      <c r="B3154" s="35">
        <v>1</v>
      </c>
      <c r="C3154" s="35">
        <v>0</v>
      </c>
      <c r="D3154" s="2">
        <f t="shared" si="49"/>
        <v>1</v>
      </c>
    </row>
    <row r="3155" spans="1:4" x14ac:dyDescent="0.3">
      <c r="A3155" s="34">
        <v>31689</v>
      </c>
      <c r="B3155" s="35">
        <v>2</v>
      </c>
      <c r="C3155" s="35">
        <v>0</v>
      </c>
      <c r="D3155" s="2">
        <f t="shared" si="49"/>
        <v>2</v>
      </c>
    </row>
    <row r="3156" spans="1:4" x14ac:dyDescent="0.3">
      <c r="A3156" s="34">
        <v>31690</v>
      </c>
      <c r="B3156" s="35">
        <v>1</v>
      </c>
      <c r="C3156" s="35">
        <v>0</v>
      </c>
      <c r="D3156" s="2">
        <f t="shared" si="49"/>
        <v>1</v>
      </c>
    </row>
    <row r="3157" spans="1:4" x14ac:dyDescent="0.3">
      <c r="A3157" s="34">
        <v>31691</v>
      </c>
      <c r="B3157" s="35">
        <v>1</v>
      </c>
      <c r="C3157" s="35">
        <v>0</v>
      </c>
      <c r="D3157" s="2">
        <f t="shared" si="49"/>
        <v>1</v>
      </c>
    </row>
    <row r="3158" spans="1:4" x14ac:dyDescent="0.3">
      <c r="A3158" s="34">
        <v>31692</v>
      </c>
      <c r="B3158" s="35">
        <v>1</v>
      </c>
      <c r="C3158" s="35">
        <v>0</v>
      </c>
      <c r="D3158" s="2">
        <f t="shared" si="49"/>
        <v>1</v>
      </c>
    </row>
    <row r="3159" spans="1:4" x14ac:dyDescent="0.3">
      <c r="A3159" s="34">
        <v>31695</v>
      </c>
      <c r="B3159" s="35">
        <v>1</v>
      </c>
      <c r="C3159" s="35">
        <v>0</v>
      </c>
      <c r="D3159" s="2">
        <f t="shared" si="49"/>
        <v>1</v>
      </c>
    </row>
    <row r="3160" spans="1:4" x14ac:dyDescent="0.3">
      <c r="A3160" s="34">
        <v>31697</v>
      </c>
      <c r="B3160" s="35">
        <v>1</v>
      </c>
      <c r="C3160" s="35">
        <v>1</v>
      </c>
      <c r="D3160" s="2">
        <f t="shared" si="49"/>
        <v>2</v>
      </c>
    </row>
    <row r="3161" spans="1:4" x14ac:dyDescent="0.3">
      <c r="A3161" s="34">
        <v>31706</v>
      </c>
      <c r="B3161" s="35">
        <v>1</v>
      </c>
      <c r="C3161" s="35">
        <v>1</v>
      </c>
      <c r="D3161" s="2">
        <f t="shared" si="49"/>
        <v>2</v>
      </c>
    </row>
    <row r="3162" spans="1:4" x14ac:dyDescent="0.3">
      <c r="A3162" s="34">
        <v>31707</v>
      </c>
      <c r="B3162" s="35">
        <v>1</v>
      </c>
      <c r="C3162" s="35">
        <v>0</v>
      </c>
      <c r="D3162" s="2">
        <f t="shared" si="49"/>
        <v>1</v>
      </c>
    </row>
    <row r="3163" spans="1:4" x14ac:dyDescent="0.3">
      <c r="A3163" s="34">
        <v>31710</v>
      </c>
      <c r="B3163" s="35">
        <v>1</v>
      </c>
      <c r="C3163" s="35">
        <v>1</v>
      </c>
      <c r="D3163" s="2">
        <f t="shared" si="49"/>
        <v>2</v>
      </c>
    </row>
    <row r="3164" spans="1:4" x14ac:dyDescent="0.3">
      <c r="A3164" s="34">
        <v>31713</v>
      </c>
      <c r="B3164" s="35">
        <v>1</v>
      </c>
      <c r="C3164" s="35">
        <v>0</v>
      </c>
      <c r="D3164" s="2">
        <f t="shared" si="49"/>
        <v>1</v>
      </c>
    </row>
    <row r="3165" spans="1:4" x14ac:dyDescent="0.3">
      <c r="A3165" s="34">
        <v>31714</v>
      </c>
      <c r="B3165" s="35">
        <v>1</v>
      </c>
      <c r="C3165" s="35">
        <v>0</v>
      </c>
      <c r="D3165" s="2">
        <f t="shared" si="49"/>
        <v>1</v>
      </c>
    </row>
    <row r="3166" spans="1:4" x14ac:dyDescent="0.3">
      <c r="A3166" s="34">
        <v>31718</v>
      </c>
      <c r="B3166" s="35">
        <v>1</v>
      </c>
      <c r="C3166" s="35">
        <v>1</v>
      </c>
      <c r="D3166" s="2">
        <f t="shared" si="49"/>
        <v>2</v>
      </c>
    </row>
    <row r="3167" spans="1:4" x14ac:dyDescent="0.3">
      <c r="A3167" s="34">
        <v>31730</v>
      </c>
      <c r="B3167" s="35">
        <v>2</v>
      </c>
      <c r="C3167" s="35">
        <v>0</v>
      </c>
      <c r="D3167" s="2">
        <f t="shared" si="49"/>
        <v>2</v>
      </c>
    </row>
    <row r="3168" spans="1:4" x14ac:dyDescent="0.3">
      <c r="A3168" s="34">
        <v>31740</v>
      </c>
      <c r="B3168" s="35">
        <v>2</v>
      </c>
      <c r="C3168" s="35">
        <v>2</v>
      </c>
      <c r="D3168" s="2">
        <f t="shared" si="49"/>
        <v>4</v>
      </c>
    </row>
    <row r="3169" spans="1:4" x14ac:dyDescent="0.3">
      <c r="A3169" s="34">
        <v>31745</v>
      </c>
      <c r="B3169" s="35">
        <v>1</v>
      </c>
      <c r="C3169" s="35">
        <v>0</v>
      </c>
      <c r="D3169" s="2">
        <f t="shared" si="49"/>
        <v>1</v>
      </c>
    </row>
    <row r="3170" spans="1:4" x14ac:dyDescent="0.3">
      <c r="A3170" s="34">
        <v>31748</v>
      </c>
      <c r="B3170" s="35">
        <v>1</v>
      </c>
      <c r="C3170" s="35">
        <v>0</v>
      </c>
      <c r="D3170" s="2">
        <f t="shared" si="49"/>
        <v>1</v>
      </c>
    </row>
    <row r="3171" spans="1:4" x14ac:dyDescent="0.3">
      <c r="A3171" s="34">
        <v>31749</v>
      </c>
      <c r="B3171" s="35">
        <v>1</v>
      </c>
      <c r="C3171" s="35">
        <v>0</v>
      </c>
      <c r="D3171" s="2">
        <f t="shared" si="49"/>
        <v>1</v>
      </c>
    </row>
    <row r="3172" spans="1:4" x14ac:dyDescent="0.3">
      <c r="A3172" s="34">
        <v>31754</v>
      </c>
      <c r="B3172" s="35">
        <v>1</v>
      </c>
      <c r="C3172" s="35">
        <v>0</v>
      </c>
      <c r="D3172" s="2">
        <f t="shared" si="49"/>
        <v>1</v>
      </c>
    </row>
    <row r="3173" spans="1:4" x14ac:dyDescent="0.3">
      <c r="A3173" s="34">
        <v>31757</v>
      </c>
      <c r="B3173" s="35">
        <v>1</v>
      </c>
      <c r="C3173" s="35">
        <v>0</v>
      </c>
      <c r="D3173" s="2">
        <f t="shared" si="49"/>
        <v>1</v>
      </c>
    </row>
    <row r="3174" spans="1:4" x14ac:dyDescent="0.3">
      <c r="A3174" s="34">
        <v>31765</v>
      </c>
      <c r="B3174" s="35">
        <v>1</v>
      </c>
      <c r="C3174" s="35">
        <v>0</v>
      </c>
      <c r="D3174" s="2">
        <f t="shared" si="49"/>
        <v>1</v>
      </c>
    </row>
    <row r="3175" spans="1:4" x14ac:dyDescent="0.3">
      <c r="A3175" s="34">
        <v>31766</v>
      </c>
      <c r="B3175" s="35">
        <v>1</v>
      </c>
      <c r="C3175" s="35">
        <v>0</v>
      </c>
      <c r="D3175" s="2">
        <f t="shared" si="49"/>
        <v>1</v>
      </c>
    </row>
    <row r="3176" spans="1:4" x14ac:dyDescent="0.3">
      <c r="A3176" s="34">
        <v>31770</v>
      </c>
      <c r="B3176" s="35">
        <v>1</v>
      </c>
      <c r="C3176" s="35">
        <v>0</v>
      </c>
      <c r="D3176" s="2">
        <f t="shared" si="49"/>
        <v>1</v>
      </c>
    </row>
    <row r="3177" spans="1:4" x14ac:dyDescent="0.3">
      <c r="A3177" s="34">
        <v>31774</v>
      </c>
      <c r="B3177" s="35">
        <v>1</v>
      </c>
      <c r="C3177" s="35">
        <v>0</v>
      </c>
      <c r="D3177" s="2">
        <f t="shared" si="49"/>
        <v>1</v>
      </c>
    </row>
    <row r="3178" spans="1:4" x14ac:dyDescent="0.3">
      <c r="A3178" s="34">
        <v>31778</v>
      </c>
      <c r="B3178" s="35">
        <v>1</v>
      </c>
      <c r="C3178" s="35">
        <v>1</v>
      </c>
      <c r="D3178" s="2">
        <f t="shared" si="49"/>
        <v>2</v>
      </c>
    </row>
    <row r="3179" spans="1:4" x14ac:dyDescent="0.3">
      <c r="A3179" s="34">
        <v>31779</v>
      </c>
      <c r="B3179" s="35">
        <v>1</v>
      </c>
      <c r="C3179" s="35">
        <v>0</v>
      </c>
      <c r="D3179" s="2">
        <f t="shared" si="49"/>
        <v>1</v>
      </c>
    </row>
    <row r="3180" spans="1:4" x14ac:dyDescent="0.3">
      <c r="A3180" s="34">
        <v>31781</v>
      </c>
      <c r="B3180" s="35">
        <v>1</v>
      </c>
      <c r="C3180" s="35">
        <v>0</v>
      </c>
      <c r="D3180" s="2">
        <f t="shared" si="49"/>
        <v>1</v>
      </c>
    </row>
    <row r="3181" spans="1:4" x14ac:dyDescent="0.3">
      <c r="A3181" s="34">
        <v>31782</v>
      </c>
      <c r="B3181" s="35">
        <v>1</v>
      </c>
      <c r="C3181" s="35">
        <v>0</v>
      </c>
      <c r="D3181" s="2">
        <f t="shared" si="49"/>
        <v>1</v>
      </c>
    </row>
    <row r="3182" spans="1:4" x14ac:dyDescent="0.3">
      <c r="A3182" s="34">
        <v>31783</v>
      </c>
      <c r="B3182" s="35">
        <v>1</v>
      </c>
      <c r="C3182" s="35">
        <v>0</v>
      </c>
      <c r="D3182" s="2">
        <f t="shared" si="49"/>
        <v>1</v>
      </c>
    </row>
    <row r="3183" spans="1:4" x14ac:dyDescent="0.3">
      <c r="A3183" s="34">
        <v>31786</v>
      </c>
      <c r="B3183" s="35">
        <v>1</v>
      </c>
      <c r="C3183" s="35">
        <v>0</v>
      </c>
      <c r="D3183" s="2">
        <f t="shared" si="49"/>
        <v>1</v>
      </c>
    </row>
    <row r="3184" spans="1:4" x14ac:dyDescent="0.3">
      <c r="A3184" s="34">
        <v>31787</v>
      </c>
      <c r="B3184" s="35">
        <v>1</v>
      </c>
      <c r="C3184" s="35">
        <v>0</v>
      </c>
      <c r="D3184" s="2">
        <f t="shared" si="49"/>
        <v>1</v>
      </c>
    </row>
    <row r="3185" spans="1:4" x14ac:dyDescent="0.3">
      <c r="A3185" s="34">
        <v>31790</v>
      </c>
      <c r="B3185" s="35">
        <v>2</v>
      </c>
      <c r="C3185" s="35">
        <v>1</v>
      </c>
      <c r="D3185" s="2">
        <f t="shared" si="49"/>
        <v>3</v>
      </c>
    </row>
    <row r="3186" spans="1:4" x14ac:dyDescent="0.3">
      <c r="A3186" s="34">
        <v>31793</v>
      </c>
      <c r="B3186" s="35">
        <v>1</v>
      </c>
      <c r="C3186" s="35">
        <v>0</v>
      </c>
      <c r="D3186" s="2">
        <f t="shared" si="49"/>
        <v>1</v>
      </c>
    </row>
    <row r="3187" spans="1:4" x14ac:dyDescent="0.3">
      <c r="A3187" s="34">
        <v>31795</v>
      </c>
      <c r="B3187" s="35">
        <v>1</v>
      </c>
      <c r="C3187" s="35">
        <v>0</v>
      </c>
      <c r="D3187" s="2">
        <f t="shared" si="49"/>
        <v>1</v>
      </c>
    </row>
    <row r="3188" spans="1:4" x14ac:dyDescent="0.3">
      <c r="A3188" s="34">
        <v>31800</v>
      </c>
      <c r="B3188" s="35">
        <v>1</v>
      </c>
      <c r="C3188" s="35">
        <v>0</v>
      </c>
      <c r="D3188" s="2">
        <f t="shared" si="49"/>
        <v>1</v>
      </c>
    </row>
    <row r="3189" spans="1:4" x14ac:dyDescent="0.3">
      <c r="A3189" s="34">
        <v>31803</v>
      </c>
      <c r="B3189" s="35">
        <v>1</v>
      </c>
      <c r="C3189" s="35">
        <v>0</v>
      </c>
      <c r="D3189" s="2">
        <f t="shared" si="49"/>
        <v>1</v>
      </c>
    </row>
    <row r="3190" spans="1:4" x14ac:dyDescent="0.3">
      <c r="A3190" s="34">
        <v>31805</v>
      </c>
      <c r="B3190" s="35">
        <v>1</v>
      </c>
      <c r="C3190" s="35">
        <v>0</v>
      </c>
      <c r="D3190" s="2">
        <f t="shared" si="49"/>
        <v>1</v>
      </c>
    </row>
    <row r="3191" spans="1:4" x14ac:dyDescent="0.3">
      <c r="A3191" s="34">
        <v>31806</v>
      </c>
      <c r="B3191" s="35">
        <v>2</v>
      </c>
      <c r="C3191" s="35">
        <v>0</v>
      </c>
      <c r="D3191" s="2">
        <f t="shared" si="49"/>
        <v>2</v>
      </c>
    </row>
    <row r="3192" spans="1:4" x14ac:dyDescent="0.3">
      <c r="A3192" s="34">
        <v>31812</v>
      </c>
      <c r="B3192" s="35">
        <v>1</v>
      </c>
      <c r="C3192" s="35">
        <v>0</v>
      </c>
      <c r="D3192" s="2">
        <f t="shared" si="49"/>
        <v>1</v>
      </c>
    </row>
    <row r="3193" spans="1:4" x14ac:dyDescent="0.3">
      <c r="A3193" s="34">
        <v>31813</v>
      </c>
      <c r="B3193" s="35">
        <v>1</v>
      </c>
      <c r="C3193" s="35">
        <v>1</v>
      </c>
      <c r="D3193" s="2">
        <f t="shared" si="49"/>
        <v>2</v>
      </c>
    </row>
    <row r="3194" spans="1:4" x14ac:dyDescent="0.3">
      <c r="A3194" s="34">
        <v>31823</v>
      </c>
      <c r="B3194" s="35">
        <v>1</v>
      </c>
      <c r="C3194" s="35">
        <v>0</v>
      </c>
      <c r="D3194" s="2">
        <f t="shared" si="49"/>
        <v>1</v>
      </c>
    </row>
    <row r="3195" spans="1:4" x14ac:dyDescent="0.3">
      <c r="A3195" s="34">
        <v>31826</v>
      </c>
      <c r="B3195" s="35">
        <v>2</v>
      </c>
      <c r="C3195" s="35">
        <v>2</v>
      </c>
      <c r="D3195" s="2">
        <f t="shared" si="49"/>
        <v>4</v>
      </c>
    </row>
    <row r="3196" spans="1:4" x14ac:dyDescent="0.3">
      <c r="A3196" s="34">
        <v>31830</v>
      </c>
      <c r="B3196" s="35">
        <v>1</v>
      </c>
      <c r="C3196" s="35">
        <v>0</v>
      </c>
      <c r="D3196" s="2">
        <f t="shared" si="49"/>
        <v>1</v>
      </c>
    </row>
    <row r="3197" spans="1:4" x14ac:dyDescent="0.3">
      <c r="A3197" s="34">
        <v>31831</v>
      </c>
      <c r="B3197" s="35">
        <v>1</v>
      </c>
      <c r="C3197" s="35">
        <v>1</v>
      </c>
      <c r="D3197" s="2">
        <f t="shared" si="49"/>
        <v>2</v>
      </c>
    </row>
    <row r="3198" spans="1:4" x14ac:dyDescent="0.3">
      <c r="A3198" s="34">
        <v>31833</v>
      </c>
      <c r="B3198" s="35">
        <v>2</v>
      </c>
      <c r="C3198" s="35">
        <v>2</v>
      </c>
      <c r="D3198" s="2">
        <f t="shared" si="49"/>
        <v>4</v>
      </c>
    </row>
    <row r="3199" spans="1:4" x14ac:dyDescent="0.3">
      <c r="A3199" s="34">
        <v>31840</v>
      </c>
      <c r="B3199" s="35">
        <v>1</v>
      </c>
      <c r="C3199" s="35">
        <v>0</v>
      </c>
      <c r="D3199" s="2">
        <f t="shared" si="49"/>
        <v>1</v>
      </c>
    </row>
    <row r="3200" spans="1:4" x14ac:dyDescent="0.3">
      <c r="A3200" s="34">
        <v>31844</v>
      </c>
      <c r="B3200" s="35">
        <v>1</v>
      </c>
      <c r="C3200" s="35">
        <v>0</v>
      </c>
      <c r="D3200" s="2">
        <f t="shared" si="49"/>
        <v>1</v>
      </c>
    </row>
    <row r="3201" spans="1:4" x14ac:dyDescent="0.3">
      <c r="A3201" s="34">
        <v>31845</v>
      </c>
      <c r="B3201" s="35">
        <v>1</v>
      </c>
      <c r="C3201" s="35">
        <v>0</v>
      </c>
      <c r="D3201" s="2">
        <f t="shared" si="49"/>
        <v>1</v>
      </c>
    </row>
    <row r="3202" spans="1:4" x14ac:dyDescent="0.3">
      <c r="A3202" s="34">
        <v>31848</v>
      </c>
      <c r="B3202" s="35">
        <v>1</v>
      </c>
      <c r="C3202" s="35">
        <v>0</v>
      </c>
      <c r="D3202" s="2">
        <f t="shared" si="49"/>
        <v>1</v>
      </c>
    </row>
    <row r="3203" spans="1:4" x14ac:dyDescent="0.3">
      <c r="A3203" s="34">
        <v>31854</v>
      </c>
      <c r="B3203" s="35">
        <v>1</v>
      </c>
      <c r="C3203" s="35">
        <v>1</v>
      </c>
      <c r="D3203" s="2">
        <f t="shared" ref="D3203:D3266" si="50">B3203+C3203</f>
        <v>2</v>
      </c>
    </row>
    <row r="3204" spans="1:4" x14ac:dyDescent="0.3">
      <c r="A3204" s="34">
        <v>31856</v>
      </c>
      <c r="B3204" s="35">
        <v>1</v>
      </c>
      <c r="C3204" s="35">
        <v>0</v>
      </c>
      <c r="D3204" s="2">
        <f t="shared" si="50"/>
        <v>1</v>
      </c>
    </row>
    <row r="3205" spans="1:4" x14ac:dyDescent="0.3">
      <c r="A3205" s="34">
        <v>31867</v>
      </c>
      <c r="B3205" s="35">
        <v>1</v>
      </c>
      <c r="C3205" s="35">
        <v>0</v>
      </c>
      <c r="D3205" s="2">
        <f t="shared" si="50"/>
        <v>1</v>
      </c>
    </row>
    <row r="3206" spans="1:4" x14ac:dyDescent="0.3">
      <c r="A3206" s="34">
        <v>31869</v>
      </c>
      <c r="B3206" s="35">
        <v>1</v>
      </c>
      <c r="C3206" s="35">
        <v>0</v>
      </c>
      <c r="D3206" s="2">
        <f t="shared" si="50"/>
        <v>1</v>
      </c>
    </row>
    <row r="3207" spans="1:4" x14ac:dyDescent="0.3">
      <c r="A3207" s="34">
        <v>31870</v>
      </c>
      <c r="B3207" s="35">
        <v>3</v>
      </c>
      <c r="C3207" s="35">
        <v>2</v>
      </c>
      <c r="D3207" s="2">
        <f t="shared" si="50"/>
        <v>5</v>
      </c>
    </row>
    <row r="3208" spans="1:4" x14ac:dyDescent="0.3">
      <c r="A3208" s="34">
        <v>31873</v>
      </c>
      <c r="B3208" s="35">
        <v>1</v>
      </c>
      <c r="C3208" s="35">
        <v>0</v>
      </c>
      <c r="D3208" s="2">
        <f t="shared" si="50"/>
        <v>1</v>
      </c>
    </row>
    <row r="3209" spans="1:4" x14ac:dyDescent="0.3">
      <c r="A3209" s="34">
        <v>31875</v>
      </c>
      <c r="B3209" s="35">
        <v>1</v>
      </c>
      <c r="C3209" s="35">
        <v>0</v>
      </c>
      <c r="D3209" s="2">
        <f t="shared" si="50"/>
        <v>1</v>
      </c>
    </row>
    <row r="3210" spans="1:4" x14ac:dyDescent="0.3">
      <c r="A3210" s="34">
        <v>31887</v>
      </c>
      <c r="B3210" s="35">
        <v>1</v>
      </c>
      <c r="C3210" s="35">
        <v>0</v>
      </c>
      <c r="D3210" s="2">
        <f t="shared" si="50"/>
        <v>1</v>
      </c>
    </row>
    <row r="3211" spans="1:4" x14ac:dyDescent="0.3">
      <c r="A3211" s="34">
        <v>31888</v>
      </c>
      <c r="B3211" s="35">
        <v>1</v>
      </c>
      <c r="C3211" s="35">
        <v>0</v>
      </c>
      <c r="D3211" s="2">
        <f t="shared" si="50"/>
        <v>1</v>
      </c>
    </row>
    <row r="3212" spans="1:4" x14ac:dyDescent="0.3">
      <c r="A3212" s="34">
        <v>31890</v>
      </c>
      <c r="B3212" s="35">
        <v>1</v>
      </c>
      <c r="C3212" s="35">
        <v>1</v>
      </c>
      <c r="D3212" s="2">
        <f t="shared" si="50"/>
        <v>2</v>
      </c>
    </row>
    <row r="3213" spans="1:4" x14ac:dyDescent="0.3">
      <c r="A3213" s="34">
        <v>31897</v>
      </c>
      <c r="B3213" s="35">
        <v>1</v>
      </c>
      <c r="C3213" s="35">
        <v>0</v>
      </c>
      <c r="D3213" s="2">
        <f t="shared" si="50"/>
        <v>1</v>
      </c>
    </row>
    <row r="3214" spans="1:4" x14ac:dyDescent="0.3">
      <c r="A3214" s="34">
        <v>31898</v>
      </c>
      <c r="B3214" s="35">
        <v>2</v>
      </c>
      <c r="C3214" s="35">
        <v>1</v>
      </c>
      <c r="D3214" s="2">
        <f t="shared" si="50"/>
        <v>3</v>
      </c>
    </row>
    <row r="3215" spans="1:4" x14ac:dyDescent="0.3">
      <c r="A3215" s="34">
        <v>31899</v>
      </c>
      <c r="B3215" s="35">
        <v>1</v>
      </c>
      <c r="C3215" s="35">
        <v>0</v>
      </c>
      <c r="D3215" s="2">
        <f t="shared" si="50"/>
        <v>1</v>
      </c>
    </row>
    <row r="3216" spans="1:4" x14ac:dyDescent="0.3">
      <c r="A3216" s="34">
        <v>31905</v>
      </c>
      <c r="B3216" s="35">
        <v>1</v>
      </c>
      <c r="C3216" s="35">
        <v>1</v>
      </c>
      <c r="D3216" s="2">
        <f t="shared" si="50"/>
        <v>2</v>
      </c>
    </row>
    <row r="3217" spans="1:4" x14ac:dyDescent="0.3">
      <c r="A3217" s="34">
        <v>31909</v>
      </c>
      <c r="B3217" s="35">
        <v>1</v>
      </c>
      <c r="C3217" s="35">
        <v>0</v>
      </c>
      <c r="D3217" s="2">
        <f t="shared" si="50"/>
        <v>1</v>
      </c>
    </row>
    <row r="3218" spans="1:4" x14ac:dyDescent="0.3">
      <c r="A3218" s="34">
        <v>31912</v>
      </c>
      <c r="B3218" s="35">
        <v>1</v>
      </c>
      <c r="C3218" s="35">
        <v>0</v>
      </c>
      <c r="D3218" s="2">
        <f t="shared" si="50"/>
        <v>1</v>
      </c>
    </row>
    <row r="3219" spans="1:4" x14ac:dyDescent="0.3">
      <c r="A3219" s="34">
        <v>31913</v>
      </c>
      <c r="B3219" s="35">
        <v>1</v>
      </c>
      <c r="C3219" s="35">
        <v>0</v>
      </c>
      <c r="D3219" s="2">
        <f t="shared" si="50"/>
        <v>1</v>
      </c>
    </row>
    <row r="3220" spans="1:4" x14ac:dyDescent="0.3">
      <c r="A3220" s="34">
        <v>31917</v>
      </c>
      <c r="B3220" s="35">
        <v>1</v>
      </c>
      <c r="C3220" s="35">
        <v>0</v>
      </c>
      <c r="D3220" s="2">
        <f t="shared" si="50"/>
        <v>1</v>
      </c>
    </row>
    <row r="3221" spans="1:4" x14ac:dyDescent="0.3">
      <c r="A3221" s="34">
        <v>31918</v>
      </c>
      <c r="B3221" s="35">
        <v>1</v>
      </c>
      <c r="C3221" s="35">
        <v>0</v>
      </c>
      <c r="D3221" s="2">
        <f t="shared" si="50"/>
        <v>1</v>
      </c>
    </row>
    <row r="3222" spans="1:4" x14ac:dyDescent="0.3">
      <c r="A3222" s="34">
        <v>31924</v>
      </c>
      <c r="B3222" s="35">
        <v>1</v>
      </c>
      <c r="C3222" s="35">
        <v>0</v>
      </c>
      <c r="D3222" s="2">
        <f t="shared" si="50"/>
        <v>1</v>
      </c>
    </row>
    <row r="3223" spans="1:4" x14ac:dyDescent="0.3">
      <c r="A3223" s="34">
        <v>31926</v>
      </c>
      <c r="B3223" s="35">
        <v>1</v>
      </c>
      <c r="C3223" s="35">
        <v>0</v>
      </c>
      <c r="D3223" s="2">
        <f t="shared" si="50"/>
        <v>1</v>
      </c>
    </row>
    <row r="3224" spans="1:4" x14ac:dyDescent="0.3">
      <c r="A3224" s="34">
        <v>31929</v>
      </c>
      <c r="B3224" s="35">
        <v>1</v>
      </c>
      <c r="C3224" s="35">
        <v>0</v>
      </c>
      <c r="D3224" s="2">
        <f t="shared" si="50"/>
        <v>1</v>
      </c>
    </row>
    <row r="3225" spans="1:4" x14ac:dyDescent="0.3">
      <c r="A3225" s="34">
        <v>31935</v>
      </c>
      <c r="B3225" s="35">
        <v>1</v>
      </c>
      <c r="C3225" s="35">
        <v>0</v>
      </c>
      <c r="D3225" s="2">
        <f t="shared" si="50"/>
        <v>1</v>
      </c>
    </row>
    <row r="3226" spans="1:4" x14ac:dyDescent="0.3">
      <c r="A3226" s="34">
        <v>31937</v>
      </c>
      <c r="B3226" s="35">
        <v>1</v>
      </c>
      <c r="C3226" s="35">
        <v>1</v>
      </c>
      <c r="D3226" s="2">
        <f t="shared" si="50"/>
        <v>2</v>
      </c>
    </row>
    <row r="3227" spans="1:4" x14ac:dyDescent="0.3">
      <c r="A3227" s="34">
        <v>31940</v>
      </c>
      <c r="B3227" s="35">
        <v>1</v>
      </c>
      <c r="C3227" s="35">
        <v>0</v>
      </c>
      <c r="D3227" s="2">
        <f t="shared" si="50"/>
        <v>1</v>
      </c>
    </row>
    <row r="3228" spans="1:4" x14ac:dyDescent="0.3">
      <c r="A3228" s="34">
        <v>31941</v>
      </c>
      <c r="B3228" s="35">
        <v>1</v>
      </c>
      <c r="C3228" s="35">
        <v>0</v>
      </c>
      <c r="D3228" s="2">
        <f t="shared" si="50"/>
        <v>1</v>
      </c>
    </row>
    <row r="3229" spans="1:4" x14ac:dyDescent="0.3">
      <c r="A3229" s="34">
        <v>31950</v>
      </c>
      <c r="B3229" s="35">
        <v>1</v>
      </c>
      <c r="C3229" s="35">
        <v>0</v>
      </c>
      <c r="D3229" s="2">
        <f t="shared" si="50"/>
        <v>1</v>
      </c>
    </row>
    <row r="3230" spans="1:4" x14ac:dyDescent="0.3">
      <c r="A3230" s="34">
        <v>31951</v>
      </c>
      <c r="B3230" s="35">
        <v>1</v>
      </c>
      <c r="C3230" s="35">
        <v>0</v>
      </c>
      <c r="D3230" s="2">
        <f t="shared" si="50"/>
        <v>1</v>
      </c>
    </row>
    <row r="3231" spans="1:4" x14ac:dyDescent="0.3">
      <c r="A3231" s="34">
        <v>31952</v>
      </c>
      <c r="B3231" s="35">
        <v>1</v>
      </c>
      <c r="C3231" s="35">
        <v>0</v>
      </c>
      <c r="D3231" s="2">
        <f t="shared" si="50"/>
        <v>1</v>
      </c>
    </row>
    <row r="3232" spans="1:4" x14ac:dyDescent="0.3">
      <c r="A3232" s="34">
        <v>31966</v>
      </c>
      <c r="B3232" s="35">
        <v>1</v>
      </c>
      <c r="C3232" s="35">
        <v>1</v>
      </c>
      <c r="D3232" s="2">
        <f t="shared" si="50"/>
        <v>2</v>
      </c>
    </row>
    <row r="3233" spans="1:4" x14ac:dyDescent="0.3">
      <c r="A3233" s="34">
        <v>31975</v>
      </c>
      <c r="B3233" s="35">
        <v>1</v>
      </c>
      <c r="C3233" s="35">
        <v>0</v>
      </c>
      <c r="D3233" s="2">
        <f t="shared" si="50"/>
        <v>1</v>
      </c>
    </row>
    <row r="3234" spans="1:4" x14ac:dyDescent="0.3">
      <c r="A3234" s="34">
        <v>31980</v>
      </c>
      <c r="B3234" s="35">
        <v>1</v>
      </c>
      <c r="C3234" s="35">
        <v>1</v>
      </c>
      <c r="D3234" s="2">
        <f t="shared" si="50"/>
        <v>2</v>
      </c>
    </row>
    <row r="3235" spans="1:4" x14ac:dyDescent="0.3">
      <c r="A3235" s="34">
        <v>31984</v>
      </c>
      <c r="B3235" s="35">
        <v>1</v>
      </c>
      <c r="C3235" s="35">
        <v>0</v>
      </c>
      <c r="D3235" s="2">
        <f t="shared" si="50"/>
        <v>1</v>
      </c>
    </row>
    <row r="3236" spans="1:4" x14ac:dyDescent="0.3">
      <c r="A3236" s="34">
        <v>31987</v>
      </c>
      <c r="B3236" s="35">
        <v>1</v>
      </c>
      <c r="C3236" s="35">
        <v>0</v>
      </c>
      <c r="D3236" s="2">
        <f t="shared" si="50"/>
        <v>1</v>
      </c>
    </row>
    <row r="3237" spans="1:4" x14ac:dyDescent="0.3">
      <c r="A3237" s="34">
        <v>31989</v>
      </c>
      <c r="B3237" s="35">
        <v>1</v>
      </c>
      <c r="C3237" s="35">
        <v>0</v>
      </c>
      <c r="D3237" s="2">
        <f t="shared" si="50"/>
        <v>1</v>
      </c>
    </row>
    <row r="3238" spans="1:4" x14ac:dyDescent="0.3">
      <c r="A3238" s="34">
        <v>31992</v>
      </c>
      <c r="B3238" s="35">
        <v>1</v>
      </c>
      <c r="C3238" s="35">
        <v>0</v>
      </c>
      <c r="D3238" s="2">
        <f t="shared" si="50"/>
        <v>1</v>
      </c>
    </row>
    <row r="3239" spans="1:4" x14ac:dyDescent="0.3">
      <c r="A3239" s="34">
        <v>32004</v>
      </c>
      <c r="B3239" s="35">
        <v>2</v>
      </c>
      <c r="C3239" s="35">
        <v>1</v>
      </c>
      <c r="D3239" s="2">
        <f t="shared" si="50"/>
        <v>3</v>
      </c>
    </row>
    <row r="3240" spans="1:4" x14ac:dyDescent="0.3">
      <c r="A3240" s="34">
        <v>32008</v>
      </c>
      <c r="B3240" s="35">
        <v>1</v>
      </c>
      <c r="C3240" s="35">
        <v>0</v>
      </c>
      <c r="D3240" s="2">
        <f t="shared" si="50"/>
        <v>1</v>
      </c>
    </row>
    <row r="3241" spans="1:4" x14ac:dyDescent="0.3">
      <c r="A3241" s="34">
        <v>32010</v>
      </c>
      <c r="B3241" s="35">
        <v>1</v>
      </c>
      <c r="C3241" s="35">
        <v>0</v>
      </c>
      <c r="D3241" s="2">
        <f t="shared" si="50"/>
        <v>1</v>
      </c>
    </row>
    <row r="3242" spans="1:4" x14ac:dyDescent="0.3">
      <c r="A3242" s="34">
        <v>32012</v>
      </c>
      <c r="B3242" s="35">
        <v>1</v>
      </c>
      <c r="C3242" s="35">
        <v>0</v>
      </c>
      <c r="D3242" s="2">
        <f t="shared" si="50"/>
        <v>1</v>
      </c>
    </row>
    <row r="3243" spans="1:4" x14ac:dyDescent="0.3">
      <c r="A3243" s="34">
        <v>32014</v>
      </c>
      <c r="B3243" s="35">
        <v>2</v>
      </c>
      <c r="C3243" s="35">
        <v>1</v>
      </c>
      <c r="D3243" s="2">
        <f t="shared" si="50"/>
        <v>3</v>
      </c>
    </row>
    <row r="3244" spans="1:4" x14ac:dyDescent="0.3">
      <c r="A3244" s="34">
        <v>32015</v>
      </c>
      <c r="B3244" s="35">
        <v>2</v>
      </c>
      <c r="C3244" s="35">
        <v>0</v>
      </c>
      <c r="D3244" s="2">
        <f t="shared" si="50"/>
        <v>2</v>
      </c>
    </row>
    <row r="3245" spans="1:4" x14ac:dyDescent="0.3">
      <c r="A3245" s="34">
        <v>32017</v>
      </c>
      <c r="B3245" s="35">
        <v>1</v>
      </c>
      <c r="C3245" s="35">
        <v>0</v>
      </c>
      <c r="D3245" s="2">
        <f t="shared" si="50"/>
        <v>1</v>
      </c>
    </row>
    <row r="3246" spans="1:4" x14ac:dyDescent="0.3">
      <c r="A3246" s="34">
        <v>32025</v>
      </c>
      <c r="B3246" s="35">
        <v>1</v>
      </c>
      <c r="C3246" s="35">
        <v>0</v>
      </c>
      <c r="D3246" s="2">
        <f t="shared" si="50"/>
        <v>1</v>
      </c>
    </row>
    <row r="3247" spans="1:4" x14ac:dyDescent="0.3">
      <c r="A3247" s="34">
        <v>32028</v>
      </c>
      <c r="B3247" s="35">
        <v>1</v>
      </c>
      <c r="C3247" s="35">
        <v>0</v>
      </c>
      <c r="D3247" s="2">
        <f t="shared" si="50"/>
        <v>1</v>
      </c>
    </row>
    <row r="3248" spans="1:4" x14ac:dyDescent="0.3">
      <c r="A3248" s="34">
        <v>32030</v>
      </c>
      <c r="B3248" s="35">
        <v>2</v>
      </c>
      <c r="C3248" s="35">
        <v>1</v>
      </c>
      <c r="D3248" s="2">
        <f t="shared" si="50"/>
        <v>3</v>
      </c>
    </row>
    <row r="3249" spans="1:4" x14ac:dyDescent="0.3">
      <c r="A3249" s="34">
        <v>32031</v>
      </c>
      <c r="B3249" s="35">
        <v>1</v>
      </c>
      <c r="C3249" s="35">
        <v>0</v>
      </c>
      <c r="D3249" s="2">
        <f t="shared" si="50"/>
        <v>1</v>
      </c>
    </row>
    <row r="3250" spans="1:4" x14ac:dyDescent="0.3">
      <c r="A3250" s="34">
        <v>32033</v>
      </c>
      <c r="B3250" s="35">
        <v>1</v>
      </c>
      <c r="C3250" s="35">
        <v>0</v>
      </c>
      <c r="D3250" s="2">
        <f t="shared" si="50"/>
        <v>1</v>
      </c>
    </row>
    <row r="3251" spans="1:4" x14ac:dyDescent="0.3">
      <c r="A3251" s="34">
        <v>32037</v>
      </c>
      <c r="B3251" s="35">
        <v>1</v>
      </c>
      <c r="C3251" s="35">
        <v>0</v>
      </c>
      <c r="D3251" s="2">
        <f t="shared" si="50"/>
        <v>1</v>
      </c>
    </row>
    <row r="3252" spans="1:4" x14ac:dyDescent="0.3">
      <c r="A3252" s="34">
        <v>32044</v>
      </c>
      <c r="B3252" s="35">
        <v>1</v>
      </c>
      <c r="C3252" s="35">
        <v>1</v>
      </c>
      <c r="D3252" s="2">
        <f t="shared" si="50"/>
        <v>2</v>
      </c>
    </row>
    <row r="3253" spans="1:4" x14ac:dyDescent="0.3">
      <c r="A3253" s="34">
        <v>32051</v>
      </c>
      <c r="B3253" s="35">
        <v>1</v>
      </c>
      <c r="C3253" s="35">
        <v>1</v>
      </c>
      <c r="D3253" s="2">
        <f t="shared" si="50"/>
        <v>2</v>
      </c>
    </row>
    <row r="3254" spans="1:4" x14ac:dyDescent="0.3">
      <c r="A3254" s="34">
        <v>32052</v>
      </c>
      <c r="B3254" s="35">
        <v>1</v>
      </c>
      <c r="C3254" s="35">
        <v>1</v>
      </c>
      <c r="D3254" s="2">
        <f t="shared" si="50"/>
        <v>2</v>
      </c>
    </row>
    <row r="3255" spans="1:4" x14ac:dyDescent="0.3">
      <c r="A3255" s="34">
        <v>32062</v>
      </c>
      <c r="B3255" s="35">
        <v>1</v>
      </c>
      <c r="C3255" s="35">
        <v>0</v>
      </c>
      <c r="D3255" s="2">
        <f t="shared" si="50"/>
        <v>1</v>
      </c>
    </row>
    <row r="3256" spans="1:4" x14ac:dyDescent="0.3">
      <c r="A3256" s="34">
        <v>32064</v>
      </c>
      <c r="B3256" s="35">
        <v>1</v>
      </c>
      <c r="C3256" s="35">
        <v>0</v>
      </c>
      <c r="D3256" s="2">
        <f t="shared" si="50"/>
        <v>1</v>
      </c>
    </row>
    <row r="3257" spans="1:4" x14ac:dyDescent="0.3">
      <c r="A3257" s="34">
        <v>32065</v>
      </c>
      <c r="B3257" s="35">
        <v>1</v>
      </c>
      <c r="C3257" s="35">
        <v>0</v>
      </c>
      <c r="D3257" s="2">
        <f t="shared" si="50"/>
        <v>1</v>
      </c>
    </row>
    <row r="3258" spans="1:4" x14ac:dyDescent="0.3">
      <c r="A3258" s="34">
        <v>32066</v>
      </c>
      <c r="B3258" s="35">
        <v>1</v>
      </c>
      <c r="C3258" s="35">
        <v>0</v>
      </c>
      <c r="D3258" s="2">
        <f t="shared" si="50"/>
        <v>1</v>
      </c>
    </row>
    <row r="3259" spans="1:4" x14ac:dyDescent="0.3">
      <c r="A3259" s="34">
        <v>32067</v>
      </c>
      <c r="B3259" s="35">
        <v>1</v>
      </c>
      <c r="C3259" s="35">
        <v>0</v>
      </c>
      <c r="D3259" s="2">
        <f t="shared" si="50"/>
        <v>1</v>
      </c>
    </row>
    <row r="3260" spans="1:4" x14ac:dyDescent="0.3">
      <c r="A3260" s="34">
        <v>32075</v>
      </c>
      <c r="B3260" s="35">
        <v>1</v>
      </c>
      <c r="C3260" s="35">
        <v>0</v>
      </c>
      <c r="D3260" s="2">
        <f t="shared" si="50"/>
        <v>1</v>
      </c>
    </row>
    <row r="3261" spans="1:4" x14ac:dyDescent="0.3">
      <c r="A3261" s="34">
        <v>32077</v>
      </c>
      <c r="B3261" s="35">
        <v>1</v>
      </c>
      <c r="C3261" s="35">
        <v>0</v>
      </c>
      <c r="D3261" s="2">
        <f t="shared" si="50"/>
        <v>1</v>
      </c>
    </row>
    <row r="3262" spans="1:4" x14ac:dyDescent="0.3">
      <c r="A3262" s="34">
        <v>32078</v>
      </c>
      <c r="B3262" s="35">
        <v>1</v>
      </c>
      <c r="C3262" s="35">
        <v>0</v>
      </c>
      <c r="D3262" s="2">
        <f t="shared" si="50"/>
        <v>1</v>
      </c>
    </row>
    <row r="3263" spans="1:4" x14ac:dyDescent="0.3">
      <c r="A3263" s="34">
        <v>32084</v>
      </c>
      <c r="B3263" s="35">
        <v>1</v>
      </c>
      <c r="C3263" s="35">
        <v>0</v>
      </c>
      <c r="D3263" s="2">
        <f t="shared" si="50"/>
        <v>1</v>
      </c>
    </row>
    <row r="3264" spans="1:4" x14ac:dyDescent="0.3">
      <c r="A3264" s="34">
        <v>32093</v>
      </c>
      <c r="B3264" s="35">
        <v>1</v>
      </c>
      <c r="C3264" s="35">
        <v>0</v>
      </c>
      <c r="D3264" s="2">
        <f t="shared" si="50"/>
        <v>1</v>
      </c>
    </row>
    <row r="3265" spans="1:4" x14ac:dyDescent="0.3">
      <c r="A3265" s="34">
        <v>32095</v>
      </c>
      <c r="B3265" s="35">
        <v>1</v>
      </c>
      <c r="C3265" s="35">
        <v>0</v>
      </c>
      <c r="D3265" s="2">
        <f t="shared" si="50"/>
        <v>1</v>
      </c>
    </row>
    <row r="3266" spans="1:4" x14ac:dyDescent="0.3">
      <c r="A3266" s="34">
        <v>32105</v>
      </c>
      <c r="B3266" s="35">
        <v>2</v>
      </c>
      <c r="C3266" s="35">
        <v>0</v>
      </c>
      <c r="D3266" s="2">
        <f t="shared" si="50"/>
        <v>2</v>
      </c>
    </row>
    <row r="3267" spans="1:4" x14ac:dyDescent="0.3">
      <c r="A3267" s="34">
        <v>32107</v>
      </c>
      <c r="B3267" s="35">
        <v>1</v>
      </c>
      <c r="C3267" s="35">
        <v>0</v>
      </c>
      <c r="D3267" s="2">
        <f t="shared" ref="D3267:D3330" si="51">B3267+C3267</f>
        <v>1</v>
      </c>
    </row>
    <row r="3268" spans="1:4" x14ac:dyDescent="0.3">
      <c r="A3268" s="34">
        <v>32108</v>
      </c>
      <c r="B3268" s="35">
        <v>1</v>
      </c>
      <c r="C3268" s="35">
        <v>1</v>
      </c>
      <c r="D3268" s="2">
        <f t="shared" si="51"/>
        <v>2</v>
      </c>
    </row>
    <row r="3269" spans="1:4" x14ac:dyDescent="0.3">
      <c r="A3269" s="34">
        <v>32122</v>
      </c>
      <c r="B3269" s="35">
        <v>1</v>
      </c>
      <c r="C3269" s="35">
        <v>1</v>
      </c>
      <c r="D3269" s="2">
        <f t="shared" si="51"/>
        <v>2</v>
      </c>
    </row>
    <row r="3270" spans="1:4" x14ac:dyDescent="0.3">
      <c r="A3270" s="34">
        <v>32125</v>
      </c>
      <c r="B3270" s="35">
        <v>1</v>
      </c>
      <c r="C3270" s="35">
        <v>0</v>
      </c>
      <c r="D3270" s="2">
        <f t="shared" si="51"/>
        <v>1</v>
      </c>
    </row>
    <row r="3271" spans="1:4" x14ac:dyDescent="0.3">
      <c r="A3271" s="34">
        <v>32127</v>
      </c>
      <c r="B3271" s="35">
        <v>1</v>
      </c>
      <c r="C3271" s="35">
        <v>0</v>
      </c>
      <c r="D3271" s="2">
        <f t="shared" si="51"/>
        <v>1</v>
      </c>
    </row>
    <row r="3272" spans="1:4" x14ac:dyDescent="0.3">
      <c r="A3272" s="34">
        <v>32145</v>
      </c>
      <c r="B3272" s="35">
        <v>1</v>
      </c>
      <c r="C3272" s="35">
        <v>0</v>
      </c>
      <c r="D3272" s="2">
        <f t="shared" si="51"/>
        <v>1</v>
      </c>
    </row>
    <row r="3273" spans="1:4" x14ac:dyDescent="0.3">
      <c r="A3273" s="34">
        <v>32197</v>
      </c>
      <c r="B3273" s="35">
        <v>2</v>
      </c>
      <c r="C3273" s="35">
        <v>2</v>
      </c>
      <c r="D3273" s="2">
        <f t="shared" si="51"/>
        <v>4</v>
      </c>
    </row>
    <row r="3274" spans="1:4" x14ac:dyDescent="0.3">
      <c r="A3274" s="34">
        <v>32255</v>
      </c>
      <c r="B3274" s="35">
        <v>1</v>
      </c>
      <c r="C3274" s="35">
        <v>0</v>
      </c>
      <c r="D3274" s="2">
        <f t="shared" si="51"/>
        <v>1</v>
      </c>
    </row>
    <row r="3275" spans="1:4" x14ac:dyDescent="0.3">
      <c r="A3275" s="34">
        <v>32265</v>
      </c>
      <c r="B3275" s="35">
        <v>1</v>
      </c>
      <c r="C3275" s="35">
        <v>0</v>
      </c>
      <c r="D3275" s="2">
        <f t="shared" si="51"/>
        <v>1</v>
      </c>
    </row>
    <row r="3276" spans="1:4" x14ac:dyDescent="0.3">
      <c r="A3276" s="34">
        <v>32266</v>
      </c>
      <c r="B3276" s="35">
        <v>2</v>
      </c>
      <c r="C3276" s="35">
        <v>0</v>
      </c>
      <c r="D3276" s="2">
        <f t="shared" si="51"/>
        <v>2</v>
      </c>
    </row>
    <row r="3277" spans="1:4" x14ac:dyDescent="0.3">
      <c r="A3277" s="34">
        <v>32283</v>
      </c>
      <c r="B3277" s="35">
        <v>1</v>
      </c>
      <c r="C3277" s="35">
        <v>1</v>
      </c>
      <c r="D3277" s="2">
        <f t="shared" si="51"/>
        <v>2</v>
      </c>
    </row>
    <row r="3278" spans="1:4" x14ac:dyDescent="0.3">
      <c r="A3278" s="34">
        <v>32309</v>
      </c>
      <c r="B3278" s="35">
        <v>2</v>
      </c>
      <c r="C3278" s="35">
        <v>0</v>
      </c>
      <c r="D3278" s="2">
        <f t="shared" si="51"/>
        <v>2</v>
      </c>
    </row>
    <row r="3279" spans="1:4" x14ac:dyDescent="0.3">
      <c r="A3279" s="34">
        <v>32316</v>
      </c>
      <c r="B3279" s="35">
        <v>2</v>
      </c>
      <c r="C3279" s="35">
        <v>1</v>
      </c>
      <c r="D3279" s="2">
        <f t="shared" si="51"/>
        <v>3</v>
      </c>
    </row>
    <row r="3280" spans="1:4" x14ac:dyDescent="0.3">
      <c r="A3280" s="34">
        <v>32317</v>
      </c>
      <c r="B3280" s="35">
        <v>1</v>
      </c>
      <c r="C3280" s="35">
        <v>0</v>
      </c>
      <c r="D3280" s="2">
        <f t="shared" si="51"/>
        <v>1</v>
      </c>
    </row>
    <row r="3281" spans="1:4" x14ac:dyDescent="0.3">
      <c r="A3281" s="34">
        <v>32319</v>
      </c>
      <c r="B3281" s="35">
        <v>1</v>
      </c>
      <c r="C3281" s="35">
        <v>0</v>
      </c>
      <c r="D3281" s="2">
        <f t="shared" si="51"/>
        <v>1</v>
      </c>
    </row>
    <row r="3282" spans="1:4" x14ac:dyDescent="0.3">
      <c r="A3282" s="34">
        <v>32323</v>
      </c>
      <c r="B3282" s="35">
        <v>1</v>
      </c>
      <c r="C3282" s="35">
        <v>1</v>
      </c>
      <c r="D3282" s="2">
        <f t="shared" si="51"/>
        <v>2</v>
      </c>
    </row>
    <row r="3283" spans="1:4" x14ac:dyDescent="0.3">
      <c r="A3283" s="34">
        <v>32325</v>
      </c>
      <c r="B3283" s="35">
        <v>3</v>
      </c>
      <c r="C3283" s="35">
        <v>2</v>
      </c>
      <c r="D3283" s="2">
        <f t="shared" si="51"/>
        <v>5</v>
      </c>
    </row>
    <row r="3284" spans="1:4" x14ac:dyDescent="0.3">
      <c r="A3284" s="34">
        <v>32350</v>
      </c>
      <c r="B3284" s="35">
        <v>2</v>
      </c>
      <c r="C3284" s="35">
        <v>2</v>
      </c>
      <c r="D3284" s="2">
        <f t="shared" si="51"/>
        <v>4</v>
      </c>
    </row>
    <row r="3285" spans="1:4" x14ac:dyDescent="0.3">
      <c r="A3285" s="34">
        <v>32362</v>
      </c>
      <c r="B3285" s="35">
        <v>1</v>
      </c>
      <c r="C3285" s="35">
        <v>1</v>
      </c>
      <c r="D3285" s="2">
        <f t="shared" si="51"/>
        <v>2</v>
      </c>
    </row>
    <row r="3286" spans="1:4" x14ac:dyDescent="0.3">
      <c r="A3286" s="34">
        <v>32372</v>
      </c>
      <c r="B3286" s="35">
        <v>1</v>
      </c>
      <c r="C3286" s="35">
        <v>0</v>
      </c>
      <c r="D3286" s="2">
        <f t="shared" si="51"/>
        <v>1</v>
      </c>
    </row>
    <row r="3287" spans="1:4" x14ac:dyDescent="0.3">
      <c r="A3287" s="34">
        <v>32380</v>
      </c>
      <c r="B3287" s="35">
        <v>1</v>
      </c>
      <c r="C3287" s="35">
        <v>0</v>
      </c>
      <c r="D3287" s="2">
        <f t="shared" si="51"/>
        <v>1</v>
      </c>
    </row>
    <row r="3288" spans="1:4" x14ac:dyDescent="0.3">
      <c r="A3288" s="34">
        <v>32392</v>
      </c>
      <c r="B3288" s="35">
        <v>1</v>
      </c>
      <c r="C3288" s="35">
        <v>0</v>
      </c>
      <c r="D3288" s="2">
        <f t="shared" si="51"/>
        <v>1</v>
      </c>
    </row>
    <row r="3289" spans="1:4" x14ac:dyDescent="0.3">
      <c r="A3289" s="34">
        <v>32396</v>
      </c>
      <c r="B3289" s="35">
        <v>1</v>
      </c>
      <c r="C3289" s="35">
        <v>1</v>
      </c>
      <c r="D3289" s="2">
        <f t="shared" si="51"/>
        <v>2</v>
      </c>
    </row>
    <row r="3290" spans="1:4" x14ac:dyDescent="0.3">
      <c r="A3290" s="34">
        <v>32401</v>
      </c>
      <c r="B3290" s="35">
        <v>1</v>
      </c>
      <c r="C3290" s="35">
        <v>0</v>
      </c>
      <c r="D3290" s="2">
        <f t="shared" si="51"/>
        <v>1</v>
      </c>
    </row>
    <row r="3291" spans="1:4" x14ac:dyDescent="0.3">
      <c r="A3291" s="34">
        <v>32402</v>
      </c>
      <c r="B3291" s="35">
        <v>1</v>
      </c>
      <c r="C3291" s="35">
        <v>1</v>
      </c>
      <c r="D3291" s="2">
        <f t="shared" si="51"/>
        <v>2</v>
      </c>
    </row>
    <row r="3292" spans="1:4" x14ac:dyDescent="0.3">
      <c r="A3292" s="34">
        <v>32404</v>
      </c>
      <c r="B3292" s="35">
        <v>1</v>
      </c>
      <c r="C3292" s="35">
        <v>1</v>
      </c>
      <c r="D3292" s="2">
        <f t="shared" si="51"/>
        <v>2</v>
      </c>
    </row>
    <row r="3293" spans="1:4" x14ac:dyDescent="0.3">
      <c r="A3293" s="34">
        <v>32406</v>
      </c>
      <c r="B3293" s="35">
        <v>1</v>
      </c>
      <c r="C3293" s="35">
        <v>1</v>
      </c>
      <c r="D3293" s="2">
        <f t="shared" si="51"/>
        <v>2</v>
      </c>
    </row>
    <row r="3294" spans="1:4" x14ac:dyDescent="0.3">
      <c r="A3294" s="34">
        <v>32411</v>
      </c>
      <c r="B3294" s="35">
        <v>1</v>
      </c>
      <c r="C3294" s="35">
        <v>0</v>
      </c>
      <c r="D3294" s="2">
        <f t="shared" si="51"/>
        <v>1</v>
      </c>
    </row>
    <row r="3295" spans="1:4" x14ac:dyDescent="0.3">
      <c r="A3295" s="34">
        <v>32414</v>
      </c>
      <c r="B3295" s="35">
        <v>2</v>
      </c>
      <c r="C3295" s="35">
        <v>0</v>
      </c>
      <c r="D3295" s="2">
        <f t="shared" si="51"/>
        <v>2</v>
      </c>
    </row>
    <row r="3296" spans="1:4" x14ac:dyDescent="0.3">
      <c r="A3296" s="34">
        <v>32415</v>
      </c>
      <c r="B3296" s="35">
        <v>1</v>
      </c>
      <c r="C3296" s="35">
        <v>1</v>
      </c>
      <c r="D3296" s="2">
        <f t="shared" si="51"/>
        <v>2</v>
      </c>
    </row>
    <row r="3297" spans="1:4" x14ac:dyDescent="0.3">
      <c r="A3297" s="34">
        <v>32418</v>
      </c>
      <c r="B3297" s="35">
        <v>1</v>
      </c>
      <c r="C3297" s="35">
        <v>0</v>
      </c>
      <c r="D3297" s="2">
        <f t="shared" si="51"/>
        <v>1</v>
      </c>
    </row>
    <row r="3298" spans="1:4" x14ac:dyDescent="0.3">
      <c r="A3298" s="34">
        <v>32425</v>
      </c>
      <c r="B3298" s="35">
        <v>1</v>
      </c>
      <c r="C3298" s="35">
        <v>0</v>
      </c>
      <c r="D3298" s="2">
        <f t="shared" si="51"/>
        <v>1</v>
      </c>
    </row>
    <row r="3299" spans="1:4" x14ac:dyDescent="0.3">
      <c r="A3299" s="34">
        <v>32430</v>
      </c>
      <c r="B3299" s="35">
        <v>1</v>
      </c>
      <c r="C3299" s="35">
        <v>1</v>
      </c>
      <c r="D3299" s="2">
        <f t="shared" si="51"/>
        <v>2</v>
      </c>
    </row>
    <row r="3300" spans="1:4" x14ac:dyDescent="0.3">
      <c r="A3300" s="34">
        <v>32431</v>
      </c>
      <c r="B3300" s="35">
        <v>1</v>
      </c>
      <c r="C3300" s="35">
        <v>0</v>
      </c>
      <c r="D3300" s="2">
        <f t="shared" si="51"/>
        <v>1</v>
      </c>
    </row>
    <row r="3301" spans="1:4" x14ac:dyDescent="0.3">
      <c r="A3301" s="34">
        <v>32432</v>
      </c>
      <c r="B3301" s="35">
        <v>1</v>
      </c>
      <c r="C3301" s="35">
        <v>1</v>
      </c>
      <c r="D3301" s="2">
        <f t="shared" si="51"/>
        <v>2</v>
      </c>
    </row>
    <row r="3302" spans="1:4" x14ac:dyDescent="0.3">
      <c r="A3302" s="34">
        <v>32441</v>
      </c>
      <c r="B3302" s="35">
        <v>1</v>
      </c>
      <c r="C3302" s="35">
        <v>0</v>
      </c>
      <c r="D3302" s="2">
        <f t="shared" si="51"/>
        <v>1</v>
      </c>
    </row>
    <row r="3303" spans="1:4" x14ac:dyDescent="0.3">
      <c r="A3303" s="34">
        <v>32449</v>
      </c>
      <c r="B3303" s="35">
        <v>1</v>
      </c>
      <c r="C3303" s="35">
        <v>0</v>
      </c>
      <c r="D3303" s="2">
        <f t="shared" si="51"/>
        <v>1</v>
      </c>
    </row>
    <row r="3304" spans="1:4" x14ac:dyDescent="0.3">
      <c r="A3304" s="34">
        <v>32450</v>
      </c>
      <c r="B3304" s="35">
        <v>1</v>
      </c>
      <c r="C3304" s="35">
        <v>0</v>
      </c>
      <c r="D3304" s="2">
        <f t="shared" si="51"/>
        <v>1</v>
      </c>
    </row>
    <row r="3305" spans="1:4" x14ac:dyDescent="0.3">
      <c r="A3305" s="34">
        <v>32471</v>
      </c>
      <c r="B3305" s="35">
        <v>1</v>
      </c>
      <c r="C3305" s="35">
        <v>0</v>
      </c>
      <c r="D3305" s="2">
        <f t="shared" si="51"/>
        <v>1</v>
      </c>
    </row>
    <row r="3306" spans="1:4" x14ac:dyDescent="0.3">
      <c r="A3306" s="34">
        <v>32477</v>
      </c>
      <c r="B3306" s="35">
        <v>1</v>
      </c>
      <c r="C3306" s="35">
        <v>0</v>
      </c>
      <c r="D3306" s="2">
        <f t="shared" si="51"/>
        <v>1</v>
      </c>
    </row>
    <row r="3307" spans="1:4" x14ac:dyDescent="0.3">
      <c r="A3307" s="34">
        <v>32482</v>
      </c>
      <c r="B3307" s="35">
        <v>1</v>
      </c>
      <c r="C3307" s="35">
        <v>0</v>
      </c>
      <c r="D3307" s="2">
        <f t="shared" si="51"/>
        <v>1</v>
      </c>
    </row>
    <row r="3308" spans="1:4" x14ac:dyDescent="0.3">
      <c r="A3308" s="34">
        <v>32490</v>
      </c>
      <c r="B3308" s="35">
        <v>1</v>
      </c>
      <c r="C3308" s="35">
        <v>1</v>
      </c>
      <c r="D3308" s="2">
        <f t="shared" si="51"/>
        <v>2</v>
      </c>
    </row>
    <row r="3309" spans="1:4" x14ac:dyDescent="0.3">
      <c r="A3309" s="34">
        <v>32494</v>
      </c>
      <c r="B3309" s="35">
        <v>1</v>
      </c>
      <c r="C3309" s="35">
        <v>0</v>
      </c>
      <c r="D3309" s="2">
        <f t="shared" si="51"/>
        <v>1</v>
      </c>
    </row>
    <row r="3310" spans="1:4" x14ac:dyDescent="0.3">
      <c r="A3310" s="34">
        <v>32495</v>
      </c>
      <c r="B3310" s="35">
        <v>1</v>
      </c>
      <c r="C3310" s="35">
        <v>0</v>
      </c>
      <c r="D3310" s="2">
        <f t="shared" si="51"/>
        <v>1</v>
      </c>
    </row>
    <row r="3311" spans="1:4" x14ac:dyDescent="0.3">
      <c r="A3311" s="34">
        <v>32565</v>
      </c>
      <c r="B3311" s="35">
        <v>1</v>
      </c>
      <c r="C3311" s="35">
        <v>0</v>
      </c>
      <c r="D3311" s="2">
        <f t="shared" si="51"/>
        <v>1</v>
      </c>
    </row>
    <row r="3312" spans="1:4" x14ac:dyDescent="0.3">
      <c r="A3312" s="34">
        <v>32567</v>
      </c>
      <c r="B3312" s="35">
        <v>1</v>
      </c>
      <c r="C3312" s="35">
        <v>0</v>
      </c>
      <c r="D3312" s="2">
        <f t="shared" si="51"/>
        <v>1</v>
      </c>
    </row>
    <row r="3313" spans="1:4" x14ac:dyDescent="0.3">
      <c r="A3313" s="34">
        <v>32572</v>
      </c>
      <c r="B3313" s="35">
        <v>1</v>
      </c>
      <c r="C3313" s="35">
        <v>0</v>
      </c>
      <c r="D3313" s="2">
        <f t="shared" si="51"/>
        <v>1</v>
      </c>
    </row>
    <row r="3314" spans="1:4" x14ac:dyDescent="0.3">
      <c r="A3314" s="34">
        <v>32584</v>
      </c>
      <c r="B3314" s="35">
        <v>1</v>
      </c>
      <c r="C3314" s="35">
        <v>0</v>
      </c>
      <c r="D3314" s="2">
        <f t="shared" si="51"/>
        <v>1</v>
      </c>
    </row>
    <row r="3315" spans="1:4" x14ac:dyDescent="0.3">
      <c r="A3315" s="34">
        <v>32585</v>
      </c>
      <c r="B3315" s="35">
        <v>1</v>
      </c>
      <c r="C3315" s="35">
        <v>0</v>
      </c>
      <c r="D3315" s="2">
        <f t="shared" si="51"/>
        <v>1</v>
      </c>
    </row>
    <row r="3316" spans="1:4" x14ac:dyDescent="0.3">
      <c r="A3316" s="34">
        <v>32590</v>
      </c>
      <c r="B3316" s="35">
        <v>1</v>
      </c>
      <c r="C3316" s="35">
        <v>0</v>
      </c>
      <c r="D3316" s="2">
        <f t="shared" si="51"/>
        <v>1</v>
      </c>
    </row>
    <row r="3317" spans="1:4" x14ac:dyDescent="0.3">
      <c r="A3317" s="34">
        <v>32599</v>
      </c>
      <c r="B3317" s="35">
        <v>1</v>
      </c>
      <c r="C3317" s="35">
        <v>0</v>
      </c>
      <c r="D3317" s="2">
        <f t="shared" si="51"/>
        <v>1</v>
      </c>
    </row>
    <row r="3318" spans="1:4" x14ac:dyDescent="0.3">
      <c r="A3318" s="34">
        <v>32606</v>
      </c>
      <c r="B3318" s="35">
        <v>1</v>
      </c>
      <c r="C3318" s="35">
        <v>0</v>
      </c>
      <c r="D3318" s="2">
        <f t="shared" si="51"/>
        <v>1</v>
      </c>
    </row>
    <row r="3319" spans="1:4" x14ac:dyDescent="0.3">
      <c r="A3319" s="34">
        <v>32607</v>
      </c>
      <c r="B3319" s="35">
        <v>1</v>
      </c>
      <c r="C3319" s="35">
        <v>0</v>
      </c>
      <c r="D3319" s="2">
        <f t="shared" si="51"/>
        <v>1</v>
      </c>
    </row>
    <row r="3320" spans="1:4" x14ac:dyDescent="0.3">
      <c r="A3320" s="34">
        <v>32615</v>
      </c>
      <c r="B3320" s="35">
        <v>1</v>
      </c>
      <c r="C3320" s="35">
        <v>0</v>
      </c>
      <c r="D3320" s="2">
        <f t="shared" si="51"/>
        <v>1</v>
      </c>
    </row>
    <row r="3321" spans="1:4" x14ac:dyDescent="0.3">
      <c r="A3321" s="34">
        <v>32616</v>
      </c>
      <c r="B3321" s="35">
        <v>1</v>
      </c>
      <c r="C3321" s="35">
        <v>0</v>
      </c>
      <c r="D3321" s="2">
        <f t="shared" si="51"/>
        <v>1</v>
      </c>
    </row>
    <row r="3322" spans="1:4" x14ac:dyDescent="0.3">
      <c r="A3322" s="34">
        <v>32619</v>
      </c>
      <c r="B3322" s="35">
        <v>1</v>
      </c>
      <c r="C3322" s="35">
        <v>1</v>
      </c>
      <c r="D3322" s="2">
        <f t="shared" si="51"/>
        <v>2</v>
      </c>
    </row>
    <row r="3323" spans="1:4" x14ac:dyDescent="0.3">
      <c r="A3323" s="34">
        <v>32634</v>
      </c>
      <c r="B3323" s="35">
        <v>1</v>
      </c>
      <c r="C3323" s="35">
        <v>0</v>
      </c>
      <c r="D3323" s="2">
        <f t="shared" si="51"/>
        <v>1</v>
      </c>
    </row>
    <row r="3324" spans="1:4" x14ac:dyDescent="0.3">
      <c r="A3324" s="34">
        <v>32635</v>
      </c>
      <c r="B3324" s="35">
        <v>1</v>
      </c>
      <c r="C3324" s="35">
        <v>0</v>
      </c>
      <c r="D3324" s="2">
        <f t="shared" si="51"/>
        <v>1</v>
      </c>
    </row>
    <row r="3325" spans="1:4" x14ac:dyDescent="0.3">
      <c r="A3325" s="34">
        <v>32637</v>
      </c>
      <c r="B3325" s="35">
        <v>1</v>
      </c>
      <c r="C3325" s="35">
        <v>0</v>
      </c>
      <c r="D3325" s="2">
        <f t="shared" si="51"/>
        <v>1</v>
      </c>
    </row>
    <row r="3326" spans="1:4" x14ac:dyDescent="0.3">
      <c r="A3326" s="34">
        <v>32640</v>
      </c>
      <c r="B3326" s="35">
        <v>1</v>
      </c>
      <c r="C3326" s="35">
        <v>0</v>
      </c>
      <c r="D3326" s="2">
        <f t="shared" si="51"/>
        <v>1</v>
      </c>
    </row>
    <row r="3327" spans="1:4" x14ac:dyDescent="0.3">
      <c r="A3327" s="34">
        <v>32644</v>
      </c>
      <c r="B3327" s="35">
        <v>1</v>
      </c>
      <c r="C3327" s="35">
        <v>0</v>
      </c>
      <c r="D3327" s="2">
        <f t="shared" si="51"/>
        <v>1</v>
      </c>
    </row>
    <row r="3328" spans="1:4" x14ac:dyDescent="0.3">
      <c r="A3328" s="34">
        <v>32645</v>
      </c>
      <c r="B3328" s="35">
        <v>2</v>
      </c>
      <c r="C3328" s="35">
        <v>0</v>
      </c>
      <c r="D3328" s="2">
        <f t="shared" si="51"/>
        <v>2</v>
      </c>
    </row>
    <row r="3329" spans="1:4" x14ac:dyDescent="0.3">
      <c r="A3329" s="34">
        <v>32646</v>
      </c>
      <c r="B3329" s="35">
        <v>1</v>
      </c>
      <c r="C3329" s="35">
        <v>1</v>
      </c>
      <c r="D3329" s="2">
        <f t="shared" si="51"/>
        <v>2</v>
      </c>
    </row>
    <row r="3330" spans="1:4" x14ac:dyDescent="0.3">
      <c r="A3330" s="34">
        <v>32647</v>
      </c>
      <c r="B3330" s="35">
        <v>1</v>
      </c>
      <c r="C3330" s="35">
        <v>0</v>
      </c>
      <c r="D3330" s="2">
        <f t="shared" si="51"/>
        <v>1</v>
      </c>
    </row>
    <row r="3331" spans="1:4" x14ac:dyDescent="0.3">
      <c r="A3331" s="34">
        <v>32649</v>
      </c>
      <c r="B3331" s="35">
        <v>1</v>
      </c>
      <c r="C3331" s="35">
        <v>0</v>
      </c>
      <c r="D3331" s="2">
        <f t="shared" ref="D3331:D3394" si="52">B3331+C3331</f>
        <v>1</v>
      </c>
    </row>
    <row r="3332" spans="1:4" x14ac:dyDescent="0.3">
      <c r="A3332" s="34">
        <v>32656</v>
      </c>
      <c r="B3332" s="35">
        <v>1</v>
      </c>
      <c r="C3332" s="35">
        <v>1</v>
      </c>
      <c r="D3332" s="2">
        <f t="shared" si="52"/>
        <v>2</v>
      </c>
    </row>
    <row r="3333" spans="1:4" x14ac:dyDescent="0.3">
      <c r="A3333" s="34">
        <v>32663</v>
      </c>
      <c r="B3333" s="35">
        <v>1</v>
      </c>
      <c r="C3333" s="35">
        <v>1</v>
      </c>
      <c r="D3333" s="2">
        <f t="shared" si="52"/>
        <v>2</v>
      </c>
    </row>
    <row r="3334" spans="1:4" x14ac:dyDescent="0.3">
      <c r="A3334" s="34">
        <v>32664</v>
      </c>
      <c r="B3334" s="35">
        <v>1</v>
      </c>
      <c r="C3334" s="35">
        <v>0</v>
      </c>
      <c r="D3334" s="2">
        <f t="shared" si="52"/>
        <v>1</v>
      </c>
    </row>
    <row r="3335" spans="1:4" x14ac:dyDescent="0.3">
      <c r="A3335" s="34">
        <v>32842</v>
      </c>
      <c r="B3335" s="35">
        <v>1</v>
      </c>
      <c r="C3335" s="35">
        <v>1</v>
      </c>
      <c r="D3335" s="2">
        <f t="shared" si="52"/>
        <v>2</v>
      </c>
    </row>
    <row r="3336" spans="1:4" x14ac:dyDescent="0.3">
      <c r="A3336" s="34">
        <v>32848</v>
      </c>
      <c r="B3336" s="35">
        <v>1</v>
      </c>
      <c r="C3336" s="35">
        <v>0</v>
      </c>
      <c r="D3336" s="2">
        <f t="shared" si="52"/>
        <v>1</v>
      </c>
    </row>
    <row r="3337" spans="1:4" x14ac:dyDescent="0.3">
      <c r="A3337" s="34">
        <v>32849</v>
      </c>
      <c r="B3337" s="35">
        <v>1</v>
      </c>
      <c r="C3337" s="35">
        <v>0</v>
      </c>
      <c r="D3337" s="2">
        <f t="shared" si="52"/>
        <v>1</v>
      </c>
    </row>
    <row r="3338" spans="1:4" x14ac:dyDescent="0.3">
      <c r="A3338" s="34">
        <v>32851</v>
      </c>
      <c r="B3338" s="35">
        <v>2</v>
      </c>
      <c r="C3338" s="35">
        <v>1</v>
      </c>
      <c r="D3338" s="2">
        <f t="shared" si="52"/>
        <v>3</v>
      </c>
    </row>
    <row r="3339" spans="1:4" x14ac:dyDescent="0.3">
      <c r="A3339" s="34">
        <v>32852</v>
      </c>
      <c r="B3339" s="35">
        <v>1</v>
      </c>
      <c r="C3339" s="35">
        <v>0</v>
      </c>
      <c r="D3339" s="2">
        <f t="shared" si="52"/>
        <v>1</v>
      </c>
    </row>
    <row r="3340" spans="1:4" x14ac:dyDescent="0.3">
      <c r="A3340" s="34">
        <v>32853</v>
      </c>
      <c r="B3340" s="35">
        <v>1</v>
      </c>
      <c r="C3340" s="35">
        <v>0</v>
      </c>
      <c r="D3340" s="2">
        <f t="shared" si="52"/>
        <v>1</v>
      </c>
    </row>
    <row r="3341" spans="1:4" x14ac:dyDescent="0.3">
      <c r="A3341" s="34">
        <v>32854</v>
      </c>
      <c r="B3341" s="35">
        <v>1</v>
      </c>
      <c r="C3341" s="35">
        <v>0</v>
      </c>
      <c r="D3341" s="2">
        <f t="shared" si="52"/>
        <v>1</v>
      </c>
    </row>
    <row r="3342" spans="1:4" x14ac:dyDescent="0.3">
      <c r="A3342" s="34">
        <v>32860</v>
      </c>
      <c r="B3342" s="35">
        <v>1</v>
      </c>
      <c r="C3342" s="35">
        <v>0</v>
      </c>
      <c r="D3342" s="2">
        <f t="shared" si="52"/>
        <v>1</v>
      </c>
    </row>
    <row r="3343" spans="1:4" x14ac:dyDescent="0.3">
      <c r="A3343" s="34">
        <v>32880</v>
      </c>
      <c r="B3343" s="35">
        <v>1</v>
      </c>
      <c r="C3343" s="35">
        <v>0</v>
      </c>
      <c r="D3343" s="2">
        <f t="shared" si="52"/>
        <v>1</v>
      </c>
    </row>
    <row r="3344" spans="1:4" x14ac:dyDescent="0.3">
      <c r="A3344" s="34">
        <v>32887</v>
      </c>
      <c r="B3344" s="35">
        <v>2</v>
      </c>
      <c r="C3344" s="35">
        <v>1</v>
      </c>
      <c r="D3344" s="2">
        <f t="shared" si="52"/>
        <v>3</v>
      </c>
    </row>
    <row r="3345" spans="1:4" x14ac:dyDescent="0.3">
      <c r="A3345" s="34">
        <v>32905</v>
      </c>
      <c r="B3345" s="35">
        <v>1</v>
      </c>
      <c r="C3345" s="35">
        <v>1</v>
      </c>
      <c r="D3345" s="2">
        <f t="shared" si="52"/>
        <v>2</v>
      </c>
    </row>
    <row r="3346" spans="1:4" x14ac:dyDescent="0.3">
      <c r="A3346" s="34">
        <v>32920</v>
      </c>
      <c r="B3346" s="35">
        <v>1</v>
      </c>
      <c r="C3346" s="35">
        <v>0</v>
      </c>
      <c r="D3346" s="2">
        <f t="shared" si="52"/>
        <v>1</v>
      </c>
    </row>
    <row r="3347" spans="1:4" x14ac:dyDescent="0.3">
      <c r="A3347" s="34">
        <v>32921</v>
      </c>
      <c r="B3347" s="35">
        <v>1</v>
      </c>
      <c r="C3347" s="35">
        <v>1</v>
      </c>
      <c r="D3347" s="2">
        <f t="shared" si="52"/>
        <v>2</v>
      </c>
    </row>
    <row r="3348" spans="1:4" x14ac:dyDescent="0.3">
      <c r="A3348" s="34">
        <v>32923</v>
      </c>
      <c r="B3348" s="35">
        <v>1</v>
      </c>
      <c r="C3348" s="35">
        <v>0</v>
      </c>
      <c r="D3348" s="2">
        <f t="shared" si="52"/>
        <v>1</v>
      </c>
    </row>
    <row r="3349" spans="1:4" x14ac:dyDescent="0.3">
      <c r="A3349" s="34">
        <v>32925</v>
      </c>
      <c r="B3349" s="35">
        <v>1</v>
      </c>
      <c r="C3349" s="35">
        <v>0</v>
      </c>
      <c r="D3349" s="2">
        <f t="shared" si="52"/>
        <v>1</v>
      </c>
    </row>
    <row r="3350" spans="1:4" x14ac:dyDescent="0.3">
      <c r="A3350" s="34">
        <v>32927</v>
      </c>
      <c r="B3350" s="35">
        <v>1</v>
      </c>
      <c r="C3350" s="35">
        <v>0</v>
      </c>
      <c r="D3350" s="2">
        <f t="shared" si="52"/>
        <v>1</v>
      </c>
    </row>
    <row r="3351" spans="1:4" x14ac:dyDescent="0.3">
      <c r="A3351" s="34">
        <v>32931</v>
      </c>
      <c r="B3351" s="35">
        <v>1</v>
      </c>
      <c r="C3351" s="35">
        <v>0</v>
      </c>
      <c r="D3351" s="2">
        <f t="shared" si="52"/>
        <v>1</v>
      </c>
    </row>
    <row r="3352" spans="1:4" x14ac:dyDescent="0.3">
      <c r="A3352" s="34">
        <v>32932</v>
      </c>
      <c r="B3352" s="35">
        <v>1</v>
      </c>
      <c r="C3352" s="35">
        <v>1</v>
      </c>
      <c r="D3352" s="2">
        <f t="shared" si="52"/>
        <v>2</v>
      </c>
    </row>
    <row r="3353" spans="1:4" x14ac:dyDescent="0.3">
      <c r="A3353" s="34">
        <v>32938</v>
      </c>
      <c r="B3353" s="35">
        <v>1</v>
      </c>
      <c r="C3353" s="35">
        <v>0</v>
      </c>
      <c r="D3353" s="2">
        <f t="shared" si="52"/>
        <v>1</v>
      </c>
    </row>
    <row r="3354" spans="1:4" x14ac:dyDescent="0.3">
      <c r="A3354" s="34">
        <v>32942</v>
      </c>
      <c r="B3354" s="35">
        <v>1</v>
      </c>
      <c r="C3354" s="35">
        <v>0</v>
      </c>
      <c r="D3354" s="2">
        <f t="shared" si="52"/>
        <v>1</v>
      </c>
    </row>
    <row r="3355" spans="1:4" x14ac:dyDescent="0.3">
      <c r="A3355" s="34">
        <v>32943</v>
      </c>
      <c r="B3355" s="35">
        <v>1</v>
      </c>
      <c r="C3355" s="35">
        <v>0</v>
      </c>
      <c r="D3355" s="2">
        <f t="shared" si="52"/>
        <v>1</v>
      </c>
    </row>
    <row r="3356" spans="1:4" x14ac:dyDescent="0.3">
      <c r="A3356" s="34">
        <v>32946</v>
      </c>
      <c r="B3356" s="35">
        <v>2</v>
      </c>
      <c r="C3356" s="35">
        <v>0</v>
      </c>
      <c r="D3356" s="2">
        <f t="shared" si="52"/>
        <v>2</v>
      </c>
    </row>
    <row r="3357" spans="1:4" x14ac:dyDescent="0.3">
      <c r="A3357" s="34">
        <v>32949</v>
      </c>
      <c r="B3357" s="35">
        <v>1</v>
      </c>
      <c r="C3357" s="35">
        <v>0</v>
      </c>
      <c r="D3357" s="2">
        <f t="shared" si="52"/>
        <v>1</v>
      </c>
    </row>
    <row r="3358" spans="1:4" x14ac:dyDescent="0.3">
      <c r="A3358" s="34">
        <v>32951</v>
      </c>
      <c r="B3358" s="35">
        <v>1</v>
      </c>
      <c r="C3358" s="35">
        <v>1</v>
      </c>
      <c r="D3358" s="2">
        <f t="shared" si="52"/>
        <v>2</v>
      </c>
    </row>
    <row r="3359" spans="1:4" x14ac:dyDescent="0.3">
      <c r="A3359" s="34">
        <v>32960</v>
      </c>
      <c r="B3359" s="35">
        <v>1</v>
      </c>
      <c r="C3359" s="35">
        <v>0</v>
      </c>
      <c r="D3359" s="2">
        <f t="shared" si="52"/>
        <v>1</v>
      </c>
    </row>
    <row r="3360" spans="1:4" x14ac:dyDescent="0.3">
      <c r="A3360" s="34">
        <v>32964</v>
      </c>
      <c r="B3360" s="35">
        <v>1</v>
      </c>
      <c r="C3360" s="35">
        <v>0</v>
      </c>
      <c r="D3360" s="2">
        <f t="shared" si="52"/>
        <v>1</v>
      </c>
    </row>
    <row r="3361" spans="1:4" x14ac:dyDescent="0.3">
      <c r="A3361" s="34">
        <v>32967</v>
      </c>
      <c r="B3361" s="35">
        <v>1</v>
      </c>
      <c r="C3361" s="35">
        <v>0</v>
      </c>
      <c r="D3361" s="2">
        <f t="shared" si="52"/>
        <v>1</v>
      </c>
    </row>
    <row r="3362" spans="1:4" x14ac:dyDescent="0.3">
      <c r="A3362" s="34">
        <v>32968</v>
      </c>
      <c r="B3362" s="35">
        <v>2</v>
      </c>
      <c r="C3362" s="35">
        <v>2</v>
      </c>
      <c r="D3362" s="2">
        <f t="shared" si="52"/>
        <v>4</v>
      </c>
    </row>
    <row r="3363" spans="1:4" x14ac:dyDescent="0.3">
      <c r="A3363" s="34">
        <v>32970</v>
      </c>
      <c r="B3363" s="35">
        <v>2</v>
      </c>
      <c r="C3363" s="35">
        <v>2</v>
      </c>
      <c r="D3363" s="2">
        <f t="shared" si="52"/>
        <v>4</v>
      </c>
    </row>
    <row r="3364" spans="1:4" x14ac:dyDescent="0.3">
      <c r="A3364" s="34">
        <v>32971</v>
      </c>
      <c r="B3364" s="35">
        <v>1</v>
      </c>
      <c r="C3364" s="35">
        <v>1</v>
      </c>
      <c r="D3364" s="2">
        <f t="shared" si="52"/>
        <v>2</v>
      </c>
    </row>
    <row r="3365" spans="1:4" x14ac:dyDescent="0.3">
      <c r="A3365" s="34">
        <v>32974</v>
      </c>
      <c r="B3365" s="35">
        <v>1</v>
      </c>
      <c r="C3365" s="35">
        <v>0</v>
      </c>
      <c r="D3365" s="2">
        <f t="shared" si="52"/>
        <v>1</v>
      </c>
    </row>
    <row r="3366" spans="1:4" x14ac:dyDescent="0.3">
      <c r="A3366" s="34">
        <v>32975</v>
      </c>
      <c r="B3366" s="35">
        <v>1</v>
      </c>
      <c r="C3366" s="35">
        <v>0</v>
      </c>
      <c r="D3366" s="2">
        <f t="shared" si="52"/>
        <v>1</v>
      </c>
    </row>
    <row r="3367" spans="1:4" x14ac:dyDescent="0.3">
      <c r="A3367" s="34">
        <v>32977</v>
      </c>
      <c r="B3367" s="35">
        <v>1</v>
      </c>
      <c r="C3367" s="35">
        <v>0</v>
      </c>
      <c r="D3367" s="2">
        <f t="shared" si="52"/>
        <v>1</v>
      </c>
    </row>
    <row r="3368" spans="1:4" x14ac:dyDescent="0.3">
      <c r="A3368" s="34">
        <v>32981</v>
      </c>
      <c r="B3368" s="35">
        <v>1</v>
      </c>
      <c r="C3368" s="35">
        <v>0</v>
      </c>
      <c r="D3368" s="2">
        <f t="shared" si="52"/>
        <v>1</v>
      </c>
    </row>
    <row r="3369" spans="1:4" x14ac:dyDescent="0.3">
      <c r="A3369" s="34">
        <v>32982</v>
      </c>
      <c r="B3369" s="35">
        <v>1</v>
      </c>
      <c r="C3369" s="35">
        <v>0</v>
      </c>
      <c r="D3369" s="2">
        <f t="shared" si="52"/>
        <v>1</v>
      </c>
    </row>
    <row r="3370" spans="1:4" x14ac:dyDescent="0.3">
      <c r="A3370" s="34">
        <v>32984</v>
      </c>
      <c r="B3370" s="35">
        <v>2</v>
      </c>
      <c r="C3370" s="35">
        <v>1</v>
      </c>
      <c r="D3370" s="2">
        <f t="shared" si="52"/>
        <v>3</v>
      </c>
    </row>
    <row r="3371" spans="1:4" x14ac:dyDescent="0.3">
      <c r="A3371" s="34">
        <v>32985</v>
      </c>
      <c r="B3371" s="35">
        <v>1</v>
      </c>
      <c r="C3371" s="35">
        <v>1</v>
      </c>
      <c r="D3371" s="2">
        <f t="shared" si="52"/>
        <v>2</v>
      </c>
    </row>
    <row r="3372" spans="1:4" x14ac:dyDescent="0.3">
      <c r="A3372" s="34">
        <v>32988</v>
      </c>
      <c r="B3372" s="35">
        <v>1</v>
      </c>
      <c r="C3372" s="35">
        <v>0</v>
      </c>
      <c r="D3372" s="2">
        <f t="shared" si="52"/>
        <v>1</v>
      </c>
    </row>
    <row r="3373" spans="1:4" x14ac:dyDescent="0.3">
      <c r="A3373" s="34">
        <v>32989</v>
      </c>
      <c r="B3373" s="35">
        <v>1</v>
      </c>
      <c r="C3373" s="35">
        <v>0</v>
      </c>
      <c r="D3373" s="2">
        <f t="shared" si="52"/>
        <v>1</v>
      </c>
    </row>
    <row r="3374" spans="1:4" x14ac:dyDescent="0.3">
      <c r="A3374" s="34">
        <v>32994</v>
      </c>
      <c r="B3374" s="35">
        <v>1</v>
      </c>
      <c r="C3374" s="35">
        <v>0</v>
      </c>
      <c r="D3374" s="2">
        <f t="shared" si="52"/>
        <v>1</v>
      </c>
    </row>
    <row r="3375" spans="1:4" x14ac:dyDescent="0.3">
      <c r="A3375" s="34">
        <v>32995</v>
      </c>
      <c r="B3375" s="35">
        <v>1</v>
      </c>
      <c r="C3375" s="35">
        <v>0</v>
      </c>
      <c r="D3375" s="2">
        <f t="shared" si="52"/>
        <v>1</v>
      </c>
    </row>
    <row r="3376" spans="1:4" x14ac:dyDescent="0.3">
      <c r="A3376" s="34">
        <v>32998</v>
      </c>
      <c r="B3376" s="35">
        <v>1</v>
      </c>
      <c r="C3376" s="35">
        <v>0</v>
      </c>
      <c r="D3376" s="2">
        <f t="shared" si="52"/>
        <v>1</v>
      </c>
    </row>
    <row r="3377" spans="1:4" x14ac:dyDescent="0.3">
      <c r="A3377" s="34">
        <v>33002</v>
      </c>
      <c r="B3377" s="35">
        <v>1</v>
      </c>
      <c r="C3377" s="35">
        <v>0</v>
      </c>
      <c r="D3377" s="2">
        <f t="shared" si="52"/>
        <v>1</v>
      </c>
    </row>
    <row r="3378" spans="1:4" x14ac:dyDescent="0.3">
      <c r="A3378" s="34">
        <v>33003</v>
      </c>
      <c r="B3378" s="35">
        <v>1</v>
      </c>
      <c r="C3378" s="35">
        <v>0</v>
      </c>
      <c r="D3378" s="2">
        <f t="shared" si="52"/>
        <v>1</v>
      </c>
    </row>
    <row r="3379" spans="1:4" x14ac:dyDescent="0.3">
      <c r="A3379" s="34">
        <v>33004</v>
      </c>
      <c r="B3379" s="35">
        <v>1</v>
      </c>
      <c r="C3379" s="35">
        <v>0</v>
      </c>
      <c r="D3379" s="2">
        <f t="shared" si="52"/>
        <v>1</v>
      </c>
    </row>
    <row r="3380" spans="1:4" x14ac:dyDescent="0.3">
      <c r="A3380" s="34">
        <v>33005</v>
      </c>
      <c r="B3380" s="35">
        <v>1</v>
      </c>
      <c r="C3380" s="35">
        <v>0</v>
      </c>
      <c r="D3380" s="2">
        <f t="shared" si="52"/>
        <v>1</v>
      </c>
    </row>
    <row r="3381" spans="1:4" x14ac:dyDescent="0.3">
      <c r="A3381" s="34">
        <v>33011</v>
      </c>
      <c r="B3381" s="35">
        <v>1</v>
      </c>
      <c r="C3381" s="35">
        <v>1</v>
      </c>
      <c r="D3381" s="2">
        <f t="shared" si="52"/>
        <v>2</v>
      </c>
    </row>
    <row r="3382" spans="1:4" x14ac:dyDescent="0.3">
      <c r="A3382" s="34">
        <v>33013</v>
      </c>
      <c r="B3382" s="35">
        <v>1</v>
      </c>
      <c r="C3382" s="35">
        <v>0</v>
      </c>
      <c r="D3382" s="2">
        <f t="shared" si="52"/>
        <v>1</v>
      </c>
    </row>
    <row r="3383" spans="1:4" x14ac:dyDescent="0.3">
      <c r="A3383" s="34">
        <v>33015</v>
      </c>
      <c r="B3383" s="35">
        <v>1</v>
      </c>
      <c r="C3383" s="35">
        <v>1</v>
      </c>
      <c r="D3383" s="2">
        <f t="shared" si="52"/>
        <v>2</v>
      </c>
    </row>
    <row r="3384" spans="1:4" x14ac:dyDescent="0.3">
      <c r="A3384" s="34">
        <v>33018</v>
      </c>
      <c r="B3384" s="35">
        <v>2</v>
      </c>
      <c r="C3384" s="35">
        <v>1</v>
      </c>
      <c r="D3384" s="2">
        <f t="shared" si="52"/>
        <v>3</v>
      </c>
    </row>
    <row r="3385" spans="1:4" x14ac:dyDescent="0.3">
      <c r="A3385" s="34">
        <v>33023</v>
      </c>
      <c r="B3385" s="35">
        <v>1</v>
      </c>
      <c r="C3385" s="35">
        <v>0</v>
      </c>
      <c r="D3385" s="2">
        <f t="shared" si="52"/>
        <v>1</v>
      </c>
    </row>
    <row r="3386" spans="1:4" x14ac:dyDescent="0.3">
      <c r="A3386" s="34">
        <v>33024</v>
      </c>
      <c r="B3386" s="35">
        <v>1</v>
      </c>
      <c r="C3386" s="35">
        <v>0</v>
      </c>
      <c r="D3386" s="2">
        <f t="shared" si="52"/>
        <v>1</v>
      </c>
    </row>
    <row r="3387" spans="1:4" x14ac:dyDescent="0.3">
      <c r="A3387" s="34">
        <v>33030</v>
      </c>
      <c r="B3387" s="35">
        <v>1</v>
      </c>
      <c r="C3387" s="35">
        <v>0</v>
      </c>
      <c r="D3387" s="2">
        <f t="shared" si="52"/>
        <v>1</v>
      </c>
    </row>
    <row r="3388" spans="1:4" x14ac:dyDescent="0.3">
      <c r="A3388" s="34">
        <v>33040</v>
      </c>
      <c r="B3388" s="35">
        <v>1</v>
      </c>
      <c r="C3388" s="35">
        <v>0</v>
      </c>
      <c r="D3388" s="2">
        <f t="shared" si="52"/>
        <v>1</v>
      </c>
    </row>
    <row r="3389" spans="1:4" x14ac:dyDescent="0.3">
      <c r="A3389" s="34">
        <v>33042</v>
      </c>
      <c r="B3389" s="35">
        <v>2</v>
      </c>
      <c r="C3389" s="35">
        <v>0</v>
      </c>
      <c r="D3389" s="2">
        <f t="shared" si="52"/>
        <v>2</v>
      </c>
    </row>
    <row r="3390" spans="1:4" x14ac:dyDescent="0.3">
      <c r="A3390" s="34">
        <v>33080</v>
      </c>
      <c r="B3390" s="35">
        <v>2</v>
      </c>
      <c r="C3390" s="35">
        <v>1</v>
      </c>
      <c r="D3390" s="2">
        <f t="shared" si="52"/>
        <v>3</v>
      </c>
    </row>
    <row r="3391" spans="1:4" x14ac:dyDescent="0.3">
      <c r="A3391" s="34">
        <v>33081</v>
      </c>
      <c r="B3391" s="35">
        <v>2</v>
      </c>
      <c r="C3391" s="35">
        <v>1</v>
      </c>
      <c r="D3391" s="2">
        <f t="shared" si="52"/>
        <v>3</v>
      </c>
    </row>
    <row r="3392" spans="1:4" x14ac:dyDescent="0.3">
      <c r="A3392" s="34">
        <v>33089</v>
      </c>
      <c r="B3392" s="35">
        <v>1</v>
      </c>
      <c r="C3392" s="35">
        <v>0</v>
      </c>
      <c r="D3392" s="2">
        <f t="shared" si="52"/>
        <v>1</v>
      </c>
    </row>
    <row r="3393" spans="1:4" x14ac:dyDescent="0.3">
      <c r="A3393" s="34">
        <v>33093</v>
      </c>
      <c r="B3393" s="35">
        <v>1</v>
      </c>
      <c r="C3393" s="35">
        <v>0</v>
      </c>
      <c r="D3393" s="2">
        <f t="shared" si="52"/>
        <v>1</v>
      </c>
    </row>
    <row r="3394" spans="1:4" x14ac:dyDescent="0.3">
      <c r="A3394" s="34">
        <v>33104</v>
      </c>
      <c r="B3394" s="35">
        <v>1</v>
      </c>
      <c r="C3394" s="35">
        <v>0</v>
      </c>
      <c r="D3394" s="2">
        <f t="shared" si="52"/>
        <v>1</v>
      </c>
    </row>
    <row r="3395" spans="1:4" x14ac:dyDescent="0.3">
      <c r="A3395" s="34">
        <v>33106</v>
      </c>
      <c r="B3395" s="35">
        <v>1</v>
      </c>
      <c r="C3395" s="35">
        <v>0</v>
      </c>
      <c r="D3395" s="2">
        <f t="shared" ref="D3395:D3458" si="53">B3395+C3395</f>
        <v>1</v>
      </c>
    </row>
    <row r="3396" spans="1:4" x14ac:dyDescent="0.3">
      <c r="A3396" s="34">
        <v>33107</v>
      </c>
      <c r="B3396" s="35">
        <v>1</v>
      </c>
      <c r="C3396" s="35">
        <v>0</v>
      </c>
      <c r="D3396" s="2">
        <f t="shared" si="53"/>
        <v>1</v>
      </c>
    </row>
    <row r="3397" spans="1:4" x14ac:dyDescent="0.3">
      <c r="A3397" s="34">
        <v>33108</v>
      </c>
      <c r="B3397" s="35">
        <v>1</v>
      </c>
      <c r="C3397" s="35">
        <v>0</v>
      </c>
      <c r="D3397" s="2">
        <f t="shared" si="53"/>
        <v>1</v>
      </c>
    </row>
    <row r="3398" spans="1:4" x14ac:dyDescent="0.3">
      <c r="A3398" s="34">
        <v>33112</v>
      </c>
      <c r="B3398" s="35">
        <v>1</v>
      </c>
      <c r="C3398" s="35">
        <v>0</v>
      </c>
      <c r="D3398" s="2">
        <f t="shared" si="53"/>
        <v>1</v>
      </c>
    </row>
    <row r="3399" spans="1:4" x14ac:dyDescent="0.3">
      <c r="A3399" s="34">
        <v>33113</v>
      </c>
      <c r="B3399" s="35">
        <v>1</v>
      </c>
      <c r="C3399" s="35">
        <v>0</v>
      </c>
      <c r="D3399" s="2">
        <f t="shared" si="53"/>
        <v>1</v>
      </c>
    </row>
    <row r="3400" spans="1:4" x14ac:dyDescent="0.3">
      <c r="A3400" s="34">
        <v>33130</v>
      </c>
      <c r="B3400" s="35">
        <v>1</v>
      </c>
      <c r="C3400" s="35">
        <v>0</v>
      </c>
      <c r="D3400" s="2">
        <f t="shared" si="53"/>
        <v>1</v>
      </c>
    </row>
    <row r="3401" spans="1:4" x14ac:dyDescent="0.3">
      <c r="A3401" s="34">
        <v>33136</v>
      </c>
      <c r="B3401" s="35">
        <v>1</v>
      </c>
      <c r="C3401" s="35">
        <v>0</v>
      </c>
      <c r="D3401" s="2">
        <f t="shared" si="53"/>
        <v>1</v>
      </c>
    </row>
    <row r="3402" spans="1:4" x14ac:dyDescent="0.3">
      <c r="A3402" s="34">
        <v>33139</v>
      </c>
      <c r="B3402" s="35">
        <v>1</v>
      </c>
      <c r="C3402" s="35">
        <v>0</v>
      </c>
      <c r="D3402" s="2">
        <f t="shared" si="53"/>
        <v>1</v>
      </c>
    </row>
    <row r="3403" spans="1:4" x14ac:dyDescent="0.3">
      <c r="A3403" s="34">
        <v>33140</v>
      </c>
      <c r="B3403" s="35">
        <v>1</v>
      </c>
      <c r="C3403" s="35">
        <v>0</v>
      </c>
      <c r="D3403" s="2">
        <f t="shared" si="53"/>
        <v>1</v>
      </c>
    </row>
    <row r="3404" spans="1:4" x14ac:dyDescent="0.3">
      <c r="A3404" s="34">
        <v>33141</v>
      </c>
      <c r="B3404" s="35">
        <v>1</v>
      </c>
      <c r="C3404" s="35">
        <v>0</v>
      </c>
      <c r="D3404" s="2">
        <f t="shared" si="53"/>
        <v>1</v>
      </c>
    </row>
    <row r="3405" spans="1:4" x14ac:dyDescent="0.3">
      <c r="A3405" s="34">
        <v>33143</v>
      </c>
      <c r="B3405" s="35">
        <v>1</v>
      </c>
      <c r="C3405" s="35">
        <v>0</v>
      </c>
      <c r="D3405" s="2">
        <f t="shared" si="53"/>
        <v>1</v>
      </c>
    </row>
    <row r="3406" spans="1:4" x14ac:dyDescent="0.3">
      <c r="A3406" s="34">
        <v>33144</v>
      </c>
      <c r="B3406" s="35">
        <v>1</v>
      </c>
      <c r="C3406" s="35">
        <v>1</v>
      </c>
      <c r="D3406" s="2">
        <f t="shared" si="53"/>
        <v>2</v>
      </c>
    </row>
    <row r="3407" spans="1:4" x14ac:dyDescent="0.3">
      <c r="A3407" s="34">
        <v>33148</v>
      </c>
      <c r="B3407" s="35">
        <v>1</v>
      </c>
      <c r="C3407" s="35">
        <v>0</v>
      </c>
      <c r="D3407" s="2">
        <f t="shared" si="53"/>
        <v>1</v>
      </c>
    </row>
    <row r="3408" spans="1:4" x14ac:dyDescent="0.3">
      <c r="A3408" s="34">
        <v>33149</v>
      </c>
      <c r="B3408" s="35">
        <v>1</v>
      </c>
      <c r="C3408" s="35">
        <v>0</v>
      </c>
      <c r="D3408" s="2">
        <f t="shared" si="53"/>
        <v>1</v>
      </c>
    </row>
    <row r="3409" spans="1:4" x14ac:dyDescent="0.3">
      <c r="A3409" s="34">
        <v>33150</v>
      </c>
      <c r="B3409" s="35">
        <v>1</v>
      </c>
      <c r="C3409" s="35">
        <v>0</v>
      </c>
      <c r="D3409" s="2">
        <f t="shared" si="53"/>
        <v>1</v>
      </c>
    </row>
    <row r="3410" spans="1:4" x14ac:dyDescent="0.3">
      <c r="A3410" s="34">
        <v>33151</v>
      </c>
      <c r="B3410" s="35">
        <v>2</v>
      </c>
      <c r="C3410" s="35">
        <v>0</v>
      </c>
      <c r="D3410" s="2">
        <f t="shared" si="53"/>
        <v>2</v>
      </c>
    </row>
    <row r="3411" spans="1:4" x14ac:dyDescent="0.3">
      <c r="A3411" s="34">
        <v>33152</v>
      </c>
      <c r="B3411" s="35">
        <v>1</v>
      </c>
      <c r="C3411" s="35">
        <v>0</v>
      </c>
      <c r="D3411" s="2">
        <f t="shared" si="53"/>
        <v>1</v>
      </c>
    </row>
    <row r="3412" spans="1:4" x14ac:dyDescent="0.3">
      <c r="A3412" s="34">
        <v>33153</v>
      </c>
      <c r="B3412" s="35">
        <v>1</v>
      </c>
      <c r="C3412" s="35">
        <v>0</v>
      </c>
      <c r="D3412" s="2">
        <f t="shared" si="53"/>
        <v>1</v>
      </c>
    </row>
    <row r="3413" spans="1:4" x14ac:dyDescent="0.3">
      <c r="A3413" s="34">
        <v>33155</v>
      </c>
      <c r="B3413" s="35">
        <v>1</v>
      </c>
      <c r="C3413" s="35">
        <v>0</v>
      </c>
      <c r="D3413" s="2">
        <f t="shared" si="53"/>
        <v>1</v>
      </c>
    </row>
    <row r="3414" spans="1:4" x14ac:dyDescent="0.3">
      <c r="A3414" s="34">
        <v>33156</v>
      </c>
      <c r="B3414" s="35">
        <v>1</v>
      </c>
      <c r="C3414" s="35">
        <v>1</v>
      </c>
      <c r="D3414" s="2">
        <f t="shared" si="53"/>
        <v>2</v>
      </c>
    </row>
    <row r="3415" spans="1:4" x14ac:dyDescent="0.3">
      <c r="A3415" s="34">
        <v>33163</v>
      </c>
      <c r="B3415" s="35">
        <v>1</v>
      </c>
      <c r="C3415" s="35">
        <v>0</v>
      </c>
      <c r="D3415" s="2">
        <f t="shared" si="53"/>
        <v>1</v>
      </c>
    </row>
    <row r="3416" spans="1:4" x14ac:dyDescent="0.3">
      <c r="A3416" s="34">
        <v>33165</v>
      </c>
      <c r="B3416" s="35">
        <v>1</v>
      </c>
      <c r="C3416" s="35">
        <v>0</v>
      </c>
      <c r="D3416" s="2">
        <f t="shared" si="53"/>
        <v>1</v>
      </c>
    </row>
    <row r="3417" spans="1:4" x14ac:dyDescent="0.3">
      <c r="A3417" s="34">
        <v>33169</v>
      </c>
      <c r="B3417" s="35">
        <v>3</v>
      </c>
      <c r="C3417" s="35">
        <v>3</v>
      </c>
      <c r="D3417" s="2">
        <f t="shared" si="53"/>
        <v>6</v>
      </c>
    </row>
    <row r="3418" spans="1:4" x14ac:dyDescent="0.3">
      <c r="A3418" s="34">
        <v>33174</v>
      </c>
      <c r="B3418" s="35">
        <v>1</v>
      </c>
      <c r="C3418" s="35">
        <v>0</v>
      </c>
      <c r="D3418" s="2">
        <f t="shared" si="53"/>
        <v>1</v>
      </c>
    </row>
    <row r="3419" spans="1:4" x14ac:dyDescent="0.3">
      <c r="A3419" s="34">
        <v>33182</v>
      </c>
      <c r="B3419" s="35">
        <v>1</v>
      </c>
      <c r="C3419" s="35">
        <v>1</v>
      </c>
      <c r="D3419" s="2">
        <f t="shared" si="53"/>
        <v>2</v>
      </c>
    </row>
    <row r="3420" spans="1:4" x14ac:dyDescent="0.3">
      <c r="A3420" s="34">
        <v>33186</v>
      </c>
      <c r="B3420" s="35">
        <v>1</v>
      </c>
      <c r="C3420" s="35">
        <v>1</v>
      </c>
      <c r="D3420" s="2">
        <f t="shared" si="53"/>
        <v>2</v>
      </c>
    </row>
    <row r="3421" spans="1:4" x14ac:dyDescent="0.3">
      <c r="A3421" s="34">
        <v>33200</v>
      </c>
      <c r="B3421" s="35">
        <v>1</v>
      </c>
      <c r="C3421" s="35">
        <v>0</v>
      </c>
      <c r="D3421" s="2">
        <f t="shared" si="53"/>
        <v>1</v>
      </c>
    </row>
    <row r="3422" spans="1:4" x14ac:dyDescent="0.3">
      <c r="A3422" s="34">
        <v>33204</v>
      </c>
      <c r="B3422" s="35">
        <v>1</v>
      </c>
      <c r="C3422" s="35">
        <v>0</v>
      </c>
      <c r="D3422" s="2">
        <f t="shared" si="53"/>
        <v>1</v>
      </c>
    </row>
    <row r="3423" spans="1:4" x14ac:dyDescent="0.3">
      <c r="A3423" s="34">
        <v>33385</v>
      </c>
      <c r="B3423" s="35">
        <v>1</v>
      </c>
      <c r="C3423" s="35">
        <v>0</v>
      </c>
      <c r="D3423" s="2">
        <f t="shared" si="53"/>
        <v>1</v>
      </c>
    </row>
    <row r="3424" spans="1:4" x14ac:dyDescent="0.3">
      <c r="A3424" s="34">
        <v>33386</v>
      </c>
      <c r="B3424" s="35">
        <v>1</v>
      </c>
      <c r="C3424" s="35">
        <v>0</v>
      </c>
      <c r="D3424" s="2">
        <f t="shared" si="53"/>
        <v>1</v>
      </c>
    </row>
    <row r="3425" spans="1:4" x14ac:dyDescent="0.3">
      <c r="A3425" s="34">
        <v>33387</v>
      </c>
      <c r="B3425" s="35">
        <v>1</v>
      </c>
      <c r="C3425" s="35">
        <v>0</v>
      </c>
      <c r="D3425" s="2">
        <f t="shared" si="53"/>
        <v>1</v>
      </c>
    </row>
    <row r="3426" spans="1:4" x14ac:dyDescent="0.3">
      <c r="A3426" s="34">
        <v>33388</v>
      </c>
      <c r="B3426" s="35">
        <v>1</v>
      </c>
      <c r="C3426" s="35">
        <v>0</v>
      </c>
      <c r="D3426" s="2">
        <f t="shared" si="53"/>
        <v>1</v>
      </c>
    </row>
    <row r="3427" spans="1:4" x14ac:dyDescent="0.3">
      <c r="A3427" s="34">
        <v>33394</v>
      </c>
      <c r="B3427" s="35">
        <v>1</v>
      </c>
      <c r="C3427" s="35">
        <v>0</v>
      </c>
      <c r="D3427" s="2">
        <f t="shared" si="53"/>
        <v>1</v>
      </c>
    </row>
    <row r="3428" spans="1:4" x14ac:dyDescent="0.3">
      <c r="A3428" s="34">
        <v>33395</v>
      </c>
      <c r="B3428" s="35">
        <v>1</v>
      </c>
      <c r="C3428" s="35">
        <v>0</v>
      </c>
      <c r="D3428" s="2">
        <f t="shared" si="53"/>
        <v>1</v>
      </c>
    </row>
    <row r="3429" spans="1:4" x14ac:dyDescent="0.3">
      <c r="A3429" s="34">
        <v>33401</v>
      </c>
      <c r="B3429" s="35">
        <v>2</v>
      </c>
      <c r="C3429" s="35">
        <v>0</v>
      </c>
      <c r="D3429" s="2">
        <f t="shared" si="53"/>
        <v>2</v>
      </c>
    </row>
    <row r="3430" spans="1:4" x14ac:dyDescent="0.3">
      <c r="A3430" s="34">
        <v>33402</v>
      </c>
      <c r="B3430" s="35">
        <v>1</v>
      </c>
      <c r="C3430" s="35">
        <v>1</v>
      </c>
      <c r="D3430" s="2">
        <f t="shared" si="53"/>
        <v>2</v>
      </c>
    </row>
    <row r="3431" spans="1:4" x14ac:dyDescent="0.3">
      <c r="A3431" s="34">
        <v>33404</v>
      </c>
      <c r="B3431" s="35">
        <v>1</v>
      </c>
      <c r="C3431" s="35">
        <v>0</v>
      </c>
      <c r="D3431" s="2">
        <f t="shared" si="53"/>
        <v>1</v>
      </c>
    </row>
    <row r="3432" spans="1:4" x14ac:dyDescent="0.3">
      <c r="A3432" s="34">
        <v>33405</v>
      </c>
      <c r="B3432" s="35">
        <v>1</v>
      </c>
      <c r="C3432" s="35">
        <v>0</v>
      </c>
      <c r="D3432" s="2">
        <f t="shared" si="53"/>
        <v>1</v>
      </c>
    </row>
    <row r="3433" spans="1:4" x14ac:dyDescent="0.3">
      <c r="A3433" s="34">
        <v>33406</v>
      </c>
      <c r="B3433" s="35">
        <v>1</v>
      </c>
      <c r="C3433" s="35">
        <v>0</v>
      </c>
      <c r="D3433" s="2">
        <f t="shared" si="53"/>
        <v>1</v>
      </c>
    </row>
    <row r="3434" spans="1:4" x14ac:dyDescent="0.3">
      <c r="A3434" s="34">
        <v>33412</v>
      </c>
      <c r="B3434" s="35">
        <v>1</v>
      </c>
      <c r="C3434" s="35">
        <v>1</v>
      </c>
      <c r="D3434" s="2">
        <f t="shared" si="53"/>
        <v>2</v>
      </c>
    </row>
    <row r="3435" spans="1:4" x14ac:dyDescent="0.3">
      <c r="A3435" s="34">
        <v>33413</v>
      </c>
      <c r="B3435" s="35">
        <v>1</v>
      </c>
      <c r="C3435" s="35">
        <v>0</v>
      </c>
      <c r="D3435" s="2">
        <f t="shared" si="53"/>
        <v>1</v>
      </c>
    </row>
    <row r="3436" spans="1:4" x14ac:dyDescent="0.3">
      <c r="A3436" s="34">
        <v>33426</v>
      </c>
      <c r="B3436" s="35">
        <v>1</v>
      </c>
      <c r="C3436" s="35">
        <v>0</v>
      </c>
      <c r="D3436" s="2">
        <f t="shared" si="53"/>
        <v>1</v>
      </c>
    </row>
    <row r="3437" spans="1:4" x14ac:dyDescent="0.3">
      <c r="A3437" s="34">
        <v>33430</v>
      </c>
      <c r="B3437" s="35">
        <v>1</v>
      </c>
      <c r="C3437" s="35">
        <v>0</v>
      </c>
      <c r="D3437" s="2">
        <f t="shared" si="53"/>
        <v>1</v>
      </c>
    </row>
    <row r="3438" spans="1:4" x14ac:dyDescent="0.3">
      <c r="A3438" s="34">
        <v>33431</v>
      </c>
      <c r="B3438" s="35">
        <v>1</v>
      </c>
      <c r="C3438" s="35">
        <v>0</v>
      </c>
      <c r="D3438" s="2">
        <f t="shared" si="53"/>
        <v>1</v>
      </c>
    </row>
    <row r="3439" spans="1:4" x14ac:dyDescent="0.3">
      <c r="A3439" s="34">
        <v>33434</v>
      </c>
      <c r="B3439" s="35">
        <v>1</v>
      </c>
      <c r="C3439" s="35">
        <v>0</v>
      </c>
      <c r="D3439" s="2">
        <f t="shared" si="53"/>
        <v>1</v>
      </c>
    </row>
    <row r="3440" spans="1:4" x14ac:dyDescent="0.3">
      <c r="A3440" s="34">
        <v>33435</v>
      </c>
      <c r="B3440" s="35">
        <v>1</v>
      </c>
      <c r="C3440" s="35">
        <v>0</v>
      </c>
      <c r="D3440" s="2">
        <f t="shared" si="53"/>
        <v>1</v>
      </c>
    </row>
    <row r="3441" spans="1:4" x14ac:dyDescent="0.3">
      <c r="A3441" s="34">
        <v>33436</v>
      </c>
      <c r="B3441" s="35">
        <v>1</v>
      </c>
      <c r="C3441" s="35">
        <v>0</v>
      </c>
      <c r="D3441" s="2">
        <f t="shared" si="53"/>
        <v>1</v>
      </c>
    </row>
    <row r="3442" spans="1:4" x14ac:dyDescent="0.3">
      <c r="A3442" s="34">
        <v>33445</v>
      </c>
      <c r="B3442" s="35">
        <v>1</v>
      </c>
      <c r="C3442" s="35">
        <v>0</v>
      </c>
      <c r="D3442" s="2">
        <f t="shared" si="53"/>
        <v>1</v>
      </c>
    </row>
    <row r="3443" spans="1:4" x14ac:dyDescent="0.3">
      <c r="A3443" s="34">
        <v>33448</v>
      </c>
      <c r="B3443" s="35">
        <v>1</v>
      </c>
      <c r="C3443" s="35">
        <v>0</v>
      </c>
      <c r="D3443" s="2">
        <f t="shared" si="53"/>
        <v>1</v>
      </c>
    </row>
    <row r="3444" spans="1:4" x14ac:dyDescent="0.3">
      <c r="A3444" s="34">
        <v>33449</v>
      </c>
      <c r="B3444" s="35">
        <v>2</v>
      </c>
      <c r="C3444" s="35">
        <v>0</v>
      </c>
      <c r="D3444" s="2">
        <f t="shared" si="53"/>
        <v>2</v>
      </c>
    </row>
    <row r="3445" spans="1:4" x14ac:dyDescent="0.3">
      <c r="A3445" s="34">
        <v>33450</v>
      </c>
      <c r="B3445" s="35">
        <v>2</v>
      </c>
      <c r="C3445" s="35">
        <v>0</v>
      </c>
      <c r="D3445" s="2">
        <f t="shared" si="53"/>
        <v>2</v>
      </c>
    </row>
    <row r="3446" spans="1:4" x14ac:dyDescent="0.3">
      <c r="A3446" s="34">
        <v>33452</v>
      </c>
      <c r="B3446" s="35">
        <v>1</v>
      </c>
      <c r="C3446" s="35">
        <v>0</v>
      </c>
      <c r="D3446" s="2">
        <f t="shared" si="53"/>
        <v>1</v>
      </c>
    </row>
    <row r="3447" spans="1:4" x14ac:dyDescent="0.3">
      <c r="A3447" s="34">
        <v>33454</v>
      </c>
      <c r="B3447" s="35">
        <v>1</v>
      </c>
      <c r="C3447" s="35">
        <v>0</v>
      </c>
      <c r="D3447" s="2">
        <f t="shared" si="53"/>
        <v>1</v>
      </c>
    </row>
    <row r="3448" spans="1:4" x14ac:dyDescent="0.3">
      <c r="A3448" s="34">
        <v>33456</v>
      </c>
      <c r="B3448" s="35">
        <v>1</v>
      </c>
      <c r="C3448" s="35">
        <v>0</v>
      </c>
      <c r="D3448" s="2">
        <f t="shared" si="53"/>
        <v>1</v>
      </c>
    </row>
    <row r="3449" spans="1:4" x14ac:dyDescent="0.3">
      <c r="A3449" s="34">
        <v>33457</v>
      </c>
      <c r="B3449" s="35">
        <v>1</v>
      </c>
      <c r="C3449" s="35">
        <v>0</v>
      </c>
      <c r="D3449" s="2">
        <f t="shared" si="53"/>
        <v>1</v>
      </c>
    </row>
    <row r="3450" spans="1:4" x14ac:dyDescent="0.3">
      <c r="A3450" s="34">
        <v>33460</v>
      </c>
      <c r="B3450" s="35">
        <v>1</v>
      </c>
      <c r="C3450" s="35">
        <v>0</v>
      </c>
      <c r="D3450" s="2">
        <f t="shared" si="53"/>
        <v>1</v>
      </c>
    </row>
    <row r="3451" spans="1:4" x14ac:dyDescent="0.3">
      <c r="A3451" s="34">
        <v>33469</v>
      </c>
      <c r="B3451" s="35">
        <v>1</v>
      </c>
      <c r="C3451" s="35">
        <v>0</v>
      </c>
      <c r="D3451" s="2">
        <f t="shared" si="53"/>
        <v>1</v>
      </c>
    </row>
    <row r="3452" spans="1:4" x14ac:dyDescent="0.3">
      <c r="A3452" s="34">
        <v>33485</v>
      </c>
      <c r="B3452" s="35">
        <v>3</v>
      </c>
      <c r="C3452" s="35">
        <v>0</v>
      </c>
      <c r="D3452" s="2">
        <f t="shared" si="53"/>
        <v>3</v>
      </c>
    </row>
    <row r="3453" spans="1:4" x14ac:dyDescent="0.3">
      <c r="A3453" s="34">
        <v>33487</v>
      </c>
      <c r="B3453" s="35">
        <v>1</v>
      </c>
      <c r="C3453" s="35">
        <v>0</v>
      </c>
      <c r="D3453" s="2">
        <f t="shared" si="53"/>
        <v>1</v>
      </c>
    </row>
    <row r="3454" spans="1:4" x14ac:dyDescent="0.3">
      <c r="A3454" s="34">
        <v>33489</v>
      </c>
      <c r="B3454" s="35">
        <v>1</v>
      </c>
      <c r="C3454" s="35">
        <v>0</v>
      </c>
      <c r="D3454" s="2">
        <f t="shared" si="53"/>
        <v>1</v>
      </c>
    </row>
    <row r="3455" spans="1:4" x14ac:dyDescent="0.3">
      <c r="A3455" s="34">
        <v>33494</v>
      </c>
      <c r="B3455" s="35">
        <v>1</v>
      </c>
      <c r="C3455" s="35">
        <v>0</v>
      </c>
      <c r="D3455" s="2">
        <f t="shared" si="53"/>
        <v>1</v>
      </c>
    </row>
    <row r="3456" spans="1:4" x14ac:dyDescent="0.3">
      <c r="A3456" s="34">
        <v>33496</v>
      </c>
      <c r="B3456" s="35">
        <v>1</v>
      </c>
      <c r="C3456" s="35">
        <v>0</v>
      </c>
      <c r="D3456" s="2">
        <f t="shared" si="53"/>
        <v>1</v>
      </c>
    </row>
    <row r="3457" spans="1:4" x14ac:dyDescent="0.3">
      <c r="A3457" s="34">
        <v>33499</v>
      </c>
      <c r="B3457" s="35">
        <v>1</v>
      </c>
      <c r="C3457" s="35">
        <v>0</v>
      </c>
      <c r="D3457" s="2">
        <f t="shared" si="53"/>
        <v>1</v>
      </c>
    </row>
    <row r="3458" spans="1:4" x14ac:dyDescent="0.3">
      <c r="A3458" s="34">
        <v>33500</v>
      </c>
      <c r="B3458" s="35">
        <v>2</v>
      </c>
      <c r="C3458" s="35">
        <v>2</v>
      </c>
      <c r="D3458" s="2">
        <f t="shared" si="53"/>
        <v>4</v>
      </c>
    </row>
    <row r="3459" spans="1:4" x14ac:dyDescent="0.3">
      <c r="A3459" s="34">
        <v>33503</v>
      </c>
      <c r="B3459" s="35">
        <v>1</v>
      </c>
      <c r="C3459" s="35">
        <v>0</v>
      </c>
      <c r="D3459" s="2">
        <f t="shared" ref="D3459:D3522" si="54">B3459+C3459</f>
        <v>1</v>
      </c>
    </row>
    <row r="3460" spans="1:4" x14ac:dyDescent="0.3">
      <c r="A3460" s="34">
        <v>33506</v>
      </c>
      <c r="B3460" s="35">
        <v>1</v>
      </c>
      <c r="C3460" s="35">
        <v>0</v>
      </c>
      <c r="D3460" s="2">
        <f t="shared" si="54"/>
        <v>1</v>
      </c>
    </row>
    <row r="3461" spans="1:4" x14ac:dyDescent="0.3">
      <c r="A3461" s="34">
        <v>33507</v>
      </c>
      <c r="B3461" s="35">
        <v>1</v>
      </c>
      <c r="C3461" s="35">
        <v>0</v>
      </c>
      <c r="D3461" s="2">
        <f t="shared" si="54"/>
        <v>1</v>
      </c>
    </row>
    <row r="3462" spans="1:4" x14ac:dyDescent="0.3">
      <c r="A3462" s="34">
        <v>33512</v>
      </c>
      <c r="B3462" s="35">
        <v>1</v>
      </c>
      <c r="C3462" s="35">
        <v>0</v>
      </c>
      <c r="D3462" s="2">
        <f t="shared" si="54"/>
        <v>1</v>
      </c>
    </row>
    <row r="3463" spans="1:4" x14ac:dyDescent="0.3">
      <c r="A3463" s="34">
        <v>33522</v>
      </c>
      <c r="B3463" s="35">
        <v>1</v>
      </c>
      <c r="C3463" s="35">
        <v>1</v>
      </c>
      <c r="D3463" s="2">
        <f t="shared" si="54"/>
        <v>2</v>
      </c>
    </row>
    <row r="3464" spans="1:4" x14ac:dyDescent="0.3">
      <c r="A3464" s="34">
        <v>33533</v>
      </c>
      <c r="B3464" s="35">
        <v>1</v>
      </c>
      <c r="C3464" s="35">
        <v>0</v>
      </c>
      <c r="D3464" s="2">
        <f t="shared" si="54"/>
        <v>1</v>
      </c>
    </row>
    <row r="3465" spans="1:4" x14ac:dyDescent="0.3">
      <c r="A3465" s="34">
        <v>33536</v>
      </c>
      <c r="B3465" s="35">
        <v>1</v>
      </c>
      <c r="C3465" s="35">
        <v>0</v>
      </c>
      <c r="D3465" s="2">
        <f t="shared" si="54"/>
        <v>1</v>
      </c>
    </row>
    <row r="3466" spans="1:4" x14ac:dyDescent="0.3">
      <c r="A3466" s="34">
        <v>33537</v>
      </c>
      <c r="B3466" s="35">
        <v>1</v>
      </c>
      <c r="C3466" s="35">
        <v>0</v>
      </c>
      <c r="D3466" s="2">
        <f t="shared" si="54"/>
        <v>1</v>
      </c>
    </row>
    <row r="3467" spans="1:4" x14ac:dyDescent="0.3">
      <c r="A3467" s="34">
        <v>33541</v>
      </c>
      <c r="B3467" s="35">
        <v>1</v>
      </c>
      <c r="C3467" s="35">
        <v>1</v>
      </c>
      <c r="D3467" s="2">
        <f t="shared" si="54"/>
        <v>2</v>
      </c>
    </row>
    <row r="3468" spans="1:4" x14ac:dyDescent="0.3">
      <c r="A3468" s="34">
        <v>33542</v>
      </c>
      <c r="B3468" s="35">
        <v>1</v>
      </c>
      <c r="C3468" s="35">
        <v>0</v>
      </c>
      <c r="D3468" s="2">
        <f t="shared" si="54"/>
        <v>1</v>
      </c>
    </row>
    <row r="3469" spans="1:4" x14ac:dyDescent="0.3">
      <c r="A3469" s="34">
        <v>33543</v>
      </c>
      <c r="B3469" s="35">
        <v>2</v>
      </c>
      <c r="C3469" s="35">
        <v>0</v>
      </c>
      <c r="D3469" s="2">
        <f t="shared" si="54"/>
        <v>2</v>
      </c>
    </row>
    <row r="3470" spans="1:4" x14ac:dyDescent="0.3">
      <c r="A3470" s="34">
        <v>33549</v>
      </c>
      <c r="B3470" s="35">
        <v>1</v>
      </c>
      <c r="C3470" s="35">
        <v>0</v>
      </c>
      <c r="D3470" s="2">
        <f t="shared" si="54"/>
        <v>1</v>
      </c>
    </row>
    <row r="3471" spans="1:4" x14ac:dyDescent="0.3">
      <c r="A3471" s="34">
        <v>33563</v>
      </c>
      <c r="B3471" s="35">
        <v>1</v>
      </c>
      <c r="C3471" s="35">
        <v>1</v>
      </c>
      <c r="D3471" s="2">
        <f t="shared" si="54"/>
        <v>2</v>
      </c>
    </row>
    <row r="3472" spans="1:4" x14ac:dyDescent="0.3">
      <c r="A3472" s="34">
        <v>33571</v>
      </c>
      <c r="B3472" s="35">
        <v>2</v>
      </c>
      <c r="C3472" s="35">
        <v>0</v>
      </c>
      <c r="D3472" s="2">
        <f t="shared" si="54"/>
        <v>2</v>
      </c>
    </row>
    <row r="3473" spans="1:4" x14ac:dyDescent="0.3">
      <c r="A3473" s="34">
        <v>33583</v>
      </c>
      <c r="B3473" s="35">
        <v>1</v>
      </c>
      <c r="C3473" s="35">
        <v>0</v>
      </c>
      <c r="D3473" s="2">
        <f t="shared" si="54"/>
        <v>1</v>
      </c>
    </row>
    <row r="3474" spans="1:4" x14ac:dyDescent="0.3">
      <c r="A3474" s="34">
        <v>33590</v>
      </c>
      <c r="B3474" s="35">
        <v>1</v>
      </c>
      <c r="C3474" s="35">
        <v>0</v>
      </c>
      <c r="D3474" s="2">
        <f t="shared" si="54"/>
        <v>1</v>
      </c>
    </row>
    <row r="3475" spans="1:4" x14ac:dyDescent="0.3">
      <c r="A3475" s="34">
        <v>33592</v>
      </c>
      <c r="B3475" s="35">
        <v>1</v>
      </c>
      <c r="C3475" s="35">
        <v>0</v>
      </c>
      <c r="D3475" s="2">
        <f t="shared" si="54"/>
        <v>1</v>
      </c>
    </row>
    <row r="3476" spans="1:4" x14ac:dyDescent="0.3">
      <c r="A3476" s="34">
        <v>33604</v>
      </c>
      <c r="B3476" s="35">
        <v>1</v>
      </c>
      <c r="C3476" s="35">
        <v>0</v>
      </c>
      <c r="D3476" s="2">
        <f t="shared" si="54"/>
        <v>1</v>
      </c>
    </row>
    <row r="3477" spans="1:4" x14ac:dyDescent="0.3">
      <c r="A3477" s="34">
        <v>33637</v>
      </c>
      <c r="B3477" s="35">
        <v>3</v>
      </c>
      <c r="C3477" s="35">
        <v>2</v>
      </c>
      <c r="D3477" s="2">
        <f t="shared" si="54"/>
        <v>5</v>
      </c>
    </row>
    <row r="3478" spans="1:4" x14ac:dyDescent="0.3">
      <c r="A3478" s="34">
        <v>33639</v>
      </c>
      <c r="B3478" s="35">
        <v>1</v>
      </c>
      <c r="C3478" s="35">
        <v>0</v>
      </c>
      <c r="D3478" s="2">
        <f t="shared" si="54"/>
        <v>1</v>
      </c>
    </row>
    <row r="3479" spans="1:4" x14ac:dyDescent="0.3">
      <c r="A3479" s="34">
        <v>33645</v>
      </c>
      <c r="B3479" s="35">
        <v>1</v>
      </c>
      <c r="C3479" s="35">
        <v>0</v>
      </c>
      <c r="D3479" s="2">
        <f t="shared" si="54"/>
        <v>1</v>
      </c>
    </row>
    <row r="3480" spans="1:4" x14ac:dyDescent="0.3">
      <c r="A3480" s="34">
        <v>33648</v>
      </c>
      <c r="B3480" s="35">
        <v>1</v>
      </c>
      <c r="C3480" s="35">
        <v>0</v>
      </c>
      <c r="D3480" s="2">
        <f t="shared" si="54"/>
        <v>1</v>
      </c>
    </row>
    <row r="3481" spans="1:4" x14ac:dyDescent="0.3">
      <c r="A3481" s="34">
        <v>33651</v>
      </c>
      <c r="B3481" s="35">
        <v>1</v>
      </c>
      <c r="C3481" s="35">
        <v>0</v>
      </c>
      <c r="D3481" s="2">
        <f t="shared" si="54"/>
        <v>1</v>
      </c>
    </row>
    <row r="3482" spans="1:4" x14ac:dyDescent="0.3">
      <c r="A3482" s="34">
        <v>33653</v>
      </c>
      <c r="B3482" s="35">
        <v>1</v>
      </c>
      <c r="C3482" s="35">
        <v>0</v>
      </c>
      <c r="D3482" s="2">
        <f t="shared" si="54"/>
        <v>1</v>
      </c>
    </row>
    <row r="3483" spans="1:4" x14ac:dyDescent="0.3">
      <c r="A3483" s="34">
        <v>33654</v>
      </c>
      <c r="B3483" s="35">
        <v>1</v>
      </c>
      <c r="C3483" s="35">
        <v>0</v>
      </c>
      <c r="D3483" s="2">
        <f t="shared" si="54"/>
        <v>1</v>
      </c>
    </row>
    <row r="3484" spans="1:4" x14ac:dyDescent="0.3">
      <c r="A3484" s="34">
        <v>33659</v>
      </c>
      <c r="B3484" s="35">
        <v>1</v>
      </c>
      <c r="C3484" s="35">
        <v>0</v>
      </c>
      <c r="D3484" s="2">
        <f t="shared" si="54"/>
        <v>1</v>
      </c>
    </row>
    <row r="3485" spans="1:4" x14ac:dyDescent="0.3">
      <c r="A3485" s="34">
        <v>33690</v>
      </c>
      <c r="B3485" s="35">
        <v>1</v>
      </c>
      <c r="C3485" s="35">
        <v>0</v>
      </c>
      <c r="D3485" s="2">
        <f t="shared" si="54"/>
        <v>1</v>
      </c>
    </row>
    <row r="3486" spans="1:4" x14ac:dyDescent="0.3">
      <c r="A3486" s="34">
        <v>33696</v>
      </c>
      <c r="B3486" s="35">
        <v>1</v>
      </c>
      <c r="C3486" s="35">
        <v>0</v>
      </c>
      <c r="D3486" s="2">
        <f t="shared" si="54"/>
        <v>1</v>
      </c>
    </row>
    <row r="3487" spans="1:4" x14ac:dyDescent="0.3">
      <c r="A3487" s="34">
        <v>33697</v>
      </c>
      <c r="B3487" s="35">
        <v>1</v>
      </c>
      <c r="C3487" s="35">
        <v>0</v>
      </c>
      <c r="D3487" s="2">
        <f t="shared" si="54"/>
        <v>1</v>
      </c>
    </row>
    <row r="3488" spans="1:4" x14ac:dyDescent="0.3">
      <c r="A3488" s="34">
        <v>33699</v>
      </c>
      <c r="B3488" s="35">
        <v>1</v>
      </c>
      <c r="C3488" s="35">
        <v>0</v>
      </c>
      <c r="D3488" s="2">
        <f t="shared" si="54"/>
        <v>1</v>
      </c>
    </row>
    <row r="3489" spans="1:4" x14ac:dyDescent="0.3">
      <c r="A3489" s="34">
        <v>33702</v>
      </c>
      <c r="B3489" s="35">
        <v>1</v>
      </c>
      <c r="C3489" s="35">
        <v>0</v>
      </c>
      <c r="D3489" s="2">
        <f t="shared" si="54"/>
        <v>1</v>
      </c>
    </row>
    <row r="3490" spans="1:4" x14ac:dyDescent="0.3">
      <c r="A3490" s="34">
        <v>33703</v>
      </c>
      <c r="B3490" s="35">
        <v>2</v>
      </c>
      <c r="C3490" s="35">
        <v>2</v>
      </c>
      <c r="D3490" s="2">
        <f t="shared" si="54"/>
        <v>4</v>
      </c>
    </row>
    <row r="3491" spans="1:4" x14ac:dyDescent="0.3">
      <c r="A3491" s="34">
        <v>33704</v>
      </c>
      <c r="B3491" s="35">
        <v>1</v>
      </c>
      <c r="C3491" s="35">
        <v>0</v>
      </c>
      <c r="D3491" s="2">
        <f t="shared" si="54"/>
        <v>1</v>
      </c>
    </row>
    <row r="3492" spans="1:4" x14ac:dyDescent="0.3">
      <c r="A3492" s="34">
        <v>33706</v>
      </c>
      <c r="B3492" s="35">
        <v>1</v>
      </c>
      <c r="C3492" s="35">
        <v>1</v>
      </c>
      <c r="D3492" s="2">
        <f t="shared" si="54"/>
        <v>2</v>
      </c>
    </row>
    <row r="3493" spans="1:4" x14ac:dyDescent="0.3">
      <c r="A3493" s="34">
        <v>33708</v>
      </c>
      <c r="B3493" s="35">
        <v>1</v>
      </c>
      <c r="C3493" s="35">
        <v>0</v>
      </c>
      <c r="D3493" s="2">
        <f t="shared" si="54"/>
        <v>1</v>
      </c>
    </row>
    <row r="3494" spans="1:4" x14ac:dyDescent="0.3">
      <c r="A3494" s="34">
        <v>33709</v>
      </c>
      <c r="B3494" s="35">
        <v>1</v>
      </c>
      <c r="C3494" s="35">
        <v>0</v>
      </c>
      <c r="D3494" s="2">
        <f t="shared" si="54"/>
        <v>1</v>
      </c>
    </row>
    <row r="3495" spans="1:4" x14ac:dyDescent="0.3">
      <c r="A3495" s="34">
        <v>33712</v>
      </c>
      <c r="B3495" s="35">
        <v>1</v>
      </c>
      <c r="C3495" s="35">
        <v>0</v>
      </c>
      <c r="D3495" s="2">
        <f t="shared" si="54"/>
        <v>1</v>
      </c>
    </row>
    <row r="3496" spans="1:4" x14ac:dyDescent="0.3">
      <c r="A3496" s="34">
        <v>33730</v>
      </c>
      <c r="B3496" s="35">
        <v>1</v>
      </c>
      <c r="C3496" s="35">
        <v>0</v>
      </c>
      <c r="D3496" s="2">
        <f t="shared" si="54"/>
        <v>1</v>
      </c>
    </row>
    <row r="3497" spans="1:4" x14ac:dyDescent="0.3">
      <c r="A3497" s="34">
        <v>33733</v>
      </c>
      <c r="B3497" s="35">
        <v>1</v>
      </c>
      <c r="C3497" s="35">
        <v>0</v>
      </c>
      <c r="D3497" s="2">
        <f t="shared" si="54"/>
        <v>1</v>
      </c>
    </row>
    <row r="3498" spans="1:4" x14ac:dyDescent="0.3">
      <c r="A3498" s="34">
        <v>33737</v>
      </c>
      <c r="B3498" s="35">
        <v>1</v>
      </c>
      <c r="C3498" s="35">
        <v>0</v>
      </c>
      <c r="D3498" s="2">
        <f t="shared" si="54"/>
        <v>1</v>
      </c>
    </row>
    <row r="3499" spans="1:4" x14ac:dyDescent="0.3">
      <c r="A3499" s="34">
        <v>33743</v>
      </c>
      <c r="B3499" s="35">
        <v>1</v>
      </c>
      <c r="C3499" s="35">
        <v>0</v>
      </c>
      <c r="D3499" s="2">
        <f t="shared" si="54"/>
        <v>1</v>
      </c>
    </row>
    <row r="3500" spans="1:4" x14ac:dyDescent="0.3">
      <c r="A3500" s="34">
        <v>33744</v>
      </c>
      <c r="B3500" s="35">
        <v>1</v>
      </c>
      <c r="C3500" s="35">
        <v>0</v>
      </c>
      <c r="D3500" s="2">
        <f t="shared" si="54"/>
        <v>1</v>
      </c>
    </row>
    <row r="3501" spans="1:4" x14ac:dyDescent="0.3">
      <c r="A3501" s="34">
        <v>33764</v>
      </c>
      <c r="B3501" s="35">
        <v>2</v>
      </c>
      <c r="C3501" s="35">
        <v>1</v>
      </c>
      <c r="D3501" s="2">
        <f t="shared" si="54"/>
        <v>3</v>
      </c>
    </row>
    <row r="3502" spans="1:4" x14ac:dyDescent="0.3">
      <c r="A3502" s="34">
        <v>33765</v>
      </c>
      <c r="B3502" s="35">
        <v>1</v>
      </c>
      <c r="C3502" s="35">
        <v>0</v>
      </c>
      <c r="D3502" s="2">
        <f t="shared" si="54"/>
        <v>1</v>
      </c>
    </row>
    <row r="3503" spans="1:4" x14ac:dyDescent="0.3">
      <c r="A3503" s="34">
        <v>33768</v>
      </c>
      <c r="B3503" s="35">
        <v>1</v>
      </c>
      <c r="C3503" s="35">
        <v>1</v>
      </c>
      <c r="D3503" s="2">
        <f t="shared" si="54"/>
        <v>2</v>
      </c>
    </row>
    <row r="3504" spans="1:4" x14ac:dyDescent="0.3">
      <c r="A3504" s="34">
        <v>33772</v>
      </c>
      <c r="B3504" s="35">
        <v>1</v>
      </c>
      <c r="C3504" s="35">
        <v>1</v>
      </c>
      <c r="D3504" s="2">
        <f t="shared" si="54"/>
        <v>2</v>
      </c>
    </row>
    <row r="3505" spans="1:4" x14ac:dyDescent="0.3">
      <c r="A3505" s="34">
        <v>33777</v>
      </c>
      <c r="B3505" s="35">
        <v>1</v>
      </c>
      <c r="C3505" s="35">
        <v>0</v>
      </c>
      <c r="D3505" s="2">
        <f t="shared" si="54"/>
        <v>1</v>
      </c>
    </row>
    <row r="3506" spans="1:4" x14ac:dyDescent="0.3">
      <c r="A3506" s="34">
        <v>33778</v>
      </c>
      <c r="B3506" s="35">
        <v>1</v>
      </c>
      <c r="C3506" s="35">
        <v>0</v>
      </c>
      <c r="D3506" s="2">
        <f t="shared" si="54"/>
        <v>1</v>
      </c>
    </row>
    <row r="3507" spans="1:4" x14ac:dyDescent="0.3">
      <c r="A3507" s="34">
        <v>33796</v>
      </c>
      <c r="B3507" s="35">
        <v>1</v>
      </c>
      <c r="C3507" s="35">
        <v>0</v>
      </c>
      <c r="D3507" s="2">
        <f t="shared" si="54"/>
        <v>1</v>
      </c>
    </row>
    <row r="3508" spans="1:4" x14ac:dyDescent="0.3">
      <c r="A3508" s="34">
        <v>33797</v>
      </c>
      <c r="B3508" s="35">
        <v>1</v>
      </c>
      <c r="C3508" s="35">
        <v>0</v>
      </c>
      <c r="D3508" s="2">
        <f t="shared" si="54"/>
        <v>1</v>
      </c>
    </row>
    <row r="3509" spans="1:4" x14ac:dyDescent="0.3">
      <c r="A3509" s="34">
        <v>33798</v>
      </c>
      <c r="B3509" s="35">
        <v>2</v>
      </c>
      <c r="C3509" s="35">
        <v>1</v>
      </c>
      <c r="D3509" s="2">
        <f t="shared" si="54"/>
        <v>3</v>
      </c>
    </row>
    <row r="3510" spans="1:4" x14ac:dyDescent="0.3">
      <c r="A3510" s="34">
        <v>33802</v>
      </c>
      <c r="B3510" s="35">
        <v>1</v>
      </c>
      <c r="C3510" s="35">
        <v>0</v>
      </c>
      <c r="D3510" s="2">
        <f t="shared" si="54"/>
        <v>1</v>
      </c>
    </row>
    <row r="3511" spans="1:4" x14ac:dyDescent="0.3">
      <c r="A3511" s="34">
        <v>33807</v>
      </c>
      <c r="B3511" s="35">
        <v>1</v>
      </c>
      <c r="C3511" s="35">
        <v>0</v>
      </c>
      <c r="D3511" s="2">
        <f t="shared" si="54"/>
        <v>1</v>
      </c>
    </row>
    <row r="3512" spans="1:4" x14ac:dyDescent="0.3">
      <c r="A3512" s="34">
        <v>33815</v>
      </c>
      <c r="B3512" s="35">
        <v>1</v>
      </c>
      <c r="C3512" s="35">
        <v>0</v>
      </c>
      <c r="D3512" s="2">
        <f t="shared" si="54"/>
        <v>1</v>
      </c>
    </row>
    <row r="3513" spans="1:4" x14ac:dyDescent="0.3">
      <c r="A3513" s="34">
        <v>33816</v>
      </c>
      <c r="B3513" s="35">
        <v>1</v>
      </c>
      <c r="C3513" s="35">
        <v>0</v>
      </c>
      <c r="D3513" s="2">
        <f t="shared" si="54"/>
        <v>1</v>
      </c>
    </row>
    <row r="3514" spans="1:4" x14ac:dyDescent="0.3">
      <c r="A3514" s="34">
        <v>33823</v>
      </c>
      <c r="B3514" s="35">
        <v>1</v>
      </c>
      <c r="C3514" s="35">
        <v>0</v>
      </c>
      <c r="D3514" s="2">
        <f t="shared" si="54"/>
        <v>1</v>
      </c>
    </row>
    <row r="3515" spans="1:4" x14ac:dyDescent="0.3">
      <c r="A3515" s="34">
        <v>33826</v>
      </c>
      <c r="B3515" s="35">
        <v>1</v>
      </c>
      <c r="C3515" s="35">
        <v>0</v>
      </c>
      <c r="D3515" s="2">
        <f t="shared" si="54"/>
        <v>1</v>
      </c>
    </row>
    <row r="3516" spans="1:4" x14ac:dyDescent="0.3">
      <c r="A3516" s="34">
        <v>33827</v>
      </c>
      <c r="B3516" s="35">
        <v>1</v>
      </c>
      <c r="C3516" s="35">
        <v>0</v>
      </c>
      <c r="D3516" s="2">
        <f t="shared" si="54"/>
        <v>1</v>
      </c>
    </row>
    <row r="3517" spans="1:4" x14ac:dyDescent="0.3">
      <c r="A3517" s="34">
        <v>33828</v>
      </c>
      <c r="B3517" s="35">
        <v>1</v>
      </c>
      <c r="C3517" s="35">
        <v>0</v>
      </c>
      <c r="D3517" s="2">
        <f t="shared" si="54"/>
        <v>1</v>
      </c>
    </row>
    <row r="3518" spans="1:4" x14ac:dyDescent="0.3">
      <c r="A3518" s="34">
        <v>33829</v>
      </c>
      <c r="B3518" s="35">
        <v>1</v>
      </c>
      <c r="C3518" s="35">
        <v>0</v>
      </c>
      <c r="D3518" s="2">
        <f t="shared" si="54"/>
        <v>1</v>
      </c>
    </row>
    <row r="3519" spans="1:4" x14ac:dyDescent="0.3">
      <c r="A3519" s="34">
        <v>33840</v>
      </c>
      <c r="B3519" s="35">
        <v>1</v>
      </c>
      <c r="C3519" s="35">
        <v>0</v>
      </c>
      <c r="D3519" s="2">
        <f t="shared" si="54"/>
        <v>1</v>
      </c>
    </row>
    <row r="3520" spans="1:4" x14ac:dyDescent="0.3">
      <c r="A3520" s="34">
        <v>33842</v>
      </c>
      <c r="B3520" s="35">
        <v>1</v>
      </c>
      <c r="C3520" s="35">
        <v>0</v>
      </c>
      <c r="D3520" s="2">
        <f t="shared" si="54"/>
        <v>1</v>
      </c>
    </row>
    <row r="3521" spans="1:4" x14ac:dyDescent="0.3">
      <c r="A3521" s="34">
        <v>33844</v>
      </c>
      <c r="B3521" s="35">
        <v>1</v>
      </c>
      <c r="C3521" s="35">
        <v>1</v>
      </c>
      <c r="D3521" s="2">
        <f t="shared" si="54"/>
        <v>2</v>
      </c>
    </row>
    <row r="3522" spans="1:4" x14ac:dyDescent="0.3">
      <c r="A3522" s="34">
        <v>33853</v>
      </c>
      <c r="B3522" s="35">
        <v>2</v>
      </c>
      <c r="C3522" s="35">
        <v>1</v>
      </c>
      <c r="D3522" s="2">
        <f t="shared" si="54"/>
        <v>3</v>
      </c>
    </row>
    <row r="3523" spans="1:4" x14ac:dyDescent="0.3">
      <c r="A3523" s="34">
        <v>33855</v>
      </c>
      <c r="B3523" s="35">
        <v>1</v>
      </c>
      <c r="C3523" s="35">
        <v>0</v>
      </c>
      <c r="D3523" s="2">
        <f t="shared" ref="D3523:D3586" si="55">B3523+C3523</f>
        <v>1</v>
      </c>
    </row>
    <row r="3524" spans="1:4" x14ac:dyDescent="0.3">
      <c r="A3524" s="34">
        <v>33856</v>
      </c>
      <c r="B3524" s="35">
        <v>1</v>
      </c>
      <c r="C3524" s="35">
        <v>1</v>
      </c>
      <c r="D3524" s="2">
        <f t="shared" si="55"/>
        <v>2</v>
      </c>
    </row>
    <row r="3525" spans="1:4" x14ac:dyDescent="0.3">
      <c r="A3525" s="34">
        <v>33859</v>
      </c>
      <c r="B3525" s="35">
        <v>1</v>
      </c>
      <c r="C3525" s="35">
        <v>0</v>
      </c>
      <c r="D3525" s="2">
        <f t="shared" si="55"/>
        <v>1</v>
      </c>
    </row>
    <row r="3526" spans="1:4" x14ac:dyDescent="0.3">
      <c r="A3526" s="34">
        <v>33864</v>
      </c>
      <c r="B3526" s="35">
        <v>1</v>
      </c>
      <c r="C3526" s="35">
        <v>0</v>
      </c>
      <c r="D3526" s="2">
        <f t="shared" si="55"/>
        <v>1</v>
      </c>
    </row>
    <row r="3527" spans="1:4" x14ac:dyDescent="0.3">
      <c r="A3527" s="34">
        <v>33869</v>
      </c>
      <c r="B3527" s="35">
        <v>1</v>
      </c>
      <c r="C3527" s="35">
        <v>0</v>
      </c>
      <c r="D3527" s="2">
        <f t="shared" si="55"/>
        <v>1</v>
      </c>
    </row>
    <row r="3528" spans="1:4" x14ac:dyDescent="0.3">
      <c r="A3528" s="34">
        <v>33873</v>
      </c>
      <c r="B3528" s="35">
        <v>1</v>
      </c>
      <c r="C3528" s="35">
        <v>0</v>
      </c>
      <c r="D3528" s="2">
        <f t="shared" si="55"/>
        <v>1</v>
      </c>
    </row>
    <row r="3529" spans="1:4" x14ac:dyDescent="0.3">
      <c r="A3529" s="34">
        <v>33879</v>
      </c>
      <c r="B3529" s="35">
        <v>1</v>
      </c>
      <c r="C3529" s="35">
        <v>0</v>
      </c>
      <c r="D3529" s="2">
        <f t="shared" si="55"/>
        <v>1</v>
      </c>
    </row>
    <row r="3530" spans="1:4" x14ac:dyDescent="0.3">
      <c r="A3530" s="34">
        <v>33885</v>
      </c>
      <c r="B3530" s="35">
        <v>1</v>
      </c>
      <c r="C3530" s="35">
        <v>1</v>
      </c>
      <c r="D3530" s="2">
        <f t="shared" si="55"/>
        <v>2</v>
      </c>
    </row>
    <row r="3531" spans="1:4" x14ac:dyDescent="0.3">
      <c r="A3531" s="34">
        <v>33890</v>
      </c>
      <c r="B3531" s="35">
        <v>1</v>
      </c>
      <c r="C3531" s="35">
        <v>1</v>
      </c>
      <c r="D3531" s="2">
        <f t="shared" si="55"/>
        <v>2</v>
      </c>
    </row>
    <row r="3532" spans="1:4" x14ac:dyDescent="0.3">
      <c r="A3532" s="34">
        <v>33892</v>
      </c>
      <c r="B3532" s="35">
        <v>1</v>
      </c>
      <c r="C3532" s="35">
        <v>1</v>
      </c>
      <c r="D3532" s="2">
        <f t="shared" si="55"/>
        <v>2</v>
      </c>
    </row>
    <row r="3533" spans="1:4" x14ac:dyDescent="0.3">
      <c r="A3533" s="34">
        <v>33894</v>
      </c>
      <c r="B3533" s="35">
        <v>1</v>
      </c>
      <c r="C3533" s="35">
        <v>0</v>
      </c>
      <c r="D3533" s="2">
        <f t="shared" si="55"/>
        <v>1</v>
      </c>
    </row>
    <row r="3534" spans="1:4" x14ac:dyDescent="0.3">
      <c r="A3534" s="34">
        <v>33895</v>
      </c>
      <c r="B3534" s="35">
        <v>1</v>
      </c>
      <c r="C3534" s="35">
        <v>0</v>
      </c>
      <c r="D3534" s="2">
        <f t="shared" si="55"/>
        <v>1</v>
      </c>
    </row>
    <row r="3535" spans="1:4" x14ac:dyDescent="0.3">
      <c r="A3535" s="34">
        <v>33899</v>
      </c>
      <c r="B3535" s="35">
        <v>1</v>
      </c>
      <c r="C3535" s="35">
        <v>1</v>
      </c>
      <c r="D3535" s="2">
        <f t="shared" si="55"/>
        <v>2</v>
      </c>
    </row>
    <row r="3536" spans="1:4" x14ac:dyDescent="0.3">
      <c r="A3536" s="34">
        <v>33903</v>
      </c>
      <c r="B3536" s="35">
        <v>1</v>
      </c>
      <c r="C3536" s="35">
        <v>1</v>
      </c>
      <c r="D3536" s="2">
        <f t="shared" si="55"/>
        <v>2</v>
      </c>
    </row>
    <row r="3537" spans="1:4" x14ac:dyDescent="0.3">
      <c r="A3537" s="34">
        <v>33909</v>
      </c>
      <c r="B3537" s="35">
        <v>1</v>
      </c>
      <c r="C3537" s="35">
        <v>0</v>
      </c>
      <c r="D3537" s="2">
        <f t="shared" si="55"/>
        <v>1</v>
      </c>
    </row>
    <row r="3538" spans="1:4" x14ac:dyDescent="0.3">
      <c r="A3538" s="34">
        <v>33911</v>
      </c>
      <c r="B3538" s="35">
        <v>1</v>
      </c>
      <c r="C3538" s="35">
        <v>0</v>
      </c>
      <c r="D3538" s="2">
        <f t="shared" si="55"/>
        <v>1</v>
      </c>
    </row>
    <row r="3539" spans="1:4" x14ac:dyDescent="0.3">
      <c r="A3539" s="34">
        <v>33914</v>
      </c>
      <c r="B3539" s="35">
        <v>1</v>
      </c>
      <c r="C3539" s="35">
        <v>0</v>
      </c>
      <c r="D3539" s="2">
        <f t="shared" si="55"/>
        <v>1</v>
      </c>
    </row>
    <row r="3540" spans="1:4" x14ac:dyDescent="0.3">
      <c r="A3540" s="34">
        <v>33918</v>
      </c>
      <c r="B3540" s="35">
        <v>1</v>
      </c>
      <c r="C3540" s="35">
        <v>1</v>
      </c>
      <c r="D3540" s="2">
        <f t="shared" si="55"/>
        <v>2</v>
      </c>
    </row>
    <row r="3541" spans="1:4" x14ac:dyDescent="0.3">
      <c r="A3541" s="34">
        <v>33920</v>
      </c>
      <c r="B3541" s="35">
        <v>1</v>
      </c>
      <c r="C3541" s="35">
        <v>1</v>
      </c>
      <c r="D3541" s="2">
        <f t="shared" si="55"/>
        <v>2</v>
      </c>
    </row>
    <row r="3542" spans="1:4" x14ac:dyDescent="0.3">
      <c r="A3542" s="34">
        <v>33931</v>
      </c>
      <c r="B3542" s="35">
        <v>1</v>
      </c>
      <c r="C3542" s="35">
        <v>0</v>
      </c>
      <c r="D3542" s="2">
        <f t="shared" si="55"/>
        <v>1</v>
      </c>
    </row>
    <row r="3543" spans="1:4" x14ac:dyDescent="0.3">
      <c r="A3543" s="34">
        <v>33935</v>
      </c>
      <c r="B3543" s="35">
        <v>1</v>
      </c>
      <c r="C3543" s="35">
        <v>0</v>
      </c>
      <c r="D3543" s="2">
        <f t="shared" si="55"/>
        <v>1</v>
      </c>
    </row>
    <row r="3544" spans="1:4" x14ac:dyDescent="0.3">
      <c r="A3544" s="34">
        <v>33938</v>
      </c>
      <c r="B3544" s="35">
        <v>1</v>
      </c>
      <c r="C3544" s="35">
        <v>0</v>
      </c>
      <c r="D3544" s="2">
        <f t="shared" si="55"/>
        <v>1</v>
      </c>
    </row>
    <row r="3545" spans="1:4" x14ac:dyDescent="0.3">
      <c r="A3545" s="34">
        <v>33951</v>
      </c>
      <c r="B3545" s="35">
        <v>1</v>
      </c>
      <c r="C3545" s="35">
        <v>0</v>
      </c>
      <c r="D3545" s="2">
        <f t="shared" si="55"/>
        <v>1</v>
      </c>
    </row>
    <row r="3546" spans="1:4" x14ac:dyDescent="0.3">
      <c r="A3546" s="34">
        <v>33954</v>
      </c>
      <c r="B3546" s="35">
        <v>1</v>
      </c>
      <c r="C3546" s="35">
        <v>0</v>
      </c>
      <c r="D3546" s="2">
        <f t="shared" si="55"/>
        <v>1</v>
      </c>
    </row>
    <row r="3547" spans="1:4" x14ac:dyDescent="0.3">
      <c r="A3547" s="34">
        <v>33958</v>
      </c>
      <c r="B3547" s="35">
        <v>1</v>
      </c>
      <c r="C3547" s="35">
        <v>0</v>
      </c>
      <c r="D3547" s="2">
        <f t="shared" si="55"/>
        <v>1</v>
      </c>
    </row>
    <row r="3548" spans="1:4" x14ac:dyDescent="0.3">
      <c r="A3548" s="34">
        <v>33975</v>
      </c>
      <c r="B3548" s="35">
        <v>1</v>
      </c>
      <c r="C3548" s="35">
        <v>0</v>
      </c>
      <c r="D3548" s="2">
        <f t="shared" si="55"/>
        <v>1</v>
      </c>
    </row>
    <row r="3549" spans="1:4" x14ac:dyDescent="0.3">
      <c r="A3549" s="34">
        <v>33977</v>
      </c>
      <c r="B3549" s="35">
        <v>1</v>
      </c>
      <c r="C3549" s="35">
        <v>0</v>
      </c>
      <c r="D3549" s="2">
        <f t="shared" si="55"/>
        <v>1</v>
      </c>
    </row>
    <row r="3550" spans="1:4" x14ac:dyDescent="0.3">
      <c r="A3550" s="34">
        <v>33978</v>
      </c>
      <c r="B3550" s="35">
        <v>1</v>
      </c>
      <c r="C3550" s="35">
        <v>0</v>
      </c>
      <c r="D3550" s="2">
        <f t="shared" si="55"/>
        <v>1</v>
      </c>
    </row>
    <row r="3551" spans="1:4" x14ac:dyDescent="0.3">
      <c r="A3551" s="34">
        <v>33979</v>
      </c>
      <c r="B3551" s="35">
        <v>1</v>
      </c>
      <c r="C3551" s="35">
        <v>0</v>
      </c>
      <c r="D3551" s="2">
        <f t="shared" si="55"/>
        <v>1</v>
      </c>
    </row>
    <row r="3552" spans="1:4" x14ac:dyDescent="0.3">
      <c r="A3552" s="34">
        <v>33986</v>
      </c>
      <c r="B3552" s="35">
        <v>1</v>
      </c>
      <c r="C3552" s="35">
        <v>1</v>
      </c>
      <c r="D3552" s="2">
        <f t="shared" si="55"/>
        <v>2</v>
      </c>
    </row>
    <row r="3553" spans="1:4" x14ac:dyDescent="0.3">
      <c r="A3553" s="34">
        <v>33994</v>
      </c>
      <c r="B3553" s="35">
        <v>1</v>
      </c>
      <c r="C3553" s="35">
        <v>0</v>
      </c>
      <c r="D3553" s="2">
        <f t="shared" si="55"/>
        <v>1</v>
      </c>
    </row>
    <row r="3554" spans="1:4" x14ac:dyDescent="0.3">
      <c r="A3554" s="34">
        <v>34010</v>
      </c>
      <c r="B3554" s="35">
        <v>1</v>
      </c>
      <c r="C3554" s="35">
        <v>0</v>
      </c>
      <c r="D3554" s="2">
        <f t="shared" si="55"/>
        <v>1</v>
      </c>
    </row>
    <row r="3555" spans="1:4" x14ac:dyDescent="0.3">
      <c r="A3555" s="34">
        <v>34011</v>
      </c>
      <c r="B3555" s="35">
        <v>2</v>
      </c>
      <c r="C3555" s="35">
        <v>1</v>
      </c>
      <c r="D3555" s="2">
        <f t="shared" si="55"/>
        <v>3</v>
      </c>
    </row>
    <row r="3556" spans="1:4" x14ac:dyDescent="0.3">
      <c r="A3556" s="34">
        <v>34044</v>
      </c>
      <c r="B3556" s="35">
        <v>1</v>
      </c>
      <c r="C3556" s="35">
        <v>1</v>
      </c>
      <c r="D3556" s="2">
        <f t="shared" si="55"/>
        <v>2</v>
      </c>
    </row>
    <row r="3557" spans="1:4" x14ac:dyDescent="0.3">
      <c r="A3557" s="34">
        <v>34061</v>
      </c>
      <c r="B3557" s="35">
        <v>1</v>
      </c>
      <c r="C3557" s="35">
        <v>0</v>
      </c>
      <c r="D3557" s="2">
        <f t="shared" si="55"/>
        <v>1</v>
      </c>
    </row>
    <row r="3558" spans="1:4" x14ac:dyDescent="0.3">
      <c r="A3558" s="34">
        <v>34062</v>
      </c>
      <c r="B3558" s="35">
        <v>1</v>
      </c>
      <c r="C3558" s="35">
        <v>0</v>
      </c>
      <c r="D3558" s="2">
        <f t="shared" si="55"/>
        <v>1</v>
      </c>
    </row>
    <row r="3559" spans="1:4" x14ac:dyDescent="0.3">
      <c r="A3559" s="34">
        <v>34066</v>
      </c>
      <c r="B3559" s="35">
        <v>1</v>
      </c>
      <c r="C3559" s="35">
        <v>1</v>
      </c>
      <c r="D3559" s="2">
        <f t="shared" si="55"/>
        <v>2</v>
      </c>
    </row>
    <row r="3560" spans="1:4" x14ac:dyDescent="0.3">
      <c r="A3560" s="34">
        <v>34077</v>
      </c>
      <c r="B3560" s="35">
        <v>1</v>
      </c>
      <c r="C3560" s="35">
        <v>1</v>
      </c>
      <c r="D3560" s="2">
        <f t="shared" si="55"/>
        <v>2</v>
      </c>
    </row>
    <row r="3561" spans="1:4" x14ac:dyDescent="0.3">
      <c r="A3561" s="34">
        <v>34085</v>
      </c>
      <c r="B3561" s="35">
        <v>2</v>
      </c>
      <c r="C3561" s="35">
        <v>1</v>
      </c>
      <c r="D3561" s="2">
        <f t="shared" si="55"/>
        <v>3</v>
      </c>
    </row>
    <row r="3562" spans="1:4" x14ac:dyDescent="0.3">
      <c r="A3562" s="34">
        <v>34097</v>
      </c>
      <c r="B3562" s="35">
        <v>2</v>
      </c>
      <c r="C3562" s="35">
        <v>1</v>
      </c>
      <c r="D3562" s="2">
        <f t="shared" si="55"/>
        <v>3</v>
      </c>
    </row>
    <row r="3563" spans="1:4" x14ac:dyDescent="0.3">
      <c r="A3563" s="34">
        <v>34100</v>
      </c>
      <c r="B3563" s="35">
        <v>2</v>
      </c>
      <c r="C3563" s="35">
        <v>1</v>
      </c>
      <c r="D3563" s="2">
        <f t="shared" si="55"/>
        <v>3</v>
      </c>
    </row>
    <row r="3564" spans="1:4" x14ac:dyDescent="0.3">
      <c r="A3564" s="34">
        <v>34137</v>
      </c>
      <c r="B3564" s="35">
        <v>1</v>
      </c>
      <c r="C3564" s="35">
        <v>1</v>
      </c>
      <c r="D3564" s="2">
        <f t="shared" si="55"/>
        <v>2</v>
      </c>
    </row>
    <row r="3565" spans="1:4" x14ac:dyDescent="0.3">
      <c r="A3565" s="34">
        <v>34150</v>
      </c>
      <c r="B3565" s="35">
        <v>1</v>
      </c>
      <c r="C3565" s="35">
        <v>0</v>
      </c>
      <c r="D3565" s="2">
        <f t="shared" si="55"/>
        <v>1</v>
      </c>
    </row>
    <row r="3566" spans="1:4" x14ac:dyDescent="0.3">
      <c r="A3566" s="34">
        <v>34158</v>
      </c>
      <c r="B3566" s="35">
        <v>2</v>
      </c>
      <c r="C3566" s="35">
        <v>2</v>
      </c>
      <c r="D3566" s="2">
        <f t="shared" si="55"/>
        <v>4</v>
      </c>
    </row>
    <row r="3567" spans="1:4" x14ac:dyDescent="0.3">
      <c r="A3567" s="34">
        <v>34159</v>
      </c>
      <c r="B3567" s="35">
        <v>1</v>
      </c>
      <c r="C3567" s="35">
        <v>1</v>
      </c>
      <c r="D3567" s="2">
        <f t="shared" si="55"/>
        <v>2</v>
      </c>
    </row>
    <row r="3568" spans="1:4" x14ac:dyDescent="0.3">
      <c r="A3568" s="34">
        <v>34168</v>
      </c>
      <c r="B3568" s="35">
        <v>1</v>
      </c>
      <c r="C3568" s="35">
        <v>0</v>
      </c>
      <c r="D3568" s="2">
        <f t="shared" si="55"/>
        <v>1</v>
      </c>
    </row>
    <row r="3569" spans="1:4" x14ac:dyDescent="0.3">
      <c r="A3569" s="34">
        <v>34173</v>
      </c>
      <c r="B3569" s="35">
        <v>2</v>
      </c>
      <c r="C3569" s="35">
        <v>0</v>
      </c>
      <c r="D3569" s="2">
        <f t="shared" si="55"/>
        <v>2</v>
      </c>
    </row>
    <row r="3570" spans="1:4" x14ac:dyDescent="0.3">
      <c r="A3570" s="34">
        <v>34176</v>
      </c>
      <c r="B3570" s="35">
        <v>3</v>
      </c>
      <c r="C3570" s="35">
        <v>3</v>
      </c>
      <c r="D3570" s="2">
        <f t="shared" si="55"/>
        <v>6</v>
      </c>
    </row>
    <row r="3571" spans="1:4" x14ac:dyDescent="0.3">
      <c r="A3571" s="34">
        <v>34177</v>
      </c>
      <c r="B3571" s="35">
        <v>1</v>
      </c>
      <c r="C3571" s="35">
        <v>0</v>
      </c>
      <c r="D3571" s="2">
        <f t="shared" si="55"/>
        <v>1</v>
      </c>
    </row>
    <row r="3572" spans="1:4" x14ac:dyDescent="0.3">
      <c r="A3572" s="34">
        <v>34180</v>
      </c>
      <c r="B3572" s="35">
        <v>1</v>
      </c>
      <c r="C3572" s="35">
        <v>0</v>
      </c>
      <c r="D3572" s="2">
        <f t="shared" si="55"/>
        <v>1</v>
      </c>
    </row>
    <row r="3573" spans="1:4" x14ac:dyDescent="0.3">
      <c r="A3573" s="34">
        <v>34182</v>
      </c>
      <c r="B3573" s="35">
        <v>1</v>
      </c>
      <c r="C3573" s="35">
        <v>0</v>
      </c>
      <c r="D3573" s="2">
        <f t="shared" si="55"/>
        <v>1</v>
      </c>
    </row>
    <row r="3574" spans="1:4" x14ac:dyDescent="0.3">
      <c r="A3574" s="34">
        <v>34185</v>
      </c>
      <c r="B3574" s="35">
        <v>1</v>
      </c>
      <c r="C3574" s="35">
        <v>0</v>
      </c>
      <c r="D3574" s="2">
        <f t="shared" si="55"/>
        <v>1</v>
      </c>
    </row>
    <row r="3575" spans="1:4" x14ac:dyDescent="0.3">
      <c r="A3575" s="34">
        <v>34191</v>
      </c>
      <c r="B3575" s="35">
        <v>1</v>
      </c>
      <c r="C3575" s="35">
        <v>0</v>
      </c>
      <c r="D3575" s="2">
        <f t="shared" si="55"/>
        <v>1</v>
      </c>
    </row>
    <row r="3576" spans="1:4" x14ac:dyDescent="0.3">
      <c r="A3576" s="34">
        <v>34196</v>
      </c>
      <c r="B3576" s="35">
        <v>2</v>
      </c>
      <c r="C3576" s="35">
        <v>2</v>
      </c>
      <c r="D3576" s="2">
        <f t="shared" si="55"/>
        <v>4</v>
      </c>
    </row>
    <row r="3577" spans="1:4" x14ac:dyDescent="0.3">
      <c r="A3577" s="34">
        <v>34197</v>
      </c>
      <c r="B3577" s="35">
        <v>1</v>
      </c>
      <c r="C3577" s="35">
        <v>0</v>
      </c>
      <c r="D3577" s="2">
        <f t="shared" si="55"/>
        <v>1</v>
      </c>
    </row>
    <row r="3578" spans="1:4" x14ac:dyDescent="0.3">
      <c r="A3578" s="34">
        <v>34200</v>
      </c>
      <c r="B3578" s="35">
        <v>1</v>
      </c>
      <c r="C3578" s="35">
        <v>0</v>
      </c>
      <c r="D3578" s="2">
        <f t="shared" si="55"/>
        <v>1</v>
      </c>
    </row>
    <row r="3579" spans="1:4" x14ac:dyDescent="0.3">
      <c r="A3579" s="34">
        <v>34201</v>
      </c>
      <c r="B3579" s="35">
        <v>1</v>
      </c>
      <c r="C3579" s="35">
        <v>0</v>
      </c>
      <c r="D3579" s="2">
        <f t="shared" si="55"/>
        <v>1</v>
      </c>
    </row>
    <row r="3580" spans="1:4" x14ac:dyDescent="0.3">
      <c r="A3580" s="34">
        <v>34202</v>
      </c>
      <c r="B3580" s="35">
        <v>1</v>
      </c>
      <c r="C3580" s="35">
        <v>0</v>
      </c>
      <c r="D3580" s="2">
        <f t="shared" si="55"/>
        <v>1</v>
      </c>
    </row>
    <row r="3581" spans="1:4" x14ac:dyDescent="0.3">
      <c r="A3581" s="34">
        <v>34204</v>
      </c>
      <c r="B3581" s="35">
        <v>1</v>
      </c>
      <c r="C3581" s="35">
        <v>0</v>
      </c>
      <c r="D3581" s="2">
        <f t="shared" si="55"/>
        <v>1</v>
      </c>
    </row>
    <row r="3582" spans="1:4" x14ac:dyDescent="0.3">
      <c r="A3582" s="34">
        <v>34206</v>
      </c>
      <c r="B3582" s="35">
        <v>1</v>
      </c>
      <c r="C3582" s="35">
        <v>1</v>
      </c>
      <c r="D3582" s="2">
        <f t="shared" si="55"/>
        <v>2</v>
      </c>
    </row>
    <row r="3583" spans="1:4" x14ac:dyDescent="0.3">
      <c r="A3583" s="34">
        <v>34207</v>
      </c>
      <c r="B3583" s="35">
        <v>2</v>
      </c>
      <c r="C3583" s="35">
        <v>2</v>
      </c>
      <c r="D3583" s="2">
        <f t="shared" si="55"/>
        <v>4</v>
      </c>
    </row>
    <row r="3584" spans="1:4" x14ac:dyDescent="0.3">
      <c r="A3584" s="34">
        <v>34208</v>
      </c>
      <c r="B3584" s="35">
        <v>1</v>
      </c>
      <c r="C3584" s="35">
        <v>0</v>
      </c>
      <c r="D3584" s="2">
        <f t="shared" si="55"/>
        <v>1</v>
      </c>
    </row>
    <row r="3585" spans="1:4" x14ac:dyDescent="0.3">
      <c r="A3585" s="34">
        <v>34215</v>
      </c>
      <c r="B3585" s="35">
        <v>1</v>
      </c>
      <c r="C3585" s="35">
        <v>0</v>
      </c>
      <c r="D3585" s="2">
        <f t="shared" si="55"/>
        <v>1</v>
      </c>
    </row>
    <row r="3586" spans="1:4" x14ac:dyDescent="0.3">
      <c r="A3586" s="34">
        <v>34222</v>
      </c>
      <c r="B3586" s="35">
        <v>1</v>
      </c>
      <c r="C3586" s="35">
        <v>1</v>
      </c>
      <c r="D3586" s="2">
        <f t="shared" si="55"/>
        <v>2</v>
      </c>
    </row>
    <row r="3587" spans="1:4" x14ac:dyDescent="0.3">
      <c r="A3587" s="34">
        <v>34226</v>
      </c>
      <c r="B3587" s="35">
        <v>1</v>
      </c>
      <c r="C3587" s="35">
        <v>0</v>
      </c>
      <c r="D3587" s="2">
        <f t="shared" ref="D3587:D3650" si="56">B3587+C3587</f>
        <v>1</v>
      </c>
    </row>
    <row r="3588" spans="1:4" x14ac:dyDescent="0.3">
      <c r="A3588" s="34">
        <v>34228</v>
      </c>
      <c r="B3588" s="35">
        <v>1</v>
      </c>
      <c r="C3588" s="35">
        <v>0</v>
      </c>
      <c r="D3588" s="2">
        <f t="shared" si="56"/>
        <v>1</v>
      </c>
    </row>
    <row r="3589" spans="1:4" x14ac:dyDescent="0.3">
      <c r="A3589" s="34">
        <v>34231</v>
      </c>
      <c r="B3589" s="35">
        <v>2</v>
      </c>
      <c r="C3589" s="35">
        <v>0</v>
      </c>
      <c r="D3589" s="2">
        <f t="shared" si="56"/>
        <v>2</v>
      </c>
    </row>
    <row r="3590" spans="1:4" x14ac:dyDescent="0.3">
      <c r="A3590" s="34">
        <v>34234</v>
      </c>
      <c r="B3590" s="35">
        <v>1</v>
      </c>
      <c r="C3590" s="35">
        <v>0</v>
      </c>
      <c r="D3590" s="2">
        <f t="shared" si="56"/>
        <v>1</v>
      </c>
    </row>
    <row r="3591" spans="1:4" x14ac:dyDescent="0.3">
      <c r="A3591" s="34">
        <v>34236</v>
      </c>
      <c r="B3591" s="35">
        <v>1</v>
      </c>
      <c r="C3591" s="35">
        <v>1</v>
      </c>
      <c r="D3591" s="2">
        <f t="shared" si="56"/>
        <v>2</v>
      </c>
    </row>
    <row r="3592" spans="1:4" x14ac:dyDescent="0.3">
      <c r="A3592" s="34">
        <v>34239</v>
      </c>
      <c r="B3592" s="35">
        <v>1</v>
      </c>
      <c r="C3592" s="35">
        <v>0</v>
      </c>
      <c r="D3592" s="2">
        <f t="shared" si="56"/>
        <v>1</v>
      </c>
    </row>
    <row r="3593" spans="1:4" x14ac:dyDescent="0.3">
      <c r="A3593" s="34">
        <v>34240</v>
      </c>
      <c r="B3593" s="35">
        <v>1</v>
      </c>
      <c r="C3593" s="35">
        <v>1</v>
      </c>
      <c r="D3593" s="2">
        <f t="shared" si="56"/>
        <v>2</v>
      </c>
    </row>
    <row r="3594" spans="1:4" x14ac:dyDescent="0.3">
      <c r="A3594" s="34">
        <v>34242</v>
      </c>
      <c r="B3594" s="35">
        <v>1</v>
      </c>
      <c r="C3594" s="35">
        <v>0</v>
      </c>
      <c r="D3594" s="2">
        <f t="shared" si="56"/>
        <v>1</v>
      </c>
    </row>
    <row r="3595" spans="1:4" x14ac:dyDescent="0.3">
      <c r="A3595" s="34">
        <v>34245</v>
      </c>
      <c r="B3595" s="35">
        <v>1</v>
      </c>
      <c r="C3595" s="35">
        <v>0</v>
      </c>
      <c r="D3595" s="2">
        <f t="shared" si="56"/>
        <v>1</v>
      </c>
    </row>
    <row r="3596" spans="1:4" x14ac:dyDescent="0.3">
      <c r="A3596" s="34">
        <v>34246</v>
      </c>
      <c r="B3596" s="35">
        <v>1</v>
      </c>
      <c r="C3596" s="35">
        <v>0</v>
      </c>
      <c r="D3596" s="2">
        <f t="shared" si="56"/>
        <v>1</v>
      </c>
    </row>
    <row r="3597" spans="1:4" x14ac:dyDescent="0.3">
      <c r="A3597" s="34">
        <v>34247</v>
      </c>
      <c r="B3597" s="35">
        <v>1</v>
      </c>
      <c r="C3597" s="35">
        <v>0</v>
      </c>
      <c r="D3597" s="2">
        <f t="shared" si="56"/>
        <v>1</v>
      </c>
    </row>
    <row r="3598" spans="1:4" x14ac:dyDescent="0.3">
      <c r="A3598" s="34">
        <v>34248</v>
      </c>
      <c r="B3598" s="35">
        <v>1</v>
      </c>
      <c r="C3598" s="35">
        <v>0</v>
      </c>
      <c r="D3598" s="2">
        <f t="shared" si="56"/>
        <v>1</v>
      </c>
    </row>
    <row r="3599" spans="1:4" x14ac:dyDescent="0.3">
      <c r="A3599" s="34">
        <v>34257</v>
      </c>
      <c r="B3599" s="35">
        <v>1</v>
      </c>
      <c r="C3599" s="35">
        <v>0</v>
      </c>
      <c r="D3599" s="2">
        <f t="shared" si="56"/>
        <v>1</v>
      </c>
    </row>
    <row r="3600" spans="1:4" x14ac:dyDescent="0.3">
      <c r="A3600" s="34">
        <v>34258</v>
      </c>
      <c r="B3600" s="35">
        <v>1</v>
      </c>
      <c r="C3600" s="35">
        <v>0</v>
      </c>
      <c r="D3600" s="2">
        <f t="shared" si="56"/>
        <v>1</v>
      </c>
    </row>
    <row r="3601" spans="1:4" x14ac:dyDescent="0.3">
      <c r="A3601" s="34">
        <v>34265</v>
      </c>
      <c r="B3601" s="35">
        <v>2</v>
      </c>
      <c r="C3601" s="35">
        <v>0</v>
      </c>
      <c r="D3601" s="2">
        <f t="shared" si="56"/>
        <v>2</v>
      </c>
    </row>
    <row r="3602" spans="1:4" x14ac:dyDescent="0.3">
      <c r="A3602" s="34">
        <v>34266</v>
      </c>
      <c r="B3602" s="35">
        <v>1</v>
      </c>
      <c r="C3602" s="35">
        <v>0</v>
      </c>
      <c r="D3602" s="2">
        <f t="shared" si="56"/>
        <v>1</v>
      </c>
    </row>
    <row r="3603" spans="1:4" x14ac:dyDescent="0.3">
      <c r="A3603" s="34">
        <v>34267</v>
      </c>
      <c r="B3603" s="35">
        <v>1</v>
      </c>
      <c r="C3603" s="35">
        <v>0</v>
      </c>
      <c r="D3603" s="2">
        <f t="shared" si="56"/>
        <v>1</v>
      </c>
    </row>
    <row r="3604" spans="1:4" x14ac:dyDescent="0.3">
      <c r="A3604" s="34">
        <v>34269</v>
      </c>
      <c r="B3604" s="35">
        <v>1</v>
      </c>
      <c r="C3604" s="35">
        <v>0</v>
      </c>
      <c r="D3604" s="2">
        <f t="shared" si="56"/>
        <v>1</v>
      </c>
    </row>
    <row r="3605" spans="1:4" x14ac:dyDescent="0.3">
      <c r="A3605" s="34">
        <v>34272</v>
      </c>
      <c r="B3605" s="35">
        <v>1</v>
      </c>
      <c r="C3605" s="35">
        <v>0</v>
      </c>
      <c r="D3605" s="2">
        <f t="shared" si="56"/>
        <v>1</v>
      </c>
    </row>
    <row r="3606" spans="1:4" x14ac:dyDescent="0.3">
      <c r="A3606" s="34">
        <v>34274</v>
      </c>
      <c r="B3606" s="35">
        <v>1</v>
      </c>
      <c r="C3606" s="35">
        <v>0</v>
      </c>
      <c r="D3606" s="2">
        <f t="shared" si="56"/>
        <v>1</v>
      </c>
    </row>
    <row r="3607" spans="1:4" x14ac:dyDescent="0.3">
      <c r="A3607" s="34">
        <v>34275</v>
      </c>
      <c r="B3607" s="35">
        <v>1</v>
      </c>
      <c r="C3607" s="35">
        <v>0</v>
      </c>
      <c r="D3607" s="2">
        <f t="shared" si="56"/>
        <v>1</v>
      </c>
    </row>
    <row r="3608" spans="1:4" x14ac:dyDescent="0.3">
      <c r="A3608" s="34">
        <v>34276</v>
      </c>
      <c r="B3608" s="35">
        <v>1</v>
      </c>
      <c r="C3608" s="35">
        <v>0</v>
      </c>
      <c r="D3608" s="2">
        <f t="shared" si="56"/>
        <v>1</v>
      </c>
    </row>
    <row r="3609" spans="1:4" x14ac:dyDescent="0.3">
      <c r="A3609" s="34">
        <v>34278</v>
      </c>
      <c r="B3609" s="35">
        <v>1</v>
      </c>
      <c r="C3609" s="35">
        <v>1</v>
      </c>
      <c r="D3609" s="2">
        <f t="shared" si="56"/>
        <v>2</v>
      </c>
    </row>
    <row r="3610" spans="1:4" x14ac:dyDescent="0.3">
      <c r="A3610" s="34">
        <v>34285</v>
      </c>
      <c r="B3610" s="35">
        <v>1</v>
      </c>
      <c r="C3610" s="35">
        <v>0</v>
      </c>
      <c r="D3610" s="2">
        <f t="shared" si="56"/>
        <v>1</v>
      </c>
    </row>
    <row r="3611" spans="1:4" x14ac:dyDescent="0.3">
      <c r="A3611" s="34">
        <v>34292</v>
      </c>
      <c r="B3611" s="35">
        <v>1</v>
      </c>
      <c r="C3611" s="35">
        <v>0</v>
      </c>
      <c r="D3611" s="2">
        <f t="shared" si="56"/>
        <v>1</v>
      </c>
    </row>
    <row r="3612" spans="1:4" x14ac:dyDescent="0.3">
      <c r="A3612" s="34">
        <v>34295</v>
      </c>
      <c r="B3612" s="35">
        <v>1</v>
      </c>
      <c r="C3612" s="35">
        <v>0</v>
      </c>
      <c r="D3612" s="2">
        <f t="shared" si="56"/>
        <v>1</v>
      </c>
    </row>
    <row r="3613" spans="1:4" x14ac:dyDescent="0.3">
      <c r="A3613" s="34">
        <v>34301</v>
      </c>
      <c r="B3613" s="35">
        <v>1</v>
      </c>
      <c r="C3613" s="35">
        <v>0</v>
      </c>
      <c r="D3613" s="2">
        <f t="shared" si="56"/>
        <v>1</v>
      </c>
    </row>
    <row r="3614" spans="1:4" x14ac:dyDescent="0.3">
      <c r="A3614" s="34">
        <v>34302</v>
      </c>
      <c r="B3614" s="35">
        <v>1</v>
      </c>
      <c r="C3614" s="35">
        <v>1</v>
      </c>
      <c r="D3614" s="2">
        <f t="shared" si="56"/>
        <v>2</v>
      </c>
    </row>
    <row r="3615" spans="1:4" x14ac:dyDescent="0.3">
      <c r="A3615" s="34">
        <v>34304</v>
      </c>
      <c r="B3615" s="35">
        <v>1</v>
      </c>
      <c r="C3615" s="35">
        <v>0</v>
      </c>
      <c r="D3615" s="2">
        <f t="shared" si="56"/>
        <v>1</v>
      </c>
    </row>
    <row r="3616" spans="1:4" x14ac:dyDescent="0.3">
      <c r="A3616" s="34">
        <v>34308</v>
      </c>
      <c r="B3616" s="35">
        <v>2</v>
      </c>
      <c r="C3616" s="35">
        <v>1</v>
      </c>
      <c r="D3616" s="2">
        <f t="shared" si="56"/>
        <v>3</v>
      </c>
    </row>
    <row r="3617" spans="1:4" x14ac:dyDescent="0.3">
      <c r="A3617" s="34">
        <v>34309</v>
      </c>
      <c r="B3617" s="35">
        <v>2</v>
      </c>
      <c r="C3617" s="35">
        <v>1</v>
      </c>
      <c r="D3617" s="2">
        <f t="shared" si="56"/>
        <v>3</v>
      </c>
    </row>
    <row r="3618" spans="1:4" x14ac:dyDescent="0.3">
      <c r="A3618" s="34">
        <v>34312</v>
      </c>
      <c r="B3618" s="35">
        <v>1</v>
      </c>
      <c r="C3618" s="35">
        <v>1</v>
      </c>
      <c r="D3618" s="2">
        <f t="shared" si="56"/>
        <v>2</v>
      </c>
    </row>
    <row r="3619" spans="1:4" x14ac:dyDescent="0.3">
      <c r="A3619" s="34">
        <v>34315</v>
      </c>
      <c r="B3619" s="35">
        <v>1</v>
      </c>
      <c r="C3619" s="35">
        <v>0</v>
      </c>
      <c r="D3619" s="2">
        <f t="shared" si="56"/>
        <v>1</v>
      </c>
    </row>
    <row r="3620" spans="1:4" x14ac:dyDescent="0.3">
      <c r="A3620" s="34">
        <v>34328</v>
      </c>
      <c r="B3620" s="35">
        <v>1</v>
      </c>
      <c r="C3620" s="35">
        <v>0</v>
      </c>
      <c r="D3620" s="2">
        <f t="shared" si="56"/>
        <v>1</v>
      </c>
    </row>
    <row r="3621" spans="1:4" x14ac:dyDescent="0.3">
      <c r="A3621" s="34">
        <v>34332</v>
      </c>
      <c r="B3621" s="35">
        <v>2</v>
      </c>
      <c r="C3621" s="35">
        <v>0</v>
      </c>
      <c r="D3621" s="2">
        <f t="shared" si="56"/>
        <v>2</v>
      </c>
    </row>
    <row r="3622" spans="1:4" x14ac:dyDescent="0.3">
      <c r="A3622" s="34">
        <v>34342</v>
      </c>
      <c r="B3622" s="35">
        <v>1</v>
      </c>
      <c r="C3622" s="35">
        <v>0</v>
      </c>
      <c r="D3622" s="2">
        <f t="shared" si="56"/>
        <v>1</v>
      </c>
    </row>
    <row r="3623" spans="1:4" x14ac:dyDescent="0.3">
      <c r="A3623" s="34">
        <v>34343</v>
      </c>
      <c r="B3623" s="35">
        <v>1</v>
      </c>
      <c r="C3623" s="35">
        <v>0</v>
      </c>
      <c r="D3623" s="2">
        <f t="shared" si="56"/>
        <v>1</v>
      </c>
    </row>
    <row r="3624" spans="1:4" x14ac:dyDescent="0.3">
      <c r="A3624" s="34">
        <v>34375</v>
      </c>
      <c r="B3624" s="35">
        <v>1</v>
      </c>
      <c r="C3624" s="35">
        <v>1</v>
      </c>
      <c r="D3624" s="2">
        <f t="shared" si="56"/>
        <v>2</v>
      </c>
    </row>
    <row r="3625" spans="1:4" x14ac:dyDescent="0.3">
      <c r="A3625" s="34">
        <v>34376</v>
      </c>
      <c r="B3625" s="35">
        <v>2</v>
      </c>
      <c r="C3625" s="35">
        <v>1</v>
      </c>
      <c r="D3625" s="2">
        <f t="shared" si="56"/>
        <v>3</v>
      </c>
    </row>
    <row r="3626" spans="1:4" x14ac:dyDescent="0.3">
      <c r="A3626" s="34">
        <v>34387</v>
      </c>
      <c r="B3626" s="35">
        <v>1</v>
      </c>
      <c r="C3626" s="35">
        <v>0</v>
      </c>
      <c r="D3626" s="2">
        <f t="shared" si="56"/>
        <v>1</v>
      </c>
    </row>
    <row r="3627" spans="1:4" x14ac:dyDescent="0.3">
      <c r="A3627" s="34">
        <v>34405</v>
      </c>
      <c r="B3627" s="35">
        <v>1</v>
      </c>
      <c r="C3627" s="35">
        <v>0</v>
      </c>
      <c r="D3627" s="2">
        <f t="shared" si="56"/>
        <v>1</v>
      </c>
    </row>
    <row r="3628" spans="1:4" x14ac:dyDescent="0.3">
      <c r="A3628" s="34">
        <v>34416</v>
      </c>
      <c r="B3628" s="35">
        <v>1</v>
      </c>
      <c r="C3628" s="35">
        <v>0</v>
      </c>
      <c r="D3628" s="2">
        <f t="shared" si="56"/>
        <v>1</v>
      </c>
    </row>
    <row r="3629" spans="1:4" x14ac:dyDescent="0.3">
      <c r="A3629" s="34">
        <v>34418</v>
      </c>
      <c r="B3629" s="35">
        <v>3</v>
      </c>
      <c r="C3629" s="35">
        <v>3</v>
      </c>
      <c r="D3629" s="2">
        <f t="shared" si="56"/>
        <v>6</v>
      </c>
    </row>
    <row r="3630" spans="1:4" x14ac:dyDescent="0.3">
      <c r="A3630" s="34">
        <v>34424</v>
      </c>
      <c r="B3630" s="35">
        <v>1</v>
      </c>
      <c r="C3630" s="35">
        <v>0</v>
      </c>
      <c r="D3630" s="2">
        <f t="shared" si="56"/>
        <v>1</v>
      </c>
    </row>
    <row r="3631" spans="1:4" x14ac:dyDescent="0.3">
      <c r="A3631" s="34">
        <v>34436</v>
      </c>
      <c r="B3631" s="35">
        <v>1</v>
      </c>
      <c r="C3631" s="35">
        <v>0</v>
      </c>
      <c r="D3631" s="2">
        <f t="shared" si="56"/>
        <v>1</v>
      </c>
    </row>
    <row r="3632" spans="1:4" x14ac:dyDescent="0.3">
      <c r="A3632" s="34">
        <v>34442</v>
      </c>
      <c r="B3632" s="35">
        <v>1</v>
      </c>
      <c r="C3632" s="35">
        <v>0</v>
      </c>
      <c r="D3632" s="2">
        <f t="shared" si="56"/>
        <v>1</v>
      </c>
    </row>
    <row r="3633" spans="1:4" x14ac:dyDescent="0.3">
      <c r="A3633" s="34">
        <v>34443</v>
      </c>
      <c r="B3633" s="35">
        <v>1</v>
      </c>
      <c r="C3633" s="35">
        <v>0</v>
      </c>
      <c r="D3633" s="2">
        <f t="shared" si="56"/>
        <v>1</v>
      </c>
    </row>
    <row r="3634" spans="1:4" x14ac:dyDescent="0.3">
      <c r="A3634" s="34">
        <v>34445</v>
      </c>
      <c r="B3634" s="35">
        <v>1</v>
      </c>
      <c r="C3634" s="35">
        <v>0</v>
      </c>
      <c r="D3634" s="2">
        <f t="shared" si="56"/>
        <v>1</v>
      </c>
    </row>
    <row r="3635" spans="1:4" x14ac:dyDescent="0.3">
      <c r="A3635" s="34">
        <v>34446</v>
      </c>
      <c r="B3635" s="35">
        <v>1</v>
      </c>
      <c r="C3635" s="35">
        <v>1</v>
      </c>
      <c r="D3635" s="2">
        <f t="shared" si="56"/>
        <v>2</v>
      </c>
    </row>
    <row r="3636" spans="1:4" x14ac:dyDescent="0.3">
      <c r="A3636" s="34">
        <v>34454</v>
      </c>
      <c r="B3636" s="35">
        <v>2</v>
      </c>
      <c r="C3636" s="35">
        <v>0</v>
      </c>
      <c r="D3636" s="2">
        <f t="shared" si="56"/>
        <v>2</v>
      </c>
    </row>
    <row r="3637" spans="1:4" x14ac:dyDescent="0.3">
      <c r="A3637" s="34">
        <v>34456</v>
      </c>
      <c r="B3637" s="35">
        <v>1</v>
      </c>
      <c r="C3637" s="35">
        <v>0</v>
      </c>
      <c r="D3637" s="2">
        <f t="shared" si="56"/>
        <v>1</v>
      </c>
    </row>
    <row r="3638" spans="1:4" x14ac:dyDescent="0.3">
      <c r="A3638" s="34">
        <v>34460</v>
      </c>
      <c r="B3638" s="35">
        <v>1</v>
      </c>
      <c r="C3638" s="35">
        <v>0</v>
      </c>
      <c r="D3638" s="2">
        <f t="shared" si="56"/>
        <v>1</v>
      </c>
    </row>
    <row r="3639" spans="1:4" x14ac:dyDescent="0.3">
      <c r="A3639" s="34">
        <v>34463</v>
      </c>
      <c r="B3639" s="35">
        <v>1</v>
      </c>
      <c r="C3639" s="35">
        <v>0</v>
      </c>
      <c r="D3639" s="2">
        <f t="shared" si="56"/>
        <v>1</v>
      </c>
    </row>
    <row r="3640" spans="1:4" x14ac:dyDescent="0.3">
      <c r="A3640" s="34">
        <v>34468</v>
      </c>
      <c r="B3640" s="35">
        <v>1</v>
      </c>
      <c r="C3640" s="35">
        <v>0</v>
      </c>
      <c r="D3640" s="2">
        <f t="shared" si="56"/>
        <v>1</v>
      </c>
    </row>
    <row r="3641" spans="1:4" x14ac:dyDescent="0.3">
      <c r="A3641" s="34">
        <v>34477</v>
      </c>
      <c r="B3641" s="35">
        <v>1</v>
      </c>
      <c r="C3641" s="35">
        <v>0</v>
      </c>
      <c r="D3641" s="2">
        <f t="shared" si="56"/>
        <v>1</v>
      </c>
    </row>
    <row r="3642" spans="1:4" x14ac:dyDescent="0.3">
      <c r="A3642" s="34">
        <v>34501</v>
      </c>
      <c r="B3642" s="35">
        <v>1</v>
      </c>
      <c r="C3642" s="35">
        <v>0</v>
      </c>
      <c r="D3642" s="2">
        <f t="shared" si="56"/>
        <v>1</v>
      </c>
    </row>
    <row r="3643" spans="1:4" x14ac:dyDescent="0.3">
      <c r="A3643" s="34">
        <v>34503</v>
      </c>
      <c r="B3643" s="35">
        <v>1</v>
      </c>
      <c r="C3643" s="35">
        <v>0</v>
      </c>
      <c r="D3643" s="2">
        <f t="shared" si="56"/>
        <v>1</v>
      </c>
    </row>
    <row r="3644" spans="1:4" x14ac:dyDescent="0.3">
      <c r="A3644" s="34">
        <v>34504</v>
      </c>
      <c r="B3644" s="35">
        <v>1</v>
      </c>
      <c r="C3644" s="35">
        <v>0</v>
      </c>
      <c r="D3644" s="2">
        <f t="shared" si="56"/>
        <v>1</v>
      </c>
    </row>
    <row r="3645" spans="1:4" x14ac:dyDescent="0.3">
      <c r="A3645" s="34">
        <v>34509</v>
      </c>
      <c r="B3645" s="35">
        <v>1</v>
      </c>
      <c r="C3645" s="35">
        <v>0</v>
      </c>
      <c r="D3645" s="2">
        <f t="shared" si="56"/>
        <v>1</v>
      </c>
    </row>
    <row r="3646" spans="1:4" x14ac:dyDescent="0.3">
      <c r="A3646" s="34">
        <v>34511</v>
      </c>
      <c r="B3646" s="35">
        <v>1</v>
      </c>
      <c r="C3646" s="35">
        <v>0</v>
      </c>
      <c r="D3646" s="2">
        <f t="shared" si="56"/>
        <v>1</v>
      </c>
    </row>
    <row r="3647" spans="1:4" x14ac:dyDescent="0.3">
      <c r="A3647" s="34">
        <v>34512</v>
      </c>
      <c r="B3647" s="35">
        <v>2</v>
      </c>
      <c r="C3647" s="35">
        <v>1</v>
      </c>
      <c r="D3647" s="2">
        <f t="shared" si="56"/>
        <v>3</v>
      </c>
    </row>
    <row r="3648" spans="1:4" x14ac:dyDescent="0.3">
      <c r="A3648" s="34">
        <v>34513</v>
      </c>
      <c r="B3648" s="35">
        <v>1</v>
      </c>
      <c r="C3648" s="35">
        <v>1</v>
      </c>
      <c r="D3648" s="2">
        <f t="shared" si="56"/>
        <v>2</v>
      </c>
    </row>
    <row r="3649" spans="1:4" x14ac:dyDescent="0.3">
      <c r="A3649" s="34">
        <v>34517</v>
      </c>
      <c r="B3649" s="35">
        <v>1</v>
      </c>
      <c r="C3649" s="35">
        <v>0</v>
      </c>
      <c r="D3649" s="2">
        <f t="shared" si="56"/>
        <v>1</v>
      </c>
    </row>
    <row r="3650" spans="1:4" x14ac:dyDescent="0.3">
      <c r="A3650" s="34">
        <v>34518</v>
      </c>
      <c r="B3650" s="35">
        <v>2</v>
      </c>
      <c r="C3650" s="35">
        <v>2</v>
      </c>
      <c r="D3650" s="2">
        <f t="shared" si="56"/>
        <v>4</v>
      </c>
    </row>
    <row r="3651" spans="1:4" x14ac:dyDescent="0.3">
      <c r="A3651" s="34">
        <v>34519</v>
      </c>
      <c r="B3651" s="35">
        <v>1</v>
      </c>
      <c r="C3651" s="35">
        <v>0</v>
      </c>
      <c r="D3651" s="2">
        <f t="shared" ref="D3651:D3714" si="57">B3651+C3651</f>
        <v>1</v>
      </c>
    </row>
    <row r="3652" spans="1:4" x14ac:dyDescent="0.3">
      <c r="A3652" s="34">
        <v>34520</v>
      </c>
      <c r="B3652" s="35">
        <v>1</v>
      </c>
      <c r="C3652" s="35">
        <v>0</v>
      </c>
      <c r="D3652" s="2">
        <f t="shared" si="57"/>
        <v>1</v>
      </c>
    </row>
    <row r="3653" spans="1:4" x14ac:dyDescent="0.3">
      <c r="A3653" s="34">
        <v>34524</v>
      </c>
      <c r="B3653" s="35">
        <v>2</v>
      </c>
      <c r="C3653" s="35">
        <v>1</v>
      </c>
      <c r="D3653" s="2">
        <f t="shared" si="57"/>
        <v>3</v>
      </c>
    </row>
    <row r="3654" spans="1:4" x14ac:dyDescent="0.3">
      <c r="A3654" s="34">
        <v>34525</v>
      </c>
      <c r="B3654" s="35">
        <v>1</v>
      </c>
      <c r="C3654" s="35">
        <v>0</v>
      </c>
      <c r="D3654" s="2">
        <f t="shared" si="57"/>
        <v>1</v>
      </c>
    </row>
    <row r="3655" spans="1:4" x14ac:dyDescent="0.3">
      <c r="A3655" s="34">
        <v>34526</v>
      </c>
      <c r="B3655" s="35">
        <v>1</v>
      </c>
      <c r="C3655" s="35">
        <v>0</v>
      </c>
      <c r="D3655" s="2">
        <f t="shared" si="57"/>
        <v>1</v>
      </c>
    </row>
    <row r="3656" spans="1:4" x14ac:dyDescent="0.3">
      <c r="A3656" s="34">
        <v>34535</v>
      </c>
      <c r="B3656" s="35">
        <v>1</v>
      </c>
      <c r="C3656" s="35">
        <v>0</v>
      </c>
      <c r="D3656" s="2">
        <f t="shared" si="57"/>
        <v>1</v>
      </c>
    </row>
    <row r="3657" spans="1:4" x14ac:dyDescent="0.3">
      <c r="A3657" s="34">
        <v>34538</v>
      </c>
      <c r="B3657" s="35">
        <v>1</v>
      </c>
      <c r="C3657" s="35">
        <v>0</v>
      </c>
      <c r="D3657" s="2">
        <f t="shared" si="57"/>
        <v>1</v>
      </c>
    </row>
    <row r="3658" spans="1:4" x14ac:dyDescent="0.3">
      <c r="A3658" s="34">
        <v>34542</v>
      </c>
      <c r="B3658" s="35">
        <v>2</v>
      </c>
      <c r="C3658" s="35">
        <v>0</v>
      </c>
      <c r="D3658" s="2">
        <f t="shared" si="57"/>
        <v>2</v>
      </c>
    </row>
    <row r="3659" spans="1:4" x14ac:dyDescent="0.3">
      <c r="A3659" s="34">
        <v>34543</v>
      </c>
      <c r="B3659" s="35">
        <v>1</v>
      </c>
      <c r="C3659" s="35">
        <v>0</v>
      </c>
      <c r="D3659" s="2">
        <f t="shared" si="57"/>
        <v>1</v>
      </c>
    </row>
    <row r="3660" spans="1:4" x14ac:dyDescent="0.3">
      <c r="A3660" s="34">
        <v>34544</v>
      </c>
      <c r="B3660" s="35">
        <v>1</v>
      </c>
      <c r="C3660" s="35">
        <v>0</v>
      </c>
      <c r="D3660" s="2">
        <f t="shared" si="57"/>
        <v>1</v>
      </c>
    </row>
    <row r="3661" spans="1:4" x14ac:dyDescent="0.3">
      <c r="A3661" s="34">
        <v>34556</v>
      </c>
      <c r="B3661" s="35">
        <v>1</v>
      </c>
      <c r="C3661" s="35">
        <v>0</v>
      </c>
      <c r="D3661" s="2">
        <f t="shared" si="57"/>
        <v>1</v>
      </c>
    </row>
    <row r="3662" spans="1:4" x14ac:dyDescent="0.3">
      <c r="A3662" s="34">
        <v>34559</v>
      </c>
      <c r="B3662" s="35">
        <v>1</v>
      </c>
      <c r="C3662" s="35">
        <v>0</v>
      </c>
      <c r="D3662" s="2">
        <f t="shared" si="57"/>
        <v>1</v>
      </c>
    </row>
    <row r="3663" spans="1:4" x14ac:dyDescent="0.3">
      <c r="A3663" s="34">
        <v>34564</v>
      </c>
      <c r="B3663" s="35">
        <v>1</v>
      </c>
      <c r="C3663" s="35">
        <v>0</v>
      </c>
      <c r="D3663" s="2">
        <f t="shared" si="57"/>
        <v>1</v>
      </c>
    </row>
    <row r="3664" spans="1:4" x14ac:dyDescent="0.3">
      <c r="A3664" s="34">
        <v>34567</v>
      </c>
      <c r="B3664" s="35">
        <v>1</v>
      </c>
      <c r="C3664" s="35">
        <v>0</v>
      </c>
      <c r="D3664" s="2">
        <f t="shared" si="57"/>
        <v>1</v>
      </c>
    </row>
    <row r="3665" spans="1:4" x14ac:dyDescent="0.3">
      <c r="A3665" s="34">
        <v>34572</v>
      </c>
      <c r="B3665" s="35">
        <v>1</v>
      </c>
      <c r="C3665" s="35">
        <v>0</v>
      </c>
      <c r="D3665" s="2">
        <f t="shared" si="57"/>
        <v>1</v>
      </c>
    </row>
    <row r="3666" spans="1:4" x14ac:dyDescent="0.3">
      <c r="A3666" s="34">
        <v>34575</v>
      </c>
      <c r="B3666" s="35">
        <v>1</v>
      </c>
      <c r="C3666" s="35">
        <v>0</v>
      </c>
      <c r="D3666" s="2">
        <f t="shared" si="57"/>
        <v>1</v>
      </c>
    </row>
    <row r="3667" spans="1:4" x14ac:dyDescent="0.3">
      <c r="A3667" s="34">
        <v>34576</v>
      </c>
      <c r="B3667" s="35">
        <v>1</v>
      </c>
      <c r="C3667" s="35">
        <v>0</v>
      </c>
      <c r="D3667" s="2">
        <f t="shared" si="57"/>
        <v>1</v>
      </c>
    </row>
    <row r="3668" spans="1:4" x14ac:dyDescent="0.3">
      <c r="A3668" s="34">
        <v>34578</v>
      </c>
      <c r="B3668" s="35">
        <v>1</v>
      </c>
      <c r="C3668" s="35">
        <v>0</v>
      </c>
      <c r="D3668" s="2">
        <f t="shared" si="57"/>
        <v>1</v>
      </c>
    </row>
    <row r="3669" spans="1:4" x14ac:dyDescent="0.3">
      <c r="A3669" s="34">
        <v>34583</v>
      </c>
      <c r="B3669" s="35">
        <v>1</v>
      </c>
      <c r="C3669" s="35">
        <v>0</v>
      </c>
      <c r="D3669" s="2">
        <f t="shared" si="57"/>
        <v>1</v>
      </c>
    </row>
    <row r="3670" spans="1:4" x14ac:dyDescent="0.3">
      <c r="A3670" s="34">
        <v>34584</v>
      </c>
      <c r="B3670" s="35">
        <v>1</v>
      </c>
      <c r="C3670" s="35">
        <v>0</v>
      </c>
      <c r="D3670" s="2">
        <f t="shared" si="57"/>
        <v>1</v>
      </c>
    </row>
    <row r="3671" spans="1:4" x14ac:dyDescent="0.3">
      <c r="A3671" s="34">
        <v>34587</v>
      </c>
      <c r="B3671" s="35">
        <v>1</v>
      </c>
      <c r="C3671" s="35">
        <v>0</v>
      </c>
      <c r="D3671" s="2">
        <f t="shared" si="57"/>
        <v>1</v>
      </c>
    </row>
    <row r="3672" spans="1:4" x14ac:dyDescent="0.3">
      <c r="A3672" s="34">
        <v>34588</v>
      </c>
      <c r="B3672" s="35">
        <v>1</v>
      </c>
      <c r="C3672" s="35">
        <v>0</v>
      </c>
      <c r="D3672" s="2">
        <f t="shared" si="57"/>
        <v>1</v>
      </c>
    </row>
    <row r="3673" spans="1:4" x14ac:dyDescent="0.3">
      <c r="A3673" s="34">
        <v>34610</v>
      </c>
      <c r="B3673" s="35">
        <v>1</v>
      </c>
      <c r="C3673" s="35">
        <v>0</v>
      </c>
      <c r="D3673" s="2">
        <f t="shared" si="57"/>
        <v>1</v>
      </c>
    </row>
    <row r="3674" spans="1:4" x14ac:dyDescent="0.3">
      <c r="A3674" s="34">
        <v>34612</v>
      </c>
      <c r="B3674" s="35">
        <v>1</v>
      </c>
      <c r="C3674" s="35">
        <v>0</v>
      </c>
      <c r="D3674" s="2">
        <f t="shared" si="57"/>
        <v>1</v>
      </c>
    </row>
    <row r="3675" spans="1:4" x14ac:dyDescent="0.3">
      <c r="A3675" s="34">
        <v>34613</v>
      </c>
      <c r="B3675" s="35">
        <v>1</v>
      </c>
      <c r="C3675" s="35">
        <v>0</v>
      </c>
      <c r="D3675" s="2">
        <f t="shared" si="57"/>
        <v>1</v>
      </c>
    </row>
    <row r="3676" spans="1:4" x14ac:dyDescent="0.3">
      <c r="A3676" s="34">
        <v>34614</v>
      </c>
      <c r="B3676" s="35">
        <v>1</v>
      </c>
      <c r="C3676" s="35">
        <v>0</v>
      </c>
      <c r="D3676" s="2">
        <f t="shared" si="57"/>
        <v>1</v>
      </c>
    </row>
    <row r="3677" spans="1:4" x14ac:dyDescent="0.3">
      <c r="A3677" s="34">
        <v>34615</v>
      </c>
      <c r="B3677" s="35">
        <v>1</v>
      </c>
      <c r="C3677" s="35">
        <v>0</v>
      </c>
      <c r="D3677" s="2">
        <f t="shared" si="57"/>
        <v>1</v>
      </c>
    </row>
    <row r="3678" spans="1:4" x14ac:dyDescent="0.3">
      <c r="A3678" s="34">
        <v>34616</v>
      </c>
      <c r="B3678" s="35">
        <v>1</v>
      </c>
      <c r="C3678" s="35">
        <v>0</v>
      </c>
      <c r="D3678" s="2">
        <f t="shared" si="57"/>
        <v>1</v>
      </c>
    </row>
    <row r="3679" spans="1:4" x14ac:dyDescent="0.3">
      <c r="A3679" s="34">
        <v>34628</v>
      </c>
      <c r="B3679" s="35">
        <v>2</v>
      </c>
      <c r="C3679" s="35">
        <v>1</v>
      </c>
      <c r="D3679" s="2">
        <f t="shared" si="57"/>
        <v>3</v>
      </c>
    </row>
    <row r="3680" spans="1:4" x14ac:dyDescent="0.3">
      <c r="A3680" s="34">
        <v>34629</v>
      </c>
      <c r="B3680" s="35">
        <v>2</v>
      </c>
      <c r="C3680" s="35">
        <v>1</v>
      </c>
      <c r="D3680" s="2">
        <f t="shared" si="57"/>
        <v>3</v>
      </c>
    </row>
    <row r="3681" spans="1:4" x14ac:dyDescent="0.3">
      <c r="A3681" s="34">
        <v>34630</v>
      </c>
      <c r="B3681" s="35">
        <v>1</v>
      </c>
      <c r="C3681" s="35">
        <v>0</v>
      </c>
      <c r="D3681" s="2">
        <f t="shared" si="57"/>
        <v>1</v>
      </c>
    </row>
    <row r="3682" spans="1:4" x14ac:dyDescent="0.3">
      <c r="A3682" s="34">
        <v>34638</v>
      </c>
      <c r="B3682" s="35">
        <v>1</v>
      </c>
      <c r="C3682" s="35">
        <v>0</v>
      </c>
      <c r="D3682" s="2">
        <f t="shared" si="57"/>
        <v>1</v>
      </c>
    </row>
    <row r="3683" spans="1:4" x14ac:dyDescent="0.3">
      <c r="A3683" s="34">
        <v>34641</v>
      </c>
      <c r="B3683" s="35">
        <v>1</v>
      </c>
      <c r="C3683" s="35">
        <v>0</v>
      </c>
      <c r="D3683" s="2">
        <f t="shared" si="57"/>
        <v>1</v>
      </c>
    </row>
    <row r="3684" spans="1:4" x14ac:dyDescent="0.3">
      <c r="A3684" s="34">
        <v>34642</v>
      </c>
      <c r="B3684" s="35">
        <v>2</v>
      </c>
      <c r="C3684" s="35">
        <v>1</v>
      </c>
      <c r="D3684" s="2">
        <f t="shared" si="57"/>
        <v>3</v>
      </c>
    </row>
    <row r="3685" spans="1:4" x14ac:dyDescent="0.3">
      <c r="A3685" s="34">
        <v>34644</v>
      </c>
      <c r="B3685" s="35">
        <v>1</v>
      </c>
      <c r="C3685" s="35">
        <v>1</v>
      </c>
      <c r="D3685" s="2">
        <f t="shared" si="57"/>
        <v>2</v>
      </c>
    </row>
    <row r="3686" spans="1:4" x14ac:dyDescent="0.3">
      <c r="A3686" s="34">
        <v>34648</v>
      </c>
      <c r="B3686" s="35">
        <v>1</v>
      </c>
      <c r="C3686" s="35">
        <v>0</v>
      </c>
      <c r="D3686" s="2">
        <f t="shared" si="57"/>
        <v>1</v>
      </c>
    </row>
    <row r="3687" spans="1:4" x14ac:dyDescent="0.3">
      <c r="A3687" s="34">
        <v>34673</v>
      </c>
      <c r="B3687" s="35">
        <v>2</v>
      </c>
      <c r="C3687" s="35">
        <v>2</v>
      </c>
      <c r="D3687" s="2">
        <f t="shared" si="57"/>
        <v>4</v>
      </c>
    </row>
    <row r="3688" spans="1:4" x14ac:dyDescent="0.3">
      <c r="A3688" s="34">
        <v>34676</v>
      </c>
      <c r="B3688" s="35">
        <v>2</v>
      </c>
      <c r="C3688" s="35">
        <v>2</v>
      </c>
      <c r="D3688" s="2">
        <f t="shared" si="57"/>
        <v>4</v>
      </c>
    </row>
    <row r="3689" spans="1:4" x14ac:dyDescent="0.3">
      <c r="A3689" s="34">
        <v>34677</v>
      </c>
      <c r="B3689" s="35">
        <v>1</v>
      </c>
      <c r="C3689" s="35">
        <v>0</v>
      </c>
      <c r="D3689" s="2">
        <f t="shared" si="57"/>
        <v>1</v>
      </c>
    </row>
    <row r="3690" spans="1:4" x14ac:dyDescent="0.3">
      <c r="A3690" s="34">
        <v>34684</v>
      </c>
      <c r="B3690" s="35">
        <v>1</v>
      </c>
      <c r="C3690" s="35">
        <v>0</v>
      </c>
      <c r="D3690" s="2">
        <f t="shared" si="57"/>
        <v>1</v>
      </c>
    </row>
    <row r="3691" spans="1:4" x14ac:dyDescent="0.3">
      <c r="A3691" s="34">
        <v>34685</v>
      </c>
      <c r="B3691" s="35">
        <v>1</v>
      </c>
      <c r="C3691" s="35">
        <v>0</v>
      </c>
      <c r="D3691" s="2">
        <f t="shared" si="57"/>
        <v>1</v>
      </c>
    </row>
    <row r="3692" spans="1:4" x14ac:dyDescent="0.3">
      <c r="A3692" s="34">
        <v>34696</v>
      </c>
      <c r="B3692" s="35">
        <v>1</v>
      </c>
      <c r="C3692" s="35">
        <v>1</v>
      </c>
      <c r="D3692" s="2">
        <f t="shared" si="57"/>
        <v>2</v>
      </c>
    </row>
    <row r="3693" spans="1:4" x14ac:dyDescent="0.3">
      <c r="A3693" s="34">
        <v>34705</v>
      </c>
      <c r="B3693" s="35">
        <v>1</v>
      </c>
      <c r="C3693" s="35">
        <v>1</v>
      </c>
      <c r="D3693" s="2">
        <f t="shared" si="57"/>
        <v>2</v>
      </c>
    </row>
    <row r="3694" spans="1:4" x14ac:dyDescent="0.3">
      <c r="A3694" s="34">
        <v>34709</v>
      </c>
      <c r="B3694" s="35">
        <v>1</v>
      </c>
      <c r="C3694" s="35">
        <v>0</v>
      </c>
      <c r="D3694" s="2">
        <f t="shared" si="57"/>
        <v>1</v>
      </c>
    </row>
    <row r="3695" spans="1:4" x14ac:dyDescent="0.3">
      <c r="A3695" s="34">
        <v>34715</v>
      </c>
      <c r="B3695" s="35">
        <v>1</v>
      </c>
      <c r="C3695" s="35">
        <v>0</v>
      </c>
      <c r="D3695" s="2">
        <f t="shared" si="57"/>
        <v>1</v>
      </c>
    </row>
    <row r="3696" spans="1:4" x14ac:dyDescent="0.3">
      <c r="A3696" s="34">
        <v>34718</v>
      </c>
      <c r="B3696" s="35">
        <v>1</v>
      </c>
      <c r="C3696" s="35">
        <v>1</v>
      </c>
      <c r="D3696" s="2">
        <f t="shared" si="57"/>
        <v>2</v>
      </c>
    </row>
    <row r="3697" spans="1:4" x14ac:dyDescent="0.3">
      <c r="A3697" s="34">
        <v>34719</v>
      </c>
      <c r="B3697" s="35">
        <v>1</v>
      </c>
      <c r="C3697" s="35">
        <v>0</v>
      </c>
      <c r="D3697" s="2">
        <f t="shared" si="57"/>
        <v>1</v>
      </c>
    </row>
    <row r="3698" spans="1:4" x14ac:dyDescent="0.3">
      <c r="A3698" s="34">
        <v>34720</v>
      </c>
      <c r="B3698" s="35">
        <v>1</v>
      </c>
      <c r="C3698" s="35">
        <v>0</v>
      </c>
      <c r="D3698" s="2">
        <f t="shared" si="57"/>
        <v>1</v>
      </c>
    </row>
    <row r="3699" spans="1:4" x14ac:dyDescent="0.3">
      <c r="A3699" s="34">
        <v>34721</v>
      </c>
      <c r="B3699" s="35">
        <v>1</v>
      </c>
      <c r="C3699" s="35">
        <v>0</v>
      </c>
      <c r="D3699" s="2">
        <f t="shared" si="57"/>
        <v>1</v>
      </c>
    </row>
    <row r="3700" spans="1:4" x14ac:dyDescent="0.3">
      <c r="A3700" s="34">
        <v>34726</v>
      </c>
      <c r="B3700" s="35">
        <v>1</v>
      </c>
      <c r="C3700" s="35">
        <v>0</v>
      </c>
      <c r="D3700" s="2">
        <f t="shared" si="57"/>
        <v>1</v>
      </c>
    </row>
    <row r="3701" spans="1:4" x14ac:dyDescent="0.3">
      <c r="A3701" s="34">
        <v>34733</v>
      </c>
      <c r="B3701" s="35">
        <v>1</v>
      </c>
      <c r="C3701" s="35">
        <v>0</v>
      </c>
      <c r="D3701" s="2">
        <f t="shared" si="57"/>
        <v>1</v>
      </c>
    </row>
    <row r="3702" spans="1:4" x14ac:dyDescent="0.3">
      <c r="A3702" s="34">
        <v>34734</v>
      </c>
      <c r="B3702" s="35">
        <v>1</v>
      </c>
      <c r="C3702" s="35">
        <v>1</v>
      </c>
      <c r="D3702" s="2">
        <f t="shared" si="57"/>
        <v>2</v>
      </c>
    </row>
    <row r="3703" spans="1:4" x14ac:dyDescent="0.3">
      <c r="A3703" s="34">
        <v>34736</v>
      </c>
      <c r="B3703" s="35">
        <v>1</v>
      </c>
      <c r="C3703" s="35">
        <v>0</v>
      </c>
      <c r="D3703" s="2">
        <f t="shared" si="57"/>
        <v>1</v>
      </c>
    </row>
    <row r="3704" spans="1:4" x14ac:dyDescent="0.3">
      <c r="A3704" s="34">
        <v>34738</v>
      </c>
      <c r="B3704" s="35">
        <v>1</v>
      </c>
      <c r="C3704" s="35">
        <v>0</v>
      </c>
      <c r="D3704" s="2">
        <f t="shared" si="57"/>
        <v>1</v>
      </c>
    </row>
    <row r="3705" spans="1:4" x14ac:dyDescent="0.3">
      <c r="A3705" s="34">
        <v>34741</v>
      </c>
      <c r="B3705" s="35">
        <v>1</v>
      </c>
      <c r="C3705" s="35">
        <v>1</v>
      </c>
      <c r="D3705" s="2">
        <f t="shared" si="57"/>
        <v>2</v>
      </c>
    </row>
    <row r="3706" spans="1:4" x14ac:dyDescent="0.3">
      <c r="A3706" s="34">
        <v>34743</v>
      </c>
      <c r="B3706" s="35">
        <v>1</v>
      </c>
      <c r="C3706" s="35">
        <v>0</v>
      </c>
      <c r="D3706" s="2">
        <f t="shared" si="57"/>
        <v>1</v>
      </c>
    </row>
    <row r="3707" spans="1:4" x14ac:dyDescent="0.3">
      <c r="A3707" s="34">
        <v>34749</v>
      </c>
      <c r="B3707" s="35">
        <v>1</v>
      </c>
      <c r="C3707" s="35">
        <v>0</v>
      </c>
      <c r="D3707" s="2">
        <f t="shared" si="57"/>
        <v>1</v>
      </c>
    </row>
    <row r="3708" spans="1:4" x14ac:dyDescent="0.3">
      <c r="A3708" s="34">
        <v>34753</v>
      </c>
      <c r="B3708" s="35">
        <v>1</v>
      </c>
      <c r="C3708" s="35">
        <v>0</v>
      </c>
      <c r="D3708" s="2">
        <f t="shared" si="57"/>
        <v>1</v>
      </c>
    </row>
    <row r="3709" spans="1:4" x14ac:dyDescent="0.3">
      <c r="A3709" s="34">
        <v>34754</v>
      </c>
      <c r="B3709" s="35">
        <v>1</v>
      </c>
      <c r="C3709" s="35">
        <v>0</v>
      </c>
      <c r="D3709" s="2">
        <f t="shared" si="57"/>
        <v>1</v>
      </c>
    </row>
    <row r="3710" spans="1:4" x14ac:dyDescent="0.3">
      <c r="A3710" s="34">
        <v>34762</v>
      </c>
      <c r="B3710" s="35">
        <v>1</v>
      </c>
      <c r="C3710" s="35">
        <v>0</v>
      </c>
      <c r="D3710" s="2">
        <f t="shared" si="57"/>
        <v>1</v>
      </c>
    </row>
    <row r="3711" spans="1:4" x14ac:dyDescent="0.3">
      <c r="A3711" s="34">
        <v>34763</v>
      </c>
      <c r="B3711" s="35">
        <v>1</v>
      </c>
      <c r="C3711" s="35">
        <v>0</v>
      </c>
      <c r="D3711" s="2">
        <f t="shared" si="57"/>
        <v>1</v>
      </c>
    </row>
    <row r="3712" spans="1:4" x14ac:dyDescent="0.3">
      <c r="A3712" s="34">
        <v>34764</v>
      </c>
      <c r="B3712" s="35">
        <v>1</v>
      </c>
      <c r="C3712" s="35">
        <v>0</v>
      </c>
      <c r="D3712" s="2">
        <f t="shared" si="57"/>
        <v>1</v>
      </c>
    </row>
    <row r="3713" spans="1:4" x14ac:dyDescent="0.3">
      <c r="A3713" s="34">
        <v>34765</v>
      </c>
      <c r="B3713" s="35">
        <v>1</v>
      </c>
      <c r="C3713" s="35">
        <v>0</v>
      </c>
      <c r="D3713" s="2">
        <f t="shared" si="57"/>
        <v>1</v>
      </c>
    </row>
    <row r="3714" spans="1:4" x14ac:dyDescent="0.3">
      <c r="A3714" s="34">
        <v>34767</v>
      </c>
      <c r="B3714" s="35">
        <v>1</v>
      </c>
      <c r="C3714" s="35">
        <v>0</v>
      </c>
      <c r="D3714" s="2">
        <f t="shared" si="57"/>
        <v>1</v>
      </c>
    </row>
    <row r="3715" spans="1:4" x14ac:dyDescent="0.3">
      <c r="A3715" s="34">
        <v>34769</v>
      </c>
      <c r="B3715" s="35">
        <v>1</v>
      </c>
      <c r="C3715" s="35">
        <v>1</v>
      </c>
      <c r="D3715" s="2">
        <f t="shared" ref="D3715:D3778" si="58">B3715+C3715</f>
        <v>2</v>
      </c>
    </row>
    <row r="3716" spans="1:4" x14ac:dyDescent="0.3">
      <c r="A3716" s="34">
        <v>34770</v>
      </c>
      <c r="B3716" s="35">
        <v>1</v>
      </c>
      <c r="C3716" s="35">
        <v>0</v>
      </c>
      <c r="D3716" s="2">
        <f t="shared" si="58"/>
        <v>1</v>
      </c>
    </row>
    <row r="3717" spans="1:4" x14ac:dyDescent="0.3">
      <c r="A3717" s="34">
        <v>34773</v>
      </c>
      <c r="B3717" s="35">
        <v>1</v>
      </c>
      <c r="C3717" s="35">
        <v>0</v>
      </c>
      <c r="D3717" s="2">
        <f t="shared" si="58"/>
        <v>1</v>
      </c>
    </row>
    <row r="3718" spans="1:4" x14ac:dyDescent="0.3">
      <c r="A3718" s="34">
        <v>34777</v>
      </c>
      <c r="B3718" s="35">
        <v>1</v>
      </c>
      <c r="C3718" s="35">
        <v>0</v>
      </c>
      <c r="D3718" s="2">
        <f t="shared" si="58"/>
        <v>1</v>
      </c>
    </row>
    <row r="3719" spans="1:4" x14ac:dyDescent="0.3">
      <c r="A3719" s="34">
        <v>34783</v>
      </c>
      <c r="B3719" s="35">
        <v>1</v>
      </c>
      <c r="C3719" s="35">
        <v>0</v>
      </c>
      <c r="D3719" s="2">
        <f t="shared" si="58"/>
        <v>1</v>
      </c>
    </row>
    <row r="3720" spans="1:4" x14ac:dyDescent="0.3">
      <c r="A3720" s="34">
        <v>34786</v>
      </c>
      <c r="B3720" s="35">
        <v>1</v>
      </c>
      <c r="C3720" s="35">
        <v>0</v>
      </c>
      <c r="D3720" s="2">
        <f t="shared" si="58"/>
        <v>1</v>
      </c>
    </row>
    <row r="3721" spans="1:4" x14ac:dyDescent="0.3">
      <c r="A3721" s="34">
        <v>34787</v>
      </c>
      <c r="B3721" s="35">
        <v>1</v>
      </c>
      <c r="C3721" s="35">
        <v>0</v>
      </c>
      <c r="D3721" s="2">
        <f t="shared" si="58"/>
        <v>1</v>
      </c>
    </row>
    <row r="3722" spans="1:4" x14ac:dyDescent="0.3">
      <c r="A3722" s="34">
        <v>34790</v>
      </c>
      <c r="B3722" s="35">
        <v>1</v>
      </c>
      <c r="C3722" s="35">
        <v>1</v>
      </c>
      <c r="D3722" s="2">
        <f t="shared" si="58"/>
        <v>2</v>
      </c>
    </row>
    <row r="3723" spans="1:4" x14ac:dyDescent="0.3">
      <c r="A3723" s="34">
        <v>34792</v>
      </c>
      <c r="B3723" s="35">
        <v>1</v>
      </c>
      <c r="C3723" s="35">
        <v>1</v>
      </c>
      <c r="D3723" s="2">
        <f t="shared" si="58"/>
        <v>2</v>
      </c>
    </row>
    <row r="3724" spans="1:4" x14ac:dyDescent="0.3">
      <c r="A3724" s="34">
        <v>34794</v>
      </c>
      <c r="B3724" s="35">
        <v>1</v>
      </c>
      <c r="C3724" s="35">
        <v>1</v>
      </c>
      <c r="D3724" s="2">
        <f t="shared" si="58"/>
        <v>2</v>
      </c>
    </row>
    <row r="3725" spans="1:4" x14ac:dyDescent="0.3">
      <c r="A3725" s="34">
        <v>34795</v>
      </c>
      <c r="B3725" s="35">
        <v>1</v>
      </c>
      <c r="C3725" s="35">
        <v>0</v>
      </c>
      <c r="D3725" s="2">
        <f t="shared" si="58"/>
        <v>1</v>
      </c>
    </row>
    <row r="3726" spans="1:4" x14ac:dyDescent="0.3">
      <c r="A3726" s="34">
        <v>34796</v>
      </c>
      <c r="B3726" s="35">
        <v>3</v>
      </c>
      <c r="C3726" s="35">
        <v>2</v>
      </c>
      <c r="D3726" s="2">
        <f t="shared" si="58"/>
        <v>5</v>
      </c>
    </row>
    <row r="3727" spans="1:4" x14ac:dyDescent="0.3">
      <c r="A3727" s="34">
        <v>34797</v>
      </c>
      <c r="B3727" s="35">
        <v>1</v>
      </c>
      <c r="C3727" s="35">
        <v>0</v>
      </c>
      <c r="D3727" s="2">
        <f t="shared" si="58"/>
        <v>1</v>
      </c>
    </row>
    <row r="3728" spans="1:4" x14ac:dyDescent="0.3">
      <c r="A3728" s="34">
        <v>34798</v>
      </c>
      <c r="B3728" s="35">
        <v>1</v>
      </c>
      <c r="C3728" s="35">
        <v>0</v>
      </c>
      <c r="D3728" s="2">
        <f t="shared" si="58"/>
        <v>1</v>
      </c>
    </row>
    <row r="3729" spans="1:4" x14ac:dyDescent="0.3">
      <c r="A3729" s="34">
        <v>34808</v>
      </c>
      <c r="B3729" s="35">
        <v>1</v>
      </c>
      <c r="C3729" s="35">
        <v>0</v>
      </c>
      <c r="D3729" s="2">
        <f t="shared" si="58"/>
        <v>1</v>
      </c>
    </row>
    <row r="3730" spans="1:4" x14ac:dyDescent="0.3">
      <c r="A3730" s="34">
        <v>34820</v>
      </c>
      <c r="B3730" s="35">
        <v>1</v>
      </c>
      <c r="C3730" s="35">
        <v>0</v>
      </c>
      <c r="D3730" s="2">
        <f t="shared" si="58"/>
        <v>1</v>
      </c>
    </row>
    <row r="3731" spans="1:4" x14ac:dyDescent="0.3">
      <c r="A3731" s="34">
        <v>34821</v>
      </c>
      <c r="B3731" s="35">
        <v>1</v>
      </c>
      <c r="C3731" s="35">
        <v>1</v>
      </c>
      <c r="D3731" s="2">
        <f t="shared" si="58"/>
        <v>2</v>
      </c>
    </row>
    <row r="3732" spans="1:4" x14ac:dyDescent="0.3">
      <c r="A3732" s="34">
        <v>34822</v>
      </c>
      <c r="B3732" s="35">
        <v>1</v>
      </c>
      <c r="C3732" s="35">
        <v>0</v>
      </c>
      <c r="D3732" s="2">
        <f t="shared" si="58"/>
        <v>1</v>
      </c>
    </row>
    <row r="3733" spans="1:4" x14ac:dyDescent="0.3">
      <c r="A3733" s="34">
        <v>34827</v>
      </c>
      <c r="B3733" s="35">
        <v>1</v>
      </c>
      <c r="C3733" s="35">
        <v>0</v>
      </c>
      <c r="D3733" s="2">
        <f t="shared" si="58"/>
        <v>1</v>
      </c>
    </row>
    <row r="3734" spans="1:4" x14ac:dyDescent="0.3">
      <c r="A3734" s="34">
        <v>34829</v>
      </c>
      <c r="B3734" s="35">
        <v>1</v>
      </c>
      <c r="C3734" s="35">
        <v>0</v>
      </c>
      <c r="D3734" s="2">
        <f t="shared" si="58"/>
        <v>1</v>
      </c>
    </row>
    <row r="3735" spans="1:4" x14ac:dyDescent="0.3">
      <c r="A3735" s="34">
        <v>34830</v>
      </c>
      <c r="B3735" s="35">
        <v>1</v>
      </c>
      <c r="C3735" s="35">
        <v>1</v>
      </c>
      <c r="D3735" s="2">
        <f t="shared" si="58"/>
        <v>2</v>
      </c>
    </row>
    <row r="3736" spans="1:4" x14ac:dyDescent="0.3">
      <c r="A3736" s="34">
        <v>34840</v>
      </c>
      <c r="B3736" s="35">
        <v>1</v>
      </c>
      <c r="C3736" s="35">
        <v>1</v>
      </c>
      <c r="D3736" s="2">
        <f t="shared" si="58"/>
        <v>2</v>
      </c>
    </row>
    <row r="3737" spans="1:4" x14ac:dyDescent="0.3">
      <c r="A3737" s="34">
        <v>34842</v>
      </c>
      <c r="B3737" s="35">
        <v>1</v>
      </c>
      <c r="C3737" s="35">
        <v>0</v>
      </c>
      <c r="D3737" s="2">
        <f t="shared" si="58"/>
        <v>1</v>
      </c>
    </row>
    <row r="3738" spans="1:4" x14ac:dyDescent="0.3">
      <c r="A3738" s="34">
        <v>34846</v>
      </c>
      <c r="B3738" s="35">
        <v>2</v>
      </c>
      <c r="C3738" s="35">
        <v>0</v>
      </c>
      <c r="D3738" s="2">
        <f t="shared" si="58"/>
        <v>2</v>
      </c>
    </row>
    <row r="3739" spans="1:4" x14ac:dyDescent="0.3">
      <c r="A3739" s="34">
        <v>34847</v>
      </c>
      <c r="B3739" s="35">
        <v>1</v>
      </c>
      <c r="C3739" s="35">
        <v>0</v>
      </c>
      <c r="D3739" s="2">
        <f t="shared" si="58"/>
        <v>1</v>
      </c>
    </row>
    <row r="3740" spans="1:4" x14ac:dyDescent="0.3">
      <c r="A3740" s="34">
        <v>34854</v>
      </c>
      <c r="B3740" s="35">
        <v>1</v>
      </c>
      <c r="C3740" s="35">
        <v>0</v>
      </c>
      <c r="D3740" s="2">
        <f t="shared" si="58"/>
        <v>1</v>
      </c>
    </row>
    <row r="3741" spans="1:4" x14ac:dyDescent="0.3">
      <c r="A3741" s="34">
        <v>34855</v>
      </c>
      <c r="B3741" s="35">
        <v>1</v>
      </c>
      <c r="C3741" s="35">
        <v>0</v>
      </c>
      <c r="D3741" s="2">
        <f t="shared" si="58"/>
        <v>1</v>
      </c>
    </row>
    <row r="3742" spans="1:4" x14ac:dyDescent="0.3">
      <c r="A3742" s="34">
        <v>34856</v>
      </c>
      <c r="B3742" s="35">
        <v>1</v>
      </c>
      <c r="C3742" s="35">
        <v>0</v>
      </c>
      <c r="D3742" s="2">
        <f t="shared" si="58"/>
        <v>1</v>
      </c>
    </row>
    <row r="3743" spans="1:4" x14ac:dyDescent="0.3">
      <c r="A3743" s="34">
        <v>34857</v>
      </c>
      <c r="B3743" s="35">
        <v>1</v>
      </c>
      <c r="C3743" s="35">
        <v>0</v>
      </c>
      <c r="D3743" s="2">
        <f t="shared" si="58"/>
        <v>1</v>
      </c>
    </row>
    <row r="3744" spans="1:4" x14ac:dyDescent="0.3">
      <c r="A3744" s="34">
        <v>34858</v>
      </c>
      <c r="B3744" s="35">
        <v>1</v>
      </c>
      <c r="C3744" s="35">
        <v>0</v>
      </c>
      <c r="D3744" s="2">
        <f t="shared" si="58"/>
        <v>1</v>
      </c>
    </row>
    <row r="3745" spans="1:4" x14ac:dyDescent="0.3">
      <c r="A3745" s="34">
        <v>34861</v>
      </c>
      <c r="B3745" s="35">
        <v>1</v>
      </c>
      <c r="C3745" s="35">
        <v>0</v>
      </c>
      <c r="D3745" s="2">
        <f t="shared" si="58"/>
        <v>1</v>
      </c>
    </row>
    <row r="3746" spans="1:4" x14ac:dyDescent="0.3">
      <c r="A3746" s="34">
        <v>34862</v>
      </c>
      <c r="B3746" s="35">
        <v>1</v>
      </c>
      <c r="C3746" s="35">
        <v>1</v>
      </c>
      <c r="D3746" s="2">
        <f t="shared" si="58"/>
        <v>2</v>
      </c>
    </row>
    <row r="3747" spans="1:4" x14ac:dyDescent="0.3">
      <c r="A3747" s="34">
        <v>34863</v>
      </c>
      <c r="B3747" s="35">
        <v>1</v>
      </c>
      <c r="C3747" s="35">
        <v>1</v>
      </c>
      <c r="D3747" s="2">
        <f t="shared" si="58"/>
        <v>2</v>
      </c>
    </row>
    <row r="3748" spans="1:4" x14ac:dyDescent="0.3">
      <c r="A3748" s="34">
        <v>34867</v>
      </c>
      <c r="B3748" s="35">
        <v>1</v>
      </c>
      <c r="C3748" s="35">
        <v>1</v>
      </c>
      <c r="D3748" s="2">
        <f t="shared" si="58"/>
        <v>2</v>
      </c>
    </row>
    <row r="3749" spans="1:4" x14ac:dyDescent="0.3">
      <c r="A3749" s="34">
        <v>34913</v>
      </c>
      <c r="B3749" s="35">
        <v>2</v>
      </c>
      <c r="C3749" s="35">
        <v>0</v>
      </c>
      <c r="D3749" s="2">
        <f t="shared" si="58"/>
        <v>2</v>
      </c>
    </row>
    <row r="3750" spans="1:4" x14ac:dyDescent="0.3">
      <c r="A3750" s="34">
        <v>34917</v>
      </c>
      <c r="B3750" s="35">
        <v>1</v>
      </c>
      <c r="C3750" s="35">
        <v>0</v>
      </c>
      <c r="D3750" s="2">
        <f t="shared" si="58"/>
        <v>1</v>
      </c>
    </row>
    <row r="3751" spans="1:4" x14ac:dyDescent="0.3">
      <c r="A3751" s="34">
        <v>34922</v>
      </c>
      <c r="B3751" s="35">
        <v>1</v>
      </c>
      <c r="C3751" s="35">
        <v>0</v>
      </c>
      <c r="D3751" s="2">
        <f t="shared" si="58"/>
        <v>1</v>
      </c>
    </row>
    <row r="3752" spans="1:4" x14ac:dyDescent="0.3">
      <c r="A3752" s="34">
        <v>34923</v>
      </c>
      <c r="B3752" s="35">
        <v>1</v>
      </c>
      <c r="C3752" s="35">
        <v>0</v>
      </c>
      <c r="D3752" s="2">
        <f t="shared" si="58"/>
        <v>1</v>
      </c>
    </row>
    <row r="3753" spans="1:4" x14ac:dyDescent="0.3">
      <c r="A3753" s="34">
        <v>34924</v>
      </c>
      <c r="B3753" s="35">
        <v>1</v>
      </c>
      <c r="C3753" s="35">
        <v>0</v>
      </c>
      <c r="D3753" s="2">
        <f t="shared" si="58"/>
        <v>1</v>
      </c>
    </row>
    <row r="3754" spans="1:4" x14ac:dyDescent="0.3">
      <c r="A3754" s="34">
        <v>34926</v>
      </c>
      <c r="B3754" s="35">
        <v>1</v>
      </c>
      <c r="C3754" s="35">
        <v>0</v>
      </c>
      <c r="D3754" s="2">
        <f t="shared" si="58"/>
        <v>1</v>
      </c>
    </row>
    <row r="3755" spans="1:4" x14ac:dyDescent="0.3">
      <c r="A3755" s="34">
        <v>34927</v>
      </c>
      <c r="B3755" s="35">
        <v>1</v>
      </c>
      <c r="C3755" s="35">
        <v>0</v>
      </c>
      <c r="D3755" s="2">
        <f t="shared" si="58"/>
        <v>1</v>
      </c>
    </row>
    <row r="3756" spans="1:4" x14ac:dyDescent="0.3">
      <c r="A3756" s="34">
        <v>34938</v>
      </c>
      <c r="B3756" s="35">
        <v>2</v>
      </c>
      <c r="C3756" s="35">
        <v>0</v>
      </c>
      <c r="D3756" s="2">
        <f t="shared" si="58"/>
        <v>2</v>
      </c>
    </row>
    <row r="3757" spans="1:4" x14ac:dyDescent="0.3">
      <c r="A3757" s="34">
        <v>34941</v>
      </c>
      <c r="B3757" s="35">
        <v>1</v>
      </c>
      <c r="C3757" s="35">
        <v>0</v>
      </c>
      <c r="D3757" s="2">
        <f t="shared" si="58"/>
        <v>1</v>
      </c>
    </row>
    <row r="3758" spans="1:4" x14ac:dyDescent="0.3">
      <c r="A3758" s="34">
        <v>34944</v>
      </c>
      <c r="B3758" s="35">
        <v>1</v>
      </c>
      <c r="C3758" s="35">
        <v>0</v>
      </c>
      <c r="D3758" s="2">
        <f t="shared" si="58"/>
        <v>1</v>
      </c>
    </row>
    <row r="3759" spans="1:4" x14ac:dyDescent="0.3">
      <c r="A3759" s="34">
        <v>34945</v>
      </c>
      <c r="B3759" s="35">
        <v>1</v>
      </c>
      <c r="C3759" s="35">
        <v>0</v>
      </c>
      <c r="D3759" s="2">
        <f t="shared" si="58"/>
        <v>1</v>
      </c>
    </row>
    <row r="3760" spans="1:4" x14ac:dyDescent="0.3">
      <c r="A3760" s="34">
        <v>34949</v>
      </c>
      <c r="B3760" s="35">
        <v>1</v>
      </c>
      <c r="C3760" s="35">
        <v>0</v>
      </c>
      <c r="D3760" s="2">
        <f t="shared" si="58"/>
        <v>1</v>
      </c>
    </row>
    <row r="3761" spans="1:4" x14ac:dyDescent="0.3">
      <c r="A3761" s="34">
        <v>34951</v>
      </c>
      <c r="B3761" s="35">
        <v>1</v>
      </c>
      <c r="C3761" s="35">
        <v>0</v>
      </c>
      <c r="D3761" s="2">
        <f t="shared" si="58"/>
        <v>1</v>
      </c>
    </row>
    <row r="3762" spans="1:4" x14ac:dyDescent="0.3">
      <c r="A3762" s="34">
        <v>34952</v>
      </c>
      <c r="B3762" s="35">
        <v>1</v>
      </c>
      <c r="C3762" s="35">
        <v>0</v>
      </c>
      <c r="D3762" s="2">
        <f t="shared" si="58"/>
        <v>1</v>
      </c>
    </row>
    <row r="3763" spans="1:4" x14ac:dyDescent="0.3">
      <c r="A3763" s="34">
        <v>34953</v>
      </c>
      <c r="B3763" s="35">
        <v>1</v>
      </c>
      <c r="C3763" s="35">
        <v>0</v>
      </c>
      <c r="D3763" s="2">
        <f t="shared" si="58"/>
        <v>1</v>
      </c>
    </row>
    <row r="3764" spans="1:4" x14ac:dyDescent="0.3">
      <c r="A3764" s="34">
        <v>34964</v>
      </c>
      <c r="B3764" s="35">
        <v>1</v>
      </c>
      <c r="C3764" s="35">
        <v>0</v>
      </c>
      <c r="D3764" s="2">
        <f t="shared" si="58"/>
        <v>1</v>
      </c>
    </row>
    <row r="3765" spans="1:4" x14ac:dyDescent="0.3">
      <c r="A3765" s="34">
        <v>34965</v>
      </c>
      <c r="B3765" s="35">
        <v>1</v>
      </c>
      <c r="C3765" s="35">
        <v>0</v>
      </c>
      <c r="D3765" s="2">
        <f t="shared" si="58"/>
        <v>1</v>
      </c>
    </row>
    <row r="3766" spans="1:4" x14ac:dyDescent="0.3">
      <c r="A3766" s="34">
        <v>34971</v>
      </c>
      <c r="B3766" s="35">
        <v>1</v>
      </c>
      <c r="C3766" s="35">
        <v>0</v>
      </c>
      <c r="D3766" s="2">
        <f t="shared" si="58"/>
        <v>1</v>
      </c>
    </row>
    <row r="3767" spans="1:4" x14ac:dyDescent="0.3">
      <c r="A3767" s="34">
        <v>34999</v>
      </c>
      <c r="B3767" s="35">
        <v>1</v>
      </c>
      <c r="C3767" s="35">
        <v>0</v>
      </c>
      <c r="D3767" s="2">
        <f t="shared" si="58"/>
        <v>1</v>
      </c>
    </row>
    <row r="3768" spans="1:4" x14ac:dyDescent="0.3">
      <c r="A3768" s="34">
        <v>35002</v>
      </c>
      <c r="B3768" s="35">
        <v>1</v>
      </c>
      <c r="C3768" s="35">
        <v>0</v>
      </c>
      <c r="D3768" s="2">
        <f t="shared" si="58"/>
        <v>1</v>
      </c>
    </row>
    <row r="3769" spans="1:4" x14ac:dyDescent="0.3">
      <c r="A3769" s="34">
        <v>35008</v>
      </c>
      <c r="B3769" s="35">
        <v>1</v>
      </c>
      <c r="C3769" s="35">
        <v>0</v>
      </c>
      <c r="D3769" s="2">
        <f t="shared" si="58"/>
        <v>1</v>
      </c>
    </row>
    <row r="3770" spans="1:4" x14ac:dyDescent="0.3">
      <c r="A3770" s="34">
        <v>35009</v>
      </c>
      <c r="B3770" s="35">
        <v>1</v>
      </c>
      <c r="C3770" s="35">
        <v>0</v>
      </c>
      <c r="D3770" s="2">
        <f t="shared" si="58"/>
        <v>1</v>
      </c>
    </row>
    <row r="3771" spans="1:4" x14ac:dyDescent="0.3">
      <c r="A3771" s="34">
        <v>35017</v>
      </c>
      <c r="B3771" s="35">
        <v>1</v>
      </c>
      <c r="C3771" s="35">
        <v>1</v>
      </c>
      <c r="D3771" s="2">
        <f t="shared" si="58"/>
        <v>2</v>
      </c>
    </row>
    <row r="3772" spans="1:4" x14ac:dyDescent="0.3">
      <c r="A3772" s="34">
        <v>35020</v>
      </c>
      <c r="B3772" s="35">
        <v>1</v>
      </c>
      <c r="C3772" s="35">
        <v>0</v>
      </c>
      <c r="D3772" s="2">
        <f t="shared" si="58"/>
        <v>1</v>
      </c>
    </row>
    <row r="3773" spans="1:4" x14ac:dyDescent="0.3">
      <c r="A3773" s="34">
        <v>35024</v>
      </c>
      <c r="B3773" s="35">
        <v>1</v>
      </c>
      <c r="C3773" s="35">
        <v>0</v>
      </c>
      <c r="D3773" s="2">
        <f t="shared" si="58"/>
        <v>1</v>
      </c>
    </row>
    <row r="3774" spans="1:4" x14ac:dyDescent="0.3">
      <c r="A3774" s="34">
        <v>35026</v>
      </c>
      <c r="B3774" s="35">
        <v>1</v>
      </c>
      <c r="C3774" s="35">
        <v>0</v>
      </c>
      <c r="D3774" s="2">
        <f t="shared" si="58"/>
        <v>1</v>
      </c>
    </row>
    <row r="3775" spans="1:4" x14ac:dyDescent="0.3">
      <c r="A3775" s="34">
        <v>35027</v>
      </c>
      <c r="B3775" s="35">
        <v>1</v>
      </c>
      <c r="C3775" s="35">
        <v>0</v>
      </c>
      <c r="D3775" s="2">
        <f t="shared" si="58"/>
        <v>1</v>
      </c>
    </row>
    <row r="3776" spans="1:4" x14ac:dyDescent="0.3">
      <c r="A3776" s="34">
        <v>35028</v>
      </c>
      <c r="B3776" s="35">
        <v>1</v>
      </c>
      <c r="C3776" s="35">
        <v>0</v>
      </c>
      <c r="D3776" s="2">
        <f t="shared" si="58"/>
        <v>1</v>
      </c>
    </row>
    <row r="3777" spans="1:4" x14ac:dyDescent="0.3">
      <c r="A3777" s="34">
        <v>35033</v>
      </c>
      <c r="B3777" s="35">
        <v>2</v>
      </c>
      <c r="C3777" s="35">
        <v>1</v>
      </c>
      <c r="D3777" s="2">
        <f t="shared" si="58"/>
        <v>3</v>
      </c>
    </row>
    <row r="3778" spans="1:4" x14ac:dyDescent="0.3">
      <c r="A3778" s="34">
        <v>35042</v>
      </c>
      <c r="B3778" s="35">
        <v>1</v>
      </c>
      <c r="C3778" s="35">
        <v>1</v>
      </c>
      <c r="D3778" s="2">
        <f t="shared" si="58"/>
        <v>2</v>
      </c>
    </row>
    <row r="3779" spans="1:4" x14ac:dyDescent="0.3">
      <c r="A3779" s="34">
        <v>35043</v>
      </c>
      <c r="B3779" s="35">
        <v>1</v>
      </c>
      <c r="C3779" s="35">
        <v>0</v>
      </c>
      <c r="D3779" s="2">
        <f t="shared" ref="D3779:D3842" si="59">B3779+C3779</f>
        <v>1</v>
      </c>
    </row>
    <row r="3780" spans="1:4" x14ac:dyDescent="0.3">
      <c r="A3780" s="34">
        <v>35044</v>
      </c>
      <c r="B3780" s="35">
        <v>1</v>
      </c>
      <c r="C3780" s="35">
        <v>0</v>
      </c>
      <c r="D3780" s="2">
        <f t="shared" si="59"/>
        <v>1</v>
      </c>
    </row>
    <row r="3781" spans="1:4" x14ac:dyDescent="0.3">
      <c r="A3781" s="34">
        <v>35045</v>
      </c>
      <c r="B3781" s="35">
        <v>1</v>
      </c>
      <c r="C3781" s="35">
        <v>0</v>
      </c>
      <c r="D3781" s="2">
        <f t="shared" si="59"/>
        <v>1</v>
      </c>
    </row>
    <row r="3782" spans="1:4" x14ac:dyDescent="0.3">
      <c r="A3782" s="34">
        <v>35051</v>
      </c>
      <c r="B3782" s="35">
        <v>1</v>
      </c>
      <c r="C3782" s="35">
        <v>0</v>
      </c>
      <c r="D3782" s="2">
        <f t="shared" si="59"/>
        <v>1</v>
      </c>
    </row>
    <row r="3783" spans="1:4" x14ac:dyDescent="0.3">
      <c r="A3783" s="34">
        <v>35053</v>
      </c>
      <c r="B3783" s="35">
        <v>1</v>
      </c>
      <c r="C3783" s="35">
        <v>0</v>
      </c>
      <c r="D3783" s="2">
        <f t="shared" si="59"/>
        <v>1</v>
      </c>
    </row>
    <row r="3784" spans="1:4" x14ac:dyDescent="0.3">
      <c r="A3784" s="34">
        <v>35055</v>
      </c>
      <c r="B3784" s="35">
        <v>1</v>
      </c>
      <c r="C3784" s="35">
        <v>0</v>
      </c>
      <c r="D3784" s="2">
        <f t="shared" si="59"/>
        <v>1</v>
      </c>
    </row>
    <row r="3785" spans="1:4" x14ac:dyDescent="0.3">
      <c r="A3785" s="34">
        <v>35066</v>
      </c>
      <c r="B3785" s="35">
        <v>2</v>
      </c>
      <c r="C3785" s="35">
        <v>1</v>
      </c>
      <c r="D3785" s="2">
        <f t="shared" si="59"/>
        <v>3</v>
      </c>
    </row>
    <row r="3786" spans="1:4" x14ac:dyDescent="0.3">
      <c r="A3786" s="34">
        <v>35070</v>
      </c>
      <c r="B3786" s="35">
        <v>1</v>
      </c>
      <c r="C3786" s="35">
        <v>0</v>
      </c>
      <c r="D3786" s="2">
        <f t="shared" si="59"/>
        <v>1</v>
      </c>
    </row>
    <row r="3787" spans="1:4" x14ac:dyDescent="0.3">
      <c r="A3787" s="34">
        <v>35073</v>
      </c>
      <c r="B3787" s="35">
        <v>1</v>
      </c>
      <c r="C3787" s="35">
        <v>0</v>
      </c>
      <c r="D3787" s="2">
        <f t="shared" si="59"/>
        <v>1</v>
      </c>
    </row>
    <row r="3788" spans="1:4" x14ac:dyDescent="0.3">
      <c r="A3788" s="34">
        <v>35074</v>
      </c>
      <c r="B3788" s="35">
        <v>1</v>
      </c>
      <c r="C3788" s="35">
        <v>0</v>
      </c>
      <c r="D3788" s="2">
        <f t="shared" si="59"/>
        <v>1</v>
      </c>
    </row>
    <row r="3789" spans="1:4" x14ac:dyDescent="0.3">
      <c r="A3789" s="34">
        <v>35082</v>
      </c>
      <c r="B3789" s="35">
        <v>1</v>
      </c>
      <c r="C3789" s="35">
        <v>1</v>
      </c>
      <c r="D3789" s="2">
        <f t="shared" si="59"/>
        <v>2</v>
      </c>
    </row>
    <row r="3790" spans="1:4" x14ac:dyDescent="0.3">
      <c r="A3790" s="34">
        <v>35096</v>
      </c>
      <c r="B3790" s="35">
        <v>1</v>
      </c>
      <c r="C3790" s="35">
        <v>1</v>
      </c>
      <c r="D3790" s="2">
        <f t="shared" si="59"/>
        <v>2</v>
      </c>
    </row>
    <row r="3791" spans="1:4" x14ac:dyDescent="0.3">
      <c r="A3791" s="34">
        <v>35099</v>
      </c>
      <c r="B3791" s="35">
        <v>1</v>
      </c>
      <c r="C3791" s="35">
        <v>1</v>
      </c>
      <c r="D3791" s="2">
        <f t="shared" si="59"/>
        <v>2</v>
      </c>
    </row>
    <row r="3792" spans="1:4" x14ac:dyDescent="0.3">
      <c r="A3792" s="34">
        <v>35107</v>
      </c>
      <c r="B3792" s="35">
        <v>1</v>
      </c>
      <c r="C3792" s="35">
        <v>1</v>
      </c>
      <c r="D3792" s="2">
        <f t="shared" si="59"/>
        <v>2</v>
      </c>
    </row>
    <row r="3793" spans="1:4" x14ac:dyDescent="0.3">
      <c r="A3793" s="34">
        <v>35108</v>
      </c>
      <c r="B3793" s="35">
        <v>1</v>
      </c>
      <c r="C3793" s="35">
        <v>0</v>
      </c>
      <c r="D3793" s="2">
        <f t="shared" si="59"/>
        <v>1</v>
      </c>
    </row>
    <row r="3794" spans="1:4" x14ac:dyDescent="0.3">
      <c r="A3794" s="34">
        <v>35110</v>
      </c>
      <c r="B3794" s="35">
        <v>1</v>
      </c>
      <c r="C3794" s="35">
        <v>0</v>
      </c>
      <c r="D3794" s="2">
        <f t="shared" si="59"/>
        <v>1</v>
      </c>
    </row>
    <row r="3795" spans="1:4" x14ac:dyDescent="0.3">
      <c r="A3795" s="34">
        <v>35142</v>
      </c>
      <c r="B3795" s="35">
        <v>1</v>
      </c>
      <c r="C3795" s="35">
        <v>1</v>
      </c>
      <c r="D3795" s="2">
        <f t="shared" si="59"/>
        <v>2</v>
      </c>
    </row>
    <row r="3796" spans="1:4" x14ac:dyDescent="0.3">
      <c r="A3796" s="34">
        <v>35146</v>
      </c>
      <c r="B3796" s="35">
        <v>1</v>
      </c>
      <c r="C3796" s="35">
        <v>0</v>
      </c>
      <c r="D3796" s="2">
        <f t="shared" si="59"/>
        <v>1</v>
      </c>
    </row>
    <row r="3797" spans="1:4" x14ac:dyDescent="0.3">
      <c r="A3797" s="34">
        <v>35150</v>
      </c>
      <c r="B3797" s="35">
        <v>1</v>
      </c>
      <c r="C3797" s="35">
        <v>0</v>
      </c>
      <c r="D3797" s="2">
        <f t="shared" si="59"/>
        <v>1</v>
      </c>
    </row>
    <row r="3798" spans="1:4" x14ac:dyDescent="0.3">
      <c r="A3798" s="34">
        <v>35151</v>
      </c>
      <c r="B3798" s="35">
        <v>2</v>
      </c>
      <c r="C3798" s="35">
        <v>1</v>
      </c>
      <c r="D3798" s="2">
        <f t="shared" si="59"/>
        <v>3</v>
      </c>
    </row>
    <row r="3799" spans="1:4" x14ac:dyDescent="0.3">
      <c r="A3799" s="34">
        <v>35154</v>
      </c>
      <c r="B3799" s="35">
        <v>1</v>
      </c>
      <c r="C3799" s="35">
        <v>0</v>
      </c>
      <c r="D3799" s="2">
        <f t="shared" si="59"/>
        <v>1</v>
      </c>
    </row>
    <row r="3800" spans="1:4" x14ac:dyDescent="0.3">
      <c r="A3800" s="34">
        <v>35161</v>
      </c>
      <c r="B3800" s="35">
        <v>1</v>
      </c>
      <c r="C3800" s="35">
        <v>0</v>
      </c>
      <c r="D3800" s="2">
        <f t="shared" si="59"/>
        <v>1</v>
      </c>
    </row>
    <row r="3801" spans="1:4" x14ac:dyDescent="0.3">
      <c r="A3801" s="34">
        <v>35173</v>
      </c>
      <c r="B3801" s="35">
        <v>1</v>
      </c>
      <c r="C3801" s="35">
        <v>1</v>
      </c>
      <c r="D3801" s="2">
        <f t="shared" si="59"/>
        <v>2</v>
      </c>
    </row>
    <row r="3802" spans="1:4" x14ac:dyDescent="0.3">
      <c r="A3802" s="34">
        <v>35200</v>
      </c>
      <c r="B3802" s="35">
        <v>1</v>
      </c>
      <c r="C3802" s="35">
        <v>0</v>
      </c>
      <c r="D3802" s="2">
        <f t="shared" si="59"/>
        <v>1</v>
      </c>
    </row>
    <row r="3803" spans="1:4" x14ac:dyDescent="0.3">
      <c r="A3803" s="34">
        <v>35204</v>
      </c>
      <c r="B3803" s="35">
        <v>2</v>
      </c>
      <c r="C3803" s="35">
        <v>1</v>
      </c>
      <c r="D3803" s="2">
        <f t="shared" si="59"/>
        <v>3</v>
      </c>
    </row>
    <row r="3804" spans="1:4" x14ac:dyDescent="0.3">
      <c r="A3804" s="34">
        <v>35205</v>
      </c>
      <c r="B3804" s="35">
        <v>1</v>
      </c>
      <c r="C3804" s="35">
        <v>1</v>
      </c>
      <c r="D3804" s="2">
        <f t="shared" si="59"/>
        <v>2</v>
      </c>
    </row>
    <row r="3805" spans="1:4" x14ac:dyDescent="0.3">
      <c r="A3805" s="34">
        <v>35206</v>
      </c>
      <c r="B3805" s="35">
        <v>1</v>
      </c>
      <c r="C3805" s="35">
        <v>0</v>
      </c>
      <c r="D3805" s="2">
        <f t="shared" si="59"/>
        <v>1</v>
      </c>
    </row>
    <row r="3806" spans="1:4" x14ac:dyDescent="0.3">
      <c r="A3806" s="34">
        <v>35207</v>
      </c>
      <c r="B3806" s="35">
        <v>1</v>
      </c>
      <c r="C3806" s="35">
        <v>1</v>
      </c>
      <c r="D3806" s="2">
        <f t="shared" si="59"/>
        <v>2</v>
      </c>
    </row>
    <row r="3807" spans="1:4" x14ac:dyDescent="0.3">
      <c r="A3807" s="34">
        <v>35208</v>
      </c>
      <c r="B3807" s="35">
        <v>2</v>
      </c>
      <c r="C3807" s="35">
        <v>1</v>
      </c>
      <c r="D3807" s="2">
        <f t="shared" si="59"/>
        <v>3</v>
      </c>
    </row>
    <row r="3808" spans="1:4" x14ac:dyDescent="0.3">
      <c r="A3808" s="34">
        <v>35209</v>
      </c>
      <c r="B3808" s="35">
        <v>1</v>
      </c>
      <c r="C3808" s="35">
        <v>0</v>
      </c>
      <c r="D3808" s="2">
        <f t="shared" si="59"/>
        <v>1</v>
      </c>
    </row>
    <row r="3809" spans="1:4" x14ac:dyDescent="0.3">
      <c r="A3809" s="34">
        <v>35210</v>
      </c>
      <c r="B3809" s="35">
        <v>1</v>
      </c>
      <c r="C3809" s="35">
        <v>0</v>
      </c>
      <c r="D3809" s="2">
        <f t="shared" si="59"/>
        <v>1</v>
      </c>
    </row>
    <row r="3810" spans="1:4" x14ac:dyDescent="0.3">
      <c r="A3810" s="34">
        <v>35212</v>
      </c>
      <c r="B3810" s="35">
        <v>1</v>
      </c>
      <c r="C3810" s="35">
        <v>0</v>
      </c>
      <c r="D3810" s="2">
        <f t="shared" si="59"/>
        <v>1</v>
      </c>
    </row>
    <row r="3811" spans="1:4" x14ac:dyDescent="0.3">
      <c r="A3811" s="34">
        <v>35219</v>
      </c>
      <c r="B3811" s="35">
        <v>1</v>
      </c>
      <c r="C3811" s="35">
        <v>0</v>
      </c>
      <c r="D3811" s="2">
        <f t="shared" si="59"/>
        <v>1</v>
      </c>
    </row>
    <row r="3812" spans="1:4" x14ac:dyDescent="0.3">
      <c r="A3812" s="34">
        <v>35225</v>
      </c>
      <c r="B3812" s="35">
        <v>2</v>
      </c>
      <c r="C3812" s="35">
        <v>0</v>
      </c>
      <c r="D3812" s="2">
        <f t="shared" si="59"/>
        <v>2</v>
      </c>
    </row>
    <row r="3813" spans="1:4" x14ac:dyDescent="0.3">
      <c r="A3813" s="34">
        <v>35226</v>
      </c>
      <c r="B3813" s="35">
        <v>1</v>
      </c>
      <c r="C3813" s="35">
        <v>1</v>
      </c>
      <c r="D3813" s="2">
        <f t="shared" si="59"/>
        <v>2</v>
      </c>
    </row>
    <row r="3814" spans="1:4" x14ac:dyDescent="0.3">
      <c r="A3814" s="34">
        <v>35235</v>
      </c>
      <c r="B3814" s="35">
        <v>1</v>
      </c>
      <c r="C3814" s="35">
        <v>0</v>
      </c>
      <c r="D3814" s="2">
        <f t="shared" si="59"/>
        <v>1</v>
      </c>
    </row>
    <row r="3815" spans="1:4" x14ac:dyDescent="0.3">
      <c r="A3815" s="34">
        <v>35236</v>
      </c>
      <c r="B3815" s="35">
        <v>1</v>
      </c>
      <c r="C3815" s="35">
        <v>1</v>
      </c>
      <c r="D3815" s="2">
        <f t="shared" si="59"/>
        <v>2</v>
      </c>
    </row>
    <row r="3816" spans="1:4" x14ac:dyDescent="0.3">
      <c r="A3816" s="34">
        <v>35242</v>
      </c>
      <c r="B3816" s="35">
        <v>1</v>
      </c>
      <c r="C3816" s="35">
        <v>1</v>
      </c>
      <c r="D3816" s="2">
        <f t="shared" si="59"/>
        <v>2</v>
      </c>
    </row>
    <row r="3817" spans="1:4" x14ac:dyDescent="0.3">
      <c r="A3817" s="34">
        <v>35245</v>
      </c>
      <c r="B3817" s="35">
        <v>1</v>
      </c>
      <c r="C3817" s="35">
        <v>1</v>
      </c>
      <c r="D3817" s="2">
        <f t="shared" si="59"/>
        <v>2</v>
      </c>
    </row>
    <row r="3818" spans="1:4" x14ac:dyDescent="0.3">
      <c r="A3818" s="34">
        <v>35248</v>
      </c>
      <c r="B3818" s="35">
        <v>1</v>
      </c>
      <c r="C3818" s="35">
        <v>0</v>
      </c>
      <c r="D3818" s="2">
        <f t="shared" si="59"/>
        <v>1</v>
      </c>
    </row>
    <row r="3819" spans="1:4" x14ac:dyDescent="0.3">
      <c r="A3819" s="34">
        <v>35260</v>
      </c>
      <c r="B3819" s="35">
        <v>1</v>
      </c>
      <c r="C3819" s="35">
        <v>0</v>
      </c>
      <c r="D3819" s="2">
        <f t="shared" si="59"/>
        <v>1</v>
      </c>
    </row>
    <row r="3820" spans="1:4" x14ac:dyDescent="0.3">
      <c r="A3820" s="34">
        <v>35272</v>
      </c>
      <c r="B3820" s="35">
        <v>1</v>
      </c>
      <c r="C3820" s="35">
        <v>0</v>
      </c>
      <c r="D3820" s="2">
        <f t="shared" si="59"/>
        <v>1</v>
      </c>
    </row>
    <row r="3821" spans="1:4" x14ac:dyDescent="0.3">
      <c r="A3821" s="34">
        <v>35302</v>
      </c>
      <c r="B3821" s="35">
        <v>1</v>
      </c>
      <c r="C3821" s="35">
        <v>0</v>
      </c>
      <c r="D3821" s="2">
        <f t="shared" si="59"/>
        <v>1</v>
      </c>
    </row>
    <row r="3822" spans="1:4" x14ac:dyDescent="0.3">
      <c r="A3822" s="34">
        <v>35304</v>
      </c>
      <c r="B3822" s="35">
        <v>1</v>
      </c>
      <c r="C3822" s="35">
        <v>0</v>
      </c>
      <c r="D3822" s="2">
        <f t="shared" si="59"/>
        <v>1</v>
      </c>
    </row>
    <row r="3823" spans="1:4" x14ac:dyDescent="0.3">
      <c r="A3823" s="34">
        <v>35305</v>
      </c>
      <c r="B3823" s="35">
        <v>1</v>
      </c>
      <c r="C3823" s="35">
        <v>0</v>
      </c>
      <c r="D3823" s="2">
        <f t="shared" si="59"/>
        <v>1</v>
      </c>
    </row>
    <row r="3824" spans="1:4" x14ac:dyDescent="0.3">
      <c r="A3824" s="34">
        <v>35310</v>
      </c>
      <c r="B3824" s="35">
        <v>1</v>
      </c>
      <c r="C3824" s="35">
        <v>0</v>
      </c>
      <c r="D3824" s="2">
        <f t="shared" si="59"/>
        <v>1</v>
      </c>
    </row>
    <row r="3825" spans="1:4" x14ac:dyDescent="0.3">
      <c r="A3825" s="34">
        <v>35311</v>
      </c>
      <c r="B3825" s="35">
        <v>1</v>
      </c>
      <c r="C3825" s="35">
        <v>0</v>
      </c>
      <c r="D3825" s="2">
        <f t="shared" si="59"/>
        <v>1</v>
      </c>
    </row>
    <row r="3826" spans="1:4" x14ac:dyDescent="0.3">
      <c r="A3826" s="34">
        <v>35314</v>
      </c>
      <c r="B3826" s="35">
        <v>1</v>
      </c>
      <c r="C3826" s="35">
        <v>0</v>
      </c>
      <c r="D3826" s="2">
        <f t="shared" si="59"/>
        <v>1</v>
      </c>
    </row>
    <row r="3827" spans="1:4" x14ac:dyDescent="0.3">
      <c r="A3827" s="34">
        <v>35323</v>
      </c>
      <c r="B3827" s="35">
        <v>1</v>
      </c>
      <c r="C3827" s="35">
        <v>1</v>
      </c>
      <c r="D3827" s="2">
        <f t="shared" si="59"/>
        <v>2</v>
      </c>
    </row>
    <row r="3828" spans="1:4" x14ac:dyDescent="0.3">
      <c r="A3828" s="34">
        <v>35324</v>
      </c>
      <c r="B3828" s="35">
        <v>1</v>
      </c>
      <c r="C3828" s="35">
        <v>0</v>
      </c>
      <c r="D3828" s="2">
        <f t="shared" si="59"/>
        <v>1</v>
      </c>
    </row>
    <row r="3829" spans="1:4" x14ac:dyDescent="0.3">
      <c r="A3829" s="34">
        <v>35334</v>
      </c>
      <c r="B3829" s="35">
        <v>1</v>
      </c>
      <c r="C3829" s="35">
        <v>0</v>
      </c>
      <c r="D3829" s="2">
        <f t="shared" si="59"/>
        <v>1</v>
      </c>
    </row>
    <row r="3830" spans="1:4" x14ac:dyDescent="0.3">
      <c r="A3830" s="34">
        <v>35336</v>
      </c>
      <c r="B3830" s="35">
        <v>1</v>
      </c>
      <c r="C3830" s="35">
        <v>1</v>
      </c>
      <c r="D3830" s="2">
        <f t="shared" si="59"/>
        <v>2</v>
      </c>
    </row>
    <row r="3831" spans="1:4" x14ac:dyDescent="0.3">
      <c r="A3831" s="34">
        <v>35340</v>
      </c>
      <c r="B3831" s="35">
        <v>1</v>
      </c>
      <c r="C3831" s="35">
        <v>0</v>
      </c>
      <c r="D3831" s="2">
        <f t="shared" si="59"/>
        <v>1</v>
      </c>
    </row>
    <row r="3832" spans="1:4" x14ac:dyDescent="0.3">
      <c r="A3832" s="34">
        <v>35341</v>
      </c>
      <c r="B3832" s="35">
        <v>1</v>
      </c>
      <c r="C3832" s="35">
        <v>1</v>
      </c>
      <c r="D3832" s="2">
        <f t="shared" si="59"/>
        <v>2</v>
      </c>
    </row>
    <row r="3833" spans="1:4" x14ac:dyDescent="0.3">
      <c r="A3833" s="34">
        <v>35356</v>
      </c>
      <c r="B3833" s="35">
        <v>1</v>
      </c>
      <c r="C3833" s="35">
        <v>1</v>
      </c>
      <c r="D3833" s="2">
        <f t="shared" si="59"/>
        <v>2</v>
      </c>
    </row>
    <row r="3834" spans="1:4" x14ac:dyDescent="0.3">
      <c r="A3834" s="34">
        <v>35402</v>
      </c>
      <c r="B3834" s="35">
        <v>1</v>
      </c>
      <c r="C3834" s="35">
        <v>0</v>
      </c>
      <c r="D3834" s="2">
        <f t="shared" si="59"/>
        <v>1</v>
      </c>
    </row>
    <row r="3835" spans="1:4" x14ac:dyDescent="0.3">
      <c r="A3835" s="34">
        <v>35408</v>
      </c>
      <c r="B3835" s="35">
        <v>1</v>
      </c>
      <c r="C3835" s="35">
        <v>0</v>
      </c>
      <c r="D3835" s="2">
        <f t="shared" si="59"/>
        <v>1</v>
      </c>
    </row>
    <row r="3836" spans="1:4" x14ac:dyDescent="0.3">
      <c r="A3836" s="34">
        <v>35409</v>
      </c>
      <c r="B3836" s="35">
        <v>1</v>
      </c>
      <c r="C3836" s="35">
        <v>1</v>
      </c>
      <c r="D3836" s="2">
        <f t="shared" si="59"/>
        <v>2</v>
      </c>
    </row>
    <row r="3837" spans="1:4" x14ac:dyDescent="0.3">
      <c r="A3837" s="34">
        <v>35410</v>
      </c>
      <c r="B3837" s="35">
        <v>3</v>
      </c>
      <c r="C3837" s="35">
        <v>0</v>
      </c>
      <c r="D3837" s="2">
        <f t="shared" si="59"/>
        <v>3</v>
      </c>
    </row>
    <row r="3838" spans="1:4" x14ac:dyDescent="0.3">
      <c r="A3838" s="34">
        <v>35412</v>
      </c>
      <c r="B3838" s="35">
        <v>2</v>
      </c>
      <c r="C3838" s="35">
        <v>2</v>
      </c>
      <c r="D3838" s="2">
        <f t="shared" si="59"/>
        <v>4</v>
      </c>
    </row>
    <row r="3839" spans="1:4" x14ac:dyDescent="0.3">
      <c r="A3839" s="34">
        <v>35414</v>
      </c>
      <c r="B3839" s="35">
        <v>1</v>
      </c>
      <c r="C3839" s="35">
        <v>0</v>
      </c>
      <c r="D3839" s="2">
        <f t="shared" si="59"/>
        <v>1</v>
      </c>
    </row>
    <row r="3840" spans="1:4" x14ac:dyDescent="0.3">
      <c r="A3840" s="34">
        <v>35420</v>
      </c>
      <c r="B3840" s="35">
        <v>1</v>
      </c>
      <c r="C3840" s="35">
        <v>0</v>
      </c>
      <c r="D3840" s="2">
        <f t="shared" si="59"/>
        <v>1</v>
      </c>
    </row>
    <row r="3841" spans="1:4" x14ac:dyDescent="0.3">
      <c r="A3841" s="34">
        <v>35429</v>
      </c>
      <c r="B3841" s="35">
        <v>1</v>
      </c>
      <c r="C3841" s="35">
        <v>0</v>
      </c>
      <c r="D3841" s="2">
        <f t="shared" si="59"/>
        <v>1</v>
      </c>
    </row>
    <row r="3842" spans="1:4" x14ac:dyDescent="0.3">
      <c r="A3842" s="34">
        <v>35434</v>
      </c>
      <c r="B3842" s="35">
        <v>1</v>
      </c>
      <c r="C3842" s="35">
        <v>0</v>
      </c>
      <c r="D3842" s="2">
        <f t="shared" si="59"/>
        <v>1</v>
      </c>
    </row>
    <row r="3843" spans="1:4" x14ac:dyDescent="0.3">
      <c r="A3843" s="34">
        <v>35443</v>
      </c>
      <c r="B3843" s="35">
        <v>1</v>
      </c>
      <c r="C3843" s="35">
        <v>1</v>
      </c>
      <c r="D3843" s="2">
        <f t="shared" ref="D3843:D3906" si="60">B3843+C3843</f>
        <v>2</v>
      </c>
    </row>
    <row r="3844" spans="1:4" x14ac:dyDescent="0.3">
      <c r="A3844" s="34">
        <v>35446</v>
      </c>
      <c r="B3844" s="35">
        <v>1</v>
      </c>
      <c r="C3844" s="35">
        <v>0</v>
      </c>
      <c r="D3844" s="2">
        <f t="shared" si="60"/>
        <v>1</v>
      </c>
    </row>
    <row r="3845" spans="1:4" x14ac:dyDescent="0.3">
      <c r="A3845" s="34">
        <v>35450</v>
      </c>
      <c r="B3845" s="35">
        <v>1</v>
      </c>
      <c r="C3845" s="35">
        <v>0</v>
      </c>
      <c r="D3845" s="2">
        <f t="shared" si="60"/>
        <v>1</v>
      </c>
    </row>
    <row r="3846" spans="1:4" x14ac:dyDescent="0.3">
      <c r="A3846" s="34">
        <v>35525</v>
      </c>
      <c r="B3846" s="35">
        <v>1</v>
      </c>
      <c r="C3846" s="35">
        <v>0</v>
      </c>
      <c r="D3846" s="2">
        <f t="shared" si="60"/>
        <v>1</v>
      </c>
    </row>
    <row r="3847" spans="1:4" x14ac:dyDescent="0.3">
      <c r="A3847" s="34">
        <v>35529</v>
      </c>
      <c r="B3847" s="35">
        <v>1</v>
      </c>
      <c r="C3847" s="35">
        <v>0</v>
      </c>
      <c r="D3847" s="2">
        <f t="shared" si="60"/>
        <v>1</v>
      </c>
    </row>
    <row r="3848" spans="1:4" x14ac:dyDescent="0.3">
      <c r="A3848" s="34">
        <v>35530</v>
      </c>
      <c r="B3848" s="35">
        <v>1</v>
      </c>
      <c r="C3848" s="35">
        <v>0</v>
      </c>
      <c r="D3848" s="2">
        <f t="shared" si="60"/>
        <v>1</v>
      </c>
    </row>
    <row r="3849" spans="1:4" x14ac:dyDescent="0.3">
      <c r="A3849" s="34">
        <v>35540</v>
      </c>
      <c r="B3849" s="35">
        <v>1</v>
      </c>
      <c r="C3849" s="35">
        <v>1</v>
      </c>
      <c r="D3849" s="2">
        <f t="shared" si="60"/>
        <v>2</v>
      </c>
    </row>
    <row r="3850" spans="1:4" x14ac:dyDescent="0.3">
      <c r="A3850" s="34">
        <v>35541</v>
      </c>
      <c r="B3850" s="35">
        <v>1</v>
      </c>
      <c r="C3850" s="35">
        <v>0</v>
      </c>
      <c r="D3850" s="2">
        <f t="shared" si="60"/>
        <v>1</v>
      </c>
    </row>
    <row r="3851" spans="1:4" x14ac:dyDescent="0.3">
      <c r="A3851" s="34">
        <v>35577</v>
      </c>
      <c r="B3851" s="35">
        <v>1</v>
      </c>
      <c r="C3851" s="35">
        <v>0</v>
      </c>
      <c r="D3851" s="2">
        <f t="shared" si="60"/>
        <v>1</v>
      </c>
    </row>
    <row r="3852" spans="1:4" x14ac:dyDescent="0.3">
      <c r="A3852" s="34">
        <v>35616</v>
      </c>
      <c r="B3852" s="35">
        <v>1</v>
      </c>
      <c r="C3852" s="35">
        <v>0</v>
      </c>
      <c r="D3852" s="2">
        <f t="shared" si="60"/>
        <v>1</v>
      </c>
    </row>
    <row r="3853" spans="1:4" x14ac:dyDescent="0.3">
      <c r="A3853" s="34">
        <v>35618</v>
      </c>
      <c r="B3853" s="35">
        <v>1</v>
      </c>
      <c r="C3853" s="35">
        <v>0</v>
      </c>
      <c r="D3853" s="2">
        <f t="shared" si="60"/>
        <v>1</v>
      </c>
    </row>
    <row r="3854" spans="1:4" x14ac:dyDescent="0.3">
      <c r="A3854" s="34">
        <v>35620</v>
      </c>
      <c r="B3854" s="35">
        <v>1</v>
      </c>
      <c r="C3854" s="35">
        <v>0</v>
      </c>
      <c r="D3854" s="2">
        <f t="shared" si="60"/>
        <v>1</v>
      </c>
    </row>
    <row r="3855" spans="1:4" x14ac:dyDescent="0.3">
      <c r="A3855" s="34">
        <v>35622</v>
      </c>
      <c r="B3855" s="35">
        <v>1</v>
      </c>
      <c r="C3855" s="35">
        <v>0</v>
      </c>
      <c r="D3855" s="2">
        <f t="shared" si="60"/>
        <v>1</v>
      </c>
    </row>
    <row r="3856" spans="1:4" x14ac:dyDescent="0.3">
      <c r="A3856" s="34">
        <v>35625</v>
      </c>
      <c r="B3856" s="35">
        <v>1</v>
      </c>
      <c r="C3856" s="35">
        <v>0</v>
      </c>
      <c r="D3856" s="2">
        <f t="shared" si="60"/>
        <v>1</v>
      </c>
    </row>
    <row r="3857" spans="1:4" x14ac:dyDescent="0.3">
      <c r="A3857" s="34">
        <v>35626</v>
      </c>
      <c r="B3857" s="35">
        <v>1</v>
      </c>
      <c r="C3857" s="35">
        <v>0</v>
      </c>
      <c r="D3857" s="2">
        <f t="shared" si="60"/>
        <v>1</v>
      </c>
    </row>
    <row r="3858" spans="1:4" x14ac:dyDescent="0.3">
      <c r="A3858" s="34">
        <v>35627</v>
      </c>
      <c r="B3858" s="35">
        <v>1</v>
      </c>
      <c r="C3858" s="35">
        <v>0</v>
      </c>
      <c r="D3858" s="2">
        <f t="shared" si="60"/>
        <v>1</v>
      </c>
    </row>
    <row r="3859" spans="1:4" x14ac:dyDescent="0.3">
      <c r="A3859" s="34">
        <v>35631</v>
      </c>
      <c r="B3859" s="35">
        <v>1</v>
      </c>
      <c r="C3859" s="35">
        <v>0</v>
      </c>
      <c r="D3859" s="2">
        <f t="shared" si="60"/>
        <v>1</v>
      </c>
    </row>
    <row r="3860" spans="1:4" x14ac:dyDescent="0.3">
      <c r="A3860" s="34">
        <v>35636</v>
      </c>
      <c r="B3860" s="35">
        <v>1</v>
      </c>
      <c r="C3860" s="35">
        <v>0</v>
      </c>
      <c r="D3860" s="2">
        <f t="shared" si="60"/>
        <v>1</v>
      </c>
    </row>
    <row r="3861" spans="1:4" x14ac:dyDescent="0.3">
      <c r="A3861" s="34">
        <v>35638</v>
      </c>
      <c r="B3861" s="35">
        <v>1</v>
      </c>
      <c r="C3861" s="35">
        <v>0</v>
      </c>
      <c r="D3861" s="2">
        <f t="shared" si="60"/>
        <v>1</v>
      </c>
    </row>
    <row r="3862" spans="1:4" x14ac:dyDescent="0.3">
      <c r="A3862" s="34">
        <v>35640</v>
      </c>
      <c r="B3862" s="35">
        <v>1</v>
      </c>
      <c r="C3862" s="35">
        <v>0</v>
      </c>
      <c r="D3862" s="2">
        <f t="shared" si="60"/>
        <v>1</v>
      </c>
    </row>
    <row r="3863" spans="1:4" x14ac:dyDescent="0.3">
      <c r="A3863" s="34">
        <v>35647</v>
      </c>
      <c r="B3863" s="35">
        <v>1</v>
      </c>
      <c r="C3863" s="35">
        <v>0</v>
      </c>
      <c r="D3863" s="2">
        <f t="shared" si="60"/>
        <v>1</v>
      </c>
    </row>
    <row r="3864" spans="1:4" x14ac:dyDescent="0.3">
      <c r="A3864" s="34">
        <v>35652</v>
      </c>
      <c r="B3864" s="35">
        <v>1</v>
      </c>
      <c r="C3864" s="35">
        <v>0</v>
      </c>
      <c r="D3864" s="2">
        <f t="shared" si="60"/>
        <v>1</v>
      </c>
    </row>
    <row r="3865" spans="1:4" x14ac:dyDescent="0.3">
      <c r="A3865" s="34">
        <v>35653</v>
      </c>
      <c r="B3865" s="35">
        <v>1</v>
      </c>
      <c r="C3865" s="35">
        <v>0</v>
      </c>
      <c r="D3865" s="2">
        <f t="shared" si="60"/>
        <v>1</v>
      </c>
    </row>
    <row r="3866" spans="1:4" x14ac:dyDescent="0.3">
      <c r="A3866" s="34">
        <v>35663</v>
      </c>
      <c r="B3866" s="35">
        <v>1</v>
      </c>
      <c r="C3866" s="35">
        <v>0</v>
      </c>
      <c r="D3866" s="2">
        <f t="shared" si="60"/>
        <v>1</v>
      </c>
    </row>
    <row r="3867" spans="1:4" x14ac:dyDescent="0.3">
      <c r="A3867" s="34">
        <v>35672</v>
      </c>
      <c r="B3867" s="35">
        <v>1</v>
      </c>
      <c r="C3867" s="35">
        <v>0</v>
      </c>
      <c r="D3867" s="2">
        <f t="shared" si="60"/>
        <v>1</v>
      </c>
    </row>
    <row r="3868" spans="1:4" x14ac:dyDescent="0.3">
      <c r="A3868" s="34">
        <v>35708</v>
      </c>
      <c r="B3868" s="35">
        <v>1</v>
      </c>
      <c r="C3868" s="35">
        <v>0</v>
      </c>
      <c r="D3868" s="2">
        <f t="shared" si="60"/>
        <v>1</v>
      </c>
    </row>
    <row r="3869" spans="1:4" x14ac:dyDescent="0.3">
      <c r="A3869" s="34">
        <v>35716</v>
      </c>
      <c r="B3869" s="35">
        <v>1</v>
      </c>
      <c r="C3869" s="35">
        <v>1</v>
      </c>
      <c r="D3869" s="2">
        <f t="shared" si="60"/>
        <v>2</v>
      </c>
    </row>
    <row r="3870" spans="1:4" x14ac:dyDescent="0.3">
      <c r="A3870" s="34">
        <v>35717</v>
      </c>
      <c r="B3870" s="35">
        <v>1</v>
      </c>
      <c r="C3870" s="35">
        <v>0</v>
      </c>
      <c r="D3870" s="2">
        <f t="shared" si="60"/>
        <v>1</v>
      </c>
    </row>
    <row r="3871" spans="1:4" x14ac:dyDescent="0.3">
      <c r="A3871" s="34">
        <v>35720</v>
      </c>
      <c r="B3871" s="35">
        <v>1</v>
      </c>
      <c r="C3871" s="35">
        <v>0</v>
      </c>
      <c r="D3871" s="2">
        <f t="shared" si="60"/>
        <v>1</v>
      </c>
    </row>
    <row r="3872" spans="1:4" x14ac:dyDescent="0.3">
      <c r="A3872" s="34">
        <v>35724</v>
      </c>
      <c r="B3872" s="35">
        <v>1</v>
      </c>
      <c r="C3872" s="35">
        <v>1</v>
      </c>
      <c r="D3872" s="2">
        <f t="shared" si="60"/>
        <v>2</v>
      </c>
    </row>
    <row r="3873" spans="1:4" x14ac:dyDescent="0.3">
      <c r="A3873" s="34">
        <v>35730</v>
      </c>
      <c r="B3873" s="35">
        <v>1</v>
      </c>
      <c r="C3873" s="35">
        <v>1</v>
      </c>
      <c r="D3873" s="2">
        <f t="shared" si="60"/>
        <v>2</v>
      </c>
    </row>
    <row r="3874" spans="1:4" x14ac:dyDescent="0.3">
      <c r="A3874" s="34">
        <v>35733</v>
      </c>
      <c r="B3874" s="35">
        <v>1</v>
      </c>
      <c r="C3874" s="35">
        <v>1</v>
      </c>
      <c r="D3874" s="2">
        <f t="shared" si="60"/>
        <v>2</v>
      </c>
    </row>
    <row r="3875" spans="1:4" x14ac:dyDescent="0.3">
      <c r="A3875" s="34">
        <v>35735</v>
      </c>
      <c r="B3875" s="35">
        <v>1</v>
      </c>
      <c r="C3875" s="35">
        <v>0</v>
      </c>
      <c r="D3875" s="2">
        <f t="shared" si="60"/>
        <v>1</v>
      </c>
    </row>
    <row r="3876" spans="1:4" x14ac:dyDescent="0.3">
      <c r="A3876" s="34">
        <v>35736</v>
      </c>
      <c r="B3876" s="35">
        <v>1</v>
      </c>
      <c r="C3876" s="35">
        <v>1</v>
      </c>
      <c r="D3876" s="2">
        <f t="shared" si="60"/>
        <v>2</v>
      </c>
    </row>
    <row r="3877" spans="1:4" x14ac:dyDescent="0.3">
      <c r="A3877" s="34">
        <v>35737</v>
      </c>
      <c r="B3877" s="35">
        <v>1</v>
      </c>
      <c r="C3877" s="35">
        <v>0</v>
      </c>
      <c r="D3877" s="2">
        <f t="shared" si="60"/>
        <v>1</v>
      </c>
    </row>
    <row r="3878" spans="1:4" x14ac:dyDescent="0.3">
      <c r="A3878" s="34">
        <v>35738</v>
      </c>
      <c r="B3878" s="35">
        <v>1</v>
      </c>
      <c r="C3878" s="35">
        <v>0</v>
      </c>
      <c r="D3878" s="2">
        <f t="shared" si="60"/>
        <v>1</v>
      </c>
    </row>
    <row r="3879" spans="1:4" x14ac:dyDescent="0.3">
      <c r="A3879" s="34">
        <v>35739</v>
      </c>
      <c r="B3879" s="35">
        <v>3</v>
      </c>
      <c r="C3879" s="35">
        <v>2</v>
      </c>
      <c r="D3879" s="2">
        <f t="shared" si="60"/>
        <v>5</v>
      </c>
    </row>
    <row r="3880" spans="1:4" x14ac:dyDescent="0.3">
      <c r="A3880" s="34">
        <v>35743</v>
      </c>
      <c r="B3880" s="35">
        <v>1</v>
      </c>
      <c r="C3880" s="35">
        <v>0</v>
      </c>
      <c r="D3880" s="2">
        <f t="shared" si="60"/>
        <v>1</v>
      </c>
    </row>
    <row r="3881" spans="1:4" x14ac:dyDescent="0.3">
      <c r="A3881" s="34">
        <v>35747</v>
      </c>
      <c r="B3881" s="35">
        <v>1</v>
      </c>
      <c r="C3881" s="35">
        <v>1</v>
      </c>
      <c r="D3881" s="2">
        <f t="shared" si="60"/>
        <v>2</v>
      </c>
    </row>
    <row r="3882" spans="1:4" x14ac:dyDescent="0.3">
      <c r="A3882" s="34">
        <v>35749</v>
      </c>
      <c r="B3882" s="35">
        <v>1</v>
      </c>
      <c r="C3882" s="35">
        <v>1</v>
      </c>
      <c r="D3882" s="2">
        <f t="shared" si="60"/>
        <v>2</v>
      </c>
    </row>
    <row r="3883" spans="1:4" x14ac:dyDescent="0.3">
      <c r="A3883" s="34">
        <v>35751</v>
      </c>
      <c r="B3883" s="35">
        <v>1</v>
      </c>
      <c r="C3883" s="35">
        <v>0</v>
      </c>
      <c r="D3883" s="2">
        <f t="shared" si="60"/>
        <v>1</v>
      </c>
    </row>
    <row r="3884" spans="1:4" x14ac:dyDescent="0.3">
      <c r="A3884" s="34">
        <v>35754</v>
      </c>
      <c r="B3884" s="35">
        <v>1</v>
      </c>
      <c r="C3884" s="35">
        <v>0</v>
      </c>
      <c r="D3884" s="2">
        <f t="shared" si="60"/>
        <v>1</v>
      </c>
    </row>
    <row r="3885" spans="1:4" x14ac:dyDescent="0.3">
      <c r="A3885" s="34">
        <v>35755</v>
      </c>
      <c r="B3885" s="35">
        <v>1</v>
      </c>
      <c r="C3885" s="35">
        <v>0</v>
      </c>
      <c r="D3885" s="2">
        <f t="shared" si="60"/>
        <v>1</v>
      </c>
    </row>
    <row r="3886" spans="1:4" x14ac:dyDescent="0.3">
      <c r="A3886" s="34">
        <v>35756</v>
      </c>
      <c r="B3886" s="35">
        <v>1</v>
      </c>
      <c r="C3886" s="35">
        <v>0</v>
      </c>
      <c r="D3886" s="2">
        <f t="shared" si="60"/>
        <v>1</v>
      </c>
    </row>
    <row r="3887" spans="1:4" x14ac:dyDescent="0.3">
      <c r="A3887" s="34">
        <v>35757</v>
      </c>
      <c r="B3887" s="35">
        <v>2</v>
      </c>
      <c r="C3887" s="35">
        <v>2</v>
      </c>
      <c r="D3887" s="2">
        <f t="shared" si="60"/>
        <v>4</v>
      </c>
    </row>
    <row r="3888" spans="1:4" x14ac:dyDescent="0.3">
      <c r="A3888" s="34">
        <v>35758</v>
      </c>
      <c r="B3888" s="35">
        <v>1</v>
      </c>
      <c r="C3888" s="35">
        <v>0</v>
      </c>
      <c r="D3888" s="2">
        <f t="shared" si="60"/>
        <v>1</v>
      </c>
    </row>
    <row r="3889" spans="1:4" x14ac:dyDescent="0.3">
      <c r="A3889" s="34">
        <v>35759</v>
      </c>
      <c r="B3889" s="35">
        <v>1</v>
      </c>
      <c r="C3889" s="35">
        <v>0</v>
      </c>
      <c r="D3889" s="2">
        <f t="shared" si="60"/>
        <v>1</v>
      </c>
    </row>
    <row r="3890" spans="1:4" x14ac:dyDescent="0.3">
      <c r="A3890" s="34">
        <v>35761</v>
      </c>
      <c r="B3890" s="35">
        <v>2</v>
      </c>
      <c r="C3890" s="35">
        <v>0</v>
      </c>
      <c r="D3890" s="2">
        <f t="shared" si="60"/>
        <v>2</v>
      </c>
    </row>
    <row r="3891" spans="1:4" x14ac:dyDescent="0.3">
      <c r="A3891" s="34">
        <v>35767</v>
      </c>
      <c r="B3891" s="35">
        <v>2</v>
      </c>
      <c r="C3891" s="35">
        <v>1</v>
      </c>
      <c r="D3891" s="2">
        <f t="shared" si="60"/>
        <v>3</v>
      </c>
    </row>
    <row r="3892" spans="1:4" x14ac:dyDescent="0.3">
      <c r="A3892" s="34">
        <v>35769</v>
      </c>
      <c r="B3892" s="35">
        <v>1</v>
      </c>
      <c r="C3892" s="35">
        <v>0</v>
      </c>
      <c r="D3892" s="2">
        <f t="shared" si="60"/>
        <v>1</v>
      </c>
    </row>
    <row r="3893" spans="1:4" x14ac:dyDescent="0.3">
      <c r="A3893" s="34">
        <v>35770</v>
      </c>
      <c r="B3893" s="35">
        <v>1</v>
      </c>
      <c r="C3893" s="35">
        <v>0</v>
      </c>
      <c r="D3893" s="2">
        <f t="shared" si="60"/>
        <v>1</v>
      </c>
    </row>
    <row r="3894" spans="1:4" x14ac:dyDescent="0.3">
      <c r="A3894" s="34">
        <v>35774</v>
      </c>
      <c r="B3894" s="35">
        <v>1</v>
      </c>
      <c r="C3894" s="35">
        <v>0</v>
      </c>
      <c r="D3894" s="2">
        <f t="shared" si="60"/>
        <v>1</v>
      </c>
    </row>
    <row r="3895" spans="1:4" x14ac:dyDescent="0.3">
      <c r="A3895" s="34">
        <v>35778</v>
      </c>
      <c r="B3895" s="35">
        <v>1</v>
      </c>
      <c r="C3895" s="35">
        <v>0</v>
      </c>
      <c r="D3895" s="2">
        <f t="shared" si="60"/>
        <v>1</v>
      </c>
    </row>
    <row r="3896" spans="1:4" x14ac:dyDescent="0.3">
      <c r="A3896" s="34">
        <v>35779</v>
      </c>
      <c r="B3896" s="35">
        <v>1</v>
      </c>
      <c r="C3896" s="35">
        <v>0</v>
      </c>
      <c r="D3896" s="2">
        <f t="shared" si="60"/>
        <v>1</v>
      </c>
    </row>
    <row r="3897" spans="1:4" x14ac:dyDescent="0.3">
      <c r="A3897" s="34">
        <v>35793</v>
      </c>
      <c r="B3897" s="35">
        <v>3</v>
      </c>
      <c r="C3897" s="35">
        <v>1</v>
      </c>
      <c r="D3897" s="2">
        <f t="shared" si="60"/>
        <v>4</v>
      </c>
    </row>
    <row r="3898" spans="1:4" x14ac:dyDescent="0.3">
      <c r="A3898" s="34">
        <v>35835</v>
      </c>
      <c r="B3898" s="35">
        <v>1</v>
      </c>
      <c r="C3898" s="35">
        <v>0</v>
      </c>
      <c r="D3898" s="2">
        <f t="shared" si="60"/>
        <v>1</v>
      </c>
    </row>
    <row r="3899" spans="1:4" x14ac:dyDescent="0.3">
      <c r="A3899" s="34">
        <v>35839</v>
      </c>
      <c r="B3899" s="35">
        <v>1</v>
      </c>
      <c r="C3899" s="35">
        <v>0</v>
      </c>
      <c r="D3899" s="2">
        <f t="shared" si="60"/>
        <v>1</v>
      </c>
    </row>
    <row r="3900" spans="1:4" x14ac:dyDescent="0.3">
      <c r="A3900" s="34">
        <v>35840</v>
      </c>
      <c r="B3900" s="35">
        <v>1</v>
      </c>
      <c r="C3900" s="35">
        <v>0</v>
      </c>
      <c r="D3900" s="2">
        <f t="shared" si="60"/>
        <v>1</v>
      </c>
    </row>
    <row r="3901" spans="1:4" x14ac:dyDescent="0.3">
      <c r="A3901" s="34">
        <v>35843</v>
      </c>
      <c r="B3901" s="35">
        <v>1</v>
      </c>
      <c r="C3901" s="35">
        <v>1</v>
      </c>
      <c r="D3901" s="2">
        <f t="shared" si="60"/>
        <v>2</v>
      </c>
    </row>
    <row r="3902" spans="1:4" x14ac:dyDescent="0.3">
      <c r="A3902" s="34">
        <v>35845</v>
      </c>
      <c r="B3902" s="35">
        <v>1</v>
      </c>
      <c r="C3902" s="35">
        <v>0</v>
      </c>
      <c r="D3902" s="2">
        <f t="shared" si="60"/>
        <v>1</v>
      </c>
    </row>
    <row r="3903" spans="1:4" x14ac:dyDescent="0.3">
      <c r="A3903" s="34">
        <v>35846</v>
      </c>
      <c r="B3903" s="35">
        <v>1</v>
      </c>
      <c r="C3903" s="35">
        <v>0</v>
      </c>
      <c r="D3903" s="2">
        <f t="shared" si="60"/>
        <v>1</v>
      </c>
    </row>
    <row r="3904" spans="1:4" x14ac:dyDescent="0.3">
      <c r="A3904" s="34">
        <v>35849</v>
      </c>
      <c r="B3904" s="35">
        <v>1</v>
      </c>
      <c r="C3904" s="35">
        <v>0</v>
      </c>
      <c r="D3904" s="2">
        <f t="shared" si="60"/>
        <v>1</v>
      </c>
    </row>
    <row r="3905" spans="1:4" x14ac:dyDescent="0.3">
      <c r="A3905" s="34">
        <v>35854</v>
      </c>
      <c r="B3905" s="35">
        <v>1</v>
      </c>
      <c r="C3905" s="35">
        <v>0</v>
      </c>
      <c r="D3905" s="2">
        <f t="shared" si="60"/>
        <v>1</v>
      </c>
    </row>
    <row r="3906" spans="1:4" x14ac:dyDescent="0.3">
      <c r="A3906" s="34">
        <v>35857</v>
      </c>
      <c r="B3906" s="35">
        <v>1</v>
      </c>
      <c r="C3906" s="35">
        <v>0</v>
      </c>
      <c r="D3906" s="2">
        <f t="shared" si="60"/>
        <v>1</v>
      </c>
    </row>
    <row r="3907" spans="1:4" x14ac:dyDescent="0.3">
      <c r="A3907" s="34">
        <v>35859</v>
      </c>
      <c r="B3907" s="35">
        <v>1</v>
      </c>
      <c r="C3907" s="35">
        <v>0</v>
      </c>
      <c r="D3907" s="2">
        <f t="shared" ref="D3907:D3970" si="61">B3907+C3907</f>
        <v>1</v>
      </c>
    </row>
    <row r="3908" spans="1:4" x14ac:dyDescent="0.3">
      <c r="A3908" s="34">
        <v>35860</v>
      </c>
      <c r="B3908" s="35">
        <v>1</v>
      </c>
      <c r="C3908" s="35">
        <v>0</v>
      </c>
      <c r="D3908" s="2">
        <f t="shared" si="61"/>
        <v>1</v>
      </c>
    </row>
    <row r="3909" spans="1:4" x14ac:dyDescent="0.3">
      <c r="A3909" s="34">
        <v>35862</v>
      </c>
      <c r="B3909" s="35">
        <v>1</v>
      </c>
      <c r="C3909" s="35">
        <v>0</v>
      </c>
      <c r="D3909" s="2">
        <f t="shared" si="61"/>
        <v>1</v>
      </c>
    </row>
    <row r="3910" spans="1:4" x14ac:dyDescent="0.3">
      <c r="A3910" s="34">
        <v>35868</v>
      </c>
      <c r="B3910" s="35">
        <v>1</v>
      </c>
      <c r="C3910" s="35">
        <v>0</v>
      </c>
      <c r="D3910" s="2">
        <f t="shared" si="61"/>
        <v>1</v>
      </c>
    </row>
    <row r="3911" spans="1:4" x14ac:dyDescent="0.3">
      <c r="A3911" s="34">
        <v>35870</v>
      </c>
      <c r="B3911" s="35">
        <v>1</v>
      </c>
      <c r="C3911" s="35">
        <v>1</v>
      </c>
      <c r="D3911" s="2">
        <f t="shared" si="61"/>
        <v>2</v>
      </c>
    </row>
    <row r="3912" spans="1:4" x14ac:dyDescent="0.3">
      <c r="A3912" s="34">
        <v>35871</v>
      </c>
      <c r="B3912" s="35">
        <v>2</v>
      </c>
      <c r="C3912" s="35">
        <v>1</v>
      </c>
      <c r="D3912" s="2">
        <f t="shared" si="61"/>
        <v>3</v>
      </c>
    </row>
    <row r="3913" spans="1:4" x14ac:dyDescent="0.3">
      <c r="A3913" s="34">
        <v>35873</v>
      </c>
      <c r="B3913" s="35">
        <v>1</v>
      </c>
      <c r="C3913" s="35">
        <v>1</v>
      </c>
      <c r="D3913" s="2">
        <f t="shared" si="61"/>
        <v>2</v>
      </c>
    </row>
    <row r="3914" spans="1:4" x14ac:dyDescent="0.3">
      <c r="A3914" s="34">
        <v>35879</v>
      </c>
      <c r="B3914" s="35">
        <v>1</v>
      </c>
      <c r="C3914" s="35">
        <v>1</v>
      </c>
      <c r="D3914" s="2">
        <f t="shared" si="61"/>
        <v>2</v>
      </c>
    </row>
    <row r="3915" spans="1:4" x14ac:dyDescent="0.3">
      <c r="A3915" s="34">
        <v>35886</v>
      </c>
      <c r="B3915" s="35">
        <v>1</v>
      </c>
      <c r="C3915" s="35">
        <v>0</v>
      </c>
      <c r="D3915" s="2">
        <f t="shared" si="61"/>
        <v>1</v>
      </c>
    </row>
    <row r="3916" spans="1:4" x14ac:dyDescent="0.3">
      <c r="A3916" s="34">
        <v>35888</v>
      </c>
      <c r="B3916" s="35">
        <v>1</v>
      </c>
      <c r="C3916" s="35">
        <v>0</v>
      </c>
      <c r="D3916" s="2">
        <f t="shared" si="61"/>
        <v>1</v>
      </c>
    </row>
    <row r="3917" spans="1:4" x14ac:dyDescent="0.3">
      <c r="A3917" s="34">
        <v>35906</v>
      </c>
      <c r="B3917" s="35">
        <v>1</v>
      </c>
      <c r="C3917" s="35">
        <v>0</v>
      </c>
      <c r="D3917" s="2">
        <f t="shared" si="61"/>
        <v>1</v>
      </c>
    </row>
    <row r="3918" spans="1:4" x14ac:dyDescent="0.3">
      <c r="A3918" s="34">
        <v>35947</v>
      </c>
      <c r="B3918" s="35">
        <v>1</v>
      </c>
      <c r="C3918" s="35">
        <v>0</v>
      </c>
      <c r="D3918" s="2">
        <f t="shared" si="61"/>
        <v>1</v>
      </c>
    </row>
    <row r="3919" spans="1:4" x14ac:dyDescent="0.3">
      <c r="A3919" s="34">
        <v>35953</v>
      </c>
      <c r="B3919" s="35">
        <v>1</v>
      </c>
      <c r="C3919" s="35">
        <v>0</v>
      </c>
      <c r="D3919" s="2">
        <f t="shared" si="61"/>
        <v>1</v>
      </c>
    </row>
    <row r="3920" spans="1:4" x14ac:dyDescent="0.3">
      <c r="A3920" s="34">
        <v>35956</v>
      </c>
      <c r="B3920" s="35">
        <v>1</v>
      </c>
      <c r="C3920" s="35">
        <v>1</v>
      </c>
      <c r="D3920" s="2">
        <f t="shared" si="61"/>
        <v>2</v>
      </c>
    </row>
    <row r="3921" spans="1:4" x14ac:dyDescent="0.3">
      <c r="A3921" s="34">
        <v>35957</v>
      </c>
      <c r="B3921" s="35">
        <v>1</v>
      </c>
      <c r="C3921" s="35">
        <v>0</v>
      </c>
      <c r="D3921" s="2">
        <f t="shared" si="61"/>
        <v>1</v>
      </c>
    </row>
    <row r="3922" spans="1:4" x14ac:dyDescent="0.3">
      <c r="A3922" s="34">
        <v>35958</v>
      </c>
      <c r="B3922" s="35">
        <v>1</v>
      </c>
      <c r="C3922" s="35">
        <v>0</v>
      </c>
      <c r="D3922" s="2">
        <f t="shared" si="61"/>
        <v>1</v>
      </c>
    </row>
    <row r="3923" spans="1:4" x14ac:dyDescent="0.3">
      <c r="A3923" s="34">
        <v>35959</v>
      </c>
      <c r="B3923" s="35">
        <v>1</v>
      </c>
      <c r="C3923" s="35">
        <v>0</v>
      </c>
      <c r="D3923" s="2">
        <f t="shared" si="61"/>
        <v>1</v>
      </c>
    </row>
    <row r="3924" spans="1:4" x14ac:dyDescent="0.3">
      <c r="A3924" s="34">
        <v>35961</v>
      </c>
      <c r="B3924" s="35">
        <v>1</v>
      </c>
      <c r="C3924" s="35">
        <v>0</v>
      </c>
      <c r="D3924" s="2">
        <f t="shared" si="61"/>
        <v>1</v>
      </c>
    </row>
    <row r="3925" spans="1:4" x14ac:dyDescent="0.3">
      <c r="A3925" s="34">
        <v>35963</v>
      </c>
      <c r="B3925" s="35">
        <v>1</v>
      </c>
      <c r="C3925" s="35">
        <v>1</v>
      </c>
      <c r="D3925" s="2">
        <f t="shared" si="61"/>
        <v>2</v>
      </c>
    </row>
    <row r="3926" spans="1:4" x14ac:dyDescent="0.3">
      <c r="A3926" s="34">
        <v>35965</v>
      </c>
      <c r="B3926" s="35">
        <v>1</v>
      </c>
      <c r="C3926" s="35">
        <v>1</v>
      </c>
      <c r="D3926" s="2">
        <f t="shared" si="61"/>
        <v>2</v>
      </c>
    </row>
    <row r="3927" spans="1:4" x14ac:dyDescent="0.3">
      <c r="A3927" s="34">
        <v>35966</v>
      </c>
      <c r="B3927" s="35">
        <v>1</v>
      </c>
      <c r="C3927" s="35">
        <v>0</v>
      </c>
      <c r="D3927" s="2">
        <f t="shared" si="61"/>
        <v>1</v>
      </c>
    </row>
    <row r="3928" spans="1:4" x14ac:dyDescent="0.3">
      <c r="A3928" s="34">
        <v>35969</v>
      </c>
      <c r="B3928" s="35">
        <v>1</v>
      </c>
      <c r="C3928" s="35">
        <v>0</v>
      </c>
      <c r="D3928" s="2">
        <f t="shared" si="61"/>
        <v>1</v>
      </c>
    </row>
    <row r="3929" spans="1:4" x14ac:dyDescent="0.3">
      <c r="A3929" s="34">
        <v>35971</v>
      </c>
      <c r="B3929" s="35">
        <v>2</v>
      </c>
      <c r="C3929" s="35">
        <v>2</v>
      </c>
      <c r="D3929" s="2">
        <f t="shared" si="61"/>
        <v>4</v>
      </c>
    </row>
    <row r="3930" spans="1:4" x14ac:dyDescent="0.3">
      <c r="A3930" s="34">
        <v>35972</v>
      </c>
      <c r="B3930" s="35">
        <v>2</v>
      </c>
      <c r="C3930" s="35">
        <v>0</v>
      </c>
      <c r="D3930" s="2">
        <f t="shared" si="61"/>
        <v>2</v>
      </c>
    </row>
    <row r="3931" spans="1:4" x14ac:dyDescent="0.3">
      <c r="A3931" s="34">
        <v>35974</v>
      </c>
      <c r="B3931" s="35">
        <v>4</v>
      </c>
      <c r="C3931" s="35">
        <v>2</v>
      </c>
      <c r="D3931" s="2">
        <f t="shared" si="61"/>
        <v>6</v>
      </c>
    </row>
    <row r="3932" spans="1:4" x14ac:dyDescent="0.3">
      <c r="A3932" s="34">
        <v>35976</v>
      </c>
      <c r="B3932" s="35">
        <v>1</v>
      </c>
      <c r="C3932" s="35">
        <v>0</v>
      </c>
      <c r="D3932" s="2">
        <f t="shared" si="61"/>
        <v>1</v>
      </c>
    </row>
    <row r="3933" spans="1:4" x14ac:dyDescent="0.3">
      <c r="A3933" s="34">
        <v>35979</v>
      </c>
      <c r="B3933" s="35">
        <v>1</v>
      </c>
      <c r="C3933" s="35">
        <v>1</v>
      </c>
      <c r="D3933" s="2">
        <f t="shared" si="61"/>
        <v>2</v>
      </c>
    </row>
    <row r="3934" spans="1:4" x14ac:dyDescent="0.3">
      <c r="A3934" s="34">
        <v>35982</v>
      </c>
      <c r="B3934" s="35">
        <v>2</v>
      </c>
      <c r="C3934" s="35">
        <v>0</v>
      </c>
      <c r="D3934" s="2">
        <f t="shared" si="61"/>
        <v>2</v>
      </c>
    </row>
    <row r="3935" spans="1:4" x14ac:dyDescent="0.3">
      <c r="A3935" s="34">
        <v>35985</v>
      </c>
      <c r="B3935" s="35">
        <v>1</v>
      </c>
      <c r="C3935" s="35">
        <v>0</v>
      </c>
      <c r="D3935" s="2">
        <f t="shared" si="61"/>
        <v>1</v>
      </c>
    </row>
    <row r="3936" spans="1:4" x14ac:dyDescent="0.3">
      <c r="A3936" s="34">
        <v>35988</v>
      </c>
      <c r="B3936" s="35">
        <v>1</v>
      </c>
      <c r="C3936" s="35">
        <v>0</v>
      </c>
      <c r="D3936" s="2">
        <f t="shared" si="61"/>
        <v>1</v>
      </c>
    </row>
    <row r="3937" spans="1:4" x14ac:dyDescent="0.3">
      <c r="A3937" s="34">
        <v>35989</v>
      </c>
      <c r="B3937" s="35">
        <v>1</v>
      </c>
      <c r="C3937" s="35">
        <v>0</v>
      </c>
      <c r="D3937" s="2">
        <f t="shared" si="61"/>
        <v>1</v>
      </c>
    </row>
    <row r="3938" spans="1:4" x14ac:dyDescent="0.3">
      <c r="A3938" s="34">
        <v>35990</v>
      </c>
      <c r="B3938" s="35">
        <v>2</v>
      </c>
      <c r="C3938" s="35">
        <v>0</v>
      </c>
      <c r="D3938" s="2">
        <f t="shared" si="61"/>
        <v>2</v>
      </c>
    </row>
    <row r="3939" spans="1:4" x14ac:dyDescent="0.3">
      <c r="A3939" s="34">
        <v>35993</v>
      </c>
      <c r="B3939" s="35">
        <v>2</v>
      </c>
      <c r="C3939" s="35">
        <v>1</v>
      </c>
      <c r="D3939" s="2">
        <f t="shared" si="61"/>
        <v>3</v>
      </c>
    </row>
    <row r="3940" spans="1:4" x14ac:dyDescent="0.3">
      <c r="A3940" s="34">
        <v>35994</v>
      </c>
      <c r="B3940" s="35">
        <v>1</v>
      </c>
      <c r="C3940" s="35">
        <v>0</v>
      </c>
      <c r="D3940" s="2">
        <f t="shared" si="61"/>
        <v>1</v>
      </c>
    </row>
    <row r="3941" spans="1:4" x14ac:dyDescent="0.3">
      <c r="A3941" s="34">
        <v>35997</v>
      </c>
      <c r="B3941" s="35">
        <v>1</v>
      </c>
      <c r="C3941" s="35">
        <v>1</v>
      </c>
      <c r="D3941" s="2">
        <f t="shared" si="61"/>
        <v>2</v>
      </c>
    </row>
    <row r="3942" spans="1:4" x14ac:dyDescent="0.3">
      <c r="A3942" s="34">
        <v>36002</v>
      </c>
      <c r="B3942" s="35">
        <v>2</v>
      </c>
      <c r="C3942" s="35">
        <v>2</v>
      </c>
      <c r="D3942" s="2">
        <f t="shared" si="61"/>
        <v>4</v>
      </c>
    </row>
    <row r="3943" spans="1:4" x14ac:dyDescent="0.3">
      <c r="A3943" s="34">
        <v>36003</v>
      </c>
      <c r="B3943" s="35">
        <v>1</v>
      </c>
      <c r="C3943" s="35">
        <v>0</v>
      </c>
      <c r="D3943" s="2">
        <f t="shared" si="61"/>
        <v>1</v>
      </c>
    </row>
    <row r="3944" spans="1:4" x14ac:dyDescent="0.3">
      <c r="A3944" s="34">
        <v>36013</v>
      </c>
      <c r="B3944" s="35">
        <v>1</v>
      </c>
      <c r="C3944" s="35">
        <v>0</v>
      </c>
      <c r="D3944" s="2">
        <f t="shared" si="61"/>
        <v>1</v>
      </c>
    </row>
    <row r="3945" spans="1:4" x14ac:dyDescent="0.3">
      <c r="A3945" s="34">
        <v>36014</v>
      </c>
      <c r="B3945" s="35">
        <v>1</v>
      </c>
      <c r="C3945" s="35">
        <v>0</v>
      </c>
      <c r="D3945" s="2">
        <f t="shared" si="61"/>
        <v>1</v>
      </c>
    </row>
    <row r="3946" spans="1:4" x14ac:dyDescent="0.3">
      <c r="A3946" s="34">
        <v>36015</v>
      </c>
      <c r="B3946" s="35">
        <v>2</v>
      </c>
      <c r="C3946" s="35">
        <v>0</v>
      </c>
      <c r="D3946" s="2">
        <f t="shared" si="61"/>
        <v>2</v>
      </c>
    </row>
    <row r="3947" spans="1:4" x14ac:dyDescent="0.3">
      <c r="A3947" s="34">
        <v>36018</v>
      </c>
      <c r="B3947" s="35">
        <v>2</v>
      </c>
      <c r="C3947" s="35">
        <v>0</v>
      </c>
      <c r="D3947" s="2">
        <f t="shared" si="61"/>
        <v>2</v>
      </c>
    </row>
    <row r="3948" spans="1:4" x14ac:dyDescent="0.3">
      <c r="A3948" s="34">
        <v>36019</v>
      </c>
      <c r="B3948" s="35">
        <v>1</v>
      </c>
      <c r="C3948" s="35">
        <v>0</v>
      </c>
      <c r="D3948" s="2">
        <f t="shared" si="61"/>
        <v>1</v>
      </c>
    </row>
    <row r="3949" spans="1:4" x14ac:dyDescent="0.3">
      <c r="A3949" s="34">
        <v>36024</v>
      </c>
      <c r="B3949" s="35">
        <v>2</v>
      </c>
      <c r="C3949" s="35">
        <v>0</v>
      </c>
      <c r="D3949" s="2">
        <f t="shared" si="61"/>
        <v>2</v>
      </c>
    </row>
    <row r="3950" spans="1:4" x14ac:dyDescent="0.3">
      <c r="A3950" s="34">
        <v>36026</v>
      </c>
      <c r="B3950" s="35">
        <v>1</v>
      </c>
      <c r="C3950" s="35">
        <v>0</v>
      </c>
      <c r="D3950" s="2">
        <f t="shared" si="61"/>
        <v>1</v>
      </c>
    </row>
    <row r="3951" spans="1:4" x14ac:dyDescent="0.3">
      <c r="A3951" s="34">
        <v>36028</v>
      </c>
      <c r="B3951" s="35">
        <v>1</v>
      </c>
      <c r="C3951" s="35">
        <v>0</v>
      </c>
      <c r="D3951" s="2">
        <f t="shared" si="61"/>
        <v>1</v>
      </c>
    </row>
    <row r="3952" spans="1:4" x14ac:dyDescent="0.3">
      <c r="A3952" s="34">
        <v>36031</v>
      </c>
      <c r="B3952" s="35">
        <v>1</v>
      </c>
      <c r="C3952" s="35">
        <v>1</v>
      </c>
      <c r="D3952" s="2">
        <f t="shared" si="61"/>
        <v>2</v>
      </c>
    </row>
    <row r="3953" spans="1:4" x14ac:dyDescent="0.3">
      <c r="A3953" s="34">
        <v>36043</v>
      </c>
      <c r="B3953" s="35">
        <v>2</v>
      </c>
      <c r="C3953" s="35">
        <v>2</v>
      </c>
      <c r="D3953" s="2">
        <f t="shared" si="61"/>
        <v>4</v>
      </c>
    </row>
    <row r="3954" spans="1:4" x14ac:dyDescent="0.3">
      <c r="A3954" s="34">
        <v>36051</v>
      </c>
      <c r="B3954" s="35">
        <v>1</v>
      </c>
      <c r="C3954" s="35">
        <v>0</v>
      </c>
      <c r="D3954" s="2">
        <f t="shared" si="61"/>
        <v>1</v>
      </c>
    </row>
    <row r="3955" spans="1:4" x14ac:dyDescent="0.3">
      <c r="A3955" s="34">
        <v>36054</v>
      </c>
      <c r="B3955" s="35">
        <v>3</v>
      </c>
      <c r="C3955" s="35">
        <v>2</v>
      </c>
      <c r="D3955" s="2">
        <f t="shared" si="61"/>
        <v>5</v>
      </c>
    </row>
    <row r="3956" spans="1:4" x14ac:dyDescent="0.3">
      <c r="A3956" s="34">
        <v>36055</v>
      </c>
      <c r="B3956" s="35">
        <v>1</v>
      </c>
      <c r="C3956" s="35">
        <v>0</v>
      </c>
      <c r="D3956" s="2">
        <f t="shared" si="61"/>
        <v>1</v>
      </c>
    </row>
    <row r="3957" spans="1:4" x14ac:dyDescent="0.3">
      <c r="A3957" s="34">
        <v>36060</v>
      </c>
      <c r="B3957" s="35">
        <v>1</v>
      </c>
      <c r="C3957" s="35">
        <v>0</v>
      </c>
      <c r="D3957" s="2">
        <f t="shared" si="61"/>
        <v>1</v>
      </c>
    </row>
    <row r="3958" spans="1:4" x14ac:dyDescent="0.3">
      <c r="A3958" s="34">
        <v>36067</v>
      </c>
      <c r="B3958" s="35">
        <v>1</v>
      </c>
      <c r="C3958" s="35">
        <v>1</v>
      </c>
      <c r="D3958" s="2">
        <f t="shared" si="61"/>
        <v>2</v>
      </c>
    </row>
    <row r="3959" spans="1:4" x14ac:dyDescent="0.3">
      <c r="A3959" s="34">
        <v>36071</v>
      </c>
      <c r="B3959" s="35">
        <v>1</v>
      </c>
      <c r="C3959" s="35">
        <v>0</v>
      </c>
      <c r="D3959" s="2">
        <f t="shared" si="61"/>
        <v>1</v>
      </c>
    </row>
    <row r="3960" spans="1:4" x14ac:dyDescent="0.3">
      <c r="A3960" s="34">
        <v>36075</v>
      </c>
      <c r="B3960" s="35">
        <v>1</v>
      </c>
      <c r="C3960" s="35">
        <v>0</v>
      </c>
      <c r="D3960" s="2">
        <f t="shared" si="61"/>
        <v>1</v>
      </c>
    </row>
    <row r="3961" spans="1:4" x14ac:dyDescent="0.3">
      <c r="A3961" s="34">
        <v>36076</v>
      </c>
      <c r="B3961" s="35">
        <v>1</v>
      </c>
      <c r="C3961" s="35">
        <v>0</v>
      </c>
      <c r="D3961" s="2">
        <f t="shared" si="61"/>
        <v>1</v>
      </c>
    </row>
    <row r="3962" spans="1:4" x14ac:dyDescent="0.3">
      <c r="A3962" s="34">
        <v>36078</v>
      </c>
      <c r="B3962" s="35">
        <v>1</v>
      </c>
      <c r="C3962" s="35">
        <v>1</v>
      </c>
      <c r="D3962" s="2">
        <f t="shared" si="61"/>
        <v>2</v>
      </c>
    </row>
    <row r="3963" spans="1:4" x14ac:dyDescent="0.3">
      <c r="A3963" s="34">
        <v>36083</v>
      </c>
      <c r="B3963" s="35">
        <v>1</v>
      </c>
      <c r="C3963" s="35">
        <v>1</v>
      </c>
      <c r="D3963" s="2">
        <f t="shared" si="61"/>
        <v>2</v>
      </c>
    </row>
    <row r="3964" spans="1:4" x14ac:dyDescent="0.3">
      <c r="A3964" s="34">
        <v>36086</v>
      </c>
      <c r="B3964" s="35">
        <v>1</v>
      </c>
      <c r="C3964" s="35">
        <v>0</v>
      </c>
      <c r="D3964" s="2">
        <f t="shared" si="61"/>
        <v>1</v>
      </c>
    </row>
    <row r="3965" spans="1:4" x14ac:dyDescent="0.3">
      <c r="A3965" s="34">
        <v>36088</v>
      </c>
      <c r="B3965" s="35">
        <v>1</v>
      </c>
      <c r="C3965" s="35">
        <v>0</v>
      </c>
      <c r="D3965" s="2">
        <f t="shared" si="61"/>
        <v>1</v>
      </c>
    </row>
    <row r="3966" spans="1:4" x14ac:dyDescent="0.3">
      <c r="A3966" s="34">
        <v>36089</v>
      </c>
      <c r="B3966" s="35">
        <v>1</v>
      </c>
      <c r="C3966" s="35">
        <v>0</v>
      </c>
      <c r="D3966" s="2">
        <f t="shared" si="61"/>
        <v>1</v>
      </c>
    </row>
    <row r="3967" spans="1:4" x14ac:dyDescent="0.3">
      <c r="A3967" s="34">
        <v>36090</v>
      </c>
      <c r="B3967" s="35">
        <v>1</v>
      </c>
      <c r="C3967" s="35">
        <v>0</v>
      </c>
      <c r="D3967" s="2">
        <f t="shared" si="61"/>
        <v>1</v>
      </c>
    </row>
    <row r="3968" spans="1:4" x14ac:dyDescent="0.3">
      <c r="A3968" s="34">
        <v>36091</v>
      </c>
      <c r="B3968" s="35">
        <v>1</v>
      </c>
      <c r="C3968" s="35">
        <v>1</v>
      </c>
      <c r="D3968" s="2">
        <f t="shared" si="61"/>
        <v>2</v>
      </c>
    </row>
    <row r="3969" spans="1:4" x14ac:dyDescent="0.3">
      <c r="A3969" s="34">
        <v>36098</v>
      </c>
      <c r="B3969" s="35">
        <v>1</v>
      </c>
      <c r="C3969" s="35">
        <v>0</v>
      </c>
      <c r="D3969" s="2">
        <f t="shared" si="61"/>
        <v>1</v>
      </c>
    </row>
    <row r="3970" spans="1:4" x14ac:dyDescent="0.3">
      <c r="A3970" s="34">
        <v>36105</v>
      </c>
      <c r="B3970" s="35">
        <v>1</v>
      </c>
      <c r="C3970" s="35">
        <v>0</v>
      </c>
      <c r="D3970" s="2">
        <f t="shared" si="61"/>
        <v>1</v>
      </c>
    </row>
    <row r="3971" spans="1:4" x14ac:dyDescent="0.3">
      <c r="A3971" s="34">
        <v>36107</v>
      </c>
      <c r="B3971" s="35">
        <v>1</v>
      </c>
      <c r="C3971" s="35">
        <v>0</v>
      </c>
      <c r="D3971" s="2">
        <f t="shared" ref="D3971:D4034" si="62">B3971+C3971</f>
        <v>1</v>
      </c>
    </row>
    <row r="3972" spans="1:4" x14ac:dyDescent="0.3">
      <c r="A3972" s="34">
        <v>36112</v>
      </c>
      <c r="B3972" s="35">
        <v>1</v>
      </c>
      <c r="C3972" s="35">
        <v>0</v>
      </c>
      <c r="D3972" s="2">
        <f t="shared" si="62"/>
        <v>1</v>
      </c>
    </row>
    <row r="3973" spans="1:4" x14ac:dyDescent="0.3">
      <c r="A3973" s="34">
        <v>36116</v>
      </c>
      <c r="B3973" s="35">
        <v>2</v>
      </c>
      <c r="C3973" s="35">
        <v>2</v>
      </c>
      <c r="D3973" s="2">
        <f t="shared" si="62"/>
        <v>4</v>
      </c>
    </row>
    <row r="3974" spans="1:4" x14ac:dyDescent="0.3">
      <c r="A3974" s="34">
        <v>36117</v>
      </c>
      <c r="B3974" s="35">
        <v>1</v>
      </c>
      <c r="C3974" s="35">
        <v>0</v>
      </c>
      <c r="D3974" s="2">
        <f t="shared" si="62"/>
        <v>1</v>
      </c>
    </row>
    <row r="3975" spans="1:4" x14ac:dyDescent="0.3">
      <c r="A3975" s="34">
        <v>36119</v>
      </c>
      <c r="B3975" s="35">
        <v>1</v>
      </c>
      <c r="C3975" s="35">
        <v>0</v>
      </c>
      <c r="D3975" s="2">
        <f t="shared" si="62"/>
        <v>1</v>
      </c>
    </row>
    <row r="3976" spans="1:4" x14ac:dyDescent="0.3">
      <c r="A3976" s="34">
        <v>36121</v>
      </c>
      <c r="B3976" s="35">
        <v>1</v>
      </c>
      <c r="C3976" s="35">
        <v>0</v>
      </c>
      <c r="D3976" s="2">
        <f t="shared" si="62"/>
        <v>1</v>
      </c>
    </row>
    <row r="3977" spans="1:4" x14ac:dyDescent="0.3">
      <c r="A3977" s="34">
        <v>36122</v>
      </c>
      <c r="B3977" s="35">
        <v>1</v>
      </c>
      <c r="C3977" s="35">
        <v>0</v>
      </c>
      <c r="D3977" s="2">
        <f t="shared" si="62"/>
        <v>1</v>
      </c>
    </row>
    <row r="3978" spans="1:4" x14ac:dyDescent="0.3">
      <c r="A3978" s="34">
        <v>36123</v>
      </c>
      <c r="B3978" s="35">
        <v>1</v>
      </c>
      <c r="C3978" s="35">
        <v>0</v>
      </c>
      <c r="D3978" s="2">
        <f t="shared" si="62"/>
        <v>1</v>
      </c>
    </row>
    <row r="3979" spans="1:4" x14ac:dyDescent="0.3">
      <c r="A3979" s="34">
        <v>36127</v>
      </c>
      <c r="B3979" s="35">
        <v>1</v>
      </c>
      <c r="C3979" s="35">
        <v>0</v>
      </c>
      <c r="D3979" s="2">
        <f t="shared" si="62"/>
        <v>1</v>
      </c>
    </row>
    <row r="3980" spans="1:4" x14ac:dyDescent="0.3">
      <c r="A3980" s="34">
        <v>36142</v>
      </c>
      <c r="B3980" s="35">
        <v>1</v>
      </c>
      <c r="C3980" s="35">
        <v>0</v>
      </c>
      <c r="D3980" s="2">
        <f t="shared" si="62"/>
        <v>1</v>
      </c>
    </row>
    <row r="3981" spans="1:4" x14ac:dyDescent="0.3">
      <c r="A3981" s="34">
        <v>36152</v>
      </c>
      <c r="B3981" s="35">
        <v>1</v>
      </c>
      <c r="C3981" s="35">
        <v>0</v>
      </c>
      <c r="D3981" s="2">
        <f t="shared" si="62"/>
        <v>1</v>
      </c>
    </row>
    <row r="3982" spans="1:4" x14ac:dyDescent="0.3">
      <c r="A3982" s="34">
        <v>36209</v>
      </c>
      <c r="B3982" s="35">
        <v>1</v>
      </c>
      <c r="C3982" s="35">
        <v>0</v>
      </c>
      <c r="D3982" s="2">
        <f t="shared" si="62"/>
        <v>1</v>
      </c>
    </row>
    <row r="3983" spans="1:4" x14ac:dyDescent="0.3">
      <c r="A3983" s="34">
        <v>36211</v>
      </c>
      <c r="B3983" s="35">
        <v>1</v>
      </c>
      <c r="C3983" s="35">
        <v>0</v>
      </c>
      <c r="D3983" s="2">
        <f t="shared" si="62"/>
        <v>1</v>
      </c>
    </row>
    <row r="3984" spans="1:4" x14ac:dyDescent="0.3">
      <c r="A3984" s="34">
        <v>36212</v>
      </c>
      <c r="B3984" s="35">
        <v>1</v>
      </c>
      <c r="C3984" s="35">
        <v>0</v>
      </c>
      <c r="D3984" s="2">
        <f t="shared" si="62"/>
        <v>1</v>
      </c>
    </row>
    <row r="3985" spans="1:4" x14ac:dyDescent="0.3">
      <c r="A3985" s="34">
        <v>36213</v>
      </c>
      <c r="B3985" s="35">
        <v>1</v>
      </c>
      <c r="C3985" s="35">
        <v>1</v>
      </c>
      <c r="D3985" s="2">
        <f t="shared" si="62"/>
        <v>2</v>
      </c>
    </row>
    <row r="3986" spans="1:4" x14ac:dyDescent="0.3">
      <c r="A3986" s="34">
        <v>36218</v>
      </c>
      <c r="B3986" s="35">
        <v>1</v>
      </c>
      <c r="C3986" s="35">
        <v>0</v>
      </c>
      <c r="D3986" s="2">
        <f t="shared" si="62"/>
        <v>1</v>
      </c>
    </row>
    <row r="3987" spans="1:4" x14ac:dyDescent="0.3">
      <c r="A3987" s="34">
        <v>36219</v>
      </c>
      <c r="B3987" s="35">
        <v>1</v>
      </c>
      <c r="C3987" s="35">
        <v>1</v>
      </c>
      <c r="D3987" s="2">
        <f t="shared" si="62"/>
        <v>2</v>
      </c>
    </row>
    <row r="3988" spans="1:4" x14ac:dyDescent="0.3">
      <c r="A3988" s="34">
        <v>36229</v>
      </c>
      <c r="B3988" s="35">
        <v>1</v>
      </c>
      <c r="C3988" s="35">
        <v>0</v>
      </c>
      <c r="D3988" s="2">
        <f t="shared" si="62"/>
        <v>1</v>
      </c>
    </row>
    <row r="3989" spans="1:4" x14ac:dyDescent="0.3">
      <c r="A3989" s="34">
        <v>36230</v>
      </c>
      <c r="B3989" s="35">
        <v>1</v>
      </c>
      <c r="C3989" s="35">
        <v>0</v>
      </c>
      <c r="D3989" s="2">
        <f t="shared" si="62"/>
        <v>1</v>
      </c>
    </row>
    <row r="3990" spans="1:4" x14ac:dyDescent="0.3">
      <c r="A3990" s="34">
        <v>36232</v>
      </c>
      <c r="B3990" s="35">
        <v>1</v>
      </c>
      <c r="C3990" s="35">
        <v>0</v>
      </c>
      <c r="D3990" s="2">
        <f t="shared" si="62"/>
        <v>1</v>
      </c>
    </row>
    <row r="3991" spans="1:4" x14ac:dyDescent="0.3">
      <c r="A3991" s="34">
        <v>36234</v>
      </c>
      <c r="B3991" s="35">
        <v>2</v>
      </c>
      <c r="C3991" s="35">
        <v>2</v>
      </c>
      <c r="D3991" s="2">
        <f t="shared" si="62"/>
        <v>4</v>
      </c>
    </row>
    <row r="3992" spans="1:4" x14ac:dyDescent="0.3">
      <c r="A3992" s="34">
        <v>36237</v>
      </c>
      <c r="B3992" s="35">
        <v>1</v>
      </c>
      <c r="C3992" s="35">
        <v>0</v>
      </c>
      <c r="D3992" s="2">
        <f t="shared" si="62"/>
        <v>1</v>
      </c>
    </row>
    <row r="3993" spans="1:4" x14ac:dyDescent="0.3">
      <c r="A3993" s="34">
        <v>36241</v>
      </c>
      <c r="B3993" s="35">
        <v>1</v>
      </c>
      <c r="C3993" s="35">
        <v>0</v>
      </c>
      <c r="D3993" s="2">
        <f t="shared" si="62"/>
        <v>1</v>
      </c>
    </row>
    <row r="3994" spans="1:4" x14ac:dyDescent="0.3">
      <c r="A3994" s="34">
        <v>36247</v>
      </c>
      <c r="B3994" s="35">
        <v>1</v>
      </c>
      <c r="C3994" s="35">
        <v>0</v>
      </c>
      <c r="D3994" s="2">
        <f t="shared" si="62"/>
        <v>1</v>
      </c>
    </row>
    <row r="3995" spans="1:4" x14ac:dyDescent="0.3">
      <c r="A3995" s="34">
        <v>36248</v>
      </c>
      <c r="B3995" s="35">
        <v>1</v>
      </c>
      <c r="C3995" s="35">
        <v>1</v>
      </c>
      <c r="D3995" s="2">
        <f t="shared" si="62"/>
        <v>2</v>
      </c>
    </row>
    <row r="3996" spans="1:4" x14ac:dyDescent="0.3">
      <c r="A3996" s="34">
        <v>36257</v>
      </c>
      <c r="B3996" s="35">
        <v>4</v>
      </c>
      <c r="C3996" s="35">
        <v>2</v>
      </c>
      <c r="D3996" s="2">
        <f t="shared" si="62"/>
        <v>6</v>
      </c>
    </row>
    <row r="3997" spans="1:4" x14ac:dyDescent="0.3">
      <c r="A3997" s="34">
        <v>36258</v>
      </c>
      <c r="B3997" s="35">
        <v>1</v>
      </c>
      <c r="C3997" s="35">
        <v>0</v>
      </c>
      <c r="D3997" s="2">
        <f t="shared" si="62"/>
        <v>1</v>
      </c>
    </row>
    <row r="3998" spans="1:4" x14ac:dyDescent="0.3">
      <c r="A3998" s="34">
        <v>36259</v>
      </c>
      <c r="B3998" s="35">
        <v>1</v>
      </c>
      <c r="C3998" s="35">
        <v>0</v>
      </c>
      <c r="D3998" s="2">
        <f t="shared" si="62"/>
        <v>1</v>
      </c>
    </row>
    <row r="3999" spans="1:4" x14ac:dyDescent="0.3">
      <c r="A3999" s="34">
        <v>36260</v>
      </c>
      <c r="B3999" s="35">
        <v>1</v>
      </c>
      <c r="C3999" s="35">
        <v>0</v>
      </c>
      <c r="D3999" s="2">
        <f t="shared" si="62"/>
        <v>1</v>
      </c>
    </row>
    <row r="4000" spans="1:4" x14ac:dyDescent="0.3">
      <c r="A4000" s="34">
        <v>36261</v>
      </c>
      <c r="B4000" s="35">
        <v>1</v>
      </c>
      <c r="C4000" s="35">
        <v>0</v>
      </c>
      <c r="D4000" s="2">
        <f t="shared" si="62"/>
        <v>1</v>
      </c>
    </row>
    <row r="4001" spans="1:4" x14ac:dyDescent="0.3">
      <c r="A4001" s="34">
        <v>36293</v>
      </c>
      <c r="B4001" s="35">
        <v>1</v>
      </c>
      <c r="C4001" s="35">
        <v>0</v>
      </c>
      <c r="D4001" s="2">
        <f t="shared" si="62"/>
        <v>1</v>
      </c>
    </row>
    <row r="4002" spans="1:4" x14ac:dyDescent="0.3">
      <c r="A4002" s="34">
        <v>36349</v>
      </c>
      <c r="B4002" s="35">
        <v>1</v>
      </c>
      <c r="C4002" s="35">
        <v>0</v>
      </c>
      <c r="D4002" s="2">
        <f t="shared" si="62"/>
        <v>1</v>
      </c>
    </row>
    <row r="4003" spans="1:4" x14ac:dyDescent="0.3">
      <c r="A4003" s="34">
        <v>36350</v>
      </c>
      <c r="B4003" s="35">
        <v>2</v>
      </c>
      <c r="C4003" s="35">
        <v>0</v>
      </c>
      <c r="D4003" s="2">
        <f t="shared" si="62"/>
        <v>2</v>
      </c>
    </row>
    <row r="4004" spans="1:4" x14ac:dyDescent="0.3">
      <c r="A4004" s="34">
        <v>36353</v>
      </c>
      <c r="B4004" s="35">
        <v>1</v>
      </c>
      <c r="C4004" s="35">
        <v>0</v>
      </c>
      <c r="D4004" s="2">
        <f t="shared" si="62"/>
        <v>1</v>
      </c>
    </row>
    <row r="4005" spans="1:4" x14ac:dyDescent="0.3">
      <c r="A4005" s="34">
        <v>36359</v>
      </c>
      <c r="B4005" s="35">
        <v>1</v>
      </c>
      <c r="C4005" s="35">
        <v>0</v>
      </c>
      <c r="D4005" s="2">
        <f t="shared" si="62"/>
        <v>1</v>
      </c>
    </row>
    <row r="4006" spans="1:4" x14ac:dyDescent="0.3">
      <c r="A4006" s="34">
        <v>36360</v>
      </c>
      <c r="B4006" s="35">
        <v>1</v>
      </c>
      <c r="C4006" s="35">
        <v>1</v>
      </c>
      <c r="D4006" s="2">
        <f t="shared" si="62"/>
        <v>2</v>
      </c>
    </row>
    <row r="4007" spans="1:4" x14ac:dyDescent="0.3">
      <c r="A4007" s="34">
        <v>36361</v>
      </c>
      <c r="B4007" s="35">
        <v>1</v>
      </c>
      <c r="C4007" s="35">
        <v>0</v>
      </c>
      <c r="D4007" s="2">
        <f t="shared" si="62"/>
        <v>1</v>
      </c>
    </row>
    <row r="4008" spans="1:4" x14ac:dyDescent="0.3">
      <c r="A4008" s="34">
        <v>36362</v>
      </c>
      <c r="B4008" s="35">
        <v>1</v>
      </c>
      <c r="C4008" s="35">
        <v>0</v>
      </c>
      <c r="D4008" s="2">
        <f t="shared" si="62"/>
        <v>1</v>
      </c>
    </row>
    <row r="4009" spans="1:4" x14ac:dyDescent="0.3">
      <c r="A4009" s="34">
        <v>36365</v>
      </c>
      <c r="B4009" s="35">
        <v>1</v>
      </c>
      <c r="C4009" s="35">
        <v>1</v>
      </c>
      <c r="D4009" s="2">
        <f t="shared" si="62"/>
        <v>2</v>
      </c>
    </row>
    <row r="4010" spans="1:4" x14ac:dyDescent="0.3">
      <c r="A4010" s="34">
        <v>36367</v>
      </c>
      <c r="B4010" s="35">
        <v>1</v>
      </c>
      <c r="C4010" s="35">
        <v>0</v>
      </c>
      <c r="D4010" s="2">
        <f t="shared" si="62"/>
        <v>1</v>
      </c>
    </row>
    <row r="4011" spans="1:4" x14ac:dyDescent="0.3">
      <c r="A4011" s="34">
        <v>36368</v>
      </c>
      <c r="B4011" s="35">
        <v>1</v>
      </c>
      <c r="C4011" s="35">
        <v>1</v>
      </c>
      <c r="D4011" s="2">
        <f t="shared" si="62"/>
        <v>2</v>
      </c>
    </row>
    <row r="4012" spans="1:4" x14ac:dyDescent="0.3">
      <c r="A4012" s="34">
        <v>36370</v>
      </c>
      <c r="B4012" s="35">
        <v>1</v>
      </c>
      <c r="C4012" s="35">
        <v>0</v>
      </c>
      <c r="D4012" s="2">
        <f t="shared" si="62"/>
        <v>1</v>
      </c>
    </row>
    <row r="4013" spans="1:4" x14ac:dyDescent="0.3">
      <c r="A4013" s="34">
        <v>36374</v>
      </c>
      <c r="B4013" s="35">
        <v>1</v>
      </c>
      <c r="C4013" s="35">
        <v>0</v>
      </c>
      <c r="D4013" s="2">
        <f t="shared" si="62"/>
        <v>1</v>
      </c>
    </row>
    <row r="4014" spans="1:4" x14ac:dyDescent="0.3">
      <c r="A4014" s="34">
        <v>36381</v>
      </c>
      <c r="B4014" s="35">
        <v>1</v>
      </c>
      <c r="C4014" s="35">
        <v>0</v>
      </c>
      <c r="D4014" s="2">
        <f t="shared" si="62"/>
        <v>1</v>
      </c>
    </row>
    <row r="4015" spans="1:4" x14ac:dyDescent="0.3">
      <c r="A4015" s="34">
        <v>36382</v>
      </c>
      <c r="B4015" s="35">
        <v>1</v>
      </c>
      <c r="C4015" s="35">
        <v>0</v>
      </c>
      <c r="D4015" s="2">
        <f t="shared" si="62"/>
        <v>1</v>
      </c>
    </row>
    <row r="4016" spans="1:4" x14ac:dyDescent="0.3">
      <c r="A4016" s="34">
        <v>36383</v>
      </c>
      <c r="B4016" s="35">
        <v>1</v>
      </c>
      <c r="C4016" s="35">
        <v>0</v>
      </c>
      <c r="D4016" s="2">
        <f t="shared" si="62"/>
        <v>1</v>
      </c>
    </row>
    <row r="4017" spans="1:4" x14ac:dyDescent="0.3">
      <c r="A4017" s="34">
        <v>36388</v>
      </c>
      <c r="B4017" s="35">
        <v>1</v>
      </c>
      <c r="C4017" s="35">
        <v>0</v>
      </c>
      <c r="D4017" s="2">
        <f t="shared" si="62"/>
        <v>1</v>
      </c>
    </row>
    <row r="4018" spans="1:4" x14ac:dyDescent="0.3">
      <c r="A4018" s="34">
        <v>36390</v>
      </c>
      <c r="B4018" s="35">
        <v>1</v>
      </c>
      <c r="C4018" s="35">
        <v>0</v>
      </c>
      <c r="D4018" s="2">
        <f t="shared" si="62"/>
        <v>1</v>
      </c>
    </row>
    <row r="4019" spans="1:4" x14ac:dyDescent="0.3">
      <c r="A4019" s="34">
        <v>36391</v>
      </c>
      <c r="B4019" s="35">
        <v>1</v>
      </c>
      <c r="C4019" s="35">
        <v>0</v>
      </c>
      <c r="D4019" s="2">
        <f t="shared" si="62"/>
        <v>1</v>
      </c>
    </row>
    <row r="4020" spans="1:4" x14ac:dyDescent="0.3">
      <c r="A4020" s="34">
        <v>36392</v>
      </c>
      <c r="B4020" s="35">
        <v>1</v>
      </c>
      <c r="C4020" s="35">
        <v>0</v>
      </c>
      <c r="D4020" s="2">
        <f t="shared" si="62"/>
        <v>1</v>
      </c>
    </row>
    <row r="4021" spans="1:4" x14ac:dyDescent="0.3">
      <c r="A4021" s="34">
        <v>36396</v>
      </c>
      <c r="B4021" s="35">
        <v>1</v>
      </c>
      <c r="C4021" s="35">
        <v>1</v>
      </c>
      <c r="D4021" s="2">
        <f t="shared" si="62"/>
        <v>2</v>
      </c>
    </row>
    <row r="4022" spans="1:4" x14ac:dyDescent="0.3">
      <c r="A4022" s="34">
        <v>36397</v>
      </c>
      <c r="B4022" s="35">
        <v>1</v>
      </c>
      <c r="C4022" s="35">
        <v>0</v>
      </c>
      <c r="D4022" s="2">
        <f t="shared" si="62"/>
        <v>1</v>
      </c>
    </row>
    <row r="4023" spans="1:4" x14ac:dyDescent="0.3">
      <c r="A4023" s="34">
        <v>36398</v>
      </c>
      <c r="B4023" s="35">
        <v>1</v>
      </c>
      <c r="C4023" s="35">
        <v>0</v>
      </c>
      <c r="D4023" s="2">
        <f t="shared" si="62"/>
        <v>1</v>
      </c>
    </row>
    <row r="4024" spans="1:4" x14ac:dyDescent="0.3">
      <c r="A4024" s="34">
        <v>36404</v>
      </c>
      <c r="B4024" s="35">
        <v>1</v>
      </c>
      <c r="C4024" s="35">
        <v>1</v>
      </c>
      <c r="D4024" s="2">
        <f t="shared" si="62"/>
        <v>2</v>
      </c>
    </row>
    <row r="4025" spans="1:4" x14ac:dyDescent="0.3">
      <c r="A4025" s="34">
        <v>36409</v>
      </c>
      <c r="B4025" s="35">
        <v>1</v>
      </c>
      <c r="C4025" s="35">
        <v>0</v>
      </c>
      <c r="D4025" s="2">
        <f t="shared" si="62"/>
        <v>1</v>
      </c>
    </row>
    <row r="4026" spans="1:4" x14ac:dyDescent="0.3">
      <c r="A4026" s="34">
        <v>36410</v>
      </c>
      <c r="B4026" s="35">
        <v>1</v>
      </c>
      <c r="C4026" s="35">
        <v>1</v>
      </c>
      <c r="D4026" s="2">
        <f t="shared" si="62"/>
        <v>2</v>
      </c>
    </row>
    <row r="4027" spans="1:4" x14ac:dyDescent="0.3">
      <c r="A4027" s="34">
        <v>36411</v>
      </c>
      <c r="B4027" s="35">
        <v>1</v>
      </c>
      <c r="C4027" s="35">
        <v>0</v>
      </c>
      <c r="D4027" s="2">
        <f t="shared" si="62"/>
        <v>1</v>
      </c>
    </row>
    <row r="4028" spans="1:4" x14ac:dyDescent="0.3">
      <c r="A4028" s="34">
        <v>36414</v>
      </c>
      <c r="B4028" s="35">
        <v>1</v>
      </c>
      <c r="C4028" s="35">
        <v>0</v>
      </c>
      <c r="D4028" s="2">
        <f t="shared" si="62"/>
        <v>1</v>
      </c>
    </row>
    <row r="4029" spans="1:4" x14ac:dyDescent="0.3">
      <c r="A4029" s="34">
        <v>36418</v>
      </c>
      <c r="B4029" s="35">
        <v>1</v>
      </c>
      <c r="C4029" s="35">
        <v>1</v>
      </c>
      <c r="D4029" s="2">
        <f t="shared" si="62"/>
        <v>2</v>
      </c>
    </row>
    <row r="4030" spans="1:4" x14ac:dyDescent="0.3">
      <c r="A4030" s="34">
        <v>36428</v>
      </c>
      <c r="B4030" s="35">
        <v>1</v>
      </c>
      <c r="C4030" s="35">
        <v>0</v>
      </c>
      <c r="D4030" s="2">
        <f t="shared" si="62"/>
        <v>1</v>
      </c>
    </row>
    <row r="4031" spans="1:4" x14ac:dyDescent="0.3">
      <c r="A4031" s="34">
        <v>36434</v>
      </c>
      <c r="B4031" s="35">
        <v>1</v>
      </c>
      <c r="C4031" s="35">
        <v>0</v>
      </c>
      <c r="D4031" s="2">
        <f t="shared" si="62"/>
        <v>1</v>
      </c>
    </row>
    <row r="4032" spans="1:4" x14ac:dyDescent="0.3">
      <c r="A4032" s="34">
        <v>36437</v>
      </c>
      <c r="B4032" s="35">
        <v>1</v>
      </c>
      <c r="C4032" s="35">
        <v>0</v>
      </c>
      <c r="D4032" s="2">
        <f t="shared" si="62"/>
        <v>1</v>
      </c>
    </row>
    <row r="4033" spans="1:4" x14ac:dyDescent="0.3">
      <c r="A4033" s="34">
        <v>36440</v>
      </c>
      <c r="B4033" s="35">
        <v>1</v>
      </c>
      <c r="C4033" s="35">
        <v>0</v>
      </c>
      <c r="D4033" s="2">
        <f t="shared" si="62"/>
        <v>1</v>
      </c>
    </row>
    <row r="4034" spans="1:4" x14ac:dyDescent="0.3">
      <c r="A4034" s="34">
        <v>36442</v>
      </c>
      <c r="B4034" s="35">
        <v>1</v>
      </c>
      <c r="C4034" s="35">
        <v>0</v>
      </c>
      <c r="D4034" s="2">
        <f t="shared" si="62"/>
        <v>1</v>
      </c>
    </row>
    <row r="4035" spans="1:4" x14ac:dyDescent="0.3">
      <c r="A4035" s="34">
        <v>36445</v>
      </c>
      <c r="B4035" s="35">
        <v>1</v>
      </c>
      <c r="C4035" s="35">
        <v>0</v>
      </c>
      <c r="D4035" s="2">
        <f t="shared" ref="D4035:D4098" si="63">B4035+C4035</f>
        <v>1</v>
      </c>
    </row>
    <row r="4036" spans="1:4" x14ac:dyDescent="0.3">
      <c r="A4036" s="34">
        <v>36447</v>
      </c>
      <c r="B4036" s="35">
        <v>1</v>
      </c>
      <c r="C4036" s="35">
        <v>0</v>
      </c>
      <c r="D4036" s="2">
        <f t="shared" si="63"/>
        <v>1</v>
      </c>
    </row>
    <row r="4037" spans="1:4" x14ac:dyDescent="0.3">
      <c r="A4037" s="34">
        <v>36449</v>
      </c>
      <c r="B4037" s="35">
        <v>1</v>
      </c>
      <c r="C4037" s="35">
        <v>0</v>
      </c>
      <c r="D4037" s="2">
        <f t="shared" si="63"/>
        <v>1</v>
      </c>
    </row>
    <row r="4038" spans="1:4" x14ac:dyDescent="0.3">
      <c r="A4038" s="34">
        <v>36451</v>
      </c>
      <c r="B4038" s="35">
        <v>1</v>
      </c>
      <c r="C4038" s="35">
        <v>0</v>
      </c>
      <c r="D4038" s="2">
        <f t="shared" si="63"/>
        <v>1</v>
      </c>
    </row>
    <row r="4039" spans="1:4" x14ac:dyDescent="0.3">
      <c r="A4039" s="34">
        <v>36453</v>
      </c>
      <c r="B4039" s="35">
        <v>1</v>
      </c>
      <c r="C4039" s="35">
        <v>0</v>
      </c>
      <c r="D4039" s="2">
        <f t="shared" si="63"/>
        <v>1</v>
      </c>
    </row>
    <row r="4040" spans="1:4" x14ac:dyDescent="0.3">
      <c r="A4040" s="34">
        <v>36455</v>
      </c>
      <c r="B4040" s="35">
        <v>2</v>
      </c>
      <c r="C4040" s="35">
        <v>0</v>
      </c>
      <c r="D4040" s="2">
        <f t="shared" si="63"/>
        <v>2</v>
      </c>
    </row>
    <row r="4041" spans="1:4" x14ac:dyDescent="0.3">
      <c r="A4041" s="34">
        <v>36456</v>
      </c>
      <c r="B4041" s="35">
        <v>1</v>
      </c>
      <c r="C4041" s="35">
        <v>0</v>
      </c>
      <c r="D4041" s="2">
        <f t="shared" si="63"/>
        <v>1</v>
      </c>
    </row>
    <row r="4042" spans="1:4" x14ac:dyDescent="0.3">
      <c r="A4042" s="34">
        <v>36457</v>
      </c>
      <c r="B4042" s="35">
        <v>1</v>
      </c>
      <c r="C4042" s="35">
        <v>0</v>
      </c>
      <c r="D4042" s="2">
        <f t="shared" si="63"/>
        <v>1</v>
      </c>
    </row>
    <row r="4043" spans="1:4" x14ac:dyDescent="0.3">
      <c r="A4043" s="34">
        <v>36459</v>
      </c>
      <c r="B4043" s="35">
        <v>1</v>
      </c>
      <c r="C4043" s="35">
        <v>0</v>
      </c>
      <c r="D4043" s="2">
        <f t="shared" si="63"/>
        <v>1</v>
      </c>
    </row>
    <row r="4044" spans="1:4" x14ac:dyDescent="0.3">
      <c r="A4044" s="34">
        <v>36465</v>
      </c>
      <c r="B4044" s="35">
        <v>1</v>
      </c>
      <c r="C4044" s="35">
        <v>0</v>
      </c>
      <c r="D4044" s="2">
        <f t="shared" si="63"/>
        <v>1</v>
      </c>
    </row>
    <row r="4045" spans="1:4" x14ac:dyDescent="0.3">
      <c r="A4045" s="34">
        <v>36466</v>
      </c>
      <c r="B4045" s="35">
        <v>1</v>
      </c>
      <c r="C4045" s="35">
        <v>1</v>
      </c>
      <c r="D4045" s="2">
        <f t="shared" si="63"/>
        <v>2</v>
      </c>
    </row>
    <row r="4046" spans="1:4" x14ac:dyDescent="0.3">
      <c r="A4046" s="34">
        <v>36472</v>
      </c>
      <c r="B4046" s="35">
        <v>2</v>
      </c>
      <c r="C4046" s="35">
        <v>2</v>
      </c>
      <c r="D4046" s="2">
        <f t="shared" si="63"/>
        <v>4</v>
      </c>
    </row>
    <row r="4047" spans="1:4" x14ac:dyDescent="0.3">
      <c r="A4047" s="34">
        <v>36473</v>
      </c>
      <c r="B4047" s="35">
        <v>1</v>
      </c>
      <c r="C4047" s="35">
        <v>1</v>
      </c>
      <c r="D4047" s="2">
        <f t="shared" si="63"/>
        <v>2</v>
      </c>
    </row>
    <row r="4048" spans="1:4" x14ac:dyDescent="0.3">
      <c r="A4048" s="34">
        <v>36474</v>
      </c>
      <c r="B4048" s="35">
        <v>1</v>
      </c>
      <c r="C4048" s="35">
        <v>0</v>
      </c>
      <c r="D4048" s="2">
        <f t="shared" si="63"/>
        <v>1</v>
      </c>
    </row>
    <row r="4049" spans="1:4" x14ac:dyDescent="0.3">
      <c r="A4049" s="34">
        <v>36475</v>
      </c>
      <c r="B4049" s="35">
        <v>1</v>
      </c>
      <c r="C4049" s="35">
        <v>0</v>
      </c>
      <c r="D4049" s="2">
        <f t="shared" si="63"/>
        <v>1</v>
      </c>
    </row>
    <row r="4050" spans="1:4" x14ac:dyDescent="0.3">
      <c r="A4050" s="34">
        <v>36476</v>
      </c>
      <c r="B4050" s="35">
        <v>3</v>
      </c>
      <c r="C4050" s="35">
        <v>1</v>
      </c>
      <c r="D4050" s="2">
        <f t="shared" si="63"/>
        <v>4</v>
      </c>
    </row>
    <row r="4051" spans="1:4" x14ac:dyDescent="0.3">
      <c r="A4051" s="34">
        <v>36477</v>
      </c>
      <c r="B4051" s="35">
        <v>1</v>
      </c>
      <c r="C4051" s="35">
        <v>0</v>
      </c>
      <c r="D4051" s="2">
        <f t="shared" si="63"/>
        <v>1</v>
      </c>
    </row>
    <row r="4052" spans="1:4" x14ac:dyDescent="0.3">
      <c r="A4052" s="34">
        <v>36478</v>
      </c>
      <c r="B4052" s="35">
        <v>2</v>
      </c>
      <c r="C4052" s="35">
        <v>1</v>
      </c>
      <c r="D4052" s="2">
        <f t="shared" si="63"/>
        <v>3</v>
      </c>
    </row>
    <row r="4053" spans="1:4" x14ac:dyDescent="0.3">
      <c r="A4053" s="34">
        <v>36479</v>
      </c>
      <c r="B4053" s="35">
        <v>1</v>
      </c>
      <c r="C4053" s="35">
        <v>0</v>
      </c>
      <c r="D4053" s="2">
        <f t="shared" si="63"/>
        <v>1</v>
      </c>
    </row>
    <row r="4054" spans="1:4" x14ac:dyDescent="0.3">
      <c r="A4054" s="34">
        <v>36481</v>
      </c>
      <c r="B4054" s="35">
        <v>1</v>
      </c>
      <c r="C4054" s="35">
        <v>0</v>
      </c>
      <c r="D4054" s="2">
        <f t="shared" si="63"/>
        <v>1</v>
      </c>
    </row>
    <row r="4055" spans="1:4" x14ac:dyDescent="0.3">
      <c r="A4055" s="34">
        <v>36482</v>
      </c>
      <c r="B4055" s="35">
        <v>1</v>
      </c>
      <c r="C4055" s="35">
        <v>0</v>
      </c>
      <c r="D4055" s="2">
        <f t="shared" si="63"/>
        <v>1</v>
      </c>
    </row>
    <row r="4056" spans="1:4" x14ac:dyDescent="0.3">
      <c r="A4056" s="34">
        <v>36483</v>
      </c>
      <c r="B4056" s="35">
        <v>1</v>
      </c>
      <c r="C4056" s="35">
        <v>0</v>
      </c>
      <c r="D4056" s="2">
        <f t="shared" si="63"/>
        <v>1</v>
      </c>
    </row>
    <row r="4057" spans="1:4" x14ac:dyDescent="0.3">
      <c r="A4057" s="34">
        <v>36484</v>
      </c>
      <c r="B4057" s="35">
        <v>1</v>
      </c>
      <c r="C4057" s="35">
        <v>0</v>
      </c>
      <c r="D4057" s="2">
        <f t="shared" si="63"/>
        <v>1</v>
      </c>
    </row>
    <row r="4058" spans="1:4" x14ac:dyDescent="0.3">
      <c r="A4058" s="34">
        <v>36486</v>
      </c>
      <c r="B4058" s="35">
        <v>1</v>
      </c>
      <c r="C4058" s="35">
        <v>0</v>
      </c>
      <c r="D4058" s="2">
        <f t="shared" si="63"/>
        <v>1</v>
      </c>
    </row>
    <row r="4059" spans="1:4" x14ac:dyDescent="0.3">
      <c r="A4059" s="34">
        <v>36490</v>
      </c>
      <c r="B4059" s="35">
        <v>1</v>
      </c>
      <c r="C4059" s="35">
        <v>0</v>
      </c>
      <c r="D4059" s="2">
        <f t="shared" si="63"/>
        <v>1</v>
      </c>
    </row>
    <row r="4060" spans="1:4" x14ac:dyDescent="0.3">
      <c r="A4060" s="34">
        <v>36492</v>
      </c>
      <c r="B4060" s="35">
        <v>1</v>
      </c>
      <c r="C4060" s="35">
        <v>0</v>
      </c>
      <c r="D4060" s="2">
        <f t="shared" si="63"/>
        <v>1</v>
      </c>
    </row>
    <row r="4061" spans="1:4" x14ac:dyDescent="0.3">
      <c r="A4061" s="34">
        <v>36495</v>
      </c>
      <c r="B4061" s="35">
        <v>1</v>
      </c>
      <c r="C4061" s="35">
        <v>0</v>
      </c>
      <c r="D4061" s="2">
        <f t="shared" si="63"/>
        <v>1</v>
      </c>
    </row>
    <row r="4062" spans="1:4" x14ac:dyDescent="0.3">
      <c r="A4062" s="34">
        <v>36496</v>
      </c>
      <c r="B4062" s="35">
        <v>1</v>
      </c>
      <c r="C4062" s="35">
        <v>0</v>
      </c>
      <c r="D4062" s="2">
        <f t="shared" si="63"/>
        <v>1</v>
      </c>
    </row>
    <row r="4063" spans="1:4" x14ac:dyDescent="0.3">
      <c r="A4063" s="34">
        <v>36508</v>
      </c>
      <c r="B4063" s="35">
        <v>1</v>
      </c>
      <c r="C4063" s="35">
        <v>0</v>
      </c>
      <c r="D4063" s="2">
        <f t="shared" si="63"/>
        <v>1</v>
      </c>
    </row>
    <row r="4064" spans="1:4" x14ac:dyDescent="0.3">
      <c r="A4064" s="34">
        <v>36510</v>
      </c>
      <c r="B4064" s="35">
        <v>1</v>
      </c>
      <c r="C4064" s="35">
        <v>1</v>
      </c>
      <c r="D4064" s="2">
        <f t="shared" si="63"/>
        <v>2</v>
      </c>
    </row>
    <row r="4065" spans="1:4" x14ac:dyDescent="0.3">
      <c r="A4065" s="34">
        <v>36513</v>
      </c>
      <c r="B4065" s="35">
        <v>1</v>
      </c>
      <c r="C4065" s="35">
        <v>1</v>
      </c>
      <c r="D4065" s="2">
        <f t="shared" si="63"/>
        <v>2</v>
      </c>
    </row>
    <row r="4066" spans="1:4" x14ac:dyDescent="0.3">
      <c r="A4066" s="34">
        <v>36514</v>
      </c>
      <c r="B4066" s="35">
        <v>1</v>
      </c>
      <c r="C4066" s="35">
        <v>0</v>
      </c>
      <c r="D4066" s="2">
        <f t="shared" si="63"/>
        <v>1</v>
      </c>
    </row>
    <row r="4067" spans="1:4" x14ac:dyDescent="0.3">
      <c r="A4067" s="34">
        <v>36516</v>
      </c>
      <c r="B4067" s="35">
        <v>1</v>
      </c>
      <c r="C4067" s="35">
        <v>0</v>
      </c>
      <c r="D4067" s="2">
        <f t="shared" si="63"/>
        <v>1</v>
      </c>
    </row>
    <row r="4068" spans="1:4" x14ac:dyDescent="0.3">
      <c r="A4068" s="34">
        <v>36527</v>
      </c>
      <c r="B4068" s="35">
        <v>1</v>
      </c>
      <c r="C4068" s="35">
        <v>1</v>
      </c>
      <c r="D4068" s="2">
        <f t="shared" si="63"/>
        <v>2</v>
      </c>
    </row>
    <row r="4069" spans="1:4" x14ac:dyDescent="0.3">
      <c r="A4069" s="34">
        <v>36528</v>
      </c>
      <c r="B4069" s="35">
        <v>2</v>
      </c>
      <c r="C4069" s="35">
        <v>0</v>
      </c>
      <c r="D4069" s="2">
        <f t="shared" si="63"/>
        <v>2</v>
      </c>
    </row>
    <row r="4070" spans="1:4" x14ac:dyDescent="0.3">
      <c r="A4070" s="34">
        <v>36532</v>
      </c>
      <c r="B4070" s="35">
        <v>1</v>
      </c>
      <c r="C4070" s="35">
        <v>0</v>
      </c>
      <c r="D4070" s="2">
        <f t="shared" si="63"/>
        <v>1</v>
      </c>
    </row>
    <row r="4071" spans="1:4" x14ac:dyDescent="0.3">
      <c r="A4071" s="34">
        <v>36659</v>
      </c>
      <c r="B4071" s="35">
        <v>1</v>
      </c>
      <c r="C4071" s="35">
        <v>0</v>
      </c>
      <c r="D4071" s="2">
        <f t="shared" si="63"/>
        <v>1</v>
      </c>
    </row>
    <row r="4072" spans="1:4" x14ac:dyDescent="0.3">
      <c r="A4072" s="34">
        <v>36661</v>
      </c>
      <c r="B4072" s="35">
        <v>1</v>
      </c>
      <c r="C4072" s="35">
        <v>0</v>
      </c>
      <c r="D4072" s="2">
        <f t="shared" si="63"/>
        <v>1</v>
      </c>
    </row>
    <row r="4073" spans="1:4" x14ac:dyDescent="0.3">
      <c r="A4073" s="34">
        <v>36662</v>
      </c>
      <c r="B4073" s="35">
        <v>1</v>
      </c>
      <c r="C4073" s="35">
        <v>1</v>
      </c>
      <c r="D4073" s="2">
        <f t="shared" si="63"/>
        <v>2</v>
      </c>
    </row>
    <row r="4074" spans="1:4" x14ac:dyDescent="0.3">
      <c r="A4074" s="34">
        <v>36663</v>
      </c>
      <c r="B4074" s="35">
        <v>1</v>
      </c>
      <c r="C4074" s="35">
        <v>0</v>
      </c>
      <c r="D4074" s="2">
        <f t="shared" si="63"/>
        <v>1</v>
      </c>
    </row>
    <row r="4075" spans="1:4" x14ac:dyDescent="0.3">
      <c r="A4075" s="34">
        <v>36666</v>
      </c>
      <c r="B4075" s="35">
        <v>1</v>
      </c>
      <c r="C4075" s="35">
        <v>0</v>
      </c>
      <c r="D4075" s="2">
        <f t="shared" si="63"/>
        <v>1</v>
      </c>
    </row>
    <row r="4076" spans="1:4" x14ac:dyDescent="0.3">
      <c r="A4076" s="34">
        <v>36667</v>
      </c>
      <c r="B4076" s="35">
        <v>1</v>
      </c>
      <c r="C4076" s="35">
        <v>0</v>
      </c>
      <c r="D4076" s="2">
        <f t="shared" si="63"/>
        <v>1</v>
      </c>
    </row>
    <row r="4077" spans="1:4" x14ac:dyDescent="0.3">
      <c r="A4077" s="34">
        <v>36668</v>
      </c>
      <c r="B4077" s="35">
        <v>1</v>
      </c>
      <c r="C4077" s="35">
        <v>0</v>
      </c>
      <c r="D4077" s="2">
        <f t="shared" si="63"/>
        <v>1</v>
      </c>
    </row>
    <row r="4078" spans="1:4" x14ac:dyDescent="0.3">
      <c r="A4078" s="34">
        <v>36670</v>
      </c>
      <c r="B4078" s="35">
        <v>1</v>
      </c>
      <c r="C4078" s="35">
        <v>0</v>
      </c>
      <c r="D4078" s="2">
        <f t="shared" si="63"/>
        <v>1</v>
      </c>
    </row>
    <row r="4079" spans="1:4" x14ac:dyDescent="0.3">
      <c r="A4079" s="34">
        <v>36678</v>
      </c>
      <c r="B4079" s="35">
        <v>2</v>
      </c>
      <c r="C4079" s="35">
        <v>1</v>
      </c>
      <c r="D4079" s="2">
        <f t="shared" si="63"/>
        <v>3</v>
      </c>
    </row>
    <row r="4080" spans="1:4" x14ac:dyDescent="0.3">
      <c r="A4080" s="34">
        <v>36679</v>
      </c>
      <c r="B4080" s="35">
        <v>1</v>
      </c>
      <c r="C4080" s="35">
        <v>0</v>
      </c>
      <c r="D4080" s="2">
        <f t="shared" si="63"/>
        <v>1</v>
      </c>
    </row>
    <row r="4081" spans="1:4" x14ac:dyDescent="0.3">
      <c r="A4081" s="34">
        <v>36681</v>
      </c>
      <c r="B4081" s="35">
        <v>1</v>
      </c>
      <c r="C4081" s="35">
        <v>0</v>
      </c>
      <c r="D4081" s="2">
        <f t="shared" si="63"/>
        <v>1</v>
      </c>
    </row>
    <row r="4082" spans="1:4" x14ac:dyDescent="0.3">
      <c r="A4082" s="34">
        <v>36687</v>
      </c>
      <c r="B4082" s="35">
        <v>1</v>
      </c>
      <c r="C4082" s="35">
        <v>0</v>
      </c>
      <c r="D4082" s="2">
        <f t="shared" si="63"/>
        <v>1</v>
      </c>
    </row>
    <row r="4083" spans="1:4" x14ac:dyDescent="0.3">
      <c r="A4083" s="34">
        <v>36752</v>
      </c>
      <c r="B4083" s="35">
        <v>1</v>
      </c>
      <c r="C4083" s="35">
        <v>0</v>
      </c>
      <c r="D4083" s="2">
        <f t="shared" si="63"/>
        <v>1</v>
      </c>
    </row>
    <row r="4084" spans="1:4" x14ac:dyDescent="0.3">
      <c r="A4084" s="34">
        <v>36753</v>
      </c>
      <c r="B4084" s="35">
        <v>1</v>
      </c>
      <c r="C4084" s="35">
        <v>0</v>
      </c>
      <c r="D4084" s="2">
        <f t="shared" si="63"/>
        <v>1</v>
      </c>
    </row>
    <row r="4085" spans="1:4" x14ac:dyDescent="0.3">
      <c r="A4085" s="34">
        <v>36808</v>
      </c>
      <c r="B4085" s="35">
        <v>1</v>
      </c>
      <c r="C4085" s="35">
        <v>1</v>
      </c>
      <c r="D4085" s="2">
        <f t="shared" si="63"/>
        <v>2</v>
      </c>
    </row>
    <row r="4086" spans="1:4" x14ac:dyDescent="0.3">
      <c r="A4086" s="34">
        <v>36811</v>
      </c>
      <c r="B4086" s="35">
        <v>1</v>
      </c>
      <c r="C4086" s="35">
        <v>1</v>
      </c>
      <c r="D4086" s="2">
        <f t="shared" si="63"/>
        <v>2</v>
      </c>
    </row>
    <row r="4087" spans="1:4" x14ac:dyDescent="0.3">
      <c r="A4087" s="34">
        <v>36812</v>
      </c>
      <c r="B4087" s="35">
        <v>2</v>
      </c>
      <c r="C4087" s="35">
        <v>1</v>
      </c>
      <c r="D4087" s="2">
        <f t="shared" si="63"/>
        <v>3</v>
      </c>
    </row>
    <row r="4088" spans="1:4" x14ac:dyDescent="0.3">
      <c r="A4088" s="34">
        <v>36814</v>
      </c>
      <c r="B4088" s="35">
        <v>1</v>
      </c>
      <c r="C4088" s="35">
        <v>1</v>
      </c>
      <c r="D4088" s="2">
        <f t="shared" si="63"/>
        <v>2</v>
      </c>
    </row>
    <row r="4089" spans="1:4" x14ac:dyDescent="0.3">
      <c r="A4089" s="34">
        <v>36821</v>
      </c>
      <c r="B4089" s="35">
        <v>1</v>
      </c>
      <c r="C4089" s="35">
        <v>0</v>
      </c>
      <c r="D4089" s="2">
        <f t="shared" si="63"/>
        <v>1</v>
      </c>
    </row>
    <row r="4090" spans="1:4" x14ac:dyDescent="0.3">
      <c r="A4090" s="34">
        <v>36823</v>
      </c>
      <c r="B4090" s="35">
        <v>1</v>
      </c>
      <c r="C4090" s="35">
        <v>0</v>
      </c>
      <c r="D4090" s="2">
        <f t="shared" si="63"/>
        <v>1</v>
      </c>
    </row>
    <row r="4091" spans="1:4" x14ac:dyDescent="0.3">
      <c r="A4091" s="34">
        <v>36827</v>
      </c>
      <c r="B4091" s="35">
        <v>1</v>
      </c>
      <c r="C4091" s="35">
        <v>0</v>
      </c>
      <c r="D4091" s="2">
        <f t="shared" si="63"/>
        <v>1</v>
      </c>
    </row>
    <row r="4092" spans="1:4" x14ac:dyDescent="0.3">
      <c r="A4092" s="34">
        <v>36832</v>
      </c>
      <c r="B4092" s="35">
        <v>1</v>
      </c>
      <c r="C4092" s="35">
        <v>0</v>
      </c>
      <c r="D4092" s="2">
        <f t="shared" si="63"/>
        <v>1</v>
      </c>
    </row>
    <row r="4093" spans="1:4" x14ac:dyDescent="0.3">
      <c r="A4093" s="34">
        <v>36833</v>
      </c>
      <c r="B4093" s="35">
        <v>1</v>
      </c>
      <c r="C4093" s="35">
        <v>0</v>
      </c>
      <c r="D4093" s="2">
        <f t="shared" si="63"/>
        <v>1</v>
      </c>
    </row>
    <row r="4094" spans="1:4" x14ac:dyDescent="0.3">
      <c r="A4094" s="34">
        <v>36834</v>
      </c>
      <c r="B4094" s="35">
        <v>1</v>
      </c>
      <c r="C4094" s="35">
        <v>0</v>
      </c>
      <c r="D4094" s="2">
        <f t="shared" si="63"/>
        <v>1</v>
      </c>
    </row>
    <row r="4095" spans="1:4" x14ac:dyDescent="0.3">
      <c r="A4095" s="34">
        <v>36837</v>
      </c>
      <c r="B4095" s="35">
        <v>1</v>
      </c>
      <c r="C4095" s="35">
        <v>0</v>
      </c>
      <c r="D4095" s="2">
        <f t="shared" si="63"/>
        <v>1</v>
      </c>
    </row>
    <row r="4096" spans="1:4" x14ac:dyDescent="0.3">
      <c r="A4096" s="34">
        <v>36840</v>
      </c>
      <c r="B4096" s="35">
        <v>1</v>
      </c>
      <c r="C4096" s="35">
        <v>0</v>
      </c>
      <c r="D4096" s="2">
        <f t="shared" si="63"/>
        <v>1</v>
      </c>
    </row>
    <row r="4097" spans="1:4" x14ac:dyDescent="0.3">
      <c r="A4097" s="34">
        <v>36842</v>
      </c>
      <c r="B4097" s="35">
        <v>1</v>
      </c>
      <c r="C4097" s="35">
        <v>0</v>
      </c>
      <c r="D4097" s="2">
        <f t="shared" si="63"/>
        <v>1</v>
      </c>
    </row>
    <row r="4098" spans="1:4" x14ac:dyDescent="0.3">
      <c r="A4098" s="34">
        <v>36847</v>
      </c>
      <c r="B4098" s="35">
        <v>1</v>
      </c>
      <c r="C4098" s="35">
        <v>0</v>
      </c>
      <c r="D4098" s="2">
        <f t="shared" si="63"/>
        <v>1</v>
      </c>
    </row>
    <row r="4099" spans="1:4" x14ac:dyDescent="0.3">
      <c r="A4099" s="34">
        <v>36851</v>
      </c>
      <c r="B4099" s="35">
        <v>1</v>
      </c>
      <c r="C4099" s="35">
        <v>0</v>
      </c>
      <c r="D4099" s="2">
        <f t="shared" ref="D4099:D4162" si="64">B4099+C4099</f>
        <v>1</v>
      </c>
    </row>
    <row r="4100" spans="1:4" x14ac:dyDescent="0.3">
      <c r="A4100" s="34">
        <v>36854</v>
      </c>
      <c r="B4100" s="35">
        <v>1</v>
      </c>
      <c r="C4100" s="35">
        <v>0</v>
      </c>
      <c r="D4100" s="2">
        <f t="shared" si="64"/>
        <v>1</v>
      </c>
    </row>
    <row r="4101" spans="1:4" x14ac:dyDescent="0.3">
      <c r="A4101" s="34">
        <v>36858</v>
      </c>
      <c r="B4101" s="35">
        <v>1</v>
      </c>
      <c r="C4101" s="35">
        <v>0</v>
      </c>
      <c r="D4101" s="2">
        <f t="shared" si="64"/>
        <v>1</v>
      </c>
    </row>
    <row r="4102" spans="1:4" x14ac:dyDescent="0.3">
      <c r="A4102" s="34">
        <v>36860</v>
      </c>
      <c r="B4102" s="35">
        <v>1</v>
      </c>
      <c r="C4102" s="35">
        <v>0</v>
      </c>
      <c r="D4102" s="2">
        <f t="shared" si="64"/>
        <v>1</v>
      </c>
    </row>
    <row r="4103" spans="1:4" x14ac:dyDescent="0.3">
      <c r="A4103" s="34">
        <v>36862</v>
      </c>
      <c r="B4103" s="35">
        <v>2</v>
      </c>
      <c r="C4103" s="35">
        <v>0</v>
      </c>
      <c r="D4103" s="2">
        <f t="shared" si="64"/>
        <v>2</v>
      </c>
    </row>
    <row r="4104" spans="1:4" x14ac:dyDescent="0.3">
      <c r="A4104" s="34">
        <v>36867</v>
      </c>
      <c r="B4104" s="35">
        <v>1</v>
      </c>
      <c r="C4104" s="35">
        <v>0</v>
      </c>
      <c r="D4104" s="2">
        <f t="shared" si="64"/>
        <v>1</v>
      </c>
    </row>
    <row r="4105" spans="1:4" x14ac:dyDescent="0.3">
      <c r="A4105" s="34">
        <v>36870</v>
      </c>
      <c r="B4105" s="35">
        <v>1</v>
      </c>
      <c r="C4105" s="35">
        <v>0</v>
      </c>
      <c r="D4105" s="2">
        <f t="shared" si="64"/>
        <v>1</v>
      </c>
    </row>
    <row r="4106" spans="1:4" x14ac:dyDescent="0.3">
      <c r="A4106" s="34">
        <v>36875</v>
      </c>
      <c r="B4106" s="35">
        <v>1</v>
      </c>
      <c r="C4106" s="35">
        <v>0</v>
      </c>
      <c r="D4106" s="2">
        <f t="shared" si="64"/>
        <v>1</v>
      </c>
    </row>
    <row r="4107" spans="1:4" x14ac:dyDescent="0.3">
      <c r="A4107" s="34">
        <v>36879</v>
      </c>
      <c r="B4107" s="35">
        <v>1</v>
      </c>
      <c r="C4107" s="35">
        <v>1</v>
      </c>
      <c r="D4107" s="2">
        <f t="shared" si="64"/>
        <v>2</v>
      </c>
    </row>
    <row r="4108" spans="1:4" x14ac:dyDescent="0.3">
      <c r="A4108" s="34">
        <v>36881</v>
      </c>
      <c r="B4108" s="35">
        <v>1</v>
      </c>
      <c r="C4108" s="35">
        <v>0</v>
      </c>
      <c r="D4108" s="2">
        <f t="shared" si="64"/>
        <v>1</v>
      </c>
    </row>
    <row r="4109" spans="1:4" x14ac:dyDescent="0.3">
      <c r="A4109" s="34">
        <v>36883</v>
      </c>
      <c r="B4109" s="35">
        <v>1</v>
      </c>
      <c r="C4109" s="35">
        <v>0</v>
      </c>
      <c r="D4109" s="2">
        <f t="shared" si="64"/>
        <v>1</v>
      </c>
    </row>
    <row r="4110" spans="1:4" x14ac:dyDescent="0.3">
      <c r="A4110" s="34">
        <v>36886</v>
      </c>
      <c r="B4110" s="35">
        <v>1</v>
      </c>
      <c r="C4110" s="35">
        <v>0</v>
      </c>
      <c r="D4110" s="2">
        <f t="shared" si="64"/>
        <v>1</v>
      </c>
    </row>
    <row r="4111" spans="1:4" x14ac:dyDescent="0.3">
      <c r="A4111" s="34">
        <v>36889</v>
      </c>
      <c r="B4111" s="35">
        <v>1</v>
      </c>
      <c r="C4111" s="35">
        <v>0</v>
      </c>
      <c r="D4111" s="2">
        <f t="shared" si="64"/>
        <v>1</v>
      </c>
    </row>
    <row r="4112" spans="1:4" x14ac:dyDescent="0.3">
      <c r="A4112" s="34">
        <v>36891</v>
      </c>
      <c r="B4112" s="35">
        <v>1</v>
      </c>
      <c r="C4112" s="35">
        <v>0</v>
      </c>
      <c r="D4112" s="2">
        <f t="shared" si="64"/>
        <v>1</v>
      </c>
    </row>
    <row r="4113" spans="1:4" x14ac:dyDescent="0.3">
      <c r="A4113" s="34">
        <v>36893</v>
      </c>
      <c r="B4113" s="35">
        <v>1</v>
      </c>
      <c r="C4113" s="35">
        <v>0</v>
      </c>
      <c r="D4113" s="2">
        <f t="shared" si="64"/>
        <v>1</v>
      </c>
    </row>
    <row r="4114" spans="1:4" x14ac:dyDescent="0.3">
      <c r="A4114" s="34">
        <v>36895</v>
      </c>
      <c r="B4114" s="35">
        <v>1</v>
      </c>
      <c r="C4114" s="35">
        <v>0</v>
      </c>
      <c r="D4114" s="2">
        <f t="shared" si="64"/>
        <v>1</v>
      </c>
    </row>
    <row r="4115" spans="1:4" x14ac:dyDescent="0.3">
      <c r="A4115" s="34">
        <v>36896</v>
      </c>
      <c r="B4115" s="35">
        <v>1</v>
      </c>
      <c r="C4115" s="35">
        <v>0</v>
      </c>
      <c r="D4115" s="2">
        <f t="shared" si="64"/>
        <v>1</v>
      </c>
    </row>
    <row r="4116" spans="1:4" x14ac:dyDescent="0.3">
      <c r="A4116" s="34">
        <v>36898</v>
      </c>
      <c r="B4116" s="35">
        <v>1</v>
      </c>
      <c r="C4116" s="35">
        <v>0</v>
      </c>
      <c r="D4116" s="2">
        <f t="shared" si="64"/>
        <v>1</v>
      </c>
    </row>
    <row r="4117" spans="1:4" x14ac:dyDescent="0.3">
      <c r="A4117" s="34">
        <v>36902</v>
      </c>
      <c r="B4117" s="35">
        <v>1</v>
      </c>
      <c r="C4117" s="35">
        <v>0</v>
      </c>
      <c r="D4117" s="2">
        <f t="shared" si="64"/>
        <v>1</v>
      </c>
    </row>
    <row r="4118" spans="1:4" x14ac:dyDescent="0.3">
      <c r="A4118" s="34">
        <v>36904</v>
      </c>
      <c r="B4118" s="35">
        <v>1</v>
      </c>
      <c r="C4118" s="35">
        <v>0</v>
      </c>
      <c r="D4118" s="2">
        <f t="shared" si="64"/>
        <v>1</v>
      </c>
    </row>
    <row r="4119" spans="1:4" x14ac:dyDescent="0.3">
      <c r="A4119" s="34">
        <v>36905</v>
      </c>
      <c r="B4119" s="35">
        <v>1</v>
      </c>
      <c r="C4119" s="35">
        <v>0</v>
      </c>
      <c r="D4119" s="2">
        <f t="shared" si="64"/>
        <v>1</v>
      </c>
    </row>
    <row r="4120" spans="1:4" x14ac:dyDescent="0.3">
      <c r="A4120" s="34">
        <v>36971</v>
      </c>
      <c r="B4120" s="35">
        <v>1</v>
      </c>
      <c r="C4120" s="35">
        <v>0</v>
      </c>
      <c r="D4120" s="2">
        <f t="shared" si="64"/>
        <v>1</v>
      </c>
    </row>
    <row r="4121" spans="1:4" x14ac:dyDescent="0.3">
      <c r="A4121" s="34">
        <v>36974</v>
      </c>
      <c r="B4121" s="35">
        <v>1</v>
      </c>
      <c r="C4121" s="35">
        <v>0</v>
      </c>
      <c r="D4121" s="2">
        <f t="shared" si="64"/>
        <v>1</v>
      </c>
    </row>
    <row r="4122" spans="1:4" x14ac:dyDescent="0.3">
      <c r="A4122" s="34">
        <v>36977</v>
      </c>
      <c r="B4122" s="35">
        <v>1</v>
      </c>
      <c r="C4122" s="35">
        <v>0</v>
      </c>
      <c r="D4122" s="2">
        <f t="shared" si="64"/>
        <v>1</v>
      </c>
    </row>
    <row r="4123" spans="1:4" x14ac:dyDescent="0.3">
      <c r="A4123" s="34">
        <v>36978</v>
      </c>
      <c r="B4123" s="35">
        <v>1</v>
      </c>
      <c r="C4123" s="35">
        <v>0</v>
      </c>
      <c r="D4123" s="2">
        <f t="shared" si="64"/>
        <v>1</v>
      </c>
    </row>
    <row r="4124" spans="1:4" x14ac:dyDescent="0.3">
      <c r="A4124" s="34">
        <v>36980</v>
      </c>
      <c r="B4124" s="35">
        <v>1</v>
      </c>
      <c r="C4124" s="35">
        <v>0</v>
      </c>
      <c r="D4124" s="2">
        <f t="shared" si="64"/>
        <v>1</v>
      </c>
    </row>
    <row r="4125" spans="1:4" x14ac:dyDescent="0.3">
      <c r="A4125" s="34">
        <v>36983</v>
      </c>
      <c r="B4125" s="35">
        <v>1</v>
      </c>
      <c r="C4125" s="35">
        <v>0</v>
      </c>
      <c r="D4125" s="2">
        <f t="shared" si="64"/>
        <v>1</v>
      </c>
    </row>
    <row r="4126" spans="1:4" x14ac:dyDescent="0.3">
      <c r="A4126" s="34">
        <v>36988</v>
      </c>
      <c r="B4126" s="35">
        <v>1</v>
      </c>
      <c r="C4126" s="35">
        <v>0</v>
      </c>
      <c r="D4126" s="2">
        <f t="shared" si="64"/>
        <v>1</v>
      </c>
    </row>
    <row r="4127" spans="1:4" x14ac:dyDescent="0.3">
      <c r="A4127" s="34">
        <v>36993</v>
      </c>
      <c r="B4127" s="35">
        <v>1</v>
      </c>
      <c r="C4127" s="35">
        <v>1</v>
      </c>
      <c r="D4127" s="2">
        <f t="shared" si="64"/>
        <v>2</v>
      </c>
    </row>
    <row r="4128" spans="1:4" x14ac:dyDescent="0.3">
      <c r="A4128" s="34">
        <v>36995</v>
      </c>
      <c r="B4128" s="35">
        <v>1</v>
      </c>
      <c r="C4128" s="35">
        <v>0</v>
      </c>
      <c r="D4128" s="2">
        <f t="shared" si="64"/>
        <v>1</v>
      </c>
    </row>
    <row r="4129" spans="1:4" x14ac:dyDescent="0.3">
      <c r="A4129" s="34">
        <v>36997</v>
      </c>
      <c r="B4129" s="35">
        <v>1</v>
      </c>
      <c r="C4129" s="35">
        <v>0</v>
      </c>
      <c r="D4129" s="2">
        <f t="shared" si="64"/>
        <v>1</v>
      </c>
    </row>
    <row r="4130" spans="1:4" x14ac:dyDescent="0.3">
      <c r="A4130" s="34">
        <v>37001</v>
      </c>
      <c r="B4130" s="35">
        <v>1</v>
      </c>
      <c r="C4130" s="35">
        <v>0</v>
      </c>
      <c r="D4130" s="2">
        <f t="shared" si="64"/>
        <v>1</v>
      </c>
    </row>
    <row r="4131" spans="1:4" x14ac:dyDescent="0.3">
      <c r="A4131" s="34">
        <v>37003</v>
      </c>
      <c r="B4131" s="35">
        <v>1</v>
      </c>
      <c r="C4131" s="35">
        <v>0</v>
      </c>
      <c r="D4131" s="2">
        <f t="shared" si="64"/>
        <v>1</v>
      </c>
    </row>
    <row r="4132" spans="1:4" x14ac:dyDescent="0.3">
      <c r="A4132" s="34">
        <v>37005</v>
      </c>
      <c r="B4132" s="35">
        <v>1</v>
      </c>
      <c r="C4132" s="35">
        <v>0</v>
      </c>
      <c r="D4132" s="2">
        <f t="shared" si="64"/>
        <v>1</v>
      </c>
    </row>
    <row r="4133" spans="1:4" x14ac:dyDescent="0.3">
      <c r="A4133" s="34">
        <v>37010</v>
      </c>
      <c r="B4133" s="35">
        <v>1</v>
      </c>
      <c r="C4133" s="35">
        <v>0</v>
      </c>
      <c r="D4133" s="2">
        <f t="shared" si="64"/>
        <v>1</v>
      </c>
    </row>
    <row r="4134" spans="1:4" x14ac:dyDescent="0.3">
      <c r="A4134" s="34">
        <v>37014</v>
      </c>
      <c r="B4134" s="35">
        <v>1</v>
      </c>
      <c r="C4134" s="35">
        <v>0</v>
      </c>
      <c r="D4134" s="2">
        <f t="shared" si="64"/>
        <v>1</v>
      </c>
    </row>
    <row r="4135" spans="1:4" x14ac:dyDescent="0.3">
      <c r="A4135" s="34">
        <v>37015</v>
      </c>
      <c r="B4135" s="35">
        <v>3</v>
      </c>
      <c r="C4135" s="35">
        <v>1</v>
      </c>
      <c r="D4135" s="2">
        <f t="shared" si="64"/>
        <v>4</v>
      </c>
    </row>
    <row r="4136" spans="1:4" x14ac:dyDescent="0.3">
      <c r="A4136" s="34">
        <v>37017</v>
      </c>
      <c r="B4136" s="35">
        <v>1</v>
      </c>
      <c r="C4136" s="35">
        <v>0</v>
      </c>
      <c r="D4136" s="2">
        <f t="shared" si="64"/>
        <v>1</v>
      </c>
    </row>
    <row r="4137" spans="1:4" x14ac:dyDescent="0.3">
      <c r="A4137" s="34">
        <v>37019</v>
      </c>
      <c r="B4137" s="35">
        <v>1</v>
      </c>
      <c r="C4137" s="35">
        <v>0</v>
      </c>
      <c r="D4137" s="2">
        <f t="shared" si="64"/>
        <v>1</v>
      </c>
    </row>
    <row r="4138" spans="1:4" x14ac:dyDescent="0.3">
      <c r="A4138" s="34">
        <v>37024</v>
      </c>
      <c r="B4138" s="35">
        <v>1</v>
      </c>
      <c r="C4138" s="35">
        <v>0</v>
      </c>
      <c r="D4138" s="2">
        <f t="shared" si="64"/>
        <v>1</v>
      </c>
    </row>
    <row r="4139" spans="1:4" x14ac:dyDescent="0.3">
      <c r="A4139" s="34">
        <v>37025</v>
      </c>
      <c r="B4139" s="35">
        <v>1</v>
      </c>
      <c r="C4139" s="35">
        <v>0</v>
      </c>
      <c r="D4139" s="2">
        <f t="shared" si="64"/>
        <v>1</v>
      </c>
    </row>
    <row r="4140" spans="1:4" x14ac:dyDescent="0.3">
      <c r="A4140" s="34">
        <v>37026</v>
      </c>
      <c r="B4140" s="35">
        <v>1</v>
      </c>
      <c r="C4140" s="35">
        <v>0</v>
      </c>
      <c r="D4140" s="2">
        <f t="shared" si="64"/>
        <v>1</v>
      </c>
    </row>
    <row r="4141" spans="1:4" x14ac:dyDescent="0.3">
      <c r="A4141" s="34">
        <v>37029</v>
      </c>
      <c r="B4141" s="35">
        <v>1</v>
      </c>
      <c r="C4141" s="35">
        <v>0</v>
      </c>
      <c r="D4141" s="2">
        <f t="shared" si="64"/>
        <v>1</v>
      </c>
    </row>
    <row r="4142" spans="1:4" x14ac:dyDescent="0.3">
      <c r="A4142" s="34">
        <v>37032</v>
      </c>
      <c r="B4142" s="35">
        <v>1</v>
      </c>
      <c r="C4142" s="35">
        <v>0</v>
      </c>
      <c r="D4142" s="2">
        <f t="shared" si="64"/>
        <v>1</v>
      </c>
    </row>
    <row r="4143" spans="1:4" x14ac:dyDescent="0.3">
      <c r="A4143" s="34">
        <v>37034</v>
      </c>
      <c r="B4143" s="35">
        <v>1</v>
      </c>
      <c r="C4143" s="35">
        <v>1</v>
      </c>
      <c r="D4143" s="2">
        <f t="shared" si="64"/>
        <v>2</v>
      </c>
    </row>
    <row r="4144" spans="1:4" x14ac:dyDescent="0.3">
      <c r="A4144" s="34">
        <v>37041</v>
      </c>
      <c r="B4144" s="35">
        <v>1</v>
      </c>
      <c r="C4144" s="35">
        <v>1</v>
      </c>
      <c r="D4144" s="2">
        <f t="shared" si="64"/>
        <v>2</v>
      </c>
    </row>
    <row r="4145" spans="1:4" x14ac:dyDescent="0.3">
      <c r="A4145" s="34">
        <v>37042</v>
      </c>
      <c r="B4145" s="35">
        <v>1</v>
      </c>
      <c r="C4145" s="35">
        <v>0</v>
      </c>
      <c r="D4145" s="2">
        <f t="shared" si="64"/>
        <v>1</v>
      </c>
    </row>
    <row r="4146" spans="1:4" x14ac:dyDescent="0.3">
      <c r="A4146" s="34">
        <v>37123</v>
      </c>
      <c r="B4146" s="35">
        <v>1</v>
      </c>
      <c r="C4146" s="35">
        <v>0</v>
      </c>
      <c r="D4146" s="2">
        <f t="shared" si="64"/>
        <v>1</v>
      </c>
    </row>
    <row r="4147" spans="1:4" x14ac:dyDescent="0.3">
      <c r="A4147" s="34">
        <v>37125</v>
      </c>
      <c r="B4147" s="35">
        <v>1</v>
      </c>
      <c r="C4147" s="35">
        <v>0</v>
      </c>
      <c r="D4147" s="2">
        <f t="shared" si="64"/>
        <v>1</v>
      </c>
    </row>
    <row r="4148" spans="1:4" x14ac:dyDescent="0.3">
      <c r="A4148" s="34">
        <v>37129</v>
      </c>
      <c r="B4148" s="35">
        <v>1</v>
      </c>
      <c r="C4148" s="35">
        <v>1</v>
      </c>
      <c r="D4148" s="2">
        <f t="shared" si="64"/>
        <v>2</v>
      </c>
    </row>
    <row r="4149" spans="1:4" x14ac:dyDescent="0.3">
      <c r="A4149" s="34">
        <v>37131</v>
      </c>
      <c r="B4149" s="35">
        <v>1</v>
      </c>
      <c r="C4149" s="35">
        <v>0</v>
      </c>
      <c r="D4149" s="2">
        <f t="shared" si="64"/>
        <v>1</v>
      </c>
    </row>
    <row r="4150" spans="1:4" x14ac:dyDescent="0.3">
      <c r="A4150" s="34">
        <v>37135</v>
      </c>
      <c r="B4150" s="35">
        <v>1</v>
      </c>
      <c r="C4150" s="35">
        <v>1</v>
      </c>
      <c r="D4150" s="2">
        <f t="shared" si="64"/>
        <v>2</v>
      </c>
    </row>
    <row r="4151" spans="1:4" x14ac:dyDescent="0.3">
      <c r="A4151" s="34">
        <v>37136</v>
      </c>
      <c r="B4151" s="35">
        <v>1</v>
      </c>
      <c r="C4151" s="35">
        <v>0</v>
      </c>
      <c r="D4151" s="2">
        <f t="shared" si="64"/>
        <v>1</v>
      </c>
    </row>
    <row r="4152" spans="1:4" x14ac:dyDescent="0.3">
      <c r="A4152" s="34">
        <v>37137</v>
      </c>
      <c r="B4152" s="35">
        <v>1</v>
      </c>
      <c r="C4152" s="35">
        <v>0</v>
      </c>
      <c r="D4152" s="2">
        <f t="shared" si="64"/>
        <v>1</v>
      </c>
    </row>
    <row r="4153" spans="1:4" x14ac:dyDescent="0.3">
      <c r="A4153" s="34">
        <v>37139</v>
      </c>
      <c r="B4153" s="35">
        <v>1</v>
      </c>
      <c r="C4153" s="35">
        <v>1</v>
      </c>
      <c r="D4153" s="2">
        <f t="shared" si="64"/>
        <v>2</v>
      </c>
    </row>
    <row r="4154" spans="1:4" x14ac:dyDescent="0.3">
      <c r="A4154" s="34">
        <v>37141</v>
      </c>
      <c r="B4154" s="35">
        <v>1</v>
      </c>
      <c r="C4154" s="35">
        <v>0</v>
      </c>
      <c r="D4154" s="2">
        <f t="shared" si="64"/>
        <v>1</v>
      </c>
    </row>
    <row r="4155" spans="1:4" x14ac:dyDescent="0.3">
      <c r="A4155" s="34">
        <v>37143</v>
      </c>
      <c r="B4155" s="35">
        <v>1</v>
      </c>
      <c r="C4155" s="35">
        <v>0</v>
      </c>
      <c r="D4155" s="2">
        <f t="shared" si="64"/>
        <v>1</v>
      </c>
    </row>
    <row r="4156" spans="1:4" x14ac:dyDescent="0.3">
      <c r="A4156" s="34">
        <v>37144</v>
      </c>
      <c r="B4156" s="35">
        <v>1</v>
      </c>
      <c r="C4156" s="35">
        <v>0</v>
      </c>
      <c r="D4156" s="2">
        <f t="shared" si="64"/>
        <v>1</v>
      </c>
    </row>
    <row r="4157" spans="1:4" x14ac:dyDescent="0.3">
      <c r="A4157" s="34">
        <v>37146</v>
      </c>
      <c r="B4157" s="35">
        <v>3</v>
      </c>
      <c r="C4157" s="35">
        <v>0</v>
      </c>
      <c r="D4157" s="2">
        <f t="shared" si="64"/>
        <v>3</v>
      </c>
    </row>
    <row r="4158" spans="1:4" x14ac:dyDescent="0.3">
      <c r="A4158" s="34">
        <v>37149</v>
      </c>
      <c r="B4158" s="35">
        <v>1</v>
      </c>
      <c r="C4158" s="35">
        <v>0</v>
      </c>
      <c r="D4158" s="2">
        <f t="shared" si="64"/>
        <v>1</v>
      </c>
    </row>
    <row r="4159" spans="1:4" x14ac:dyDescent="0.3">
      <c r="A4159" s="34">
        <v>37150</v>
      </c>
      <c r="B4159" s="35">
        <v>1</v>
      </c>
      <c r="C4159" s="35">
        <v>1</v>
      </c>
      <c r="D4159" s="2">
        <f t="shared" si="64"/>
        <v>2</v>
      </c>
    </row>
    <row r="4160" spans="1:4" x14ac:dyDescent="0.3">
      <c r="A4160" s="34">
        <v>37152</v>
      </c>
      <c r="B4160" s="35">
        <v>1</v>
      </c>
      <c r="C4160" s="35">
        <v>1</v>
      </c>
      <c r="D4160" s="2">
        <f t="shared" si="64"/>
        <v>2</v>
      </c>
    </row>
    <row r="4161" spans="1:4" x14ac:dyDescent="0.3">
      <c r="A4161" s="34">
        <v>37164</v>
      </c>
      <c r="B4161" s="35">
        <v>1</v>
      </c>
      <c r="C4161" s="35">
        <v>0</v>
      </c>
      <c r="D4161" s="2">
        <f t="shared" si="64"/>
        <v>1</v>
      </c>
    </row>
    <row r="4162" spans="1:4" x14ac:dyDescent="0.3">
      <c r="A4162" s="34">
        <v>37166</v>
      </c>
      <c r="B4162" s="35">
        <v>1</v>
      </c>
      <c r="C4162" s="35">
        <v>1</v>
      </c>
      <c r="D4162" s="2">
        <f t="shared" si="64"/>
        <v>2</v>
      </c>
    </row>
    <row r="4163" spans="1:4" x14ac:dyDescent="0.3">
      <c r="A4163" s="34">
        <v>37170</v>
      </c>
      <c r="B4163" s="35">
        <v>1</v>
      </c>
      <c r="C4163" s="35">
        <v>0</v>
      </c>
      <c r="D4163" s="2">
        <f t="shared" ref="D4163:D4226" si="65">B4163+C4163</f>
        <v>1</v>
      </c>
    </row>
    <row r="4164" spans="1:4" x14ac:dyDescent="0.3">
      <c r="A4164" s="34">
        <v>37171</v>
      </c>
      <c r="B4164" s="35">
        <v>1</v>
      </c>
      <c r="C4164" s="35">
        <v>0</v>
      </c>
      <c r="D4164" s="2">
        <f t="shared" si="65"/>
        <v>1</v>
      </c>
    </row>
    <row r="4165" spans="1:4" x14ac:dyDescent="0.3">
      <c r="A4165" s="34">
        <v>37179</v>
      </c>
      <c r="B4165" s="35">
        <v>1</v>
      </c>
      <c r="C4165" s="35">
        <v>1</v>
      </c>
      <c r="D4165" s="2">
        <f t="shared" si="65"/>
        <v>2</v>
      </c>
    </row>
    <row r="4166" spans="1:4" x14ac:dyDescent="0.3">
      <c r="A4166" s="34">
        <v>37180</v>
      </c>
      <c r="B4166" s="35">
        <v>3</v>
      </c>
      <c r="C4166" s="35">
        <v>2</v>
      </c>
      <c r="D4166" s="2">
        <f t="shared" si="65"/>
        <v>5</v>
      </c>
    </row>
    <row r="4167" spans="1:4" x14ac:dyDescent="0.3">
      <c r="A4167" s="34">
        <v>37184</v>
      </c>
      <c r="B4167" s="35">
        <v>1</v>
      </c>
      <c r="C4167" s="35">
        <v>1</v>
      </c>
      <c r="D4167" s="2">
        <f t="shared" si="65"/>
        <v>2</v>
      </c>
    </row>
    <row r="4168" spans="1:4" x14ac:dyDescent="0.3">
      <c r="A4168" s="34">
        <v>37189</v>
      </c>
      <c r="B4168" s="35">
        <v>1</v>
      </c>
      <c r="C4168" s="35">
        <v>0</v>
      </c>
      <c r="D4168" s="2">
        <f t="shared" si="65"/>
        <v>1</v>
      </c>
    </row>
    <row r="4169" spans="1:4" x14ac:dyDescent="0.3">
      <c r="A4169" s="34">
        <v>37193</v>
      </c>
      <c r="B4169" s="35">
        <v>1</v>
      </c>
      <c r="C4169" s="35">
        <v>1</v>
      </c>
      <c r="D4169" s="2">
        <f t="shared" si="65"/>
        <v>2</v>
      </c>
    </row>
    <row r="4170" spans="1:4" x14ac:dyDescent="0.3">
      <c r="A4170" s="34">
        <v>37197</v>
      </c>
      <c r="B4170" s="35">
        <v>1</v>
      </c>
      <c r="C4170" s="35">
        <v>0</v>
      </c>
      <c r="D4170" s="2">
        <f t="shared" si="65"/>
        <v>1</v>
      </c>
    </row>
    <row r="4171" spans="1:4" x14ac:dyDescent="0.3">
      <c r="A4171" s="34">
        <v>37203</v>
      </c>
      <c r="B4171" s="35">
        <v>2</v>
      </c>
      <c r="C4171" s="35">
        <v>1</v>
      </c>
      <c r="D4171" s="2">
        <f t="shared" si="65"/>
        <v>3</v>
      </c>
    </row>
    <row r="4172" spans="1:4" x14ac:dyDescent="0.3">
      <c r="A4172" s="34">
        <v>37204</v>
      </c>
      <c r="B4172" s="35">
        <v>1</v>
      </c>
      <c r="C4172" s="35">
        <v>0</v>
      </c>
      <c r="D4172" s="2">
        <f t="shared" si="65"/>
        <v>1</v>
      </c>
    </row>
    <row r="4173" spans="1:4" x14ac:dyDescent="0.3">
      <c r="A4173" s="34">
        <v>37302</v>
      </c>
      <c r="B4173" s="35">
        <v>1</v>
      </c>
      <c r="C4173" s="35">
        <v>0</v>
      </c>
      <c r="D4173" s="2">
        <f t="shared" si="65"/>
        <v>1</v>
      </c>
    </row>
    <row r="4174" spans="1:4" x14ac:dyDescent="0.3">
      <c r="A4174" s="34">
        <v>37306</v>
      </c>
      <c r="B4174" s="35">
        <v>1</v>
      </c>
      <c r="C4174" s="35">
        <v>0</v>
      </c>
      <c r="D4174" s="2">
        <f t="shared" si="65"/>
        <v>1</v>
      </c>
    </row>
    <row r="4175" spans="1:4" x14ac:dyDescent="0.3">
      <c r="A4175" s="34">
        <v>37307</v>
      </c>
      <c r="B4175" s="35">
        <v>1</v>
      </c>
      <c r="C4175" s="35">
        <v>0</v>
      </c>
      <c r="D4175" s="2">
        <f t="shared" si="65"/>
        <v>1</v>
      </c>
    </row>
    <row r="4176" spans="1:4" x14ac:dyDescent="0.3">
      <c r="A4176" s="34">
        <v>37308</v>
      </c>
      <c r="B4176" s="35">
        <v>1</v>
      </c>
      <c r="C4176" s="35">
        <v>0</v>
      </c>
      <c r="D4176" s="2">
        <f t="shared" si="65"/>
        <v>1</v>
      </c>
    </row>
    <row r="4177" spans="1:4" x14ac:dyDescent="0.3">
      <c r="A4177" s="34">
        <v>37313</v>
      </c>
      <c r="B4177" s="35">
        <v>2</v>
      </c>
      <c r="C4177" s="35">
        <v>1</v>
      </c>
      <c r="D4177" s="2">
        <f t="shared" si="65"/>
        <v>3</v>
      </c>
    </row>
    <row r="4178" spans="1:4" x14ac:dyDescent="0.3">
      <c r="A4178" s="34">
        <v>37317</v>
      </c>
      <c r="B4178" s="35">
        <v>1</v>
      </c>
      <c r="C4178" s="35">
        <v>1</v>
      </c>
      <c r="D4178" s="2">
        <f t="shared" si="65"/>
        <v>2</v>
      </c>
    </row>
    <row r="4179" spans="1:4" x14ac:dyDescent="0.3">
      <c r="A4179" s="34">
        <v>37319</v>
      </c>
      <c r="B4179" s="35">
        <v>1</v>
      </c>
      <c r="C4179" s="35">
        <v>0</v>
      </c>
      <c r="D4179" s="2">
        <f t="shared" si="65"/>
        <v>1</v>
      </c>
    </row>
    <row r="4180" spans="1:4" x14ac:dyDescent="0.3">
      <c r="A4180" s="34">
        <v>37321</v>
      </c>
      <c r="B4180" s="35">
        <v>1</v>
      </c>
      <c r="C4180" s="35">
        <v>1</v>
      </c>
      <c r="D4180" s="2">
        <f t="shared" si="65"/>
        <v>2</v>
      </c>
    </row>
    <row r="4181" spans="1:4" x14ac:dyDescent="0.3">
      <c r="A4181" s="34">
        <v>37325</v>
      </c>
      <c r="B4181" s="35">
        <v>1</v>
      </c>
      <c r="C4181" s="35">
        <v>1</v>
      </c>
      <c r="D4181" s="2">
        <f t="shared" si="65"/>
        <v>2</v>
      </c>
    </row>
    <row r="4182" spans="1:4" x14ac:dyDescent="0.3">
      <c r="A4182" s="34">
        <v>37329</v>
      </c>
      <c r="B4182" s="35">
        <v>1</v>
      </c>
      <c r="C4182" s="35">
        <v>0</v>
      </c>
      <c r="D4182" s="2">
        <f t="shared" si="65"/>
        <v>1</v>
      </c>
    </row>
    <row r="4183" spans="1:4" x14ac:dyDescent="0.3">
      <c r="A4183" s="34">
        <v>37330</v>
      </c>
      <c r="B4183" s="35">
        <v>1</v>
      </c>
      <c r="C4183" s="35">
        <v>0</v>
      </c>
      <c r="D4183" s="2">
        <f t="shared" si="65"/>
        <v>1</v>
      </c>
    </row>
    <row r="4184" spans="1:4" x14ac:dyDescent="0.3">
      <c r="A4184" s="34">
        <v>37333</v>
      </c>
      <c r="B4184" s="35">
        <v>1</v>
      </c>
      <c r="C4184" s="35">
        <v>1</v>
      </c>
      <c r="D4184" s="2">
        <f t="shared" si="65"/>
        <v>2</v>
      </c>
    </row>
    <row r="4185" spans="1:4" x14ac:dyDescent="0.3">
      <c r="A4185" s="34">
        <v>37337</v>
      </c>
      <c r="B4185" s="35">
        <v>1</v>
      </c>
      <c r="C4185" s="35">
        <v>0</v>
      </c>
      <c r="D4185" s="2">
        <f t="shared" si="65"/>
        <v>1</v>
      </c>
    </row>
    <row r="4186" spans="1:4" x14ac:dyDescent="0.3">
      <c r="A4186" s="34">
        <v>37338</v>
      </c>
      <c r="B4186" s="35">
        <v>1</v>
      </c>
      <c r="C4186" s="35">
        <v>1</v>
      </c>
      <c r="D4186" s="2">
        <f t="shared" si="65"/>
        <v>2</v>
      </c>
    </row>
    <row r="4187" spans="1:4" x14ac:dyDescent="0.3">
      <c r="A4187" s="34">
        <v>37343</v>
      </c>
      <c r="B4187" s="35">
        <v>1</v>
      </c>
      <c r="C4187" s="35">
        <v>0</v>
      </c>
      <c r="D4187" s="2">
        <f t="shared" si="65"/>
        <v>1</v>
      </c>
    </row>
    <row r="4188" spans="1:4" x14ac:dyDescent="0.3">
      <c r="A4188" s="34">
        <v>37348</v>
      </c>
      <c r="B4188" s="35">
        <v>1</v>
      </c>
      <c r="C4188" s="35">
        <v>1</v>
      </c>
      <c r="D4188" s="2">
        <f t="shared" si="65"/>
        <v>2</v>
      </c>
    </row>
    <row r="4189" spans="1:4" x14ac:dyDescent="0.3">
      <c r="A4189" s="34">
        <v>37352</v>
      </c>
      <c r="B4189" s="35">
        <v>1</v>
      </c>
      <c r="C4189" s="35">
        <v>0</v>
      </c>
      <c r="D4189" s="2">
        <f t="shared" si="65"/>
        <v>1</v>
      </c>
    </row>
    <row r="4190" spans="1:4" x14ac:dyDescent="0.3">
      <c r="A4190" s="34">
        <v>37353</v>
      </c>
      <c r="B4190" s="35">
        <v>1</v>
      </c>
      <c r="C4190" s="35">
        <v>0</v>
      </c>
      <c r="D4190" s="2">
        <f t="shared" si="65"/>
        <v>1</v>
      </c>
    </row>
    <row r="4191" spans="1:4" x14ac:dyDescent="0.3">
      <c r="A4191" s="34">
        <v>37366</v>
      </c>
      <c r="B4191" s="35">
        <v>2</v>
      </c>
      <c r="C4191" s="35">
        <v>1</v>
      </c>
      <c r="D4191" s="2">
        <f t="shared" si="65"/>
        <v>3</v>
      </c>
    </row>
    <row r="4192" spans="1:4" x14ac:dyDescent="0.3">
      <c r="A4192" s="34">
        <v>37367</v>
      </c>
      <c r="B4192" s="35">
        <v>1</v>
      </c>
      <c r="C4192" s="35">
        <v>0</v>
      </c>
      <c r="D4192" s="2">
        <f t="shared" si="65"/>
        <v>1</v>
      </c>
    </row>
    <row r="4193" spans="1:4" x14ac:dyDescent="0.3">
      <c r="A4193" s="34">
        <v>37380</v>
      </c>
      <c r="B4193" s="35">
        <v>1</v>
      </c>
      <c r="C4193" s="35">
        <v>1</v>
      </c>
      <c r="D4193" s="2">
        <f t="shared" si="65"/>
        <v>2</v>
      </c>
    </row>
    <row r="4194" spans="1:4" x14ac:dyDescent="0.3">
      <c r="A4194" s="34">
        <v>37382</v>
      </c>
      <c r="B4194" s="35">
        <v>2</v>
      </c>
      <c r="C4194" s="35">
        <v>1</v>
      </c>
      <c r="D4194" s="2">
        <f t="shared" si="65"/>
        <v>3</v>
      </c>
    </row>
    <row r="4195" spans="1:4" x14ac:dyDescent="0.3">
      <c r="A4195" s="34">
        <v>37383</v>
      </c>
      <c r="B4195" s="35">
        <v>1</v>
      </c>
      <c r="C4195" s="35">
        <v>0</v>
      </c>
      <c r="D4195" s="2">
        <f t="shared" si="65"/>
        <v>1</v>
      </c>
    </row>
    <row r="4196" spans="1:4" x14ac:dyDescent="0.3">
      <c r="A4196" s="34">
        <v>37385</v>
      </c>
      <c r="B4196" s="35">
        <v>1</v>
      </c>
      <c r="C4196" s="35">
        <v>0</v>
      </c>
      <c r="D4196" s="2">
        <f t="shared" si="65"/>
        <v>1</v>
      </c>
    </row>
    <row r="4197" spans="1:4" x14ac:dyDescent="0.3">
      <c r="A4197" s="34">
        <v>37386</v>
      </c>
      <c r="B4197" s="35">
        <v>1</v>
      </c>
      <c r="C4197" s="35">
        <v>0</v>
      </c>
      <c r="D4197" s="2">
        <f t="shared" si="65"/>
        <v>1</v>
      </c>
    </row>
    <row r="4198" spans="1:4" x14ac:dyDescent="0.3">
      <c r="A4198" s="34">
        <v>37389</v>
      </c>
      <c r="B4198" s="35">
        <v>1</v>
      </c>
      <c r="C4198" s="35">
        <v>0</v>
      </c>
      <c r="D4198" s="2">
        <f t="shared" si="65"/>
        <v>1</v>
      </c>
    </row>
    <row r="4199" spans="1:4" x14ac:dyDescent="0.3">
      <c r="A4199" s="34">
        <v>37390</v>
      </c>
      <c r="B4199" s="35">
        <v>1</v>
      </c>
      <c r="C4199" s="35">
        <v>0</v>
      </c>
      <c r="D4199" s="2">
        <f t="shared" si="65"/>
        <v>1</v>
      </c>
    </row>
    <row r="4200" spans="1:4" x14ac:dyDescent="0.3">
      <c r="A4200" s="34">
        <v>37397</v>
      </c>
      <c r="B4200" s="35">
        <v>1</v>
      </c>
      <c r="C4200" s="35">
        <v>0</v>
      </c>
      <c r="D4200" s="2">
        <f t="shared" si="65"/>
        <v>1</v>
      </c>
    </row>
    <row r="4201" spans="1:4" x14ac:dyDescent="0.3">
      <c r="A4201" s="34">
        <v>37399</v>
      </c>
      <c r="B4201" s="35">
        <v>1</v>
      </c>
      <c r="C4201" s="35">
        <v>0</v>
      </c>
      <c r="D4201" s="2">
        <f t="shared" si="65"/>
        <v>1</v>
      </c>
    </row>
    <row r="4202" spans="1:4" x14ac:dyDescent="0.3">
      <c r="A4202" s="34">
        <v>37403</v>
      </c>
      <c r="B4202" s="35">
        <v>2</v>
      </c>
      <c r="C4202" s="35">
        <v>0</v>
      </c>
      <c r="D4202" s="2">
        <f t="shared" si="65"/>
        <v>2</v>
      </c>
    </row>
    <row r="4203" spans="1:4" x14ac:dyDescent="0.3">
      <c r="A4203" s="34">
        <v>37409</v>
      </c>
      <c r="B4203" s="35">
        <v>2</v>
      </c>
      <c r="C4203" s="35">
        <v>2</v>
      </c>
      <c r="D4203" s="2">
        <f t="shared" si="65"/>
        <v>4</v>
      </c>
    </row>
    <row r="4204" spans="1:4" x14ac:dyDescent="0.3">
      <c r="A4204" s="34">
        <v>37411</v>
      </c>
      <c r="B4204" s="35">
        <v>1</v>
      </c>
      <c r="C4204" s="35">
        <v>0</v>
      </c>
      <c r="D4204" s="2">
        <f t="shared" si="65"/>
        <v>1</v>
      </c>
    </row>
    <row r="4205" spans="1:4" x14ac:dyDescent="0.3">
      <c r="A4205" s="34">
        <v>37414</v>
      </c>
      <c r="B4205" s="35">
        <v>1</v>
      </c>
      <c r="C4205" s="35">
        <v>0</v>
      </c>
      <c r="D4205" s="2">
        <f t="shared" si="65"/>
        <v>1</v>
      </c>
    </row>
    <row r="4206" spans="1:4" x14ac:dyDescent="0.3">
      <c r="A4206" s="34">
        <v>37418</v>
      </c>
      <c r="B4206" s="35">
        <v>1</v>
      </c>
      <c r="C4206" s="35">
        <v>0</v>
      </c>
      <c r="D4206" s="2">
        <f t="shared" si="65"/>
        <v>1</v>
      </c>
    </row>
    <row r="4207" spans="1:4" x14ac:dyDescent="0.3">
      <c r="A4207" s="34">
        <v>37423</v>
      </c>
      <c r="B4207" s="35">
        <v>1</v>
      </c>
      <c r="C4207" s="35">
        <v>0</v>
      </c>
      <c r="D4207" s="2">
        <f t="shared" si="65"/>
        <v>1</v>
      </c>
    </row>
    <row r="4208" spans="1:4" x14ac:dyDescent="0.3">
      <c r="A4208" s="34">
        <v>37425</v>
      </c>
      <c r="B4208" s="35">
        <v>2</v>
      </c>
      <c r="C4208" s="35">
        <v>2</v>
      </c>
      <c r="D4208" s="2">
        <f t="shared" si="65"/>
        <v>4</v>
      </c>
    </row>
    <row r="4209" spans="1:4" x14ac:dyDescent="0.3">
      <c r="A4209" s="34">
        <v>37426</v>
      </c>
      <c r="B4209" s="35">
        <v>2</v>
      </c>
      <c r="C4209" s="35">
        <v>0</v>
      </c>
      <c r="D4209" s="2">
        <f t="shared" si="65"/>
        <v>2</v>
      </c>
    </row>
    <row r="4210" spans="1:4" x14ac:dyDescent="0.3">
      <c r="A4210" s="34">
        <v>37429</v>
      </c>
      <c r="B4210" s="35">
        <v>1</v>
      </c>
      <c r="C4210" s="35">
        <v>1</v>
      </c>
      <c r="D4210" s="2">
        <f t="shared" si="65"/>
        <v>2</v>
      </c>
    </row>
    <row r="4211" spans="1:4" x14ac:dyDescent="0.3">
      <c r="A4211" s="34">
        <v>37433</v>
      </c>
      <c r="B4211" s="35">
        <v>1</v>
      </c>
      <c r="C4211" s="35">
        <v>0</v>
      </c>
      <c r="D4211" s="2">
        <f t="shared" si="65"/>
        <v>1</v>
      </c>
    </row>
    <row r="4212" spans="1:4" x14ac:dyDescent="0.3">
      <c r="A4212" s="34">
        <v>37441</v>
      </c>
      <c r="B4212" s="35">
        <v>1</v>
      </c>
      <c r="C4212" s="35">
        <v>0</v>
      </c>
      <c r="D4212" s="2">
        <f t="shared" si="65"/>
        <v>1</v>
      </c>
    </row>
    <row r="4213" spans="1:4" x14ac:dyDescent="0.3">
      <c r="A4213" s="34">
        <v>37442</v>
      </c>
      <c r="B4213" s="35">
        <v>1</v>
      </c>
      <c r="C4213" s="35">
        <v>0</v>
      </c>
      <c r="D4213" s="2">
        <f t="shared" si="65"/>
        <v>1</v>
      </c>
    </row>
    <row r="4214" spans="1:4" x14ac:dyDescent="0.3">
      <c r="A4214" s="34">
        <v>37448</v>
      </c>
      <c r="B4214" s="35">
        <v>1</v>
      </c>
      <c r="C4214" s="35">
        <v>0</v>
      </c>
      <c r="D4214" s="2">
        <f t="shared" si="65"/>
        <v>1</v>
      </c>
    </row>
    <row r="4215" spans="1:4" x14ac:dyDescent="0.3">
      <c r="A4215" s="34">
        <v>37449</v>
      </c>
      <c r="B4215" s="35">
        <v>1</v>
      </c>
      <c r="C4215" s="35">
        <v>0</v>
      </c>
      <c r="D4215" s="2">
        <f t="shared" si="65"/>
        <v>1</v>
      </c>
    </row>
    <row r="4216" spans="1:4" x14ac:dyDescent="0.3">
      <c r="A4216" s="34">
        <v>37460</v>
      </c>
      <c r="B4216" s="35">
        <v>1</v>
      </c>
      <c r="C4216" s="35">
        <v>0</v>
      </c>
      <c r="D4216" s="2">
        <f t="shared" si="65"/>
        <v>1</v>
      </c>
    </row>
    <row r="4217" spans="1:4" x14ac:dyDescent="0.3">
      <c r="A4217" s="34">
        <v>37463</v>
      </c>
      <c r="B4217" s="35">
        <v>1</v>
      </c>
      <c r="C4217" s="35">
        <v>0</v>
      </c>
      <c r="D4217" s="2">
        <f t="shared" si="65"/>
        <v>1</v>
      </c>
    </row>
    <row r="4218" spans="1:4" x14ac:dyDescent="0.3">
      <c r="A4218" s="34">
        <v>37467</v>
      </c>
      <c r="B4218" s="35">
        <v>1</v>
      </c>
      <c r="C4218" s="35">
        <v>0</v>
      </c>
      <c r="D4218" s="2">
        <f t="shared" si="65"/>
        <v>1</v>
      </c>
    </row>
    <row r="4219" spans="1:4" x14ac:dyDescent="0.3">
      <c r="A4219" s="34">
        <v>37471</v>
      </c>
      <c r="B4219" s="35">
        <v>1</v>
      </c>
      <c r="C4219" s="35">
        <v>0</v>
      </c>
      <c r="D4219" s="2">
        <f t="shared" si="65"/>
        <v>1</v>
      </c>
    </row>
    <row r="4220" spans="1:4" x14ac:dyDescent="0.3">
      <c r="A4220" s="34">
        <v>37477</v>
      </c>
      <c r="B4220" s="35">
        <v>1</v>
      </c>
      <c r="C4220" s="35">
        <v>0</v>
      </c>
      <c r="D4220" s="2">
        <f t="shared" si="65"/>
        <v>1</v>
      </c>
    </row>
    <row r="4221" spans="1:4" x14ac:dyDescent="0.3">
      <c r="A4221" s="34">
        <v>37479</v>
      </c>
      <c r="B4221" s="35">
        <v>1</v>
      </c>
      <c r="C4221" s="35">
        <v>0</v>
      </c>
      <c r="D4221" s="2">
        <f t="shared" si="65"/>
        <v>1</v>
      </c>
    </row>
    <row r="4222" spans="1:4" x14ac:dyDescent="0.3">
      <c r="A4222" s="34">
        <v>37481</v>
      </c>
      <c r="B4222" s="35">
        <v>1</v>
      </c>
      <c r="C4222" s="35">
        <v>1</v>
      </c>
      <c r="D4222" s="2">
        <f t="shared" si="65"/>
        <v>2</v>
      </c>
    </row>
    <row r="4223" spans="1:4" x14ac:dyDescent="0.3">
      <c r="A4223" s="34">
        <v>37485</v>
      </c>
      <c r="B4223" s="35">
        <v>2</v>
      </c>
      <c r="C4223" s="35">
        <v>0</v>
      </c>
      <c r="D4223" s="2">
        <f t="shared" si="65"/>
        <v>2</v>
      </c>
    </row>
    <row r="4224" spans="1:4" x14ac:dyDescent="0.3">
      <c r="A4224" s="34">
        <v>37487</v>
      </c>
      <c r="B4224" s="35">
        <v>1</v>
      </c>
      <c r="C4224" s="35">
        <v>0</v>
      </c>
      <c r="D4224" s="2">
        <f t="shared" si="65"/>
        <v>1</v>
      </c>
    </row>
    <row r="4225" spans="1:4" x14ac:dyDescent="0.3">
      <c r="A4225" s="34">
        <v>37488</v>
      </c>
      <c r="B4225" s="35">
        <v>1</v>
      </c>
      <c r="C4225" s="35">
        <v>0</v>
      </c>
      <c r="D4225" s="2">
        <f t="shared" si="65"/>
        <v>1</v>
      </c>
    </row>
    <row r="4226" spans="1:4" x14ac:dyDescent="0.3">
      <c r="A4226" s="34">
        <v>37490</v>
      </c>
      <c r="B4226" s="35">
        <v>1</v>
      </c>
      <c r="C4226" s="35">
        <v>0</v>
      </c>
      <c r="D4226" s="2">
        <f t="shared" si="65"/>
        <v>1</v>
      </c>
    </row>
    <row r="4227" spans="1:4" x14ac:dyDescent="0.3">
      <c r="A4227" s="34">
        <v>37491</v>
      </c>
      <c r="B4227" s="35">
        <v>1</v>
      </c>
      <c r="C4227" s="35">
        <v>1</v>
      </c>
      <c r="D4227" s="2">
        <f t="shared" ref="D4227:D4290" si="66">B4227+C4227</f>
        <v>2</v>
      </c>
    </row>
    <row r="4228" spans="1:4" x14ac:dyDescent="0.3">
      <c r="A4228" s="34">
        <v>37495</v>
      </c>
      <c r="B4228" s="35">
        <v>1</v>
      </c>
      <c r="C4228" s="35">
        <v>0</v>
      </c>
      <c r="D4228" s="2">
        <f t="shared" si="66"/>
        <v>1</v>
      </c>
    </row>
    <row r="4229" spans="1:4" x14ac:dyDescent="0.3">
      <c r="A4229" s="34">
        <v>37496</v>
      </c>
      <c r="B4229" s="35">
        <v>1</v>
      </c>
      <c r="C4229" s="35">
        <v>0</v>
      </c>
      <c r="D4229" s="2">
        <f t="shared" si="66"/>
        <v>1</v>
      </c>
    </row>
    <row r="4230" spans="1:4" x14ac:dyDescent="0.3">
      <c r="A4230" s="34">
        <v>37497</v>
      </c>
      <c r="B4230" s="35">
        <v>1</v>
      </c>
      <c r="C4230" s="35">
        <v>0</v>
      </c>
      <c r="D4230" s="2">
        <f t="shared" si="66"/>
        <v>1</v>
      </c>
    </row>
    <row r="4231" spans="1:4" x14ac:dyDescent="0.3">
      <c r="A4231" s="34">
        <v>37503</v>
      </c>
      <c r="B4231" s="35">
        <v>1</v>
      </c>
      <c r="C4231" s="35">
        <v>0</v>
      </c>
      <c r="D4231" s="2">
        <f t="shared" si="66"/>
        <v>1</v>
      </c>
    </row>
    <row r="4232" spans="1:4" x14ac:dyDescent="0.3">
      <c r="A4232" s="34">
        <v>37505</v>
      </c>
      <c r="B4232" s="35">
        <v>1</v>
      </c>
      <c r="C4232" s="35">
        <v>0</v>
      </c>
      <c r="D4232" s="2">
        <f t="shared" si="66"/>
        <v>1</v>
      </c>
    </row>
    <row r="4233" spans="1:4" x14ac:dyDescent="0.3">
      <c r="A4233" s="34">
        <v>37506</v>
      </c>
      <c r="B4233" s="35">
        <v>1</v>
      </c>
      <c r="C4233" s="35">
        <v>1</v>
      </c>
      <c r="D4233" s="2">
        <f t="shared" si="66"/>
        <v>2</v>
      </c>
    </row>
    <row r="4234" spans="1:4" x14ac:dyDescent="0.3">
      <c r="A4234" s="34">
        <v>37509</v>
      </c>
      <c r="B4234" s="35">
        <v>1</v>
      </c>
      <c r="C4234" s="35">
        <v>1</v>
      </c>
      <c r="D4234" s="2">
        <f t="shared" si="66"/>
        <v>2</v>
      </c>
    </row>
    <row r="4235" spans="1:4" x14ac:dyDescent="0.3">
      <c r="A4235" s="34">
        <v>37513</v>
      </c>
      <c r="B4235" s="35">
        <v>1</v>
      </c>
      <c r="C4235" s="35">
        <v>0</v>
      </c>
      <c r="D4235" s="2">
        <f t="shared" si="66"/>
        <v>1</v>
      </c>
    </row>
    <row r="4236" spans="1:4" x14ac:dyDescent="0.3">
      <c r="A4236" s="34">
        <v>37515</v>
      </c>
      <c r="B4236" s="35">
        <v>1</v>
      </c>
      <c r="C4236" s="35">
        <v>0</v>
      </c>
      <c r="D4236" s="2">
        <f t="shared" si="66"/>
        <v>1</v>
      </c>
    </row>
    <row r="4237" spans="1:4" x14ac:dyDescent="0.3">
      <c r="A4237" s="34">
        <v>37517</v>
      </c>
      <c r="B4237" s="35">
        <v>1</v>
      </c>
      <c r="C4237" s="35">
        <v>0</v>
      </c>
      <c r="D4237" s="2">
        <f t="shared" si="66"/>
        <v>1</v>
      </c>
    </row>
    <row r="4238" spans="1:4" x14ac:dyDescent="0.3">
      <c r="A4238" s="34">
        <v>37518</v>
      </c>
      <c r="B4238" s="35">
        <v>1</v>
      </c>
      <c r="C4238" s="35">
        <v>0</v>
      </c>
      <c r="D4238" s="2">
        <f t="shared" si="66"/>
        <v>1</v>
      </c>
    </row>
    <row r="4239" spans="1:4" x14ac:dyDescent="0.3">
      <c r="A4239" s="34">
        <v>37521</v>
      </c>
      <c r="B4239" s="35">
        <v>1</v>
      </c>
      <c r="C4239" s="35">
        <v>0</v>
      </c>
      <c r="D4239" s="2">
        <f t="shared" si="66"/>
        <v>1</v>
      </c>
    </row>
    <row r="4240" spans="1:4" x14ac:dyDescent="0.3">
      <c r="A4240" s="34">
        <v>37525</v>
      </c>
      <c r="B4240" s="35">
        <v>1</v>
      </c>
      <c r="C4240" s="35">
        <v>1</v>
      </c>
      <c r="D4240" s="2">
        <f t="shared" si="66"/>
        <v>2</v>
      </c>
    </row>
    <row r="4241" spans="1:4" x14ac:dyDescent="0.3">
      <c r="A4241" s="34">
        <v>37526</v>
      </c>
      <c r="B4241" s="35">
        <v>1</v>
      </c>
      <c r="C4241" s="35">
        <v>0</v>
      </c>
      <c r="D4241" s="2">
        <f t="shared" si="66"/>
        <v>1</v>
      </c>
    </row>
    <row r="4242" spans="1:4" x14ac:dyDescent="0.3">
      <c r="A4242" s="34">
        <v>37527</v>
      </c>
      <c r="B4242" s="35">
        <v>1</v>
      </c>
      <c r="C4242" s="35">
        <v>0</v>
      </c>
      <c r="D4242" s="2">
        <f t="shared" si="66"/>
        <v>1</v>
      </c>
    </row>
    <row r="4243" spans="1:4" x14ac:dyDescent="0.3">
      <c r="A4243" s="34">
        <v>37528</v>
      </c>
      <c r="B4243" s="35">
        <v>1</v>
      </c>
      <c r="C4243" s="35">
        <v>1</v>
      </c>
      <c r="D4243" s="2">
        <f t="shared" si="66"/>
        <v>2</v>
      </c>
    </row>
    <row r="4244" spans="1:4" x14ac:dyDescent="0.3">
      <c r="A4244" s="34">
        <v>37531</v>
      </c>
      <c r="B4244" s="35">
        <v>1</v>
      </c>
      <c r="C4244" s="35">
        <v>0</v>
      </c>
      <c r="D4244" s="2">
        <f t="shared" si="66"/>
        <v>1</v>
      </c>
    </row>
    <row r="4245" spans="1:4" x14ac:dyDescent="0.3">
      <c r="A4245" s="34">
        <v>37565</v>
      </c>
      <c r="B4245" s="35">
        <v>1</v>
      </c>
      <c r="C4245" s="35">
        <v>0</v>
      </c>
      <c r="D4245" s="2">
        <f t="shared" si="66"/>
        <v>1</v>
      </c>
    </row>
    <row r="4246" spans="1:4" x14ac:dyDescent="0.3">
      <c r="A4246" s="34">
        <v>37567</v>
      </c>
      <c r="B4246" s="35">
        <v>1</v>
      </c>
      <c r="C4246" s="35">
        <v>0</v>
      </c>
      <c r="D4246" s="2">
        <f t="shared" si="66"/>
        <v>1</v>
      </c>
    </row>
    <row r="4247" spans="1:4" x14ac:dyDescent="0.3">
      <c r="A4247" s="34">
        <v>37568</v>
      </c>
      <c r="B4247" s="35">
        <v>1</v>
      </c>
      <c r="C4247" s="35">
        <v>0</v>
      </c>
      <c r="D4247" s="2">
        <f t="shared" si="66"/>
        <v>1</v>
      </c>
    </row>
    <row r="4248" spans="1:4" x14ac:dyDescent="0.3">
      <c r="A4248" s="34">
        <v>37570</v>
      </c>
      <c r="B4248" s="35">
        <v>1</v>
      </c>
      <c r="C4248" s="35">
        <v>0</v>
      </c>
      <c r="D4248" s="2">
        <f t="shared" si="66"/>
        <v>1</v>
      </c>
    </row>
    <row r="4249" spans="1:4" x14ac:dyDescent="0.3">
      <c r="A4249" s="34">
        <v>37572</v>
      </c>
      <c r="B4249" s="35">
        <v>1</v>
      </c>
      <c r="C4249" s="35">
        <v>0</v>
      </c>
      <c r="D4249" s="2">
        <f t="shared" si="66"/>
        <v>1</v>
      </c>
    </row>
    <row r="4250" spans="1:4" x14ac:dyDescent="0.3">
      <c r="A4250" s="34">
        <v>37580</v>
      </c>
      <c r="B4250" s="35">
        <v>1</v>
      </c>
      <c r="C4250" s="35">
        <v>0</v>
      </c>
      <c r="D4250" s="2">
        <f t="shared" si="66"/>
        <v>1</v>
      </c>
    </row>
    <row r="4251" spans="1:4" x14ac:dyDescent="0.3">
      <c r="A4251" s="34">
        <v>37581</v>
      </c>
      <c r="B4251" s="35">
        <v>1</v>
      </c>
      <c r="C4251" s="35">
        <v>0</v>
      </c>
      <c r="D4251" s="2">
        <f t="shared" si="66"/>
        <v>1</v>
      </c>
    </row>
    <row r="4252" spans="1:4" x14ac:dyDescent="0.3">
      <c r="A4252" s="34">
        <v>37695</v>
      </c>
      <c r="B4252" s="35">
        <v>1</v>
      </c>
      <c r="C4252" s="35">
        <v>0</v>
      </c>
      <c r="D4252" s="2">
        <f t="shared" si="66"/>
        <v>1</v>
      </c>
    </row>
    <row r="4253" spans="1:4" x14ac:dyDescent="0.3">
      <c r="A4253" s="34">
        <v>37696</v>
      </c>
      <c r="B4253" s="35">
        <v>1</v>
      </c>
      <c r="C4253" s="35">
        <v>0</v>
      </c>
      <c r="D4253" s="2">
        <f t="shared" si="66"/>
        <v>1</v>
      </c>
    </row>
    <row r="4254" spans="1:4" x14ac:dyDescent="0.3">
      <c r="A4254" s="34">
        <v>37698</v>
      </c>
      <c r="B4254" s="35">
        <v>1</v>
      </c>
      <c r="C4254" s="35">
        <v>0</v>
      </c>
      <c r="D4254" s="2">
        <f t="shared" si="66"/>
        <v>1</v>
      </c>
    </row>
    <row r="4255" spans="1:4" x14ac:dyDescent="0.3">
      <c r="A4255" s="34">
        <v>37706</v>
      </c>
      <c r="B4255" s="35">
        <v>1</v>
      </c>
      <c r="C4255" s="35">
        <v>0</v>
      </c>
      <c r="D4255" s="2">
        <f t="shared" si="66"/>
        <v>1</v>
      </c>
    </row>
    <row r="4256" spans="1:4" x14ac:dyDescent="0.3">
      <c r="A4256" s="34">
        <v>37707</v>
      </c>
      <c r="B4256" s="35">
        <v>1</v>
      </c>
      <c r="C4256" s="35">
        <v>0</v>
      </c>
      <c r="D4256" s="2">
        <f t="shared" si="66"/>
        <v>1</v>
      </c>
    </row>
    <row r="4257" spans="1:4" x14ac:dyDescent="0.3">
      <c r="A4257" s="34">
        <v>37708</v>
      </c>
      <c r="B4257" s="35">
        <v>1</v>
      </c>
      <c r="C4257" s="35">
        <v>0</v>
      </c>
      <c r="D4257" s="2">
        <f t="shared" si="66"/>
        <v>1</v>
      </c>
    </row>
    <row r="4258" spans="1:4" x14ac:dyDescent="0.3">
      <c r="A4258" s="34">
        <v>37714</v>
      </c>
      <c r="B4258" s="35">
        <v>1</v>
      </c>
      <c r="C4258" s="35">
        <v>0</v>
      </c>
      <c r="D4258" s="2">
        <f t="shared" si="66"/>
        <v>1</v>
      </c>
    </row>
    <row r="4259" spans="1:4" x14ac:dyDescent="0.3">
      <c r="A4259" s="34">
        <v>37715</v>
      </c>
      <c r="B4259" s="35">
        <v>1</v>
      </c>
      <c r="C4259" s="35">
        <v>0</v>
      </c>
      <c r="D4259" s="2">
        <f t="shared" si="66"/>
        <v>1</v>
      </c>
    </row>
    <row r="4260" spans="1:4" x14ac:dyDescent="0.3">
      <c r="A4260" s="34">
        <v>37717</v>
      </c>
      <c r="B4260" s="35">
        <v>1</v>
      </c>
      <c r="C4260" s="35">
        <v>0</v>
      </c>
      <c r="D4260" s="2">
        <f t="shared" si="66"/>
        <v>1</v>
      </c>
    </row>
    <row r="4261" spans="1:4" x14ac:dyDescent="0.3">
      <c r="A4261" s="34">
        <v>37719</v>
      </c>
      <c r="B4261" s="35">
        <v>1</v>
      </c>
      <c r="C4261" s="35">
        <v>0</v>
      </c>
      <c r="D4261" s="2">
        <f t="shared" si="66"/>
        <v>1</v>
      </c>
    </row>
    <row r="4262" spans="1:4" x14ac:dyDescent="0.3">
      <c r="A4262" s="34">
        <v>37720</v>
      </c>
      <c r="B4262" s="35">
        <v>1</v>
      </c>
      <c r="C4262" s="35">
        <v>0</v>
      </c>
      <c r="D4262" s="2">
        <f t="shared" si="66"/>
        <v>1</v>
      </c>
    </row>
    <row r="4263" spans="1:4" x14ac:dyDescent="0.3">
      <c r="A4263" s="34">
        <v>37723</v>
      </c>
      <c r="B4263" s="35">
        <v>1</v>
      </c>
      <c r="C4263" s="35">
        <v>0</v>
      </c>
      <c r="D4263" s="2">
        <f t="shared" si="66"/>
        <v>1</v>
      </c>
    </row>
    <row r="4264" spans="1:4" x14ac:dyDescent="0.3">
      <c r="A4264" s="34">
        <v>37736</v>
      </c>
      <c r="B4264" s="35">
        <v>2</v>
      </c>
      <c r="C4264" s="35">
        <v>2</v>
      </c>
      <c r="D4264" s="2">
        <f t="shared" si="66"/>
        <v>4</v>
      </c>
    </row>
    <row r="4265" spans="1:4" x14ac:dyDescent="0.3">
      <c r="A4265" s="34">
        <v>37738</v>
      </c>
      <c r="B4265" s="35">
        <v>2</v>
      </c>
      <c r="C4265" s="35">
        <v>1</v>
      </c>
      <c r="D4265" s="2">
        <f t="shared" si="66"/>
        <v>3</v>
      </c>
    </row>
    <row r="4266" spans="1:4" x14ac:dyDescent="0.3">
      <c r="A4266" s="34">
        <v>37739</v>
      </c>
      <c r="B4266" s="35">
        <v>1</v>
      </c>
      <c r="C4266" s="35">
        <v>0</v>
      </c>
      <c r="D4266" s="2">
        <f t="shared" si="66"/>
        <v>1</v>
      </c>
    </row>
    <row r="4267" spans="1:4" x14ac:dyDescent="0.3">
      <c r="A4267" s="34">
        <v>37742</v>
      </c>
      <c r="B4267" s="35">
        <v>2</v>
      </c>
      <c r="C4267" s="35">
        <v>0</v>
      </c>
      <c r="D4267" s="2">
        <f t="shared" si="66"/>
        <v>2</v>
      </c>
    </row>
    <row r="4268" spans="1:4" x14ac:dyDescent="0.3">
      <c r="A4268" s="34">
        <v>37744</v>
      </c>
      <c r="B4268" s="35">
        <v>1</v>
      </c>
      <c r="C4268" s="35">
        <v>0</v>
      </c>
      <c r="D4268" s="2">
        <f t="shared" si="66"/>
        <v>1</v>
      </c>
    </row>
    <row r="4269" spans="1:4" x14ac:dyDescent="0.3">
      <c r="A4269" s="34">
        <v>37745</v>
      </c>
      <c r="B4269" s="35">
        <v>4</v>
      </c>
      <c r="C4269" s="35">
        <v>0</v>
      </c>
      <c r="D4269" s="2">
        <f t="shared" si="66"/>
        <v>4</v>
      </c>
    </row>
    <row r="4270" spans="1:4" x14ac:dyDescent="0.3">
      <c r="A4270" s="34">
        <v>37746</v>
      </c>
      <c r="B4270" s="35">
        <v>1</v>
      </c>
      <c r="C4270" s="35">
        <v>0</v>
      </c>
      <c r="D4270" s="2">
        <f t="shared" si="66"/>
        <v>1</v>
      </c>
    </row>
    <row r="4271" spans="1:4" x14ac:dyDescent="0.3">
      <c r="A4271" s="34">
        <v>37749</v>
      </c>
      <c r="B4271" s="35">
        <v>1</v>
      </c>
      <c r="C4271" s="35">
        <v>0</v>
      </c>
      <c r="D4271" s="2">
        <f t="shared" si="66"/>
        <v>1</v>
      </c>
    </row>
    <row r="4272" spans="1:4" x14ac:dyDescent="0.3">
      <c r="A4272" s="34">
        <v>37752</v>
      </c>
      <c r="B4272" s="35">
        <v>2</v>
      </c>
      <c r="C4272" s="35">
        <v>0</v>
      </c>
      <c r="D4272" s="2">
        <f t="shared" si="66"/>
        <v>2</v>
      </c>
    </row>
    <row r="4273" spans="1:4" x14ac:dyDescent="0.3">
      <c r="A4273" s="34">
        <v>37756</v>
      </c>
      <c r="B4273" s="35">
        <v>1</v>
      </c>
      <c r="C4273" s="35">
        <v>0</v>
      </c>
      <c r="D4273" s="2">
        <f t="shared" si="66"/>
        <v>1</v>
      </c>
    </row>
    <row r="4274" spans="1:4" x14ac:dyDescent="0.3">
      <c r="A4274" s="34">
        <v>37757</v>
      </c>
      <c r="B4274" s="35">
        <v>1</v>
      </c>
      <c r="C4274" s="35">
        <v>0</v>
      </c>
      <c r="D4274" s="2">
        <f t="shared" si="66"/>
        <v>1</v>
      </c>
    </row>
    <row r="4275" spans="1:4" x14ac:dyDescent="0.3">
      <c r="A4275" s="34">
        <v>37760</v>
      </c>
      <c r="B4275" s="35">
        <v>1</v>
      </c>
      <c r="C4275" s="35">
        <v>0</v>
      </c>
      <c r="D4275" s="2">
        <f t="shared" si="66"/>
        <v>1</v>
      </c>
    </row>
    <row r="4276" spans="1:4" x14ac:dyDescent="0.3">
      <c r="A4276" s="34">
        <v>37775</v>
      </c>
      <c r="B4276" s="35">
        <v>1</v>
      </c>
      <c r="C4276" s="35">
        <v>0</v>
      </c>
      <c r="D4276" s="2">
        <f t="shared" si="66"/>
        <v>1</v>
      </c>
    </row>
    <row r="4277" spans="1:4" x14ac:dyDescent="0.3">
      <c r="A4277" s="34">
        <v>37776</v>
      </c>
      <c r="B4277" s="35">
        <v>3</v>
      </c>
      <c r="C4277" s="35">
        <v>2</v>
      </c>
      <c r="D4277" s="2">
        <f t="shared" si="66"/>
        <v>5</v>
      </c>
    </row>
    <row r="4278" spans="1:4" x14ac:dyDescent="0.3">
      <c r="A4278" s="34">
        <v>37780</v>
      </c>
      <c r="B4278" s="35">
        <v>1</v>
      </c>
      <c r="C4278" s="35">
        <v>0</v>
      </c>
      <c r="D4278" s="2">
        <f t="shared" si="66"/>
        <v>1</v>
      </c>
    </row>
    <row r="4279" spans="1:4" x14ac:dyDescent="0.3">
      <c r="A4279" s="34">
        <v>37783</v>
      </c>
      <c r="B4279" s="35">
        <v>2</v>
      </c>
      <c r="C4279" s="35">
        <v>0</v>
      </c>
      <c r="D4279" s="2">
        <f t="shared" si="66"/>
        <v>2</v>
      </c>
    </row>
    <row r="4280" spans="1:4" x14ac:dyDescent="0.3">
      <c r="A4280" s="34">
        <v>37784</v>
      </c>
      <c r="B4280" s="35">
        <v>1</v>
      </c>
      <c r="C4280" s="35">
        <v>0</v>
      </c>
      <c r="D4280" s="2">
        <f t="shared" si="66"/>
        <v>1</v>
      </c>
    </row>
    <row r="4281" spans="1:4" x14ac:dyDescent="0.3">
      <c r="A4281" s="34">
        <v>37787</v>
      </c>
      <c r="B4281" s="35">
        <v>1</v>
      </c>
      <c r="C4281" s="35">
        <v>0</v>
      </c>
      <c r="D4281" s="2">
        <f t="shared" si="66"/>
        <v>1</v>
      </c>
    </row>
    <row r="4282" spans="1:4" x14ac:dyDescent="0.3">
      <c r="A4282" s="34">
        <v>37788</v>
      </c>
      <c r="B4282" s="35">
        <v>1</v>
      </c>
      <c r="C4282" s="35">
        <v>0</v>
      </c>
      <c r="D4282" s="2">
        <f t="shared" si="66"/>
        <v>1</v>
      </c>
    </row>
    <row r="4283" spans="1:4" x14ac:dyDescent="0.3">
      <c r="A4283" s="34">
        <v>37789</v>
      </c>
      <c r="B4283" s="35">
        <v>1</v>
      </c>
      <c r="C4283" s="35">
        <v>0</v>
      </c>
      <c r="D4283" s="2">
        <f t="shared" si="66"/>
        <v>1</v>
      </c>
    </row>
    <row r="4284" spans="1:4" x14ac:dyDescent="0.3">
      <c r="A4284" s="34">
        <v>37791</v>
      </c>
      <c r="B4284" s="35">
        <v>1</v>
      </c>
      <c r="C4284" s="35">
        <v>0</v>
      </c>
      <c r="D4284" s="2">
        <f t="shared" si="66"/>
        <v>1</v>
      </c>
    </row>
    <row r="4285" spans="1:4" x14ac:dyDescent="0.3">
      <c r="A4285" s="34">
        <v>37792</v>
      </c>
      <c r="B4285" s="35">
        <v>1</v>
      </c>
      <c r="C4285" s="35">
        <v>0</v>
      </c>
      <c r="D4285" s="2">
        <f t="shared" si="66"/>
        <v>1</v>
      </c>
    </row>
    <row r="4286" spans="1:4" x14ac:dyDescent="0.3">
      <c r="A4286" s="34">
        <v>37796</v>
      </c>
      <c r="B4286" s="35">
        <v>1</v>
      </c>
      <c r="C4286" s="35">
        <v>0</v>
      </c>
      <c r="D4286" s="2">
        <f t="shared" si="66"/>
        <v>1</v>
      </c>
    </row>
    <row r="4287" spans="1:4" x14ac:dyDescent="0.3">
      <c r="A4287" s="34">
        <v>37797</v>
      </c>
      <c r="B4287" s="35">
        <v>1</v>
      </c>
      <c r="C4287" s="35">
        <v>0</v>
      </c>
      <c r="D4287" s="2">
        <f t="shared" si="66"/>
        <v>1</v>
      </c>
    </row>
    <row r="4288" spans="1:4" x14ac:dyDescent="0.3">
      <c r="A4288" s="34">
        <v>37808</v>
      </c>
      <c r="B4288" s="35">
        <v>1</v>
      </c>
      <c r="C4288" s="35">
        <v>0</v>
      </c>
      <c r="D4288" s="2">
        <f t="shared" si="66"/>
        <v>1</v>
      </c>
    </row>
    <row r="4289" spans="1:4" x14ac:dyDescent="0.3">
      <c r="A4289" s="34">
        <v>37828</v>
      </c>
      <c r="B4289" s="35">
        <v>1</v>
      </c>
      <c r="C4289" s="35">
        <v>0</v>
      </c>
      <c r="D4289" s="2">
        <f t="shared" si="66"/>
        <v>1</v>
      </c>
    </row>
    <row r="4290" spans="1:4" x14ac:dyDescent="0.3">
      <c r="A4290" s="34">
        <v>37829</v>
      </c>
      <c r="B4290" s="35">
        <v>1</v>
      </c>
      <c r="C4290" s="35">
        <v>0</v>
      </c>
      <c r="D4290" s="2">
        <f t="shared" si="66"/>
        <v>1</v>
      </c>
    </row>
    <row r="4291" spans="1:4" x14ac:dyDescent="0.3">
      <c r="A4291" s="34">
        <v>37830</v>
      </c>
      <c r="B4291" s="35">
        <v>1</v>
      </c>
      <c r="C4291" s="35">
        <v>0</v>
      </c>
      <c r="D4291" s="2">
        <f t="shared" ref="D4291:D4354" si="67">B4291+C4291</f>
        <v>1</v>
      </c>
    </row>
    <row r="4292" spans="1:4" x14ac:dyDescent="0.3">
      <c r="A4292" s="34">
        <v>37831</v>
      </c>
      <c r="B4292" s="35">
        <v>1</v>
      </c>
      <c r="C4292" s="35">
        <v>1</v>
      </c>
      <c r="D4292" s="2">
        <f t="shared" si="67"/>
        <v>2</v>
      </c>
    </row>
    <row r="4293" spans="1:4" x14ac:dyDescent="0.3">
      <c r="A4293" s="34">
        <v>37833</v>
      </c>
      <c r="B4293" s="35">
        <v>2</v>
      </c>
      <c r="C4293" s="35">
        <v>1</v>
      </c>
      <c r="D4293" s="2">
        <f t="shared" si="67"/>
        <v>3</v>
      </c>
    </row>
    <row r="4294" spans="1:4" x14ac:dyDescent="0.3">
      <c r="A4294" s="34">
        <v>37834</v>
      </c>
      <c r="B4294" s="35">
        <v>1</v>
      </c>
      <c r="C4294" s="35">
        <v>0</v>
      </c>
      <c r="D4294" s="2">
        <f t="shared" si="67"/>
        <v>1</v>
      </c>
    </row>
    <row r="4295" spans="1:4" x14ac:dyDescent="0.3">
      <c r="A4295" s="34">
        <v>37835</v>
      </c>
      <c r="B4295" s="35">
        <v>1</v>
      </c>
      <c r="C4295" s="35">
        <v>0</v>
      </c>
      <c r="D4295" s="2">
        <f t="shared" si="67"/>
        <v>1</v>
      </c>
    </row>
    <row r="4296" spans="1:4" x14ac:dyDescent="0.3">
      <c r="A4296" s="34">
        <v>37839</v>
      </c>
      <c r="B4296" s="35">
        <v>1</v>
      </c>
      <c r="C4296" s="35">
        <v>1</v>
      </c>
      <c r="D4296" s="2">
        <f t="shared" si="67"/>
        <v>2</v>
      </c>
    </row>
    <row r="4297" spans="1:4" x14ac:dyDescent="0.3">
      <c r="A4297" s="34">
        <v>37842</v>
      </c>
      <c r="B4297" s="35">
        <v>1</v>
      </c>
      <c r="C4297" s="35">
        <v>1</v>
      </c>
      <c r="D4297" s="2">
        <f t="shared" si="67"/>
        <v>2</v>
      </c>
    </row>
    <row r="4298" spans="1:4" x14ac:dyDescent="0.3">
      <c r="A4298" s="34">
        <v>37845</v>
      </c>
      <c r="B4298" s="35">
        <v>1</v>
      </c>
      <c r="C4298" s="35">
        <v>1</v>
      </c>
      <c r="D4298" s="2">
        <f t="shared" si="67"/>
        <v>2</v>
      </c>
    </row>
    <row r="4299" spans="1:4" x14ac:dyDescent="0.3">
      <c r="A4299" s="34">
        <v>37900</v>
      </c>
      <c r="B4299" s="35">
        <v>1</v>
      </c>
      <c r="C4299" s="35">
        <v>0</v>
      </c>
      <c r="D4299" s="2">
        <f t="shared" si="67"/>
        <v>1</v>
      </c>
    </row>
    <row r="4300" spans="1:4" x14ac:dyDescent="0.3">
      <c r="A4300" s="34">
        <v>37904</v>
      </c>
      <c r="B4300" s="35">
        <v>1</v>
      </c>
      <c r="C4300" s="35">
        <v>0</v>
      </c>
      <c r="D4300" s="2">
        <f t="shared" si="67"/>
        <v>1</v>
      </c>
    </row>
    <row r="4301" spans="1:4" x14ac:dyDescent="0.3">
      <c r="A4301" s="34">
        <v>37905</v>
      </c>
      <c r="B4301" s="35">
        <v>1</v>
      </c>
      <c r="C4301" s="35">
        <v>1</v>
      </c>
      <c r="D4301" s="2">
        <f t="shared" si="67"/>
        <v>2</v>
      </c>
    </row>
    <row r="4302" spans="1:4" x14ac:dyDescent="0.3">
      <c r="A4302" s="34">
        <v>37908</v>
      </c>
      <c r="B4302" s="35">
        <v>1</v>
      </c>
      <c r="C4302" s="35">
        <v>0</v>
      </c>
      <c r="D4302" s="2">
        <f t="shared" si="67"/>
        <v>1</v>
      </c>
    </row>
    <row r="4303" spans="1:4" x14ac:dyDescent="0.3">
      <c r="A4303" s="34">
        <v>37915</v>
      </c>
      <c r="B4303" s="35">
        <v>1</v>
      </c>
      <c r="C4303" s="35">
        <v>1</v>
      </c>
      <c r="D4303" s="2">
        <f t="shared" si="67"/>
        <v>2</v>
      </c>
    </row>
    <row r="4304" spans="1:4" x14ac:dyDescent="0.3">
      <c r="A4304" s="34">
        <v>37961</v>
      </c>
      <c r="B4304" s="35">
        <v>1</v>
      </c>
      <c r="C4304" s="35">
        <v>0</v>
      </c>
      <c r="D4304" s="2">
        <f t="shared" si="67"/>
        <v>1</v>
      </c>
    </row>
    <row r="4305" spans="1:4" x14ac:dyDescent="0.3">
      <c r="A4305" s="34">
        <v>37964</v>
      </c>
      <c r="B4305" s="35">
        <v>1</v>
      </c>
      <c r="C4305" s="35">
        <v>0</v>
      </c>
      <c r="D4305" s="2">
        <f t="shared" si="67"/>
        <v>1</v>
      </c>
    </row>
    <row r="4306" spans="1:4" x14ac:dyDescent="0.3">
      <c r="A4306" s="34">
        <v>37965</v>
      </c>
      <c r="B4306" s="35">
        <v>1</v>
      </c>
      <c r="C4306" s="35">
        <v>0</v>
      </c>
      <c r="D4306" s="2">
        <f t="shared" si="67"/>
        <v>1</v>
      </c>
    </row>
    <row r="4307" spans="1:4" x14ac:dyDescent="0.3">
      <c r="A4307" s="34">
        <v>37968</v>
      </c>
      <c r="B4307" s="35">
        <v>2</v>
      </c>
      <c r="C4307" s="35">
        <v>0</v>
      </c>
      <c r="D4307" s="2">
        <f t="shared" si="67"/>
        <v>2</v>
      </c>
    </row>
    <row r="4308" spans="1:4" x14ac:dyDescent="0.3">
      <c r="A4308" s="34">
        <v>37971</v>
      </c>
      <c r="B4308" s="35">
        <v>1</v>
      </c>
      <c r="C4308" s="35">
        <v>0</v>
      </c>
      <c r="D4308" s="2">
        <f t="shared" si="67"/>
        <v>1</v>
      </c>
    </row>
    <row r="4309" spans="1:4" x14ac:dyDescent="0.3">
      <c r="A4309" s="34">
        <v>37976</v>
      </c>
      <c r="B4309" s="35">
        <v>1</v>
      </c>
      <c r="C4309" s="35">
        <v>0</v>
      </c>
      <c r="D4309" s="2">
        <f t="shared" si="67"/>
        <v>1</v>
      </c>
    </row>
    <row r="4310" spans="1:4" x14ac:dyDescent="0.3">
      <c r="A4310" s="34">
        <v>37977</v>
      </c>
      <c r="B4310" s="35">
        <v>1</v>
      </c>
      <c r="C4310" s="35">
        <v>0</v>
      </c>
      <c r="D4310" s="2">
        <f t="shared" si="67"/>
        <v>1</v>
      </c>
    </row>
    <row r="4311" spans="1:4" x14ac:dyDescent="0.3">
      <c r="A4311" s="34">
        <v>37980</v>
      </c>
      <c r="B4311" s="35">
        <v>1</v>
      </c>
      <c r="C4311" s="35">
        <v>0</v>
      </c>
      <c r="D4311" s="2">
        <f t="shared" si="67"/>
        <v>1</v>
      </c>
    </row>
    <row r="4312" spans="1:4" x14ac:dyDescent="0.3">
      <c r="A4312" s="34">
        <v>37985</v>
      </c>
      <c r="B4312" s="35">
        <v>1</v>
      </c>
      <c r="C4312" s="35">
        <v>0</v>
      </c>
      <c r="D4312" s="2">
        <f t="shared" si="67"/>
        <v>1</v>
      </c>
    </row>
    <row r="4313" spans="1:4" x14ac:dyDescent="0.3">
      <c r="A4313" s="34">
        <v>37986</v>
      </c>
      <c r="B4313" s="35">
        <v>1</v>
      </c>
      <c r="C4313" s="35">
        <v>0</v>
      </c>
      <c r="D4313" s="2">
        <f t="shared" si="67"/>
        <v>1</v>
      </c>
    </row>
    <row r="4314" spans="1:4" x14ac:dyDescent="0.3">
      <c r="A4314" s="34">
        <v>37990</v>
      </c>
      <c r="B4314" s="35">
        <v>1</v>
      </c>
      <c r="C4314" s="35">
        <v>0</v>
      </c>
      <c r="D4314" s="2">
        <f t="shared" si="67"/>
        <v>1</v>
      </c>
    </row>
    <row r="4315" spans="1:4" x14ac:dyDescent="0.3">
      <c r="A4315" s="34">
        <v>37991</v>
      </c>
      <c r="B4315" s="35">
        <v>1</v>
      </c>
      <c r="C4315" s="35">
        <v>0</v>
      </c>
      <c r="D4315" s="2">
        <f t="shared" si="67"/>
        <v>1</v>
      </c>
    </row>
    <row r="4316" spans="1:4" x14ac:dyDescent="0.3">
      <c r="A4316" s="34">
        <v>37997</v>
      </c>
      <c r="B4316" s="35">
        <v>1</v>
      </c>
      <c r="C4316" s="35">
        <v>0</v>
      </c>
      <c r="D4316" s="2">
        <f t="shared" si="67"/>
        <v>1</v>
      </c>
    </row>
    <row r="4317" spans="1:4" x14ac:dyDescent="0.3">
      <c r="A4317" s="34">
        <v>38012</v>
      </c>
      <c r="B4317" s="35">
        <v>2</v>
      </c>
      <c r="C4317" s="35">
        <v>0</v>
      </c>
      <c r="D4317" s="2">
        <f t="shared" si="67"/>
        <v>2</v>
      </c>
    </row>
    <row r="4318" spans="1:4" x14ac:dyDescent="0.3">
      <c r="A4318" s="34">
        <v>38038</v>
      </c>
      <c r="B4318" s="35">
        <v>1</v>
      </c>
      <c r="C4318" s="35">
        <v>0</v>
      </c>
      <c r="D4318" s="2">
        <f t="shared" si="67"/>
        <v>1</v>
      </c>
    </row>
    <row r="4319" spans="1:4" x14ac:dyDescent="0.3">
      <c r="A4319" s="34">
        <v>38042</v>
      </c>
      <c r="B4319" s="35">
        <v>1</v>
      </c>
      <c r="C4319" s="35">
        <v>0</v>
      </c>
      <c r="D4319" s="2">
        <f t="shared" si="67"/>
        <v>1</v>
      </c>
    </row>
    <row r="4320" spans="1:4" x14ac:dyDescent="0.3">
      <c r="A4320" s="34">
        <v>38043</v>
      </c>
      <c r="B4320" s="35">
        <v>1</v>
      </c>
      <c r="C4320" s="35">
        <v>0</v>
      </c>
      <c r="D4320" s="2">
        <f t="shared" si="67"/>
        <v>1</v>
      </c>
    </row>
    <row r="4321" spans="1:4" x14ac:dyDescent="0.3">
      <c r="A4321" s="34">
        <v>38046</v>
      </c>
      <c r="B4321" s="35">
        <v>1</v>
      </c>
      <c r="C4321" s="35">
        <v>0</v>
      </c>
      <c r="D4321" s="2">
        <f t="shared" si="67"/>
        <v>1</v>
      </c>
    </row>
    <row r="4322" spans="1:4" x14ac:dyDescent="0.3">
      <c r="A4322" s="34">
        <v>38048</v>
      </c>
      <c r="B4322" s="35">
        <v>1</v>
      </c>
      <c r="C4322" s="35">
        <v>0</v>
      </c>
      <c r="D4322" s="2">
        <f t="shared" si="67"/>
        <v>1</v>
      </c>
    </row>
    <row r="4323" spans="1:4" x14ac:dyDescent="0.3">
      <c r="A4323" s="34">
        <v>38049</v>
      </c>
      <c r="B4323" s="35">
        <v>1</v>
      </c>
      <c r="C4323" s="35">
        <v>0</v>
      </c>
      <c r="D4323" s="2">
        <f t="shared" si="67"/>
        <v>1</v>
      </c>
    </row>
    <row r="4324" spans="1:4" x14ac:dyDescent="0.3">
      <c r="A4324" s="34">
        <v>38061</v>
      </c>
      <c r="B4324" s="35">
        <v>1</v>
      </c>
      <c r="C4324" s="35">
        <v>0</v>
      </c>
      <c r="D4324" s="2">
        <f t="shared" si="67"/>
        <v>1</v>
      </c>
    </row>
    <row r="4325" spans="1:4" x14ac:dyDescent="0.3">
      <c r="A4325" s="34">
        <v>38062</v>
      </c>
      <c r="B4325" s="35">
        <v>1</v>
      </c>
      <c r="C4325" s="35">
        <v>0</v>
      </c>
      <c r="D4325" s="2">
        <f t="shared" si="67"/>
        <v>1</v>
      </c>
    </row>
    <row r="4326" spans="1:4" x14ac:dyDescent="0.3">
      <c r="A4326" s="34">
        <v>38063</v>
      </c>
      <c r="B4326" s="35">
        <v>1</v>
      </c>
      <c r="C4326" s="35">
        <v>0</v>
      </c>
      <c r="D4326" s="2">
        <f t="shared" si="67"/>
        <v>1</v>
      </c>
    </row>
    <row r="4327" spans="1:4" x14ac:dyDescent="0.3">
      <c r="A4327" s="34">
        <v>38064</v>
      </c>
      <c r="B4327" s="35">
        <v>1</v>
      </c>
      <c r="C4327" s="35">
        <v>0</v>
      </c>
      <c r="D4327" s="2">
        <f t="shared" si="67"/>
        <v>1</v>
      </c>
    </row>
    <row r="4328" spans="1:4" x14ac:dyDescent="0.3">
      <c r="A4328" s="34">
        <v>38065</v>
      </c>
      <c r="B4328" s="35">
        <v>3</v>
      </c>
      <c r="C4328" s="35">
        <v>0</v>
      </c>
      <c r="D4328" s="2">
        <f t="shared" si="67"/>
        <v>3</v>
      </c>
    </row>
    <row r="4329" spans="1:4" x14ac:dyDescent="0.3">
      <c r="A4329" s="34">
        <v>38071</v>
      </c>
      <c r="B4329" s="35">
        <v>1</v>
      </c>
      <c r="C4329" s="35">
        <v>1</v>
      </c>
      <c r="D4329" s="2">
        <f t="shared" si="67"/>
        <v>2</v>
      </c>
    </row>
    <row r="4330" spans="1:4" x14ac:dyDescent="0.3">
      <c r="A4330" s="34">
        <v>38073</v>
      </c>
      <c r="B4330" s="35">
        <v>1</v>
      </c>
      <c r="C4330" s="35">
        <v>0</v>
      </c>
      <c r="D4330" s="2">
        <f t="shared" si="67"/>
        <v>1</v>
      </c>
    </row>
    <row r="4331" spans="1:4" x14ac:dyDescent="0.3">
      <c r="A4331" s="34">
        <v>38077</v>
      </c>
      <c r="B4331" s="35">
        <v>1</v>
      </c>
      <c r="C4331" s="35">
        <v>0</v>
      </c>
      <c r="D4331" s="2">
        <f t="shared" si="67"/>
        <v>1</v>
      </c>
    </row>
    <row r="4332" spans="1:4" x14ac:dyDescent="0.3">
      <c r="A4332" s="34">
        <v>38080</v>
      </c>
      <c r="B4332" s="35">
        <v>1</v>
      </c>
      <c r="C4332" s="35">
        <v>0</v>
      </c>
      <c r="D4332" s="2">
        <f t="shared" si="67"/>
        <v>1</v>
      </c>
    </row>
    <row r="4333" spans="1:4" x14ac:dyDescent="0.3">
      <c r="A4333" s="34">
        <v>38082</v>
      </c>
      <c r="B4333" s="35">
        <v>1</v>
      </c>
      <c r="C4333" s="35">
        <v>0</v>
      </c>
      <c r="D4333" s="2">
        <f t="shared" si="67"/>
        <v>1</v>
      </c>
    </row>
    <row r="4334" spans="1:4" x14ac:dyDescent="0.3">
      <c r="A4334" s="34">
        <v>38127</v>
      </c>
      <c r="B4334" s="35">
        <v>1</v>
      </c>
      <c r="C4334" s="35">
        <v>0</v>
      </c>
      <c r="D4334" s="2">
        <f t="shared" si="67"/>
        <v>1</v>
      </c>
    </row>
    <row r="4335" spans="1:4" x14ac:dyDescent="0.3">
      <c r="A4335" s="34">
        <v>38136</v>
      </c>
      <c r="B4335" s="35">
        <v>1</v>
      </c>
      <c r="C4335" s="35">
        <v>1</v>
      </c>
      <c r="D4335" s="2">
        <f t="shared" si="67"/>
        <v>2</v>
      </c>
    </row>
    <row r="4336" spans="1:4" x14ac:dyDescent="0.3">
      <c r="A4336" s="34">
        <v>38138</v>
      </c>
      <c r="B4336" s="35">
        <v>1</v>
      </c>
      <c r="C4336" s="35">
        <v>0</v>
      </c>
      <c r="D4336" s="2">
        <f t="shared" si="67"/>
        <v>1</v>
      </c>
    </row>
    <row r="4337" spans="1:4" x14ac:dyDescent="0.3">
      <c r="A4337" s="34">
        <v>38140</v>
      </c>
      <c r="B4337" s="35">
        <v>1</v>
      </c>
      <c r="C4337" s="35">
        <v>0</v>
      </c>
      <c r="D4337" s="2">
        <f t="shared" si="67"/>
        <v>1</v>
      </c>
    </row>
    <row r="4338" spans="1:4" x14ac:dyDescent="0.3">
      <c r="A4338" s="34">
        <v>38141</v>
      </c>
      <c r="B4338" s="35">
        <v>1</v>
      </c>
      <c r="C4338" s="35">
        <v>0</v>
      </c>
      <c r="D4338" s="2">
        <f t="shared" si="67"/>
        <v>1</v>
      </c>
    </row>
    <row r="4339" spans="1:4" x14ac:dyDescent="0.3">
      <c r="A4339" s="34">
        <v>38144</v>
      </c>
      <c r="B4339" s="35">
        <v>1</v>
      </c>
      <c r="C4339" s="35">
        <v>0</v>
      </c>
      <c r="D4339" s="2">
        <f t="shared" si="67"/>
        <v>1</v>
      </c>
    </row>
    <row r="4340" spans="1:4" x14ac:dyDescent="0.3">
      <c r="A4340" s="34">
        <v>38148</v>
      </c>
      <c r="B4340" s="35">
        <v>2</v>
      </c>
      <c r="C4340" s="35">
        <v>2</v>
      </c>
      <c r="D4340" s="2">
        <f t="shared" si="67"/>
        <v>4</v>
      </c>
    </row>
    <row r="4341" spans="1:4" x14ac:dyDescent="0.3">
      <c r="A4341" s="34">
        <v>38155</v>
      </c>
      <c r="B4341" s="35">
        <v>1</v>
      </c>
      <c r="C4341" s="35">
        <v>0</v>
      </c>
      <c r="D4341" s="2">
        <f t="shared" si="67"/>
        <v>1</v>
      </c>
    </row>
    <row r="4342" spans="1:4" x14ac:dyDescent="0.3">
      <c r="A4342" s="34">
        <v>38158</v>
      </c>
      <c r="B4342" s="35">
        <v>1</v>
      </c>
      <c r="C4342" s="35">
        <v>0</v>
      </c>
      <c r="D4342" s="2">
        <f t="shared" si="67"/>
        <v>1</v>
      </c>
    </row>
    <row r="4343" spans="1:4" x14ac:dyDescent="0.3">
      <c r="A4343" s="34">
        <v>38159</v>
      </c>
      <c r="B4343" s="35">
        <v>1</v>
      </c>
      <c r="C4343" s="35">
        <v>1</v>
      </c>
      <c r="D4343" s="2">
        <f t="shared" si="67"/>
        <v>2</v>
      </c>
    </row>
    <row r="4344" spans="1:4" x14ac:dyDescent="0.3">
      <c r="A4344" s="34">
        <v>38161</v>
      </c>
      <c r="B4344" s="35">
        <v>1</v>
      </c>
      <c r="C4344" s="35">
        <v>1</v>
      </c>
      <c r="D4344" s="2">
        <f t="shared" si="67"/>
        <v>2</v>
      </c>
    </row>
    <row r="4345" spans="1:4" x14ac:dyDescent="0.3">
      <c r="A4345" s="34">
        <v>38165</v>
      </c>
      <c r="B4345" s="35">
        <v>1</v>
      </c>
      <c r="C4345" s="35">
        <v>0</v>
      </c>
      <c r="D4345" s="2">
        <f t="shared" si="67"/>
        <v>1</v>
      </c>
    </row>
    <row r="4346" spans="1:4" x14ac:dyDescent="0.3">
      <c r="A4346" s="34">
        <v>38171</v>
      </c>
      <c r="B4346" s="35">
        <v>1</v>
      </c>
      <c r="C4346" s="35">
        <v>0</v>
      </c>
      <c r="D4346" s="2">
        <f t="shared" si="67"/>
        <v>1</v>
      </c>
    </row>
    <row r="4347" spans="1:4" x14ac:dyDescent="0.3">
      <c r="A4347" s="34">
        <v>38175</v>
      </c>
      <c r="B4347" s="35">
        <v>1</v>
      </c>
      <c r="C4347" s="35">
        <v>0</v>
      </c>
      <c r="D4347" s="2">
        <f t="shared" si="67"/>
        <v>1</v>
      </c>
    </row>
    <row r="4348" spans="1:4" x14ac:dyDescent="0.3">
      <c r="A4348" s="34">
        <v>38176</v>
      </c>
      <c r="B4348" s="35">
        <v>2</v>
      </c>
      <c r="C4348" s="35">
        <v>0</v>
      </c>
      <c r="D4348" s="2">
        <f t="shared" si="67"/>
        <v>2</v>
      </c>
    </row>
    <row r="4349" spans="1:4" x14ac:dyDescent="0.3">
      <c r="A4349" s="34">
        <v>38182</v>
      </c>
      <c r="B4349" s="35">
        <v>1</v>
      </c>
      <c r="C4349" s="35">
        <v>1</v>
      </c>
      <c r="D4349" s="2">
        <f t="shared" si="67"/>
        <v>2</v>
      </c>
    </row>
    <row r="4350" spans="1:4" x14ac:dyDescent="0.3">
      <c r="A4350" s="34">
        <v>38226</v>
      </c>
      <c r="B4350" s="35">
        <v>1</v>
      </c>
      <c r="C4350" s="35">
        <v>0</v>
      </c>
      <c r="D4350" s="2">
        <f t="shared" si="67"/>
        <v>1</v>
      </c>
    </row>
    <row r="4351" spans="1:4" x14ac:dyDescent="0.3">
      <c r="A4351" s="34">
        <v>38227</v>
      </c>
      <c r="B4351" s="35">
        <v>4</v>
      </c>
      <c r="C4351" s="35">
        <v>2</v>
      </c>
      <c r="D4351" s="2">
        <f t="shared" si="67"/>
        <v>6</v>
      </c>
    </row>
    <row r="4352" spans="1:4" x14ac:dyDescent="0.3">
      <c r="A4352" s="34">
        <v>38231</v>
      </c>
      <c r="B4352" s="35">
        <v>1</v>
      </c>
      <c r="C4352" s="35">
        <v>1</v>
      </c>
      <c r="D4352" s="2">
        <f t="shared" si="67"/>
        <v>2</v>
      </c>
    </row>
    <row r="4353" spans="1:4" x14ac:dyDescent="0.3">
      <c r="A4353" s="34">
        <v>38233</v>
      </c>
      <c r="B4353" s="35">
        <v>1</v>
      </c>
      <c r="C4353" s="35">
        <v>0</v>
      </c>
      <c r="D4353" s="2">
        <f t="shared" si="67"/>
        <v>1</v>
      </c>
    </row>
    <row r="4354" spans="1:4" x14ac:dyDescent="0.3">
      <c r="A4354" s="34">
        <v>38234</v>
      </c>
      <c r="B4354" s="35">
        <v>2</v>
      </c>
      <c r="C4354" s="35">
        <v>0</v>
      </c>
      <c r="D4354" s="2">
        <f t="shared" si="67"/>
        <v>2</v>
      </c>
    </row>
    <row r="4355" spans="1:4" x14ac:dyDescent="0.3">
      <c r="A4355" s="34">
        <v>38241</v>
      </c>
      <c r="B4355" s="35">
        <v>4</v>
      </c>
      <c r="C4355" s="35">
        <v>0</v>
      </c>
      <c r="D4355" s="2">
        <f t="shared" ref="D4355:D4418" si="68">B4355+C4355</f>
        <v>4</v>
      </c>
    </row>
    <row r="4356" spans="1:4" x14ac:dyDescent="0.3">
      <c r="A4356" s="34">
        <v>38245</v>
      </c>
      <c r="B4356" s="35">
        <v>1</v>
      </c>
      <c r="C4356" s="35">
        <v>0</v>
      </c>
      <c r="D4356" s="2">
        <f t="shared" si="68"/>
        <v>1</v>
      </c>
    </row>
    <row r="4357" spans="1:4" x14ac:dyDescent="0.3">
      <c r="A4357" s="34">
        <v>38246</v>
      </c>
      <c r="B4357" s="35">
        <v>1</v>
      </c>
      <c r="C4357" s="35">
        <v>0</v>
      </c>
      <c r="D4357" s="2">
        <f t="shared" si="68"/>
        <v>1</v>
      </c>
    </row>
    <row r="4358" spans="1:4" x14ac:dyDescent="0.3">
      <c r="A4358" s="34">
        <v>38252</v>
      </c>
      <c r="B4358" s="35">
        <v>1</v>
      </c>
      <c r="C4358" s="35">
        <v>0</v>
      </c>
      <c r="D4358" s="2">
        <f t="shared" si="68"/>
        <v>1</v>
      </c>
    </row>
    <row r="4359" spans="1:4" x14ac:dyDescent="0.3">
      <c r="A4359" s="34">
        <v>38253</v>
      </c>
      <c r="B4359" s="35">
        <v>1</v>
      </c>
      <c r="C4359" s="35">
        <v>0</v>
      </c>
      <c r="D4359" s="2">
        <f t="shared" si="68"/>
        <v>1</v>
      </c>
    </row>
    <row r="4360" spans="1:4" x14ac:dyDescent="0.3">
      <c r="A4360" s="34">
        <v>38255</v>
      </c>
      <c r="B4360" s="35">
        <v>1</v>
      </c>
      <c r="C4360" s="35">
        <v>0</v>
      </c>
      <c r="D4360" s="2">
        <f t="shared" si="68"/>
        <v>1</v>
      </c>
    </row>
    <row r="4361" spans="1:4" x14ac:dyDescent="0.3">
      <c r="A4361" s="34">
        <v>38257</v>
      </c>
      <c r="B4361" s="35">
        <v>1</v>
      </c>
      <c r="C4361" s="35">
        <v>0</v>
      </c>
      <c r="D4361" s="2">
        <f t="shared" si="68"/>
        <v>1</v>
      </c>
    </row>
    <row r="4362" spans="1:4" x14ac:dyDescent="0.3">
      <c r="A4362" s="34">
        <v>38260</v>
      </c>
      <c r="B4362" s="35">
        <v>1</v>
      </c>
      <c r="C4362" s="35">
        <v>0</v>
      </c>
      <c r="D4362" s="2">
        <f t="shared" si="68"/>
        <v>1</v>
      </c>
    </row>
    <row r="4363" spans="1:4" x14ac:dyDescent="0.3">
      <c r="A4363" s="34">
        <v>38263</v>
      </c>
      <c r="B4363" s="35">
        <v>1</v>
      </c>
      <c r="C4363" s="35">
        <v>0</v>
      </c>
      <c r="D4363" s="2">
        <f t="shared" si="68"/>
        <v>1</v>
      </c>
    </row>
    <row r="4364" spans="1:4" x14ac:dyDescent="0.3">
      <c r="A4364" s="34">
        <v>38265</v>
      </c>
      <c r="B4364" s="35">
        <v>1</v>
      </c>
      <c r="C4364" s="35">
        <v>0</v>
      </c>
      <c r="D4364" s="2">
        <f t="shared" si="68"/>
        <v>1</v>
      </c>
    </row>
    <row r="4365" spans="1:4" x14ac:dyDescent="0.3">
      <c r="A4365" s="34">
        <v>38266</v>
      </c>
      <c r="B4365" s="35">
        <v>1</v>
      </c>
      <c r="C4365" s="35">
        <v>1</v>
      </c>
      <c r="D4365" s="2">
        <f t="shared" si="68"/>
        <v>2</v>
      </c>
    </row>
    <row r="4366" spans="1:4" x14ac:dyDescent="0.3">
      <c r="A4366" s="34">
        <v>38270</v>
      </c>
      <c r="B4366" s="35">
        <v>1</v>
      </c>
      <c r="C4366" s="35">
        <v>1</v>
      </c>
      <c r="D4366" s="2">
        <f t="shared" si="68"/>
        <v>2</v>
      </c>
    </row>
    <row r="4367" spans="1:4" x14ac:dyDescent="0.3">
      <c r="A4367" s="34">
        <v>38271</v>
      </c>
      <c r="B4367" s="35">
        <v>1</v>
      </c>
      <c r="C4367" s="35">
        <v>0</v>
      </c>
      <c r="D4367" s="2">
        <f t="shared" si="68"/>
        <v>1</v>
      </c>
    </row>
    <row r="4368" spans="1:4" x14ac:dyDescent="0.3">
      <c r="A4368" s="34">
        <v>38282</v>
      </c>
      <c r="B4368" s="35">
        <v>1</v>
      </c>
      <c r="C4368" s="35">
        <v>0</v>
      </c>
      <c r="D4368" s="2">
        <f t="shared" si="68"/>
        <v>1</v>
      </c>
    </row>
    <row r="4369" spans="1:4" x14ac:dyDescent="0.3">
      <c r="A4369" s="34">
        <v>38286</v>
      </c>
      <c r="B4369" s="35">
        <v>1</v>
      </c>
      <c r="C4369" s="35">
        <v>1</v>
      </c>
      <c r="D4369" s="2">
        <f t="shared" si="68"/>
        <v>2</v>
      </c>
    </row>
    <row r="4370" spans="1:4" x14ac:dyDescent="0.3">
      <c r="A4370" s="34">
        <v>38290</v>
      </c>
      <c r="B4370" s="35">
        <v>1</v>
      </c>
      <c r="C4370" s="35">
        <v>0</v>
      </c>
      <c r="D4370" s="2">
        <f t="shared" si="68"/>
        <v>1</v>
      </c>
    </row>
    <row r="4371" spans="1:4" x14ac:dyDescent="0.3">
      <c r="A4371" s="34">
        <v>38291</v>
      </c>
      <c r="B4371" s="35">
        <v>1</v>
      </c>
      <c r="C4371" s="35">
        <v>0</v>
      </c>
      <c r="D4371" s="2">
        <f t="shared" si="68"/>
        <v>1</v>
      </c>
    </row>
    <row r="4372" spans="1:4" x14ac:dyDescent="0.3">
      <c r="A4372" s="34">
        <v>38293</v>
      </c>
      <c r="B4372" s="35">
        <v>1</v>
      </c>
      <c r="C4372" s="35">
        <v>0</v>
      </c>
      <c r="D4372" s="2">
        <f t="shared" si="68"/>
        <v>1</v>
      </c>
    </row>
    <row r="4373" spans="1:4" x14ac:dyDescent="0.3">
      <c r="A4373" s="34">
        <v>38294</v>
      </c>
      <c r="B4373" s="35">
        <v>1</v>
      </c>
      <c r="C4373" s="35">
        <v>0</v>
      </c>
      <c r="D4373" s="2">
        <f t="shared" si="68"/>
        <v>1</v>
      </c>
    </row>
    <row r="4374" spans="1:4" x14ac:dyDescent="0.3">
      <c r="A4374" s="34">
        <v>38296</v>
      </c>
      <c r="B4374" s="35">
        <v>1</v>
      </c>
      <c r="C4374" s="35">
        <v>1</v>
      </c>
      <c r="D4374" s="2">
        <f t="shared" si="68"/>
        <v>2</v>
      </c>
    </row>
    <row r="4375" spans="1:4" x14ac:dyDescent="0.3">
      <c r="A4375" s="34">
        <v>38297</v>
      </c>
      <c r="B4375" s="35">
        <v>1</v>
      </c>
      <c r="C4375" s="35">
        <v>1</v>
      </c>
      <c r="D4375" s="2">
        <f t="shared" si="68"/>
        <v>2</v>
      </c>
    </row>
    <row r="4376" spans="1:4" x14ac:dyDescent="0.3">
      <c r="A4376" s="34">
        <v>38299</v>
      </c>
      <c r="B4376" s="35">
        <v>1</v>
      </c>
      <c r="C4376" s="35">
        <v>1</v>
      </c>
      <c r="D4376" s="2">
        <f t="shared" si="68"/>
        <v>2</v>
      </c>
    </row>
    <row r="4377" spans="1:4" x14ac:dyDescent="0.3">
      <c r="A4377" s="34">
        <v>38301</v>
      </c>
      <c r="B4377" s="35">
        <v>1</v>
      </c>
      <c r="C4377" s="35">
        <v>1</v>
      </c>
      <c r="D4377" s="2">
        <f t="shared" si="68"/>
        <v>2</v>
      </c>
    </row>
    <row r="4378" spans="1:4" x14ac:dyDescent="0.3">
      <c r="A4378" s="34">
        <v>38302</v>
      </c>
      <c r="B4378" s="35">
        <v>1</v>
      </c>
      <c r="C4378" s="35">
        <v>1</v>
      </c>
      <c r="D4378" s="2">
        <f t="shared" si="68"/>
        <v>2</v>
      </c>
    </row>
    <row r="4379" spans="1:4" x14ac:dyDescent="0.3">
      <c r="A4379" s="34">
        <v>38305</v>
      </c>
      <c r="B4379" s="35">
        <v>1</v>
      </c>
      <c r="C4379" s="35">
        <v>0</v>
      </c>
      <c r="D4379" s="2">
        <f t="shared" si="68"/>
        <v>1</v>
      </c>
    </row>
    <row r="4380" spans="1:4" x14ac:dyDescent="0.3">
      <c r="A4380" s="34">
        <v>38309</v>
      </c>
      <c r="B4380" s="35">
        <v>1</v>
      </c>
      <c r="C4380" s="35">
        <v>0</v>
      </c>
      <c r="D4380" s="2">
        <f t="shared" si="68"/>
        <v>1</v>
      </c>
    </row>
    <row r="4381" spans="1:4" x14ac:dyDescent="0.3">
      <c r="A4381" s="34">
        <v>38310</v>
      </c>
      <c r="B4381" s="35">
        <v>1</v>
      </c>
      <c r="C4381" s="35">
        <v>1</v>
      </c>
      <c r="D4381" s="2">
        <f t="shared" si="68"/>
        <v>2</v>
      </c>
    </row>
    <row r="4382" spans="1:4" x14ac:dyDescent="0.3">
      <c r="A4382" s="34">
        <v>38311</v>
      </c>
      <c r="B4382" s="35">
        <v>1</v>
      </c>
      <c r="C4382" s="35">
        <v>0</v>
      </c>
      <c r="D4382" s="2">
        <f t="shared" si="68"/>
        <v>1</v>
      </c>
    </row>
    <row r="4383" spans="1:4" x14ac:dyDescent="0.3">
      <c r="A4383" s="34">
        <v>38313</v>
      </c>
      <c r="B4383" s="35">
        <v>1</v>
      </c>
      <c r="C4383" s="35">
        <v>1</v>
      </c>
      <c r="D4383" s="2">
        <f t="shared" si="68"/>
        <v>2</v>
      </c>
    </row>
    <row r="4384" spans="1:4" x14ac:dyDescent="0.3">
      <c r="A4384" s="34">
        <v>38314</v>
      </c>
      <c r="B4384" s="35">
        <v>1</v>
      </c>
      <c r="C4384" s="35">
        <v>0</v>
      </c>
      <c r="D4384" s="2">
        <f t="shared" si="68"/>
        <v>1</v>
      </c>
    </row>
    <row r="4385" spans="1:4" x14ac:dyDescent="0.3">
      <c r="A4385" s="34">
        <v>38315</v>
      </c>
      <c r="B4385" s="35">
        <v>1</v>
      </c>
      <c r="C4385" s="35">
        <v>0</v>
      </c>
      <c r="D4385" s="2">
        <f t="shared" si="68"/>
        <v>1</v>
      </c>
    </row>
    <row r="4386" spans="1:4" x14ac:dyDescent="0.3">
      <c r="A4386" s="34">
        <v>38317</v>
      </c>
      <c r="B4386" s="35">
        <v>3</v>
      </c>
      <c r="C4386" s="35">
        <v>0</v>
      </c>
      <c r="D4386" s="2">
        <f t="shared" si="68"/>
        <v>3</v>
      </c>
    </row>
    <row r="4387" spans="1:4" x14ac:dyDescent="0.3">
      <c r="A4387" s="34">
        <v>38319</v>
      </c>
      <c r="B4387" s="35">
        <v>1</v>
      </c>
      <c r="C4387" s="35">
        <v>0</v>
      </c>
      <c r="D4387" s="2">
        <f t="shared" si="68"/>
        <v>1</v>
      </c>
    </row>
    <row r="4388" spans="1:4" x14ac:dyDescent="0.3">
      <c r="A4388" s="34">
        <v>38327</v>
      </c>
      <c r="B4388" s="35">
        <v>1</v>
      </c>
      <c r="C4388" s="35">
        <v>1</v>
      </c>
      <c r="D4388" s="2">
        <f t="shared" si="68"/>
        <v>2</v>
      </c>
    </row>
    <row r="4389" spans="1:4" x14ac:dyDescent="0.3">
      <c r="A4389" s="34">
        <v>38331</v>
      </c>
      <c r="B4389" s="35">
        <v>4</v>
      </c>
      <c r="C4389" s="35">
        <v>0</v>
      </c>
      <c r="D4389" s="2">
        <f t="shared" si="68"/>
        <v>4</v>
      </c>
    </row>
    <row r="4390" spans="1:4" x14ac:dyDescent="0.3">
      <c r="A4390" s="34">
        <v>38332</v>
      </c>
      <c r="B4390" s="35">
        <v>1</v>
      </c>
      <c r="C4390" s="35">
        <v>0</v>
      </c>
      <c r="D4390" s="2">
        <f t="shared" si="68"/>
        <v>1</v>
      </c>
    </row>
    <row r="4391" spans="1:4" x14ac:dyDescent="0.3">
      <c r="A4391" s="34">
        <v>38334</v>
      </c>
      <c r="B4391" s="35">
        <v>1</v>
      </c>
      <c r="C4391" s="35">
        <v>0</v>
      </c>
      <c r="D4391" s="2">
        <f t="shared" si="68"/>
        <v>1</v>
      </c>
    </row>
    <row r="4392" spans="1:4" x14ac:dyDescent="0.3">
      <c r="A4392" s="34">
        <v>38339</v>
      </c>
      <c r="B4392" s="35">
        <v>1</v>
      </c>
      <c r="C4392" s="35">
        <v>0</v>
      </c>
      <c r="D4392" s="2">
        <f t="shared" si="68"/>
        <v>1</v>
      </c>
    </row>
    <row r="4393" spans="1:4" x14ac:dyDescent="0.3">
      <c r="A4393" s="34">
        <v>38389</v>
      </c>
      <c r="B4393" s="35">
        <v>1</v>
      </c>
      <c r="C4393" s="35">
        <v>0</v>
      </c>
      <c r="D4393" s="2">
        <f t="shared" si="68"/>
        <v>1</v>
      </c>
    </row>
    <row r="4394" spans="1:4" x14ac:dyDescent="0.3">
      <c r="A4394" s="34">
        <v>38390</v>
      </c>
      <c r="B4394" s="35">
        <v>1</v>
      </c>
      <c r="C4394" s="35">
        <v>0</v>
      </c>
      <c r="D4394" s="2">
        <f t="shared" si="68"/>
        <v>1</v>
      </c>
    </row>
    <row r="4395" spans="1:4" x14ac:dyDescent="0.3">
      <c r="A4395" s="34">
        <v>38393</v>
      </c>
      <c r="B4395" s="35">
        <v>1</v>
      </c>
      <c r="C4395" s="35">
        <v>0</v>
      </c>
      <c r="D4395" s="2">
        <f t="shared" si="68"/>
        <v>1</v>
      </c>
    </row>
    <row r="4396" spans="1:4" x14ac:dyDescent="0.3">
      <c r="A4396" s="34">
        <v>38394</v>
      </c>
      <c r="B4396" s="35">
        <v>1</v>
      </c>
      <c r="C4396" s="35">
        <v>0</v>
      </c>
      <c r="D4396" s="2">
        <f t="shared" si="68"/>
        <v>1</v>
      </c>
    </row>
    <row r="4397" spans="1:4" x14ac:dyDescent="0.3">
      <c r="A4397" s="34">
        <v>38396</v>
      </c>
      <c r="B4397" s="35">
        <v>1</v>
      </c>
      <c r="C4397" s="35">
        <v>0</v>
      </c>
      <c r="D4397" s="2">
        <f t="shared" si="68"/>
        <v>1</v>
      </c>
    </row>
    <row r="4398" spans="1:4" x14ac:dyDescent="0.3">
      <c r="A4398" s="34">
        <v>38397</v>
      </c>
      <c r="B4398" s="35">
        <v>1</v>
      </c>
      <c r="C4398" s="35">
        <v>0</v>
      </c>
      <c r="D4398" s="2">
        <f t="shared" si="68"/>
        <v>1</v>
      </c>
    </row>
    <row r="4399" spans="1:4" x14ac:dyDescent="0.3">
      <c r="A4399" s="34">
        <v>38402</v>
      </c>
      <c r="B4399" s="35">
        <v>1</v>
      </c>
      <c r="C4399" s="35">
        <v>0</v>
      </c>
      <c r="D4399" s="2">
        <f t="shared" si="68"/>
        <v>1</v>
      </c>
    </row>
    <row r="4400" spans="1:4" x14ac:dyDescent="0.3">
      <c r="A4400" s="34">
        <v>38422</v>
      </c>
      <c r="B4400" s="35">
        <v>1</v>
      </c>
      <c r="C4400" s="35">
        <v>0</v>
      </c>
      <c r="D4400" s="2">
        <f t="shared" si="68"/>
        <v>1</v>
      </c>
    </row>
    <row r="4401" spans="1:4" x14ac:dyDescent="0.3">
      <c r="A4401" s="34">
        <v>38424</v>
      </c>
      <c r="B4401" s="35">
        <v>3</v>
      </c>
      <c r="C4401" s="35">
        <v>1</v>
      </c>
      <c r="D4401" s="2">
        <f t="shared" si="68"/>
        <v>4</v>
      </c>
    </row>
    <row r="4402" spans="1:4" x14ac:dyDescent="0.3">
      <c r="A4402" s="34">
        <v>38427</v>
      </c>
      <c r="B4402" s="35">
        <v>1</v>
      </c>
      <c r="C4402" s="35">
        <v>0</v>
      </c>
      <c r="D4402" s="2">
        <f t="shared" si="68"/>
        <v>1</v>
      </c>
    </row>
    <row r="4403" spans="1:4" x14ac:dyDescent="0.3">
      <c r="A4403" s="34">
        <v>38429</v>
      </c>
      <c r="B4403" s="35">
        <v>2</v>
      </c>
      <c r="C4403" s="35">
        <v>0</v>
      </c>
      <c r="D4403" s="2">
        <f t="shared" si="68"/>
        <v>2</v>
      </c>
    </row>
    <row r="4404" spans="1:4" x14ac:dyDescent="0.3">
      <c r="A4404" s="34">
        <v>38438</v>
      </c>
      <c r="B4404" s="35">
        <v>1</v>
      </c>
      <c r="C4404" s="35">
        <v>0</v>
      </c>
      <c r="D4404" s="2">
        <f t="shared" si="68"/>
        <v>1</v>
      </c>
    </row>
    <row r="4405" spans="1:4" x14ac:dyDescent="0.3">
      <c r="A4405" s="34">
        <v>38440</v>
      </c>
      <c r="B4405" s="35">
        <v>1</v>
      </c>
      <c r="C4405" s="35">
        <v>1</v>
      </c>
      <c r="D4405" s="2">
        <f t="shared" si="68"/>
        <v>2</v>
      </c>
    </row>
    <row r="4406" spans="1:4" x14ac:dyDescent="0.3">
      <c r="A4406" s="34">
        <v>38447</v>
      </c>
      <c r="B4406" s="35">
        <v>1</v>
      </c>
      <c r="C4406" s="35">
        <v>0</v>
      </c>
      <c r="D4406" s="2">
        <f t="shared" si="68"/>
        <v>1</v>
      </c>
    </row>
    <row r="4407" spans="1:4" x14ac:dyDescent="0.3">
      <c r="A4407" s="34">
        <v>38466</v>
      </c>
      <c r="B4407" s="35">
        <v>1</v>
      </c>
      <c r="C4407" s="35">
        <v>0</v>
      </c>
      <c r="D4407" s="2">
        <f t="shared" si="68"/>
        <v>1</v>
      </c>
    </row>
    <row r="4408" spans="1:4" x14ac:dyDescent="0.3">
      <c r="A4408" s="34">
        <v>38471</v>
      </c>
      <c r="B4408" s="35">
        <v>1</v>
      </c>
      <c r="C4408" s="35">
        <v>0</v>
      </c>
      <c r="D4408" s="2">
        <f t="shared" si="68"/>
        <v>1</v>
      </c>
    </row>
    <row r="4409" spans="1:4" x14ac:dyDescent="0.3">
      <c r="A4409" s="34">
        <v>38474</v>
      </c>
      <c r="B4409" s="35">
        <v>2</v>
      </c>
      <c r="C4409" s="35">
        <v>1</v>
      </c>
      <c r="D4409" s="2">
        <f t="shared" si="68"/>
        <v>3</v>
      </c>
    </row>
    <row r="4410" spans="1:4" x14ac:dyDescent="0.3">
      <c r="A4410" s="34">
        <v>38476</v>
      </c>
      <c r="B4410" s="35">
        <v>1</v>
      </c>
      <c r="C4410" s="35">
        <v>0</v>
      </c>
      <c r="D4410" s="2">
        <f t="shared" si="68"/>
        <v>1</v>
      </c>
    </row>
    <row r="4411" spans="1:4" x14ac:dyDescent="0.3">
      <c r="A4411" s="34">
        <v>38477</v>
      </c>
      <c r="B4411" s="35">
        <v>1</v>
      </c>
      <c r="C4411" s="35">
        <v>0</v>
      </c>
      <c r="D4411" s="2">
        <f t="shared" si="68"/>
        <v>1</v>
      </c>
    </row>
    <row r="4412" spans="1:4" x14ac:dyDescent="0.3">
      <c r="A4412" s="34">
        <v>38478</v>
      </c>
      <c r="B4412" s="35">
        <v>1</v>
      </c>
      <c r="C4412" s="35">
        <v>0</v>
      </c>
      <c r="D4412" s="2">
        <f t="shared" si="68"/>
        <v>1</v>
      </c>
    </row>
    <row r="4413" spans="1:4" x14ac:dyDescent="0.3">
      <c r="A4413" s="34">
        <v>38479</v>
      </c>
      <c r="B4413" s="35">
        <v>2</v>
      </c>
      <c r="C4413" s="35">
        <v>1</v>
      </c>
      <c r="D4413" s="2">
        <f t="shared" si="68"/>
        <v>3</v>
      </c>
    </row>
    <row r="4414" spans="1:4" x14ac:dyDescent="0.3">
      <c r="A4414" s="34">
        <v>38480</v>
      </c>
      <c r="B4414" s="35">
        <v>3</v>
      </c>
      <c r="C4414" s="35">
        <v>3</v>
      </c>
      <c r="D4414" s="2">
        <f t="shared" si="68"/>
        <v>6</v>
      </c>
    </row>
    <row r="4415" spans="1:4" x14ac:dyDescent="0.3">
      <c r="A4415" s="34">
        <v>38484</v>
      </c>
      <c r="B4415" s="35">
        <v>1</v>
      </c>
      <c r="C4415" s="35">
        <v>0</v>
      </c>
      <c r="D4415" s="2">
        <f t="shared" si="68"/>
        <v>1</v>
      </c>
    </row>
    <row r="4416" spans="1:4" x14ac:dyDescent="0.3">
      <c r="A4416" s="34">
        <v>38488</v>
      </c>
      <c r="B4416" s="35">
        <v>1</v>
      </c>
      <c r="C4416" s="35">
        <v>0</v>
      </c>
      <c r="D4416" s="2">
        <f t="shared" si="68"/>
        <v>1</v>
      </c>
    </row>
    <row r="4417" spans="1:4" x14ac:dyDescent="0.3">
      <c r="A4417" s="34">
        <v>38495</v>
      </c>
      <c r="B4417" s="35">
        <v>1</v>
      </c>
      <c r="C4417" s="35">
        <v>0</v>
      </c>
      <c r="D4417" s="2">
        <f t="shared" si="68"/>
        <v>1</v>
      </c>
    </row>
    <row r="4418" spans="1:4" x14ac:dyDescent="0.3">
      <c r="A4418" s="34">
        <v>38498</v>
      </c>
      <c r="B4418" s="35">
        <v>1</v>
      </c>
      <c r="C4418" s="35">
        <v>0</v>
      </c>
      <c r="D4418" s="2">
        <f t="shared" si="68"/>
        <v>1</v>
      </c>
    </row>
    <row r="4419" spans="1:4" x14ac:dyDescent="0.3">
      <c r="A4419" s="34">
        <v>38501</v>
      </c>
      <c r="B4419" s="35">
        <v>1</v>
      </c>
      <c r="C4419" s="35">
        <v>0</v>
      </c>
      <c r="D4419" s="2">
        <f t="shared" ref="D4419:D4482" si="69">B4419+C4419</f>
        <v>1</v>
      </c>
    </row>
    <row r="4420" spans="1:4" x14ac:dyDescent="0.3">
      <c r="A4420" s="34">
        <v>38502</v>
      </c>
      <c r="B4420" s="35">
        <v>1</v>
      </c>
      <c r="C4420" s="35">
        <v>0</v>
      </c>
      <c r="D4420" s="2">
        <f t="shared" si="69"/>
        <v>1</v>
      </c>
    </row>
    <row r="4421" spans="1:4" x14ac:dyDescent="0.3">
      <c r="A4421" s="34">
        <v>38503</v>
      </c>
      <c r="B4421" s="35">
        <v>4</v>
      </c>
      <c r="C4421" s="35">
        <v>1</v>
      </c>
      <c r="D4421" s="2">
        <f t="shared" si="69"/>
        <v>5</v>
      </c>
    </row>
    <row r="4422" spans="1:4" x14ac:dyDescent="0.3">
      <c r="A4422" s="34">
        <v>38505</v>
      </c>
      <c r="B4422" s="35">
        <v>1</v>
      </c>
      <c r="C4422" s="35">
        <v>1</v>
      </c>
      <c r="D4422" s="2">
        <f t="shared" si="69"/>
        <v>2</v>
      </c>
    </row>
    <row r="4423" spans="1:4" x14ac:dyDescent="0.3">
      <c r="A4423" s="34">
        <v>38506</v>
      </c>
      <c r="B4423" s="35">
        <v>1</v>
      </c>
      <c r="C4423" s="35">
        <v>0</v>
      </c>
      <c r="D4423" s="2">
        <f t="shared" si="69"/>
        <v>1</v>
      </c>
    </row>
    <row r="4424" spans="1:4" x14ac:dyDescent="0.3">
      <c r="A4424" s="34">
        <v>38509</v>
      </c>
      <c r="B4424" s="35">
        <v>2</v>
      </c>
      <c r="C4424" s="35">
        <v>0</v>
      </c>
      <c r="D4424" s="2">
        <f t="shared" si="69"/>
        <v>2</v>
      </c>
    </row>
    <row r="4425" spans="1:4" x14ac:dyDescent="0.3">
      <c r="A4425" s="34">
        <v>38513</v>
      </c>
      <c r="B4425" s="35">
        <v>1</v>
      </c>
      <c r="C4425" s="35">
        <v>0</v>
      </c>
      <c r="D4425" s="2">
        <f t="shared" si="69"/>
        <v>1</v>
      </c>
    </row>
    <row r="4426" spans="1:4" x14ac:dyDescent="0.3">
      <c r="A4426" s="34">
        <v>38515</v>
      </c>
      <c r="B4426" s="35">
        <v>1</v>
      </c>
      <c r="C4426" s="35">
        <v>0</v>
      </c>
      <c r="D4426" s="2">
        <f t="shared" si="69"/>
        <v>1</v>
      </c>
    </row>
    <row r="4427" spans="1:4" x14ac:dyDescent="0.3">
      <c r="A4427" s="34">
        <v>38516</v>
      </c>
      <c r="B4427" s="35">
        <v>1</v>
      </c>
      <c r="C4427" s="35">
        <v>0</v>
      </c>
      <c r="D4427" s="2">
        <f t="shared" si="69"/>
        <v>1</v>
      </c>
    </row>
    <row r="4428" spans="1:4" x14ac:dyDescent="0.3">
      <c r="A4428" s="34">
        <v>38517</v>
      </c>
      <c r="B4428" s="35">
        <v>1</v>
      </c>
      <c r="C4428" s="35">
        <v>1</v>
      </c>
      <c r="D4428" s="2">
        <f t="shared" si="69"/>
        <v>2</v>
      </c>
    </row>
    <row r="4429" spans="1:4" x14ac:dyDescent="0.3">
      <c r="A4429" s="34">
        <v>38523</v>
      </c>
      <c r="B4429" s="35">
        <v>1</v>
      </c>
      <c r="C4429" s="35">
        <v>0</v>
      </c>
      <c r="D4429" s="2">
        <f t="shared" si="69"/>
        <v>1</v>
      </c>
    </row>
    <row r="4430" spans="1:4" x14ac:dyDescent="0.3">
      <c r="A4430" s="34">
        <v>38604</v>
      </c>
      <c r="B4430" s="35">
        <v>1</v>
      </c>
      <c r="C4430" s="35">
        <v>0</v>
      </c>
      <c r="D4430" s="2">
        <f t="shared" si="69"/>
        <v>1</v>
      </c>
    </row>
    <row r="4431" spans="1:4" x14ac:dyDescent="0.3">
      <c r="A4431" s="34">
        <v>38611</v>
      </c>
      <c r="B4431" s="35">
        <v>1</v>
      </c>
      <c r="C4431" s="35">
        <v>0</v>
      </c>
      <c r="D4431" s="2">
        <f t="shared" si="69"/>
        <v>1</v>
      </c>
    </row>
    <row r="4432" spans="1:4" x14ac:dyDescent="0.3">
      <c r="A4432" s="34">
        <v>38613</v>
      </c>
      <c r="B4432" s="35">
        <v>1</v>
      </c>
      <c r="C4432" s="35">
        <v>0</v>
      </c>
      <c r="D4432" s="2">
        <f t="shared" si="69"/>
        <v>1</v>
      </c>
    </row>
    <row r="4433" spans="1:4" x14ac:dyDescent="0.3">
      <c r="A4433" s="34">
        <v>38616</v>
      </c>
      <c r="B4433" s="35">
        <v>1</v>
      </c>
      <c r="C4433" s="35">
        <v>0</v>
      </c>
      <c r="D4433" s="2">
        <f t="shared" si="69"/>
        <v>1</v>
      </c>
    </row>
    <row r="4434" spans="1:4" x14ac:dyDescent="0.3">
      <c r="A4434" s="34">
        <v>38620</v>
      </c>
      <c r="B4434" s="35">
        <v>2</v>
      </c>
      <c r="C4434" s="35">
        <v>1</v>
      </c>
      <c r="D4434" s="2">
        <f t="shared" si="69"/>
        <v>3</v>
      </c>
    </row>
    <row r="4435" spans="1:4" x14ac:dyDescent="0.3">
      <c r="A4435" s="34">
        <v>38621</v>
      </c>
      <c r="B4435" s="35">
        <v>1</v>
      </c>
      <c r="C4435" s="35">
        <v>0</v>
      </c>
      <c r="D4435" s="2">
        <f t="shared" si="69"/>
        <v>1</v>
      </c>
    </row>
    <row r="4436" spans="1:4" x14ac:dyDescent="0.3">
      <c r="A4436" s="34">
        <v>38622</v>
      </c>
      <c r="B4436" s="35">
        <v>1</v>
      </c>
      <c r="C4436" s="35">
        <v>0</v>
      </c>
      <c r="D4436" s="2">
        <f t="shared" si="69"/>
        <v>1</v>
      </c>
    </row>
    <row r="4437" spans="1:4" x14ac:dyDescent="0.3">
      <c r="A4437" s="34">
        <v>38625</v>
      </c>
      <c r="B4437" s="35">
        <v>1</v>
      </c>
      <c r="C4437" s="35">
        <v>1</v>
      </c>
      <c r="D4437" s="2">
        <f t="shared" si="69"/>
        <v>2</v>
      </c>
    </row>
    <row r="4438" spans="1:4" x14ac:dyDescent="0.3">
      <c r="A4438" s="34">
        <v>38627</v>
      </c>
      <c r="B4438" s="35">
        <v>1</v>
      </c>
      <c r="C4438" s="35">
        <v>0</v>
      </c>
      <c r="D4438" s="2">
        <f t="shared" si="69"/>
        <v>1</v>
      </c>
    </row>
    <row r="4439" spans="1:4" x14ac:dyDescent="0.3">
      <c r="A4439" s="34">
        <v>38630</v>
      </c>
      <c r="B4439" s="35">
        <v>1</v>
      </c>
      <c r="C4439" s="35">
        <v>0</v>
      </c>
      <c r="D4439" s="2">
        <f t="shared" si="69"/>
        <v>1</v>
      </c>
    </row>
    <row r="4440" spans="1:4" x14ac:dyDescent="0.3">
      <c r="A4440" s="34">
        <v>38644</v>
      </c>
      <c r="B4440" s="35">
        <v>1</v>
      </c>
      <c r="C4440" s="35">
        <v>0</v>
      </c>
      <c r="D4440" s="2">
        <f t="shared" si="69"/>
        <v>1</v>
      </c>
    </row>
    <row r="4441" spans="1:4" x14ac:dyDescent="0.3">
      <c r="A4441" s="34">
        <v>38647</v>
      </c>
      <c r="B4441" s="35">
        <v>1</v>
      </c>
      <c r="C4441" s="35">
        <v>0</v>
      </c>
      <c r="D4441" s="2">
        <f t="shared" si="69"/>
        <v>1</v>
      </c>
    </row>
    <row r="4442" spans="1:4" x14ac:dyDescent="0.3">
      <c r="A4442" s="34">
        <v>38649</v>
      </c>
      <c r="B4442" s="35">
        <v>1</v>
      </c>
      <c r="C4442" s="35">
        <v>0</v>
      </c>
      <c r="D4442" s="2">
        <f t="shared" si="69"/>
        <v>1</v>
      </c>
    </row>
    <row r="4443" spans="1:4" x14ac:dyDescent="0.3">
      <c r="A4443" s="34">
        <v>38651</v>
      </c>
      <c r="B4443" s="35">
        <v>1</v>
      </c>
      <c r="C4443" s="35">
        <v>0</v>
      </c>
      <c r="D4443" s="2">
        <f t="shared" si="69"/>
        <v>1</v>
      </c>
    </row>
    <row r="4444" spans="1:4" x14ac:dyDescent="0.3">
      <c r="A4444" s="34">
        <v>38652</v>
      </c>
      <c r="B4444" s="35">
        <v>1</v>
      </c>
      <c r="C4444" s="35">
        <v>0</v>
      </c>
      <c r="D4444" s="2">
        <f t="shared" si="69"/>
        <v>1</v>
      </c>
    </row>
    <row r="4445" spans="1:4" x14ac:dyDescent="0.3">
      <c r="A4445" s="34">
        <v>38662</v>
      </c>
      <c r="B4445" s="35">
        <v>2</v>
      </c>
      <c r="C4445" s="35">
        <v>2</v>
      </c>
      <c r="D4445" s="2">
        <f t="shared" si="69"/>
        <v>4</v>
      </c>
    </row>
    <row r="4446" spans="1:4" x14ac:dyDescent="0.3">
      <c r="A4446" s="34">
        <v>38666</v>
      </c>
      <c r="B4446" s="35">
        <v>1</v>
      </c>
      <c r="C4446" s="35">
        <v>1</v>
      </c>
      <c r="D4446" s="2">
        <f t="shared" si="69"/>
        <v>2</v>
      </c>
    </row>
    <row r="4447" spans="1:4" x14ac:dyDescent="0.3">
      <c r="A4447" s="34">
        <v>38668</v>
      </c>
      <c r="B4447" s="35">
        <v>1</v>
      </c>
      <c r="C4447" s="35">
        <v>0</v>
      </c>
      <c r="D4447" s="2">
        <f t="shared" si="69"/>
        <v>1</v>
      </c>
    </row>
    <row r="4448" spans="1:4" x14ac:dyDescent="0.3">
      <c r="A4448" s="34">
        <v>38670</v>
      </c>
      <c r="B4448" s="35">
        <v>1</v>
      </c>
      <c r="C4448" s="35">
        <v>1</v>
      </c>
      <c r="D4448" s="2">
        <f t="shared" si="69"/>
        <v>2</v>
      </c>
    </row>
    <row r="4449" spans="1:4" x14ac:dyDescent="0.3">
      <c r="A4449" s="34">
        <v>38673</v>
      </c>
      <c r="B4449" s="35">
        <v>1</v>
      </c>
      <c r="C4449" s="35">
        <v>1</v>
      </c>
      <c r="D4449" s="2">
        <f t="shared" si="69"/>
        <v>2</v>
      </c>
    </row>
    <row r="4450" spans="1:4" x14ac:dyDescent="0.3">
      <c r="A4450" s="34">
        <v>38674</v>
      </c>
      <c r="B4450" s="35">
        <v>1</v>
      </c>
      <c r="C4450" s="35">
        <v>1</v>
      </c>
      <c r="D4450" s="2">
        <f t="shared" si="69"/>
        <v>2</v>
      </c>
    </row>
    <row r="4451" spans="1:4" x14ac:dyDescent="0.3">
      <c r="A4451" s="34">
        <v>38676</v>
      </c>
      <c r="B4451" s="35">
        <v>1</v>
      </c>
      <c r="C4451" s="35">
        <v>0</v>
      </c>
      <c r="D4451" s="2">
        <f t="shared" si="69"/>
        <v>1</v>
      </c>
    </row>
    <row r="4452" spans="1:4" x14ac:dyDescent="0.3">
      <c r="A4452" s="34">
        <v>38685</v>
      </c>
      <c r="B4452" s="35">
        <v>1</v>
      </c>
      <c r="C4452" s="35">
        <v>1</v>
      </c>
      <c r="D4452" s="2">
        <f t="shared" si="69"/>
        <v>2</v>
      </c>
    </row>
    <row r="4453" spans="1:4" x14ac:dyDescent="0.3">
      <c r="A4453" s="34">
        <v>38687</v>
      </c>
      <c r="B4453" s="35">
        <v>1</v>
      </c>
      <c r="C4453" s="35">
        <v>1</v>
      </c>
      <c r="D4453" s="2">
        <f t="shared" si="69"/>
        <v>2</v>
      </c>
    </row>
    <row r="4454" spans="1:4" x14ac:dyDescent="0.3">
      <c r="A4454" s="34">
        <v>38688</v>
      </c>
      <c r="B4454" s="35">
        <v>1</v>
      </c>
      <c r="C4454" s="35">
        <v>0</v>
      </c>
      <c r="D4454" s="2">
        <f t="shared" si="69"/>
        <v>1</v>
      </c>
    </row>
    <row r="4455" spans="1:4" x14ac:dyDescent="0.3">
      <c r="A4455" s="34">
        <v>38691</v>
      </c>
      <c r="B4455" s="35">
        <v>1</v>
      </c>
      <c r="C4455" s="35">
        <v>0</v>
      </c>
      <c r="D4455" s="2">
        <f t="shared" si="69"/>
        <v>1</v>
      </c>
    </row>
    <row r="4456" spans="1:4" x14ac:dyDescent="0.3">
      <c r="A4456" s="34">
        <v>38694</v>
      </c>
      <c r="B4456" s="35">
        <v>1</v>
      </c>
      <c r="C4456" s="35">
        <v>0</v>
      </c>
      <c r="D4456" s="2">
        <f t="shared" si="69"/>
        <v>1</v>
      </c>
    </row>
    <row r="4457" spans="1:4" x14ac:dyDescent="0.3">
      <c r="A4457" s="34">
        <v>38699</v>
      </c>
      <c r="B4457" s="35">
        <v>1</v>
      </c>
      <c r="C4457" s="35">
        <v>0</v>
      </c>
      <c r="D4457" s="2">
        <f t="shared" si="69"/>
        <v>1</v>
      </c>
    </row>
    <row r="4458" spans="1:4" x14ac:dyDescent="0.3">
      <c r="A4458" s="34">
        <v>38701</v>
      </c>
      <c r="B4458" s="35">
        <v>1</v>
      </c>
      <c r="C4458" s="35">
        <v>0</v>
      </c>
      <c r="D4458" s="2">
        <f t="shared" si="69"/>
        <v>1</v>
      </c>
    </row>
    <row r="4459" spans="1:4" x14ac:dyDescent="0.3">
      <c r="A4459" s="34">
        <v>38703</v>
      </c>
      <c r="B4459" s="35">
        <v>1</v>
      </c>
      <c r="C4459" s="35">
        <v>0</v>
      </c>
      <c r="D4459" s="2">
        <f t="shared" si="69"/>
        <v>1</v>
      </c>
    </row>
    <row r="4460" spans="1:4" x14ac:dyDescent="0.3">
      <c r="A4460" s="34">
        <v>38708</v>
      </c>
      <c r="B4460" s="35">
        <v>1</v>
      </c>
      <c r="C4460" s="35">
        <v>0</v>
      </c>
      <c r="D4460" s="2">
        <f t="shared" si="69"/>
        <v>1</v>
      </c>
    </row>
    <row r="4461" spans="1:4" x14ac:dyDescent="0.3">
      <c r="A4461" s="34">
        <v>38709</v>
      </c>
      <c r="B4461" s="35">
        <v>1</v>
      </c>
      <c r="C4461" s="35">
        <v>0</v>
      </c>
      <c r="D4461" s="2">
        <f t="shared" si="69"/>
        <v>1</v>
      </c>
    </row>
    <row r="4462" spans="1:4" x14ac:dyDescent="0.3">
      <c r="A4462" s="34">
        <v>38710</v>
      </c>
      <c r="B4462" s="35">
        <v>1</v>
      </c>
      <c r="C4462" s="35">
        <v>0</v>
      </c>
      <c r="D4462" s="2">
        <f t="shared" si="69"/>
        <v>1</v>
      </c>
    </row>
    <row r="4463" spans="1:4" x14ac:dyDescent="0.3">
      <c r="A4463" s="34">
        <v>38715</v>
      </c>
      <c r="B4463" s="35">
        <v>1</v>
      </c>
      <c r="C4463" s="35">
        <v>1</v>
      </c>
      <c r="D4463" s="2">
        <f t="shared" si="69"/>
        <v>2</v>
      </c>
    </row>
    <row r="4464" spans="1:4" x14ac:dyDescent="0.3">
      <c r="A4464" s="34">
        <v>38717</v>
      </c>
      <c r="B4464" s="35">
        <v>2</v>
      </c>
      <c r="C4464" s="35">
        <v>1</v>
      </c>
      <c r="D4464" s="2">
        <f t="shared" si="69"/>
        <v>3</v>
      </c>
    </row>
    <row r="4465" spans="1:4" x14ac:dyDescent="0.3">
      <c r="A4465" s="34">
        <v>38719</v>
      </c>
      <c r="B4465" s="35">
        <v>2</v>
      </c>
      <c r="C4465" s="35">
        <v>1</v>
      </c>
      <c r="D4465" s="2">
        <f t="shared" si="69"/>
        <v>3</v>
      </c>
    </row>
    <row r="4466" spans="1:4" x14ac:dyDescent="0.3">
      <c r="A4466" s="34">
        <v>38722</v>
      </c>
      <c r="B4466" s="35">
        <v>1</v>
      </c>
      <c r="C4466" s="35">
        <v>0</v>
      </c>
      <c r="D4466" s="2">
        <f t="shared" si="69"/>
        <v>1</v>
      </c>
    </row>
    <row r="4467" spans="1:4" x14ac:dyDescent="0.3">
      <c r="A4467" s="34">
        <v>38723</v>
      </c>
      <c r="B4467" s="35">
        <v>1</v>
      </c>
      <c r="C4467" s="35">
        <v>0</v>
      </c>
      <c r="D4467" s="2">
        <f t="shared" si="69"/>
        <v>1</v>
      </c>
    </row>
    <row r="4468" spans="1:4" x14ac:dyDescent="0.3">
      <c r="A4468" s="34">
        <v>38724</v>
      </c>
      <c r="B4468" s="35">
        <v>1</v>
      </c>
      <c r="C4468" s="35">
        <v>0</v>
      </c>
      <c r="D4468" s="2">
        <f t="shared" si="69"/>
        <v>1</v>
      </c>
    </row>
    <row r="4469" spans="1:4" x14ac:dyDescent="0.3">
      <c r="A4469" s="34">
        <v>38731</v>
      </c>
      <c r="B4469" s="35">
        <v>1</v>
      </c>
      <c r="C4469" s="35">
        <v>0</v>
      </c>
      <c r="D4469" s="2">
        <f t="shared" si="69"/>
        <v>1</v>
      </c>
    </row>
    <row r="4470" spans="1:4" x14ac:dyDescent="0.3">
      <c r="A4470" s="34">
        <v>38733</v>
      </c>
      <c r="B4470" s="35">
        <v>2</v>
      </c>
      <c r="C4470" s="35">
        <v>0</v>
      </c>
      <c r="D4470" s="2">
        <f t="shared" si="69"/>
        <v>2</v>
      </c>
    </row>
    <row r="4471" spans="1:4" x14ac:dyDescent="0.3">
      <c r="A4471" s="34">
        <v>38736</v>
      </c>
      <c r="B4471" s="35">
        <v>1</v>
      </c>
      <c r="C4471" s="35">
        <v>0</v>
      </c>
      <c r="D4471" s="2">
        <f t="shared" si="69"/>
        <v>1</v>
      </c>
    </row>
    <row r="4472" spans="1:4" x14ac:dyDescent="0.3">
      <c r="A4472" s="34">
        <v>38738</v>
      </c>
      <c r="B4472" s="35">
        <v>1</v>
      </c>
      <c r="C4472" s="35">
        <v>0</v>
      </c>
      <c r="D4472" s="2">
        <f t="shared" si="69"/>
        <v>1</v>
      </c>
    </row>
    <row r="4473" spans="1:4" x14ac:dyDescent="0.3">
      <c r="A4473" s="34">
        <v>38740</v>
      </c>
      <c r="B4473" s="35">
        <v>2</v>
      </c>
      <c r="C4473" s="35">
        <v>2</v>
      </c>
      <c r="D4473" s="2">
        <f t="shared" si="69"/>
        <v>4</v>
      </c>
    </row>
    <row r="4474" spans="1:4" x14ac:dyDescent="0.3">
      <c r="A4474" s="34">
        <v>38746</v>
      </c>
      <c r="B4474" s="35">
        <v>2</v>
      </c>
      <c r="C4474" s="35">
        <v>0</v>
      </c>
      <c r="D4474" s="2">
        <f t="shared" si="69"/>
        <v>2</v>
      </c>
    </row>
    <row r="4475" spans="1:4" x14ac:dyDescent="0.3">
      <c r="A4475" s="34">
        <v>38747</v>
      </c>
      <c r="B4475" s="35">
        <v>2</v>
      </c>
      <c r="C4475" s="35">
        <v>1</v>
      </c>
      <c r="D4475" s="2">
        <f t="shared" si="69"/>
        <v>3</v>
      </c>
    </row>
    <row r="4476" spans="1:4" x14ac:dyDescent="0.3">
      <c r="A4476" s="34">
        <v>38752</v>
      </c>
      <c r="B4476" s="35">
        <v>1</v>
      </c>
      <c r="C4476" s="35">
        <v>0</v>
      </c>
      <c r="D4476" s="2">
        <f t="shared" si="69"/>
        <v>1</v>
      </c>
    </row>
    <row r="4477" spans="1:4" x14ac:dyDescent="0.3">
      <c r="A4477" s="34">
        <v>38757</v>
      </c>
      <c r="B4477" s="35">
        <v>1</v>
      </c>
      <c r="C4477" s="35">
        <v>0</v>
      </c>
      <c r="D4477" s="2">
        <f t="shared" si="69"/>
        <v>1</v>
      </c>
    </row>
    <row r="4478" spans="1:4" x14ac:dyDescent="0.3">
      <c r="A4478" s="34">
        <v>38761</v>
      </c>
      <c r="B4478" s="35">
        <v>2</v>
      </c>
      <c r="C4478" s="35">
        <v>1</v>
      </c>
      <c r="D4478" s="2">
        <f t="shared" si="69"/>
        <v>3</v>
      </c>
    </row>
    <row r="4479" spans="1:4" x14ac:dyDescent="0.3">
      <c r="A4479" s="34">
        <v>38764</v>
      </c>
      <c r="B4479" s="35">
        <v>1</v>
      </c>
      <c r="C4479" s="35">
        <v>0</v>
      </c>
      <c r="D4479" s="2">
        <f t="shared" si="69"/>
        <v>1</v>
      </c>
    </row>
    <row r="4480" spans="1:4" x14ac:dyDescent="0.3">
      <c r="A4480" s="34">
        <v>38768</v>
      </c>
      <c r="B4480" s="35">
        <v>2</v>
      </c>
      <c r="C4480" s="35">
        <v>1</v>
      </c>
      <c r="D4480" s="2">
        <f t="shared" si="69"/>
        <v>3</v>
      </c>
    </row>
    <row r="4481" spans="1:4" x14ac:dyDescent="0.3">
      <c r="A4481" s="34">
        <v>38772</v>
      </c>
      <c r="B4481" s="35">
        <v>1</v>
      </c>
      <c r="C4481" s="35">
        <v>0</v>
      </c>
      <c r="D4481" s="2">
        <f t="shared" si="69"/>
        <v>1</v>
      </c>
    </row>
    <row r="4482" spans="1:4" x14ac:dyDescent="0.3">
      <c r="A4482" s="34">
        <v>38777</v>
      </c>
      <c r="B4482" s="35">
        <v>1</v>
      </c>
      <c r="C4482" s="35">
        <v>1</v>
      </c>
      <c r="D4482" s="2">
        <f t="shared" si="69"/>
        <v>2</v>
      </c>
    </row>
    <row r="4483" spans="1:4" x14ac:dyDescent="0.3">
      <c r="A4483" s="34">
        <v>38783</v>
      </c>
      <c r="B4483" s="35">
        <v>1</v>
      </c>
      <c r="C4483" s="35">
        <v>0</v>
      </c>
      <c r="D4483" s="2">
        <f t="shared" ref="D4483:D4546" si="70">B4483+C4483</f>
        <v>1</v>
      </c>
    </row>
    <row r="4484" spans="1:4" x14ac:dyDescent="0.3">
      <c r="A4484" s="34">
        <v>38861</v>
      </c>
      <c r="B4484" s="35">
        <v>2</v>
      </c>
      <c r="C4484" s="35">
        <v>1</v>
      </c>
      <c r="D4484" s="2">
        <f t="shared" si="70"/>
        <v>3</v>
      </c>
    </row>
    <row r="4485" spans="1:4" x14ac:dyDescent="0.3">
      <c r="A4485" s="34">
        <v>38863</v>
      </c>
      <c r="B4485" s="35">
        <v>1</v>
      </c>
      <c r="C4485" s="35">
        <v>0</v>
      </c>
      <c r="D4485" s="2">
        <f t="shared" si="70"/>
        <v>1</v>
      </c>
    </row>
    <row r="4486" spans="1:4" x14ac:dyDescent="0.3">
      <c r="A4486" s="34">
        <v>38864</v>
      </c>
      <c r="B4486" s="35">
        <v>1</v>
      </c>
      <c r="C4486" s="35">
        <v>0</v>
      </c>
      <c r="D4486" s="2">
        <f t="shared" si="70"/>
        <v>1</v>
      </c>
    </row>
    <row r="4487" spans="1:4" x14ac:dyDescent="0.3">
      <c r="A4487" s="34">
        <v>38868</v>
      </c>
      <c r="B4487" s="35">
        <v>1</v>
      </c>
      <c r="C4487" s="35">
        <v>0</v>
      </c>
      <c r="D4487" s="2">
        <f t="shared" si="70"/>
        <v>1</v>
      </c>
    </row>
    <row r="4488" spans="1:4" x14ac:dyDescent="0.3">
      <c r="A4488" s="34">
        <v>38870</v>
      </c>
      <c r="B4488" s="35">
        <v>1</v>
      </c>
      <c r="C4488" s="35">
        <v>0</v>
      </c>
      <c r="D4488" s="2">
        <f t="shared" si="70"/>
        <v>1</v>
      </c>
    </row>
    <row r="4489" spans="1:4" x14ac:dyDescent="0.3">
      <c r="A4489" s="34">
        <v>38873</v>
      </c>
      <c r="B4489" s="35">
        <v>1</v>
      </c>
      <c r="C4489" s="35">
        <v>0</v>
      </c>
      <c r="D4489" s="2">
        <f t="shared" si="70"/>
        <v>1</v>
      </c>
    </row>
    <row r="4490" spans="1:4" x14ac:dyDescent="0.3">
      <c r="A4490" s="34">
        <v>38874</v>
      </c>
      <c r="B4490" s="35">
        <v>1</v>
      </c>
      <c r="C4490" s="35">
        <v>1</v>
      </c>
      <c r="D4490" s="2">
        <f t="shared" si="70"/>
        <v>2</v>
      </c>
    </row>
    <row r="4491" spans="1:4" x14ac:dyDescent="0.3">
      <c r="A4491" s="34">
        <v>38875</v>
      </c>
      <c r="B4491" s="35">
        <v>2</v>
      </c>
      <c r="C4491" s="35">
        <v>1</v>
      </c>
      <c r="D4491" s="2">
        <f t="shared" si="70"/>
        <v>3</v>
      </c>
    </row>
    <row r="4492" spans="1:4" x14ac:dyDescent="0.3">
      <c r="A4492" s="34">
        <v>38877</v>
      </c>
      <c r="B4492" s="35">
        <v>1</v>
      </c>
      <c r="C4492" s="35">
        <v>1</v>
      </c>
      <c r="D4492" s="2">
        <f t="shared" si="70"/>
        <v>2</v>
      </c>
    </row>
    <row r="4493" spans="1:4" x14ac:dyDescent="0.3">
      <c r="A4493" s="34">
        <v>38879</v>
      </c>
      <c r="B4493" s="35">
        <v>1</v>
      </c>
      <c r="C4493" s="35">
        <v>0</v>
      </c>
      <c r="D4493" s="2">
        <f t="shared" si="70"/>
        <v>1</v>
      </c>
    </row>
    <row r="4494" spans="1:4" x14ac:dyDescent="0.3">
      <c r="A4494" s="34">
        <v>38880</v>
      </c>
      <c r="B4494" s="35">
        <v>1</v>
      </c>
      <c r="C4494" s="35">
        <v>1</v>
      </c>
      <c r="D4494" s="2">
        <f t="shared" si="70"/>
        <v>2</v>
      </c>
    </row>
    <row r="4495" spans="1:4" x14ac:dyDescent="0.3">
      <c r="A4495" s="34">
        <v>38881</v>
      </c>
      <c r="B4495" s="35">
        <v>1</v>
      </c>
      <c r="C4495" s="35">
        <v>0</v>
      </c>
      <c r="D4495" s="2">
        <f t="shared" si="70"/>
        <v>1</v>
      </c>
    </row>
    <row r="4496" spans="1:4" x14ac:dyDescent="0.3">
      <c r="A4496" s="34">
        <v>38882</v>
      </c>
      <c r="B4496" s="35">
        <v>1</v>
      </c>
      <c r="C4496" s="35">
        <v>1</v>
      </c>
      <c r="D4496" s="2">
        <f t="shared" si="70"/>
        <v>2</v>
      </c>
    </row>
    <row r="4497" spans="1:4" x14ac:dyDescent="0.3">
      <c r="A4497" s="34">
        <v>38883</v>
      </c>
      <c r="B4497" s="35">
        <v>1</v>
      </c>
      <c r="C4497" s="35">
        <v>0</v>
      </c>
      <c r="D4497" s="2">
        <f t="shared" si="70"/>
        <v>1</v>
      </c>
    </row>
    <row r="4498" spans="1:4" x14ac:dyDescent="0.3">
      <c r="A4498" s="34">
        <v>38885</v>
      </c>
      <c r="B4498" s="35">
        <v>2</v>
      </c>
      <c r="C4498" s="35">
        <v>0</v>
      </c>
      <c r="D4498" s="2">
        <f t="shared" si="70"/>
        <v>2</v>
      </c>
    </row>
    <row r="4499" spans="1:4" x14ac:dyDescent="0.3">
      <c r="A4499" s="34">
        <v>38886</v>
      </c>
      <c r="B4499" s="35">
        <v>1</v>
      </c>
      <c r="C4499" s="35">
        <v>0</v>
      </c>
      <c r="D4499" s="2">
        <f t="shared" si="70"/>
        <v>1</v>
      </c>
    </row>
    <row r="4500" spans="1:4" x14ac:dyDescent="0.3">
      <c r="A4500" s="34">
        <v>38890</v>
      </c>
      <c r="B4500" s="35">
        <v>1</v>
      </c>
      <c r="C4500" s="35">
        <v>0</v>
      </c>
      <c r="D4500" s="2">
        <f t="shared" si="70"/>
        <v>1</v>
      </c>
    </row>
    <row r="4501" spans="1:4" x14ac:dyDescent="0.3">
      <c r="A4501" s="34">
        <v>38891</v>
      </c>
      <c r="B4501" s="35">
        <v>1</v>
      </c>
      <c r="C4501" s="35">
        <v>1</v>
      </c>
      <c r="D4501" s="2">
        <f t="shared" si="70"/>
        <v>2</v>
      </c>
    </row>
    <row r="4502" spans="1:4" x14ac:dyDescent="0.3">
      <c r="A4502" s="34">
        <v>38918</v>
      </c>
      <c r="B4502" s="35">
        <v>1</v>
      </c>
      <c r="C4502" s="35">
        <v>0</v>
      </c>
      <c r="D4502" s="2">
        <f t="shared" si="70"/>
        <v>1</v>
      </c>
    </row>
    <row r="4503" spans="1:4" x14ac:dyDescent="0.3">
      <c r="A4503" s="34">
        <v>38921</v>
      </c>
      <c r="B4503" s="35">
        <v>1</v>
      </c>
      <c r="C4503" s="35">
        <v>0</v>
      </c>
      <c r="D4503" s="2">
        <f t="shared" si="70"/>
        <v>1</v>
      </c>
    </row>
    <row r="4504" spans="1:4" x14ac:dyDescent="0.3">
      <c r="A4504" s="34">
        <v>38923</v>
      </c>
      <c r="B4504" s="35">
        <v>1</v>
      </c>
      <c r="C4504" s="35">
        <v>0</v>
      </c>
      <c r="D4504" s="2">
        <f t="shared" si="70"/>
        <v>1</v>
      </c>
    </row>
    <row r="4505" spans="1:4" x14ac:dyDescent="0.3">
      <c r="A4505" s="34">
        <v>38924</v>
      </c>
      <c r="B4505" s="35">
        <v>1</v>
      </c>
      <c r="C4505" s="35">
        <v>0</v>
      </c>
      <c r="D4505" s="2">
        <f t="shared" si="70"/>
        <v>1</v>
      </c>
    </row>
    <row r="4506" spans="1:4" x14ac:dyDescent="0.3">
      <c r="A4506" s="34">
        <v>38927</v>
      </c>
      <c r="B4506" s="35">
        <v>1</v>
      </c>
      <c r="C4506" s="35">
        <v>0</v>
      </c>
      <c r="D4506" s="2">
        <f t="shared" si="70"/>
        <v>1</v>
      </c>
    </row>
    <row r="4507" spans="1:4" x14ac:dyDescent="0.3">
      <c r="A4507" s="34">
        <v>38929</v>
      </c>
      <c r="B4507" s="35">
        <v>1</v>
      </c>
      <c r="C4507" s="35">
        <v>0</v>
      </c>
      <c r="D4507" s="2">
        <f t="shared" si="70"/>
        <v>1</v>
      </c>
    </row>
    <row r="4508" spans="1:4" x14ac:dyDescent="0.3">
      <c r="A4508" s="34">
        <v>38930</v>
      </c>
      <c r="B4508" s="35">
        <v>1</v>
      </c>
      <c r="C4508" s="35">
        <v>0</v>
      </c>
      <c r="D4508" s="2">
        <f t="shared" si="70"/>
        <v>1</v>
      </c>
    </row>
    <row r="4509" spans="1:4" x14ac:dyDescent="0.3">
      <c r="A4509" s="34">
        <v>38931</v>
      </c>
      <c r="B4509" s="35">
        <v>1</v>
      </c>
      <c r="C4509" s="35">
        <v>0</v>
      </c>
      <c r="D4509" s="2">
        <f t="shared" si="70"/>
        <v>1</v>
      </c>
    </row>
    <row r="4510" spans="1:4" x14ac:dyDescent="0.3">
      <c r="A4510" s="34">
        <v>38936</v>
      </c>
      <c r="B4510" s="35">
        <v>2</v>
      </c>
      <c r="C4510" s="35">
        <v>0</v>
      </c>
      <c r="D4510" s="2">
        <f t="shared" si="70"/>
        <v>2</v>
      </c>
    </row>
    <row r="4511" spans="1:4" x14ac:dyDescent="0.3">
      <c r="A4511" s="34">
        <v>38937</v>
      </c>
      <c r="B4511" s="35">
        <v>1</v>
      </c>
      <c r="C4511" s="35">
        <v>0</v>
      </c>
      <c r="D4511" s="2">
        <f t="shared" si="70"/>
        <v>1</v>
      </c>
    </row>
    <row r="4512" spans="1:4" x14ac:dyDescent="0.3">
      <c r="A4512" s="34">
        <v>38939</v>
      </c>
      <c r="B4512" s="35">
        <v>1</v>
      </c>
      <c r="C4512" s="35">
        <v>0</v>
      </c>
      <c r="D4512" s="2">
        <f t="shared" si="70"/>
        <v>1</v>
      </c>
    </row>
    <row r="4513" spans="1:4" x14ac:dyDescent="0.3">
      <c r="A4513" s="34">
        <v>38942</v>
      </c>
      <c r="B4513" s="35">
        <v>1</v>
      </c>
      <c r="C4513" s="35">
        <v>0</v>
      </c>
      <c r="D4513" s="2">
        <f t="shared" si="70"/>
        <v>1</v>
      </c>
    </row>
    <row r="4514" spans="1:4" x14ac:dyDescent="0.3">
      <c r="A4514" s="34">
        <v>38943</v>
      </c>
      <c r="B4514" s="35">
        <v>1</v>
      </c>
      <c r="C4514" s="35">
        <v>0</v>
      </c>
      <c r="D4514" s="2">
        <f t="shared" si="70"/>
        <v>1</v>
      </c>
    </row>
    <row r="4515" spans="1:4" x14ac:dyDescent="0.3">
      <c r="A4515" s="34">
        <v>39035</v>
      </c>
      <c r="B4515" s="35">
        <v>1</v>
      </c>
      <c r="C4515" s="35">
        <v>0</v>
      </c>
      <c r="D4515" s="2">
        <f t="shared" si="70"/>
        <v>1</v>
      </c>
    </row>
    <row r="4516" spans="1:4" x14ac:dyDescent="0.3">
      <c r="A4516" s="34">
        <v>39036</v>
      </c>
      <c r="B4516" s="35">
        <v>1</v>
      </c>
      <c r="C4516" s="35">
        <v>1</v>
      </c>
      <c r="D4516" s="2">
        <f t="shared" si="70"/>
        <v>2</v>
      </c>
    </row>
    <row r="4517" spans="1:4" x14ac:dyDescent="0.3">
      <c r="A4517" s="34">
        <v>39037</v>
      </c>
      <c r="B4517" s="35">
        <v>2</v>
      </c>
      <c r="C4517" s="35">
        <v>1</v>
      </c>
      <c r="D4517" s="2">
        <f t="shared" si="70"/>
        <v>3</v>
      </c>
    </row>
    <row r="4518" spans="1:4" x14ac:dyDescent="0.3">
      <c r="A4518" s="34">
        <v>39046</v>
      </c>
      <c r="B4518" s="35">
        <v>1</v>
      </c>
      <c r="C4518" s="35">
        <v>0</v>
      </c>
      <c r="D4518" s="2">
        <f t="shared" si="70"/>
        <v>1</v>
      </c>
    </row>
    <row r="4519" spans="1:4" x14ac:dyDescent="0.3">
      <c r="A4519" s="34">
        <v>39049</v>
      </c>
      <c r="B4519" s="35">
        <v>1</v>
      </c>
      <c r="C4519" s="35">
        <v>0</v>
      </c>
      <c r="D4519" s="2">
        <f t="shared" si="70"/>
        <v>1</v>
      </c>
    </row>
    <row r="4520" spans="1:4" x14ac:dyDescent="0.3">
      <c r="A4520" s="34">
        <v>39051</v>
      </c>
      <c r="B4520" s="35">
        <v>2</v>
      </c>
      <c r="C4520" s="35">
        <v>0</v>
      </c>
      <c r="D4520" s="2">
        <f t="shared" si="70"/>
        <v>2</v>
      </c>
    </row>
    <row r="4521" spans="1:4" x14ac:dyDescent="0.3">
      <c r="A4521" s="34">
        <v>39089</v>
      </c>
      <c r="B4521" s="35">
        <v>1</v>
      </c>
      <c r="C4521" s="35">
        <v>0</v>
      </c>
      <c r="D4521" s="2">
        <f t="shared" si="70"/>
        <v>1</v>
      </c>
    </row>
    <row r="4522" spans="1:4" x14ac:dyDescent="0.3">
      <c r="A4522" s="34">
        <v>39090</v>
      </c>
      <c r="B4522" s="35">
        <v>1</v>
      </c>
      <c r="C4522" s="35">
        <v>1</v>
      </c>
      <c r="D4522" s="2">
        <f t="shared" si="70"/>
        <v>2</v>
      </c>
    </row>
    <row r="4523" spans="1:4" x14ac:dyDescent="0.3">
      <c r="A4523" s="34">
        <v>39094</v>
      </c>
      <c r="B4523" s="35">
        <v>1</v>
      </c>
      <c r="C4523" s="35">
        <v>1</v>
      </c>
      <c r="D4523" s="2">
        <f t="shared" si="70"/>
        <v>2</v>
      </c>
    </row>
    <row r="4524" spans="1:4" x14ac:dyDescent="0.3">
      <c r="A4524" s="34">
        <v>39095</v>
      </c>
      <c r="B4524" s="35">
        <v>1</v>
      </c>
      <c r="C4524" s="35">
        <v>0</v>
      </c>
      <c r="D4524" s="2">
        <f t="shared" si="70"/>
        <v>1</v>
      </c>
    </row>
    <row r="4525" spans="1:4" x14ac:dyDescent="0.3">
      <c r="A4525" s="34">
        <v>39096</v>
      </c>
      <c r="B4525" s="35">
        <v>1</v>
      </c>
      <c r="C4525" s="35">
        <v>0</v>
      </c>
      <c r="D4525" s="2">
        <f t="shared" si="70"/>
        <v>1</v>
      </c>
    </row>
    <row r="4526" spans="1:4" x14ac:dyDescent="0.3">
      <c r="A4526" s="34">
        <v>39104</v>
      </c>
      <c r="B4526" s="35">
        <v>1</v>
      </c>
      <c r="C4526" s="35">
        <v>1</v>
      </c>
      <c r="D4526" s="2">
        <f t="shared" si="70"/>
        <v>2</v>
      </c>
    </row>
    <row r="4527" spans="1:4" x14ac:dyDescent="0.3">
      <c r="A4527" s="34">
        <v>39106</v>
      </c>
      <c r="B4527" s="35">
        <v>1</v>
      </c>
      <c r="C4527" s="35">
        <v>1</v>
      </c>
      <c r="D4527" s="2">
        <f t="shared" si="70"/>
        <v>2</v>
      </c>
    </row>
    <row r="4528" spans="1:4" x14ac:dyDescent="0.3">
      <c r="A4528" s="34">
        <v>39107</v>
      </c>
      <c r="B4528" s="35">
        <v>1</v>
      </c>
      <c r="C4528" s="35">
        <v>1</v>
      </c>
      <c r="D4528" s="2">
        <f t="shared" si="70"/>
        <v>2</v>
      </c>
    </row>
    <row r="4529" spans="1:4" x14ac:dyDescent="0.3">
      <c r="A4529" s="34">
        <v>39108</v>
      </c>
      <c r="B4529" s="35">
        <v>1</v>
      </c>
      <c r="C4529" s="35">
        <v>0</v>
      </c>
      <c r="D4529" s="2">
        <f t="shared" si="70"/>
        <v>1</v>
      </c>
    </row>
    <row r="4530" spans="1:4" x14ac:dyDescent="0.3">
      <c r="A4530" s="34">
        <v>39109</v>
      </c>
      <c r="B4530" s="35">
        <v>1</v>
      </c>
      <c r="C4530" s="35">
        <v>0</v>
      </c>
      <c r="D4530" s="2">
        <f t="shared" si="70"/>
        <v>1</v>
      </c>
    </row>
    <row r="4531" spans="1:4" x14ac:dyDescent="0.3">
      <c r="A4531" s="34">
        <v>39110</v>
      </c>
      <c r="B4531" s="35">
        <v>1</v>
      </c>
      <c r="C4531" s="35">
        <v>0</v>
      </c>
      <c r="D4531" s="2">
        <f t="shared" si="70"/>
        <v>1</v>
      </c>
    </row>
    <row r="4532" spans="1:4" x14ac:dyDescent="0.3">
      <c r="A4532" s="34">
        <v>39113</v>
      </c>
      <c r="B4532" s="35">
        <v>1</v>
      </c>
      <c r="C4532" s="35">
        <v>1</v>
      </c>
      <c r="D4532" s="2">
        <f t="shared" si="70"/>
        <v>2</v>
      </c>
    </row>
    <row r="4533" spans="1:4" x14ac:dyDescent="0.3">
      <c r="A4533" s="34">
        <v>39117</v>
      </c>
      <c r="B4533" s="35">
        <v>2</v>
      </c>
      <c r="C4533" s="35">
        <v>2</v>
      </c>
      <c r="D4533" s="2">
        <f t="shared" si="70"/>
        <v>4</v>
      </c>
    </row>
    <row r="4534" spans="1:4" x14ac:dyDescent="0.3">
      <c r="A4534" s="34">
        <v>39119</v>
      </c>
      <c r="B4534" s="35">
        <v>1</v>
      </c>
      <c r="C4534" s="35">
        <v>0</v>
      </c>
      <c r="D4534" s="2">
        <f t="shared" si="70"/>
        <v>1</v>
      </c>
    </row>
    <row r="4535" spans="1:4" x14ac:dyDescent="0.3">
      <c r="A4535" s="34">
        <v>39120</v>
      </c>
      <c r="B4535" s="35">
        <v>1</v>
      </c>
      <c r="C4535" s="35">
        <v>0</v>
      </c>
      <c r="D4535" s="2">
        <f t="shared" si="70"/>
        <v>1</v>
      </c>
    </row>
    <row r="4536" spans="1:4" x14ac:dyDescent="0.3">
      <c r="A4536" s="34">
        <v>39121</v>
      </c>
      <c r="B4536" s="35">
        <v>2</v>
      </c>
      <c r="C4536" s="35">
        <v>1</v>
      </c>
      <c r="D4536" s="2">
        <f t="shared" si="70"/>
        <v>3</v>
      </c>
    </row>
    <row r="4537" spans="1:4" x14ac:dyDescent="0.3">
      <c r="A4537" s="34">
        <v>39123</v>
      </c>
      <c r="B4537" s="35">
        <v>1</v>
      </c>
      <c r="C4537" s="35">
        <v>0</v>
      </c>
      <c r="D4537" s="2">
        <f t="shared" si="70"/>
        <v>1</v>
      </c>
    </row>
    <row r="4538" spans="1:4" x14ac:dyDescent="0.3">
      <c r="A4538" s="34">
        <v>39128</v>
      </c>
      <c r="B4538" s="35">
        <v>1</v>
      </c>
      <c r="C4538" s="35">
        <v>1</v>
      </c>
      <c r="D4538" s="2">
        <f t="shared" si="70"/>
        <v>2</v>
      </c>
    </row>
    <row r="4539" spans="1:4" x14ac:dyDescent="0.3">
      <c r="A4539" s="34">
        <v>39130</v>
      </c>
      <c r="B4539" s="35">
        <v>1</v>
      </c>
      <c r="C4539" s="35">
        <v>0</v>
      </c>
      <c r="D4539" s="2">
        <f t="shared" si="70"/>
        <v>1</v>
      </c>
    </row>
    <row r="4540" spans="1:4" x14ac:dyDescent="0.3">
      <c r="A4540" s="34">
        <v>39131</v>
      </c>
      <c r="B4540" s="35">
        <v>1</v>
      </c>
      <c r="C4540" s="35">
        <v>0</v>
      </c>
      <c r="D4540" s="2">
        <f t="shared" si="70"/>
        <v>1</v>
      </c>
    </row>
    <row r="4541" spans="1:4" x14ac:dyDescent="0.3">
      <c r="A4541" s="34">
        <v>39145</v>
      </c>
      <c r="B4541" s="35">
        <v>1</v>
      </c>
      <c r="C4541" s="35">
        <v>0</v>
      </c>
      <c r="D4541" s="2">
        <f t="shared" si="70"/>
        <v>1</v>
      </c>
    </row>
    <row r="4542" spans="1:4" x14ac:dyDescent="0.3">
      <c r="A4542" s="34">
        <v>39146</v>
      </c>
      <c r="B4542" s="35">
        <v>1</v>
      </c>
      <c r="C4542" s="35">
        <v>1</v>
      </c>
      <c r="D4542" s="2">
        <f t="shared" si="70"/>
        <v>2</v>
      </c>
    </row>
    <row r="4543" spans="1:4" x14ac:dyDescent="0.3">
      <c r="A4543" s="34">
        <v>39151</v>
      </c>
      <c r="B4543" s="35">
        <v>1</v>
      </c>
      <c r="C4543" s="35">
        <v>0</v>
      </c>
      <c r="D4543" s="2">
        <f t="shared" si="70"/>
        <v>1</v>
      </c>
    </row>
    <row r="4544" spans="1:4" x14ac:dyDescent="0.3">
      <c r="A4544" s="34">
        <v>39156</v>
      </c>
      <c r="B4544" s="35">
        <v>1</v>
      </c>
      <c r="C4544" s="35">
        <v>0</v>
      </c>
      <c r="D4544" s="2">
        <f t="shared" si="70"/>
        <v>1</v>
      </c>
    </row>
    <row r="4545" spans="1:4" x14ac:dyDescent="0.3">
      <c r="A4545" s="34">
        <v>39157</v>
      </c>
      <c r="B4545" s="35">
        <v>1</v>
      </c>
      <c r="C4545" s="35">
        <v>0</v>
      </c>
      <c r="D4545" s="2">
        <f t="shared" si="70"/>
        <v>1</v>
      </c>
    </row>
    <row r="4546" spans="1:4" x14ac:dyDescent="0.3">
      <c r="A4546" s="34">
        <v>39163</v>
      </c>
      <c r="B4546" s="35">
        <v>1</v>
      </c>
      <c r="C4546" s="35">
        <v>0</v>
      </c>
      <c r="D4546" s="2">
        <f t="shared" si="70"/>
        <v>1</v>
      </c>
    </row>
    <row r="4547" spans="1:4" x14ac:dyDescent="0.3">
      <c r="A4547" s="34">
        <v>39164</v>
      </c>
      <c r="B4547" s="35">
        <v>1</v>
      </c>
      <c r="C4547" s="35">
        <v>0</v>
      </c>
      <c r="D4547" s="2">
        <f t="shared" ref="D4547:D4610" si="71">B4547+C4547</f>
        <v>1</v>
      </c>
    </row>
    <row r="4548" spans="1:4" x14ac:dyDescent="0.3">
      <c r="A4548" s="34">
        <v>39165</v>
      </c>
      <c r="B4548" s="35">
        <v>1</v>
      </c>
      <c r="C4548" s="35">
        <v>0</v>
      </c>
      <c r="D4548" s="2">
        <f t="shared" si="71"/>
        <v>1</v>
      </c>
    </row>
    <row r="4549" spans="1:4" x14ac:dyDescent="0.3">
      <c r="A4549" s="34">
        <v>39169</v>
      </c>
      <c r="B4549" s="35">
        <v>1</v>
      </c>
      <c r="C4549" s="35">
        <v>1</v>
      </c>
      <c r="D4549" s="2">
        <f t="shared" si="71"/>
        <v>2</v>
      </c>
    </row>
    <row r="4550" spans="1:4" x14ac:dyDescent="0.3">
      <c r="A4550" s="34">
        <v>39170</v>
      </c>
      <c r="B4550" s="35">
        <v>1</v>
      </c>
      <c r="C4550" s="35">
        <v>1</v>
      </c>
      <c r="D4550" s="2">
        <f t="shared" si="71"/>
        <v>2</v>
      </c>
    </row>
    <row r="4551" spans="1:4" x14ac:dyDescent="0.3">
      <c r="A4551" s="34">
        <v>39173</v>
      </c>
      <c r="B4551" s="35">
        <v>1</v>
      </c>
      <c r="C4551" s="35">
        <v>0</v>
      </c>
      <c r="D4551" s="2">
        <f t="shared" si="71"/>
        <v>1</v>
      </c>
    </row>
    <row r="4552" spans="1:4" x14ac:dyDescent="0.3">
      <c r="A4552" s="34">
        <v>39211</v>
      </c>
      <c r="B4552" s="35">
        <v>1</v>
      </c>
      <c r="C4552" s="35">
        <v>0</v>
      </c>
      <c r="D4552" s="2">
        <f t="shared" si="71"/>
        <v>1</v>
      </c>
    </row>
    <row r="4553" spans="1:4" x14ac:dyDescent="0.3">
      <c r="A4553" s="34">
        <v>39213</v>
      </c>
      <c r="B4553" s="35">
        <v>1</v>
      </c>
      <c r="C4553" s="35">
        <v>0</v>
      </c>
      <c r="D4553" s="2">
        <f t="shared" si="71"/>
        <v>1</v>
      </c>
    </row>
    <row r="4554" spans="1:4" x14ac:dyDescent="0.3">
      <c r="A4554" s="34">
        <v>39215</v>
      </c>
      <c r="B4554" s="35">
        <v>1</v>
      </c>
      <c r="C4554" s="35">
        <v>0</v>
      </c>
      <c r="D4554" s="2">
        <f t="shared" si="71"/>
        <v>1</v>
      </c>
    </row>
    <row r="4555" spans="1:4" x14ac:dyDescent="0.3">
      <c r="A4555" s="34">
        <v>39217</v>
      </c>
      <c r="B4555" s="35">
        <v>1</v>
      </c>
      <c r="C4555" s="35">
        <v>0</v>
      </c>
      <c r="D4555" s="2">
        <f t="shared" si="71"/>
        <v>1</v>
      </c>
    </row>
    <row r="4556" spans="1:4" x14ac:dyDescent="0.3">
      <c r="A4556" s="34">
        <v>39218</v>
      </c>
      <c r="B4556" s="35">
        <v>1</v>
      </c>
      <c r="C4556" s="35">
        <v>0</v>
      </c>
      <c r="D4556" s="2">
        <f t="shared" si="71"/>
        <v>1</v>
      </c>
    </row>
    <row r="4557" spans="1:4" x14ac:dyDescent="0.3">
      <c r="A4557" s="34">
        <v>39220</v>
      </c>
      <c r="B4557" s="35">
        <v>1</v>
      </c>
      <c r="C4557" s="35">
        <v>0</v>
      </c>
      <c r="D4557" s="2">
        <f t="shared" si="71"/>
        <v>1</v>
      </c>
    </row>
    <row r="4558" spans="1:4" x14ac:dyDescent="0.3">
      <c r="A4558" s="34">
        <v>39221</v>
      </c>
      <c r="B4558" s="35">
        <v>1</v>
      </c>
      <c r="C4558" s="35">
        <v>0</v>
      </c>
      <c r="D4558" s="2">
        <f t="shared" si="71"/>
        <v>1</v>
      </c>
    </row>
    <row r="4559" spans="1:4" x14ac:dyDescent="0.3">
      <c r="A4559" s="34">
        <v>39222</v>
      </c>
      <c r="B4559" s="35">
        <v>1</v>
      </c>
      <c r="C4559" s="35">
        <v>0</v>
      </c>
      <c r="D4559" s="2">
        <f t="shared" si="71"/>
        <v>1</v>
      </c>
    </row>
    <row r="4560" spans="1:4" x14ac:dyDescent="0.3">
      <c r="A4560" s="34">
        <v>39223</v>
      </c>
      <c r="B4560" s="35">
        <v>1</v>
      </c>
      <c r="C4560" s="35">
        <v>0</v>
      </c>
      <c r="D4560" s="2">
        <f t="shared" si="71"/>
        <v>1</v>
      </c>
    </row>
    <row r="4561" spans="1:4" x14ac:dyDescent="0.3">
      <c r="A4561" s="34">
        <v>39224</v>
      </c>
      <c r="B4561" s="35">
        <v>1</v>
      </c>
      <c r="C4561" s="35">
        <v>0</v>
      </c>
      <c r="D4561" s="2">
        <f t="shared" si="71"/>
        <v>1</v>
      </c>
    </row>
    <row r="4562" spans="1:4" x14ac:dyDescent="0.3">
      <c r="A4562" s="34">
        <v>39225</v>
      </c>
      <c r="B4562" s="35">
        <v>1</v>
      </c>
      <c r="C4562" s="35">
        <v>0</v>
      </c>
      <c r="D4562" s="2">
        <f t="shared" si="71"/>
        <v>1</v>
      </c>
    </row>
    <row r="4563" spans="1:4" x14ac:dyDescent="0.3">
      <c r="A4563" s="34">
        <v>39227</v>
      </c>
      <c r="B4563" s="35">
        <v>1</v>
      </c>
      <c r="C4563" s="35">
        <v>0</v>
      </c>
      <c r="D4563" s="2">
        <f t="shared" si="71"/>
        <v>1</v>
      </c>
    </row>
    <row r="4564" spans="1:4" x14ac:dyDescent="0.3">
      <c r="A4564" s="34">
        <v>39228</v>
      </c>
      <c r="B4564" s="35">
        <v>1</v>
      </c>
      <c r="C4564" s="35">
        <v>0</v>
      </c>
      <c r="D4564" s="2">
        <f t="shared" si="71"/>
        <v>1</v>
      </c>
    </row>
    <row r="4565" spans="1:4" x14ac:dyDescent="0.3">
      <c r="A4565" s="34">
        <v>39231</v>
      </c>
      <c r="B4565" s="35">
        <v>2</v>
      </c>
      <c r="C4565" s="35">
        <v>0</v>
      </c>
      <c r="D4565" s="2">
        <f t="shared" si="71"/>
        <v>2</v>
      </c>
    </row>
    <row r="4566" spans="1:4" x14ac:dyDescent="0.3">
      <c r="A4566" s="34">
        <v>39235</v>
      </c>
      <c r="B4566" s="35">
        <v>1</v>
      </c>
      <c r="C4566" s="35">
        <v>1</v>
      </c>
      <c r="D4566" s="2">
        <f t="shared" si="71"/>
        <v>2</v>
      </c>
    </row>
    <row r="4567" spans="1:4" x14ac:dyDescent="0.3">
      <c r="A4567" s="34">
        <v>39236</v>
      </c>
      <c r="B4567" s="35">
        <v>1</v>
      </c>
      <c r="C4567" s="35">
        <v>1</v>
      </c>
      <c r="D4567" s="2">
        <f t="shared" si="71"/>
        <v>2</v>
      </c>
    </row>
    <row r="4568" spans="1:4" x14ac:dyDescent="0.3">
      <c r="A4568" s="34">
        <v>39239</v>
      </c>
      <c r="B4568" s="35">
        <v>1</v>
      </c>
      <c r="C4568" s="35">
        <v>0</v>
      </c>
      <c r="D4568" s="2">
        <f t="shared" si="71"/>
        <v>1</v>
      </c>
    </row>
    <row r="4569" spans="1:4" x14ac:dyDescent="0.3">
      <c r="A4569" s="34">
        <v>39243</v>
      </c>
      <c r="B4569" s="35">
        <v>1</v>
      </c>
      <c r="C4569" s="35">
        <v>0</v>
      </c>
      <c r="D4569" s="2">
        <f t="shared" si="71"/>
        <v>1</v>
      </c>
    </row>
    <row r="4570" spans="1:4" x14ac:dyDescent="0.3">
      <c r="A4570" s="34">
        <v>39251</v>
      </c>
      <c r="B4570" s="35">
        <v>1</v>
      </c>
      <c r="C4570" s="35">
        <v>0</v>
      </c>
      <c r="D4570" s="2">
        <f t="shared" si="71"/>
        <v>1</v>
      </c>
    </row>
    <row r="4571" spans="1:4" x14ac:dyDescent="0.3">
      <c r="A4571" s="34">
        <v>39260</v>
      </c>
      <c r="B4571" s="35">
        <v>1</v>
      </c>
      <c r="C4571" s="35">
        <v>0</v>
      </c>
      <c r="D4571" s="2">
        <f t="shared" si="71"/>
        <v>1</v>
      </c>
    </row>
    <row r="4572" spans="1:4" x14ac:dyDescent="0.3">
      <c r="A4572" s="34">
        <v>39271</v>
      </c>
      <c r="B4572" s="35">
        <v>2</v>
      </c>
      <c r="C4572" s="35">
        <v>1</v>
      </c>
      <c r="D4572" s="2">
        <f t="shared" si="71"/>
        <v>3</v>
      </c>
    </row>
    <row r="4573" spans="1:4" x14ac:dyDescent="0.3">
      <c r="A4573" s="34">
        <v>39277</v>
      </c>
      <c r="B4573" s="35">
        <v>1</v>
      </c>
      <c r="C4573" s="35">
        <v>0</v>
      </c>
      <c r="D4573" s="2">
        <f t="shared" si="71"/>
        <v>1</v>
      </c>
    </row>
    <row r="4574" spans="1:4" x14ac:dyDescent="0.3">
      <c r="A4574" s="34">
        <v>39283</v>
      </c>
      <c r="B4574" s="35">
        <v>1</v>
      </c>
      <c r="C4574" s="35">
        <v>1</v>
      </c>
      <c r="D4574" s="2">
        <f t="shared" si="71"/>
        <v>2</v>
      </c>
    </row>
    <row r="4575" spans="1:4" x14ac:dyDescent="0.3">
      <c r="A4575" s="34">
        <v>39284</v>
      </c>
      <c r="B4575" s="35">
        <v>1</v>
      </c>
      <c r="C4575" s="35">
        <v>1</v>
      </c>
      <c r="D4575" s="2">
        <f t="shared" si="71"/>
        <v>2</v>
      </c>
    </row>
    <row r="4576" spans="1:4" x14ac:dyDescent="0.3">
      <c r="A4576" s="34">
        <v>39300</v>
      </c>
      <c r="B4576" s="35">
        <v>1</v>
      </c>
      <c r="C4576" s="35">
        <v>0</v>
      </c>
      <c r="D4576" s="2">
        <f t="shared" si="71"/>
        <v>1</v>
      </c>
    </row>
    <row r="4577" spans="1:4" x14ac:dyDescent="0.3">
      <c r="A4577" s="34">
        <v>39387</v>
      </c>
      <c r="B4577" s="35">
        <v>3</v>
      </c>
      <c r="C4577" s="35">
        <v>1</v>
      </c>
      <c r="D4577" s="2">
        <f t="shared" si="71"/>
        <v>4</v>
      </c>
    </row>
    <row r="4578" spans="1:4" x14ac:dyDescent="0.3">
      <c r="A4578" s="34">
        <v>39390</v>
      </c>
      <c r="B4578" s="35">
        <v>2</v>
      </c>
      <c r="C4578" s="35">
        <v>1</v>
      </c>
      <c r="D4578" s="2">
        <f t="shared" si="71"/>
        <v>3</v>
      </c>
    </row>
    <row r="4579" spans="1:4" x14ac:dyDescent="0.3">
      <c r="A4579" s="34">
        <v>39396</v>
      </c>
      <c r="B4579" s="35">
        <v>1</v>
      </c>
      <c r="C4579" s="35">
        <v>0</v>
      </c>
      <c r="D4579" s="2">
        <f t="shared" si="71"/>
        <v>1</v>
      </c>
    </row>
    <row r="4580" spans="1:4" x14ac:dyDescent="0.3">
      <c r="A4580" s="34">
        <v>39403</v>
      </c>
      <c r="B4580" s="35">
        <v>1</v>
      </c>
      <c r="C4580" s="35">
        <v>0</v>
      </c>
      <c r="D4580" s="2">
        <f t="shared" si="71"/>
        <v>1</v>
      </c>
    </row>
    <row r="4581" spans="1:4" x14ac:dyDescent="0.3">
      <c r="A4581" s="34">
        <v>39405</v>
      </c>
      <c r="B4581" s="35">
        <v>1</v>
      </c>
      <c r="C4581" s="35">
        <v>0</v>
      </c>
      <c r="D4581" s="2">
        <f t="shared" si="71"/>
        <v>1</v>
      </c>
    </row>
    <row r="4582" spans="1:4" x14ac:dyDescent="0.3">
      <c r="A4582" s="34">
        <v>39408</v>
      </c>
      <c r="B4582" s="35">
        <v>3</v>
      </c>
      <c r="C4582" s="35">
        <v>1</v>
      </c>
      <c r="D4582" s="2">
        <f t="shared" si="71"/>
        <v>4</v>
      </c>
    </row>
    <row r="4583" spans="1:4" x14ac:dyDescent="0.3">
      <c r="A4583" s="34">
        <v>39409</v>
      </c>
      <c r="B4583" s="35">
        <v>1</v>
      </c>
      <c r="C4583" s="35">
        <v>0</v>
      </c>
      <c r="D4583" s="2">
        <f t="shared" si="71"/>
        <v>1</v>
      </c>
    </row>
    <row r="4584" spans="1:4" x14ac:dyDescent="0.3">
      <c r="A4584" s="34">
        <v>39410</v>
      </c>
      <c r="B4584" s="35">
        <v>1</v>
      </c>
      <c r="C4584" s="35">
        <v>0</v>
      </c>
      <c r="D4584" s="2">
        <f t="shared" si="71"/>
        <v>1</v>
      </c>
    </row>
    <row r="4585" spans="1:4" x14ac:dyDescent="0.3">
      <c r="A4585" s="34">
        <v>39413</v>
      </c>
      <c r="B4585" s="35">
        <v>1</v>
      </c>
      <c r="C4585" s="35">
        <v>1</v>
      </c>
      <c r="D4585" s="2">
        <f t="shared" si="71"/>
        <v>2</v>
      </c>
    </row>
    <row r="4586" spans="1:4" x14ac:dyDescent="0.3">
      <c r="A4586" s="34">
        <v>39414</v>
      </c>
      <c r="B4586" s="35">
        <v>1</v>
      </c>
      <c r="C4586" s="35">
        <v>0</v>
      </c>
      <c r="D4586" s="2">
        <f t="shared" si="71"/>
        <v>1</v>
      </c>
    </row>
    <row r="4587" spans="1:4" x14ac:dyDescent="0.3">
      <c r="A4587" s="34">
        <v>39416</v>
      </c>
      <c r="B4587" s="35">
        <v>1</v>
      </c>
      <c r="C4587" s="35">
        <v>0</v>
      </c>
      <c r="D4587" s="2">
        <f t="shared" si="71"/>
        <v>1</v>
      </c>
    </row>
    <row r="4588" spans="1:4" x14ac:dyDescent="0.3">
      <c r="A4588" s="34">
        <v>39417</v>
      </c>
      <c r="B4588" s="35">
        <v>1</v>
      </c>
      <c r="C4588" s="35">
        <v>0</v>
      </c>
      <c r="D4588" s="2">
        <f t="shared" si="71"/>
        <v>1</v>
      </c>
    </row>
    <row r="4589" spans="1:4" x14ac:dyDescent="0.3">
      <c r="A4589" s="34">
        <v>39418</v>
      </c>
      <c r="B4589" s="35">
        <v>1</v>
      </c>
      <c r="C4589" s="35">
        <v>0</v>
      </c>
      <c r="D4589" s="2">
        <f t="shared" si="71"/>
        <v>1</v>
      </c>
    </row>
    <row r="4590" spans="1:4" x14ac:dyDescent="0.3">
      <c r="A4590" s="34">
        <v>39423</v>
      </c>
      <c r="B4590" s="35">
        <v>1</v>
      </c>
      <c r="C4590" s="35">
        <v>0</v>
      </c>
      <c r="D4590" s="2">
        <f t="shared" si="71"/>
        <v>1</v>
      </c>
    </row>
    <row r="4591" spans="1:4" x14ac:dyDescent="0.3">
      <c r="A4591" s="34">
        <v>39425</v>
      </c>
      <c r="B4591" s="35">
        <v>1</v>
      </c>
      <c r="C4591" s="35">
        <v>0</v>
      </c>
      <c r="D4591" s="2">
        <f t="shared" si="71"/>
        <v>1</v>
      </c>
    </row>
    <row r="4592" spans="1:4" x14ac:dyDescent="0.3">
      <c r="A4592" s="34">
        <v>39428</v>
      </c>
      <c r="B4592" s="35">
        <v>1</v>
      </c>
      <c r="C4592" s="35">
        <v>1</v>
      </c>
      <c r="D4592" s="2">
        <f t="shared" si="71"/>
        <v>2</v>
      </c>
    </row>
    <row r="4593" spans="1:4" x14ac:dyDescent="0.3">
      <c r="A4593" s="34">
        <v>39429</v>
      </c>
      <c r="B4593" s="35">
        <v>2</v>
      </c>
      <c r="C4593" s="35">
        <v>0</v>
      </c>
      <c r="D4593" s="2">
        <f t="shared" si="71"/>
        <v>2</v>
      </c>
    </row>
    <row r="4594" spans="1:4" x14ac:dyDescent="0.3">
      <c r="A4594" s="34">
        <v>39430</v>
      </c>
      <c r="B4594" s="35">
        <v>1</v>
      </c>
      <c r="C4594" s="35">
        <v>0</v>
      </c>
      <c r="D4594" s="2">
        <f t="shared" si="71"/>
        <v>1</v>
      </c>
    </row>
    <row r="4595" spans="1:4" x14ac:dyDescent="0.3">
      <c r="A4595" s="34">
        <v>39431</v>
      </c>
      <c r="B4595" s="35">
        <v>1</v>
      </c>
      <c r="C4595" s="35">
        <v>0</v>
      </c>
      <c r="D4595" s="2">
        <f t="shared" si="71"/>
        <v>1</v>
      </c>
    </row>
    <row r="4596" spans="1:4" x14ac:dyDescent="0.3">
      <c r="A4596" s="34">
        <v>39437</v>
      </c>
      <c r="B4596" s="35">
        <v>1</v>
      </c>
      <c r="C4596" s="35">
        <v>0</v>
      </c>
      <c r="D4596" s="2">
        <f t="shared" si="71"/>
        <v>1</v>
      </c>
    </row>
    <row r="4597" spans="1:4" x14ac:dyDescent="0.3">
      <c r="A4597" s="34">
        <v>39438</v>
      </c>
      <c r="B4597" s="35">
        <v>1</v>
      </c>
      <c r="C4597" s="35">
        <v>0</v>
      </c>
      <c r="D4597" s="2">
        <f t="shared" si="71"/>
        <v>1</v>
      </c>
    </row>
    <row r="4598" spans="1:4" x14ac:dyDescent="0.3">
      <c r="A4598" s="34">
        <v>39458</v>
      </c>
      <c r="B4598" s="35">
        <v>1</v>
      </c>
      <c r="C4598" s="35">
        <v>0</v>
      </c>
      <c r="D4598" s="2">
        <f t="shared" si="71"/>
        <v>1</v>
      </c>
    </row>
    <row r="4599" spans="1:4" x14ac:dyDescent="0.3">
      <c r="A4599" s="34">
        <v>39460</v>
      </c>
      <c r="B4599" s="35">
        <v>2</v>
      </c>
      <c r="C4599" s="35">
        <v>2</v>
      </c>
      <c r="D4599" s="2">
        <f t="shared" si="71"/>
        <v>4</v>
      </c>
    </row>
    <row r="4600" spans="1:4" x14ac:dyDescent="0.3">
      <c r="A4600" s="34">
        <v>39461</v>
      </c>
      <c r="B4600" s="35">
        <v>1</v>
      </c>
      <c r="C4600" s="35">
        <v>0</v>
      </c>
      <c r="D4600" s="2">
        <f t="shared" si="71"/>
        <v>1</v>
      </c>
    </row>
    <row r="4601" spans="1:4" x14ac:dyDescent="0.3">
      <c r="A4601" s="34">
        <v>39463</v>
      </c>
      <c r="B4601" s="35">
        <v>1</v>
      </c>
      <c r="C4601" s="35">
        <v>0</v>
      </c>
      <c r="D4601" s="2">
        <f t="shared" si="71"/>
        <v>1</v>
      </c>
    </row>
    <row r="4602" spans="1:4" x14ac:dyDescent="0.3">
      <c r="A4602" s="34">
        <v>39465</v>
      </c>
      <c r="B4602" s="35">
        <v>1</v>
      </c>
      <c r="C4602" s="35">
        <v>0</v>
      </c>
      <c r="D4602" s="2">
        <f t="shared" si="71"/>
        <v>1</v>
      </c>
    </row>
    <row r="4603" spans="1:4" x14ac:dyDescent="0.3">
      <c r="A4603" s="34">
        <v>39471</v>
      </c>
      <c r="B4603" s="35">
        <v>1</v>
      </c>
      <c r="C4603" s="35">
        <v>0</v>
      </c>
      <c r="D4603" s="2">
        <f t="shared" si="71"/>
        <v>1</v>
      </c>
    </row>
    <row r="4604" spans="1:4" x14ac:dyDescent="0.3">
      <c r="A4604" s="34">
        <v>39473</v>
      </c>
      <c r="B4604" s="35">
        <v>1</v>
      </c>
      <c r="C4604" s="35">
        <v>0</v>
      </c>
      <c r="D4604" s="2">
        <f t="shared" si="71"/>
        <v>1</v>
      </c>
    </row>
    <row r="4605" spans="1:4" x14ac:dyDescent="0.3">
      <c r="A4605" s="34">
        <v>39479</v>
      </c>
      <c r="B4605" s="35">
        <v>1</v>
      </c>
      <c r="C4605" s="35">
        <v>0</v>
      </c>
      <c r="D4605" s="2">
        <f t="shared" si="71"/>
        <v>1</v>
      </c>
    </row>
    <row r="4606" spans="1:4" x14ac:dyDescent="0.3">
      <c r="A4606" s="34">
        <v>39481</v>
      </c>
      <c r="B4606" s="35">
        <v>1</v>
      </c>
      <c r="C4606" s="35">
        <v>0</v>
      </c>
      <c r="D4606" s="2">
        <f t="shared" si="71"/>
        <v>1</v>
      </c>
    </row>
    <row r="4607" spans="1:4" x14ac:dyDescent="0.3">
      <c r="A4607" s="34">
        <v>39482</v>
      </c>
      <c r="B4607" s="35">
        <v>1</v>
      </c>
      <c r="C4607" s="35">
        <v>0</v>
      </c>
      <c r="D4607" s="2">
        <f t="shared" si="71"/>
        <v>1</v>
      </c>
    </row>
    <row r="4608" spans="1:4" x14ac:dyDescent="0.3">
      <c r="A4608" s="34">
        <v>39483</v>
      </c>
      <c r="B4608" s="35">
        <v>1</v>
      </c>
      <c r="C4608" s="35">
        <v>0</v>
      </c>
      <c r="D4608" s="2">
        <f t="shared" si="71"/>
        <v>1</v>
      </c>
    </row>
    <row r="4609" spans="1:4" x14ac:dyDescent="0.3">
      <c r="A4609" s="34">
        <v>39487</v>
      </c>
      <c r="B4609" s="35">
        <v>1</v>
      </c>
      <c r="C4609" s="35">
        <v>0</v>
      </c>
      <c r="D4609" s="2">
        <f t="shared" si="71"/>
        <v>1</v>
      </c>
    </row>
    <row r="4610" spans="1:4" x14ac:dyDescent="0.3">
      <c r="A4610" s="34">
        <v>39488</v>
      </c>
      <c r="B4610" s="35">
        <v>1</v>
      </c>
      <c r="C4610" s="35">
        <v>0</v>
      </c>
      <c r="D4610" s="2">
        <f t="shared" si="71"/>
        <v>1</v>
      </c>
    </row>
    <row r="4611" spans="1:4" x14ac:dyDescent="0.3">
      <c r="A4611" s="34">
        <v>39489</v>
      </c>
      <c r="B4611" s="35">
        <v>1</v>
      </c>
      <c r="C4611" s="35">
        <v>0</v>
      </c>
      <c r="D4611" s="2">
        <f t="shared" ref="D4611:D4674" si="72">B4611+C4611</f>
        <v>1</v>
      </c>
    </row>
    <row r="4612" spans="1:4" x14ac:dyDescent="0.3">
      <c r="A4612" s="34">
        <v>39492</v>
      </c>
      <c r="B4612" s="35">
        <v>1</v>
      </c>
      <c r="C4612" s="35">
        <v>0</v>
      </c>
      <c r="D4612" s="2">
        <f t="shared" si="72"/>
        <v>1</v>
      </c>
    </row>
    <row r="4613" spans="1:4" x14ac:dyDescent="0.3">
      <c r="A4613" s="34">
        <v>39493</v>
      </c>
      <c r="B4613" s="35">
        <v>1</v>
      </c>
      <c r="C4613" s="35">
        <v>0</v>
      </c>
      <c r="D4613" s="2">
        <f t="shared" si="72"/>
        <v>1</v>
      </c>
    </row>
    <row r="4614" spans="1:4" x14ac:dyDescent="0.3">
      <c r="A4614" s="34">
        <v>39494</v>
      </c>
      <c r="B4614" s="35">
        <v>1</v>
      </c>
      <c r="C4614" s="35">
        <v>0</v>
      </c>
      <c r="D4614" s="2">
        <f t="shared" si="72"/>
        <v>1</v>
      </c>
    </row>
    <row r="4615" spans="1:4" x14ac:dyDescent="0.3">
      <c r="A4615" s="34">
        <v>39495</v>
      </c>
      <c r="B4615" s="35">
        <v>2</v>
      </c>
      <c r="C4615" s="35">
        <v>0</v>
      </c>
      <c r="D4615" s="2">
        <f t="shared" si="72"/>
        <v>2</v>
      </c>
    </row>
    <row r="4616" spans="1:4" x14ac:dyDescent="0.3">
      <c r="A4616" s="34">
        <v>39496</v>
      </c>
      <c r="B4616" s="35">
        <v>1</v>
      </c>
      <c r="C4616" s="35">
        <v>0</v>
      </c>
      <c r="D4616" s="2">
        <f t="shared" si="72"/>
        <v>1</v>
      </c>
    </row>
    <row r="4617" spans="1:4" x14ac:dyDescent="0.3">
      <c r="A4617" s="34">
        <v>39503</v>
      </c>
      <c r="B4617" s="35">
        <v>1</v>
      </c>
      <c r="C4617" s="35">
        <v>0</v>
      </c>
      <c r="D4617" s="2">
        <f t="shared" si="72"/>
        <v>1</v>
      </c>
    </row>
    <row r="4618" spans="1:4" x14ac:dyDescent="0.3">
      <c r="A4618" s="34">
        <v>39504</v>
      </c>
      <c r="B4618" s="35">
        <v>2</v>
      </c>
      <c r="C4618" s="35">
        <v>1</v>
      </c>
      <c r="D4618" s="2">
        <f t="shared" si="72"/>
        <v>3</v>
      </c>
    </row>
    <row r="4619" spans="1:4" x14ac:dyDescent="0.3">
      <c r="A4619" s="34">
        <v>39515</v>
      </c>
      <c r="B4619" s="35">
        <v>1</v>
      </c>
      <c r="C4619" s="35">
        <v>0</v>
      </c>
      <c r="D4619" s="2">
        <f t="shared" si="72"/>
        <v>1</v>
      </c>
    </row>
    <row r="4620" spans="1:4" x14ac:dyDescent="0.3">
      <c r="A4620" s="34">
        <v>39516</v>
      </c>
      <c r="B4620" s="35">
        <v>1</v>
      </c>
      <c r="C4620" s="35">
        <v>0</v>
      </c>
      <c r="D4620" s="2">
        <f t="shared" si="72"/>
        <v>1</v>
      </c>
    </row>
    <row r="4621" spans="1:4" x14ac:dyDescent="0.3">
      <c r="A4621" s="34">
        <v>39518</v>
      </c>
      <c r="B4621" s="35">
        <v>1</v>
      </c>
      <c r="C4621" s="35">
        <v>0</v>
      </c>
      <c r="D4621" s="2">
        <f t="shared" si="72"/>
        <v>1</v>
      </c>
    </row>
    <row r="4622" spans="1:4" x14ac:dyDescent="0.3">
      <c r="A4622" s="34">
        <v>39525</v>
      </c>
      <c r="B4622" s="35">
        <v>2</v>
      </c>
      <c r="C4622" s="35">
        <v>0</v>
      </c>
      <c r="D4622" s="2">
        <f t="shared" si="72"/>
        <v>2</v>
      </c>
    </row>
    <row r="4623" spans="1:4" x14ac:dyDescent="0.3">
      <c r="A4623" s="34">
        <v>39640</v>
      </c>
      <c r="B4623" s="35">
        <v>1</v>
      </c>
      <c r="C4623" s="35">
        <v>0</v>
      </c>
      <c r="D4623" s="2">
        <f t="shared" si="72"/>
        <v>1</v>
      </c>
    </row>
    <row r="4624" spans="1:4" x14ac:dyDescent="0.3">
      <c r="A4624" s="34">
        <v>39641</v>
      </c>
      <c r="B4624" s="35">
        <v>2</v>
      </c>
      <c r="C4624" s="35">
        <v>0</v>
      </c>
      <c r="D4624" s="2">
        <f t="shared" si="72"/>
        <v>2</v>
      </c>
    </row>
    <row r="4625" spans="1:4" x14ac:dyDescent="0.3">
      <c r="A4625" s="34">
        <v>39644</v>
      </c>
      <c r="B4625" s="35">
        <v>1</v>
      </c>
      <c r="C4625" s="35">
        <v>1</v>
      </c>
      <c r="D4625" s="2">
        <f t="shared" si="72"/>
        <v>2</v>
      </c>
    </row>
    <row r="4626" spans="1:4" x14ac:dyDescent="0.3">
      <c r="A4626" s="34">
        <v>39649</v>
      </c>
      <c r="B4626" s="35">
        <v>1</v>
      </c>
      <c r="C4626" s="35">
        <v>0</v>
      </c>
      <c r="D4626" s="2">
        <f t="shared" si="72"/>
        <v>1</v>
      </c>
    </row>
    <row r="4627" spans="1:4" x14ac:dyDescent="0.3">
      <c r="A4627" s="34">
        <v>39650</v>
      </c>
      <c r="B4627" s="35">
        <v>1</v>
      </c>
      <c r="C4627" s="35">
        <v>0</v>
      </c>
      <c r="D4627" s="2">
        <f t="shared" si="72"/>
        <v>1</v>
      </c>
    </row>
    <row r="4628" spans="1:4" x14ac:dyDescent="0.3">
      <c r="A4628" s="34">
        <v>39652</v>
      </c>
      <c r="B4628" s="35">
        <v>1</v>
      </c>
      <c r="C4628" s="35">
        <v>0</v>
      </c>
      <c r="D4628" s="2">
        <f t="shared" si="72"/>
        <v>1</v>
      </c>
    </row>
    <row r="4629" spans="1:4" x14ac:dyDescent="0.3">
      <c r="A4629" s="34">
        <v>39653</v>
      </c>
      <c r="B4629" s="35">
        <v>1</v>
      </c>
      <c r="C4629" s="35">
        <v>0</v>
      </c>
      <c r="D4629" s="2">
        <f t="shared" si="72"/>
        <v>1</v>
      </c>
    </row>
    <row r="4630" spans="1:4" x14ac:dyDescent="0.3">
      <c r="A4630" s="34">
        <v>39656</v>
      </c>
      <c r="B4630" s="35">
        <v>1</v>
      </c>
      <c r="C4630" s="35">
        <v>0</v>
      </c>
      <c r="D4630" s="2">
        <f t="shared" si="72"/>
        <v>1</v>
      </c>
    </row>
    <row r="4631" spans="1:4" x14ac:dyDescent="0.3">
      <c r="A4631" s="34">
        <v>39658</v>
      </c>
      <c r="B4631" s="35">
        <v>1</v>
      </c>
      <c r="C4631" s="35">
        <v>0</v>
      </c>
      <c r="D4631" s="2">
        <f t="shared" si="72"/>
        <v>1</v>
      </c>
    </row>
    <row r="4632" spans="1:4" x14ac:dyDescent="0.3">
      <c r="A4632" s="34">
        <v>39660</v>
      </c>
      <c r="B4632" s="35">
        <v>1</v>
      </c>
      <c r="C4632" s="35">
        <v>0</v>
      </c>
      <c r="D4632" s="2">
        <f t="shared" si="72"/>
        <v>1</v>
      </c>
    </row>
    <row r="4633" spans="1:4" x14ac:dyDescent="0.3">
      <c r="A4633" s="34">
        <v>39668</v>
      </c>
      <c r="B4633" s="35">
        <v>1</v>
      </c>
      <c r="C4633" s="35">
        <v>1</v>
      </c>
      <c r="D4633" s="2">
        <f t="shared" si="72"/>
        <v>2</v>
      </c>
    </row>
    <row r="4634" spans="1:4" x14ac:dyDescent="0.3">
      <c r="A4634" s="34">
        <v>39669</v>
      </c>
      <c r="B4634" s="35">
        <v>1</v>
      </c>
      <c r="C4634" s="35">
        <v>0</v>
      </c>
      <c r="D4634" s="2">
        <f t="shared" si="72"/>
        <v>1</v>
      </c>
    </row>
    <row r="4635" spans="1:4" x14ac:dyDescent="0.3">
      <c r="A4635" s="34">
        <v>39672</v>
      </c>
      <c r="B4635" s="35">
        <v>1</v>
      </c>
      <c r="C4635" s="35">
        <v>0</v>
      </c>
      <c r="D4635" s="2">
        <f t="shared" si="72"/>
        <v>1</v>
      </c>
    </row>
    <row r="4636" spans="1:4" x14ac:dyDescent="0.3">
      <c r="A4636" s="34">
        <v>39673</v>
      </c>
      <c r="B4636" s="35">
        <v>1</v>
      </c>
      <c r="C4636" s="35">
        <v>0</v>
      </c>
      <c r="D4636" s="2">
        <f t="shared" si="72"/>
        <v>1</v>
      </c>
    </row>
    <row r="4637" spans="1:4" x14ac:dyDescent="0.3">
      <c r="A4637" s="34">
        <v>39679</v>
      </c>
      <c r="B4637" s="35">
        <v>1</v>
      </c>
      <c r="C4637" s="35">
        <v>0</v>
      </c>
      <c r="D4637" s="2">
        <f t="shared" si="72"/>
        <v>1</v>
      </c>
    </row>
    <row r="4638" spans="1:4" x14ac:dyDescent="0.3">
      <c r="A4638" s="34">
        <v>39682</v>
      </c>
      <c r="B4638" s="35">
        <v>1</v>
      </c>
      <c r="C4638" s="35">
        <v>0</v>
      </c>
      <c r="D4638" s="2">
        <f t="shared" si="72"/>
        <v>1</v>
      </c>
    </row>
    <row r="4639" spans="1:4" x14ac:dyDescent="0.3">
      <c r="A4639" s="34">
        <v>39685</v>
      </c>
      <c r="B4639" s="35">
        <v>2</v>
      </c>
      <c r="C4639" s="35">
        <v>2</v>
      </c>
      <c r="D4639" s="2">
        <f t="shared" si="72"/>
        <v>4</v>
      </c>
    </row>
    <row r="4640" spans="1:4" x14ac:dyDescent="0.3">
      <c r="A4640" s="34">
        <v>39686</v>
      </c>
      <c r="B4640" s="35">
        <v>1</v>
      </c>
      <c r="C4640" s="35">
        <v>0</v>
      </c>
      <c r="D4640" s="2">
        <f t="shared" si="72"/>
        <v>1</v>
      </c>
    </row>
    <row r="4641" spans="1:4" x14ac:dyDescent="0.3">
      <c r="A4641" s="34">
        <v>39687</v>
      </c>
      <c r="B4641" s="35">
        <v>1</v>
      </c>
      <c r="C4641" s="35">
        <v>0</v>
      </c>
      <c r="D4641" s="2">
        <f t="shared" si="72"/>
        <v>1</v>
      </c>
    </row>
    <row r="4642" spans="1:4" x14ac:dyDescent="0.3">
      <c r="A4642" s="34">
        <v>39695</v>
      </c>
      <c r="B4642" s="35">
        <v>1</v>
      </c>
      <c r="C4642" s="35">
        <v>0</v>
      </c>
      <c r="D4642" s="2">
        <f t="shared" si="72"/>
        <v>1</v>
      </c>
    </row>
    <row r="4643" spans="1:4" x14ac:dyDescent="0.3">
      <c r="A4643" s="34">
        <v>39696</v>
      </c>
      <c r="B4643" s="35">
        <v>2</v>
      </c>
      <c r="C4643" s="35">
        <v>0</v>
      </c>
      <c r="D4643" s="2">
        <f t="shared" si="72"/>
        <v>2</v>
      </c>
    </row>
    <row r="4644" spans="1:4" x14ac:dyDescent="0.3">
      <c r="A4644" s="34">
        <v>39698</v>
      </c>
      <c r="B4644" s="35">
        <v>1</v>
      </c>
      <c r="C4644" s="35">
        <v>0</v>
      </c>
      <c r="D4644" s="2">
        <f t="shared" si="72"/>
        <v>1</v>
      </c>
    </row>
    <row r="4645" spans="1:4" x14ac:dyDescent="0.3">
      <c r="A4645" s="34">
        <v>39699</v>
      </c>
      <c r="B4645" s="35">
        <v>1</v>
      </c>
      <c r="C4645" s="35">
        <v>0</v>
      </c>
      <c r="D4645" s="2">
        <f t="shared" si="72"/>
        <v>1</v>
      </c>
    </row>
    <row r="4646" spans="1:4" x14ac:dyDescent="0.3">
      <c r="A4646" s="34">
        <v>39701</v>
      </c>
      <c r="B4646" s="35">
        <v>2</v>
      </c>
      <c r="C4646" s="35">
        <v>0</v>
      </c>
      <c r="D4646" s="2">
        <f t="shared" si="72"/>
        <v>2</v>
      </c>
    </row>
    <row r="4647" spans="1:4" x14ac:dyDescent="0.3">
      <c r="A4647" s="34">
        <v>39702</v>
      </c>
      <c r="B4647" s="35">
        <v>1</v>
      </c>
      <c r="C4647" s="35">
        <v>1</v>
      </c>
      <c r="D4647" s="2">
        <f t="shared" si="72"/>
        <v>2</v>
      </c>
    </row>
    <row r="4648" spans="1:4" x14ac:dyDescent="0.3">
      <c r="A4648" s="34">
        <v>39704</v>
      </c>
      <c r="B4648" s="35">
        <v>1</v>
      </c>
      <c r="C4648" s="35">
        <v>0</v>
      </c>
      <c r="D4648" s="2">
        <f t="shared" si="72"/>
        <v>1</v>
      </c>
    </row>
    <row r="4649" spans="1:4" x14ac:dyDescent="0.3">
      <c r="A4649" s="34">
        <v>39705</v>
      </c>
      <c r="B4649" s="35">
        <v>2</v>
      </c>
      <c r="C4649" s="35">
        <v>0</v>
      </c>
      <c r="D4649" s="2">
        <f t="shared" si="72"/>
        <v>2</v>
      </c>
    </row>
    <row r="4650" spans="1:4" x14ac:dyDescent="0.3">
      <c r="A4650" s="34">
        <v>39707</v>
      </c>
      <c r="B4650" s="35">
        <v>1</v>
      </c>
      <c r="C4650" s="35">
        <v>0</v>
      </c>
      <c r="D4650" s="2">
        <f t="shared" si="72"/>
        <v>1</v>
      </c>
    </row>
    <row r="4651" spans="1:4" x14ac:dyDescent="0.3">
      <c r="A4651" s="34">
        <v>39708</v>
      </c>
      <c r="B4651" s="35">
        <v>1</v>
      </c>
      <c r="C4651" s="35">
        <v>0</v>
      </c>
      <c r="D4651" s="2">
        <f t="shared" si="72"/>
        <v>1</v>
      </c>
    </row>
    <row r="4652" spans="1:4" x14ac:dyDescent="0.3">
      <c r="A4652" s="34">
        <v>39709</v>
      </c>
      <c r="B4652" s="35">
        <v>1</v>
      </c>
      <c r="C4652" s="35">
        <v>0</v>
      </c>
      <c r="D4652" s="2">
        <f t="shared" si="72"/>
        <v>1</v>
      </c>
    </row>
    <row r="4653" spans="1:4" x14ac:dyDescent="0.3">
      <c r="A4653" s="34">
        <v>39710</v>
      </c>
      <c r="B4653" s="35">
        <v>1</v>
      </c>
      <c r="C4653" s="35">
        <v>0</v>
      </c>
      <c r="D4653" s="2">
        <f t="shared" si="72"/>
        <v>1</v>
      </c>
    </row>
    <row r="4654" spans="1:4" x14ac:dyDescent="0.3">
      <c r="A4654" s="34">
        <v>39711</v>
      </c>
      <c r="B4654" s="35">
        <v>1</v>
      </c>
      <c r="C4654" s="35">
        <v>0</v>
      </c>
      <c r="D4654" s="2">
        <f t="shared" si="72"/>
        <v>1</v>
      </c>
    </row>
    <row r="4655" spans="1:4" x14ac:dyDescent="0.3">
      <c r="A4655" s="34">
        <v>39715</v>
      </c>
      <c r="B4655" s="35">
        <v>2</v>
      </c>
      <c r="C4655" s="35">
        <v>1</v>
      </c>
      <c r="D4655" s="2">
        <f t="shared" si="72"/>
        <v>3</v>
      </c>
    </row>
    <row r="4656" spans="1:4" x14ac:dyDescent="0.3">
      <c r="A4656" s="34">
        <v>39716</v>
      </c>
      <c r="B4656" s="35">
        <v>1</v>
      </c>
      <c r="C4656" s="35">
        <v>0</v>
      </c>
      <c r="D4656" s="2">
        <f t="shared" si="72"/>
        <v>1</v>
      </c>
    </row>
    <row r="4657" spans="1:4" x14ac:dyDescent="0.3">
      <c r="A4657" s="34">
        <v>39718</v>
      </c>
      <c r="B4657" s="35">
        <v>1</v>
      </c>
      <c r="C4657" s="35">
        <v>0</v>
      </c>
      <c r="D4657" s="2">
        <f t="shared" si="72"/>
        <v>1</v>
      </c>
    </row>
    <row r="4658" spans="1:4" x14ac:dyDescent="0.3">
      <c r="A4658" s="34">
        <v>39722</v>
      </c>
      <c r="B4658" s="35">
        <v>1</v>
      </c>
      <c r="C4658" s="35">
        <v>0</v>
      </c>
      <c r="D4658" s="2">
        <f t="shared" si="72"/>
        <v>1</v>
      </c>
    </row>
    <row r="4659" spans="1:4" x14ac:dyDescent="0.3">
      <c r="A4659" s="34">
        <v>39726</v>
      </c>
      <c r="B4659" s="35">
        <v>2</v>
      </c>
      <c r="C4659" s="35">
        <v>0</v>
      </c>
      <c r="D4659" s="2">
        <f t="shared" si="72"/>
        <v>2</v>
      </c>
    </row>
    <row r="4660" spans="1:4" x14ac:dyDescent="0.3">
      <c r="A4660" s="34">
        <v>39727</v>
      </c>
      <c r="B4660" s="35">
        <v>1</v>
      </c>
      <c r="C4660" s="35">
        <v>0</v>
      </c>
      <c r="D4660" s="2">
        <f t="shared" si="72"/>
        <v>1</v>
      </c>
    </row>
    <row r="4661" spans="1:4" x14ac:dyDescent="0.3">
      <c r="A4661" s="34">
        <v>39751</v>
      </c>
      <c r="B4661" s="35">
        <v>1</v>
      </c>
      <c r="C4661" s="35">
        <v>0</v>
      </c>
      <c r="D4661" s="2">
        <f t="shared" si="72"/>
        <v>1</v>
      </c>
    </row>
    <row r="4662" spans="1:4" x14ac:dyDescent="0.3">
      <c r="A4662" s="34">
        <v>39753</v>
      </c>
      <c r="B4662" s="35">
        <v>1</v>
      </c>
      <c r="C4662" s="35">
        <v>0</v>
      </c>
      <c r="D4662" s="2">
        <f t="shared" si="72"/>
        <v>1</v>
      </c>
    </row>
    <row r="4663" spans="1:4" x14ac:dyDescent="0.3">
      <c r="A4663" s="34">
        <v>39757</v>
      </c>
      <c r="B4663" s="35">
        <v>1</v>
      </c>
      <c r="C4663" s="35">
        <v>0</v>
      </c>
      <c r="D4663" s="2">
        <f t="shared" si="72"/>
        <v>1</v>
      </c>
    </row>
    <row r="4664" spans="1:4" x14ac:dyDescent="0.3">
      <c r="A4664" s="34">
        <v>39758</v>
      </c>
      <c r="B4664" s="35">
        <v>1</v>
      </c>
      <c r="C4664" s="35">
        <v>0</v>
      </c>
      <c r="D4664" s="2">
        <f t="shared" si="72"/>
        <v>1</v>
      </c>
    </row>
    <row r="4665" spans="1:4" x14ac:dyDescent="0.3">
      <c r="A4665" s="34">
        <v>39767</v>
      </c>
      <c r="B4665" s="35">
        <v>2</v>
      </c>
      <c r="C4665" s="35">
        <v>0</v>
      </c>
      <c r="D4665" s="2">
        <f t="shared" si="72"/>
        <v>2</v>
      </c>
    </row>
    <row r="4666" spans="1:4" x14ac:dyDescent="0.3">
      <c r="A4666" s="34">
        <v>39768</v>
      </c>
      <c r="B4666" s="35">
        <v>1</v>
      </c>
      <c r="C4666" s="35">
        <v>0</v>
      </c>
      <c r="D4666" s="2">
        <f t="shared" si="72"/>
        <v>1</v>
      </c>
    </row>
    <row r="4667" spans="1:4" x14ac:dyDescent="0.3">
      <c r="A4667" s="34">
        <v>39769</v>
      </c>
      <c r="B4667" s="35">
        <v>2</v>
      </c>
      <c r="C4667" s="35">
        <v>2</v>
      </c>
      <c r="D4667" s="2">
        <f t="shared" si="72"/>
        <v>4</v>
      </c>
    </row>
    <row r="4668" spans="1:4" x14ac:dyDescent="0.3">
      <c r="A4668" s="34">
        <v>39770</v>
      </c>
      <c r="B4668" s="35">
        <v>1</v>
      </c>
      <c r="C4668" s="35">
        <v>0</v>
      </c>
      <c r="D4668" s="2">
        <f t="shared" si="72"/>
        <v>1</v>
      </c>
    </row>
    <row r="4669" spans="1:4" x14ac:dyDescent="0.3">
      <c r="A4669" s="34">
        <v>39774</v>
      </c>
      <c r="B4669" s="35">
        <v>1</v>
      </c>
      <c r="C4669" s="35">
        <v>1</v>
      </c>
      <c r="D4669" s="2">
        <f t="shared" si="72"/>
        <v>2</v>
      </c>
    </row>
    <row r="4670" spans="1:4" x14ac:dyDescent="0.3">
      <c r="A4670" s="34">
        <v>39783</v>
      </c>
      <c r="B4670" s="35">
        <v>1</v>
      </c>
      <c r="C4670" s="35">
        <v>0</v>
      </c>
      <c r="D4670" s="2">
        <f t="shared" si="72"/>
        <v>1</v>
      </c>
    </row>
    <row r="4671" spans="1:4" x14ac:dyDescent="0.3">
      <c r="A4671" s="34">
        <v>39785</v>
      </c>
      <c r="B4671" s="35">
        <v>2</v>
      </c>
      <c r="C4671" s="35">
        <v>0</v>
      </c>
      <c r="D4671" s="2">
        <f t="shared" si="72"/>
        <v>2</v>
      </c>
    </row>
    <row r="4672" spans="1:4" x14ac:dyDescent="0.3">
      <c r="A4672" s="34">
        <v>39787</v>
      </c>
      <c r="B4672" s="35">
        <v>1</v>
      </c>
      <c r="C4672" s="35">
        <v>0</v>
      </c>
      <c r="D4672" s="2">
        <f t="shared" si="72"/>
        <v>1</v>
      </c>
    </row>
    <row r="4673" spans="1:4" x14ac:dyDescent="0.3">
      <c r="A4673" s="34">
        <v>39788</v>
      </c>
      <c r="B4673" s="35">
        <v>1</v>
      </c>
      <c r="C4673" s="35">
        <v>0</v>
      </c>
      <c r="D4673" s="2">
        <f t="shared" si="72"/>
        <v>1</v>
      </c>
    </row>
    <row r="4674" spans="1:4" x14ac:dyDescent="0.3">
      <c r="A4674" s="34">
        <v>39791</v>
      </c>
      <c r="B4674" s="35">
        <v>1</v>
      </c>
      <c r="C4674" s="35">
        <v>1</v>
      </c>
      <c r="D4674" s="2">
        <f t="shared" si="72"/>
        <v>2</v>
      </c>
    </row>
    <row r="4675" spans="1:4" x14ac:dyDescent="0.3">
      <c r="A4675" s="34">
        <v>39792</v>
      </c>
      <c r="B4675" s="35">
        <v>1</v>
      </c>
      <c r="C4675" s="35">
        <v>1</v>
      </c>
      <c r="D4675" s="2">
        <f t="shared" ref="D4675:D4738" si="73">B4675+C4675</f>
        <v>2</v>
      </c>
    </row>
    <row r="4676" spans="1:4" x14ac:dyDescent="0.3">
      <c r="A4676" s="34">
        <v>39800</v>
      </c>
      <c r="B4676" s="35">
        <v>1</v>
      </c>
      <c r="C4676" s="35">
        <v>0</v>
      </c>
      <c r="D4676" s="2">
        <f t="shared" si="73"/>
        <v>1</v>
      </c>
    </row>
    <row r="4677" spans="1:4" x14ac:dyDescent="0.3">
      <c r="A4677" s="34">
        <v>39802</v>
      </c>
      <c r="B4677" s="35">
        <v>1</v>
      </c>
      <c r="C4677" s="35">
        <v>0</v>
      </c>
      <c r="D4677" s="2">
        <f t="shared" si="73"/>
        <v>1</v>
      </c>
    </row>
    <row r="4678" spans="1:4" x14ac:dyDescent="0.3">
      <c r="A4678" s="34">
        <v>39810</v>
      </c>
      <c r="B4678" s="35">
        <v>1</v>
      </c>
      <c r="C4678" s="35">
        <v>0</v>
      </c>
      <c r="D4678" s="2">
        <f t="shared" si="73"/>
        <v>1</v>
      </c>
    </row>
    <row r="4679" spans="1:4" x14ac:dyDescent="0.3">
      <c r="A4679" s="34">
        <v>39812</v>
      </c>
      <c r="B4679" s="35">
        <v>2</v>
      </c>
      <c r="C4679" s="35">
        <v>1</v>
      </c>
      <c r="D4679" s="2">
        <f t="shared" si="73"/>
        <v>3</v>
      </c>
    </row>
    <row r="4680" spans="1:4" x14ac:dyDescent="0.3">
      <c r="A4680" s="34">
        <v>39813</v>
      </c>
      <c r="B4680" s="35">
        <v>1</v>
      </c>
      <c r="C4680" s="35">
        <v>0</v>
      </c>
      <c r="D4680" s="2">
        <f t="shared" si="73"/>
        <v>1</v>
      </c>
    </row>
    <row r="4681" spans="1:4" x14ac:dyDescent="0.3">
      <c r="A4681" s="34">
        <v>39870</v>
      </c>
      <c r="B4681" s="35">
        <v>1</v>
      </c>
      <c r="C4681" s="35">
        <v>0</v>
      </c>
      <c r="D4681" s="2">
        <f t="shared" si="73"/>
        <v>1</v>
      </c>
    </row>
    <row r="4682" spans="1:4" x14ac:dyDescent="0.3">
      <c r="A4682" s="34">
        <v>39890</v>
      </c>
      <c r="B4682" s="35">
        <v>1</v>
      </c>
      <c r="C4682" s="35">
        <v>0</v>
      </c>
      <c r="D4682" s="2">
        <f t="shared" si="73"/>
        <v>1</v>
      </c>
    </row>
    <row r="4683" spans="1:4" x14ac:dyDescent="0.3">
      <c r="A4683" s="34">
        <v>39891</v>
      </c>
      <c r="B4683" s="35">
        <v>1</v>
      </c>
      <c r="C4683" s="35">
        <v>0</v>
      </c>
      <c r="D4683" s="2">
        <f t="shared" si="73"/>
        <v>1</v>
      </c>
    </row>
    <row r="4684" spans="1:4" x14ac:dyDescent="0.3">
      <c r="A4684" s="34">
        <v>39892</v>
      </c>
      <c r="B4684" s="35">
        <v>1</v>
      </c>
      <c r="C4684" s="35">
        <v>0</v>
      </c>
      <c r="D4684" s="2">
        <f t="shared" si="73"/>
        <v>1</v>
      </c>
    </row>
    <row r="4685" spans="1:4" x14ac:dyDescent="0.3">
      <c r="A4685" s="34">
        <v>39896</v>
      </c>
      <c r="B4685" s="35">
        <v>1</v>
      </c>
      <c r="C4685" s="35">
        <v>0</v>
      </c>
      <c r="D4685" s="2">
        <f t="shared" si="73"/>
        <v>1</v>
      </c>
    </row>
    <row r="4686" spans="1:4" x14ac:dyDescent="0.3">
      <c r="A4686" s="34">
        <v>39897</v>
      </c>
      <c r="B4686" s="35">
        <v>1</v>
      </c>
      <c r="C4686" s="35">
        <v>0</v>
      </c>
      <c r="D4686" s="2">
        <f t="shared" si="73"/>
        <v>1</v>
      </c>
    </row>
    <row r="4687" spans="1:4" x14ac:dyDescent="0.3">
      <c r="A4687" s="34">
        <v>39899</v>
      </c>
      <c r="B4687" s="35">
        <v>1</v>
      </c>
      <c r="C4687" s="35">
        <v>0</v>
      </c>
      <c r="D4687" s="2">
        <f t="shared" si="73"/>
        <v>1</v>
      </c>
    </row>
    <row r="4688" spans="1:4" x14ac:dyDescent="0.3">
      <c r="A4688" s="34">
        <v>39901</v>
      </c>
      <c r="B4688" s="35">
        <v>1</v>
      </c>
      <c r="C4688" s="35">
        <v>0</v>
      </c>
      <c r="D4688" s="2">
        <f t="shared" si="73"/>
        <v>1</v>
      </c>
    </row>
    <row r="4689" spans="1:4" x14ac:dyDescent="0.3">
      <c r="A4689" s="34">
        <v>39902</v>
      </c>
      <c r="B4689" s="35">
        <v>1</v>
      </c>
      <c r="C4689" s="35">
        <v>0</v>
      </c>
      <c r="D4689" s="2">
        <f t="shared" si="73"/>
        <v>1</v>
      </c>
    </row>
    <row r="4690" spans="1:4" x14ac:dyDescent="0.3">
      <c r="A4690" s="34">
        <v>39903</v>
      </c>
      <c r="B4690" s="35">
        <v>1</v>
      </c>
      <c r="C4690" s="35">
        <v>0</v>
      </c>
      <c r="D4690" s="2">
        <f t="shared" si="73"/>
        <v>1</v>
      </c>
    </row>
    <row r="4691" spans="1:4" x14ac:dyDescent="0.3">
      <c r="A4691" s="34">
        <v>39909</v>
      </c>
      <c r="B4691" s="35">
        <v>1</v>
      </c>
      <c r="C4691" s="35">
        <v>0</v>
      </c>
      <c r="D4691" s="2">
        <f t="shared" si="73"/>
        <v>1</v>
      </c>
    </row>
    <row r="4692" spans="1:4" x14ac:dyDescent="0.3">
      <c r="A4692" s="34">
        <v>39911</v>
      </c>
      <c r="B4692" s="35">
        <v>1</v>
      </c>
      <c r="C4692" s="35">
        <v>1</v>
      </c>
      <c r="D4692" s="2">
        <f t="shared" si="73"/>
        <v>2</v>
      </c>
    </row>
    <row r="4693" spans="1:4" x14ac:dyDescent="0.3">
      <c r="A4693" s="34">
        <v>39913</v>
      </c>
      <c r="B4693" s="35">
        <v>1</v>
      </c>
      <c r="C4693" s="35">
        <v>0</v>
      </c>
      <c r="D4693" s="2">
        <f t="shared" si="73"/>
        <v>1</v>
      </c>
    </row>
    <row r="4694" spans="1:4" x14ac:dyDescent="0.3">
      <c r="A4694" s="34">
        <v>39915</v>
      </c>
      <c r="B4694" s="35">
        <v>1</v>
      </c>
      <c r="C4694" s="35">
        <v>0</v>
      </c>
      <c r="D4694" s="2">
        <f t="shared" si="73"/>
        <v>1</v>
      </c>
    </row>
    <row r="4695" spans="1:4" x14ac:dyDescent="0.3">
      <c r="A4695" s="34">
        <v>39916</v>
      </c>
      <c r="B4695" s="35">
        <v>1</v>
      </c>
      <c r="C4695" s="35">
        <v>0</v>
      </c>
      <c r="D4695" s="2">
        <f t="shared" si="73"/>
        <v>1</v>
      </c>
    </row>
    <row r="4696" spans="1:4" x14ac:dyDescent="0.3">
      <c r="A4696" s="34">
        <v>39917</v>
      </c>
      <c r="B4696" s="35">
        <v>1</v>
      </c>
      <c r="C4696" s="35">
        <v>0</v>
      </c>
      <c r="D4696" s="2">
        <f t="shared" si="73"/>
        <v>1</v>
      </c>
    </row>
    <row r="4697" spans="1:4" x14ac:dyDescent="0.3">
      <c r="A4697" s="34">
        <v>39918</v>
      </c>
      <c r="B4697" s="35">
        <v>1</v>
      </c>
      <c r="C4697" s="35">
        <v>0</v>
      </c>
      <c r="D4697" s="2">
        <f t="shared" si="73"/>
        <v>1</v>
      </c>
    </row>
    <row r="4698" spans="1:4" x14ac:dyDescent="0.3">
      <c r="A4698" s="34">
        <v>39919</v>
      </c>
      <c r="B4698" s="35">
        <v>1</v>
      </c>
      <c r="C4698" s="35">
        <v>0</v>
      </c>
      <c r="D4698" s="2">
        <f t="shared" si="73"/>
        <v>1</v>
      </c>
    </row>
    <row r="4699" spans="1:4" x14ac:dyDescent="0.3">
      <c r="A4699" s="34">
        <v>39920</v>
      </c>
      <c r="B4699" s="35">
        <v>1</v>
      </c>
      <c r="C4699" s="35">
        <v>0</v>
      </c>
      <c r="D4699" s="2">
        <f t="shared" si="73"/>
        <v>1</v>
      </c>
    </row>
    <row r="4700" spans="1:4" x14ac:dyDescent="0.3">
      <c r="A4700" s="34">
        <v>39924</v>
      </c>
      <c r="B4700" s="35">
        <v>1</v>
      </c>
      <c r="C4700" s="35">
        <v>0</v>
      </c>
      <c r="D4700" s="2">
        <f t="shared" si="73"/>
        <v>1</v>
      </c>
    </row>
    <row r="4701" spans="1:4" x14ac:dyDescent="0.3">
      <c r="A4701" s="34">
        <v>39926</v>
      </c>
      <c r="B4701" s="35">
        <v>1</v>
      </c>
      <c r="C4701" s="35">
        <v>0</v>
      </c>
      <c r="D4701" s="2">
        <f t="shared" si="73"/>
        <v>1</v>
      </c>
    </row>
    <row r="4702" spans="1:4" x14ac:dyDescent="0.3">
      <c r="A4702" s="34">
        <v>39929</v>
      </c>
      <c r="B4702" s="35">
        <v>1</v>
      </c>
      <c r="C4702" s="35">
        <v>0</v>
      </c>
      <c r="D4702" s="2">
        <f t="shared" si="73"/>
        <v>1</v>
      </c>
    </row>
    <row r="4703" spans="1:4" x14ac:dyDescent="0.3">
      <c r="A4703" s="34">
        <v>39930</v>
      </c>
      <c r="B4703" s="35">
        <v>1</v>
      </c>
      <c r="C4703" s="35">
        <v>0</v>
      </c>
      <c r="D4703" s="2">
        <f t="shared" si="73"/>
        <v>1</v>
      </c>
    </row>
    <row r="4704" spans="1:4" x14ac:dyDescent="0.3">
      <c r="A4704" s="34">
        <v>39931</v>
      </c>
      <c r="B4704" s="35">
        <v>1</v>
      </c>
      <c r="C4704" s="35">
        <v>0</v>
      </c>
      <c r="D4704" s="2">
        <f t="shared" si="73"/>
        <v>1</v>
      </c>
    </row>
    <row r="4705" spans="1:4" x14ac:dyDescent="0.3">
      <c r="A4705" s="34">
        <v>39936</v>
      </c>
      <c r="B4705" s="35">
        <v>1</v>
      </c>
      <c r="C4705" s="35">
        <v>0</v>
      </c>
      <c r="D4705" s="2">
        <f t="shared" si="73"/>
        <v>1</v>
      </c>
    </row>
    <row r="4706" spans="1:4" x14ac:dyDescent="0.3">
      <c r="A4706" s="34">
        <v>39938</v>
      </c>
      <c r="B4706" s="35">
        <v>1</v>
      </c>
      <c r="C4706" s="35">
        <v>0</v>
      </c>
      <c r="D4706" s="2">
        <f t="shared" si="73"/>
        <v>1</v>
      </c>
    </row>
    <row r="4707" spans="1:4" x14ac:dyDescent="0.3">
      <c r="A4707" s="34">
        <v>39945</v>
      </c>
      <c r="B4707" s="35">
        <v>1</v>
      </c>
      <c r="C4707" s="35">
        <v>0</v>
      </c>
      <c r="D4707" s="2">
        <f t="shared" si="73"/>
        <v>1</v>
      </c>
    </row>
    <row r="4708" spans="1:4" x14ac:dyDescent="0.3">
      <c r="A4708" s="34">
        <v>39952</v>
      </c>
      <c r="B4708" s="35">
        <v>1</v>
      </c>
      <c r="C4708" s="35">
        <v>0</v>
      </c>
      <c r="D4708" s="2">
        <f t="shared" si="73"/>
        <v>1</v>
      </c>
    </row>
    <row r="4709" spans="1:4" x14ac:dyDescent="0.3">
      <c r="A4709" s="34">
        <v>39954</v>
      </c>
      <c r="B4709" s="35">
        <v>1</v>
      </c>
      <c r="C4709" s="35">
        <v>0</v>
      </c>
      <c r="D4709" s="2">
        <f t="shared" si="73"/>
        <v>1</v>
      </c>
    </row>
    <row r="4710" spans="1:4" x14ac:dyDescent="0.3">
      <c r="A4710" s="34">
        <v>39957</v>
      </c>
      <c r="B4710" s="35">
        <v>1</v>
      </c>
      <c r="C4710" s="35">
        <v>0</v>
      </c>
      <c r="D4710" s="2">
        <f t="shared" si="73"/>
        <v>1</v>
      </c>
    </row>
    <row r="4711" spans="1:4" x14ac:dyDescent="0.3">
      <c r="A4711" s="34">
        <v>39959</v>
      </c>
      <c r="B4711" s="35">
        <v>1</v>
      </c>
      <c r="C4711" s="35">
        <v>0</v>
      </c>
      <c r="D4711" s="2">
        <f t="shared" si="73"/>
        <v>1</v>
      </c>
    </row>
    <row r="4712" spans="1:4" x14ac:dyDescent="0.3">
      <c r="A4712" s="34">
        <v>39961</v>
      </c>
      <c r="B4712" s="35">
        <v>1</v>
      </c>
      <c r="C4712" s="35">
        <v>1</v>
      </c>
      <c r="D4712" s="2">
        <f t="shared" si="73"/>
        <v>2</v>
      </c>
    </row>
    <row r="4713" spans="1:4" x14ac:dyDescent="0.3">
      <c r="A4713" s="34">
        <v>39962</v>
      </c>
      <c r="B4713" s="35">
        <v>1</v>
      </c>
      <c r="C4713" s="35">
        <v>0</v>
      </c>
      <c r="D4713" s="2">
        <f t="shared" si="73"/>
        <v>1</v>
      </c>
    </row>
    <row r="4714" spans="1:4" x14ac:dyDescent="0.3">
      <c r="A4714" s="34">
        <v>39967</v>
      </c>
      <c r="B4714" s="35">
        <v>2</v>
      </c>
      <c r="C4714" s="35">
        <v>1</v>
      </c>
      <c r="D4714" s="2">
        <f t="shared" si="73"/>
        <v>3</v>
      </c>
    </row>
    <row r="4715" spans="1:4" x14ac:dyDescent="0.3">
      <c r="A4715" s="34">
        <v>39970</v>
      </c>
      <c r="B4715" s="35">
        <v>1</v>
      </c>
      <c r="C4715" s="35">
        <v>0</v>
      </c>
      <c r="D4715" s="2">
        <f t="shared" si="73"/>
        <v>1</v>
      </c>
    </row>
    <row r="4716" spans="1:4" x14ac:dyDescent="0.3">
      <c r="A4716" s="34">
        <v>39972</v>
      </c>
      <c r="B4716" s="35">
        <v>1</v>
      </c>
      <c r="C4716" s="35">
        <v>1</v>
      </c>
      <c r="D4716" s="2">
        <f t="shared" si="73"/>
        <v>2</v>
      </c>
    </row>
    <row r="4717" spans="1:4" x14ac:dyDescent="0.3">
      <c r="A4717" s="34">
        <v>39973</v>
      </c>
      <c r="B4717" s="35">
        <v>1</v>
      </c>
      <c r="C4717" s="35">
        <v>0</v>
      </c>
      <c r="D4717" s="2">
        <f t="shared" si="73"/>
        <v>1</v>
      </c>
    </row>
    <row r="4718" spans="1:4" x14ac:dyDescent="0.3">
      <c r="A4718" s="34">
        <v>39975</v>
      </c>
      <c r="B4718" s="35">
        <v>1</v>
      </c>
      <c r="C4718" s="35">
        <v>1</v>
      </c>
      <c r="D4718" s="2">
        <f t="shared" si="73"/>
        <v>2</v>
      </c>
    </row>
    <row r="4719" spans="1:4" x14ac:dyDescent="0.3">
      <c r="A4719" s="34">
        <v>40001</v>
      </c>
      <c r="B4719" s="35">
        <v>1</v>
      </c>
      <c r="C4719" s="35">
        <v>1</v>
      </c>
      <c r="D4719" s="2">
        <f t="shared" si="73"/>
        <v>2</v>
      </c>
    </row>
    <row r="4720" spans="1:4" x14ac:dyDescent="0.3">
      <c r="A4720" s="34">
        <v>40002</v>
      </c>
      <c r="B4720" s="35">
        <v>1</v>
      </c>
      <c r="C4720" s="35">
        <v>0</v>
      </c>
      <c r="D4720" s="2">
        <f t="shared" si="73"/>
        <v>1</v>
      </c>
    </row>
    <row r="4721" spans="1:4" x14ac:dyDescent="0.3">
      <c r="A4721" s="34">
        <v>40005</v>
      </c>
      <c r="B4721" s="35">
        <v>1</v>
      </c>
      <c r="C4721" s="35">
        <v>0</v>
      </c>
      <c r="D4721" s="2">
        <f t="shared" si="73"/>
        <v>1</v>
      </c>
    </row>
    <row r="4722" spans="1:4" x14ac:dyDescent="0.3">
      <c r="A4722" s="34">
        <v>40017</v>
      </c>
      <c r="B4722" s="35">
        <v>1</v>
      </c>
      <c r="C4722" s="35">
        <v>0</v>
      </c>
      <c r="D4722" s="2">
        <f t="shared" si="73"/>
        <v>1</v>
      </c>
    </row>
    <row r="4723" spans="1:4" x14ac:dyDescent="0.3">
      <c r="A4723" s="34">
        <v>40021</v>
      </c>
      <c r="B4723" s="35">
        <v>1</v>
      </c>
      <c r="C4723" s="35">
        <v>0</v>
      </c>
      <c r="D4723" s="2">
        <f t="shared" si="73"/>
        <v>1</v>
      </c>
    </row>
    <row r="4724" spans="1:4" x14ac:dyDescent="0.3">
      <c r="A4724" s="34">
        <v>40026</v>
      </c>
      <c r="B4724" s="35">
        <v>1</v>
      </c>
      <c r="C4724" s="35">
        <v>0</v>
      </c>
      <c r="D4724" s="2">
        <f t="shared" si="73"/>
        <v>1</v>
      </c>
    </row>
    <row r="4725" spans="1:4" x14ac:dyDescent="0.3">
      <c r="A4725" s="34">
        <v>40027</v>
      </c>
      <c r="B4725" s="35">
        <v>1</v>
      </c>
      <c r="C4725" s="35">
        <v>0</v>
      </c>
      <c r="D4725" s="2">
        <f t="shared" si="73"/>
        <v>1</v>
      </c>
    </row>
    <row r="4726" spans="1:4" x14ac:dyDescent="0.3">
      <c r="A4726" s="34">
        <v>40033</v>
      </c>
      <c r="B4726" s="35">
        <v>1</v>
      </c>
      <c r="C4726" s="35">
        <v>0</v>
      </c>
      <c r="D4726" s="2">
        <f t="shared" si="73"/>
        <v>1</v>
      </c>
    </row>
    <row r="4727" spans="1:4" x14ac:dyDescent="0.3">
      <c r="A4727" s="34">
        <v>40034</v>
      </c>
      <c r="B4727" s="35">
        <v>1</v>
      </c>
      <c r="C4727" s="35">
        <v>1</v>
      </c>
      <c r="D4727" s="2">
        <f t="shared" si="73"/>
        <v>2</v>
      </c>
    </row>
    <row r="4728" spans="1:4" x14ac:dyDescent="0.3">
      <c r="A4728" s="34">
        <v>40038</v>
      </c>
      <c r="B4728" s="35">
        <v>1</v>
      </c>
      <c r="C4728" s="35">
        <v>0</v>
      </c>
      <c r="D4728" s="2">
        <f t="shared" si="73"/>
        <v>1</v>
      </c>
    </row>
    <row r="4729" spans="1:4" x14ac:dyDescent="0.3">
      <c r="A4729" s="34">
        <v>40045</v>
      </c>
      <c r="B4729" s="35">
        <v>1</v>
      </c>
      <c r="C4729" s="35">
        <v>0</v>
      </c>
      <c r="D4729" s="2">
        <f t="shared" si="73"/>
        <v>1</v>
      </c>
    </row>
    <row r="4730" spans="1:4" x14ac:dyDescent="0.3">
      <c r="A4730" s="34">
        <v>40067</v>
      </c>
      <c r="B4730" s="35">
        <v>1</v>
      </c>
      <c r="C4730" s="35">
        <v>1</v>
      </c>
      <c r="D4730" s="2">
        <f t="shared" si="73"/>
        <v>2</v>
      </c>
    </row>
    <row r="4731" spans="1:4" x14ac:dyDescent="0.3">
      <c r="A4731" s="34">
        <v>40068</v>
      </c>
      <c r="B4731" s="35">
        <v>1</v>
      </c>
      <c r="C4731" s="35">
        <v>0</v>
      </c>
      <c r="D4731" s="2">
        <f t="shared" si="73"/>
        <v>1</v>
      </c>
    </row>
    <row r="4732" spans="1:4" x14ac:dyDescent="0.3">
      <c r="A4732" s="34">
        <v>40071</v>
      </c>
      <c r="B4732" s="35">
        <v>1</v>
      </c>
      <c r="C4732" s="35">
        <v>0</v>
      </c>
      <c r="D4732" s="2">
        <f t="shared" si="73"/>
        <v>1</v>
      </c>
    </row>
    <row r="4733" spans="1:4" x14ac:dyDescent="0.3">
      <c r="A4733" s="34">
        <v>40072</v>
      </c>
      <c r="B4733" s="35">
        <v>1</v>
      </c>
      <c r="C4733" s="35">
        <v>0</v>
      </c>
      <c r="D4733" s="2">
        <f t="shared" si="73"/>
        <v>1</v>
      </c>
    </row>
    <row r="4734" spans="1:4" x14ac:dyDescent="0.3">
      <c r="A4734" s="34">
        <v>40078</v>
      </c>
      <c r="B4734" s="35">
        <v>1</v>
      </c>
      <c r="C4734" s="35">
        <v>0</v>
      </c>
      <c r="D4734" s="2">
        <f t="shared" si="73"/>
        <v>1</v>
      </c>
    </row>
    <row r="4735" spans="1:4" x14ac:dyDescent="0.3">
      <c r="A4735" s="34">
        <v>40080</v>
      </c>
      <c r="B4735" s="35">
        <v>1</v>
      </c>
      <c r="C4735" s="35">
        <v>0</v>
      </c>
      <c r="D4735" s="2">
        <f t="shared" si="73"/>
        <v>1</v>
      </c>
    </row>
    <row r="4736" spans="1:4" x14ac:dyDescent="0.3">
      <c r="A4736" s="34">
        <v>40083</v>
      </c>
      <c r="B4736" s="35">
        <v>1</v>
      </c>
      <c r="C4736" s="35">
        <v>0</v>
      </c>
      <c r="D4736" s="2">
        <f t="shared" si="73"/>
        <v>1</v>
      </c>
    </row>
    <row r="4737" spans="1:4" x14ac:dyDescent="0.3">
      <c r="A4737" s="34">
        <v>40084</v>
      </c>
      <c r="B4737" s="35">
        <v>1</v>
      </c>
      <c r="C4737" s="35">
        <v>0</v>
      </c>
      <c r="D4737" s="2">
        <f t="shared" si="73"/>
        <v>1</v>
      </c>
    </row>
    <row r="4738" spans="1:4" x14ac:dyDescent="0.3">
      <c r="A4738" s="34">
        <v>40085</v>
      </c>
      <c r="B4738" s="35">
        <v>1</v>
      </c>
      <c r="C4738" s="35">
        <v>0</v>
      </c>
      <c r="D4738" s="2">
        <f t="shared" si="73"/>
        <v>1</v>
      </c>
    </row>
    <row r="4739" spans="1:4" x14ac:dyDescent="0.3">
      <c r="A4739" s="34">
        <v>40086</v>
      </c>
      <c r="B4739" s="35">
        <v>1</v>
      </c>
      <c r="C4739" s="35">
        <v>0</v>
      </c>
      <c r="D4739" s="2">
        <f t="shared" ref="D4739:D4802" si="74">B4739+C4739</f>
        <v>1</v>
      </c>
    </row>
    <row r="4740" spans="1:4" x14ac:dyDescent="0.3">
      <c r="A4740" s="34">
        <v>40088</v>
      </c>
      <c r="B4740" s="35">
        <v>1</v>
      </c>
      <c r="C4740" s="35">
        <v>0</v>
      </c>
      <c r="D4740" s="2">
        <f t="shared" si="74"/>
        <v>1</v>
      </c>
    </row>
    <row r="4741" spans="1:4" x14ac:dyDescent="0.3">
      <c r="A4741" s="34">
        <v>40090</v>
      </c>
      <c r="B4741" s="35">
        <v>1</v>
      </c>
      <c r="C4741" s="35">
        <v>0</v>
      </c>
      <c r="D4741" s="2">
        <f t="shared" si="74"/>
        <v>1</v>
      </c>
    </row>
    <row r="4742" spans="1:4" x14ac:dyDescent="0.3">
      <c r="A4742" s="34">
        <v>40095</v>
      </c>
      <c r="B4742" s="35">
        <v>1</v>
      </c>
      <c r="C4742" s="35">
        <v>1</v>
      </c>
      <c r="D4742" s="2">
        <f t="shared" si="74"/>
        <v>2</v>
      </c>
    </row>
    <row r="4743" spans="1:4" x14ac:dyDescent="0.3">
      <c r="A4743" s="34">
        <v>40096</v>
      </c>
      <c r="B4743" s="35">
        <v>1</v>
      </c>
      <c r="C4743" s="35">
        <v>0</v>
      </c>
      <c r="D4743" s="2">
        <f t="shared" si="74"/>
        <v>1</v>
      </c>
    </row>
    <row r="4744" spans="1:4" x14ac:dyDescent="0.3">
      <c r="A4744" s="34">
        <v>40097</v>
      </c>
      <c r="B4744" s="35">
        <v>1</v>
      </c>
      <c r="C4744" s="35">
        <v>0</v>
      </c>
      <c r="D4744" s="2">
        <f t="shared" si="74"/>
        <v>1</v>
      </c>
    </row>
    <row r="4745" spans="1:4" x14ac:dyDescent="0.3">
      <c r="A4745" s="34">
        <v>40134</v>
      </c>
      <c r="B4745" s="35">
        <v>2</v>
      </c>
      <c r="C4745" s="35">
        <v>1</v>
      </c>
      <c r="D4745" s="2">
        <f t="shared" si="74"/>
        <v>3</v>
      </c>
    </row>
    <row r="4746" spans="1:4" x14ac:dyDescent="0.3">
      <c r="A4746" s="34">
        <v>40135</v>
      </c>
      <c r="B4746" s="35">
        <v>1</v>
      </c>
      <c r="C4746" s="35">
        <v>0</v>
      </c>
      <c r="D4746" s="2">
        <f t="shared" si="74"/>
        <v>1</v>
      </c>
    </row>
    <row r="4747" spans="1:4" x14ac:dyDescent="0.3">
      <c r="A4747" s="34">
        <v>40140</v>
      </c>
      <c r="B4747" s="35">
        <v>1</v>
      </c>
      <c r="C4747" s="35">
        <v>0</v>
      </c>
      <c r="D4747" s="2">
        <f t="shared" si="74"/>
        <v>1</v>
      </c>
    </row>
    <row r="4748" spans="1:4" x14ac:dyDescent="0.3">
      <c r="A4748" s="34">
        <v>40143</v>
      </c>
      <c r="B4748" s="35">
        <v>1</v>
      </c>
      <c r="C4748" s="35">
        <v>0</v>
      </c>
      <c r="D4748" s="2">
        <f t="shared" si="74"/>
        <v>1</v>
      </c>
    </row>
    <row r="4749" spans="1:4" x14ac:dyDescent="0.3">
      <c r="A4749" s="34">
        <v>40145</v>
      </c>
      <c r="B4749" s="35">
        <v>1</v>
      </c>
      <c r="C4749" s="35">
        <v>0</v>
      </c>
      <c r="D4749" s="2">
        <f t="shared" si="74"/>
        <v>1</v>
      </c>
    </row>
    <row r="4750" spans="1:4" x14ac:dyDescent="0.3">
      <c r="A4750" s="34">
        <v>40146</v>
      </c>
      <c r="B4750" s="35">
        <v>1</v>
      </c>
      <c r="C4750" s="35">
        <v>0</v>
      </c>
      <c r="D4750" s="2">
        <f t="shared" si="74"/>
        <v>1</v>
      </c>
    </row>
    <row r="4751" spans="1:4" x14ac:dyDescent="0.3">
      <c r="A4751" s="34">
        <v>40149</v>
      </c>
      <c r="B4751" s="35">
        <v>1</v>
      </c>
      <c r="C4751" s="35">
        <v>0</v>
      </c>
      <c r="D4751" s="2">
        <f t="shared" si="74"/>
        <v>1</v>
      </c>
    </row>
    <row r="4752" spans="1:4" x14ac:dyDescent="0.3">
      <c r="A4752" s="34">
        <v>40152</v>
      </c>
      <c r="B4752" s="35">
        <v>1</v>
      </c>
      <c r="C4752" s="35">
        <v>1</v>
      </c>
      <c r="D4752" s="2">
        <f t="shared" si="74"/>
        <v>2</v>
      </c>
    </row>
    <row r="4753" spans="1:4" x14ac:dyDescent="0.3">
      <c r="A4753" s="34">
        <v>40153</v>
      </c>
      <c r="B4753" s="35">
        <v>1</v>
      </c>
      <c r="C4753" s="35">
        <v>0</v>
      </c>
      <c r="D4753" s="2">
        <f t="shared" si="74"/>
        <v>1</v>
      </c>
    </row>
    <row r="4754" spans="1:4" x14ac:dyDescent="0.3">
      <c r="A4754" s="34">
        <v>40157</v>
      </c>
      <c r="B4754" s="35">
        <v>1</v>
      </c>
      <c r="C4754" s="35">
        <v>1</v>
      </c>
      <c r="D4754" s="2">
        <f t="shared" si="74"/>
        <v>2</v>
      </c>
    </row>
    <row r="4755" spans="1:4" x14ac:dyDescent="0.3">
      <c r="A4755" s="34">
        <v>40162</v>
      </c>
      <c r="B4755" s="35">
        <v>1</v>
      </c>
      <c r="C4755" s="35">
        <v>0</v>
      </c>
      <c r="D4755" s="2">
        <f t="shared" si="74"/>
        <v>1</v>
      </c>
    </row>
    <row r="4756" spans="1:4" x14ac:dyDescent="0.3">
      <c r="A4756" s="34">
        <v>40163</v>
      </c>
      <c r="B4756" s="35">
        <v>1</v>
      </c>
      <c r="C4756" s="35">
        <v>0</v>
      </c>
      <c r="D4756" s="2">
        <f t="shared" si="74"/>
        <v>1</v>
      </c>
    </row>
    <row r="4757" spans="1:4" x14ac:dyDescent="0.3">
      <c r="A4757" s="34">
        <v>40165</v>
      </c>
      <c r="B4757" s="35">
        <v>1</v>
      </c>
      <c r="C4757" s="35">
        <v>1</v>
      </c>
      <c r="D4757" s="2">
        <f t="shared" si="74"/>
        <v>2</v>
      </c>
    </row>
    <row r="4758" spans="1:4" x14ac:dyDescent="0.3">
      <c r="A4758" s="34">
        <v>40166</v>
      </c>
      <c r="B4758" s="35">
        <v>1</v>
      </c>
      <c r="C4758" s="35">
        <v>0</v>
      </c>
      <c r="D4758" s="2">
        <f t="shared" si="74"/>
        <v>1</v>
      </c>
    </row>
    <row r="4759" spans="1:4" x14ac:dyDescent="0.3">
      <c r="A4759" s="34">
        <v>40167</v>
      </c>
      <c r="B4759" s="35">
        <v>1</v>
      </c>
      <c r="C4759" s="35">
        <v>0</v>
      </c>
      <c r="D4759" s="2">
        <f t="shared" si="74"/>
        <v>1</v>
      </c>
    </row>
    <row r="4760" spans="1:4" x14ac:dyDescent="0.3">
      <c r="A4760" s="34">
        <v>40171</v>
      </c>
      <c r="B4760" s="35">
        <v>1</v>
      </c>
      <c r="C4760" s="35">
        <v>0</v>
      </c>
      <c r="D4760" s="2">
        <f t="shared" si="74"/>
        <v>1</v>
      </c>
    </row>
    <row r="4761" spans="1:4" x14ac:dyDescent="0.3">
      <c r="A4761" s="34">
        <v>40176</v>
      </c>
      <c r="B4761" s="35">
        <v>1</v>
      </c>
      <c r="C4761" s="35">
        <v>0</v>
      </c>
      <c r="D4761" s="2">
        <f t="shared" si="74"/>
        <v>1</v>
      </c>
    </row>
    <row r="4762" spans="1:4" x14ac:dyDescent="0.3">
      <c r="A4762" s="34">
        <v>40185</v>
      </c>
      <c r="B4762" s="35">
        <v>1</v>
      </c>
      <c r="C4762" s="35">
        <v>0</v>
      </c>
      <c r="D4762" s="2">
        <f t="shared" si="74"/>
        <v>1</v>
      </c>
    </row>
    <row r="4763" spans="1:4" x14ac:dyDescent="0.3">
      <c r="A4763" s="34">
        <v>40186</v>
      </c>
      <c r="B4763" s="35">
        <v>1</v>
      </c>
      <c r="C4763" s="35">
        <v>0</v>
      </c>
      <c r="D4763" s="2">
        <f t="shared" si="74"/>
        <v>1</v>
      </c>
    </row>
    <row r="4764" spans="1:4" x14ac:dyDescent="0.3">
      <c r="A4764" s="34">
        <v>40187</v>
      </c>
      <c r="B4764" s="35">
        <v>1</v>
      </c>
      <c r="C4764" s="35">
        <v>1</v>
      </c>
      <c r="D4764" s="2">
        <f t="shared" si="74"/>
        <v>2</v>
      </c>
    </row>
    <row r="4765" spans="1:4" x14ac:dyDescent="0.3">
      <c r="A4765" s="34">
        <v>40189</v>
      </c>
      <c r="B4765" s="35">
        <v>1</v>
      </c>
      <c r="C4765" s="35">
        <v>0</v>
      </c>
      <c r="D4765" s="2">
        <f t="shared" si="74"/>
        <v>1</v>
      </c>
    </row>
    <row r="4766" spans="1:4" x14ac:dyDescent="0.3">
      <c r="A4766" s="34">
        <v>40197</v>
      </c>
      <c r="B4766" s="35">
        <v>1</v>
      </c>
      <c r="C4766" s="35">
        <v>0</v>
      </c>
      <c r="D4766" s="2">
        <f t="shared" si="74"/>
        <v>1</v>
      </c>
    </row>
    <row r="4767" spans="1:4" x14ac:dyDescent="0.3">
      <c r="A4767" s="34">
        <v>40199</v>
      </c>
      <c r="B4767" s="35">
        <v>1</v>
      </c>
      <c r="C4767" s="35">
        <v>0</v>
      </c>
      <c r="D4767" s="2">
        <f t="shared" si="74"/>
        <v>1</v>
      </c>
    </row>
    <row r="4768" spans="1:4" x14ac:dyDescent="0.3">
      <c r="A4768" s="34">
        <v>40203</v>
      </c>
      <c r="B4768" s="35">
        <v>1</v>
      </c>
      <c r="C4768" s="35">
        <v>0</v>
      </c>
      <c r="D4768" s="2">
        <f t="shared" si="74"/>
        <v>1</v>
      </c>
    </row>
    <row r="4769" spans="1:4" x14ac:dyDescent="0.3">
      <c r="A4769" s="34">
        <v>40211</v>
      </c>
      <c r="B4769" s="35">
        <v>1</v>
      </c>
      <c r="C4769" s="35">
        <v>0</v>
      </c>
      <c r="D4769" s="2">
        <f t="shared" si="74"/>
        <v>1</v>
      </c>
    </row>
    <row r="4770" spans="1:4" x14ac:dyDescent="0.3">
      <c r="A4770" s="34">
        <v>40282</v>
      </c>
      <c r="B4770" s="35">
        <v>1</v>
      </c>
      <c r="C4770" s="35">
        <v>0</v>
      </c>
      <c r="D4770" s="2">
        <f t="shared" si="74"/>
        <v>1</v>
      </c>
    </row>
    <row r="4771" spans="1:4" x14ac:dyDescent="0.3">
      <c r="A4771" s="34">
        <v>40284</v>
      </c>
      <c r="B4771" s="35">
        <v>2</v>
      </c>
      <c r="C4771" s="35">
        <v>1</v>
      </c>
      <c r="D4771" s="2">
        <f t="shared" si="74"/>
        <v>3</v>
      </c>
    </row>
    <row r="4772" spans="1:4" x14ac:dyDescent="0.3">
      <c r="A4772" s="34">
        <v>40285</v>
      </c>
      <c r="B4772" s="35">
        <v>1</v>
      </c>
      <c r="C4772" s="35">
        <v>0</v>
      </c>
      <c r="D4772" s="2">
        <f t="shared" si="74"/>
        <v>1</v>
      </c>
    </row>
    <row r="4773" spans="1:4" x14ac:dyDescent="0.3">
      <c r="A4773" s="34">
        <v>40287</v>
      </c>
      <c r="B4773" s="35">
        <v>1</v>
      </c>
      <c r="C4773" s="35">
        <v>0</v>
      </c>
      <c r="D4773" s="2">
        <f t="shared" si="74"/>
        <v>1</v>
      </c>
    </row>
    <row r="4774" spans="1:4" x14ac:dyDescent="0.3">
      <c r="A4774" s="34">
        <v>40288</v>
      </c>
      <c r="B4774" s="35">
        <v>1</v>
      </c>
      <c r="C4774" s="35">
        <v>0</v>
      </c>
      <c r="D4774" s="2">
        <f t="shared" si="74"/>
        <v>1</v>
      </c>
    </row>
    <row r="4775" spans="1:4" x14ac:dyDescent="0.3">
      <c r="A4775" s="34">
        <v>40294</v>
      </c>
      <c r="B4775" s="35">
        <v>1</v>
      </c>
      <c r="C4775" s="35">
        <v>0</v>
      </c>
      <c r="D4775" s="2">
        <f t="shared" si="74"/>
        <v>1</v>
      </c>
    </row>
    <row r="4776" spans="1:4" x14ac:dyDescent="0.3">
      <c r="A4776" s="34">
        <v>40297</v>
      </c>
      <c r="B4776" s="35">
        <v>1</v>
      </c>
      <c r="C4776" s="35">
        <v>0</v>
      </c>
      <c r="D4776" s="2">
        <f t="shared" si="74"/>
        <v>1</v>
      </c>
    </row>
    <row r="4777" spans="1:4" x14ac:dyDescent="0.3">
      <c r="A4777" s="34">
        <v>40298</v>
      </c>
      <c r="B4777" s="35">
        <v>1</v>
      </c>
      <c r="C4777" s="35">
        <v>0</v>
      </c>
      <c r="D4777" s="2">
        <f t="shared" si="74"/>
        <v>1</v>
      </c>
    </row>
    <row r="4778" spans="1:4" x14ac:dyDescent="0.3">
      <c r="A4778" s="34">
        <v>40299</v>
      </c>
      <c r="B4778" s="35">
        <v>1</v>
      </c>
      <c r="C4778" s="35">
        <v>0</v>
      </c>
      <c r="D4778" s="2">
        <f t="shared" si="74"/>
        <v>1</v>
      </c>
    </row>
    <row r="4779" spans="1:4" x14ac:dyDescent="0.3">
      <c r="A4779" s="34">
        <v>40302</v>
      </c>
      <c r="B4779" s="35">
        <v>1</v>
      </c>
      <c r="C4779" s="35">
        <v>0</v>
      </c>
      <c r="D4779" s="2">
        <f t="shared" si="74"/>
        <v>1</v>
      </c>
    </row>
    <row r="4780" spans="1:4" x14ac:dyDescent="0.3">
      <c r="A4780" s="34">
        <v>40303</v>
      </c>
      <c r="B4780" s="35">
        <v>1</v>
      </c>
      <c r="C4780" s="35">
        <v>1</v>
      </c>
      <c r="D4780" s="2">
        <f t="shared" si="74"/>
        <v>2</v>
      </c>
    </row>
    <row r="4781" spans="1:4" x14ac:dyDescent="0.3">
      <c r="A4781" s="34">
        <v>40304</v>
      </c>
      <c r="B4781" s="35">
        <v>1</v>
      </c>
      <c r="C4781" s="35">
        <v>0</v>
      </c>
      <c r="D4781" s="2">
        <f t="shared" si="74"/>
        <v>1</v>
      </c>
    </row>
    <row r="4782" spans="1:4" x14ac:dyDescent="0.3">
      <c r="A4782" s="34">
        <v>40305</v>
      </c>
      <c r="B4782" s="35">
        <v>1</v>
      </c>
      <c r="C4782" s="35">
        <v>0</v>
      </c>
      <c r="D4782" s="2">
        <f t="shared" si="74"/>
        <v>1</v>
      </c>
    </row>
    <row r="4783" spans="1:4" x14ac:dyDescent="0.3">
      <c r="A4783" s="34">
        <v>40306</v>
      </c>
      <c r="B4783" s="35">
        <v>1</v>
      </c>
      <c r="C4783" s="35">
        <v>0</v>
      </c>
      <c r="D4783" s="2">
        <f t="shared" si="74"/>
        <v>1</v>
      </c>
    </row>
    <row r="4784" spans="1:4" x14ac:dyDescent="0.3">
      <c r="A4784" s="34">
        <v>40331</v>
      </c>
      <c r="B4784" s="35">
        <v>1</v>
      </c>
      <c r="C4784" s="35">
        <v>0</v>
      </c>
      <c r="D4784" s="2">
        <f t="shared" si="74"/>
        <v>1</v>
      </c>
    </row>
    <row r="4785" spans="1:4" x14ac:dyDescent="0.3">
      <c r="A4785" s="34">
        <v>40344</v>
      </c>
      <c r="B4785" s="35">
        <v>1</v>
      </c>
      <c r="C4785" s="35">
        <v>0</v>
      </c>
      <c r="D4785" s="2">
        <f t="shared" si="74"/>
        <v>1</v>
      </c>
    </row>
    <row r="4786" spans="1:4" x14ac:dyDescent="0.3">
      <c r="A4786" s="34">
        <v>40346</v>
      </c>
      <c r="B4786" s="35">
        <v>1</v>
      </c>
      <c r="C4786" s="35">
        <v>0</v>
      </c>
      <c r="D4786" s="2">
        <f t="shared" si="74"/>
        <v>1</v>
      </c>
    </row>
    <row r="4787" spans="1:4" x14ac:dyDescent="0.3">
      <c r="A4787" s="34">
        <v>40348</v>
      </c>
      <c r="B4787" s="35">
        <v>1</v>
      </c>
      <c r="C4787" s="35">
        <v>0</v>
      </c>
      <c r="D4787" s="2">
        <f t="shared" si="74"/>
        <v>1</v>
      </c>
    </row>
    <row r="4788" spans="1:4" x14ac:dyDescent="0.3">
      <c r="A4788" s="34">
        <v>40350</v>
      </c>
      <c r="B4788" s="35">
        <v>1</v>
      </c>
      <c r="C4788" s="35">
        <v>0</v>
      </c>
      <c r="D4788" s="2">
        <f t="shared" si="74"/>
        <v>1</v>
      </c>
    </row>
    <row r="4789" spans="1:4" x14ac:dyDescent="0.3">
      <c r="A4789" s="34">
        <v>40351</v>
      </c>
      <c r="B4789" s="35">
        <v>1</v>
      </c>
      <c r="C4789" s="35">
        <v>0</v>
      </c>
      <c r="D4789" s="2">
        <f t="shared" si="74"/>
        <v>1</v>
      </c>
    </row>
    <row r="4790" spans="1:4" x14ac:dyDescent="0.3">
      <c r="A4790" s="34">
        <v>40354</v>
      </c>
      <c r="B4790" s="35">
        <v>1</v>
      </c>
      <c r="C4790" s="35">
        <v>0</v>
      </c>
      <c r="D4790" s="2">
        <f t="shared" si="74"/>
        <v>1</v>
      </c>
    </row>
    <row r="4791" spans="1:4" x14ac:dyDescent="0.3">
      <c r="A4791" s="34">
        <v>40365</v>
      </c>
      <c r="B4791" s="35">
        <v>2</v>
      </c>
      <c r="C4791" s="35">
        <v>0</v>
      </c>
      <c r="D4791" s="2">
        <f t="shared" si="74"/>
        <v>2</v>
      </c>
    </row>
    <row r="4792" spans="1:4" x14ac:dyDescent="0.3">
      <c r="A4792" s="34">
        <v>40371</v>
      </c>
      <c r="B4792" s="35">
        <v>1</v>
      </c>
      <c r="C4792" s="35">
        <v>0</v>
      </c>
      <c r="D4792" s="2">
        <f t="shared" si="74"/>
        <v>1</v>
      </c>
    </row>
    <row r="4793" spans="1:4" x14ac:dyDescent="0.3">
      <c r="A4793" s="34">
        <v>40378</v>
      </c>
      <c r="B4793" s="35">
        <v>1</v>
      </c>
      <c r="C4793" s="35">
        <v>0</v>
      </c>
      <c r="D4793" s="2">
        <f t="shared" si="74"/>
        <v>1</v>
      </c>
    </row>
    <row r="4794" spans="1:4" x14ac:dyDescent="0.3">
      <c r="A4794" s="34">
        <v>40387</v>
      </c>
      <c r="B4794" s="35">
        <v>1</v>
      </c>
      <c r="C4794" s="35">
        <v>0</v>
      </c>
      <c r="D4794" s="2">
        <f t="shared" si="74"/>
        <v>1</v>
      </c>
    </row>
    <row r="4795" spans="1:4" x14ac:dyDescent="0.3">
      <c r="A4795" s="34">
        <v>40389</v>
      </c>
      <c r="B4795" s="35">
        <v>1</v>
      </c>
      <c r="C4795" s="35">
        <v>0</v>
      </c>
      <c r="D4795" s="2">
        <f t="shared" si="74"/>
        <v>1</v>
      </c>
    </row>
    <row r="4796" spans="1:4" x14ac:dyDescent="0.3">
      <c r="A4796" s="34">
        <v>40393</v>
      </c>
      <c r="B4796" s="35">
        <v>2</v>
      </c>
      <c r="C4796" s="35">
        <v>1</v>
      </c>
      <c r="D4796" s="2">
        <f t="shared" si="74"/>
        <v>3</v>
      </c>
    </row>
    <row r="4797" spans="1:4" x14ac:dyDescent="0.3">
      <c r="A4797" s="34">
        <v>40398</v>
      </c>
      <c r="B4797" s="35">
        <v>1</v>
      </c>
      <c r="C4797" s="35">
        <v>0</v>
      </c>
      <c r="D4797" s="2">
        <f t="shared" si="74"/>
        <v>1</v>
      </c>
    </row>
    <row r="4798" spans="1:4" x14ac:dyDescent="0.3">
      <c r="A4798" s="34">
        <v>40399</v>
      </c>
      <c r="B4798" s="35">
        <v>1</v>
      </c>
      <c r="C4798" s="35">
        <v>0</v>
      </c>
      <c r="D4798" s="2">
        <f t="shared" si="74"/>
        <v>1</v>
      </c>
    </row>
    <row r="4799" spans="1:4" x14ac:dyDescent="0.3">
      <c r="A4799" s="34">
        <v>40400</v>
      </c>
      <c r="B4799" s="35">
        <v>2</v>
      </c>
      <c r="C4799" s="35">
        <v>0</v>
      </c>
      <c r="D4799" s="2">
        <f t="shared" si="74"/>
        <v>2</v>
      </c>
    </row>
    <row r="4800" spans="1:4" x14ac:dyDescent="0.3">
      <c r="A4800" s="34">
        <v>40402</v>
      </c>
      <c r="B4800" s="35">
        <v>1</v>
      </c>
      <c r="C4800" s="35">
        <v>0</v>
      </c>
      <c r="D4800" s="2">
        <f t="shared" si="74"/>
        <v>1</v>
      </c>
    </row>
    <row r="4801" spans="1:4" x14ac:dyDescent="0.3">
      <c r="A4801" s="34">
        <v>40406</v>
      </c>
      <c r="B4801" s="35">
        <v>1</v>
      </c>
      <c r="C4801" s="35">
        <v>0</v>
      </c>
      <c r="D4801" s="2">
        <f t="shared" si="74"/>
        <v>1</v>
      </c>
    </row>
    <row r="4802" spans="1:4" x14ac:dyDescent="0.3">
      <c r="A4802" s="34">
        <v>40408</v>
      </c>
      <c r="B4802" s="35">
        <v>1</v>
      </c>
      <c r="C4802" s="35">
        <v>1</v>
      </c>
      <c r="D4802" s="2">
        <f t="shared" si="74"/>
        <v>2</v>
      </c>
    </row>
    <row r="4803" spans="1:4" x14ac:dyDescent="0.3">
      <c r="A4803" s="34">
        <v>40409</v>
      </c>
      <c r="B4803" s="35">
        <v>1</v>
      </c>
      <c r="C4803" s="35">
        <v>1</v>
      </c>
      <c r="D4803" s="2">
        <f t="shared" ref="D4803:D4866" si="75">B4803+C4803</f>
        <v>2</v>
      </c>
    </row>
    <row r="4804" spans="1:4" x14ac:dyDescent="0.3">
      <c r="A4804" s="34">
        <v>40410</v>
      </c>
      <c r="B4804" s="35">
        <v>2</v>
      </c>
      <c r="C4804" s="35">
        <v>2</v>
      </c>
      <c r="D4804" s="2">
        <f t="shared" si="75"/>
        <v>4</v>
      </c>
    </row>
    <row r="4805" spans="1:4" x14ac:dyDescent="0.3">
      <c r="A4805" s="34">
        <v>40411</v>
      </c>
      <c r="B4805" s="35">
        <v>1</v>
      </c>
      <c r="C4805" s="35">
        <v>1</v>
      </c>
      <c r="D4805" s="2">
        <f t="shared" si="75"/>
        <v>2</v>
      </c>
    </row>
    <row r="4806" spans="1:4" x14ac:dyDescent="0.3">
      <c r="A4806" s="34">
        <v>40414</v>
      </c>
      <c r="B4806" s="35">
        <v>1</v>
      </c>
      <c r="C4806" s="35">
        <v>0</v>
      </c>
      <c r="D4806" s="2">
        <f t="shared" si="75"/>
        <v>1</v>
      </c>
    </row>
    <row r="4807" spans="1:4" x14ac:dyDescent="0.3">
      <c r="A4807" s="34">
        <v>40416</v>
      </c>
      <c r="B4807" s="35">
        <v>1</v>
      </c>
      <c r="C4807" s="35">
        <v>0</v>
      </c>
      <c r="D4807" s="2">
        <f t="shared" si="75"/>
        <v>1</v>
      </c>
    </row>
    <row r="4808" spans="1:4" x14ac:dyDescent="0.3">
      <c r="A4808" s="34">
        <v>40417</v>
      </c>
      <c r="B4808" s="35">
        <v>1</v>
      </c>
      <c r="C4808" s="35">
        <v>0</v>
      </c>
      <c r="D4808" s="2">
        <f t="shared" si="75"/>
        <v>1</v>
      </c>
    </row>
    <row r="4809" spans="1:4" x14ac:dyDescent="0.3">
      <c r="A4809" s="34">
        <v>40423</v>
      </c>
      <c r="B4809" s="35">
        <v>1</v>
      </c>
      <c r="C4809" s="35">
        <v>1</v>
      </c>
      <c r="D4809" s="2">
        <f t="shared" si="75"/>
        <v>2</v>
      </c>
    </row>
    <row r="4810" spans="1:4" x14ac:dyDescent="0.3">
      <c r="A4810" s="34">
        <v>40434</v>
      </c>
      <c r="B4810" s="35">
        <v>1</v>
      </c>
      <c r="C4810" s="35">
        <v>0</v>
      </c>
      <c r="D4810" s="2">
        <f t="shared" si="75"/>
        <v>1</v>
      </c>
    </row>
    <row r="4811" spans="1:4" x14ac:dyDescent="0.3">
      <c r="A4811" s="34">
        <v>40446</v>
      </c>
      <c r="B4811" s="35">
        <v>1</v>
      </c>
      <c r="C4811" s="35">
        <v>0</v>
      </c>
      <c r="D4811" s="2">
        <f t="shared" si="75"/>
        <v>1</v>
      </c>
    </row>
    <row r="4812" spans="1:4" x14ac:dyDescent="0.3">
      <c r="A4812" s="34">
        <v>40448</v>
      </c>
      <c r="B4812" s="35">
        <v>1</v>
      </c>
      <c r="C4812" s="35">
        <v>0</v>
      </c>
      <c r="D4812" s="2">
        <f t="shared" si="75"/>
        <v>1</v>
      </c>
    </row>
    <row r="4813" spans="1:4" x14ac:dyDescent="0.3">
      <c r="A4813" s="34">
        <v>40449</v>
      </c>
      <c r="B4813" s="35">
        <v>1</v>
      </c>
      <c r="C4813" s="35">
        <v>0</v>
      </c>
      <c r="D4813" s="2">
        <f t="shared" si="75"/>
        <v>1</v>
      </c>
    </row>
    <row r="4814" spans="1:4" x14ac:dyDescent="0.3">
      <c r="A4814" s="34">
        <v>40450</v>
      </c>
      <c r="B4814" s="35">
        <v>1</v>
      </c>
      <c r="C4814" s="35">
        <v>1</v>
      </c>
      <c r="D4814" s="2">
        <f t="shared" si="75"/>
        <v>2</v>
      </c>
    </row>
    <row r="4815" spans="1:4" x14ac:dyDescent="0.3">
      <c r="A4815" s="34">
        <v>40451</v>
      </c>
      <c r="B4815" s="35">
        <v>2</v>
      </c>
      <c r="C4815" s="35">
        <v>0</v>
      </c>
      <c r="D4815" s="2">
        <f t="shared" si="75"/>
        <v>2</v>
      </c>
    </row>
    <row r="4816" spans="1:4" x14ac:dyDescent="0.3">
      <c r="A4816" s="34">
        <v>40458</v>
      </c>
      <c r="B4816" s="35">
        <v>1</v>
      </c>
      <c r="C4816" s="35">
        <v>0</v>
      </c>
      <c r="D4816" s="2">
        <f t="shared" si="75"/>
        <v>1</v>
      </c>
    </row>
    <row r="4817" spans="1:4" x14ac:dyDescent="0.3">
      <c r="A4817" s="34">
        <v>40464</v>
      </c>
      <c r="B4817" s="35">
        <v>1</v>
      </c>
      <c r="C4817" s="35">
        <v>0</v>
      </c>
      <c r="D4817" s="2">
        <f t="shared" si="75"/>
        <v>1</v>
      </c>
    </row>
    <row r="4818" spans="1:4" x14ac:dyDescent="0.3">
      <c r="A4818" s="34">
        <v>40466</v>
      </c>
      <c r="B4818" s="35">
        <v>1</v>
      </c>
      <c r="C4818" s="35">
        <v>1</v>
      </c>
      <c r="D4818" s="2">
        <f t="shared" si="75"/>
        <v>2</v>
      </c>
    </row>
    <row r="4819" spans="1:4" x14ac:dyDescent="0.3">
      <c r="A4819" s="34">
        <v>40467</v>
      </c>
      <c r="B4819" s="35">
        <v>2</v>
      </c>
      <c r="C4819" s="35">
        <v>1</v>
      </c>
      <c r="D4819" s="2">
        <f t="shared" si="75"/>
        <v>3</v>
      </c>
    </row>
    <row r="4820" spans="1:4" x14ac:dyDescent="0.3">
      <c r="A4820" s="34">
        <v>40513</v>
      </c>
      <c r="B4820" s="35">
        <v>2</v>
      </c>
      <c r="C4820" s="35">
        <v>2</v>
      </c>
      <c r="D4820" s="2">
        <f t="shared" si="75"/>
        <v>4</v>
      </c>
    </row>
    <row r="4821" spans="1:4" x14ac:dyDescent="0.3">
      <c r="A4821" s="34">
        <v>40514</v>
      </c>
      <c r="B4821" s="35">
        <v>1</v>
      </c>
      <c r="C4821" s="35">
        <v>0</v>
      </c>
      <c r="D4821" s="2">
        <f t="shared" si="75"/>
        <v>1</v>
      </c>
    </row>
    <row r="4822" spans="1:4" x14ac:dyDescent="0.3">
      <c r="A4822" s="34">
        <v>40518</v>
      </c>
      <c r="B4822" s="35">
        <v>1</v>
      </c>
      <c r="C4822" s="35">
        <v>1</v>
      </c>
      <c r="D4822" s="2">
        <f t="shared" si="75"/>
        <v>2</v>
      </c>
    </row>
    <row r="4823" spans="1:4" x14ac:dyDescent="0.3">
      <c r="A4823" s="34">
        <v>40519</v>
      </c>
      <c r="B4823" s="35">
        <v>2</v>
      </c>
      <c r="C4823" s="35">
        <v>2</v>
      </c>
      <c r="D4823" s="2">
        <f t="shared" si="75"/>
        <v>4</v>
      </c>
    </row>
    <row r="4824" spans="1:4" x14ac:dyDescent="0.3">
      <c r="A4824" s="34">
        <v>40520</v>
      </c>
      <c r="B4824" s="35">
        <v>1</v>
      </c>
      <c r="C4824" s="35">
        <v>0</v>
      </c>
      <c r="D4824" s="2">
        <f t="shared" si="75"/>
        <v>1</v>
      </c>
    </row>
    <row r="4825" spans="1:4" x14ac:dyDescent="0.3">
      <c r="A4825" s="34">
        <v>40521</v>
      </c>
      <c r="B4825" s="35">
        <v>2</v>
      </c>
      <c r="C4825" s="35">
        <v>0</v>
      </c>
      <c r="D4825" s="2">
        <f t="shared" si="75"/>
        <v>2</v>
      </c>
    </row>
    <row r="4826" spans="1:4" x14ac:dyDescent="0.3">
      <c r="A4826" s="34">
        <v>40522</v>
      </c>
      <c r="B4826" s="35">
        <v>1</v>
      </c>
      <c r="C4826" s="35">
        <v>0</v>
      </c>
      <c r="D4826" s="2">
        <f t="shared" si="75"/>
        <v>1</v>
      </c>
    </row>
    <row r="4827" spans="1:4" x14ac:dyDescent="0.3">
      <c r="A4827" s="34">
        <v>40523</v>
      </c>
      <c r="B4827" s="35">
        <v>1</v>
      </c>
      <c r="C4827" s="35">
        <v>0</v>
      </c>
      <c r="D4827" s="2">
        <f t="shared" si="75"/>
        <v>1</v>
      </c>
    </row>
    <row r="4828" spans="1:4" x14ac:dyDescent="0.3">
      <c r="A4828" s="34">
        <v>40541</v>
      </c>
      <c r="B4828" s="35">
        <v>1</v>
      </c>
      <c r="C4828" s="35">
        <v>0</v>
      </c>
      <c r="D4828" s="2">
        <f t="shared" si="75"/>
        <v>1</v>
      </c>
    </row>
    <row r="4829" spans="1:4" x14ac:dyDescent="0.3">
      <c r="A4829" s="34">
        <v>40544</v>
      </c>
      <c r="B4829" s="35">
        <v>1</v>
      </c>
      <c r="C4829" s="35">
        <v>0</v>
      </c>
      <c r="D4829" s="2">
        <f t="shared" si="75"/>
        <v>1</v>
      </c>
    </row>
    <row r="4830" spans="1:4" x14ac:dyDescent="0.3">
      <c r="A4830" s="34">
        <v>40545</v>
      </c>
      <c r="B4830" s="35">
        <v>1</v>
      </c>
      <c r="C4830" s="35">
        <v>0</v>
      </c>
      <c r="D4830" s="2">
        <f t="shared" si="75"/>
        <v>1</v>
      </c>
    </row>
    <row r="4831" spans="1:4" x14ac:dyDescent="0.3">
      <c r="A4831" s="34">
        <v>40552</v>
      </c>
      <c r="B4831" s="35">
        <v>1</v>
      </c>
      <c r="C4831" s="35">
        <v>0</v>
      </c>
      <c r="D4831" s="2">
        <f t="shared" si="75"/>
        <v>1</v>
      </c>
    </row>
    <row r="4832" spans="1:4" x14ac:dyDescent="0.3">
      <c r="A4832" s="34">
        <v>40555</v>
      </c>
      <c r="B4832" s="35">
        <v>1</v>
      </c>
      <c r="C4832" s="35">
        <v>0</v>
      </c>
      <c r="D4832" s="2">
        <f t="shared" si="75"/>
        <v>1</v>
      </c>
    </row>
    <row r="4833" spans="1:4" x14ac:dyDescent="0.3">
      <c r="A4833" s="34">
        <v>40564</v>
      </c>
      <c r="B4833" s="35">
        <v>2</v>
      </c>
      <c r="C4833" s="35">
        <v>1</v>
      </c>
      <c r="D4833" s="2">
        <f t="shared" si="75"/>
        <v>3</v>
      </c>
    </row>
    <row r="4834" spans="1:4" x14ac:dyDescent="0.3">
      <c r="A4834" s="34">
        <v>40566</v>
      </c>
      <c r="B4834" s="35">
        <v>1</v>
      </c>
      <c r="C4834" s="35">
        <v>0</v>
      </c>
      <c r="D4834" s="2">
        <f t="shared" si="75"/>
        <v>1</v>
      </c>
    </row>
    <row r="4835" spans="1:4" x14ac:dyDescent="0.3">
      <c r="A4835" s="34">
        <v>40569</v>
      </c>
      <c r="B4835" s="35">
        <v>1</v>
      </c>
      <c r="C4835" s="35">
        <v>0</v>
      </c>
      <c r="D4835" s="2">
        <f t="shared" si="75"/>
        <v>1</v>
      </c>
    </row>
    <row r="4836" spans="1:4" x14ac:dyDescent="0.3">
      <c r="A4836" s="34">
        <v>40573</v>
      </c>
      <c r="B4836" s="35">
        <v>1</v>
      </c>
      <c r="C4836" s="35">
        <v>0</v>
      </c>
      <c r="D4836" s="2">
        <f t="shared" si="75"/>
        <v>1</v>
      </c>
    </row>
    <row r="4837" spans="1:4" x14ac:dyDescent="0.3">
      <c r="A4837" s="34">
        <v>40574</v>
      </c>
      <c r="B4837" s="35">
        <v>1</v>
      </c>
      <c r="C4837" s="35">
        <v>0</v>
      </c>
      <c r="D4837" s="2">
        <f t="shared" si="75"/>
        <v>1</v>
      </c>
    </row>
    <row r="4838" spans="1:4" x14ac:dyDescent="0.3">
      <c r="A4838" s="34">
        <v>40578</v>
      </c>
      <c r="B4838" s="35">
        <v>1</v>
      </c>
      <c r="C4838" s="35">
        <v>1</v>
      </c>
      <c r="D4838" s="2">
        <f t="shared" si="75"/>
        <v>2</v>
      </c>
    </row>
    <row r="4839" spans="1:4" x14ac:dyDescent="0.3">
      <c r="A4839" s="34">
        <v>40579</v>
      </c>
      <c r="B4839" s="35">
        <v>1</v>
      </c>
      <c r="C4839" s="35">
        <v>1</v>
      </c>
      <c r="D4839" s="2">
        <f t="shared" si="75"/>
        <v>2</v>
      </c>
    </row>
    <row r="4840" spans="1:4" x14ac:dyDescent="0.3">
      <c r="A4840" s="34">
        <v>40580</v>
      </c>
      <c r="B4840" s="35">
        <v>1</v>
      </c>
      <c r="C4840" s="35">
        <v>0</v>
      </c>
      <c r="D4840" s="2">
        <f t="shared" si="75"/>
        <v>1</v>
      </c>
    </row>
    <row r="4841" spans="1:4" x14ac:dyDescent="0.3">
      <c r="A4841" s="34">
        <v>40589</v>
      </c>
      <c r="B4841" s="35">
        <v>1</v>
      </c>
      <c r="C4841" s="35">
        <v>0</v>
      </c>
      <c r="D4841" s="2">
        <f t="shared" si="75"/>
        <v>1</v>
      </c>
    </row>
    <row r="4842" spans="1:4" x14ac:dyDescent="0.3">
      <c r="A4842" s="34">
        <v>40590</v>
      </c>
      <c r="B4842" s="35">
        <v>1</v>
      </c>
      <c r="C4842" s="35">
        <v>0</v>
      </c>
      <c r="D4842" s="2">
        <f t="shared" si="75"/>
        <v>1</v>
      </c>
    </row>
    <row r="4843" spans="1:4" x14ac:dyDescent="0.3">
      <c r="A4843" s="34">
        <v>40591</v>
      </c>
      <c r="B4843" s="35">
        <v>1</v>
      </c>
      <c r="C4843" s="35">
        <v>0</v>
      </c>
      <c r="D4843" s="2">
        <f t="shared" si="75"/>
        <v>1</v>
      </c>
    </row>
    <row r="4844" spans="1:4" x14ac:dyDescent="0.3">
      <c r="A4844" s="34">
        <v>40594</v>
      </c>
      <c r="B4844" s="35">
        <v>1</v>
      </c>
      <c r="C4844" s="35">
        <v>1</v>
      </c>
      <c r="D4844" s="2">
        <f t="shared" si="75"/>
        <v>2</v>
      </c>
    </row>
    <row r="4845" spans="1:4" x14ac:dyDescent="0.3">
      <c r="A4845" s="34">
        <v>40600</v>
      </c>
      <c r="B4845" s="35">
        <v>2</v>
      </c>
      <c r="C4845" s="35">
        <v>0</v>
      </c>
      <c r="D4845" s="2">
        <f t="shared" si="75"/>
        <v>2</v>
      </c>
    </row>
    <row r="4846" spans="1:4" x14ac:dyDescent="0.3">
      <c r="A4846" s="34">
        <v>40601</v>
      </c>
      <c r="B4846" s="35">
        <v>1</v>
      </c>
      <c r="C4846" s="35">
        <v>0</v>
      </c>
      <c r="D4846" s="2">
        <f t="shared" si="75"/>
        <v>1</v>
      </c>
    </row>
    <row r="4847" spans="1:4" x14ac:dyDescent="0.3">
      <c r="A4847" s="34">
        <v>40608</v>
      </c>
      <c r="B4847" s="35">
        <v>2</v>
      </c>
      <c r="C4847" s="35">
        <v>1</v>
      </c>
      <c r="D4847" s="2">
        <f t="shared" si="75"/>
        <v>3</v>
      </c>
    </row>
    <row r="4848" spans="1:4" x14ac:dyDescent="0.3">
      <c r="A4848" s="34">
        <v>40609</v>
      </c>
      <c r="B4848" s="35">
        <v>1</v>
      </c>
      <c r="C4848" s="35">
        <v>0</v>
      </c>
      <c r="D4848" s="2">
        <f t="shared" si="75"/>
        <v>1</v>
      </c>
    </row>
    <row r="4849" spans="1:4" x14ac:dyDescent="0.3">
      <c r="A4849" s="34">
        <v>40610</v>
      </c>
      <c r="B4849" s="35">
        <v>1</v>
      </c>
      <c r="C4849" s="35">
        <v>1</v>
      </c>
      <c r="D4849" s="2">
        <f t="shared" si="75"/>
        <v>2</v>
      </c>
    </row>
    <row r="4850" spans="1:4" x14ac:dyDescent="0.3">
      <c r="A4850" s="34">
        <v>40611</v>
      </c>
      <c r="B4850" s="35">
        <v>1</v>
      </c>
      <c r="C4850" s="35">
        <v>0</v>
      </c>
      <c r="D4850" s="2">
        <f t="shared" si="75"/>
        <v>1</v>
      </c>
    </row>
    <row r="4851" spans="1:4" x14ac:dyDescent="0.3">
      <c r="A4851" s="34">
        <v>40613</v>
      </c>
      <c r="B4851" s="35">
        <v>1</v>
      </c>
      <c r="C4851" s="35">
        <v>1</v>
      </c>
      <c r="D4851" s="2">
        <f t="shared" si="75"/>
        <v>2</v>
      </c>
    </row>
    <row r="4852" spans="1:4" x14ac:dyDescent="0.3">
      <c r="A4852" s="34">
        <v>40614</v>
      </c>
      <c r="B4852" s="35">
        <v>1</v>
      </c>
      <c r="C4852" s="35">
        <v>0</v>
      </c>
      <c r="D4852" s="2">
        <f t="shared" si="75"/>
        <v>1</v>
      </c>
    </row>
    <row r="4853" spans="1:4" x14ac:dyDescent="0.3">
      <c r="A4853" s="34">
        <v>40615</v>
      </c>
      <c r="B4853" s="35">
        <v>1</v>
      </c>
      <c r="C4853" s="35">
        <v>0</v>
      </c>
      <c r="D4853" s="2">
        <f t="shared" si="75"/>
        <v>1</v>
      </c>
    </row>
    <row r="4854" spans="1:4" x14ac:dyDescent="0.3">
      <c r="A4854" s="34">
        <v>40622</v>
      </c>
      <c r="B4854" s="35">
        <v>1</v>
      </c>
      <c r="C4854" s="35">
        <v>0</v>
      </c>
      <c r="D4854" s="2">
        <f t="shared" si="75"/>
        <v>1</v>
      </c>
    </row>
    <row r="4855" spans="1:4" x14ac:dyDescent="0.3">
      <c r="A4855" s="34">
        <v>40623</v>
      </c>
      <c r="B4855" s="35">
        <v>1</v>
      </c>
      <c r="C4855" s="35">
        <v>0</v>
      </c>
      <c r="D4855" s="2">
        <f t="shared" si="75"/>
        <v>1</v>
      </c>
    </row>
    <row r="4856" spans="1:4" x14ac:dyDescent="0.3">
      <c r="A4856" s="34">
        <v>40635</v>
      </c>
      <c r="B4856" s="35">
        <v>4</v>
      </c>
      <c r="C4856" s="35">
        <v>2</v>
      </c>
      <c r="D4856" s="2">
        <f t="shared" si="75"/>
        <v>6</v>
      </c>
    </row>
    <row r="4857" spans="1:4" x14ac:dyDescent="0.3">
      <c r="A4857" s="34">
        <v>40636</v>
      </c>
      <c r="B4857" s="35">
        <v>1</v>
      </c>
      <c r="C4857" s="35">
        <v>0</v>
      </c>
      <c r="D4857" s="2">
        <f t="shared" si="75"/>
        <v>1</v>
      </c>
    </row>
    <row r="4858" spans="1:4" x14ac:dyDescent="0.3">
      <c r="A4858" s="34">
        <v>40638</v>
      </c>
      <c r="B4858" s="35">
        <v>1</v>
      </c>
      <c r="C4858" s="35">
        <v>0</v>
      </c>
      <c r="D4858" s="2">
        <f t="shared" si="75"/>
        <v>1</v>
      </c>
    </row>
    <row r="4859" spans="1:4" x14ac:dyDescent="0.3">
      <c r="A4859" s="34">
        <v>40639</v>
      </c>
      <c r="B4859" s="35">
        <v>1</v>
      </c>
      <c r="C4859" s="35">
        <v>0</v>
      </c>
      <c r="D4859" s="2">
        <f t="shared" si="75"/>
        <v>1</v>
      </c>
    </row>
    <row r="4860" spans="1:4" x14ac:dyDescent="0.3">
      <c r="A4860" s="34">
        <v>40640</v>
      </c>
      <c r="B4860" s="35">
        <v>1</v>
      </c>
      <c r="C4860" s="35">
        <v>0</v>
      </c>
      <c r="D4860" s="2">
        <f t="shared" si="75"/>
        <v>1</v>
      </c>
    </row>
    <row r="4861" spans="1:4" x14ac:dyDescent="0.3">
      <c r="A4861" s="34">
        <v>40642</v>
      </c>
      <c r="B4861" s="35">
        <v>1</v>
      </c>
      <c r="C4861" s="35">
        <v>0</v>
      </c>
      <c r="D4861" s="2">
        <f t="shared" si="75"/>
        <v>1</v>
      </c>
    </row>
    <row r="4862" spans="1:4" x14ac:dyDescent="0.3">
      <c r="A4862" s="34">
        <v>40644</v>
      </c>
      <c r="B4862" s="35">
        <v>1</v>
      </c>
      <c r="C4862" s="35">
        <v>0</v>
      </c>
      <c r="D4862" s="2">
        <f t="shared" si="75"/>
        <v>1</v>
      </c>
    </row>
    <row r="4863" spans="1:4" x14ac:dyDescent="0.3">
      <c r="A4863" s="34">
        <v>40645</v>
      </c>
      <c r="B4863" s="35">
        <v>1</v>
      </c>
      <c r="C4863" s="35">
        <v>1</v>
      </c>
      <c r="D4863" s="2">
        <f t="shared" si="75"/>
        <v>2</v>
      </c>
    </row>
    <row r="4864" spans="1:4" x14ac:dyDescent="0.3">
      <c r="A4864" s="34">
        <v>40647</v>
      </c>
      <c r="B4864" s="35">
        <v>1</v>
      </c>
      <c r="C4864" s="35">
        <v>0</v>
      </c>
      <c r="D4864" s="2">
        <f t="shared" si="75"/>
        <v>1</v>
      </c>
    </row>
    <row r="4865" spans="1:4" x14ac:dyDescent="0.3">
      <c r="A4865" s="34">
        <v>40648</v>
      </c>
      <c r="B4865" s="35">
        <v>1</v>
      </c>
      <c r="C4865" s="35">
        <v>0</v>
      </c>
      <c r="D4865" s="2">
        <f t="shared" si="75"/>
        <v>1</v>
      </c>
    </row>
    <row r="4866" spans="1:4" x14ac:dyDescent="0.3">
      <c r="A4866" s="34">
        <v>40649</v>
      </c>
      <c r="B4866" s="35">
        <v>1</v>
      </c>
      <c r="C4866" s="35">
        <v>0</v>
      </c>
      <c r="D4866" s="2">
        <f t="shared" si="75"/>
        <v>1</v>
      </c>
    </row>
    <row r="4867" spans="1:4" x14ac:dyDescent="0.3">
      <c r="A4867" s="34">
        <v>40652</v>
      </c>
      <c r="B4867" s="35">
        <v>1</v>
      </c>
      <c r="C4867" s="35">
        <v>0</v>
      </c>
      <c r="D4867" s="2">
        <f t="shared" ref="D4867:D4930" si="76">B4867+C4867</f>
        <v>1</v>
      </c>
    </row>
    <row r="4868" spans="1:4" x14ac:dyDescent="0.3">
      <c r="A4868" s="34">
        <v>40653</v>
      </c>
      <c r="B4868" s="35">
        <v>1</v>
      </c>
      <c r="C4868" s="35">
        <v>0</v>
      </c>
      <c r="D4868" s="2">
        <f t="shared" si="76"/>
        <v>1</v>
      </c>
    </row>
    <row r="4869" spans="1:4" x14ac:dyDescent="0.3">
      <c r="A4869" s="34">
        <v>40656</v>
      </c>
      <c r="B4869" s="35">
        <v>1</v>
      </c>
      <c r="C4869" s="35">
        <v>0</v>
      </c>
      <c r="D4869" s="2">
        <f t="shared" si="76"/>
        <v>1</v>
      </c>
    </row>
    <row r="4870" spans="1:4" x14ac:dyDescent="0.3">
      <c r="A4870" s="34">
        <v>40665</v>
      </c>
      <c r="B4870" s="35">
        <v>1</v>
      </c>
      <c r="C4870" s="35">
        <v>0</v>
      </c>
      <c r="D4870" s="2">
        <f t="shared" si="76"/>
        <v>1</v>
      </c>
    </row>
    <row r="4871" spans="1:4" x14ac:dyDescent="0.3">
      <c r="A4871" s="34">
        <v>40667</v>
      </c>
      <c r="B4871" s="35">
        <v>1</v>
      </c>
      <c r="C4871" s="35">
        <v>1</v>
      </c>
      <c r="D4871" s="2">
        <f t="shared" si="76"/>
        <v>2</v>
      </c>
    </row>
    <row r="4872" spans="1:4" x14ac:dyDescent="0.3">
      <c r="A4872" s="34">
        <v>40670</v>
      </c>
      <c r="B4872" s="35">
        <v>1</v>
      </c>
      <c r="C4872" s="35">
        <v>0</v>
      </c>
      <c r="D4872" s="2">
        <f t="shared" si="76"/>
        <v>1</v>
      </c>
    </row>
    <row r="4873" spans="1:4" x14ac:dyDescent="0.3">
      <c r="A4873" s="34">
        <v>40671</v>
      </c>
      <c r="B4873" s="35">
        <v>1</v>
      </c>
      <c r="C4873" s="35">
        <v>1</v>
      </c>
      <c r="D4873" s="2">
        <f t="shared" si="76"/>
        <v>2</v>
      </c>
    </row>
    <row r="4874" spans="1:4" x14ac:dyDescent="0.3">
      <c r="A4874" s="34">
        <v>40672</v>
      </c>
      <c r="B4874" s="35">
        <v>1</v>
      </c>
      <c r="C4874" s="35">
        <v>0</v>
      </c>
      <c r="D4874" s="2">
        <f t="shared" si="76"/>
        <v>1</v>
      </c>
    </row>
    <row r="4875" spans="1:4" x14ac:dyDescent="0.3">
      <c r="A4875" s="34">
        <v>40673</v>
      </c>
      <c r="B4875" s="35">
        <v>2</v>
      </c>
      <c r="C4875" s="35">
        <v>1</v>
      </c>
      <c r="D4875" s="2">
        <f t="shared" si="76"/>
        <v>3</v>
      </c>
    </row>
    <row r="4876" spans="1:4" x14ac:dyDescent="0.3">
      <c r="A4876" s="34">
        <v>40675</v>
      </c>
      <c r="B4876" s="35">
        <v>1</v>
      </c>
      <c r="C4876" s="35">
        <v>1</v>
      </c>
      <c r="D4876" s="2">
        <f t="shared" si="76"/>
        <v>2</v>
      </c>
    </row>
    <row r="4877" spans="1:4" x14ac:dyDescent="0.3">
      <c r="A4877" s="34">
        <v>40676</v>
      </c>
      <c r="B4877" s="35">
        <v>2</v>
      </c>
      <c r="C4877" s="35">
        <v>0</v>
      </c>
      <c r="D4877" s="2">
        <f t="shared" si="76"/>
        <v>2</v>
      </c>
    </row>
    <row r="4878" spans="1:4" x14ac:dyDescent="0.3">
      <c r="A4878" s="34">
        <v>40679</v>
      </c>
      <c r="B4878" s="35">
        <v>1</v>
      </c>
      <c r="C4878" s="35">
        <v>0</v>
      </c>
      <c r="D4878" s="2">
        <f t="shared" si="76"/>
        <v>1</v>
      </c>
    </row>
    <row r="4879" spans="1:4" x14ac:dyDescent="0.3">
      <c r="A4879" s="34">
        <v>40684</v>
      </c>
      <c r="B4879" s="35">
        <v>1</v>
      </c>
      <c r="C4879" s="35">
        <v>0</v>
      </c>
      <c r="D4879" s="2">
        <f t="shared" si="76"/>
        <v>1</v>
      </c>
    </row>
    <row r="4880" spans="1:4" x14ac:dyDescent="0.3">
      <c r="A4880" s="34">
        <v>40843</v>
      </c>
      <c r="B4880" s="35">
        <v>1</v>
      </c>
      <c r="C4880" s="35">
        <v>0</v>
      </c>
      <c r="D4880" s="2">
        <f t="shared" si="76"/>
        <v>1</v>
      </c>
    </row>
    <row r="4881" spans="1:4" x14ac:dyDescent="0.3">
      <c r="A4881" s="34">
        <v>40854</v>
      </c>
      <c r="B4881" s="35">
        <v>1</v>
      </c>
      <c r="C4881" s="35">
        <v>0</v>
      </c>
      <c r="D4881" s="2">
        <f t="shared" si="76"/>
        <v>1</v>
      </c>
    </row>
    <row r="4882" spans="1:4" x14ac:dyDescent="0.3">
      <c r="A4882" s="34">
        <v>40855</v>
      </c>
      <c r="B4882" s="35">
        <v>1</v>
      </c>
      <c r="C4882" s="35">
        <v>0</v>
      </c>
      <c r="D4882" s="2">
        <f t="shared" si="76"/>
        <v>1</v>
      </c>
    </row>
    <row r="4883" spans="1:4" x14ac:dyDescent="0.3">
      <c r="A4883" s="34">
        <v>40857</v>
      </c>
      <c r="B4883" s="35">
        <v>1</v>
      </c>
      <c r="C4883" s="35">
        <v>0</v>
      </c>
      <c r="D4883" s="2">
        <f t="shared" si="76"/>
        <v>1</v>
      </c>
    </row>
    <row r="4884" spans="1:4" x14ac:dyDescent="0.3">
      <c r="A4884" s="34">
        <v>40858</v>
      </c>
      <c r="B4884" s="35">
        <v>1</v>
      </c>
      <c r="C4884" s="35">
        <v>0</v>
      </c>
      <c r="D4884" s="2">
        <f t="shared" si="76"/>
        <v>1</v>
      </c>
    </row>
    <row r="4885" spans="1:4" x14ac:dyDescent="0.3">
      <c r="A4885" s="34">
        <v>40863</v>
      </c>
      <c r="B4885" s="35">
        <v>1</v>
      </c>
      <c r="C4885" s="35">
        <v>0</v>
      </c>
      <c r="D4885" s="2">
        <f t="shared" si="76"/>
        <v>1</v>
      </c>
    </row>
    <row r="4886" spans="1:4" x14ac:dyDescent="0.3">
      <c r="A4886" s="34">
        <v>40877</v>
      </c>
      <c r="B4886" s="35">
        <v>1</v>
      </c>
      <c r="C4886" s="35">
        <v>0</v>
      </c>
      <c r="D4886" s="2">
        <f t="shared" si="76"/>
        <v>1</v>
      </c>
    </row>
    <row r="4887" spans="1:4" x14ac:dyDescent="0.3">
      <c r="A4887" s="34">
        <v>40880</v>
      </c>
      <c r="B4887" s="35">
        <v>1</v>
      </c>
      <c r="C4887" s="35">
        <v>0</v>
      </c>
      <c r="D4887" s="2">
        <f t="shared" si="76"/>
        <v>1</v>
      </c>
    </row>
    <row r="4888" spans="1:4" x14ac:dyDescent="0.3">
      <c r="A4888" s="34">
        <v>40882</v>
      </c>
      <c r="B4888" s="35">
        <v>1</v>
      </c>
      <c r="C4888" s="35">
        <v>0</v>
      </c>
      <c r="D4888" s="2">
        <f t="shared" si="76"/>
        <v>1</v>
      </c>
    </row>
    <row r="4889" spans="1:4" x14ac:dyDescent="0.3">
      <c r="A4889" s="34">
        <v>40893</v>
      </c>
      <c r="B4889" s="35">
        <v>2</v>
      </c>
      <c r="C4889" s="35">
        <v>2</v>
      </c>
      <c r="D4889" s="2">
        <f t="shared" si="76"/>
        <v>4</v>
      </c>
    </row>
    <row r="4890" spans="1:4" x14ac:dyDescent="0.3">
      <c r="A4890" s="34">
        <v>40900</v>
      </c>
      <c r="B4890" s="35">
        <v>2</v>
      </c>
      <c r="C4890" s="35">
        <v>0</v>
      </c>
      <c r="D4890" s="2">
        <f t="shared" si="76"/>
        <v>2</v>
      </c>
    </row>
    <row r="4891" spans="1:4" x14ac:dyDescent="0.3">
      <c r="A4891" s="34">
        <v>40901</v>
      </c>
      <c r="B4891" s="35">
        <v>1</v>
      </c>
      <c r="C4891" s="35">
        <v>0</v>
      </c>
      <c r="D4891" s="2">
        <f t="shared" si="76"/>
        <v>1</v>
      </c>
    </row>
    <row r="4892" spans="1:4" x14ac:dyDescent="0.3">
      <c r="A4892" s="34">
        <v>40913</v>
      </c>
      <c r="B4892" s="35">
        <v>1</v>
      </c>
      <c r="C4892" s="35">
        <v>0</v>
      </c>
      <c r="D4892" s="2">
        <f t="shared" si="76"/>
        <v>1</v>
      </c>
    </row>
    <row r="4893" spans="1:4" x14ac:dyDescent="0.3">
      <c r="A4893" s="34">
        <v>40916</v>
      </c>
      <c r="B4893" s="35">
        <v>1</v>
      </c>
      <c r="C4893" s="35">
        <v>0</v>
      </c>
      <c r="D4893" s="2">
        <f t="shared" si="76"/>
        <v>1</v>
      </c>
    </row>
    <row r="4894" spans="1:4" x14ac:dyDescent="0.3">
      <c r="A4894" s="34">
        <v>40917</v>
      </c>
      <c r="B4894" s="35">
        <v>1</v>
      </c>
      <c r="C4894" s="35">
        <v>0</v>
      </c>
      <c r="D4894" s="2">
        <f t="shared" si="76"/>
        <v>1</v>
      </c>
    </row>
    <row r="4895" spans="1:4" x14ac:dyDescent="0.3">
      <c r="A4895" s="34">
        <v>40925</v>
      </c>
      <c r="B4895" s="35">
        <v>1</v>
      </c>
      <c r="C4895" s="35">
        <v>0</v>
      </c>
      <c r="D4895" s="2">
        <f t="shared" si="76"/>
        <v>1</v>
      </c>
    </row>
    <row r="4896" spans="1:4" x14ac:dyDescent="0.3">
      <c r="A4896" s="34">
        <v>40927</v>
      </c>
      <c r="B4896" s="35">
        <v>1</v>
      </c>
      <c r="C4896" s="35">
        <v>0</v>
      </c>
      <c r="D4896" s="2">
        <f t="shared" si="76"/>
        <v>1</v>
      </c>
    </row>
    <row r="4897" spans="1:4" x14ac:dyDescent="0.3">
      <c r="A4897" s="34">
        <v>41033</v>
      </c>
      <c r="B4897" s="35">
        <v>1</v>
      </c>
      <c r="C4897" s="35">
        <v>1</v>
      </c>
      <c r="D4897" s="2">
        <f t="shared" si="76"/>
        <v>2</v>
      </c>
    </row>
    <row r="4898" spans="1:4" x14ac:dyDescent="0.3">
      <c r="A4898" s="34">
        <v>41088</v>
      </c>
      <c r="B4898" s="35">
        <v>1</v>
      </c>
      <c r="C4898" s="35">
        <v>1</v>
      </c>
      <c r="D4898" s="2">
        <f t="shared" si="76"/>
        <v>2</v>
      </c>
    </row>
    <row r="4899" spans="1:4" x14ac:dyDescent="0.3">
      <c r="A4899" s="34">
        <v>41089</v>
      </c>
      <c r="B4899" s="35">
        <v>1</v>
      </c>
      <c r="C4899" s="35">
        <v>0</v>
      </c>
      <c r="D4899" s="2">
        <f t="shared" si="76"/>
        <v>1</v>
      </c>
    </row>
    <row r="4900" spans="1:4" x14ac:dyDescent="0.3">
      <c r="A4900" s="34">
        <v>41093</v>
      </c>
      <c r="B4900" s="35">
        <v>1</v>
      </c>
      <c r="C4900" s="35">
        <v>1</v>
      </c>
      <c r="D4900" s="2">
        <f t="shared" si="76"/>
        <v>2</v>
      </c>
    </row>
    <row r="4901" spans="1:4" x14ac:dyDescent="0.3">
      <c r="A4901" s="34">
        <v>41095</v>
      </c>
      <c r="B4901" s="35">
        <v>1</v>
      </c>
      <c r="C4901" s="35">
        <v>1</v>
      </c>
      <c r="D4901" s="2">
        <f t="shared" si="76"/>
        <v>2</v>
      </c>
    </row>
    <row r="4902" spans="1:4" x14ac:dyDescent="0.3">
      <c r="A4902" s="34">
        <v>41096</v>
      </c>
      <c r="B4902" s="35">
        <v>1</v>
      </c>
      <c r="C4902" s="35">
        <v>0</v>
      </c>
      <c r="D4902" s="2">
        <f t="shared" si="76"/>
        <v>1</v>
      </c>
    </row>
    <row r="4903" spans="1:4" x14ac:dyDescent="0.3">
      <c r="A4903" s="34">
        <v>41097</v>
      </c>
      <c r="B4903" s="35">
        <v>1</v>
      </c>
      <c r="C4903" s="35">
        <v>0</v>
      </c>
      <c r="D4903" s="2">
        <f t="shared" si="76"/>
        <v>1</v>
      </c>
    </row>
    <row r="4904" spans="1:4" x14ac:dyDescent="0.3">
      <c r="A4904" s="34">
        <v>41098</v>
      </c>
      <c r="B4904" s="35">
        <v>1</v>
      </c>
      <c r="C4904" s="35">
        <v>0</v>
      </c>
      <c r="D4904" s="2">
        <f t="shared" si="76"/>
        <v>1</v>
      </c>
    </row>
    <row r="4905" spans="1:4" x14ac:dyDescent="0.3">
      <c r="A4905" s="34">
        <v>41102</v>
      </c>
      <c r="B4905" s="35">
        <v>1</v>
      </c>
      <c r="C4905" s="35">
        <v>0</v>
      </c>
      <c r="D4905" s="2">
        <f t="shared" si="76"/>
        <v>1</v>
      </c>
    </row>
    <row r="4906" spans="1:4" x14ac:dyDescent="0.3">
      <c r="A4906" s="34">
        <v>41104</v>
      </c>
      <c r="B4906" s="35">
        <v>2</v>
      </c>
      <c r="C4906" s="35">
        <v>0</v>
      </c>
      <c r="D4906" s="2">
        <f t="shared" si="76"/>
        <v>2</v>
      </c>
    </row>
    <row r="4907" spans="1:4" x14ac:dyDescent="0.3">
      <c r="A4907" s="34">
        <v>41105</v>
      </c>
      <c r="B4907" s="35">
        <v>1</v>
      </c>
      <c r="C4907" s="35">
        <v>0</v>
      </c>
      <c r="D4907" s="2">
        <f t="shared" si="76"/>
        <v>1</v>
      </c>
    </row>
    <row r="4908" spans="1:4" x14ac:dyDescent="0.3">
      <c r="A4908" s="34">
        <v>41107</v>
      </c>
      <c r="B4908" s="35">
        <v>1</v>
      </c>
      <c r="C4908" s="35">
        <v>1</v>
      </c>
      <c r="D4908" s="2">
        <f t="shared" si="76"/>
        <v>2</v>
      </c>
    </row>
    <row r="4909" spans="1:4" x14ac:dyDescent="0.3">
      <c r="A4909" s="34">
        <v>41111</v>
      </c>
      <c r="B4909" s="35">
        <v>1</v>
      </c>
      <c r="C4909" s="35">
        <v>0</v>
      </c>
      <c r="D4909" s="2">
        <f t="shared" si="76"/>
        <v>1</v>
      </c>
    </row>
    <row r="4910" spans="1:4" x14ac:dyDescent="0.3">
      <c r="A4910" s="34">
        <v>41113</v>
      </c>
      <c r="B4910" s="35">
        <v>1</v>
      </c>
      <c r="C4910" s="35">
        <v>0</v>
      </c>
      <c r="D4910" s="2">
        <f t="shared" si="76"/>
        <v>1</v>
      </c>
    </row>
    <row r="4911" spans="1:4" x14ac:dyDescent="0.3">
      <c r="A4911" s="34">
        <v>41114</v>
      </c>
      <c r="B4911" s="35">
        <v>1</v>
      </c>
      <c r="C4911" s="35">
        <v>0</v>
      </c>
      <c r="D4911" s="2">
        <f t="shared" si="76"/>
        <v>1</v>
      </c>
    </row>
    <row r="4912" spans="1:4" x14ac:dyDescent="0.3">
      <c r="A4912" s="34">
        <v>41115</v>
      </c>
      <c r="B4912" s="35">
        <v>1</v>
      </c>
      <c r="C4912" s="35">
        <v>0</v>
      </c>
      <c r="D4912" s="2">
        <f t="shared" si="76"/>
        <v>1</v>
      </c>
    </row>
    <row r="4913" spans="1:4" x14ac:dyDescent="0.3">
      <c r="A4913" s="34">
        <v>41116</v>
      </c>
      <c r="B4913" s="35">
        <v>2</v>
      </c>
      <c r="C4913" s="35">
        <v>1</v>
      </c>
      <c r="D4913" s="2">
        <f t="shared" si="76"/>
        <v>3</v>
      </c>
    </row>
    <row r="4914" spans="1:4" x14ac:dyDescent="0.3">
      <c r="A4914" s="34">
        <v>41120</v>
      </c>
      <c r="B4914" s="35">
        <v>1</v>
      </c>
      <c r="C4914" s="35">
        <v>0</v>
      </c>
      <c r="D4914" s="2">
        <f t="shared" si="76"/>
        <v>1</v>
      </c>
    </row>
    <row r="4915" spans="1:4" x14ac:dyDescent="0.3">
      <c r="A4915" s="34">
        <v>41123</v>
      </c>
      <c r="B4915" s="35">
        <v>1</v>
      </c>
      <c r="C4915" s="35">
        <v>0</v>
      </c>
      <c r="D4915" s="2">
        <f t="shared" si="76"/>
        <v>1</v>
      </c>
    </row>
    <row r="4916" spans="1:4" x14ac:dyDescent="0.3">
      <c r="A4916" s="34">
        <v>41128</v>
      </c>
      <c r="B4916" s="35">
        <v>2</v>
      </c>
      <c r="C4916" s="35">
        <v>0</v>
      </c>
      <c r="D4916" s="2">
        <f t="shared" si="76"/>
        <v>2</v>
      </c>
    </row>
    <row r="4917" spans="1:4" x14ac:dyDescent="0.3">
      <c r="A4917" s="34">
        <v>41131</v>
      </c>
      <c r="B4917" s="35">
        <v>1</v>
      </c>
      <c r="C4917" s="35">
        <v>0</v>
      </c>
      <c r="D4917" s="2">
        <f t="shared" si="76"/>
        <v>1</v>
      </c>
    </row>
    <row r="4918" spans="1:4" x14ac:dyDescent="0.3">
      <c r="A4918" s="34">
        <v>41134</v>
      </c>
      <c r="B4918" s="35">
        <v>1</v>
      </c>
      <c r="C4918" s="35">
        <v>1</v>
      </c>
      <c r="D4918" s="2">
        <f t="shared" si="76"/>
        <v>2</v>
      </c>
    </row>
    <row r="4919" spans="1:4" x14ac:dyDescent="0.3">
      <c r="A4919" s="34">
        <v>41136</v>
      </c>
      <c r="B4919" s="35">
        <v>1</v>
      </c>
      <c r="C4919" s="35">
        <v>1</v>
      </c>
      <c r="D4919" s="2">
        <f t="shared" si="76"/>
        <v>2</v>
      </c>
    </row>
    <row r="4920" spans="1:4" x14ac:dyDescent="0.3">
      <c r="A4920" s="34">
        <v>41139</v>
      </c>
      <c r="B4920" s="35">
        <v>1</v>
      </c>
      <c r="C4920" s="35">
        <v>0</v>
      </c>
      <c r="D4920" s="2">
        <f t="shared" si="76"/>
        <v>1</v>
      </c>
    </row>
    <row r="4921" spans="1:4" x14ac:dyDescent="0.3">
      <c r="A4921" s="34">
        <v>41140</v>
      </c>
      <c r="B4921" s="35">
        <v>1</v>
      </c>
      <c r="C4921" s="35">
        <v>0</v>
      </c>
      <c r="D4921" s="2">
        <f t="shared" si="76"/>
        <v>1</v>
      </c>
    </row>
    <row r="4922" spans="1:4" x14ac:dyDescent="0.3">
      <c r="A4922" s="34">
        <v>41145</v>
      </c>
      <c r="B4922" s="35">
        <v>1</v>
      </c>
      <c r="C4922" s="35">
        <v>1</v>
      </c>
      <c r="D4922" s="2">
        <f t="shared" si="76"/>
        <v>2</v>
      </c>
    </row>
    <row r="4923" spans="1:4" x14ac:dyDescent="0.3">
      <c r="A4923" s="34">
        <v>41146</v>
      </c>
      <c r="B4923" s="35">
        <v>1</v>
      </c>
      <c r="C4923" s="35">
        <v>0</v>
      </c>
      <c r="D4923" s="2">
        <f t="shared" si="76"/>
        <v>1</v>
      </c>
    </row>
    <row r="4924" spans="1:4" x14ac:dyDescent="0.3">
      <c r="A4924" s="34">
        <v>41149</v>
      </c>
      <c r="B4924" s="35">
        <v>1</v>
      </c>
      <c r="C4924" s="35">
        <v>0</v>
      </c>
      <c r="D4924" s="2">
        <f t="shared" si="76"/>
        <v>1</v>
      </c>
    </row>
    <row r="4925" spans="1:4" x14ac:dyDescent="0.3">
      <c r="A4925" s="34">
        <v>41151</v>
      </c>
      <c r="B4925" s="35">
        <v>1</v>
      </c>
      <c r="C4925" s="35">
        <v>0</v>
      </c>
      <c r="D4925" s="2">
        <f t="shared" si="76"/>
        <v>1</v>
      </c>
    </row>
    <row r="4926" spans="1:4" x14ac:dyDescent="0.3">
      <c r="A4926" s="34">
        <v>41154</v>
      </c>
      <c r="B4926" s="35">
        <v>1</v>
      </c>
      <c r="C4926" s="35">
        <v>0</v>
      </c>
      <c r="D4926" s="2">
        <f t="shared" si="76"/>
        <v>1</v>
      </c>
    </row>
    <row r="4927" spans="1:4" x14ac:dyDescent="0.3">
      <c r="A4927" s="34">
        <v>41155</v>
      </c>
      <c r="B4927" s="35">
        <v>2</v>
      </c>
      <c r="C4927" s="35">
        <v>2</v>
      </c>
      <c r="D4927" s="2">
        <f t="shared" si="76"/>
        <v>4</v>
      </c>
    </row>
    <row r="4928" spans="1:4" x14ac:dyDescent="0.3">
      <c r="A4928" s="34">
        <v>41220</v>
      </c>
      <c r="B4928" s="35">
        <v>1</v>
      </c>
      <c r="C4928" s="35">
        <v>0</v>
      </c>
      <c r="D4928" s="2">
        <f t="shared" si="76"/>
        <v>1</v>
      </c>
    </row>
    <row r="4929" spans="1:4" x14ac:dyDescent="0.3">
      <c r="A4929" s="34">
        <v>41222</v>
      </c>
      <c r="B4929" s="35">
        <v>1</v>
      </c>
      <c r="C4929" s="35">
        <v>0</v>
      </c>
      <c r="D4929" s="2">
        <f t="shared" si="76"/>
        <v>1</v>
      </c>
    </row>
    <row r="4930" spans="1:4" x14ac:dyDescent="0.3">
      <c r="A4930" s="34">
        <v>41223</v>
      </c>
      <c r="B4930" s="35">
        <v>1</v>
      </c>
      <c r="C4930" s="35">
        <v>0</v>
      </c>
      <c r="D4930" s="2">
        <f t="shared" si="76"/>
        <v>1</v>
      </c>
    </row>
    <row r="4931" spans="1:4" x14ac:dyDescent="0.3">
      <c r="A4931" s="34">
        <v>41224</v>
      </c>
      <c r="B4931" s="35">
        <v>1</v>
      </c>
      <c r="C4931" s="35">
        <v>0</v>
      </c>
      <c r="D4931" s="2">
        <f t="shared" ref="D4931:D4994" si="77">B4931+C4931</f>
        <v>1</v>
      </c>
    </row>
    <row r="4932" spans="1:4" x14ac:dyDescent="0.3">
      <c r="A4932" s="34">
        <v>41226</v>
      </c>
      <c r="B4932" s="35">
        <v>2</v>
      </c>
      <c r="C4932" s="35">
        <v>1</v>
      </c>
      <c r="D4932" s="2">
        <f t="shared" si="77"/>
        <v>3</v>
      </c>
    </row>
    <row r="4933" spans="1:4" x14ac:dyDescent="0.3">
      <c r="A4933" s="34">
        <v>41231</v>
      </c>
      <c r="B4933" s="35">
        <v>1</v>
      </c>
      <c r="C4933" s="35">
        <v>0</v>
      </c>
      <c r="D4933" s="2">
        <f t="shared" si="77"/>
        <v>1</v>
      </c>
    </row>
    <row r="4934" spans="1:4" x14ac:dyDescent="0.3">
      <c r="A4934" s="34">
        <v>41234</v>
      </c>
      <c r="B4934" s="35">
        <v>1</v>
      </c>
      <c r="C4934" s="35">
        <v>0</v>
      </c>
      <c r="D4934" s="2">
        <f t="shared" si="77"/>
        <v>1</v>
      </c>
    </row>
    <row r="4935" spans="1:4" x14ac:dyDescent="0.3">
      <c r="A4935" s="34">
        <v>41235</v>
      </c>
      <c r="B4935" s="35">
        <v>1</v>
      </c>
      <c r="C4935" s="35">
        <v>1</v>
      </c>
      <c r="D4935" s="2">
        <f t="shared" si="77"/>
        <v>2</v>
      </c>
    </row>
    <row r="4936" spans="1:4" x14ac:dyDescent="0.3">
      <c r="A4936" s="34">
        <v>41244</v>
      </c>
      <c r="B4936" s="35">
        <v>1</v>
      </c>
      <c r="C4936" s="35">
        <v>0</v>
      </c>
      <c r="D4936" s="2">
        <f t="shared" si="77"/>
        <v>1</v>
      </c>
    </row>
    <row r="4937" spans="1:4" x14ac:dyDescent="0.3">
      <c r="A4937" s="34">
        <v>41250</v>
      </c>
      <c r="B4937" s="35">
        <v>1</v>
      </c>
      <c r="C4937" s="35">
        <v>0</v>
      </c>
      <c r="D4937" s="2">
        <f t="shared" si="77"/>
        <v>1</v>
      </c>
    </row>
    <row r="4938" spans="1:4" x14ac:dyDescent="0.3">
      <c r="A4938" s="34">
        <v>41253</v>
      </c>
      <c r="B4938" s="35">
        <v>1</v>
      </c>
      <c r="C4938" s="35">
        <v>0</v>
      </c>
      <c r="D4938" s="2">
        <f t="shared" si="77"/>
        <v>1</v>
      </c>
    </row>
    <row r="4939" spans="1:4" x14ac:dyDescent="0.3">
      <c r="A4939" s="34">
        <v>41254</v>
      </c>
      <c r="B4939" s="35">
        <v>1</v>
      </c>
      <c r="C4939" s="35">
        <v>1</v>
      </c>
      <c r="D4939" s="2">
        <f t="shared" si="77"/>
        <v>2</v>
      </c>
    </row>
    <row r="4940" spans="1:4" x14ac:dyDescent="0.3">
      <c r="A4940" s="34">
        <v>41266</v>
      </c>
      <c r="B4940" s="35">
        <v>1</v>
      </c>
      <c r="C4940" s="35">
        <v>0</v>
      </c>
      <c r="D4940" s="2">
        <f t="shared" si="77"/>
        <v>1</v>
      </c>
    </row>
    <row r="4941" spans="1:4" x14ac:dyDescent="0.3">
      <c r="A4941" s="34">
        <v>41267</v>
      </c>
      <c r="B4941" s="35">
        <v>1</v>
      </c>
      <c r="C4941" s="35">
        <v>0</v>
      </c>
      <c r="D4941" s="2">
        <f t="shared" si="77"/>
        <v>1</v>
      </c>
    </row>
    <row r="4942" spans="1:4" x14ac:dyDescent="0.3">
      <c r="A4942" s="34">
        <v>41272</v>
      </c>
      <c r="B4942" s="35">
        <v>1</v>
      </c>
      <c r="C4942" s="35">
        <v>0</v>
      </c>
      <c r="D4942" s="2">
        <f t="shared" si="77"/>
        <v>1</v>
      </c>
    </row>
    <row r="4943" spans="1:4" x14ac:dyDescent="0.3">
      <c r="A4943" s="34">
        <v>41277</v>
      </c>
      <c r="B4943" s="35">
        <v>1</v>
      </c>
      <c r="C4943" s="35">
        <v>0</v>
      </c>
      <c r="D4943" s="2">
        <f t="shared" si="77"/>
        <v>1</v>
      </c>
    </row>
    <row r="4944" spans="1:4" x14ac:dyDescent="0.3">
      <c r="A4944" s="34">
        <v>41279</v>
      </c>
      <c r="B4944" s="35">
        <v>1</v>
      </c>
      <c r="C4944" s="35">
        <v>0</v>
      </c>
      <c r="D4944" s="2">
        <f t="shared" si="77"/>
        <v>1</v>
      </c>
    </row>
    <row r="4945" spans="1:4" x14ac:dyDescent="0.3">
      <c r="A4945" s="34">
        <v>41280</v>
      </c>
      <c r="B4945" s="35">
        <v>1</v>
      </c>
      <c r="C4945" s="35">
        <v>0</v>
      </c>
      <c r="D4945" s="2">
        <f t="shared" si="77"/>
        <v>1</v>
      </c>
    </row>
    <row r="4946" spans="1:4" x14ac:dyDescent="0.3">
      <c r="A4946" s="34">
        <v>41282</v>
      </c>
      <c r="B4946" s="35">
        <v>1</v>
      </c>
      <c r="C4946" s="35">
        <v>0</v>
      </c>
      <c r="D4946" s="2">
        <f t="shared" si="77"/>
        <v>1</v>
      </c>
    </row>
    <row r="4947" spans="1:4" x14ac:dyDescent="0.3">
      <c r="A4947" s="34">
        <v>41283</v>
      </c>
      <c r="B4947" s="35">
        <v>2</v>
      </c>
      <c r="C4947" s="35">
        <v>0</v>
      </c>
      <c r="D4947" s="2">
        <f t="shared" si="77"/>
        <v>2</v>
      </c>
    </row>
    <row r="4948" spans="1:4" x14ac:dyDescent="0.3">
      <c r="A4948" s="34">
        <v>41288</v>
      </c>
      <c r="B4948" s="35">
        <v>1</v>
      </c>
      <c r="C4948" s="35">
        <v>0</v>
      </c>
      <c r="D4948" s="2">
        <f t="shared" si="77"/>
        <v>1</v>
      </c>
    </row>
    <row r="4949" spans="1:4" x14ac:dyDescent="0.3">
      <c r="A4949" s="34">
        <v>41289</v>
      </c>
      <c r="B4949" s="35">
        <v>1</v>
      </c>
      <c r="C4949" s="35">
        <v>0</v>
      </c>
      <c r="D4949" s="2">
        <f t="shared" si="77"/>
        <v>1</v>
      </c>
    </row>
    <row r="4950" spans="1:4" x14ac:dyDescent="0.3">
      <c r="A4950" s="34">
        <v>41290</v>
      </c>
      <c r="B4950" s="35">
        <v>1</v>
      </c>
      <c r="C4950" s="35">
        <v>0</v>
      </c>
      <c r="D4950" s="2">
        <f t="shared" si="77"/>
        <v>1</v>
      </c>
    </row>
    <row r="4951" spans="1:4" x14ac:dyDescent="0.3">
      <c r="A4951" s="34">
        <v>41293</v>
      </c>
      <c r="B4951" s="35">
        <v>1</v>
      </c>
      <c r="C4951" s="35">
        <v>0</v>
      </c>
      <c r="D4951" s="2">
        <f t="shared" si="77"/>
        <v>1</v>
      </c>
    </row>
    <row r="4952" spans="1:4" x14ac:dyDescent="0.3">
      <c r="A4952" s="34">
        <v>41294</v>
      </c>
      <c r="B4952" s="35">
        <v>1</v>
      </c>
      <c r="C4952" s="35">
        <v>0</v>
      </c>
      <c r="D4952" s="2">
        <f t="shared" si="77"/>
        <v>1</v>
      </c>
    </row>
    <row r="4953" spans="1:4" x14ac:dyDescent="0.3">
      <c r="A4953" s="34">
        <v>41298</v>
      </c>
      <c r="B4953" s="35">
        <v>1</v>
      </c>
      <c r="C4953" s="35">
        <v>0</v>
      </c>
      <c r="D4953" s="2">
        <f t="shared" si="77"/>
        <v>1</v>
      </c>
    </row>
    <row r="4954" spans="1:4" x14ac:dyDescent="0.3">
      <c r="A4954" s="34">
        <v>41301</v>
      </c>
      <c r="B4954" s="35">
        <v>1</v>
      </c>
      <c r="C4954" s="35">
        <v>0</v>
      </c>
      <c r="D4954" s="2">
        <f t="shared" si="77"/>
        <v>1</v>
      </c>
    </row>
    <row r="4955" spans="1:4" x14ac:dyDescent="0.3">
      <c r="A4955" s="34">
        <v>41303</v>
      </c>
      <c r="B4955" s="35">
        <v>1</v>
      </c>
      <c r="C4955" s="35">
        <v>0</v>
      </c>
      <c r="D4955" s="2">
        <f t="shared" si="77"/>
        <v>1</v>
      </c>
    </row>
    <row r="4956" spans="1:4" x14ac:dyDescent="0.3">
      <c r="A4956" s="34">
        <v>41306</v>
      </c>
      <c r="B4956" s="35">
        <v>1</v>
      </c>
      <c r="C4956" s="35">
        <v>0</v>
      </c>
      <c r="D4956" s="2">
        <f t="shared" si="77"/>
        <v>1</v>
      </c>
    </row>
    <row r="4957" spans="1:4" x14ac:dyDescent="0.3">
      <c r="A4957" s="34">
        <v>41309</v>
      </c>
      <c r="B4957" s="35">
        <v>2</v>
      </c>
      <c r="C4957" s="35">
        <v>0</v>
      </c>
      <c r="D4957" s="2">
        <f t="shared" si="77"/>
        <v>2</v>
      </c>
    </row>
    <row r="4958" spans="1:4" x14ac:dyDescent="0.3">
      <c r="A4958" s="34">
        <v>41312</v>
      </c>
      <c r="B4958" s="35">
        <v>1</v>
      </c>
      <c r="C4958" s="35">
        <v>0</v>
      </c>
      <c r="D4958" s="2">
        <f t="shared" si="77"/>
        <v>1</v>
      </c>
    </row>
    <row r="4959" spans="1:4" x14ac:dyDescent="0.3">
      <c r="A4959" s="34">
        <v>41313</v>
      </c>
      <c r="B4959" s="35">
        <v>1</v>
      </c>
      <c r="C4959" s="35">
        <v>0</v>
      </c>
      <c r="D4959" s="2">
        <f t="shared" si="77"/>
        <v>1</v>
      </c>
    </row>
    <row r="4960" spans="1:4" x14ac:dyDescent="0.3">
      <c r="A4960" s="34">
        <v>41315</v>
      </c>
      <c r="B4960" s="35">
        <v>1</v>
      </c>
      <c r="C4960" s="35">
        <v>0</v>
      </c>
      <c r="D4960" s="2">
        <f t="shared" si="77"/>
        <v>1</v>
      </c>
    </row>
    <row r="4961" spans="1:4" x14ac:dyDescent="0.3">
      <c r="A4961" s="34">
        <v>41321</v>
      </c>
      <c r="B4961" s="35">
        <v>2</v>
      </c>
      <c r="C4961" s="35">
        <v>3</v>
      </c>
      <c r="D4961" s="2">
        <f t="shared" si="77"/>
        <v>5</v>
      </c>
    </row>
    <row r="4962" spans="1:4" x14ac:dyDescent="0.3">
      <c r="A4962" s="34">
        <v>41333</v>
      </c>
      <c r="B4962" s="35">
        <v>1</v>
      </c>
      <c r="C4962" s="35">
        <v>0</v>
      </c>
      <c r="D4962" s="2">
        <f t="shared" si="77"/>
        <v>1</v>
      </c>
    </row>
    <row r="4963" spans="1:4" x14ac:dyDescent="0.3">
      <c r="A4963" s="34">
        <v>41404</v>
      </c>
      <c r="B4963" s="35">
        <v>1</v>
      </c>
      <c r="C4963" s="35">
        <v>0</v>
      </c>
      <c r="D4963" s="2">
        <f t="shared" si="77"/>
        <v>1</v>
      </c>
    </row>
    <row r="4964" spans="1:4" x14ac:dyDescent="0.3">
      <c r="A4964" s="34">
        <v>41407</v>
      </c>
      <c r="B4964" s="35">
        <v>1</v>
      </c>
      <c r="C4964" s="35">
        <v>0</v>
      </c>
      <c r="D4964" s="2">
        <f t="shared" si="77"/>
        <v>1</v>
      </c>
    </row>
    <row r="4965" spans="1:4" x14ac:dyDescent="0.3">
      <c r="A4965" s="34">
        <v>41408</v>
      </c>
      <c r="B4965" s="35">
        <v>1</v>
      </c>
      <c r="C4965" s="35">
        <v>0</v>
      </c>
      <c r="D4965" s="2">
        <f t="shared" si="77"/>
        <v>1</v>
      </c>
    </row>
    <row r="4966" spans="1:4" x14ac:dyDescent="0.3">
      <c r="A4966" s="34">
        <v>41413</v>
      </c>
      <c r="B4966" s="35">
        <v>1</v>
      </c>
      <c r="C4966" s="35">
        <v>0</v>
      </c>
      <c r="D4966" s="2">
        <f t="shared" si="77"/>
        <v>1</v>
      </c>
    </row>
    <row r="4967" spans="1:4" x14ac:dyDescent="0.3">
      <c r="A4967" s="34">
        <v>41420</v>
      </c>
      <c r="B4967" s="35">
        <v>1</v>
      </c>
      <c r="C4967" s="35">
        <v>0</v>
      </c>
      <c r="D4967" s="2">
        <f t="shared" si="77"/>
        <v>1</v>
      </c>
    </row>
    <row r="4968" spans="1:4" x14ac:dyDescent="0.3">
      <c r="A4968" s="34">
        <v>41422</v>
      </c>
      <c r="B4968" s="35">
        <v>1</v>
      </c>
      <c r="C4968" s="35">
        <v>0</v>
      </c>
      <c r="D4968" s="2">
        <f t="shared" si="77"/>
        <v>1</v>
      </c>
    </row>
    <row r="4969" spans="1:4" x14ac:dyDescent="0.3">
      <c r="A4969" s="34">
        <v>41424</v>
      </c>
      <c r="B4969" s="35">
        <v>1</v>
      </c>
      <c r="C4969" s="35">
        <v>1</v>
      </c>
      <c r="D4969" s="2">
        <f t="shared" si="77"/>
        <v>2</v>
      </c>
    </row>
    <row r="4970" spans="1:4" x14ac:dyDescent="0.3">
      <c r="A4970" s="34">
        <v>41428</v>
      </c>
      <c r="B4970" s="35">
        <v>2</v>
      </c>
      <c r="C4970" s="35">
        <v>1</v>
      </c>
      <c r="D4970" s="2">
        <f t="shared" si="77"/>
        <v>3</v>
      </c>
    </row>
    <row r="4971" spans="1:4" x14ac:dyDescent="0.3">
      <c r="A4971" s="34">
        <v>41430</v>
      </c>
      <c r="B4971" s="35">
        <v>1</v>
      </c>
      <c r="C4971" s="35">
        <v>0</v>
      </c>
      <c r="D4971" s="2">
        <f t="shared" si="77"/>
        <v>1</v>
      </c>
    </row>
    <row r="4972" spans="1:4" x14ac:dyDescent="0.3">
      <c r="A4972" s="34">
        <v>41440</v>
      </c>
      <c r="B4972" s="35">
        <v>2</v>
      </c>
      <c r="C4972" s="35">
        <v>1</v>
      </c>
      <c r="D4972" s="2">
        <f t="shared" si="77"/>
        <v>3</v>
      </c>
    </row>
    <row r="4973" spans="1:4" x14ac:dyDescent="0.3">
      <c r="A4973" s="34">
        <v>41442</v>
      </c>
      <c r="B4973" s="35">
        <v>1</v>
      </c>
      <c r="C4973" s="35">
        <v>0</v>
      </c>
      <c r="D4973" s="2">
        <f t="shared" si="77"/>
        <v>1</v>
      </c>
    </row>
    <row r="4974" spans="1:4" x14ac:dyDescent="0.3">
      <c r="A4974" s="34">
        <v>41443</v>
      </c>
      <c r="B4974" s="35">
        <v>1</v>
      </c>
      <c r="C4974" s="35">
        <v>0</v>
      </c>
      <c r="D4974" s="2">
        <f t="shared" si="77"/>
        <v>1</v>
      </c>
    </row>
    <row r="4975" spans="1:4" x14ac:dyDescent="0.3">
      <c r="A4975" s="34">
        <v>41444</v>
      </c>
      <c r="B4975" s="35">
        <v>1</v>
      </c>
      <c r="C4975" s="35">
        <v>0</v>
      </c>
      <c r="D4975" s="2">
        <f t="shared" si="77"/>
        <v>1</v>
      </c>
    </row>
    <row r="4976" spans="1:4" x14ac:dyDescent="0.3">
      <c r="A4976" s="34">
        <v>41445</v>
      </c>
      <c r="B4976" s="35">
        <v>2</v>
      </c>
      <c r="C4976" s="35">
        <v>1</v>
      </c>
      <c r="D4976" s="2">
        <f t="shared" si="77"/>
        <v>3</v>
      </c>
    </row>
    <row r="4977" spans="1:4" x14ac:dyDescent="0.3">
      <c r="A4977" s="34">
        <v>41453</v>
      </c>
      <c r="B4977" s="35">
        <v>1</v>
      </c>
      <c r="C4977" s="35">
        <v>0</v>
      </c>
      <c r="D4977" s="2">
        <f t="shared" si="77"/>
        <v>1</v>
      </c>
    </row>
    <row r="4978" spans="1:4" x14ac:dyDescent="0.3">
      <c r="A4978" s="34">
        <v>41454</v>
      </c>
      <c r="B4978" s="35">
        <v>1</v>
      </c>
      <c r="C4978" s="35">
        <v>1</v>
      </c>
      <c r="D4978" s="2">
        <f t="shared" si="77"/>
        <v>2</v>
      </c>
    </row>
    <row r="4979" spans="1:4" x14ac:dyDescent="0.3">
      <c r="A4979" s="34">
        <v>41456</v>
      </c>
      <c r="B4979" s="35">
        <v>1</v>
      </c>
      <c r="C4979" s="35">
        <v>0</v>
      </c>
      <c r="D4979" s="2">
        <f t="shared" si="77"/>
        <v>1</v>
      </c>
    </row>
    <row r="4980" spans="1:4" x14ac:dyDescent="0.3">
      <c r="A4980" s="34">
        <v>41457</v>
      </c>
      <c r="B4980" s="35">
        <v>1</v>
      </c>
      <c r="C4980" s="35">
        <v>0</v>
      </c>
      <c r="D4980" s="2">
        <f t="shared" si="77"/>
        <v>1</v>
      </c>
    </row>
    <row r="4981" spans="1:4" x14ac:dyDescent="0.3">
      <c r="A4981" s="34">
        <v>41491</v>
      </c>
      <c r="B4981" s="35">
        <v>2</v>
      </c>
      <c r="C4981" s="35">
        <v>2</v>
      </c>
      <c r="D4981" s="2">
        <f t="shared" si="77"/>
        <v>4</v>
      </c>
    </row>
    <row r="4982" spans="1:4" x14ac:dyDescent="0.3">
      <c r="A4982" s="34">
        <v>41492</v>
      </c>
      <c r="B4982" s="35">
        <v>1</v>
      </c>
      <c r="C4982" s="35">
        <v>0</v>
      </c>
      <c r="D4982" s="2">
        <f t="shared" si="77"/>
        <v>1</v>
      </c>
    </row>
    <row r="4983" spans="1:4" x14ac:dyDescent="0.3">
      <c r="A4983" s="34">
        <v>41494</v>
      </c>
      <c r="B4983" s="35">
        <v>1</v>
      </c>
      <c r="C4983" s="35">
        <v>0</v>
      </c>
      <c r="D4983" s="2">
        <f t="shared" si="77"/>
        <v>1</v>
      </c>
    </row>
    <row r="4984" spans="1:4" x14ac:dyDescent="0.3">
      <c r="A4984" s="34">
        <v>41496</v>
      </c>
      <c r="B4984" s="35">
        <v>1</v>
      </c>
      <c r="C4984" s="35">
        <v>0</v>
      </c>
      <c r="D4984" s="2">
        <f t="shared" si="77"/>
        <v>1</v>
      </c>
    </row>
    <row r="4985" spans="1:4" x14ac:dyDescent="0.3">
      <c r="A4985" s="34">
        <v>41500</v>
      </c>
      <c r="B4985" s="35">
        <v>1</v>
      </c>
      <c r="C4985" s="35">
        <v>0</v>
      </c>
      <c r="D4985" s="2">
        <f t="shared" si="77"/>
        <v>1</v>
      </c>
    </row>
    <row r="4986" spans="1:4" x14ac:dyDescent="0.3">
      <c r="A4986" s="34">
        <v>41511</v>
      </c>
      <c r="B4986" s="35">
        <v>1</v>
      </c>
      <c r="C4986" s="35">
        <v>1</v>
      </c>
      <c r="D4986" s="2">
        <f t="shared" si="77"/>
        <v>2</v>
      </c>
    </row>
    <row r="4987" spans="1:4" x14ac:dyDescent="0.3">
      <c r="A4987" s="34">
        <v>41516</v>
      </c>
      <c r="B4987" s="35">
        <v>1</v>
      </c>
      <c r="C4987" s="35">
        <v>0</v>
      </c>
      <c r="D4987" s="2">
        <f t="shared" si="77"/>
        <v>1</v>
      </c>
    </row>
    <row r="4988" spans="1:4" x14ac:dyDescent="0.3">
      <c r="A4988" s="34">
        <v>41517</v>
      </c>
      <c r="B4988" s="35">
        <v>1</v>
      </c>
      <c r="C4988" s="35">
        <v>0</v>
      </c>
      <c r="D4988" s="2">
        <f t="shared" si="77"/>
        <v>1</v>
      </c>
    </row>
    <row r="4989" spans="1:4" x14ac:dyDescent="0.3">
      <c r="A4989" s="34">
        <v>41522</v>
      </c>
      <c r="B4989" s="35">
        <v>1</v>
      </c>
      <c r="C4989" s="35">
        <v>0</v>
      </c>
      <c r="D4989" s="2">
        <f t="shared" si="77"/>
        <v>1</v>
      </c>
    </row>
    <row r="4990" spans="1:4" x14ac:dyDescent="0.3">
      <c r="A4990" s="34">
        <v>41524</v>
      </c>
      <c r="B4990" s="35">
        <v>1</v>
      </c>
      <c r="C4990" s="35">
        <v>0</v>
      </c>
      <c r="D4990" s="2">
        <f t="shared" si="77"/>
        <v>1</v>
      </c>
    </row>
    <row r="4991" spans="1:4" x14ac:dyDescent="0.3">
      <c r="A4991" s="34">
        <v>41525</v>
      </c>
      <c r="B4991" s="35">
        <v>1</v>
      </c>
      <c r="C4991" s="35">
        <v>0</v>
      </c>
      <c r="D4991" s="2">
        <f t="shared" si="77"/>
        <v>1</v>
      </c>
    </row>
    <row r="4992" spans="1:4" x14ac:dyDescent="0.3">
      <c r="A4992" s="34">
        <v>41529</v>
      </c>
      <c r="B4992" s="35">
        <v>1</v>
      </c>
      <c r="C4992" s="35">
        <v>0</v>
      </c>
      <c r="D4992" s="2">
        <f t="shared" si="77"/>
        <v>1</v>
      </c>
    </row>
    <row r="4993" spans="1:4" x14ac:dyDescent="0.3">
      <c r="A4993" s="34">
        <v>41531</v>
      </c>
      <c r="B4993" s="35">
        <v>2</v>
      </c>
      <c r="C4993" s="35">
        <v>1</v>
      </c>
      <c r="D4993" s="2">
        <f t="shared" si="77"/>
        <v>3</v>
      </c>
    </row>
    <row r="4994" spans="1:4" x14ac:dyDescent="0.3">
      <c r="A4994" s="34">
        <v>41532</v>
      </c>
      <c r="B4994" s="35">
        <v>1</v>
      </c>
      <c r="C4994" s="35">
        <v>0</v>
      </c>
      <c r="D4994" s="2">
        <f t="shared" si="77"/>
        <v>1</v>
      </c>
    </row>
    <row r="4995" spans="1:4" x14ac:dyDescent="0.3">
      <c r="A4995" s="34">
        <v>41542</v>
      </c>
      <c r="B4995" s="35">
        <v>1</v>
      </c>
      <c r="C4995" s="35">
        <v>0</v>
      </c>
      <c r="D4995" s="2">
        <f t="shared" ref="D4995:D5058" si="78">B4995+C4995</f>
        <v>1</v>
      </c>
    </row>
    <row r="4996" spans="1:4" x14ac:dyDescent="0.3">
      <c r="A4996" s="34">
        <v>41543</v>
      </c>
      <c r="B4996" s="35">
        <v>1</v>
      </c>
      <c r="C4996" s="35">
        <v>1</v>
      </c>
      <c r="D4996" s="2">
        <f t="shared" si="78"/>
        <v>2</v>
      </c>
    </row>
    <row r="4997" spans="1:4" x14ac:dyDescent="0.3">
      <c r="A4997" s="34">
        <v>41544</v>
      </c>
      <c r="B4997" s="35">
        <v>1</v>
      </c>
      <c r="C4997" s="35">
        <v>0</v>
      </c>
      <c r="D4997" s="2">
        <f t="shared" si="78"/>
        <v>1</v>
      </c>
    </row>
    <row r="4998" spans="1:4" x14ac:dyDescent="0.3">
      <c r="A4998" s="34">
        <v>41545</v>
      </c>
      <c r="B4998" s="35">
        <v>1</v>
      </c>
      <c r="C4998" s="35">
        <v>0</v>
      </c>
      <c r="D4998" s="2">
        <f t="shared" si="78"/>
        <v>1</v>
      </c>
    </row>
    <row r="4999" spans="1:4" x14ac:dyDescent="0.3">
      <c r="A4999" s="34">
        <v>41546</v>
      </c>
      <c r="B4999" s="35">
        <v>1</v>
      </c>
      <c r="C4999" s="35">
        <v>0</v>
      </c>
      <c r="D4999" s="2">
        <f t="shared" si="78"/>
        <v>1</v>
      </c>
    </row>
    <row r="5000" spans="1:4" x14ac:dyDescent="0.3">
      <c r="A5000" s="34">
        <v>41547</v>
      </c>
      <c r="B5000" s="35">
        <v>2</v>
      </c>
      <c r="C5000" s="35">
        <v>1</v>
      </c>
      <c r="D5000" s="2">
        <f t="shared" si="78"/>
        <v>3</v>
      </c>
    </row>
    <row r="5001" spans="1:4" x14ac:dyDescent="0.3">
      <c r="A5001" s="34">
        <v>41551</v>
      </c>
      <c r="B5001" s="35">
        <v>1</v>
      </c>
      <c r="C5001" s="35">
        <v>0</v>
      </c>
      <c r="D5001" s="2">
        <f t="shared" si="78"/>
        <v>1</v>
      </c>
    </row>
    <row r="5002" spans="1:4" x14ac:dyDescent="0.3">
      <c r="A5002" s="34">
        <v>41552</v>
      </c>
      <c r="B5002" s="35">
        <v>1</v>
      </c>
      <c r="C5002" s="35">
        <v>0</v>
      </c>
      <c r="D5002" s="2">
        <f t="shared" si="78"/>
        <v>1</v>
      </c>
    </row>
    <row r="5003" spans="1:4" x14ac:dyDescent="0.3">
      <c r="A5003" s="34">
        <v>41553</v>
      </c>
      <c r="B5003" s="35">
        <v>1</v>
      </c>
      <c r="C5003" s="35">
        <v>0</v>
      </c>
      <c r="D5003" s="2">
        <f t="shared" si="78"/>
        <v>1</v>
      </c>
    </row>
    <row r="5004" spans="1:4" x14ac:dyDescent="0.3">
      <c r="A5004" s="34">
        <v>41555</v>
      </c>
      <c r="B5004" s="35">
        <v>1</v>
      </c>
      <c r="C5004" s="35">
        <v>0</v>
      </c>
      <c r="D5004" s="2">
        <f t="shared" si="78"/>
        <v>1</v>
      </c>
    </row>
    <row r="5005" spans="1:4" x14ac:dyDescent="0.3">
      <c r="A5005" s="34">
        <v>41558</v>
      </c>
      <c r="B5005" s="35">
        <v>1</v>
      </c>
      <c r="C5005" s="35">
        <v>1</v>
      </c>
      <c r="D5005" s="2">
        <f t="shared" si="78"/>
        <v>2</v>
      </c>
    </row>
    <row r="5006" spans="1:4" x14ac:dyDescent="0.3">
      <c r="A5006" s="34">
        <v>41560</v>
      </c>
      <c r="B5006" s="35">
        <v>1</v>
      </c>
      <c r="C5006" s="35">
        <v>1</v>
      </c>
      <c r="D5006" s="2">
        <f t="shared" si="78"/>
        <v>2</v>
      </c>
    </row>
    <row r="5007" spans="1:4" x14ac:dyDescent="0.3">
      <c r="A5007" s="34">
        <v>41561</v>
      </c>
      <c r="B5007" s="35">
        <v>2</v>
      </c>
      <c r="C5007" s="35">
        <v>1</v>
      </c>
      <c r="D5007" s="2">
        <f t="shared" si="78"/>
        <v>3</v>
      </c>
    </row>
    <row r="5008" spans="1:4" x14ac:dyDescent="0.3">
      <c r="A5008" s="34">
        <v>41563</v>
      </c>
      <c r="B5008" s="35">
        <v>1</v>
      </c>
      <c r="C5008" s="35">
        <v>0</v>
      </c>
      <c r="D5008" s="2">
        <f t="shared" si="78"/>
        <v>1</v>
      </c>
    </row>
    <row r="5009" spans="1:4" x14ac:dyDescent="0.3">
      <c r="A5009" s="34">
        <v>41565</v>
      </c>
      <c r="B5009" s="35">
        <v>1</v>
      </c>
      <c r="C5009" s="35">
        <v>0</v>
      </c>
      <c r="D5009" s="2">
        <f t="shared" si="78"/>
        <v>1</v>
      </c>
    </row>
    <row r="5010" spans="1:4" x14ac:dyDescent="0.3">
      <c r="A5010" s="34">
        <v>41568</v>
      </c>
      <c r="B5010" s="35">
        <v>1</v>
      </c>
      <c r="C5010" s="35">
        <v>0</v>
      </c>
      <c r="D5010" s="2">
        <f t="shared" si="78"/>
        <v>1</v>
      </c>
    </row>
    <row r="5011" spans="1:4" x14ac:dyDescent="0.3">
      <c r="A5011" s="34">
        <v>41569</v>
      </c>
      <c r="B5011" s="35">
        <v>1</v>
      </c>
      <c r="C5011" s="35">
        <v>1</v>
      </c>
      <c r="D5011" s="2">
        <f t="shared" si="78"/>
        <v>2</v>
      </c>
    </row>
    <row r="5012" spans="1:4" x14ac:dyDescent="0.3">
      <c r="A5012" s="34">
        <v>41573</v>
      </c>
      <c r="B5012" s="35">
        <v>1</v>
      </c>
      <c r="C5012" s="35">
        <v>1</v>
      </c>
      <c r="D5012" s="2">
        <f t="shared" si="78"/>
        <v>2</v>
      </c>
    </row>
    <row r="5013" spans="1:4" x14ac:dyDescent="0.3">
      <c r="A5013" s="34">
        <v>41575</v>
      </c>
      <c r="B5013" s="35">
        <v>1</v>
      </c>
      <c r="C5013" s="35">
        <v>0</v>
      </c>
      <c r="D5013" s="2">
        <f t="shared" si="78"/>
        <v>1</v>
      </c>
    </row>
    <row r="5014" spans="1:4" x14ac:dyDescent="0.3">
      <c r="A5014" s="34">
        <v>41577</v>
      </c>
      <c r="B5014" s="35">
        <v>1</v>
      </c>
      <c r="C5014" s="35">
        <v>0</v>
      </c>
      <c r="D5014" s="2">
        <f t="shared" si="78"/>
        <v>1</v>
      </c>
    </row>
    <row r="5015" spans="1:4" x14ac:dyDescent="0.3">
      <c r="A5015" s="34">
        <v>41579</v>
      </c>
      <c r="B5015" s="35">
        <v>2</v>
      </c>
      <c r="C5015" s="35">
        <v>1</v>
      </c>
      <c r="D5015" s="2">
        <f t="shared" si="78"/>
        <v>3</v>
      </c>
    </row>
    <row r="5016" spans="1:4" x14ac:dyDescent="0.3">
      <c r="A5016" s="34">
        <v>41587</v>
      </c>
      <c r="B5016" s="35">
        <v>1</v>
      </c>
      <c r="C5016" s="35">
        <v>0</v>
      </c>
      <c r="D5016" s="2">
        <f t="shared" si="78"/>
        <v>1</v>
      </c>
    </row>
    <row r="5017" spans="1:4" x14ac:dyDescent="0.3">
      <c r="A5017" s="34">
        <v>41589</v>
      </c>
      <c r="B5017" s="35">
        <v>1</v>
      </c>
      <c r="C5017" s="35">
        <v>0</v>
      </c>
      <c r="D5017" s="2">
        <f t="shared" si="78"/>
        <v>1</v>
      </c>
    </row>
    <row r="5018" spans="1:4" x14ac:dyDescent="0.3">
      <c r="A5018" s="34">
        <v>41611</v>
      </c>
      <c r="B5018" s="35">
        <v>1</v>
      </c>
      <c r="C5018" s="35">
        <v>0</v>
      </c>
      <c r="D5018" s="2">
        <f t="shared" si="78"/>
        <v>1</v>
      </c>
    </row>
    <row r="5019" spans="1:4" x14ac:dyDescent="0.3">
      <c r="A5019" s="34">
        <v>41616</v>
      </c>
      <c r="B5019" s="35">
        <v>1</v>
      </c>
      <c r="C5019" s="35">
        <v>0</v>
      </c>
      <c r="D5019" s="2">
        <f t="shared" si="78"/>
        <v>1</v>
      </c>
    </row>
    <row r="5020" spans="1:4" x14ac:dyDescent="0.3">
      <c r="A5020" s="34">
        <v>41617</v>
      </c>
      <c r="B5020" s="35">
        <v>1</v>
      </c>
      <c r="C5020" s="35">
        <v>1</v>
      </c>
      <c r="D5020" s="2">
        <f t="shared" si="78"/>
        <v>2</v>
      </c>
    </row>
    <row r="5021" spans="1:4" x14ac:dyDescent="0.3">
      <c r="A5021" s="34">
        <v>41620</v>
      </c>
      <c r="B5021" s="35">
        <v>1</v>
      </c>
      <c r="C5021" s="35">
        <v>0</v>
      </c>
      <c r="D5021" s="2">
        <f t="shared" si="78"/>
        <v>1</v>
      </c>
    </row>
    <row r="5022" spans="1:4" x14ac:dyDescent="0.3">
      <c r="A5022" s="34">
        <v>41621</v>
      </c>
      <c r="B5022" s="35">
        <v>1</v>
      </c>
      <c r="C5022" s="35">
        <v>0</v>
      </c>
      <c r="D5022" s="2">
        <f t="shared" si="78"/>
        <v>1</v>
      </c>
    </row>
    <row r="5023" spans="1:4" x14ac:dyDescent="0.3">
      <c r="A5023" s="34">
        <v>41622</v>
      </c>
      <c r="B5023" s="35">
        <v>1</v>
      </c>
      <c r="C5023" s="35">
        <v>0</v>
      </c>
      <c r="D5023" s="2">
        <f t="shared" si="78"/>
        <v>1</v>
      </c>
    </row>
    <row r="5024" spans="1:4" x14ac:dyDescent="0.3">
      <c r="A5024" s="34">
        <v>41623</v>
      </c>
      <c r="B5024" s="35">
        <v>1</v>
      </c>
      <c r="C5024" s="35">
        <v>0</v>
      </c>
      <c r="D5024" s="2">
        <f t="shared" si="78"/>
        <v>1</v>
      </c>
    </row>
    <row r="5025" spans="1:4" x14ac:dyDescent="0.3">
      <c r="A5025" s="34">
        <v>41625</v>
      </c>
      <c r="B5025" s="35">
        <v>1</v>
      </c>
      <c r="C5025" s="35">
        <v>0</v>
      </c>
      <c r="D5025" s="2">
        <f t="shared" si="78"/>
        <v>1</v>
      </c>
    </row>
    <row r="5026" spans="1:4" x14ac:dyDescent="0.3">
      <c r="A5026" s="34">
        <v>41627</v>
      </c>
      <c r="B5026" s="35">
        <v>2</v>
      </c>
      <c r="C5026" s="35">
        <v>2</v>
      </c>
      <c r="D5026" s="2">
        <f t="shared" si="78"/>
        <v>4</v>
      </c>
    </row>
    <row r="5027" spans="1:4" x14ac:dyDescent="0.3">
      <c r="A5027" s="34">
        <v>41628</v>
      </c>
      <c r="B5027" s="35">
        <v>1</v>
      </c>
      <c r="C5027" s="35">
        <v>0</v>
      </c>
      <c r="D5027" s="2">
        <f t="shared" si="78"/>
        <v>1</v>
      </c>
    </row>
    <row r="5028" spans="1:4" x14ac:dyDescent="0.3">
      <c r="A5028" s="34">
        <v>41629</v>
      </c>
      <c r="B5028" s="35">
        <v>1</v>
      </c>
      <c r="C5028" s="35">
        <v>0</v>
      </c>
      <c r="D5028" s="2">
        <f t="shared" si="78"/>
        <v>1</v>
      </c>
    </row>
    <row r="5029" spans="1:4" x14ac:dyDescent="0.3">
      <c r="A5029" s="34">
        <v>41635</v>
      </c>
      <c r="B5029" s="35">
        <v>1</v>
      </c>
      <c r="C5029" s="35">
        <v>0</v>
      </c>
      <c r="D5029" s="2">
        <f t="shared" si="78"/>
        <v>1</v>
      </c>
    </row>
    <row r="5030" spans="1:4" x14ac:dyDescent="0.3">
      <c r="A5030" s="34">
        <v>41636</v>
      </c>
      <c r="B5030" s="35">
        <v>1</v>
      </c>
      <c r="C5030" s="35">
        <v>0</v>
      </c>
      <c r="D5030" s="2">
        <f t="shared" si="78"/>
        <v>1</v>
      </c>
    </row>
    <row r="5031" spans="1:4" x14ac:dyDescent="0.3">
      <c r="A5031" s="34">
        <v>41639</v>
      </c>
      <c r="B5031" s="35">
        <v>1</v>
      </c>
      <c r="C5031" s="35">
        <v>0</v>
      </c>
      <c r="D5031" s="2">
        <f t="shared" si="78"/>
        <v>1</v>
      </c>
    </row>
    <row r="5032" spans="1:4" x14ac:dyDescent="0.3">
      <c r="A5032" s="34">
        <v>41641</v>
      </c>
      <c r="B5032" s="35">
        <v>2</v>
      </c>
      <c r="C5032" s="35">
        <v>0</v>
      </c>
      <c r="D5032" s="2">
        <f t="shared" si="78"/>
        <v>2</v>
      </c>
    </row>
    <row r="5033" spans="1:4" x14ac:dyDescent="0.3">
      <c r="A5033" s="34">
        <v>41642</v>
      </c>
      <c r="B5033" s="35">
        <v>1</v>
      </c>
      <c r="C5033" s="35">
        <v>0</v>
      </c>
      <c r="D5033" s="2">
        <f t="shared" si="78"/>
        <v>1</v>
      </c>
    </row>
    <row r="5034" spans="1:4" x14ac:dyDescent="0.3">
      <c r="A5034" s="34">
        <v>41646</v>
      </c>
      <c r="B5034" s="35">
        <v>1</v>
      </c>
      <c r="C5034" s="35">
        <v>0</v>
      </c>
      <c r="D5034" s="2">
        <f t="shared" si="78"/>
        <v>1</v>
      </c>
    </row>
    <row r="5035" spans="1:4" x14ac:dyDescent="0.3">
      <c r="A5035" s="34">
        <v>41648</v>
      </c>
      <c r="B5035" s="35">
        <v>1</v>
      </c>
      <c r="C5035" s="35">
        <v>0</v>
      </c>
      <c r="D5035" s="2">
        <f t="shared" si="78"/>
        <v>1</v>
      </c>
    </row>
    <row r="5036" spans="1:4" x14ac:dyDescent="0.3">
      <c r="A5036" s="34">
        <v>41650</v>
      </c>
      <c r="B5036" s="35">
        <v>1</v>
      </c>
      <c r="C5036" s="35">
        <v>1</v>
      </c>
      <c r="D5036" s="2">
        <f t="shared" si="78"/>
        <v>2</v>
      </c>
    </row>
    <row r="5037" spans="1:4" x14ac:dyDescent="0.3">
      <c r="A5037" s="34">
        <v>41652</v>
      </c>
      <c r="B5037" s="35">
        <v>1</v>
      </c>
      <c r="C5037" s="35">
        <v>0</v>
      </c>
      <c r="D5037" s="2">
        <f t="shared" si="78"/>
        <v>1</v>
      </c>
    </row>
    <row r="5038" spans="1:4" x14ac:dyDescent="0.3">
      <c r="A5038" s="34">
        <v>41655</v>
      </c>
      <c r="B5038" s="35">
        <v>1</v>
      </c>
      <c r="C5038" s="35">
        <v>1</v>
      </c>
      <c r="D5038" s="2">
        <f t="shared" si="78"/>
        <v>2</v>
      </c>
    </row>
    <row r="5039" spans="1:4" x14ac:dyDescent="0.3">
      <c r="A5039" s="34">
        <v>41657</v>
      </c>
      <c r="B5039" s="35">
        <v>1</v>
      </c>
      <c r="C5039" s="35">
        <v>0</v>
      </c>
      <c r="D5039" s="2">
        <f t="shared" si="78"/>
        <v>1</v>
      </c>
    </row>
    <row r="5040" spans="1:4" x14ac:dyDescent="0.3">
      <c r="A5040" s="34">
        <v>41658</v>
      </c>
      <c r="B5040" s="35">
        <v>1</v>
      </c>
      <c r="C5040" s="35">
        <v>0</v>
      </c>
      <c r="D5040" s="2">
        <f t="shared" si="78"/>
        <v>1</v>
      </c>
    </row>
    <row r="5041" spans="1:4" x14ac:dyDescent="0.3">
      <c r="A5041" s="34">
        <v>41671</v>
      </c>
      <c r="B5041" s="35">
        <v>1</v>
      </c>
      <c r="C5041" s="35">
        <v>0</v>
      </c>
      <c r="D5041" s="2">
        <f t="shared" si="78"/>
        <v>1</v>
      </c>
    </row>
    <row r="5042" spans="1:4" x14ac:dyDescent="0.3">
      <c r="A5042" s="34">
        <v>41673</v>
      </c>
      <c r="B5042" s="35">
        <v>1</v>
      </c>
      <c r="C5042" s="35">
        <v>0</v>
      </c>
      <c r="D5042" s="2">
        <f t="shared" si="78"/>
        <v>1</v>
      </c>
    </row>
    <row r="5043" spans="1:4" x14ac:dyDescent="0.3">
      <c r="A5043" s="34">
        <v>41679</v>
      </c>
      <c r="B5043" s="35">
        <v>1</v>
      </c>
      <c r="C5043" s="35">
        <v>0</v>
      </c>
      <c r="D5043" s="2">
        <f t="shared" si="78"/>
        <v>1</v>
      </c>
    </row>
    <row r="5044" spans="1:4" x14ac:dyDescent="0.3">
      <c r="A5044" s="34">
        <v>41682</v>
      </c>
      <c r="B5044" s="35">
        <v>1</v>
      </c>
      <c r="C5044" s="35">
        <v>0</v>
      </c>
      <c r="D5044" s="2">
        <f t="shared" si="78"/>
        <v>1</v>
      </c>
    </row>
    <row r="5045" spans="1:4" x14ac:dyDescent="0.3">
      <c r="A5045" s="34">
        <v>41684</v>
      </c>
      <c r="B5045" s="35">
        <v>1</v>
      </c>
      <c r="C5045" s="35">
        <v>0</v>
      </c>
      <c r="D5045" s="2">
        <f t="shared" si="78"/>
        <v>1</v>
      </c>
    </row>
    <row r="5046" spans="1:4" x14ac:dyDescent="0.3">
      <c r="A5046" s="34">
        <v>41686</v>
      </c>
      <c r="B5046" s="35">
        <v>1</v>
      </c>
      <c r="C5046" s="35">
        <v>0</v>
      </c>
      <c r="D5046" s="2">
        <f t="shared" si="78"/>
        <v>1</v>
      </c>
    </row>
    <row r="5047" spans="1:4" x14ac:dyDescent="0.3">
      <c r="A5047" s="34">
        <v>41687</v>
      </c>
      <c r="B5047" s="35">
        <v>2</v>
      </c>
      <c r="C5047" s="35">
        <v>1</v>
      </c>
      <c r="D5047" s="2">
        <f t="shared" si="78"/>
        <v>3</v>
      </c>
    </row>
    <row r="5048" spans="1:4" x14ac:dyDescent="0.3">
      <c r="A5048" s="34">
        <v>41688</v>
      </c>
      <c r="B5048" s="35">
        <v>1</v>
      </c>
      <c r="C5048" s="35">
        <v>0</v>
      </c>
      <c r="D5048" s="2">
        <f t="shared" si="78"/>
        <v>1</v>
      </c>
    </row>
    <row r="5049" spans="1:4" x14ac:dyDescent="0.3">
      <c r="A5049" s="34">
        <v>41689</v>
      </c>
      <c r="B5049" s="35">
        <v>1</v>
      </c>
      <c r="C5049" s="35">
        <v>0</v>
      </c>
      <c r="D5049" s="2">
        <f t="shared" si="78"/>
        <v>1</v>
      </c>
    </row>
    <row r="5050" spans="1:4" x14ac:dyDescent="0.3">
      <c r="A5050" s="34">
        <v>41691</v>
      </c>
      <c r="B5050" s="35">
        <v>1</v>
      </c>
      <c r="C5050" s="35">
        <v>0</v>
      </c>
      <c r="D5050" s="2">
        <f t="shared" si="78"/>
        <v>1</v>
      </c>
    </row>
    <row r="5051" spans="1:4" x14ac:dyDescent="0.3">
      <c r="A5051" s="34">
        <v>41693</v>
      </c>
      <c r="B5051" s="35">
        <v>1</v>
      </c>
      <c r="C5051" s="35">
        <v>0</v>
      </c>
      <c r="D5051" s="2">
        <f t="shared" si="78"/>
        <v>1</v>
      </c>
    </row>
    <row r="5052" spans="1:4" x14ac:dyDescent="0.3">
      <c r="A5052" s="34">
        <v>41694</v>
      </c>
      <c r="B5052" s="35">
        <v>1</v>
      </c>
      <c r="C5052" s="35">
        <v>0</v>
      </c>
      <c r="D5052" s="2">
        <f t="shared" si="78"/>
        <v>1</v>
      </c>
    </row>
    <row r="5053" spans="1:4" x14ac:dyDescent="0.3">
      <c r="A5053" s="34">
        <v>41696</v>
      </c>
      <c r="B5053" s="35">
        <v>1</v>
      </c>
      <c r="C5053" s="35">
        <v>0</v>
      </c>
      <c r="D5053" s="2">
        <f t="shared" si="78"/>
        <v>1</v>
      </c>
    </row>
    <row r="5054" spans="1:4" x14ac:dyDescent="0.3">
      <c r="A5054" s="34">
        <v>41701</v>
      </c>
      <c r="B5054" s="35">
        <v>1</v>
      </c>
      <c r="C5054" s="35">
        <v>0</v>
      </c>
      <c r="D5054" s="2">
        <f t="shared" si="78"/>
        <v>1</v>
      </c>
    </row>
    <row r="5055" spans="1:4" x14ac:dyDescent="0.3">
      <c r="A5055" s="34">
        <v>41705</v>
      </c>
      <c r="B5055" s="35">
        <v>1</v>
      </c>
      <c r="C5055" s="35">
        <v>1</v>
      </c>
      <c r="D5055" s="2">
        <f t="shared" si="78"/>
        <v>2</v>
      </c>
    </row>
    <row r="5056" spans="1:4" x14ac:dyDescent="0.3">
      <c r="A5056" s="34">
        <v>41711</v>
      </c>
      <c r="B5056" s="35">
        <v>1</v>
      </c>
      <c r="C5056" s="35">
        <v>0</v>
      </c>
      <c r="D5056" s="2">
        <f t="shared" si="78"/>
        <v>1</v>
      </c>
    </row>
    <row r="5057" spans="1:4" x14ac:dyDescent="0.3">
      <c r="A5057" s="34">
        <v>41716</v>
      </c>
      <c r="B5057" s="35">
        <v>2</v>
      </c>
      <c r="C5057" s="35">
        <v>2</v>
      </c>
      <c r="D5057" s="2">
        <f t="shared" si="78"/>
        <v>4</v>
      </c>
    </row>
    <row r="5058" spans="1:4" x14ac:dyDescent="0.3">
      <c r="A5058" s="34">
        <v>41717</v>
      </c>
      <c r="B5058" s="35">
        <v>1</v>
      </c>
      <c r="C5058" s="35">
        <v>1</v>
      </c>
      <c r="D5058" s="2">
        <f t="shared" si="78"/>
        <v>2</v>
      </c>
    </row>
    <row r="5059" spans="1:4" x14ac:dyDescent="0.3">
      <c r="A5059" s="34">
        <v>41719</v>
      </c>
      <c r="B5059" s="35">
        <v>1</v>
      </c>
      <c r="C5059" s="35">
        <v>0</v>
      </c>
      <c r="D5059" s="2">
        <f t="shared" ref="D5059:D5122" si="79">B5059+C5059</f>
        <v>1</v>
      </c>
    </row>
    <row r="5060" spans="1:4" x14ac:dyDescent="0.3">
      <c r="A5060" s="34">
        <v>41720</v>
      </c>
      <c r="B5060" s="35">
        <v>1</v>
      </c>
      <c r="C5060" s="35">
        <v>0</v>
      </c>
      <c r="D5060" s="2">
        <f t="shared" si="79"/>
        <v>1</v>
      </c>
    </row>
    <row r="5061" spans="1:4" x14ac:dyDescent="0.3">
      <c r="A5061" s="34">
        <v>41721</v>
      </c>
      <c r="B5061" s="35">
        <v>1</v>
      </c>
      <c r="C5061" s="35">
        <v>0</v>
      </c>
      <c r="D5061" s="2">
        <f t="shared" si="79"/>
        <v>1</v>
      </c>
    </row>
    <row r="5062" spans="1:4" x14ac:dyDescent="0.3">
      <c r="A5062" s="34">
        <v>41722</v>
      </c>
      <c r="B5062" s="35">
        <v>1</v>
      </c>
      <c r="C5062" s="35">
        <v>0</v>
      </c>
      <c r="D5062" s="2">
        <f t="shared" si="79"/>
        <v>1</v>
      </c>
    </row>
    <row r="5063" spans="1:4" x14ac:dyDescent="0.3">
      <c r="A5063" s="34">
        <v>41731</v>
      </c>
      <c r="B5063" s="35">
        <v>1</v>
      </c>
      <c r="C5063" s="35">
        <v>1</v>
      </c>
      <c r="D5063" s="2">
        <f t="shared" si="79"/>
        <v>2</v>
      </c>
    </row>
    <row r="5064" spans="1:4" x14ac:dyDescent="0.3">
      <c r="A5064" s="34">
        <v>41733</v>
      </c>
      <c r="B5064" s="35">
        <v>1</v>
      </c>
      <c r="C5064" s="35">
        <v>0</v>
      </c>
      <c r="D5064" s="2">
        <f t="shared" si="79"/>
        <v>1</v>
      </c>
    </row>
    <row r="5065" spans="1:4" x14ac:dyDescent="0.3">
      <c r="A5065" s="34">
        <v>41734</v>
      </c>
      <c r="B5065" s="35">
        <v>1</v>
      </c>
      <c r="C5065" s="35">
        <v>0</v>
      </c>
      <c r="D5065" s="2">
        <f t="shared" si="79"/>
        <v>1</v>
      </c>
    </row>
    <row r="5066" spans="1:4" x14ac:dyDescent="0.3">
      <c r="A5066" s="34">
        <v>41747</v>
      </c>
      <c r="B5066" s="35">
        <v>1</v>
      </c>
      <c r="C5066" s="35">
        <v>0</v>
      </c>
      <c r="D5066" s="2">
        <f t="shared" si="79"/>
        <v>1</v>
      </c>
    </row>
    <row r="5067" spans="1:4" x14ac:dyDescent="0.3">
      <c r="A5067" s="34">
        <v>41748</v>
      </c>
      <c r="B5067" s="35">
        <v>1</v>
      </c>
      <c r="C5067" s="35">
        <v>0</v>
      </c>
      <c r="D5067" s="2">
        <f t="shared" si="79"/>
        <v>1</v>
      </c>
    </row>
    <row r="5068" spans="1:4" x14ac:dyDescent="0.3">
      <c r="A5068" s="34">
        <v>41753</v>
      </c>
      <c r="B5068" s="35">
        <v>1</v>
      </c>
      <c r="C5068" s="35">
        <v>0</v>
      </c>
      <c r="D5068" s="2">
        <f t="shared" si="79"/>
        <v>1</v>
      </c>
    </row>
    <row r="5069" spans="1:4" x14ac:dyDescent="0.3">
      <c r="A5069" s="34">
        <v>41756</v>
      </c>
      <c r="B5069" s="35">
        <v>1</v>
      </c>
      <c r="C5069" s="35">
        <v>1</v>
      </c>
      <c r="D5069" s="2">
        <f t="shared" si="79"/>
        <v>2</v>
      </c>
    </row>
    <row r="5070" spans="1:4" x14ac:dyDescent="0.3">
      <c r="A5070" s="34">
        <v>41817</v>
      </c>
      <c r="B5070" s="35">
        <v>3</v>
      </c>
      <c r="C5070" s="35">
        <v>3</v>
      </c>
      <c r="D5070" s="2">
        <f t="shared" si="79"/>
        <v>6</v>
      </c>
    </row>
    <row r="5071" spans="1:4" x14ac:dyDescent="0.3">
      <c r="A5071" s="34">
        <v>41819</v>
      </c>
      <c r="B5071" s="35">
        <v>1</v>
      </c>
      <c r="C5071" s="35">
        <v>0</v>
      </c>
      <c r="D5071" s="2">
        <f t="shared" si="79"/>
        <v>1</v>
      </c>
    </row>
    <row r="5072" spans="1:4" x14ac:dyDescent="0.3">
      <c r="A5072" s="34">
        <v>41820</v>
      </c>
      <c r="B5072" s="35">
        <v>1</v>
      </c>
      <c r="C5072" s="35">
        <v>0</v>
      </c>
      <c r="D5072" s="2">
        <f t="shared" si="79"/>
        <v>1</v>
      </c>
    </row>
    <row r="5073" spans="1:4" x14ac:dyDescent="0.3">
      <c r="A5073" s="34">
        <v>41823</v>
      </c>
      <c r="B5073" s="35">
        <v>1</v>
      </c>
      <c r="C5073" s="35">
        <v>0</v>
      </c>
      <c r="D5073" s="2">
        <f t="shared" si="79"/>
        <v>1</v>
      </c>
    </row>
    <row r="5074" spans="1:4" x14ac:dyDescent="0.3">
      <c r="A5074" s="34">
        <v>41825</v>
      </c>
      <c r="B5074" s="35">
        <v>1</v>
      </c>
      <c r="C5074" s="35">
        <v>0</v>
      </c>
      <c r="D5074" s="2">
        <f t="shared" si="79"/>
        <v>1</v>
      </c>
    </row>
    <row r="5075" spans="1:4" x14ac:dyDescent="0.3">
      <c r="A5075" s="34">
        <v>41828</v>
      </c>
      <c r="B5075" s="35">
        <v>1</v>
      </c>
      <c r="C5075" s="35">
        <v>0</v>
      </c>
      <c r="D5075" s="2">
        <f t="shared" si="79"/>
        <v>1</v>
      </c>
    </row>
    <row r="5076" spans="1:4" x14ac:dyDescent="0.3">
      <c r="A5076" s="34">
        <v>41834</v>
      </c>
      <c r="B5076" s="35">
        <v>1</v>
      </c>
      <c r="C5076" s="35">
        <v>0</v>
      </c>
      <c r="D5076" s="2">
        <f t="shared" si="79"/>
        <v>1</v>
      </c>
    </row>
    <row r="5077" spans="1:4" x14ac:dyDescent="0.3">
      <c r="A5077" s="34">
        <v>41838</v>
      </c>
      <c r="B5077" s="35">
        <v>2</v>
      </c>
      <c r="C5077" s="35">
        <v>0</v>
      </c>
      <c r="D5077" s="2">
        <f t="shared" si="79"/>
        <v>2</v>
      </c>
    </row>
    <row r="5078" spans="1:4" x14ac:dyDescent="0.3">
      <c r="A5078" s="34">
        <v>41847</v>
      </c>
      <c r="B5078" s="35">
        <v>2</v>
      </c>
      <c r="C5078" s="35">
        <v>0</v>
      </c>
      <c r="D5078" s="2">
        <f t="shared" si="79"/>
        <v>2</v>
      </c>
    </row>
    <row r="5079" spans="1:4" x14ac:dyDescent="0.3">
      <c r="A5079" s="34">
        <v>41848</v>
      </c>
      <c r="B5079" s="35">
        <v>1</v>
      </c>
      <c r="C5079" s="35">
        <v>0</v>
      </c>
      <c r="D5079" s="2">
        <f t="shared" si="79"/>
        <v>1</v>
      </c>
    </row>
    <row r="5080" spans="1:4" x14ac:dyDescent="0.3">
      <c r="A5080" s="34">
        <v>41849</v>
      </c>
      <c r="B5080" s="35">
        <v>1</v>
      </c>
      <c r="C5080" s="35">
        <v>0</v>
      </c>
      <c r="D5080" s="2">
        <f t="shared" si="79"/>
        <v>1</v>
      </c>
    </row>
    <row r="5081" spans="1:4" x14ac:dyDescent="0.3">
      <c r="A5081" s="34">
        <v>41850</v>
      </c>
      <c r="B5081" s="35">
        <v>1</v>
      </c>
      <c r="C5081" s="35">
        <v>0</v>
      </c>
      <c r="D5081" s="2">
        <f t="shared" si="79"/>
        <v>1</v>
      </c>
    </row>
    <row r="5082" spans="1:4" x14ac:dyDescent="0.3">
      <c r="A5082" s="34">
        <v>41851</v>
      </c>
      <c r="B5082" s="35">
        <v>2</v>
      </c>
      <c r="C5082" s="35">
        <v>1</v>
      </c>
      <c r="D5082" s="2">
        <f t="shared" si="79"/>
        <v>3</v>
      </c>
    </row>
    <row r="5083" spans="1:4" x14ac:dyDescent="0.3">
      <c r="A5083" s="34">
        <v>41853</v>
      </c>
      <c r="B5083" s="35">
        <v>1</v>
      </c>
      <c r="C5083" s="35">
        <v>0</v>
      </c>
      <c r="D5083" s="2">
        <f t="shared" si="79"/>
        <v>1</v>
      </c>
    </row>
    <row r="5084" spans="1:4" x14ac:dyDescent="0.3">
      <c r="A5084" s="34">
        <v>41855</v>
      </c>
      <c r="B5084" s="35">
        <v>1</v>
      </c>
      <c r="C5084" s="35">
        <v>0</v>
      </c>
      <c r="D5084" s="2">
        <f t="shared" si="79"/>
        <v>1</v>
      </c>
    </row>
    <row r="5085" spans="1:4" x14ac:dyDescent="0.3">
      <c r="A5085" s="34">
        <v>41856</v>
      </c>
      <c r="B5085" s="35">
        <v>1</v>
      </c>
      <c r="C5085" s="35">
        <v>0</v>
      </c>
      <c r="D5085" s="2">
        <f t="shared" si="79"/>
        <v>1</v>
      </c>
    </row>
    <row r="5086" spans="1:4" x14ac:dyDescent="0.3">
      <c r="A5086" s="34">
        <v>41857</v>
      </c>
      <c r="B5086" s="35">
        <v>1</v>
      </c>
      <c r="C5086" s="35">
        <v>0</v>
      </c>
      <c r="D5086" s="2">
        <f t="shared" si="79"/>
        <v>1</v>
      </c>
    </row>
    <row r="5087" spans="1:4" x14ac:dyDescent="0.3">
      <c r="A5087" s="34">
        <v>41864</v>
      </c>
      <c r="B5087" s="35">
        <v>1</v>
      </c>
      <c r="C5087" s="35">
        <v>0</v>
      </c>
      <c r="D5087" s="2">
        <f t="shared" si="79"/>
        <v>1</v>
      </c>
    </row>
    <row r="5088" spans="1:4" x14ac:dyDescent="0.3">
      <c r="A5088" s="34">
        <v>41865</v>
      </c>
      <c r="B5088" s="35">
        <v>1</v>
      </c>
      <c r="C5088" s="35">
        <v>0</v>
      </c>
      <c r="D5088" s="2">
        <f t="shared" si="79"/>
        <v>1</v>
      </c>
    </row>
    <row r="5089" spans="1:4" x14ac:dyDescent="0.3">
      <c r="A5089" s="34">
        <v>41872</v>
      </c>
      <c r="B5089" s="35">
        <v>1</v>
      </c>
      <c r="C5089" s="35">
        <v>0</v>
      </c>
      <c r="D5089" s="2">
        <f t="shared" si="79"/>
        <v>1</v>
      </c>
    </row>
    <row r="5090" spans="1:4" x14ac:dyDescent="0.3">
      <c r="A5090" s="34">
        <v>41873</v>
      </c>
      <c r="B5090" s="35">
        <v>1</v>
      </c>
      <c r="C5090" s="35">
        <v>0</v>
      </c>
      <c r="D5090" s="2">
        <f t="shared" si="79"/>
        <v>1</v>
      </c>
    </row>
    <row r="5091" spans="1:4" x14ac:dyDescent="0.3">
      <c r="A5091" s="34">
        <v>41875</v>
      </c>
      <c r="B5091" s="35">
        <v>1</v>
      </c>
      <c r="C5091" s="35">
        <v>0</v>
      </c>
      <c r="D5091" s="2">
        <f t="shared" si="79"/>
        <v>1</v>
      </c>
    </row>
    <row r="5092" spans="1:4" x14ac:dyDescent="0.3">
      <c r="A5092" s="34">
        <v>41880</v>
      </c>
      <c r="B5092" s="35">
        <v>1</v>
      </c>
      <c r="C5092" s="35">
        <v>0</v>
      </c>
      <c r="D5092" s="2">
        <f t="shared" si="79"/>
        <v>1</v>
      </c>
    </row>
    <row r="5093" spans="1:4" x14ac:dyDescent="0.3">
      <c r="A5093" s="34">
        <v>41886</v>
      </c>
      <c r="B5093" s="35">
        <v>1</v>
      </c>
      <c r="C5093" s="35">
        <v>0</v>
      </c>
      <c r="D5093" s="2">
        <f t="shared" si="79"/>
        <v>1</v>
      </c>
    </row>
    <row r="5094" spans="1:4" x14ac:dyDescent="0.3">
      <c r="A5094" s="34">
        <v>41889</v>
      </c>
      <c r="B5094" s="35">
        <v>1</v>
      </c>
      <c r="C5094" s="35">
        <v>0</v>
      </c>
      <c r="D5094" s="2">
        <f t="shared" si="79"/>
        <v>1</v>
      </c>
    </row>
    <row r="5095" spans="1:4" x14ac:dyDescent="0.3">
      <c r="A5095" s="34">
        <v>41893</v>
      </c>
      <c r="B5095" s="35">
        <v>1</v>
      </c>
      <c r="C5095" s="35">
        <v>0</v>
      </c>
      <c r="D5095" s="2">
        <f t="shared" si="79"/>
        <v>1</v>
      </c>
    </row>
    <row r="5096" spans="1:4" x14ac:dyDescent="0.3">
      <c r="A5096" s="34">
        <v>41899</v>
      </c>
      <c r="B5096" s="35">
        <v>1</v>
      </c>
      <c r="C5096" s="35">
        <v>0</v>
      </c>
      <c r="D5096" s="2">
        <f t="shared" si="79"/>
        <v>1</v>
      </c>
    </row>
    <row r="5097" spans="1:4" x14ac:dyDescent="0.3">
      <c r="A5097" s="34">
        <v>41900</v>
      </c>
      <c r="B5097" s="35">
        <v>1</v>
      </c>
      <c r="C5097" s="35">
        <v>0</v>
      </c>
      <c r="D5097" s="2">
        <f t="shared" si="79"/>
        <v>1</v>
      </c>
    </row>
    <row r="5098" spans="1:4" x14ac:dyDescent="0.3">
      <c r="A5098" s="34">
        <v>41901</v>
      </c>
      <c r="B5098" s="35">
        <v>1</v>
      </c>
      <c r="C5098" s="35">
        <v>0</v>
      </c>
      <c r="D5098" s="2">
        <f t="shared" si="79"/>
        <v>1</v>
      </c>
    </row>
    <row r="5099" spans="1:4" x14ac:dyDescent="0.3">
      <c r="A5099" s="34">
        <v>41902</v>
      </c>
      <c r="B5099" s="35">
        <v>1</v>
      </c>
      <c r="C5099" s="35">
        <v>0</v>
      </c>
      <c r="D5099" s="2">
        <f t="shared" si="79"/>
        <v>1</v>
      </c>
    </row>
    <row r="5100" spans="1:4" x14ac:dyDescent="0.3">
      <c r="A5100" s="34">
        <v>41906</v>
      </c>
      <c r="B5100" s="35">
        <v>2</v>
      </c>
      <c r="C5100" s="35">
        <v>2</v>
      </c>
      <c r="D5100" s="2">
        <f t="shared" si="79"/>
        <v>4</v>
      </c>
    </row>
    <row r="5101" spans="1:4" x14ac:dyDescent="0.3">
      <c r="A5101" s="34">
        <v>41907</v>
      </c>
      <c r="B5101" s="35">
        <v>1</v>
      </c>
      <c r="C5101" s="35">
        <v>0</v>
      </c>
      <c r="D5101" s="2">
        <f t="shared" si="79"/>
        <v>1</v>
      </c>
    </row>
    <row r="5102" spans="1:4" x14ac:dyDescent="0.3">
      <c r="A5102" s="34">
        <v>41908</v>
      </c>
      <c r="B5102" s="35">
        <v>1</v>
      </c>
      <c r="C5102" s="35">
        <v>0</v>
      </c>
      <c r="D5102" s="2">
        <f t="shared" si="79"/>
        <v>1</v>
      </c>
    </row>
    <row r="5103" spans="1:4" x14ac:dyDescent="0.3">
      <c r="A5103" s="34">
        <v>41910</v>
      </c>
      <c r="B5103" s="35">
        <v>1</v>
      </c>
      <c r="C5103" s="35">
        <v>1</v>
      </c>
      <c r="D5103" s="2">
        <f t="shared" si="79"/>
        <v>2</v>
      </c>
    </row>
    <row r="5104" spans="1:4" x14ac:dyDescent="0.3">
      <c r="A5104" s="34">
        <v>41914</v>
      </c>
      <c r="B5104" s="35">
        <v>1</v>
      </c>
      <c r="C5104" s="35">
        <v>0</v>
      </c>
      <c r="D5104" s="2">
        <f t="shared" si="79"/>
        <v>1</v>
      </c>
    </row>
    <row r="5105" spans="1:4" x14ac:dyDescent="0.3">
      <c r="A5105" s="34">
        <v>41916</v>
      </c>
      <c r="B5105" s="35">
        <v>1</v>
      </c>
      <c r="C5105" s="35">
        <v>0</v>
      </c>
      <c r="D5105" s="2">
        <f t="shared" si="79"/>
        <v>1</v>
      </c>
    </row>
    <row r="5106" spans="1:4" x14ac:dyDescent="0.3">
      <c r="A5106" s="34">
        <v>41917</v>
      </c>
      <c r="B5106" s="35">
        <v>1</v>
      </c>
      <c r="C5106" s="35">
        <v>0</v>
      </c>
      <c r="D5106" s="2">
        <f t="shared" si="79"/>
        <v>1</v>
      </c>
    </row>
    <row r="5107" spans="1:4" x14ac:dyDescent="0.3">
      <c r="A5107" s="34">
        <v>41918</v>
      </c>
      <c r="B5107" s="35">
        <v>1</v>
      </c>
      <c r="C5107" s="35">
        <v>0</v>
      </c>
      <c r="D5107" s="2">
        <f t="shared" si="79"/>
        <v>1</v>
      </c>
    </row>
    <row r="5108" spans="1:4" x14ac:dyDescent="0.3">
      <c r="A5108" s="34">
        <v>41921</v>
      </c>
      <c r="B5108" s="35">
        <v>2</v>
      </c>
      <c r="C5108" s="35">
        <v>1</v>
      </c>
      <c r="D5108" s="2">
        <f t="shared" si="79"/>
        <v>3</v>
      </c>
    </row>
    <row r="5109" spans="1:4" x14ac:dyDescent="0.3">
      <c r="A5109" s="34">
        <v>41929</v>
      </c>
      <c r="B5109" s="35">
        <v>1</v>
      </c>
      <c r="C5109" s="35">
        <v>0</v>
      </c>
      <c r="D5109" s="2">
        <f t="shared" si="79"/>
        <v>1</v>
      </c>
    </row>
    <row r="5110" spans="1:4" x14ac:dyDescent="0.3">
      <c r="A5110" s="34">
        <v>41932</v>
      </c>
      <c r="B5110" s="35">
        <v>1</v>
      </c>
      <c r="C5110" s="35">
        <v>0</v>
      </c>
      <c r="D5110" s="2">
        <f t="shared" si="79"/>
        <v>1</v>
      </c>
    </row>
    <row r="5111" spans="1:4" x14ac:dyDescent="0.3">
      <c r="A5111" s="34">
        <v>41933</v>
      </c>
      <c r="B5111" s="35">
        <v>1</v>
      </c>
      <c r="C5111" s="35">
        <v>0</v>
      </c>
      <c r="D5111" s="2">
        <f t="shared" si="79"/>
        <v>1</v>
      </c>
    </row>
    <row r="5112" spans="1:4" x14ac:dyDescent="0.3">
      <c r="A5112" s="34">
        <v>42030</v>
      </c>
      <c r="B5112" s="35">
        <v>4</v>
      </c>
      <c r="C5112" s="35">
        <v>0</v>
      </c>
      <c r="D5112" s="2">
        <f t="shared" si="79"/>
        <v>4</v>
      </c>
    </row>
    <row r="5113" spans="1:4" x14ac:dyDescent="0.3">
      <c r="A5113" s="34">
        <v>42031</v>
      </c>
      <c r="B5113" s="35">
        <v>1</v>
      </c>
      <c r="C5113" s="35">
        <v>0</v>
      </c>
      <c r="D5113" s="2">
        <f t="shared" si="79"/>
        <v>1</v>
      </c>
    </row>
    <row r="5114" spans="1:4" x14ac:dyDescent="0.3">
      <c r="A5114" s="34">
        <v>42032</v>
      </c>
      <c r="B5114" s="35">
        <v>1</v>
      </c>
      <c r="C5114" s="35">
        <v>0</v>
      </c>
      <c r="D5114" s="2">
        <f t="shared" si="79"/>
        <v>1</v>
      </c>
    </row>
    <row r="5115" spans="1:4" x14ac:dyDescent="0.3">
      <c r="A5115" s="34">
        <v>42036</v>
      </c>
      <c r="B5115" s="35">
        <v>1</v>
      </c>
      <c r="C5115" s="35">
        <v>0</v>
      </c>
      <c r="D5115" s="2">
        <f t="shared" si="79"/>
        <v>1</v>
      </c>
    </row>
    <row r="5116" spans="1:4" x14ac:dyDescent="0.3">
      <c r="A5116" s="34">
        <v>42037</v>
      </c>
      <c r="B5116" s="35">
        <v>1</v>
      </c>
      <c r="C5116" s="35">
        <v>0</v>
      </c>
      <c r="D5116" s="2">
        <f t="shared" si="79"/>
        <v>1</v>
      </c>
    </row>
    <row r="5117" spans="1:4" x14ac:dyDescent="0.3">
      <c r="A5117" s="34">
        <v>42044</v>
      </c>
      <c r="B5117" s="35">
        <v>2</v>
      </c>
      <c r="C5117" s="35">
        <v>0</v>
      </c>
      <c r="D5117" s="2">
        <f t="shared" si="79"/>
        <v>2</v>
      </c>
    </row>
    <row r="5118" spans="1:4" x14ac:dyDescent="0.3">
      <c r="A5118" s="34">
        <v>42045</v>
      </c>
      <c r="B5118" s="35">
        <v>1</v>
      </c>
      <c r="C5118" s="35">
        <v>0</v>
      </c>
      <c r="D5118" s="2">
        <f t="shared" si="79"/>
        <v>1</v>
      </c>
    </row>
    <row r="5119" spans="1:4" x14ac:dyDescent="0.3">
      <c r="A5119" s="34">
        <v>42047</v>
      </c>
      <c r="B5119" s="35">
        <v>1</v>
      </c>
      <c r="C5119" s="35">
        <v>0</v>
      </c>
      <c r="D5119" s="2">
        <f t="shared" si="79"/>
        <v>1</v>
      </c>
    </row>
    <row r="5120" spans="1:4" x14ac:dyDescent="0.3">
      <c r="A5120" s="34">
        <v>42054</v>
      </c>
      <c r="B5120" s="35">
        <v>1</v>
      </c>
      <c r="C5120" s="35">
        <v>1</v>
      </c>
      <c r="D5120" s="2">
        <f t="shared" si="79"/>
        <v>2</v>
      </c>
    </row>
    <row r="5121" spans="1:4" x14ac:dyDescent="0.3">
      <c r="A5121" s="34">
        <v>42055</v>
      </c>
      <c r="B5121" s="35">
        <v>1</v>
      </c>
      <c r="C5121" s="35">
        <v>1</v>
      </c>
      <c r="D5121" s="2">
        <f t="shared" si="79"/>
        <v>2</v>
      </c>
    </row>
    <row r="5122" spans="1:4" x14ac:dyDescent="0.3">
      <c r="A5122" s="34">
        <v>42064</v>
      </c>
      <c r="B5122" s="35">
        <v>1</v>
      </c>
      <c r="C5122" s="35">
        <v>0</v>
      </c>
      <c r="D5122" s="2">
        <f t="shared" si="79"/>
        <v>1</v>
      </c>
    </row>
    <row r="5123" spans="1:4" x14ac:dyDescent="0.3">
      <c r="A5123" s="34">
        <v>42102</v>
      </c>
      <c r="B5123" s="35">
        <v>1</v>
      </c>
      <c r="C5123" s="35">
        <v>0</v>
      </c>
      <c r="D5123" s="2">
        <f t="shared" ref="D5123:D5186" si="80">B5123+C5123</f>
        <v>1</v>
      </c>
    </row>
    <row r="5124" spans="1:4" x14ac:dyDescent="0.3">
      <c r="A5124" s="34">
        <v>42103</v>
      </c>
      <c r="B5124" s="35">
        <v>1</v>
      </c>
      <c r="C5124" s="35">
        <v>0</v>
      </c>
      <c r="D5124" s="2">
        <f t="shared" si="80"/>
        <v>1</v>
      </c>
    </row>
    <row r="5125" spans="1:4" x14ac:dyDescent="0.3">
      <c r="A5125" s="34">
        <v>42106</v>
      </c>
      <c r="B5125" s="35">
        <v>1</v>
      </c>
      <c r="C5125" s="35">
        <v>0</v>
      </c>
      <c r="D5125" s="2">
        <f t="shared" si="80"/>
        <v>1</v>
      </c>
    </row>
    <row r="5126" spans="1:4" x14ac:dyDescent="0.3">
      <c r="A5126" s="34">
        <v>42107</v>
      </c>
      <c r="B5126" s="35">
        <v>1</v>
      </c>
      <c r="C5126" s="35">
        <v>0</v>
      </c>
      <c r="D5126" s="2">
        <f t="shared" si="80"/>
        <v>1</v>
      </c>
    </row>
    <row r="5127" spans="1:4" x14ac:dyDescent="0.3">
      <c r="A5127" s="34">
        <v>42111</v>
      </c>
      <c r="B5127" s="35">
        <v>1</v>
      </c>
      <c r="C5127" s="35">
        <v>0</v>
      </c>
      <c r="D5127" s="2">
        <f t="shared" si="80"/>
        <v>1</v>
      </c>
    </row>
    <row r="5128" spans="1:4" x14ac:dyDescent="0.3">
      <c r="A5128" s="34">
        <v>42113</v>
      </c>
      <c r="B5128" s="35">
        <v>1</v>
      </c>
      <c r="C5128" s="35">
        <v>0</v>
      </c>
      <c r="D5128" s="2">
        <f t="shared" si="80"/>
        <v>1</v>
      </c>
    </row>
    <row r="5129" spans="1:4" x14ac:dyDescent="0.3">
      <c r="A5129" s="34">
        <v>42114</v>
      </c>
      <c r="B5129" s="35">
        <v>1</v>
      </c>
      <c r="C5129" s="35">
        <v>0</v>
      </c>
      <c r="D5129" s="2">
        <f t="shared" si="80"/>
        <v>1</v>
      </c>
    </row>
    <row r="5130" spans="1:4" x14ac:dyDescent="0.3">
      <c r="A5130" s="34">
        <v>42116</v>
      </c>
      <c r="B5130" s="35">
        <v>1</v>
      </c>
      <c r="C5130" s="35">
        <v>0</v>
      </c>
      <c r="D5130" s="2">
        <f t="shared" si="80"/>
        <v>1</v>
      </c>
    </row>
    <row r="5131" spans="1:4" x14ac:dyDescent="0.3">
      <c r="A5131" s="34">
        <v>42122</v>
      </c>
      <c r="B5131" s="35">
        <v>1</v>
      </c>
      <c r="C5131" s="35">
        <v>0</v>
      </c>
      <c r="D5131" s="2">
        <f t="shared" si="80"/>
        <v>1</v>
      </c>
    </row>
    <row r="5132" spans="1:4" x14ac:dyDescent="0.3">
      <c r="A5132" s="34">
        <v>42136</v>
      </c>
      <c r="B5132" s="35">
        <v>2</v>
      </c>
      <c r="C5132" s="35">
        <v>0</v>
      </c>
      <c r="D5132" s="2">
        <f t="shared" si="80"/>
        <v>2</v>
      </c>
    </row>
    <row r="5133" spans="1:4" x14ac:dyDescent="0.3">
      <c r="A5133" s="34">
        <v>42137</v>
      </c>
      <c r="B5133" s="35">
        <v>1</v>
      </c>
      <c r="C5133" s="35">
        <v>0</v>
      </c>
      <c r="D5133" s="2">
        <f t="shared" si="80"/>
        <v>1</v>
      </c>
    </row>
    <row r="5134" spans="1:4" x14ac:dyDescent="0.3">
      <c r="A5134" s="34">
        <v>42138</v>
      </c>
      <c r="B5134" s="35">
        <v>1</v>
      </c>
      <c r="C5134" s="35">
        <v>0</v>
      </c>
      <c r="D5134" s="2">
        <f t="shared" si="80"/>
        <v>1</v>
      </c>
    </row>
    <row r="5135" spans="1:4" x14ac:dyDescent="0.3">
      <c r="A5135" s="34">
        <v>42140</v>
      </c>
      <c r="B5135" s="35">
        <v>2</v>
      </c>
      <c r="C5135" s="35">
        <v>0</v>
      </c>
      <c r="D5135" s="2">
        <f t="shared" si="80"/>
        <v>2</v>
      </c>
    </row>
    <row r="5136" spans="1:4" x14ac:dyDescent="0.3">
      <c r="A5136" s="34">
        <v>42142</v>
      </c>
      <c r="B5136" s="35">
        <v>1</v>
      </c>
      <c r="C5136" s="35">
        <v>1</v>
      </c>
      <c r="D5136" s="2">
        <f t="shared" si="80"/>
        <v>2</v>
      </c>
    </row>
    <row r="5137" spans="1:4" x14ac:dyDescent="0.3">
      <c r="A5137" s="34">
        <v>42168</v>
      </c>
      <c r="B5137" s="35">
        <v>1</v>
      </c>
      <c r="C5137" s="35">
        <v>0</v>
      </c>
      <c r="D5137" s="2">
        <f t="shared" si="80"/>
        <v>1</v>
      </c>
    </row>
    <row r="5138" spans="1:4" x14ac:dyDescent="0.3">
      <c r="A5138" s="34">
        <v>42176</v>
      </c>
      <c r="B5138" s="35">
        <v>1</v>
      </c>
      <c r="C5138" s="35">
        <v>0</v>
      </c>
      <c r="D5138" s="2">
        <f t="shared" si="80"/>
        <v>1</v>
      </c>
    </row>
    <row r="5139" spans="1:4" x14ac:dyDescent="0.3">
      <c r="A5139" s="34">
        <v>42195</v>
      </c>
      <c r="B5139" s="35">
        <v>1</v>
      </c>
      <c r="C5139" s="35">
        <v>0</v>
      </c>
      <c r="D5139" s="2">
        <f t="shared" si="80"/>
        <v>1</v>
      </c>
    </row>
    <row r="5140" spans="1:4" x14ac:dyDescent="0.3">
      <c r="A5140" s="34">
        <v>42196</v>
      </c>
      <c r="B5140" s="35">
        <v>1</v>
      </c>
      <c r="C5140" s="35">
        <v>0</v>
      </c>
      <c r="D5140" s="2">
        <f t="shared" si="80"/>
        <v>1</v>
      </c>
    </row>
    <row r="5141" spans="1:4" x14ac:dyDescent="0.3">
      <c r="A5141" s="34">
        <v>42197</v>
      </c>
      <c r="B5141" s="35">
        <v>1</v>
      </c>
      <c r="C5141" s="35">
        <v>0</v>
      </c>
      <c r="D5141" s="2">
        <f t="shared" si="80"/>
        <v>1</v>
      </c>
    </row>
    <row r="5142" spans="1:4" x14ac:dyDescent="0.3">
      <c r="A5142" s="34">
        <v>42198</v>
      </c>
      <c r="B5142" s="35">
        <v>1</v>
      </c>
      <c r="C5142" s="35">
        <v>0</v>
      </c>
      <c r="D5142" s="2">
        <f t="shared" si="80"/>
        <v>1</v>
      </c>
    </row>
    <row r="5143" spans="1:4" x14ac:dyDescent="0.3">
      <c r="A5143" s="34">
        <v>42200</v>
      </c>
      <c r="B5143" s="35">
        <v>1</v>
      </c>
      <c r="C5143" s="35">
        <v>1</v>
      </c>
      <c r="D5143" s="2">
        <f t="shared" si="80"/>
        <v>2</v>
      </c>
    </row>
    <row r="5144" spans="1:4" x14ac:dyDescent="0.3">
      <c r="A5144" s="34">
        <v>42211</v>
      </c>
      <c r="B5144" s="35">
        <v>1</v>
      </c>
      <c r="C5144" s="35">
        <v>0</v>
      </c>
      <c r="D5144" s="2">
        <f t="shared" si="80"/>
        <v>1</v>
      </c>
    </row>
    <row r="5145" spans="1:4" x14ac:dyDescent="0.3">
      <c r="A5145" s="34">
        <v>42216</v>
      </c>
      <c r="B5145" s="35">
        <v>1</v>
      </c>
      <c r="C5145" s="35">
        <v>0</v>
      </c>
      <c r="D5145" s="2">
        <f t="shared" si="80"/>
        <v>1</v>
      </c>
    </row>
    <row r="5146" spans="1:4" x14ac:dyDescent="0.3">
      <c r="A5146" s="34">
        <v>42218</v>
      </c>
      <c r="B5146" s="35">
        <v>1</v>
      </c>
      <c r="C5146" s="35">
        <v>1</v>
      </c>
      <c r="D5146" s="2">
        <f t="shared" si="80"/>
        <v>2</v>
      </c>
    </row>
    <row r="5147" spans="1:4" x14ac:dyDescent="0.3">
      <c r="A5147" s="34">
        <v>42221</v>
      </c>
      <c r="B5147" s="35">
        <v>1</v>
      </c>
      <c r="C5147" s="35">
        <v>1</v>
      </c>
      <c r="D5147" s="2">
        <f t="shared" si="80"/>
        <v>2</v>
      </c>
    </row>
    <row r="5148" spans="1:4" x14ac:dyDescent="0.3">
      <c r="A5148" s="34">
        <v>42222</v>
      </c>
      <c r="B5148" s="35">
        <v>1</v>
      </c>
      <c r="C5148" s="35">
        <v>0</v>
      </c>
      <c r="D5148" s="2">
        <f t="shared" si="80"/>
        <v>1</v>
      </c>
    </row>
    <row r="5149" spans="1:4" x14ac:dyDescent="0.3">
      <c r="A5149" s="34">
        <v>42224</v>
      </c>
      <c r="B5149" s="35">
        <v>1</v>
      </c>
      <c r="C5149" s="35">
        <v>0</v>
      </c>
      <c r="D5149" s="2">
        <f t="shared" si="80"/>
        <v>1</v>
      </c>
    </row>
    <row r="5150" spans="1:4" x14ac:dyDescent="0.3">
      <c r="A5150" s="34">
        <v>42229</v>
      </c>
      <c r="B5150" s="35">
        <v>1</v>
      </c>
      <c r="C5150" s="35">
        <v>0</v>
      </c>
      <c r="D5150" s="2">
        <f t="shared" si="80"/>
        <v>1</v>
      </c>
    </row>
    <row r="5151" spans="1:4" x14ac:dyDescent="0.3">
      <c r="A5151" s="34">
        <v>42232</v>
      </c>
      <c r="B5151" s="35">
        <v>1</v>
      </c>
      <c r="C5151" s="35">
        <v>1</v>
      </c>
      <c r="D5151" s="2">
        <f t="shared" si="80"/>
        <v>2</v>
      </c>
    </row>
    <row r="5152" spans="1:4" x14ac:dyDescent="0.3">
      <c r="A5152" s="34">
        <v>42234</v>
      </c>
      <c r="B5152" s="35">
        <v>1</v>
      </c>
      <c r="C5152" s="35">
        <v>0</v>
      </c>
      <c r="D5152" s="2">
        <f t="shared" si="80"/>
        <v>1</v>
      </c>
    </row>
    <row r="5153" spans="1:4" x14ac:dyDescent="0.3">
      <c r="A5153" s="34">
        <v>42235</v>
      </c>
      <c r="B5153" s="35">
        <v>1</v>
      </c>
      <c r="C5153" s="35">
        <v>0</v>
      </c>
      <c r="D5153" s="2">
        <f t="shared" si="80"/>
        <v>1</v>
      </c>
    </row>
    <row r="5154" spans="1:4" x14ac:dyDescent="0.3">
      <c r="A5154" s="34">
        <v>42237</v>
      </c>
      <c r="B5154" s="35">
        <v>2</v>
      </c>
      <c r="C5154" s="35">
        <v>0</v>
      </c>
      <c r="D5154" s="2">
        <f t="shared" si="80"/>
        <v>2</v>
      </c>
    </row>
    <row r="5155" spans="1:4" x14ac:dyDescent="0.3">
      <c r="A5155" s="34">
        <v>42238</v>
      </c>
      <c r="B5155" s="35">
        <v>1</v>
      </c>
      <c r="C5155" s="35">
        <v>0</v>
      </c>
      <c r="D5155" s="2">
        <f t="shared" si="80"/>
        <v>1</v>
      </c>
    </row>
    <row r="5156" spans="1:4" x14ac:dyDescent="0.3">
      <c r="A5156" s="34">
        <v>42239</v>
      </c>
      <c r="B5156" s="35">
        <v>2</v>
      </c>
      <c r="C5156" s="35">
        <v>0</v>
      </c>
      <c r="D5156" s="2">
        <f t="shared" si="80"/>
        <v>2</v>
      </c>
    </row>
    <row r="5157" spans="1:4" x14ac:dyDescent="0.3">
      <c r="A5157" s="34">
        <v>42241</v>
      </c>
      <c r="B5157" s="35">
        <v>2</v>
      </c>
      <c r="C5157" s="35">
        <v>2</v>
      </c>
      <c r="D5157" s="2">
        <f t="shared" si="80"/>
        <v>4</v>
      </c>
    </row>
    <row r="5158" spans="1:4" x14ac:dyDescent="0.3">
      <c r="A5158" s="34">
        <v>42245</v>
      </c>
      <c r="B5158" s="35">
        <v>1</v>
      </c>
      <c r="C5158" s="35">
        <v>0</v>
      </c>
      <c r="D5158" s="2">
        <f t="shared" si="80"/>
        <v>1</v>
      </c>
    </row>
    <row r="5159" spans="1:4" x14ac:dyDescent="0.3">
      <c r="A5159" s="34">
        <v>42247</v>
      </c>
      <c r="B5159" s="35">
        <v>2</v>
      </c>
      <c r="C5159" s="35">
        <v>1</v>
      </c>
      <c r="D5159" s="2">
        <f t="shared" si="80"/>
        <v>3</v>
      </c>
    </row>
    <row r="5160" spans="1:4" x14ac:dyDescent="0.3">
      <c r="A5160" s="34">
        <v>42249</v>
      </c>
      <c r="B5160" s="35">
        <v>2</v>
      </c>
      <c r="C5160" s="35">
        <v>1</v>
      </c>
      <c r="D5160" s="2">
        <f t="shared" si="80"/>
        <v>3</v>
      </c>
    </row>
    <row r="5161" spans="1:4" x14ac:dyDescent="0.3">
      <c r="A5161" s="34">
        <v>42250</v>
      </c>
      <c r="B5161" s="35">
        <v>1</v>
      </c>
      <c r="C5161" s="35">
        <v>1</v>
      </c>
      <c r="D5161" s="2">
        <f t="shared" si="80"/>
        <v>2</v>
      </c>
    </row>
    <row r="5162" spans="1:4" x14ac:dyDescent="0.3">
      <c r="A5162" s="34">
        <v>42251</v>
      </c>
      <c r="B5162" s="35">
        <v>1</v>
      </c>
      <c r="C5162" s="35">
        <v>1</v>
      </c>
      <c r="D5162" s="2">
        <f t="shared" si="80"/>
        <v>2</v>
      </c>
    </row>
    <row r="5163" spans="1:4" x14ac:dyDescent="0.3">
      <c r="A5163" s="34">
        <v>42260</v>
      </c>
      <c r="B5163" s="35">
        <v>1</v>
      </c>
      <c r="C5163" s="35">
        <v>0</v>
      </c>
      <c r="D5163" s="2">
        <f t="shared" si="80"/>
        <v>1</v>
      </c>
    </row>
    <row r="5164" spans="1:4" x14ac:dyDescent="0.3">
      <c r="A5164" s="34">
        <v>42262</v>
      </c>
      <c r="B5164" s="35">
        <v>1</v>
      </c>
      <c r="C5164" s="35">
        <v>0</v>
      </c>
      <c r="D5164" s="2">
        <f t="shared" si="80"/>
        <v>1</v>
      </c>
    </row>
    <row r="5165" spans="1:4" x14ac:dyDescent="0.3">
      <c r="A5165" s="34">
        <v>42265</v>
      </c>
      <c r="B5165" s="35">
        <v>1</v>
      </c>
      <c r="C5165" s="35">
        <v>0</v>
      </c>
      <c r="D5165" s="2">
        <f t="shared" si="80"/>
        <v>1</v>
      </c>
    </row>
    <row r="5166" spans="1:4" x14ac:dyDescent="0.3">
      <c r="A5166" s="34">
        <v>42268</v>
      </c>
      <c r="B5166" s="35">
        <v>1</v>
      </c>
      <c r="C5166" s="35">
        <v>0</v>
      </c>
      <c r="D5166" s="2">
        <f t="shared" si="80"/>
        <v>1</v>
      </c>
    </row>
    <row r="5167" spans="1:4" x14ac:dyDescent="0.3">
      <c r="A5167" s="34">
        <v>42269</v>
      </c>
      <c r="B5167" s="35">
        <v>1</v>
      </c>
      <c r="C5167" s="35">
        <v>0</v>
      </c>
      <c r="D5167" s="2">
        <f t="shared" si="80"/>
        <v>1</v>
      </c>
    </row>
    <row r="5168" spans="1:4" x14ac:dyDescent="0.3">
      <c r="A5168" s="34">
        <v>42270</v>
      </c>
      <c r="B5168" s="35">
        <v>1</v>
      </c>
      <c r="C5168" s="35">
        <v>0</v>
      </c>
      <c r="D5168" s="2">
        <f t="shared" si="80"/>
        <v>1</v>
      </c>
    </row>
    <row r="5169" spans="1:4" x14ac:dyDescent="0.3">
      <c r="A5169" s="34">
        <v>42274</v>
      </c>
      <c r="B5169" s="35">
        <v>2</v>
      </c>
      <c r="C5169" s="35">
        <v>0</v>
      </c>
      <c r="D5169" s="2">
        <f t="shared" si="80"/>
        <v>2</v>
      </c>
    </row>
    <row r="5170" spans="1:4" x14ac:dyDescent="0.3">
      <c r="A5170" s="34">
        <v>42278</v>
      </c>
      <c r="B5170" s="35">
        <v>1</v>
      </c>
      <c r="C5170" s="35">
        <v>0</v>
      </c>
      <c r="D5170" s="2">
        <f t="shared" si="80"/>
        <v>1</v>
      </c>
    </row>
    <row r="5171" spans="1:4" x14ac:dyDescent="0.3">
      <c r="A5171" s="34">
        <v>42281</v>
      </c>
      <c r="B5171" s="35">
        <v>1</v>
      </c>
      <c r="C5171" s="35">
        <v>0</v>
      </c>
      <c r="D5171" s="2">
        <f t="shared" si="80"/>
        <v>1</v>
      </c>
    </row>
    <row r="5172" spans="1:4" x14ac:dyDescent="0.3">
      <c r="A5172" s="34">
        <v>42283</v>
      </c>
      <c r="B5172" s="35">
        <v>1</v>
      </c>
      <c r="C5172" s="35">
        <v>0</v>
      </c>
      <c r="D5172" s="2">
        <f t="shared" si="80"/>
        <v>1</v>
      </c>
    </row>
    <row r="5173" spans="1:4" x14ac:dyDescent="0.3">
      <c r="A5173" s="34">
        <v>42284</v>
      </c>
      <c r="B5173" s="35">
        <v>1</v>
      </c>
      <c r="C5173" s="35">
        <v>0</v>
      </c>
      <c r="D5173" s="2">
        <f t="shared" si="80"/>
        <v>1</v>
      </c>
    </row>
    <row r="5174" spans="1:4" x14ac:dyDescent="0.3">
      <c r="A5174" s="34">
        <v>42287</v>
      </c>
      <c r="B5174" s="35">
        <v>2</v>
      </c>
      <c r="C5174" s="35">
        <v>1</v>
      </c>
      <c r="D5174" s="2">
        <f t="shared" si="80"/>
        <v>3</v>
      </c>
    </row>
    <row r="5175" spans="1:4" x14ac:dyDescent="0.3">
      <c r="A5175" s="34">
        <v>42290</v>
      </c>
      <c r="B5175" s="35">
        <v>1</v>
      </c>
      <c r="C5175" s="35">
        <v>0</v>
      </c>
      <c r="D5175" s="2">
        <f t="shared" si="80"/>
        <v>1</v>
      </c>
    </row>
    <row r="5176" spans="1:4" x14ac:dyDescent="0.3">
      <c r="A5176" s="34">
        <v>42293</v>
      </c>
      <c r="B5176" s="35">
        <v>1</v>
      </c>
      <c r="C5176" s="35">
        <v>0</v>
      </c>
      <c r="D5176" s="2">
        <f t="shared" si="80"/>
        <v>1</v>
      </c>
    </row>
    <row r="5177" spans="1:4" x14ac:dyDescent="0.3">
      <c r="A5177" s="34">
        <v>42294</v>
      </c>
      <c r="B5177" s="35">
        <v>1</v>
      </c>
      <c r="C5177" s="35">
        <v>1</v>
      </c>
      <c r="D5177" s="2">
        <f t="shared" si="80"/>
        <v>2</v>
      </c>
    </row>
    <row r="5178" spans="1:4" x14ac:dyDescent="0.3">
      <c r="A5178" s="34">
        <v>42297</v>
      </c>
      <c r="B5178" s="35">
        <v>1</v>
      </c>
      <c r="C5178" s="35">
        <v>0</v>
      </c>
      <c r="D5178" s="2">
        <f t="shared" si="80"/>
        <v>1</v>
      </c>
    </row>
    <row r="5179" spans="1:4" x14ac:dyDescent="0.3">
      <c r="A5179" s="34">
        <v>42299</v>
      </c>
      <c r="B5179" s="35">
        <v>1</v>
      </c>
      <c r="C5179" s="35">
        <v>0</v>
      </c>
      <c r="D5179" s="2">
        <f t="shared" si="80"/>
        <v>1</v>
      </c>
    </row>
    <row r="5180" spans="1:4" x14ac:dyDescent="0.3">
      <c r="A5180" s="34">
        <v>42327</v>
      </c>
      <c r="B5180" s="35">
        <v>3</v>
      </c>
      <c r="C5180" s="35">
        <v>3</v>
      </c>
      <c r="D5180" s="2">
        <f t="shared" si="80"/>
        <v>6</v>
      </c>
    </row>
    <row r="5181" spans="1:4" x14ac:dyDescent="0.3">
      <c r="A5181" s="34">
        <v>42329</v>
      </c>
      <c r="B5181" s="35">
        <v>1</v>
      </c>
      <c r="C5181" s="35">
        <v>1</v>
      </c>
      <c r="D5181" s="2">
        <f t="shared" si="80"/>
        <v>2</v>
      </c>
    </row>
    <row r="5182" spans="1:4" x14ac:dyDescent="0.3">
      <c r="A5182" s="34">
        <v>42330</v>
      </c>
      <c r="B5182" s="35">
        <v>1</v>
      </c>
      <c r="C5182" s="35">
        <v>1</v>
      </c>
      <c r="D5182" s="2">
        <f t="shared" si="80"/>
        <v>2</v>
      </c>
    </row>
    <row r="5183" spans="1:4" x14ac:dyDescent="0.3">
      <c r="A5183" s="34">
        <v>42356</v>
      </c>
      <c r="B5183" s="35">
        <v>3</v>
      </c>
      <c r="C5183" s="35">
        <v>0</v>
      </c>
      <c r="D5183" s="2">
        <f t="shared" si="80"/>
        <v>3</v>
      </c>
    </row>
    <row r="5184" spans="1:4" x14ac:dyDescent="0.3">
      <c r="A5184" s="34">
        <v>42357</v>
      </c>
      <c r="B5184" s="35">
        <v>1</v>
      </c>
      <c r="C5184" s="35">
        <v>0</v>
      </c>
      <c r="D5184" s="2">
        <f t="shared" si="80"/>
        <v>1</v>
      </c>
    </row>
    <row r="5185" spans="1:4" x14ac:dyDescent="0.3">
      <c r="A5185" s="34">
        <v>42358</v>
      </c>
      <c r="B5185" s="35">
        <v>1</v>
      </c>
      <c r="C5185" s="35">
        <v>0</v>
      </c>
      <c r="D5185" s="2">
        <f t="shared" si="80"/>
        <v>1</v>
      </c>
    </row>
    <row r="5186" spans="1:4" x14ac:dyDescent="0.3">
      <c r="A5186" s="34">
        <v>42365</v>
      </c>
      <c r="B5186" s="35">
        <v>1</v>
      </c>
      <c r="C5186" s="35">
        <v>0</v>
      </c>
      <c r="D5186" s="2">
        <f t="shared" si="80"/>
        <v>1</v>
      </c>
    </row>
    <row r="5187" spans="1:4" x14ac:dyDescent="0.3">
      <c r="A5187" s="34">
        <v>42367</v>
      </c>
      <c r="B5187" s="35">
        <v>1</v>
      </c>
      <c r="C5187" s="35">
        <v>0</v>
      </c>
      <c r="D5187" s="2">
        <f t="shared" ref="D5187:D5250" si="81">B5187+C5187</f>
        <v>1</v>
      </c>
    </row>
    <row r="5188" spans="1:4" x14ac:dyDescent="0.3">
      <c r="A5188" s="34">
        <v>42369</v>
      </c>
      <c r="B5188" s="35">
        <v>1</v>
      </c>
      <c r="C5188" s="35">
        <v>0</v>
      </c>
      <c r="D5188" s="2">
        <f t="shared" si="81"/>
        <v>1</v>
      </c>
    </row>
    <row r="5189" spans="1:4" x14ac:dyDescent="0.3">
      <c r="A5189" s="34">
        <v>42372</v>
      </c>
      <c r="B5189" s="35">
        <v>1</v>
      </c>
      <c r="C5189" s="35">
        <v>0</v>
      </c>
      <c r="D5189" s="2">
        <f t="shared" si="81"/>
        <v>1</v>
      </c>
    </row>
    <row r="5190" spans="1:4" x14ac:dyDescent="0.3">
      <c r="A5190" s="34">
        <v>42378</v>
      </c>
      <c r="B5190" s="35">
        <v>1</v>
      </c>
      <c r="C5190" s="35">
        <v>0</v>
      </c>
      <c r="D5190" s="2">
        <f t="shared" si="81"/>
        <v>1</v>
      </c>
    </row>
    <row r="5191" spans="1:4" x14ac:dyDescent="0.3">
      <c r="A5191" s="34">
        <v>42381</v>
      </c>
      <c r="B5191" s="35">
        <v>1</v>
      </c>
      <c r="C5191" s="35">
        <v>0</v>
      </c>
      <c r="D5191" s="2">
        <f t="shared" si="81"/>
        <v>1</v>
      </c>
    </row>
    <row r="5192" spans="1:4" x14ac:dyDescent="0.3">
      <c r="A5192" s="34">
        <v>42382</v>
      </c>
      <c r="B5192" s="35">
        <v>1</v>
      </c>
      <c r="C5192" s="35">
        <v>0</v>
      </c>
      <c r="D5192" s="2">
        <f t="shared" si="81"/>
        <v>1</v>
      </c>
    </row>
    <row r="5193" spans="1:4" x14ac:dyDescent="0.3">
      <c r="A5193" s="34">
        <v>42385</v>
      </c>
      <c r="B5193" s="35">
        <v>1</v>
      </c>
      <c r="C5193" s="35">
        <v>0</v>
      </c>
      <c r="D5193" s="2">
        <f t="shared" si="81"/>
        <v>1</v>
      </c>
    </row>
    <row r="5194" spans="1:4" x14ac:dyDescent="0.3">
      <c r="A5194" s="34">
        <v>42386</v>
      </c>
      <c r="B5194" s="35">
        <v>1</v>
      </c>
      <c r="C5194" s="35">
        <v>0</v>
      </c>
      <c r="D5194" s="2">
        <f t="shared" si="81"/>
        <v>1</v>
      </c>
    </row>
    <row r="5195" spans="1:4" x14ac:dyDescent="0.3">
      <c r="A5195" s="34">
        <v>42387</v>
      </c>
      <c r="B5195" s="35">
        <v>1</v>
      </c>
      <c r="C5195" s="35">
        <v>0</v>
      </c>
      <c r="D5195" s="2">
        <f t="shared" si="81"/>
        <v>1</v>
      </c>
    </row>
    <row r="5196" spans="1:4" x14ac:dyDescent="0.3">
      <c r="A5196" s="34">
        <v>42388</v>
      </c>
      <c r="B5196" s="35">
        <v>1</v>
      </c>
      <c r="C5196" s="35">
        <v>0</v>
      </c>
      <c r="D5196" s="2">
        <f t="shared" si="81"/>
        <v>1</v>
      </c>
    </row>
    <row r="5197" spans="1:4" x14ac:dyDescent="0.3">
      <c r="A5197" s="34">
        <v>42390</v>
      </c>
      <c r="B5197" s="35">
        <v>1</v>
      </c>
      <c r="C5197" s="35">
        <v>0</v>
      </c>
      <c r="D5197" s="2">
        <f t="shared" si="81"/>
        <v>1</v>
      </c>
    </row>
    <row r="5198" spans="1:4" x14ac:dyDescent="0.3">
      <c r="A5198" s="34">
        <v>42391</v>
      </c>
      <c r="B5198" s="35">
        <v>1</v>
      </c>
      <c r="C5198" s="35">
        <v>0</v>
      </c>
      <c r="D5198" s="2">
        <f t="shared" si="81"/>
        <v>1</v>
      </c>
    </row>
    <row r="5199" spans="1:4" x14ac:dyDescent="0.3">
      <c r="A5199" s="34">
        <v>42392</v>
      </c>
      <c r="B5199" s="35">
        <v>1</v>
      </c>
      <c r="C5199" s="35">
        <v>1</v>
      </c>
      <c r="D5199" s="2">
        <f t="shared" si="81"/>
        <v>2</v>
      </c>
    </row>
    <row r="5200" spans="1:4" x14ac:dyDescent="0.3">
      <c r="A5200" s="34">
        <v>42394</v>
      </c>
      <c r="B5200" s="35">
        <v>1</v>
      </c>
      <c r="C5200" s="35">
        <v>0</v>
      </c>
      <c r="D5200" s="2">
        <f t="shared" si="81"/>
        <v>1</v>
      </c>
    </row>
    <row r="5201" spans="1:4" x14ac:dyDescent="0.3">
      <c r="A5201" s="34">
        <v>42396</v>
      </c>
      <c r="B5201" s="35">
        <v>1</v>
      </c>
      <c r="C5201" s="35">
        <v>0</v>
      </c>
      <c r="D5201" s="2">
        <f t="shared" si="81"/>
        <v>1</v>
      </c>
    </row>
    <row r="5202" spans="1:4" x14ac:dyDescent="0.3">
      <c r="A5202" s="34">
        <v>42415</v>
      </c>
      <c r="B5202" s="35">
        <v>1</v>
      </c>
      <c r="C5202" s="35">
        <v>0</v>
      </c>
      <c r="D5202" s="2">
        <f t="shared" si="81"/>
        <v>1</v>
      </c>
    </row>
    <row r="5203" spans="1:4" x14ac:dyDescent="0.3">
      <c r="A5203" s="34">
        <v>42416</v>
      </c>
      <c r="B5203" s="35">
        <v>1</v>
      </c>
      <c r="C5203" s="35">
        <v>0</v>
      </c>
      <c r="D5203" s="2">
        <f t="shared" si="81"/>
        <v>1</v>
      </c>
    </row>
    <row r="5204" spans="1:4" x14ac:dyDescent="0.3">
      <c r="A5204" s="34">
        <v>42417</v>
      </c>
      <c r="B5204" s="35">
        <v>1</v>
      </c>
      <c r="C5204" s="35">
        <v>0</v>
      </c>
      <c r="D5204" s="2">
        <f t="shared" si="81"/>
        <v>1</v>
      </c>
    </row>
    <row r="5205" spans="1:4" x14ac:dyDescent="0.3">
      <c r="A5205" s="34">
        <v>42419</v>
      </c>
      <c r="B5205" s="35">
        <v>1</v>
      </c>
      <c r="C5205" s="35">
        <v>0</v>
      </c>
      <c r="D5205" s="2">
        <f t="shared" si="81"/>
        <v>1</v>
      </c>
    </row>
    <row r="5206" spans="1:4" x14ac:dyDescent="0.3">
      <c r="A5206" s="34">
        <v>42421</v>
      </c>
      <c r="B5206" s="35">
        <v>1</v>
      </c>
      <c r="C5206" s="35">
        <v>1</v>
      </c>
      <c r="D5206" s="2">
        <f t="shared" si="81"/>
        <v>2</v>
      </c>
    </row>
    <row r="5207" spans="1:4" x14ac:dyDescent="0.3">
      <c r="A5207" s="34">
        <v>42426</v>
      </c>
      <c r="B5207" s="35">
        <v>1</v>
      </c>
      <c r="C5207" s="35">
        <v>0</v>
      </c>
      <c r="D5207" s="2">
        <f t="shared" si="81"/>
        <v>1</v>
      </c>
    </row>
    <row r="5208" spans="1:4" x14ac:dyDescent="0.3">
      <c r="A5208" s="34">
        <v>42431</v>
      </c>
      <c r="B5208" s="35">
        <v>1</v>
      </c>
      <c r="C5208" s="35">
        <v>0</v>
      </c>
      <c r="D5208" s="2">
        <f t="shared" si="81"/>
        <v>1</v>
      </c>
    </row>
    <row r="5209" spans="1:4" x14ac:dyDescent="0.3">
      <c r="A5209" s="34">
        <v>42434</v>
      </c>
      <c r="B5209" s="35">
        <v>1</v>
      </c>
      <c r="C5209" s="35">
        <v>0</v>
      </c>
      <c r="D5209" s="2">
        <f t="shared" si="81"/>
        <v>1</v>
      </c>
    </row>
    <row r="5210" spans="1:4" x14ac:dyDescent="0.3">
      <c r="A5210" s="34">
        <v>42440</v>
      </c>
      <c r="B5210" s="35">
        <v>1</v>
      </c>
      <c r="C5210" s="35">
        <v>0</v>
      </c>
      <c r="D5210" s="2">
        <f t="shared" si="81"/>
        <v>1</v>
      </c>
    </row>
    <row r="5211" spans="1:4" x14ac:dyDescent="0.3">
      <c r="A5211" s="34">
        <v>42443</v>
      </c>
      <c r="B5211" s="35">
        <v>1</v>
      </c>
      <c r="C5211" s="35">
        <v>0</v>
      </c>
      <c r="D5211" s="2">
        <f t="shared" si="81"/>
        <v>1</v>
      </c>
    </row>
    <row r="5212" spans="1:4" x14ac:dyDescent="0.3">
      <c r="A5212" s="34">
        <v>42444</v>
      </c>
      <c r="B5212" s="35">
        <v>1</v>
      </c>
      <c r="C5212" s="35">
        <v>1</v>
      </c>
      <c r="D5212" s="2">
        <f t="shared" si="81"/>
        <v>2</v>
      </c>
    </row>
    <row r="5213" spans="1:4" x14ac:dyDescent="0.3">
      <c r="A5213" s="34">
        <v>42461</v>
      </c>
      <c r="B5213" s="35">
        <v>1</v>
      </c>
      <c r="C5213" s="35">
        <v>0</v>
      </c>
      <c r="D5213" s="2">
        <f t="shared" si="81"/>
        <v>1</v>
      </c>
    </row>
    <row r="5214" spans="1:4" x14ac:dyDescent="0.3">
      <c r="A5214" s="34">
        <v>42467</v>
      </c>
      <c r="B5214" s="35">
        <v>1</v>
      </c>
      <c r="C5214" s="35">
        <v>2</v>
      </c>
      <c r="D5214" s="2">
        <f t="shared" si="81"/>
        <v>3</v>
      </c>
    </row>
    <row r="5215" spans="1:4" x14ac:dyDescent="0.3">
      <c r="A5215" s="34">
        <v>42471</v>
      </c>
      <c r="B5215" s="35">
        <v>1</v>
      </c>
      <c r="C5215" s="35">
        <v>0</v>
      </c>
      <c r="D5215" s="2">
        <f t="shared" si="81"/>
        <v>1</v>
      </c>
    </row>
    <row r="5216" spans="1:4" x14ac:dyDescent="0.3">
      <c r="A5216" s="34">
        <v>42478</v>
      </c>
      <c r="B5216" s="35">
        <v>1</v>
      </c>
      <c r="C5216" s="35">
        <v>0</v>
      </c>
      <c r="D5216" s="2">
        <f t="shared" si="81"/>
        <v>1</v>
      </c>
    </row>
    <row r="5217" spans="1:4" x14ac:dyDescent="0.3">
      <c r="A5217" s="34">
        <v>42479</v>
      </c>
      <c r="B5217" s="35">
        <v>1</v>
      </c>
      <c r="C5217" s="35">
        <v>0</v>
      </c>
      <c r="D5217" s="2">
        <f t="shared" si="81"/>
        <v>1</v>
      </c>
    </row>
    <row r="5218" spans="1:4" x14ac:dyDescent="0.3">
      <c r="A5218" s="34">
        <v>42516</v>
      </c>
      <c r="B5218" s="35">
        <v>1</v>
      </c>
      <c r="C5218" s="35">
        <v>0</v>
      </c>
      <c r="D5218" s="2">
        <f t="shared" si="81"/>
        <v>1</v>
      </c>
    </row>
    <row r="5219" spans="1:4" x14ac:dyDescent="0.3">
      <c r="A5219" s="34">
        <v>42517</v>
      </c>
      <c r="B5219" s="35">
        <v>1</v>
      </c>
      <c r="C5219" s="35">
        <v>0</v>
      </c>
      <c r="D5219" s="2">
        <f t="shared" si="81"/>
        <v>1</v>
      </c>
    </row>
    <row r="5220" spans="1:4" x14ac:dyDescent="0.3">
      <c r="A5220" s="34">
        <v>42518</v>
      </c>
      <c r="B5220" s="35">
        <v>1</v>
      </c>
      <c r="C5220" s="35">
        <v>0</v>
      </c>
      <c r="D5220" s="2">
        <f t="shared" si="81"/>
        <v>1</v>
      </c>
    </row>
    <row r="5221" spans="1:4" x14ac:dyDescent="0.3">
      <c r="A5221" s="34">
        <v>42520</v>
      </c>
      <c r="B5221" s="35">
        <v>1</v>
      </c>
      <c r="C5221" s="35">
        <v>0</v>
      </c>
      <c r="D5221" s="2">
        <f t="shared" si="81"/>
        <v>1</v>
      </c>
    </row>
    <row r="5222" spans="1:4" x14ac:dyDescent="0.3">
      <c r="A5222" s="34">
        <v>42522</v>
      </c>
      <c r="B5222" s="35">
        <v>1</v>
      </c>
      <c r="C5222" s="35">
        <v>1</v>
      </c>
      <c r="D5222" s="2">
        <f t="shared" si="81"/>
        <v>2</v>
      </c>
    </row>
    <row r="5223" spans="1:4" x14ac:dyDescent="0.3">
      <c r="A5223" s="34">
        <v>42524</v>
      </c>
      <c r="B5223" s="35">
        <v>1</v>
      </c>
      <c r="C5223" s="35">
        <v>1</v>
      </c>
      <c r="D5223" s="2">
        <f t="shared" si="81"/>
        <v>2</v>
      </c>
    </row>
    <row r="5224" spans="1:4" x14ac:dyDescent="0.3">
      <c r="A5224" s="34">
        <v>42525</v>
      </c>
      <c r="B5224" s="35">
        <v>1</v>
      </c>
      <c r="C5224" s="35">
        <v>0</v>
      </c>
      <c r="D5224" s="2">
        <f t="shared" si="81"/>
        <v>1</v>
      </c>
    </row>
    <row r="5225" spans="1:4" x14ac:dyDescent="0.3">
      <c r="A5225" s="34">
        <v>42527</v>
      </c>
      <c r="B5225" s="35">
        <v>1</v>
      </c>
      <c r="C5225" s="35">
        <v>0</v>
      </c>
      <c r="D5225" s="2">
        <f t="shared" si="81"/>
        <v>1</v>
      </c>
    </row>
    <row r="5226" spans="1:4" x14ac:dyDescent="0.3">
      <c r="A5226" s="34">
        <v>42596</v>
      </c>
      <c r="B5226" s="35">
        <v>1</v>
      </c>
      <c r="C5226" s="35">
        <v>0</v>
      </c>
      <c r="D5226" s="2">
        <f t="shared" si="81"/>
        <v>1</v>
      </c>
    </row>
    <row r="5227" spans="1:4" x14ac:dyDescent="0.3">
      <c r="A5227" s="34">
        <v>42597</v>
      </c>
      <c r="B5227" s="35">
        <v>1</v>
      </c>
      <c r="C5227" s="35">
        <v>0</v>
      </c>
      <c r="D5227" s="2">
        <f t="shared" si="81"/>
        <v>1</v>
      </c>
    </row>
    <row r="5228" spans="1:4" x14ac:dyDescent="0.3">
      <c r="A5228" s="34">
        <v>42599</v>
      </c>
      <c r="B5228" s="35">
        <v>1</v>
      </c>
      <c r="C5228" s="35">
        <v>0</v>
      </c>
      <c r="D5228" s="2">
        <f t="shared" si="81"/>
        <v>1</v>
      </c>
    </row>
    <row r="5229" spans="1:4" x14ac:dyDescent="0.3">
      <c r="A5229" s="34">
        <v>42603</v>
      </c>
      <c r="B5229" s="35">
        <v>1</v>
      </c>
      <c r="C5229" s="35">
        <v>0</v>
      </c>
      <c r="D5229" s="2">
        <f t="shared" si="81"/>
        <v>1</v>
      </c>
    </row>
    <row r="5230" spans="1:4" x14ac:dyDescent="0.3">
      <c r="A5230" s="34">
        <v>42605</v>
      </c>
      <c r="B5230" s="35">
        <v>1</v>
      </c>
      <c r="C5230" s="35">
        <v>0</v>
      </c>
      <c r="D5230" s="2">
        <f t="shared" si="81"/>
        <v>1</v>
      </c>
    </row>
    <row r="5231" spans="1:4" x14ac:dyDescent="0.3">
      <c r="A5231" s="34">
        <v>42609</v>
      </c>
      <c r="B5231" s="35">
        <v>1</v>
      </c>
      <c r="C5231" s="35">
        <v>0</v>
      </c>
      <c r="D5231" s="2">
        <f t="shared" si="81"/>
        <v>1</v>
      </c>
    </row>
    <row r="5232" spans="1:4" x14ac:dyDescent="0.3">
      <c r="A5232" s="34">
        <v>42634</v>
      </c>
      <c r="B5232" s="35">
        <v>1</v>
      </c>
      <c r="C5232" s="35">
        <v>0</v>
      </c>
      <c r="D5232" s="2">
        <f t="shared" si="81"/>
        <v>1</v>
      </c>
    </row>
    <row r="5233" spans="1:4" x14ac:dyDescent="0.3">
      <c r="A5233" s="34">
        <v>42637</v>
      </c>
      <c r="B5233" s="35">
        <v>1</v>
      </c>
      <c r="C5233" s="35">
        <v>0</v>
      </c>
      <c r="D5233" s="2">
        <f t="shared" si="81"/>
        <v>1</v>
      </c>
    </row>
    <row r="5234" spans="1:4" x14ac:dyDescent="0.3">
      <c r="A5234" s="34">
        <v>42654</v>
      </c>
      <c r="B5234" s="35">
        <v>1</v>
      </c>
      <c r="C5234" s="35">
        <v>0</v>
      </c>
      <c r="D5234" s="2">
        <f t="shared" si="81"/>
        <v>1</v>
      </c>
    </row>
    <row r="5235" spans="1:4" x14ac:dyDescent="0.3">
      <c r="A5235" s="34">
        <v>42658</v>
      </c>
      <c r="B5235" s="35">
        <v>1</v>
      </c>
      <c r="C5235" s="35">
        <v>0</v>
      </c>
      <c r="D5235" s="2">
        <f t="shared" si="81"/>
        <v>1</v>
      </c>
    </row>
    <row r="5236" spans="1:4" x14ac:dyDescent="0.3">
      <c r="A5236" s="34">
        <v>42659</v>
      </c>
      <c r="B5236" s="35">
        <v>2</v>
      </c>
      <c r="C5236" s="35">
        <v>2</v>
      </c>
      <c r="D5236" s="2">
        <f t="shared" si="81"/>
        <v>4</v>
      </c>
    </row>
    <row r="5237" spans="1:4" x14ac:dyDescent="0.3">
      <c r="A5237" s="34">
        <v>42663</v>
      </c>
      <c r="B5237" s="35">
        <v>1</v>
      </c>
      <c r="C5237" s="35">
        <v>1</v>
      </c>
      <c r="D5237" s="2">
        <f t="shared" si="81"/>
        <v>2</v>
      </c>
    </row>
    <row r="5238" spans="1:4" x14ac:dyDescent="0.3">
      <c r="A5238" s="34">
        <v>42664</v>
      </c>
      <c r="B5238" s="35">
        <v>1</v>
      </c>
      <c r="C5238" s="35">
        <v>1</v>
      </c>
      <c r="D5238" s="2">
        <f t="shared" si="81"/>
        <v>2</v>
      </c>
    </row>
    <row r="5239" spans="1:4" x14ac:dyDescent="0.3">
      <c r="A5239" s="34">
        <v>42669</v>
      </c>
      <c r="B5239" s="35">
        <v>1</v>
      </c>
      <c r="C5239" s="35">
        <v>0</v>
      </c>
      <c r="D5239" s="2">
        <f t="shared" si="81"/>
        <v>1</v>
      </c>
    </row>
    <row r="5240" spans="1:4" x14ac:dyDescent="0.3">
      <c r="A5240" s="34">
        <v>42670</v>
      </c>
      <c r="B5240" s="35">
        <v>1</v>
      </c>
      <c r="C5240" s="35">
        <v>0</v>
      </c>
      <c r="D5240" s="2">
        <f t="shared" si="81"/>
        <v>1</v>
      </c>
    </row>
    <row r="5241" spans="1:4" x14ac:dyDescent="0.3">
      <c r="A5241" s="34">
        <v>42672</v>
      </c>
      <c r="B5241" s="35">
        <v>1</v>
      </c>
      <c r="C5241" s="35">
        <v>1</v>
      </c>
      <c r="D5241" s="2">
        <f t="shared" si="81"/>
        <v>2</v>
      </c>
    </row>
    <row r="5242" spans="1:4" x14ac:dyDescent="0.3">
      <c r="A5242" s="34">
        <v>42673</v>
      </c>
      <c r="B5242" s="35">
        <v>1</v>
      </c>
      <c r="C5242" s="35">
        <v>0</v>
      </c>
      <c r="D5242" s="2">
        <f t="shared" si="81"/>
        <v>1</v>
      </c>
    </row>
    <row r="5243" spans="1:4" x14ac:dyDescent="0.3">
      <c r="A5243" s="34">
        <v>42674</v>
      </c>
      <c r="B5243" s="35">
        <v>1</v>
      </c>
      <c r="C5243" s="35">
        <v>0</v>
      </c>
      <c r="D5243" s="2">
        <f t="shared" si="81"/>
        <v>1</v>
      </c>
    </row>
    <row r="5244" spans="1:4" x14ac:dyDescent="0.3">
      <c r="A5244" s="34">
        <v>42688</v>
      </c>
      <c r="B5244" s="35">
        <v>1</v>
      </c>
      <c r="C5244" s="35">
        <v>0</v>
      </c>
      <c r="D5244" s="2">
        <f t="shared" si="81"/>
        <v>1</v>
      </c>
    </row>
    <row r="5245" spans="1:4" x14ac:dyDescent="0.3">
      <c r="A5245" s="34">
        <v>42694</v>
      </c>
      <c r="B5245" s="35">
        <v>1</v>
      </c>
      <c r="C5245" s="35">
        <v>0</v>
      </c>
      <c r="D5245" s="2">
        <f t="shared" si="81"/>
        <v>1</v>
      </c>
    </row>
    <row r="5246" spans="1:4" x14ac:dyDescent="0.3">
      <c r="A5246" s="34">
        <v>42839</v>
      </c>
      <c r="B5246" s="35">
        <v>1</v>
      </c>
      <c r="C5246" s="35">
        <v>0</v>
      </c>
      <c r="D5246" s="2">
        <f t="shared" si="81"/>
        <v>1</v>
      </c>
    </row>
    <row r="5247" spans="1:4" x14ac:dyDescent="0.3">
      <c r="A5247" s="34">
        <v>42845</v>
      </c>
      <c r="B5247" s="35">
        <v>1</v>
      </c>
      <c r="C5247" s="35">
        <v>0</v>
      </c>
      <c r="D5247" s="2">
        <f t="shared" si="81"/>
        <v>1</v>
      </c>
    </row>
    <row r="5248" spans="1:4" x14ac:dyDescent="0.3">
      <c r="A5248" s="34">
        <v>42846</v>
      </c>
      <c r="B5248" s="35">
        <v>1</v>
      </c>
      <c r="C5248" s="35">
        <v>0</v>
      </c>
      <c r="D5248" s="2">
        <f t="shared" si="81"/>
        <v>1</v>
      </c>
    </row>
    <row r="5249" spans="1:4" x14ac:dyDescent="0.3">
      <c r="A5249" s="34">
        <v>42847</v>
      </c>
      <c r="B5249" s="35">
        <v>1</v>
      </c>
      <c r="C5249" s="35">
        <v>0</v>
      </c>
      <c r="D5249" s="2">
        <f t="shared" si="81"/>
        <v>1</v>
      </c>
    </row>
    <row r="5250" spans="1:4" x14ac:dyDescent="0.3">
      <c r="A5250" s="34">
        <v>42848</v>
      </c>
      <c r="B5250" s="35">
        <v>1</v>
      </c>
      <c r="C5250" s="35">
        <v>0</v>
      </c>
      <c r="D5250" s="2">
        <f t="shared" si="81"/>
        <v>1</v>
      </c>
    </row>
    <row r="5251" spans="1:4" x14ac:dyDescent="0.3">
      <c r="A5251" s="34">
        <v>42883</v>
      </c>
      <c r="B5251" s="35">
        <v>1</v>
      </c>
      <c r="C5251" s="35">
        <v>0</v>
      </c>
      <c r="D5251" s="2">
        <f t="shared" ref="D5251:D5314" si="82">B5251+C5251</f>
        <v>1</v>
      </c>
    </row>
    <row r="5252" spans="1:4" x14ac:dyDescent="0.3">
      <c r="A5252" s="34">
        <v>42884</v>
      </c>
      <c r="B5252" s="35">
        <v>2</v>
      </c>
      <c r="C5252" s="35">
        <v>1</v>
      </c>
      <c r="D5252" s="2">
        <f t="shared" si="82"/>
        <v>3</v>
      </c>
    </row>
    <row r="5253" spans="1:4" x14ac:dyDescent="0.3">
      <c r="A5253" s="34">
        <v>42887</v>
      </c>
      <c r="B5253" s="35">
        <v>1</v>
      </c>
      <c r="C5253" s="35">
        <v>0</v>
      </c>
      <c r="D5253" s="2">
        <f t="shared" si="82"/>
        <v>1</v>
      </c>
    </row>
    <row r="5254" spans="1:4" x14ac:dyDescent="0.3">
      <c r="A5254" s="34">
        <v>42888</v>
      </c>
      <c r="B5254" s="35">
        <v>1</v>
      </c>
      <c r="C5254" s="35">
        <v>0</v>
      </c>
      <c r="D5254" s="2">
        <f t="shared" si="82"/>
        <v>1</v>
      </c>
    </row>
    <row r="5255" spans="1:4" x14ac:dyDescent="0.3">
      <c r="A5255" s="34">
        <v>42890</v>
      </c>
      <c r="B5255" s="35">
        <v>1</v>
      </c>
      <c r="C5255" s="35">
        <v>0</v>
      </c>
      <c r="D5255" s="2">
        <f t="shared" si="82"/>
        <v>1</v>
      </c>
    </row>
    <row r="5256" spans="1:4" x14ac:dyDescent="0.3">
      <c r="A5256" s="34">
        <v>42891</v>
      </c>
      <c r="B5256" s="35">
        <v>1</v>
      </c>
      <c r="C5256" s="35">
        <v>0</v>
      </c>
      <c r="D5256" s="2">
        <f t="shared" si="82"/>
        <v>1</v>
      </c>
    </row>
    <row r="5257" spans="1:4" x14ac:dyDescent="0.3">
      <c r="A5257" s="34">
        <v>42895</v>
      </c>
      <c r="B5257" s="35">
        <v>1</v>
      </c>
      <c r="C5257" s="35">
        <v>0</v>
      </c>
      <c r="D5257" s="2">
        <f t="shared" si="82"/>
        <v>1</v>
      </c>
    </row>
    <row r="5258" spans="1:4" x14ac:dyDescent="0.3">
      <c r="A5258" s="34">
        <v>42897</v>
      </c>
      <c r="B5258" s="35">
        <v>1</v>
      </c>
      <c r="C5258" s="35">
        <v>0</v>
      </c>
      <c r="D5258" s="2">
        <f t="shared" si="82"/>
        <v>1</v>
      </c>
    </row>
    <row r="5259" spans="1:4" x14ac:dyDescent="0.3">
      <c r="A5259" s="34">
        <v>42900</v>
      </c>
      <c r="B5259" s="35">
        <v>1</v>
      </c>
      <c r="C5259" s="35">
        <v>1</v>
      </c>
      <c r="D5259" s="2">
        <f t="shared" si="82"/>
        <v>2</v>
      </c>
    </row>
    <row r="5260" spans="1:4" x14ac:dyDescent="0.3">
      <c r="A5260" s="34">
        <v>42902</v>
      </c>
      <c r="B5260" s="35">
        <v>1</v>
      </c>
      <c r="C5260" s="35">
        <v>0</v>
      </c>
      <c r="D5260" s="2">
        <f t="shared" si="82"/>
        <v>1</v>
      </c>
    </row>
    <row r="5261" spans="1:4" x14ac:dyDescent="0.3">
      <c r="A5261" s="34">
        <v>42903</v>
      </c>
      <c r="B5261" s="35">
        <v>1</v>
      </c>
      <c r="C5261" s="35">
        <v>0</v>
      </c>
      <c r="D5261" s="2">
        <f t="shared" si="82"/>
        <v>1</v>
      </c>
    </row>
    <row r="5262" spans="1:4" x14ac:dyDescent="0.3">
      <c r="A5262" s="34">
        <v>42904</v>
      </c>
      <c r="B5262" s="35">
        <v>1</v>
      </c>
      <c r="C5262" s="35">
        <v>0</v>
      </c>
      <c r="D5262" s="2">
        <f t="shared" si="82"/>
        <v>1</v>
      </c>
    </row>
    <row r="5263" spans="1:4" x14ac:dyDescent="0.3">
      <c r="A5263" s="34">
        <v>42906</v>
      </c>
      <c r="B5263" s="35">
        <v>1</v>
      </c>
      <c r="C5263" s="35">
        <v>0</v>
      </c>
      <c r="D5263" s="2">
        <f t="shared" si="82"/>
        <v>1</v>
      </c>
    </row>
    <row r="5264" spans="1:4" x14ac:dyDescent="0.3">
      <c r="A5264" s="34">
        <v>42910</v>
      </c>
      <c r="B5264" s="35">
        <v>2</v>
      </c>
      <c r="C5264" s="35">
        <v>1</v>
      </c>
      <c r="D5264" s="2">
        <f t="shared" si="82"/>
        <v>3</v>
      </c>
    </row>
    <row r="5265" spans="1:4" x14ac:dyDescent="0.3">
      <c r="A5265" s="34">
        <v>42911</v>
      </c>
      <c r="B5265" s="35">
        <v>1</v>
      </c>
      <c r="C5265" s="35">
        <v>0</v>
      </c>
      <c r="D5265" s="2">
        <f t="shared" si="82"/>
        <v>1</v>
      </c>
    </row>
    <row r="5266" spans="1:4" x14ac:dyDescent="0.3">
      <c r="A5266" s="34">
        <v>42917</v>
      </c>
      <c r="B5266" s="35">
        <v>1</v>
      </c>
      <c r="C5266" s="35">
        <v>0</v>
      </c>
      <c r="D5266" s="2">
        <f t="shared" si="82"/>
        <v>1</v>
      </c>
    </row>
    <row r="5267" spans="1:4" x14ac:dyDescent="0.3">
      <c r="A5267" s="34">
        <v>42996</v>
      </c>
      <c r="B5267" s="35">
        <v>2</v>
      </c>
      <c r="C5267" s="35">
        <v>1</v>
      </c>
      <c r="D5267" s="2">
        <f t="shared" si="82"/>
        <v>3</v>
      </c>
    </row>
    <row r="5268" spans="1:4" x14ac:dyDescent="0.3">
      <c r="A5268" s="34">
        <v>43000</v>
      </c>
      <c r="B5268" s="35">
        <v>1</v>
      </c>
      <c r="C5268" s="35">
        <v>0</v>
      </c>
      <c r="D5268" s="2">
        <f t="shared" si="82"/>
        <v>1</v>
      </c>
    </row>
    <row r="5269" spans="1:4" x14ac:dyDescent="0.3">
      <c r="A5269" s="34">
        <v>43003</v>
      </c>
      <c r="B5269" s="35">
        <v>3</v>
      </c>
      <c r="C5269" s="35">
        <v>2</v>
      </c>
      <c r="D5269" s="2">
        <f t="shared" si="82"/>
        <v>5</v>
      </c>
    </row>
    <row r="5270" spans="1:4" x14ac:dyDescent="0.3">
      <c r="A5270" s="34">
        <v>43004</v>
      </c>
      <c r="B5270" s="35">
        <v>1</v>
      </c>
      <c r="C5270" s="35">
        <v>0</v>
      </c>
      <c r="D5270" s="2">
        <f t="shared" si="82"/>
        <v>1</v>
      </c>
    </row>
    <row r="5271" spans="1:4" x14ac:dyDescent="0.3">
      <c r="A5271" s="34">
        <v>43005</v>
      </c>
      <c r="B5271" s="35">
        <v>1</v>
      </c>
      <c r="C5271" s="35">
        <v>0</v>
      </c>
      <c r="D5271" s="2">
        <f t="shared" si="82"/>
        <v>1</v>
      </c>
    </row>
    <row r="5272" spans="1:4" x14ac:dyDescent="0.3">
      <c r="A5272" s="34">
        <v>43007</v>
      </c>
      <c r="B5272" s="35">
        <v>1</v>
      </c>
      <c r="C5272" s="35">
        <v>0</v>
      </c>
      <c r="D5272" s="2">
        <f t="shared" si="82"/>
        <v>1</v>
      </c>
    </row>
    <row r="5273" spans="1:4" x14ac:dyDescent="0.3">
      <c r="A5273" s="34">
        <v>43008</v>
      </c>
      <c r="B5273" s="35">
        <v>1</v>
      </c>
      <c r="C5273" s="35">
        <v>0</v>
      </c>
      <c r="D5273" s="2">
        <f t="shared" si="82"/>
        <v>1</v>
      </c>
    </row>
    <row r="5274" spans="1:4" x14ac:dyDescent="0.3">
      <c r="A5274" s="34">
        <v>43009</v>
      </c>
      <c r="B5274" s="35">
        <v>1</v>
      </c>
      <c r="C5274" s="35">
        <v>0</v>
      </c>
      <c r="D5274" s="2">
        <f t="shared" si="82"/>
        <v>1</v>
      </c>
    </row>
    <row r="5275" spans="1:4" x14ac:dyDescent="0.3">
      <c r="A5275" s="34">
        <v>43022</v>
      </c>
      <c r="B5275" s="35">
        <v>1</v>
      </c>
      <c r="C5275" s="35">
        <v>0</v>
      </c>
      <c r="D5275" s="2">
        <f t="shared" si="82"/>
        <v>1</v>
      </c>
    </row>
    <row r="5276" spans="1:4" x14ac:dyDescent="0.3">
      <c r="A5276" s="34">
        <v>43024</v>
      </c>
      <c r="B5276" s="35">
        <v>1</v>
      </c>
      <c r="C5276" s="35">
        <v>0</v>
      </c>
      <c r="D5276" s="2">
        <f t="shared" si="82"/>
        <v>1</v>
      </c>
    </row>
    <row r="5277" spans="1:4" x14ac:dyDescent="0.3">
      <c r="A5277" s="34">
        <v>43027</v>
      </c>
      <c r="B5277" s="35">
        <v>1</v>
      </c>
      <c r="C5277" s="35">
        <v>0</v>
      </c>
      <c r="D5277" s="2">
        <f t="shared" si="82"/>
        <v>1</v>
      </c>
    </row>
    <row r="5278" spans="1:4" x14ac:dyDescent="0.3">
      <c r="A5278" s="34">
        <v>43028</v>
      </c>
      <c r="B5278" s="35">
        <v>1</v>
      </c>
      <c r="C5278" s="35">
        <v>0</v>
      </c>
      <c r="D5278" s="2">
        <f t="shared" si="82"/>
        <v>1</v>
      </c>
    </row>
    <row r="5279" spans="1:4" x14ac:dyDescent="0.3">
      <c r="A5279" s="34">
        <v>43031</v>
      </c>
      <c r="B5279" s="35">
        <v>1</v>
      </c>
      <c r="C5279" s="35">
        <v>0</v>
      </c>
      <c r="D5279" s="2">
        <f t="shared" si="82"/>
        <v>1</v>
      </c>
    </row>
    <row r="5280" spans="1:4" x14ac:dyDescent="0.3">
      <c r="A5280" s="34">
        <v>43032</v>
      </c>
      <c r="B5280" s="35">
        <v>1</v>
      </c>
      <c r="C5280" s="35">
        <v>0</v>
      </c>
      <c r="D5280" s="2">
        <f t="shared" si="82"/>
        <v>1</v>
      </c>
    </row>
    <row r="5281" spans="1:4" x14ac:dyDescent="0.3">
      <c r="A5281" s="34">
        <v>43034</v>
      </c>
      <c r="B5281" s="35">
        <v>1</v>
      </c>
      <c r="C5281" s="35">
        <v>0</v>
      </c>
      <c r="D5281" s="2">
        <f t="shared" si="82"/>
        <v>1</v>
      </c>
    </row>
    <row r="5282" spans="1:4" x14ac:dyDescent="0.3">
      <c r="A5282" s="34">
        <v>43036</v>
      </c>
      <c r="B5282" s="35">
        <v>1</v>
      </c>
      <c r="C5282" s="35">
        <v>1</v>
      </c>
      <c r="D5282" s="2">
        <f t="shared" si="82"/>
        <v>2</v>
      </c>
    </row>
    <row r="5283" spans="1:4" x14ac:dyDescent="0.3">
      <c r="A5283" s="34">
        <v>43038</v>
      </c>
      <c r="B5283" s="35">
        <v>2</v>
      </c>
      <c r="C5283" s="35">
        <v>2</v>
      </c>
      <c r="D5283" s="2">
        <f t="shared" si="82"/>
        <v>4</v>
      </c>
    </row>
    <row r="5284" spans="1:4" x14ac:dyDescent="0.3">
      <c r="A5284" s="34">
        <v>43043</v>
      </c>
      <c r="B5284" s="35">
        <v>1</v>
      </c>
      <c r="C5284" s="35">
        <v>0</v>
      </c>
      <c r="D5284" s="2">
        <f t="shared" si="82"/>
        <v>1</v>
      </c>
    </row>
    <row r="5285" spans="1:4" x14ac:dyDescent="0.3">
      <c r="A5285" s="34">
        <v>43051</v>
      </c>
      <c r="B5285" s="35">
        <v>1</v>
      </c>
      <c r="C5285" s="35">
        <v>0</v>
      </c>
      <c r="D5285" s="2">
        <f t="shared" si="82"/>
        <v>1</v>
      </c>
    </row>
    <row r="5286" spans="1:4" x14ac:dyDescent="0.3">
      <c r="A5286" s="34">
        <v>43052</v>
      </c>
      <c r="B5286" s="35">
        <v>1</v>
      </c>
      <c r="C5286" s="35">
        <v>1</v>
      </c>
      <c r="D5286" s="2">
        <f t="shared" si="82"/>
        <v>2</v>
      </c>
    </row>
    <row r="5287" spans="1:4" x14ac:dyDescent="0.3">
      <c r="A5287" s="34">
        <v>43055</v>
      </c>
      <c r="B5287" s="35">
        <v>1</v>
      </c>
      <c r="C5287" s="35">
        <v>0</v>
      </c>
      <c r="D5287" s="2">
        <f t="shared" si="82"/>
        <v>1</v>
      </c>
    </row>
    <row r="5288" spans="1:4" x14ac:dyDescent="0.3">
      <c r="A5288" s="34">
        <v>43058</v>
      </c>
      <c r="B5288" s="35">
        <v>2</v>
      </c>
      <c r="C5288" s="35">
        <v>1</v>
      </c>
      <c r="D5288" s="2">
        <f t="shared" si="82"/>
        <v>3</v>
      </c>
    </row>
    <row r="5289" spans="1:4" x14ac:dyDescent="0.3">
      <c r="A5289" s="34">
        <v>43061</v>
      </c>
      <c r="B5289" s="35">
        <v>1</v>
      </c>
      <c r="C5289" s="35">
        <v>0</v>
      </c>
      <c r="D5289" s="2">
        <f t="shared" si="82"/>
        <v>1</v>
      </c>
    </row>
    <row r="5290" spans="1:4" x14ac:dyDescent="0.3">
      <c r="A5290" s="34">
        <v>43063</v>
      </c>
      <c r="B5290" s="35">
        <v>1</v>
      </c>
      <c r="C5290" s="35">
        <v>0</v>
      </c>
      <c r="D5290" s="2">
        <f t="shared" si="82"/>
        <v>1</v>
      </c>
    </row>
    <row r="5291" spans="1:4" x14ac:dyDescent="0.3">
      <c r="A5291" s="34">
        <v>43067</v>
      </c>
      <c r="B5291" s="35">
        <v>1</v>
      </c>
      <c r="C5291" s="35">
        <v>0</v>
      </c>
      <c r="D5291" s="2">
        <f t="shared" si="82"/>
        <v>1</v>
      </c>
    </row>
    <row r="5292" spans="1:4" x14ac:dyDescent="0.3">
      <c r="A5292" s="34">
        <v>43068</v>
      </c>
      <c r="B5292" s="35">
        <v>1</v>
      </c>
      <c r="C5292" s="35">
        <v>0</v>
      </c>
      <c r="D5292" s="2">
        <f t="shared" si="82"/>
        <v>1</v>
      </c>
    </row>
    <row r="5293" spans="1:4" x14ac:dyDescent="0.3">
      <c r="A5293" s="34">
        <v>43073</v>
      </c>
      <c r="B5293" s="35">
        <v>1</v>
      </c>
      <c r="C5293" s="35">
        <v>0</v>
      </c>
      <c r="D5293" s="2">
        <f t="shared" si="82"/>
        <v>1</v>
      </c>
    </row>
    <row r="5294" spans="1:4" x14ac:dyDescent="0.3">
      <c r="A5294" s="34">
        <v>43075</v>
      </c>
      <c r="B5294" s="35">
        <v>1</v>
      </c>
      <c r="C5294" s="35">
        <v>0</v>
      </c>
      <c r="D5294" s="2">
        <f t="shared" si="82"/>
        <v>1</v>
      </c>
    </row>
    <row r="5295" spans="1:4" x14ac:dyDescent="0.3">
      <c r="A5295" s="34">
        <v>43076</v>
      </c>
      <c r="B5295" s="35">
        <v>1</v>
      </c>
      <c r="C5295" s="35">
        <v>0</v>
      </c>
      <c r="D5295" s="2">
        <f t="shared" si="82"/>
        <v>1</v>
      </c>
    </row>
    <row r="5296" spans="1:4" x14ac:dyDescent="0.3">
      <c r="A5296" s="34">
        <v>43077</v>
      </c>
      <c r="B5296" s="35">
        <v>1</v>
      </c>
      <c r="C5296" s="35">
        <v>0</v>
      </c>
      <c r="D5296" s="2">
        <f t="shared" si="82"/>
        <v>1</v>
      </c>
    </row>
    <row r="5297" spans="1:4" x14ac:dyDescent="0.3">
      <c r="A5297" s="34">
        <v>43078</v>
      </c>
      <c r="B5297" s="35">
        <v>1</v>
      </c>
      <c r="C5297" s="35">
        <v>0</v>
      </c>
      <c r="D5297" s="2">
        <f t="shared" si="82"/>
        <v>1</v>
      </c>
    </row>
    <row r="5298" spans="1:4" x14ac:dyDescent="0.3">
      <c r="A5298" s="34">
        <v>43079</v>
      </c>
      <c r="B5298" s="35">
        <v>1</v>
      </c>
      <c r="C5298" s="35">
        <v>0</v>
      </c>
      <c r="D5298" s="2">
        <f t="shared" si="82"/>
        <v>1</v>
      </c>
    </row>
    <row r="5299" spans="1:4" x14ac:dyDescent="0.3">
      <c r="A5299" s="34">
        <v>43082</v>
      </c>
      <c r="B5299" s="35">
        <v>1</v>
      </c>
      <c r="C5299" s="35">
        <v>0</v>
      </c>
      <c r="D5299" s="2">
        <f t="shared" si="82"/>
        <v>1</v>
      </c>
    </row>
    <row r="5300" spans="1:4" x14ac:dyDescent="0.3">
      <c r="A5300" s="34">
        <v>43087</v>
      </c>
      <c r="B5300" s="35">
        <v>1</v>
      </c>
      <c r="C5300" s="35">
        <v>0</v>
      </c>
      <c r="D5300" s="2">
        <f t="shared" si="82"/>
        <v>1</v>
      </c>
    </row>
    <row r="5301" spans="1:4" x14ac:dyDescent="0.3">
      <c r="A5301" s="34">
        <v>43097</v>
      </c>
      <c r="B5301" s="35">
        <v>1</v>
      </c>
      <c r="C5301" s="35">
        <v>0</v>
      </c>
      <c r="D5301" s="2">
        <f t="shared" si="82"/>
        <v>1</v>
      </c>
    </row>
    <row r="5302" spans="1:4" x14ac:dyDescent="0.3">
      <c r="A5302" s="34">
        <v>43099</v>
      </c>
      <c r="B5302" s="35">
        <v>1</v>
      </c>
      <c r="C5302" s="35">
        <v>0</v>
      </c>
      <c r="D5302" s="2">
        <f t="shared" si="82"/>
        <v>1</v>
      </c>
    </row>
    <row r="5303" spans="1:4" x14ac:dyDescent="0.3">
      <c r="A5303" s="34">
        <v>43100</v>
      </c>
      <c r="B5303" s="35">
        <v>1</v>
      </c>
      <c r="C5303" s="35">
        <v>0</v>
      </c>
      <c r="D5303" s="2">
        <f t="shared" si="82"/>
        <v>1</v>
      </c>
    </row>
    <row r="5304" spans="1:4" x14ac:dyDescent="0.3">
      <c r="A5304" s="34">
        <v>43109</v>
      </c>
      <c r="B5304" s="35">
        <v>1</v>
      </c>
      <c r="C5304" s="35">
        <v>1</v>
      </c>
      <c r="D5304" s="2">
        <f t="shared" si="82"/>
        <v>2</v>
      </c>
    </row>
    <row r="5305" spans="1:4" x14ac:dyDescent="0.3">
      <c r="A5305" s="34">
        <v>43110</v>
      </c>
      <c r="B5305" s="35">
        <v>1</v>
      </c>
      <c r="C5305" s="35">
        <v>0</v>
      </c>
      <c r="D5305" s="2">
        <f t="shared" si="82"/>
        <v>1</v>
      </c>
    </row>
    <row r="5306" spans="1:4" x14ac:dyDescent="0.3">
      <c r="A5306" s="34">
        <v>43114</v>
      </c>
      <c r="B5306" s="35">
        <v>1</v>
      </c>
      <c r="C5306" s="35">
        <v>0</v>
      </c>
      <c r="D5306" s="2">
        <f t="shared" si="82"/>
        <v>1</v>
      </c>
    </row>
    <row r="5307" spans="1:4" x14ac:dyDescent="0.3">
      <c r="A5307" s="34">
        <v>43115</v>
      </c>
      <c r="B5307" s="35">
        <v>1</v>
      </c>
      <c r="C5307" s="35">
        <v>1</v>
      </c>
      <c r="D5307" s="2">
        <f t="shared" si="82"/>
        <v>2</v>
      </c>
    </row>
    <row r="5308" spans="1:4" x14ac:dyDescent="0.3">
      <c r="A5308" s="34">
        <v>43116</v>
      </c>
      <c r="B5308" s="35">
        <v>1</v>
      </c>
      <c r="C5308" s="35">
        <v>1</v>
      </c>
      <c r="D5308" s="2">
        <f t="shared" si="82"/>
        <v>2</v>
      </c>
    </row>
    <row r="5309" spans="1:4" x14ac:dyDescent="0.3">
      <c r="A5309" s="34">
        <v>43118</v>
      </c>
      <c r="B5309" s="35">
        <v>1</v>
      </c>
      <c r="C5309" s="35">
        <v>0</v>
      </c>
      <c r="D5309" s="2">
        <f t="shared" si="82"/>
        <v>1</v>
      </c>
    </row>
    <row r="5310" spans="1:4" x14ac:dyDescent="0.3">
      <c r="A5310" s="34">
        <v>43119</v>
      </c>
      <c r="B5310" s="35">
        <v>1</v>
      </c>
      <c r="C5310" s="35">
        <v>1</v>
      </c>
      <c r="D5310" s="2">
        <f t="shared" si="82"/>
        <v>2</v>
      </c>
    </row>
    <row r="5311" spans="1:4" x14ac:dyDescent="0.3">
      <c r="A5311" s="34">
        <v>43120</v>
      </c>
      <c r="B5311" s="35">
        <v>1</v>
      </c>
      <c r="C5311" s="35">
        <v>1</v>
      </c>
      <c r="D5311" s="2">
        <f t="shared" si="82"/>
        <v>2</v>
      </c>
    </row>
    <row r="5312" spans="1:4" x14ac:dyDescent="0.3">
      <c r="A5312" s="34">
        <v>43121</v>
      </c>
      <c r="B5312" s="35">
        <v>1</v>
      </c>
      <c r="C5312" s="35">
        <v>1</v>
      </c>
      <c r="D5312" s="2">
        <f t="shared" si="82"/>
        <v>2</v>
      </c>
    </row>
    <row r="5313" spans="1:4" x14ac:dyDescent="0.3">
      <c r="A5313" s="34">
        <v>43127</v>
      </c>
      <c r="B5313" s="35">
        <v>1</v>
      </c>
      <c r="C5313" s="35">
        <v>0</v>
      </c>
      <c r="D5313" s="2">
        <f t="shared" si="82"/>
        <v>1</v>
      </c>
    </row>
    <row r="5314" spans="1:4" x14ac:dyDescent="0.3">
      <c r="A5314" s="34">
        <v>43132</v>
      </c>
      <c r="B5314" s="35">
        <v>1</v>
      </c>
      <c r="C5314" s="35">
        <v>0</v>
      </c>
      <c r="D5314" s="2">
        <f t="shared" si="82"/>
        <v>1</v>
      </c>
    </row>
    <row r="5315" spans="1:4" x14ac:dyDescent="0.3">
      <c r="A5315" s="34">
        <v>43136</v>
      </c>
      <c r="B5315" s="35">
        <v>1</v>
      </c>
      <c r="C5315" s="35">
        <v>0</v>
      </c>
      <c r="D5315" s="2">
        <f t="shared" ref="D5315:D5378" si="83">B5315+C5315</f>
        <v>1</v>
      </c>
    </row>
    <row r="5316" spans="1:4" x14ac:dyDescent="0.3">
      <c r="A5316" s="34">
        <v>43140</v>
      </c>
      <c r="B5316" s="35">
        <v>1</v>
      </c>
      <c r="C5316" s="35">
        <v>0</v>
      </c>
      <c r="D5316" s="2">
        <f t="shared" si="83"/>
        <v>1</v>
      </c>
    </row>
    <row r="5317" spans="1:4" x14ac:dyDescent="0.3">
      <c r="A5317" s="34">
        <v>43143</v>
      </c>
      <c r="B5317" s="35">
        <v>1</v>
      </c>
      <c r="C5317" s="35">
        <v>0</v>
      </c>
      <c r="D5317" s="2">
        <f t="shared" si="83"/>
        <v>1</v>
      </c>
    </row>
    <row r="5318" spans="1:4" x14ac:dyDescent="0.3">
      <c r="A5318" s="34">
        <v>43145</v>
      </c>
      <c r="B5318" s="35">
        <v>1</v>
      </c>
      <c r="C5318" s="35">
        <v>0</v>
      </c>
      <c r="D5318" s="2">
        <f t="shared" si="83"/>
        <v>1</v>
      </c>
    </row>
    <row r="5319" spans="1:4" x14ac:dyDescent="0.3">
      <c r="A5319" s="34">
        <v>43146</v>
      </c>
      <c r="B5319" s="35">
        <v>1</v>
      </c>
      <c r="C5319" s="35">
        <v>0</v>
      </c>
      <c r="D5319" s="2">
        <f t="shared" si="83"/>
        <v>1</v>
      </c>
    </row>
    <row r="5320" spans="1:4" x14ac:dyDescent="0.3">
      <c r="A5320" s="34">
        <v>43148</v>
      </c>
      <c r="B5320" s="35">
        <v>1</v>
      </c>
      <c r="C5320" s="35">
        <v>0</v>
      </c>
      <c r="D5320" s="2">
        <f t="shared" si="83"/>
        <v>1</v>
      </c>
    </row>
    <row r="5321" spans="1:4" x14ac:dyDescent="0.3">
      <c r="A5321" s="34">
        <v>43150</v>
      </c>
      <c r="B5321" s="35">
        <v>1</v>
      </c>
      <c r="C5321" s="35">
        <v>0</v>
      </c>
      <c r="D5321" s="2">
        <f t="shared" si="83"/>
        <v>1</v>
      </c>
    </row>
    <row r="5322" spans="1:4" x14ac:dyDescent="0.3">
      <c r="A5322" s="34">
        <v>43154</v>
      </c>
      <c r="B5322" s="35">
        <v>1</v>
      </c>
      <c r="C5322" s="35">
        <v>0</v>
      </c>
      <c r="D5322" s="2">
        <f t="shared" si="83"/>
        <v>1</v>
      </c>
    </row>
    <row r="5323" spans="1:4" x14ac:dyDescent="0.3">
      <c r="A5323" s="34">
        <v>43157</v>
      </c>
      <c r="B5323" s="35">
        <v>1</v>
      </c>
      <c r="C5323" s="35">
        <v>0</v>
      </c>
      <c r="D5323" s="2">
        <f t="shared" si="83"/>
        <v>1</v>
      </c>
    </row>
    <row r="5324" spans="1:4" x14ac:dyDescent="0.3">
      <c r="A5324" s="34">
        <v>43158</v>
      </c>
      <c r="B5324" s="35">
        <v>1</v>
      </c>
      <c r="C5324" s="35">
        <v>0</v>
      </c>
      <c r="D5324" s="2">
        <f t="shared" si="83"/>
        <v>1</v>
      </c>
    </row>
    <row r="5325" spans="1:4" x14ac:dyDescent="0.3">
      <c r="A5325" s="34">
        <v>43160</v>
      </c>
      <c r="B5325" s="35">
        <v>1</v>
      </c>
      <c r="C5325" s="35">
        <v>0</v>
      </c>
      <c r="D5325" s="2">
        <f t="shared" si="83"/>
        <v>1</v>
      </c>
    </row>
    <row r="5326" spans="1:4" x14ac:dyDescent="0.3">
      <c r="A5326" s="34">
        <v>43161</v>
      </c>
      <c r="B5326" s="35">
        <v>1</v>
      </c>
      <c r="C5326" s="35">
        <v>0</v>
      </c>
      <c r="D5326" s="2">
        <f t="shared" si="83"/>
        <v>1</v>
      </c>
    </row>
    <row r="5327" spans="1:4" x14ac:dyDescent="0.3">
      <c r="A5327" s="34">
        <v>43165</v>
      </c>
      <c r="B5327" s="35">
        <v>1</v>
      </c>
      <c r="C5327" s="35">
        <v>0</v>
      </c>
      <c r="D5327" s="2">
        <f t="shared" si="83"/>
        <v>1</v>
      </c>
    </row>
    <row r="5328" spans="1:4" x14ac:dyDescent="0.3">
      <c r="A5328" s="34">
        <v>43172</v>
      </c>
      <c r="B5328" s="35">
        <v>2</v>
      </c>
      <c r="C5328" s="35">
        <v>1</v>
      </c>
      <c r="D5328" s="2">
        <f t="shared" si="83"/>
        <v>3</v>
      </c>
    </row>
    <row r="5329" spans="1:4" x14ac:dyDescent="0.3">
      <c r="A5329" s="34">
        <v>43175</v>
      </c>
      <c r="B5329" s="35">
        <v>1</v>
      </c>
      <c r="C5329" s="35">
        <v>0</v>
      </c>
      <c r="D5329" s="2">
        <f t="shared" si="83"/>
        <v>1</v>
      </c>
    </row>
    <row r="5330" spans="1:4" x14ac:dyDescent="0.3">
      <c r="A5330" s="34">
        <v>43182</v>
      </c>
      <c r="B5330" s="35">
        <v>4</v>
      </c>
      <c r="C5330" s="35">
        <v>3</v>
      </c>
      <c r="D5330" s="2">
        <f t="shared" si="83"/>
        <v>7</v>
      </c>
    </row>
    <row r="5331" spans="1:4" x14ac:dyDescent="0.3">
      <c r="A5331" s="34">
        <v>43185</v>
      </c>
      <c r="B5331" s="35">
        <v>1</v>
      </c>
      <c r="C5331" s="35">
        <v>0</v>
      </c>
      <c r="D5331" s="2">
        <f t="shared" si="83"/>
        <v>1</v>
      </c>
    </row>
    <row r="5332" spans="1:4" x14ac:dyDescent="0.3">
      <c r="A5332" s="34">
        <v>43186</v>
      </c>
      <c r="B5332" s="35">
        <v>1</v>
      </c>
      <c r="C5332" s="35">
        <v>0</v>
      </c>
      <c r="D5332" s="2">
        <f t="shared" si="83"/>
        <v>1</v>
      </c>
    </row>
    <row r="5333" spans="1:4" x14ac:dyDescent="0.3">
      <c r="A5333" s="34">
        <v>43189</v>
      </c>
      <c r="B5333" s="35">
        <v>2</v>
      </c>
      <c r="C5333" s="35">
        <v>0</v>
      </c>
      <c r="D5333" s="2">
        <f t="shared" si="83"/>
        <v>2</v>
      </c>
    </row>
    <row r="5334" spans="1:4" x14ac:dyDescent="0.3">
      <c r="A5334" s="34">
        <v>43190</v>
      </c>
      <c r="B5334" s="35">
        <v>1</v>
      </c>
      <c r="C5334" s="35">
        <v>0</v>
      </c>
      <c r="D5334" s="2">
        <f t="shared" si="83"/>
        <v>1</v>
      </c>
    </row>
    <row r="5335" spans="1:4" x14ac:dyDescent="0.3">
      <c r="A5335" s="34">
        <v>43195</v>
      </c>
      <c r="B5335" s="35">
        <v>1</v>
      </c>
      <c r="C5335" s="35">
        <v>1</v>
      </c>
      <c r="D5335" s="2">
        <f t="shared" si="83"/>
        <v>2</v>
      </c>
    </row>
    <row r="5336" spans="1:4" x14ac:dyDescent="0.3">
      <c r="A5336" s="34">
        <v>43196</v>
      </c>
      <c r="B5336" s="35">
        <v>1</v>
      </c>
      <c r="C5336" s="35">
        <v>0</v>
      </c>
      <c r="D5336" s="2">
        <f t="shared" si="83"/>
        <v>1</v>
      </c>
    </row>
    <row r="5337" spans="1:4" x14ac:dyDescent="0.3">
      <c r="A5337" s="34">
        <v>43197</v>
      </c>
      <c r="B5337" s="35">
        <v>1</v>
      </c>
      <c r="C5337" s="35">
        <v>1</v>
      </c>
      <c r="D5337" s="2">
        <f t="shared" si="83"/>
        <v>2</v>
      </c>
    </row>
    <row r="5338" spans="1:4" x14ac:dyDescent="0.3">
      <c r="A5338" s="34">
        <v>43199</v>
      </c>
      <c r="B5338" s="35">
        <v>1</v>
      </c>
      <c r="C5338" s="35">
        <v>0</v>
      </c>
      <c r="D5338" s="2">
        <f t="shared" si="83"/>
        <v>1</v>
      </c>
    </row>
    <row r="5339" spans="1:4" x14ac:dyDescent="0.3">
      <c r="A5339" s="34">
        <v>43209</v>
      </c>
      <c r="B5339" s="35">
        <v>1</v>
      </c>
      <c r="C5339" s="35">
        <v>0</v>
      </c>
      <c r="D5339" s="2">
        <f t="shared" si="83"/>
        <v>1</v>
      </c>
    </row>
    <row r="5340" spans="1:4" x14ac:dyDescent="0.3">
      <c r="A5340" s="34">
        <v>43210</v>
      </c>
      <c r="B5340" s="35">
        <v>1</v>
      </c>
      <c r="C5340" s="35">
        <v>0</v>
      </c>
      <c r="D5340" s="2">
        <f t="shared" si="83"/>
        <v>1</v>
      </c>
    </row>
    <row r="5341" spans="1:4" x14ac:dyDescent="0.3">
      <c r="A5341" s="34">
        <v>43211</v>
      </c>
      <c r="B5341" s="35">
        <v>2</v>
      </c>
      <c r="C5341" s="35">
        <v>0</v>
      </c>
      <c r="D5341" s="2">
        <f t="shared" si="83"/>
        <v>2</v>
      </c>
    </row>
    <row r="5342" spans="1:4" x14ac:dyDescent="0.3">
      <c r="A5342" s="34">
        <v>43215</v>
      </c>
      <c r="B5342" s="35">
        <v>1</v>
      </c>
      <c r="C5342" s="35">
        <v>0</v>
      </c>
      <c r="D5342" s="2">
        <f t="shared" si="83"/>
        <v>1</v>
      </c>
    </row>
    <row r="5343" spans="1:4" x14ac:dyDescent="0.3">
      <c r="A5343" s="34">
        <v>43218</v>
      </c>
      <c r="B5343" s="35">
        <v>2</v>
      </c>
      <c r="C5343" s="35">
        <v>1</v>
      </c>
      <c r="D5343" s="2">
        <f t="shared" si="83"/>
        <v>3</v>
      </c>
    </row>
    <row r="5344" spans="1:4" x14ac:dyDescent="0.3">
      <c r="A5344" s="34">
        <v>43225</v>
      </c>
      <c r="B5344" s="35">
        <v>1</v>
      </c>
      <c r="C5344" s="35">
        <v>0</v>
      </c>
      <c r="D5344" s="2">
        <f t="shared" si="83"/>
        <v>1</v>
      </c>
    </row>
    <row r="5345" spans="1:4" x14ac:dyDescent="0.3">
      <c r="A5345" s="34">
        <v>43228</v>
      </c>
      <c r="B5345" s="35">
        <v>1</v>
      </c>
      <c r="C5345" s="35">
        <v>0</v>
      </c>
      <c r="D5345" s="2">
        <f t="shared" si="83"/>
        <v>1</v>
      </c>
    </row>
    <row r="5346" spans="1:4" x14ac:dyDescent="0.3">
      <c r="A5346" s="34">
        <v>43230</v>
      </c>
      <c r="B5346" s="35">
        <v>1</v>
      </c>
      <c r="C5346" s="35">
        <v>0</v>
      </c>
      <c r="D5346" s="2">
        <f t="shared" si="83"/>
        <v>1</v>
      </c>
    </row>
    <row r="5347" spans="1:4" x14ac:dyDescent="0.3">
      <c r="A5347" s="34">
        <v>43232</v>
      </c>
      <c r="B5347" s="35">
        <v>1</v>
      </c>
      <c r="C5347" s="35">
        <v>0</v>
      </c>
      <c r="D5347" s="2">
        <f t="shared" si="83"/>
        <v>1</v>
      </c>
    </row>
    <row r="5348" spans="1:4" x14ac:dyDescent="0.3">
      <c r="A5348" s="34">
        <v>43235</v>
      </c>
      <c r="B5348" s="35">
        <v>2</v>
      </c>
      <c r="C5348" s="35">
        <v>2</v>
      </c>
      <c r="D5348" s="2">
        <f t="shared" si="83"/>
        <v>4</v>
      </c>
    </row>
    <row r="5349" spans="1:4" x14ac:dyDescent="0.3">
      <c r="A5349" s="34">
        <v>43254</v>
      </c>
      <c r="B5349" s="35">
        <v>1</v>
      </c>
      <c r="C5349" s="35">
        <v>0</v>
      </c>
      <c r="D5349" s="2">
        <f t="shared" si="83"/>
        <v>1</v>
      </c>
    </row>
    <row r="5350" spans="1:4" x14ac:dyDescent="0.3">
      <c r="A5350" s="34">
        <v>43256</v>
      </c>
      <c r="B5350" s="35">
        <v>1</v>
      </c>
      <c r="C5350" s="35">
        <v>0</v>
      </c>
      <c r="D5350" s="2">
        <f t="shared" si="83"/>
        <v>1</v>
      </c>
    </row>
    <row r="5351" spans="1:4" x14ac:dyDescent="0.3">
      <c r="A5351" s="34">
        <v>43258</v>
      </c>
      <c r="B5351" s="35">
        <v>1</v>
      </c>
      <c r="C5351" s="35">
        <v>0</v>
      </c>
      <c r="D5351" s="2">
        <f t="shared" si="83"/>
        <v>1</v>
      </c>
    </row>
    <row r="5352" spans="1:4" x14ac:dyDescent="0.3">
      <c r="A5352" s="34">
        <v>43263</v>
      </c>
      <c r="B5352" s="35">
        <v>2</v>
      </c>
      <c r="C5352" s="35">
        <v>0</v>
      </c>
      <c r="D5352" s="2">
        <f t="shared" si="83"/>
        <v>2</v>
      </c>
    </row>
    <row r="5353" spans="1:4" x14ac:dyDescent="0.3">
      <c r="A5353" s="34">
        <v>43266</v>
      </c>
      <c r="B5353" s="35">
        <v>1</v>
      </c>
      <c r="C5353" s="35">
        <v>0</v>
      </c>
      <c r="D5353" s="2">
        <f t="shared" si="83"/>
        <v>1</v>
      </c>
    </row>
    <row r="5354" spans="1:4" x14ac:dyDescent="0.3">
      <c r="A5354" s="34">
        <v>43268</v>
      </c>
      <c r="B5354" s="35">
        <v>1</v>
      </c>
      <c r="C5354" s="35">
        <v>0</v>
      </c>
      <c r="D5354" s="2">
        <f t="shared" si="83"/>
        <v>1</v>
      </c>
    </row>
    <row r="5355" spans="1:4" x14ac:dyDescent="0.3">
      <c r="A5355" s="34">
        <v>43269</v>
      </c>
      <c r="B5355" s="35">
        <v>1</v>
      </c>
      <c r="C5355" s="35">
        <v>0</v>
      </c>
      <c r="D5355" s="2">
        <f t="shared" si="83"/>
        <v>1</v>
      </c>
    </row>
    <row r="5356" spans="1:4" x14ac:dyDescent="0.3">
      <c r="A5356" s="34">
        <v>43270</v>
      </c>
      <c r="B5356" s="35">
        <v>1</v>
      </c>
      <c r="C5356" s="35">
        <v>1</v>
      </c>
      <c r="D5356" s="2">
        <f t="shared" si="83"/>
        <v>2</v>
      </c>
    </row>
    <row r="5357" spans="1:4" x14ac:dyDescent="0.3">
      <c r="A5357" s="34">
        <v>43271</v>
      </c>
      <c r="B5357" s="35">
        <v>1</v>
      </c>
      <c r="C5357" s="35">
        <v>1</v>
      </c>
      <c r="D5357" s="2">
        <f t="shared" si="83"/>
        <v>2</v>
      </c>
    </row>
    <row r="5358" spans="1:4" x14ac:dyDescent="0.3">
      <c r="A5358" s="34">
        <v>43277</v>
      </c>
      <c r="B5358" s="35">
        <v>1</v>
      </c>
      <c r="C5358" s="35">
        <v>0</v>
      </c>
      <c r="D5358" s="2">
        <f t="shared" si="83"/>
        <v>1</v>
      </c>
    </row>
    <row r="5359" spans="1:4" x14ac:dyDescent="0.3">
      <c r="A5359" s="34">
        <v>43280</v>
      </c>
      <c r="B5359" s="35">
        <v>1</v>
      </c>
      <c r="C5359" s="35">
        <v>0</v>
      </c>
      <c r="D5359" s="2">
        <f t="shared" si="83"/>
        <v>1</v>
      </c>
    </row>
    <row r="5360" spans="1:4" x14ac:dyDescent="0.3">
      <c r="A5360" s="34">
        <v>43284</v>
      </c>
      <c r="B5360" s="35">
        <v>1</v>
      </c>
      <c r="C5360" s="35">
        <v>0</v>
      </c>
      <c r="D5360" s="2">
        <f t="shared" si="83"/>
        <v>1</v>
      </c>
    </row>
    <row r="5361" spans="1:4" x14ac:dyDescent="0.3">
      <c r="A5361" s="34">
        <v>43285</v>
      </c>
      <c r="B5361" s="35">
        <v>1</v>
      </c>
      <c r="C5361" s="35">
        <v>0</v>
      </c>
      <c r="D5361" s="2">
        <f t="shared" si="83"/>
        <v>1</v>
      </c>
    </row>
    <row r="5362" spans="1:4" x14ac:dyDescent="0.3">
      <c r="A5362" s="34">
        <v>43290</v>
      </c>
      <c r="B5362" s="35">
        <v>1</v>
      </c>
      <c r="C5362" s="35">
        <v>0</v>
      </c>
      <c r="D5362" s="2">
        <f t="shared" si="83"/>
        <v>1</v>
      </c>
    </row>
    <row r="5363" spans="1:4" x14ac:dyDescent="0.3">
      <c r="A5363" s="34">
        <v>43291</v>
      </c>
      <c r="B5363" s="35">
        <v>1</v>
      </c>
      <c r="C5363" s="35">
        <v>0</v>
      </c>
      <c r="D5363" s="2">
        <f t="shared" si="83"/>
        <v>1</v>
      </c>
    </row>
    <row r="5364" spans="1:4" x14ac:dyDescent="0.3">
      <c r="A5364" s="34">
        <v>43294</v>
      </c>
      <c r="B5364" s="35">
        <v>3</v>
      </c>
      <c r="C5364" s="35">
        <v>2</v>
      </c>
      <c r="D5364" s="2">
        <f t="shared" si="83"/>
        <v>5</v>
      </c>
    </row>
    <row r="5365" spans="1:4" x14ac:dyDescent="0.3">
      <c r="A5365" s="34">
        <v>43325</v>
      </c>
      <c r="B5365" s="35">
        <v>1</v>
      </c>
      <c r="C5365" s="35">
        <v>0</v>
      </c>
      <c r="D5365" s="2">
        <f t="shared" si="83"/>
        <v>1</v>
      </c>
    </row>
    <row r="5366" spans="1:4" x14ac:dyDescent="0.3">
      <c r="A5366" s="34">
        <v>43326</v>
      </c>
      <c r="B5366" s="35">
        <v>1</v>
      </c>
      <c r="C5366" s="35">
        <v>0</v>
      </c>
      <c r="D5366" s="2">
        <f t="shared" si="83"/>
        <v>1</v>
      </c>
    </row>
    <row r="5367" spans="1:4" x14ac:dyDescent="0.3">
      <c r="A5367" s="34">
        <v>43330</v>
      </c>
      <c r="B5367" s="35">
        <v>1</v>
      </c>
      <c r="C5367" s="35">
        <v>0</v>
      </c>
      <c r="D5367" s="2">
        <f t="shared" si="83"/>
        <v>1</v>
      </c>
    </row>
    <row r="5368" spans="1:4" x14ac:dyDescent="0.3">
      <c r="A5368" s="34">
        <v>43331</v>
      </c>
      <c r="B5368" s="35">
        <v>1</v>
      </c>
      <c r="C5368" s="35">
        <v>0</v>
      </c>
      <c r="D5368" s="2">
        <f t="shared" si="83"/>
        <v>1</v>
      </c>
    </row>
    <row r="5369" spans="1:4" x14ac:dyDescent="0.3">
      <c r="A5369" s="34">
        <v>43332</v>
      </c>
      <c r="B5369" s="35">
        <v>1</v>
      </c>
      <c r="C5369" s="35">
        <v>1</v>
      </c>
      <c r="D5369" s="2">
        <f t="shared" si="83"/>
        <v>2</v>
      </c>
    </row>
    <row r="5370" spans="1:4" x14ac:dyDescent="0.3">
      <c r="A5370" s="34">
        <v>43341</v>
      </c>
      <c r="B5370" s="35">
        <v>1</v>
      </c>
      <c r="C5370" s="35">
        <v>1</v>
      </c>
      <c r="D5370" s="2">
        <f t="shared" si="83"/>
        <v>2</v>
      </c>
    </row>
    <row r="5371" spans="1:4" x14ac:dyDescent="0.3">
      <c r="A5371" s="34">
        <v>43342</v>
      </c>
      <c r="B5371" s="35">
        <v>1</v>
      </c>
      <c r="C5371" s="35">
        <v>0</v>
      </c>
      <c r="D5371" s="2">
        <f t="shared" si="83"/>
        <v>1</v>
      </c>
    </row>
    <row r="5372" spans="1:4" x14ac:dyDescent="0.3">
      <c r="A5372" s="34">
        <v>43351</v>
      </c>
      <c r="B5372" s="35">
        <v>1</v>
      </c>
      <c r="C5372" s="35">
        <v>0</v>
      </c>
      <c r="D5372" s="2">
        <f t="shared" si="83"/>
        <v>1</v>
      </c>
    </row>
    <row r="5373" spans="1:4" x14ac:dyDescent="0.3">
      <c r="A5373" s="34">
        <v>43352</v>
      </c>
      <c r="B5373" s="35">
        <v>1</v>
      </c>
      <c r="C5373" s="35">
        <v>0</v>
      </c>
      <c r="D5373" s="2">
        <f t="shared" si="83"/>
        <v>1</v>
      </c>
    </row>
    <row r="5374" spans="1:4" x14ac:dyDescent="0.3">
      <c r="A5374" s="34">
        <v>43354</v>
      </c>
      <c r="B5374" s="35">
        <v>1</v>
      </c>
      <c r="C5374" s="35">
        <v>1</v>
      </c>
      <c r="D5374" s="2">
        <f t="shared" si="83"/>
        <v>2</v>
      </c>
    </row>
    <row r="5375" spans="1:4" x14ac:dyDescent="0.3">
      <c r="A5375" s="34">
        <v>43355</v>
      </c>
      <c r="B5375" s="35">
        <v>1</v>
      </c>
      <c r="C5375" s="35">
        <v>1</v>
      </c>
      <c r="D5375" s="2">
        <f t="shared" si="83"/>
        <v>2</v>
      </c>
    </row>
    <row r="5376" spans="1:4" x14ac:dyDescent="0.3">
      <c r="A5376" s="34">
        <v>43422</v>
      </c>
      <c r="B5376" s="35">
        <v>1</v>
      </c>
      <c r="C5376" s="35">
        <v>0</v>
      </c>
      <c r="D5376" s="2">
        <f t="shared" si="83"/>
        <v>1</v>
      </c>
    </row>
    <row r="5377" spans="1:4" x14ac:dyDescent="0.3">
      <c r="A5377" s="34">
        <v>43425</v>
      </c>
      <c r="B5377" s="35">
        <v>1</v>
      </c>
      <c r="C5377" s="35">
        <v>0</v>
      </c>
      <c r="D5377" s="2">
        <f t="shared" si="83"/>
        <v>1</v>
      </c>
    </row>
    <row r="5378" spans="1:4" x14ac:dyDescent="0.3">
      <c r="A5378" s="34">
        <v>43426</v>
      </c>
      <c r="B5378" s="35">
        <v>2</v>
      </c>
      <c r="C5378" s="35">
        <v>1</v>
      </c>
      <c r="D5378" s="2">
        <f t="shared" si="83"/>
        <v>3</v>
      </c>
    </row>
    <row r="5379" spans="1:4" x14ac:dyDescent="0.3">
      <c r="A5379" s="34">
        <v>43431</v>
      </c>
      <c r="B5379" s="35">
        <v>1</v>
      </c>
      <c r="C5379" s="35">
        <v>0</v>
      </c>
      <c r="D5379" s="2">
        <f t="shared" ref="D5379:D5442" si="84">B5379+C5379</f>
        <v>1</v>
      </c>
    </row>
    <row r="5380" spans="1:4" x14ac:dyDescent="0.3">
      <c r="A5380" s="34">
        <v>43432</v>
      </c>
      <c r="B5380" s="35">
        <v>1</v>
      </c>
      <c r="C5380" s="35">
        <v>0</v>
      </c>
      <c r="D5380" s="2">
        <f t="shared" si="84"/>
        <v>1</v>
      </c>
    </row>
    <row r="5381" spans="1:4" x14ac:dyDescent="0.3">
      <c r="A5381" s="34">
        <v>43433</v>
      </c>
      <c r="B5381" s="35">
        <v>1</v>
      </c>
      <c r="C5381" s="35">
        <v>1</v>
      </c>
      <c r="D5381" s="2">
        <f t="shared" si="84"/>
        <v>2</v>
      </c>
    </row>
    <row r="5382" spans="1:4" x14ac:dyDescent="0.3">
      <c r="A5382" s="34">
        <v>43437</v>
      </c>
      <c r="B5382" s="35">
        <v>1</v>
      </c>
      <c r="C5382" s="35">
        <v>0</v>
      </c>
      <c r="D5382" s="2">
        <f t="shared" si="84"/>
        <v>1</v>
      </c>
    </row>
    <row r="5383" spans="1:4" x14ac:dyDescent="0.3">
      <c r="A5383" s="34">
        <v>43438</v>
      </c>
      <c r="B5383" s="35">
        <v>1</v>
      </c>
      <c r="C5383" s="35">
        <v>0</v>
      </c>
      <c r="D5383" s="2">
        <f t="shared" si="84"/>
        <v>1</v>
      </c>
    </row>
    <row r="5384" spans="1:4" x14ac:dyDescent="0.3">
      <c r="A5384" s="34">
        <v>43441</v>
      </c>
      <c r="B5384" s="35">
        <v>1</v>
      </c>
      <c r="C5384" s="35">
        <v>1</v>
      </c>
      <c r="D5384" s="2">
        <f t="shared" si="84"/>
        <v>2</v>
      </c>
    </row>
    <row r="5385" spans="1:4" x14ac:dyDescent="0.3">
      <c r="A5385" s="34">
        <v>43442</v>
      </c>
      <c r="B5385" s="35">
        <v>1</v>
      </c>
      <c r="C5385" s="35">
        <v>0</v>
      </c>
      <c r="D5385" s="2">
        <f t="shared" si="84"/>
        <v>1</v>
      </c>
    </row>
    <row r="5386" spans="1:4" x14ac:dyDescent="0.3">
      <c r="A5386" s="34">
        <v>43443</v>
      </c>
      <c r="B5386" s="35">
        <v>1</v>
      </c>
      <c r="C5386" s="35">
        <v>0</v>
      </c>
      <c r="D5386" s="2">
        <f t="shared" si="84"/>
        <v>1</v>
      </c>
    </row>
    <row r="5387" spans="1:4" x14ac:dyDescent="0.3">
      <c r="A5387" s="34">
        <v>43444</v>
      </c>
      <c r="B5387" s="35">
        <v>1</v>
      </c>
      <c r="C5387" s="35">
        <v>1</v>
      </c>
      <c r="D5387" s="2">
        <f t="shared" si="84"/>
        <v>2</v>
      </c>
    </row>
    <row r="5388" spans="1:4" x14ac:dyDescent="0.3">
      <c r="A5388" s="34">
        <v>43511</v>
      </c>
      <c r="B5388" s="35">
        <v>1</v>
      </c>
      <c r="C5388" s="35">
        <v>0</v>
      </c>
      <c r="D5388" s="2">
        <f t="shared" si="84"/>
        <v>1</v>
      </c>
    </row>
    <row r="5389" spans="1:4" x14ac:dyDescent="0.3">
      <c r="A5389" s="34">
        <v>43512</v>
      </c>
      <c r="B5389" s="35">
        <v>1</v>
      </c>
      <c r="C5389" s="35">
        <v>1</v>
      </c>
      <c r="D5389" s="2">
        <f t="shared" si="84"/>
        <v>2</v>
      </c>
    </row>
    <row r="5390" spans="1:4" x14ac:dyDescent="0.3">
      <c r="A5390" s="34">
        <v>43516</v>
      </c>
      <c r="B5390" s="35">
        <v>1</v>
      </c>
      <c r="C5390" s="35">
        <v>0</v>
      </c>
      <c r="D5390" s="2">
        <f t="shared" si="84"/>
        <v>1</v>
      </c>
    </row>
    <row r="5391" spans="1:4" x14ac:dyDescent="0.3">
      <c r="A5391" s="34">
        <v>43517</v>
      </c>
      <c r="B5391" s="35">
        <v>1</v>
      </c>
      <c r="C5391" s="35">
        <v>0</v>
      </c>
      <c r="D5391" s="2">
        <f t="shared" si="84"/>
        <v>1</v>
      </c>
    </row>
    <row r="5392" spans="1:4" x14ac:dyDescent="0.3">
      <c r="A5392" s="34">
        <v>43524</v>
      </c>
      <c r="B5392" s="35">
        <v>1</v>
      </c>
      <c r="C5392" s="35">
        <v>0</v>
      </c>
      <c r="D5392" s="2">
        <f t="shared" si="84"/>
        <v>1</v>
      </c>
    </row>
    <row r="5393" spans="1:4" x14ac:dyDescent="0.3">
      <c r="A5393" s="34">
        <v>43528</v>
      </c>
      <c r="B5393" s="35">
        <v>2</v>
      </c>
      <c r="C5393" s="35">
        <v>1</v>
      </c>
      <c r="D5393" s="2">
        <f t="shared" si="84"/>
        <v>3</v>
      </c>
    </row>
    <row r="5394" spans="1:4" x14ac:dyDescent="0.3">
      <c r="A5394" s="34">
        <v>43533</v>
      </c>
      <c r="B5394" s="35">
        <v>1</v>
      </c>
      <c r="C5394" s="35">
        <v>0</v>
      </c>
      <c r="D5394" s="2">
        <f t="shared" si="84"/>
        <v>1</v>
      </c>
    </row>
    <row r="5395" spans="1:4" x14ac:dyDescent="0.3">
      <c r="A5395" s="34">
        <v>43536</v>
      </c>
      <c r="B5395" s="35">
        <v>1</v>
      </c>
      <c r="C5395" s="35">
        <v>0</v>
      </c>
      <c r="D5395" s="2">
        <f t="shared" si="84"/>
        <v>1</v>
      </c>
    </row>
    <row r="5396" spans="1:4" x14ac:dyDescent="0.3">
      <c r="A5396" s="34">
        <v>43537</v>
      </c>
      <c r="B5396" s="35">
        <v>1</v>
      </c>
      <c r="C5396" s="35">
        <v>0</v>
      </c>
      <c r="D5396" s="2">
        <f t="shared" si="84"/>
        <v>1</v>
      </c>
    </row>
    <row r="5397" spans="1:4" x14ac:dyDescent="0.3">
      <c r="A5397" s="34">
        <v>43542</v>
      </c>
      <c r="B5397" s="35">
        <v>1</v>
      </c>
      <c r="C5397" s="35">
        <v>0</v>
      </c>
      <c r="D5397" s="2">
        <f t="shared" si="84"/>
        <v>1</v>
      </c>
    </row>
    <row r="5398" spans="1:4" x14ac:dyDescent="0.3">
      <c r="A5398" s="34">
        <v>43545</v>
      </c>
      <c r="B5398" s="35">
        <v>1</v>
      </c>
      <c r="C5398" s="35">
        <v>0</v>
      </c>
      <c r="D5398" s="2">
        <f t="shared" si="84"/>
        <v>1</v>
      </c>
    </row>
    <row r="5399" spans="1:4" x14ac:dyDescent="0.3">
      <c r="A5399" s="34">
        <v>43550</v>
      </c>
      <c r="B5399" s="35">
        <v>1</v>
      </c>
      <c r="C5399" s="35">
        <v>1</v>
      </c>
      <c r="D5399" s="2">
        <f t="shared" si="84"/>
        <v>2</v>
      </c>
    </row>
    <row r="5400" spans="1:4" x14ac:dyDescent="0.3">
      <c r="A5400" s="34">
        <v>43551</v>
      </c>
      <c r="B5400" s="35">
        <v>1</v>
      </c>
      <c r="C5400" s="35">
        <v>0</v>
      </c>
      <c r="D5400" s="2">
        <f t="shared" si="84"/>
        <v>1</v>
      </c>
    </row>
    <row r="5401" spans="1:4" x14ac:dyDescent="0.3">
      <c r="A5401" s="34">
        <v>43552</v>
      </c>
      <c r="B5401" s="35">
        <v>1</v>
      </c>
      <c r="C5401" s="35">
        <v>0</v>
      </c>
      <c r="D5401" s="2">
        <f t="shared" si="84"/>
        <v>1</v>
      </c>
    </row>
    <row r="5402" spans="1:4" x14ac:dyDescent="0.3">
      <c r="A5402" s="34">
        <v>43554</v>
      </c>
      <c r="B5402" s="35">
        <v>1</v>
      </c>
      <c r="C5402" s="35">
        <v>1</v>
      </c>
      <c r="D5402" s="2">
        <f t="shared" si="84"/>
        <v>2</v>
      </c>
    </row>
    <row r="5403" spans="1:4" x14ac:dyDescent="0.3">
      <c r="A5403" s="34">
        <v>43558</v>
      </c>
      <c r="B5403" s="35">
        <v>1</v>
      </c>
      <c r="C5403" s="35">
        <v>0</v>
      </c>
      <c r="D5403" s="2">
        <f t="shared" si="84"/>
        <v>1</v>
      </c>
    </row>
    <row r="5404" spans="1:4" x14ac:dyDescent="0.3">
      <c r="A5404" s="34">
        <v>43560</v>
      </c>
      <c r="B5404" s="35">
        <v>1</v>
      </c>
      <c r="C5404" s="35">
        <v>0</v>
      </c>
      <c r="D5404" s="2">
        <f t="shared" si="84"/>
        <v>1</v>
      </c>
    </row>
    <row r="5405" spans="1:4" x14ac:dyDescent="0.3">
      <c r="A5405" s="34">
        <v>43565</v>
      </c>
      <c r="B5405" s="35">
        <v>1</v>
      </c>
      <c r="C5405" s="35">
        <v>0</v>
      </c>
      <c r="D5405" s="2">
        <f t="shared" si="84"/>
        <v>1</v>
      </c>
    </row>
    <row r="5406" spans="1:4" x14ac:dyDescent="0.3">
      <c r="A5406" s="34">
        <v>43566</v>
      </c>
      <c r="B5406" s="35">
        <v>1</v>
      </c>
      <c r="C5406" s="35">
        <v>0</v>
      </c>
      <c r="D5406" s="2">
        <f t="shared" si="84"/>
        <v>1</v>
      </c>
    </row>
    <row r="5407" spans="1:4" x14ac:dyDescent="0.3">
      <c r="A5407" s="34">
        <v>43569</v>
      </c>
      <c r="B5407" s="35">
        <v>1</v>
      </c>
      <c r="C5407" s="35">
        <v>1</v>
      </c>
      <c r="D5407" s="2">
        <f t="shared" si="84"/>
        <v>2</v>
      </c>
    </row>
    <row r="5408" spans="1:4" x14ac:dyDescent="0.3">
      <c r="A5408" s="34">
        <v>43574</v>
      </c>
      <c r="B5408" s="35">
        <v>1</v>
      </c>
      <c r="C5408" s="35">
        <v>0</v>
      </c>
      <c r="D5408" s="2">
        <f t="shared" si="84"/>
        <v>1</v>
      </c>
    </row>
    <row r="5409" spans="1:4" x14ac:dyDescent="0.3">
      <c r="A5409" s="34">
        <v>43581</v>
      </c>
      <c r="B5409" s="35">
        <v>1</v>
      </c>
      <c r="C5409" s="35">
        <v>1</v>
      </c>
      <c r="D5409" s="2">
        <f t="shared" si="84"/>
        <v>2</v>
      </c>
    </row>
    <row r="5410" spans="1:4" x14ac:dyDescent="0.3">
      <c r="A5410" s="34">
        <v>43589</v>
      </c>
      <c r="B5410" s="35">
        <v>1</v>
      </c>
      <c r="C5410" s="35">
        <v>1</v>
      </c>
      <c r="D5410" s="2">
        <f t="shared" si="84"/>
        <v>2</v>
      </c>
    </row>
    <row r="5411" spans="1:4" x14ac:dyDescent="0.3">
      <c r="A5411" s="34">
        <v>43591</v>
      </c>
      <c r="B5411" s="35">
        <v>1</v>
      </c>
      <c r="C5411" s="35">
        <v>1</v>
      </c>
      <c r="D5411" s="2">
        <f t="shared" si="84"/>
        <v>2</v>
      </c>
    </row>
    <row r="5412" spans="1:4" x14ac:dyDescent="0.3">
      <c r="A5412" s="34">
        <v>43594</v>
      </c>
      <c r="B5412" s="35">
        <v>1</v>
      </c>
      <c r="C5412" s="35">
        <v>0</v>
      </c>
      <c r="D5412" s="2">
        <f t="shared" si="84"/>
        <v>1</v>
      </c>
    </row>
    <row r="5413" spans="1:4" x14ac:dyDescent="0.3">
      <c r="A5413" s="34">
        <v>43595</v>
      </c>
      <c r="B5413" s="35">
        <v>1</v>
      </c>
      <c r="C5413" s="35">
        <v>1</v>
      </c>
      <c r="D5413" s="2">
        <f t="shared" si="84"/>
        <v>2</v>
      </c>
    </row>
    <row r="5414" spans="1:4" x14ac:dyDescent="0.3">
      <c r="A5414" s="34">
        <v>43596</v>
      </c>
      <c r="B5414" s="35">
        <v>1</v>
      </c>
      <c r="C5414" s="35">
        <v>0</v>
      </c>
      <c r="D5414" s="2">
        <f t="shared" si="84"/>
        <v>1</v>
      </c>
    </row>
    <row r="5415" spans="1:4" x14ac:dyDescent="0.3">
      <c r="A5415" s="34">
        <v>43597</v>
      </c>
      <c r="B5415" s="35">
        <v>1</v>
      </c>
      <c r="C5415" s="35">
        <v>0</v>
      </c>
      <c r="D5415" s="2">
        <f t="shared" si="84"/>
        <v>1</v>
      </c>
    </row>
    <row r="5416" spans="1:4" x14ac:dyDescent="0.3">
      <c r="A5416" s="34">
        <v>43642</v>
      </c>
      <c r="B5416" s="35">
        <v>1</v>
      </c>
      <c r="C5416" s="35">
        <v>1</v>
      </c>
      <c r="D5416" s="2">
        <f t="shared" si="84"/>
        <v>2</v>
      </c>
    </row>
    <row r="5417" spans="1:4" x14ac:dyDescent="0.3">
      <c r="A5417" s="34">
        <v>43644</v>
      </c>
      <c r="B5417" s="35">
        <v>1</v>
      </c>
      <c r="C5417" s="35">
        <v>1</v>
      </c>
      <c r="D5417" s="2">
        <f t="shared" si="84"/>
        <v>2</v>
      </c>
    </row>
    <row r="5418" spans="1:4" x14ac:dyDescent="0.3">
      <c r="A5418" s="34">
        <v>43648</v>
      </c>
      <c r="B5418" s="35">
        <v>1</v>
      </c>
      <c r="C5418" s="35">
        <v>0</v>
      </c>
      <c r="D5418" s="2">
        <f t="shared" si="84"/>
        <v>1</v>
      </c>
    </row>
    <row r="5419" spans="1:4" x14ac:dyDescent="0.3">
      <c r="A5419" s="34">
        <v>43649</v>
      </c>
      <c r="B5419" s="35">
        <v>1</v>
      </c>
      <c r="C5419" s="35">
        <v>1</v>
      </c>
      <c r="D5419" s="2">
        <f t="shared" si="84"/>
        <v>2</v>
      </c>
    </row>
    <row r="5420" spans="1:4" x14ac:dyDescent="0.3">
      <c r="A5420" s="34">
        <v>43660</v>
      </c>
      <c r="B5420" s="35">
        <v>1</v>
      </c>
      <c r="C5420" s="35">
        <v>0</v>
      </c>
      <c r="D5420" s="2">
        <f t="shared" si="84"/>
        <v>1</v>
      </c>
    </row>
    <row r="5421" spans="1:4" x14ac:dyDescent="0.3">
      <c r="A5421" s="34">
        <v>43661</v>
      </c>
      <c r="B5421" s="35">
        <v>2</v>
      </c>
      <c r="C5421" s="35">
        <v>0</v>
      </c>
      <c r="D5421" s="2">
        <f t="shared" si="84"/>
        <v>2</v>
      </c>
    </row>
    <row r="5422" spans="1:4" x14ac:dyDescent="0.3">
      <c r="A5422" s="34">
        <v>43663</v>
      </c>
      <c r="B5422" s="35">
        <v>1</v>
      </c>
      <c r="C5422" s="35">
        <v>0</v>
      </c>
      <c r="D5422" s="2">
        <f t="shared" si="84"/>
        <v>1</v>
      </c>
    </row>
    <row r="5423" spans="1:4" x14ac:dyDescent="0.3">
      <c r="A5423" s="34">
        <v>43667</v>
      </c>
      <c r="B5423" s="35">
        <v>1</v>
      </c>
      <c r="C5423" s="35">
        <v>0</v>
      </c>
      <c r="D5423" s="2">
        <f t="shared" si="84"/>
        <v>1</v>
      </c>
    </row>
    <row r="5424" spans="1:4" x14ac:dyDescent="0.3">
      <c r="A5424" s="34">
        <v>43670</v>
      </c>
      <c r="B5424" s="35">
        <v>1</v>
      </c>
      <c r="C5424" s="35">
        <v>0</v>
      </c>
      <c r="D5424" s="2">
        <f t="shared" si="84"/>
        <v>1</v>
      </c>
    </row>
    <row r="5425" spans="1:4" x14ac:dyDescent="0.3">
      <c r="A5425" s="34">
        <v>43675</v>
      </c>
      <c r="B5425" s="35">
        <v>1</v>
      </c>
      <c r="C5425" s="35">
        <v>0</v>
      </c>
      <c r="D5425" s="2">
        <f t="shared" si="84"/>
        <v>1</v>
      </c>
    </row>
    <row r="5426" spans="1:4" x14ac:dyDescent="0.3">
      <c r="A5426" s="34">
        <v>43676</v>
      </c>
      <c r="B5426" s="35">
        <v>1</v>
      </c>
      <c r="C5426" s="35">
        <v>0</v>
      </c>
      <c r="D5426" s="2">
        <f t="shared" si="84"/>
        <v>1</v>
      </c>
    </row>
    <row r="5427" spans="1:4" x14ac:dyDescent="0.3">
      <c r="A5427" s="34">
        <v>43681</v>
      </c>
      <c r="B5427" s="35">
        <v>1</v>
      </c>
      <c r="C5427" s="35">
        <v>0</v>
      </c>
      <c r="D5427" s="2">
        <f t="shared" si="84"/>
        <v>1</v>
      </c>
    </row>
    <row r="5428" spans="1:4" x14ac:dyDescent="0.3">
      <c r="A5428" s="34">
        <v>43685</v>
      </c>
      <c r="B5428" s="35">
        <v>1</v>
      </c>
      <c r="C5428" s="35">
        <v>0</v>
      </c>
      <c r="D5428" s="2">
        <f t="shared" si="84"/>
        <v>1</v>
      </c>
    </row>
    <row r="5429" spans="1:4" x14ac:dyDescent="0.3">
      <c r="A5429" s="34">
        <v>43722</v>
      </c>
      <c r="B5429" s="35">
        <v>1</v>
      </c>
      <c r="C5429" s="35">
        <v>0</v>
      </c>
      <c r="D5429" s="2">
        <f t="shared" si="84"/>
        <v>1</v>
      </c>
    </row>
    <row r="5430" spans="1:4" x14ac:dyDescent="0.3">
      <c r="A5430" s="34">
        <v>43723</v>
      </c>
      <c r="B5430" s="35">
        <v>1</v>
      </c>
      <c r="C5430" s="35">
        <v>0</v>
      </c>
      <c r="D5430" s="2">
        <f t="shared" si="84"/>
        <v>1</v>
      </c>
    </row>
    <row r="5431" spans="1:4" x14ac:dyDescent="0.3">
      <c r="A5431" s="34">
        <v>43729</v>
      </c>
      <c r="B5431" s="35">
        <v>1</v>
      </c>
      <c r="C5431" s="35">
        <v>0</v>
      </c>
      <c r="D5431" s="2">
        <f t="shared" si="84"/>
        <v>1</v>
      </c>
    </row>
    <row r="5432" spans="1:4" x14ac:dyDescent="0.3">
      <c r="A5432" s="34">
        <v>43732</v>
      </c>
      <c r="B5432" s="35">
        <v>1</v>
      </c>
      <c r="C5432" s="35">
        <v>0</v>
      </c>
      <c r="D5432" s="2">
        <f t="shared" si="84"/>
        <v>1</v>
      </c>
    </row>
    <row r="5433" spans="1:4" x14ac:dyDescent="0.3">
      <c r="A5433" s="34">
        <v>43743</v>
      </c>
      <c r="B5433" s="35">
        <v>1</v>
      </c>
      <c r="C5433" s="35">
        <v>1</v>
      </c>
      <c r="D5433" s="2">
        <f t="shared" si="84"/>
        <v>2</v>
      </c>
    </row>
    <row r="5434" spans="1:4" x14ac:dyDescent="0.3">
      <c r="A5434" s="34">
        <v>43745</v>
      </c>
      <c r="B5434" s="35">
        <v>1</v>
      </c>
      <c r="C5434" s="35">
        <v>0</v>
      </c>
      <c r="D5434" s="2">
        <f t="shared" si="84"/>
        <v>1</v>
      </c>
    </row>
    <row r="5435" spans="1:4" x14ac:dyDescent="0.3">
      <c r="A5435" s="34">
        <v>43766</v>
      </c>
      <c r="B5435" s="35">
        <v>1</v>
      </c>
      <c r="C5435" s="35">
        <v>1</v>
      </c>
      <c r="D5435" s="2">
        <f t="shared" si="84"/>
        <v>2</v>
      </c>
    </row>
    <row r="5436" spans="1:4" x14ac:dyDescent="0.3">
      <c r="A5436" s="34">
        <v>43840</v>
      </c>
      <c r="B5436" s="35">
        <v>1</v>
      </c>
      <c r="C5436" s="35">
        <v>0</v>
      </c>
      <c r="D5436" s="2">
        <f t="shared" si="84"/>
        <v>1</v>
      </c>
    </row>
    <row r="5437" spans="1:4" x14ac:dyDescent="0.3">
      <c r="A5437" s="34">
        <v>43871</v>
      </c>
      <c r="B5437" s="35">
        <v>1</v>
      </c>
      <c r="C5437" s="35">
        <v>0</v>
      </c>
      <c r="D5437" s="2">
        <f t="shared" si="84"/>
        <v>1</v>
      </c>
    </row>
    <row r="5438" spans="1:4" x14ac:dyDescent="0.3">
      <c r="A5438" s="34">
        <v>43933</v>
      </c>
      <c r="B5438" s="35">
        <v>1</v>
      </c>
      <c r="C5438" s="35">
        <v>1</v>
      </c>
      <c r="D5438" s="2">
        <f t="shared" si="84"/>
        <v>2</v>
      </c>
    </row>
    <row r="5439" spans="1:4" x14ac:dyDescent="0.3">
      <c r="A5439" s="34">
        <v>43942</v>
      </c>
      <c r="B5439" s="35">
        <v>1</v>
      </c>
      <c r="C5439" s="35">
        <v>0</v>
      </c>
      <c r="D5439" s="2">
        <f t="shared" si="84"/>
        <v>1</v>
      </c>
    </row>
    <row r="5440" spans="1:4" x14ac:dyDescent="0.3">
      <c r="A5440" s="34">
        <v>43949</v>
      </c>
      <c r="B5440" s="35">
        <v>2</v>
      </c>
      <c r="C5440" s="35">
        <v>1</v>
      </c>
      <c r="D5440" s="2">
        <f t="shared" si="84"/>
        <v>3</v>
      </c>
    </row>
    <row r="5441" spans="1:4" x14ac:dyDescent="0.3">
      <c r="A5441" s="34">
        <v>43953</v>
      </c>
      <c r="B5441" s="35">
        <v>1</v>
      </c>
      <c r="C5441" s="35">
        <v>0</v>
      </c>
      <c r="D5441" s="2">
        <f t="shared" si="84"/>
        <v>1</v>
      </c>
    </row>
    <row r="5442" spans="1:4" x14ac:dyDescent="0.3">
      <c r="A5442" s="34">
        <v>43958</v>
      </c>
      <c r="B5442" s="35">
        <v>1</v>
      </c>
      <c r="C5442" s="35">
        <v>0</v>
      </c>
      <c r="D5442" s="2">
        <f t="shared" si="84"/>
        <v>1</v>
      </c>
    </row>
    <row r="5443" spans="1:4" x14ac:dyDescent="0.3">
      <c r="A5443" s="34">
        <v>43961</v>
      </c>
      <c r="B5443" s="35">
        <v>1</v>
      </c>
      <c r="C5443" s="35">
        <v>0</v>
      </c>
      <c r="D5443" s="2">
        <f t="shared" ref="D5443:D5506" si="85">B5443+C5443</f>
        <v>1</v>
      </c>
    </row>
    <row r="5444" spans="1:4" x14ac:dyDescent="0.3">
      <c r="A5444" s="34">
        <v>43963</v>
      </c>
      <c r="B5444" s="35">
        <v>1</v>
      </c>
      <c r="C5444" s="35">
        <v>0</v>
      </c>
      <c r="D5444" s="2">
        <f t="shared" si="85"/>
        <v>1</v>
      </c>
    </row>
    <row r="5445" spans="1:4" x14ac:dyDescent="0.3">
      <c r="A5445" s="34">
        <v>43972</v>
      </c>
      <c r="B5445" s="35">
        <v>1</v>
      </c>
      <c r="C5445" s="35">
        <v>1</v>
      </c>
      <c r="D5445" s="2">
        <f t="shared" si="85"/>
        <v>2</v>
      </c>
    </row>
    <row r="5446" spans="1:4" x14ac:dyDescent="0.3">
      <c r="A5446" s="34">
        <v>43976</v>
      </c>
      <c r="B5446" s="35">
        <v>1</v>
      </c>
      <c r="C5446" s="35">
        <v>0</v>
      </c>
      <c r="D5446" s="2">
        <f t="shared" si="85"/>
        <v>1</v>
      </c>
    </row>
    <row r="5447" spans="1:4" x14ac:dyDescent="0.3">
      <c r="A5447" s="34">
        <v>43978</v>
      </c>
      <c r="B5447" s="35">
        <v>1</v>
      </c>
      <c r="C5447" s="35">
        <v>0</v>
      </c>
      <c r="D5447" s="2">
        <f t="shared" si="85"/>
        <v>1</v>
      </c>
    </row>
    <row r="5448" spans="1:4" x14ac:dyDescent="0.3">
      <c r="A5448" s="34">
        <v>43984</v>
      </c>
      <c r="B5448" s="35">
        <v>1</v>
      </c>
      <c r="C5448" s="35">
        <v>1</v>
      </c>
      <c r="D5448" s="2">
        <f t="shared" si="85"/>
        <v>2</v>
      </c>
    </row>
    <row r="5449" spans="1:4" x14ac:dyDescent="0.3">
      <c r="A5449" s="34">
        <v>43988</v>
      </c>
      <c r="B5449" s="35">
        <v>1</v>
      </c>
      <c r="C5449" s="35">
        <v>0</v>
      </c>
      <c r="D5449" s="2">
        <f t="shared" si="85"/>
        <v>1</v>
      </c>
    </row>
    <row r="5450" spans="1:4" x14ac:dyDescent="0.3">
      <c r="A5450" s="34">
        <v>43991</v>
      </c>
      <c r="B5450" s="35">
        <v>1</v>
      </c>
      <c r="C5450" s="35">
        <v>0</v>
      </c>
      <c r="D5450" s="2">
        <f t="shared" si="85"/>
        <v>1</v>
      </c>
    </row>
    <row r="5451" spans="1:4" x14ac:dyDescent="0.3">
      <c r="A5451" s="34">
        <v>43993</v>
      </c>
      <c r="B5451" s="35">
        <v>1</v>
      </c>
      <c r="C5451" s="35">
        <v>0</v>
      </c>
      <c r="D5451" s="2">
        <f t="shared" si="85"/>
        <v>1</v>
      </c>
    </row>
    <row r="5452" spans="1:4" x14ac:dyDescent="0.3">
      <c r="A5452" s="34">
        <v>44023</v>
      </c>
      <c r="B5452" s="35">
        <v>2</v>
      </c>
      <c r="C5452" s="35">
        <v>0</v>
      </c>
      <c r="D5452" s="2">
        <f t="shared" si="85"/>
        <v>2</v>
      </c>
    </row>
    <row r="5453" spans="1:4" x14ac:dyDescent="0.3">
      <c r="A5453" s="34">
        <v>44027</v>
      </c>
      <c r="B5453" s="35">
        <v>1</v>
      </c>
      <c r="C5453" s="35">
        <v>0</v>
      </c>
      <c r="D5453" s="2">
        <f t="shared" si="85"/>
        <v>1</v>
      </c>
    </row>
    <row r="5454" spans="1:4" x14ac:dyDescent="0.3">
      <c r="A5454" s="34">
        <v>44029</v>
      </c>
      <c r="B5454" s="35">
        <v>1</v>
      </c>
      <c r="C5454" s="35">
        <v>0</v>
      </c>
      <c r="D5454" s="2">
        <f t="shared" si="85"/>
        <v>1</v>
      </c>
    </row>
    <row r="5455" spans="1:4" x14ac:dyDescent="0.3">
      <c r="A5455" s="34">
        <v>44031</v>
      </c>
      <c r="B5455" s="35">
        <v>1</v>
      </c>
      <c r="C5455" s="35">
        <v>0</v>
      </c>
      <c r="D5455" s="2">
        <f t="shared" si="85"/>
        <v>1</v>
      </c>
    </row>
    <row r="5456" spans="1:4" x14ac:dyDescent="0.3">
      <c r="A5456" s="34">
        <v>44033</v>
      </c>
      <c r="B5456" s="35">
        <v>1</v>
      </c>
      <c r="C5456" s="35">
        <v>1</v>
      </c>
      <c r="D5456" s="2">
        <f t="shared" si="85"/>
        <v>2</v>
      </c>
    </row>
    <row r="5457" spans="1:4" x14ac:dyDescent="0.3">
      <c r="A5457" s="34">
        <v>44035</v>
      </c>
      <c r="B5457" s="35">
        <v>1</v>
      </c>
      <c r="C5457" s="35">
        <v>1</v>
      </c>
      <c r="D5457" s="2">
        <f t="shared" si="85"/>
        <v>2</v>
      </c>
    </row>
    <row r="5458" spans="1:4" x14ac:dyDescent="0.3">
      <c r="A5458" s="34">
        <v>44037</v>
      </c>
      <c r="B5458" s="35">
        <v>1</v>
      </c>
      <c r="C5458" s="35">
        <v>0</v>
      </c>
      <c r="D5458" s="2">
        <f t="shared" si="85"/>
        <v>1</v>
      </c>
    </row>
    <row r="5459" spans="1:4" x14ac:dyDescent="0.3">
      <c r="A5459" s="34">
        <v>44098</v>
      </c>
      <c r="B5459" s="35">
        <v>1</v>
      </c>
      <c r="C5459" s="35">
        <v>0</v>
      </c>
      <c r="D5459" s="2">
        <f t="shared" si="85"/>
        <v>1</v>
      </c>
    </row>
    <row r="5460" spans="1:4" x14ac:dyDescent="0.3">
      <c r="A5460" s="34">
        <v>44102</v>
      </c>
      <c r="B5460" s="35">
        <v>1</v>
      </c>
      <c r="C5460" s="35">
        <v>0</v>
      </c>
      <c r="D5460" s="2">
        <f t="shared" si="85"/>
        <v>1</v>
      </c>
    </row>
    <row r="5461" spans="1:4" x14ac:dyDescent="0.3">
      <c r="A5461" s="34">
        <v>44103</v>
      </c>
      <c r="B5461" s="35">
        <v>1</v>
      </c>
      <c r="C5461" s="35">
        <v>0</v>
      </c>
      <c r="D5461" s="2">
        <f t="shared" si="85"/>
        <v>1</v>
      </c>
    </row>
    <row r="5462" spans="1:4" x14ac:dyDescent="0.3">
      <c r="A5462" s="34">
        <v>44104</v>
      </c>
      <c r="B5462" s="35">
        <v>1</v>
      </c>
      <c r="C5462" s="35">
        <v>1</v>
      </c>
      <c r="D5462" s="2">
        <f t="shared" si="85"/>
        <v>2</v>
      </c>
    </row>
    <row r="5463" spans="1:4" x14ac:dyDescent="0.3">
      <c r="A5463" s="34">
        <v>44131</v>
      </c>
      <c r="B5463" s="35">
        <v>1</v>
      </c>
      <c r="C5463" s="35">
        <v>0</v>
      </c>
      <c r="D5463" s="2">
        <f t="shared" si="85"/>
        <v>1</v>
      </c>
    </row>
    <row r="5464" spans="1:4" x14ac:dyDescent="0.3">
      <c r="A5464" s="34">
        <v>44132</v>
      </c>
      <c r="B5464" s="35">
        <v>1</v>
      </c>
      <c r="C5464" s="35">
        <v>0</v>
      </c>
      <c r="D5464" s="2">
        <f t="shared" si="85"/>
        <v>1</v>
      </c>
    </row>
    <row r="5465" spans="1:4" x14ac:dyDescent="0.3">
      <c r="A5465" s="34">
        <v>44140</v>
      </c>
      <c r="B5465" s="35">
        <v>1</v>
      </c>
      <c r="C5465" s="35">
        <v>0</v>
      </c>
      <c r="D5465" s="2">
        <f t="shared" si="85"/>
        <v>1</v>
      </c>
    </row>
    <row r="5466" spans="1:4" x14ac:dyDescent="0.3">
      <c r="A5466" s="34">
        <v>44593</v>
      </c>
      <c r="B5466" s="35">
        <v>1</v>
      </c>
      <c r="C5466" s="35">
        <v>0</v>
      </c>
      <c r="D5466" s="2">
        <f t="shared" si="85"/>
        <v>1</v>
      </c>
    </row>
    <row r="5467" spans="1:4" x14ac:dyDescent="0.3">
      <c r="A5467" s="34">
        <v>44594</v>
      </c>
      <c r="B5467" s="35">
        <v>1</v>
      </c>
      <c r="C5467" s="35">
        <v>0</v>
      </c>
      <c r="D5467" s="2">
        <f t="shared" si="85"/>
        <v>1</v>
      </c>
    </row>
    <row r="5468" spans="1:4" x14ac:dyDescent="0.3">
      <c r="A5468" s="34">
        <v>44595</v>
      </c>
      <c r="B5468" s="35">
        <v>1</v>
      </c>
      <c r="C5468" s="35">
        <v>0</v>
      </c>
      <c r="D5468" s="2">
        <f t="shared" si="85"/>
        <v>1</v>
      </c>
    </row>
    <row r="5469" spans="1:4" x14ac:dyDescent="0.3">
      <c r="A5469" s="34">
        <v>44596</v>
      </c>
      <c r="B5469" s="35">
        <v>1</v>
      </c>
      <c r="C5469" s="35">
        <v>0</v>
      </c>
      <c r="D5469" s="2">
        <f t="shared" si="85"/>
        <v>1</v>
      </c>
    </row>
    <row r="5470" spans="1:4" x14ac:dyDescent="0.3">
      <c r="A5470" s="34">
        <v>44850</v>
      </c>
      <c r="B5470" s="35">
        <v>1</v>
      </c>
      <c r="C5470" s="35">
        <v>0</v>
      </c>
      <c r="D5470" s="2">
        <f t="shared" si="85"/>
        <v>1</v>
      </c>
    </row>
    <row r="5471" spans="1:4" x14ac:dyDescent="0.3">
      <c r="A5471" s="34">
        <v>44877</v>
      </c>
      <c r="B5471" s="35">
        <v>1</v>
      </c>
      <c r="C5471" s="35">
        <v>0</v>
      </c>
      <c r="D5471" s="2">
        <f t="shared" si="85"/>
        <v>1</v>
      </c>
    </row>
    <row r="5472" spans="1:4" x14ac:dyDescent="0.3">
      <c r="A5472" s="34">
        <v>44879</v>
      </c>
      <c r="B5472" s="35">
        <v>1</v>
      </c>
      <c r="C5472" s="35">
        <v>0</v>
      </c>
      <c r="D5472" s="2">
        <f t="shared" si="85"/>
        <v>1</v>
      </c>
    </row>
    <row r="5473" spans="1:4" x14ac:dyDescent="0.3">
      <c r="A5473" s="34">
        <v>44880</v>
      </c>
      <c r="B5473" s="35">
        <v>1</v>
      </c>
      <c r="C5473" s="35">
        <v>0</v>
      </c>
      <c r="D5473" s="2">
        <f t="shared" si="85"/>
        <v>1</v>
      </c>
    </row>
    <row r="5474" spans="1:4" x14ac:dyDescent="0.3">
      <c r="A5474" s="34">
        <v>44881</v>
      </c>
      <c r="B5474" s="35">
        <v>1</v>
      </c>
      <c r="C5474" s="35">
        <v>0</v>
      </c>
      <c r="D5474" s="2">
        <f t="shared" si="85"/>
        <v>1</v>
      </c>
    </row>
    <row r="5475" spans="1:4" x14ac:dyDescent="0.3">
      <c r="A5475" s="34">
        <v>44884</v>
      </c>
      <c r="B5475" s="35">
        <v>1</v>
      </c>
      <c r="C5475" s="35">
        <v>1</v>
      </c>
      <c r="D5475" s="2">
        <f t="shared" si="85"/>
        <v>2</v>
      </c>
    </row>
    <row r="5476" spans="1:4" x14ac:dyDescent="0.3">
      <c r="A5476" s="34">
        <v>44887</v>
      </c>
      <c r="B5476" s="35">
        <v>2</v>
      </c>
      <c r="C5476" s="35">
        <v>1</v>
      </c>
      <c r="D5476" s="2">
        <f t="shared" si="85"/>
        <v>3</v>
      </c>
    </row>
    <row r="5477" spans="1:4" x14ac:dyDescent="0.3">
      <c r="A5477" s="34">
        <v>44888</v>
      </c>
      <c r="B5477" s="35">
        <v>1</v>
      </c>
      <c r="C5477" s="35">
        <v>1</v>
      </c>
      <c r="D5477" s="2">
        <f t="shared" si="85"/>
        <v>2</v>
      </c>
    </row>
    <row r="5478" spans="1:4" x14ac:dyDescent="0.3">
      <c r="A5478" s="34">
        <v>44889</v>
      </c>
      <c r="B5478" s="35">
        <v>1</v>
      </c>
      <c r="C5478" s="35">
        <v>0</v>
      </c>
      <c r="D5478" s="2">
        <f t="shared" si="85"/>
        <v>1</v>
      </c>
    </row>
    <row r="5479" spans="1:4" x14ac:dyDescent="0.3">
      <c r="A5479" s="34">
        <v>44891</v>
      </c>
      <c r="B5479" s="35">
        <v>1</v>
      </c>
      <c r="C5479" s="35">
        <v>0</v>
      </c>
      <c r="D5479" s="2">
        <f t="shared" si="85"/>
        <v>1</v>
      </c>
    </row>
    <row r="5480" spans="1:4" x14ac:dyDescent="0.3">
      <c r="A5480" s="34">
        <v>44892</v>
      </c>
      <c r="B5480" s="35">
        <v>1</v>
      </c>
      <c r="C5480" s="35">
        <v>0</v>
      </c>
      <c r="D5480" s="2">
        <f t="shared" si="85"/>
        <v>1</v>
      </c>
    </row>
    <row r="5481" spans="1:4" x14ac:dyDescent="0.3">
      <c r="A5481" s="34">
        <v>44893</v>
      </c>
      <c r="B5481" s="35">
        <v>1</v>
      </c>
      <c r="C5481" s="35">
        <v>0</v>
      </c>
      <c r="D5481" s="2">
        <f t="shared" si="85"/>
        <v>1</v>
      </c>
    </row>
    <row r="5482" spans="1:4" x14ac:dyDescent="0.3">
      <c r="A5482" s="34">
        <v>44895</v>
      </c>
      <c r="B5482" s="35">
        <v>1</v>
      </c>
      <c r="C5482" s="35">
        <v>0</v>
      </c>
      <c r="D5482" s="2">
        <f t="shared" si="85"/>
        <v>1</v>
      </c>
    </row>
    <row r="5483" spans="1:4" x14ac:dyDescent="0.3">
      <c r="A5483" s="34">
        <v>44898</v>
      </c>
      <c r="B5483" s="35">
        <v>2</v>
      </c>
      <c r="C5483" s="35">
        <v>2</v>
      </c>
      <c r="D5483" s="2">
        <f t="shared" si="85"/>
        <v>4</v>
      </c>
    </row>
    <row r="5484" spans="1:4" x14ac:dyDescent="0.3">
      <c r="A5484" s="34">
        <v>44901</v>
      </c>
      <c r="B5484" s="35">
        <v>1</v>
      </c>
      <c r="C5484" s="35">
        <v>0</v>
      </c>
      <c r="D5484" s="2">
        <f t="shared" si="85"/>
        <v>1</v>
      </c>
    </row>
    <row r="5485" spans="1:4" x14ac:dyDescent="0.3">
      <c r="A5485" s="34">
        <v>44998</v>
      </c>
      <c r="B5485" s="35">
        <v>1</v>
      </c>
      <c r="C5485" s="35">
        <v>0</v>
      </c>
      <c r="D5485" s="2">
        <f t="shared" si="85"/>
        <v>1</v>
      </c>
    </row>
    <row r="5486" spans="1:4" x14ac:dyDescent="0.3">
      <c r="A5486" s="34">
        <v>44999</v>
      </c>
      <c r="B5486" s="35">
        <v>1</v>
      </c>
      <c r="C5486" s="35">
        <v>0</v>
      </c>
      <c r="D5486" s="2">
        <f t="shared" si="85"/>
        <v>1</v>
      </c>
    </row>
    <row r="5487" spans="1:4" x14ac:dyDescent="0.3">
      <c r="A5487" s="34">
        <v>45001</v>
      </c>
      <c r="B5487" s="35">
        <v>1</v>
      </c>
      <c r="C5487" s="35">
        <v>0</v>
      </c>
      <c r="D5487" s="2">
        <f t="shared" si="85"/>
        <v>1</v>
      </c>
    </row>
    <row r="5488" spans="1:4" x14ac:dyDescent="0.3">
      <c r="A5488" s="34">
        <v>45002</v>
      </c>
      <c r="B5488" s="35">
        <v>1</v>
      </c>
      <c r="C5488" s="35">
        <v>0</v>
      </c>
      <c r="D5488" s="2">
        <f t="shared" si="85"/>
        <v>1</v>
      </c>
    </row>
    <row r="5489" spans="1:4" x14ac:dyDescent="0.3">
      <c r="A5489" s="34">
        <v>45003</v>
      </c>
      <c r="B5489" s="35">
        <v>1</v>
      </c>
      <c r="C5489" s="35">
        <v>0</v>
      </c>
      <c r="D5489" s="2">
        <f t="shared" si="85"/>
        <v>1</v>
      </c>
    </row>
    <row r="5490" spans="1:4" x14ac:dyDescent="0.3">
      <c r="A5490" s="34">
        <v>45004</v>
      </c>
      <c r="B5490" s="35">
        <v>1</v>
      </c>
      <c r="C5490" s="35">
        <v>0</v>
      </c>
      <c r="D5490" s="2">
        <f t="shared" si="85"/>
        <v>1</v>
      </c>
    </row>
    <row r="5491" spans="1:4" x14ac:dyDescent="0.3">
      <c r="A5491" s="34">
        <v>45005</v>
      </c>
      <c r="B5491" s="35">
        <v>1</v>
      </c>
      <c r="C5491" s="35">
        <v>0</v>
      </c>
      <c r="D5491" s="2">
        <f t="shared" si="85"/>
        <v>1</v>
      </c>
    </row>
    <row r="5492" spans="1:4" x14ac:dyDescent="0.3">
      <c r="A5492" s="34">
        <v>45103</v>
      </c>
      <c r="B5492" s="35">
        <v>1</v>
      </c>
      <c r="C5492" s="35">
        <v>0</v>
      </c>
      <c r="D5492" s="2">
        <f t="shared" si="85"/>
        <v>1</v>
      </c>
    </row>
    <row r="5493" spans="1:4" x14ac:dyDescent="0.3">
      <c r="A5493" s="34">
        <v>45104</v>
      </c>
      <c r="B5493" s="35">
        <v>2</v>
      </c>
      <c r="C5493" s="35">
        <v>2</v>
      </c>
      <c r="D5493" s="2">
        <f t="shared" si="85"/>
        <v>4</v>
      </c>
    </row>
    <row r="5494" spans="1:4" x14ac:dyDescent="0.3">
      <c r="A5494" s="34">
        <v>45105</v>
      </c>
      <c r="B5494" s="35">
        <v>1</v>
      </c>
      <c r="C5494" s="35">
        <v>0</v>
      </c>
      <c r="D5494" s="2">
        <f t="shared" si="85"/>
        <v>1</v>
      </c>
    </row>
    <row r="5495" spans="1:4" x14ac:dyDescent="0.3">
      <c r="A5495" s="34">
        <v>45134</v>
      </c>
      <c r="B5495" s="35">
        <v>1</v>
      </c>
      <c r="C5495" s="35">
        <v>0</v>
      </c>
      <c r="D5495" s="2">
        <f t="shared" si="85"/>
        <v>1</v>
      </c>
    </row>
    <row r="5496" spans="1:4" x14ac:dyDescent="0.3">
      <c r="A5496" s="34">
        <v>45137</v>
      </c>
      <c r="B5496" s="35">
        <v>1</v>
      </c>
      <c r="C5496" s="35">
        <v>0</v>
      </c>
      <c r="D5496" s="2">
        <f t="shared" si="85"/>
        <v>1</v>
      </c>
    </row>
    <row r="5497" spans="1:4" x14ac:dyDescent="0.3">
      <c r="A5497" s="34">
        <v>45139</v>
      </c>
      <c r="B5497" s="35">
        <v>1</v>
      </c>
      <c r="C5497" s="35">
        <v>0</v>
      </c>
      <c r="D5497" s="2">
        <f t="shared" si="85"/>
        <v>1</v>
      </c>
    </row>
    <row r="5498" spans="1:4" x14ac:dyDescent="0.3">
      <c r="A5498" s="34">
        <v>45141</v>
      </c>
      <c r="B5498" s="35">
        <v>1</v>
      </c>
      <c r="C5498" s="35">
        <v>0</v>
      </c>
      <c r="D5498" s="2">
        <f t="shared" si="85"/>
        <v>1</v>
      </c>
    </row>
    <row r="5499" spans="1:4" x14ac:dyDescent="0.3">
      <c r="A5499" s="34">
        <v>45142</v>
      </c>
      <c r="B5499" s="35">
        <v>1</v>
      </c>
      <c r="C5499" s="35">
        <v>0</v>
      </c>
      <c r="D5499" s="2">
        <f t="shared" si="85"/>
        <v>1</v>
      </c>
    </row>
    <row r="5500" spans="1:4" x14ac:dyDescent="0.3">
      <c r="A5500" s="34">
        <v>45143</v>
      </c>
      <c r="B5500" s="35">
        <v>1</v>
      </c>
      <c r="C5500" s="35">
        <v>0</v>
      </c>
      <c r="D5500" s="2">
        <f t="shared" si="85"/>
        <v>1</v>
      </c>
    </row>
    <row r="5501" spans="1:4" x14ac:dyDescent="0.3">
      <c r="A5501" s="34">
        <v>45145</v>
      </c>
      <c r="B5501" s="35">
        <v>1</v>
      </c>
      <c r="C5501" s="35">
        <v>0</v>
      </c>
      <c r="D5501" s="2">
        <f t="shared" si="85"/>
        <v>1</v>
      </c>
    </row>
    <row r="5502" spans="1:4" x14ac:dyDescent="0.3">
      <c r="A5502" s="34">
        <v>45146</v>
      </c>
      <c r="B5502" s="35">
        <v>1</v>
      </c>
      <c r="C5502" s="35">
        <v>0</v>
      </c>
      <c r="D5502" s="2">
        <f t="shared" si="85"/>
        <v>1</v>
      </c>
    </row>
    <row r="5503" spans="1:4" x14ac:dyDescent="0.3">
      <c r="A5503" s="34">
        <v>45148</v>
      </c>
      <c r="B5503" s="35">
        <v>1</v>
      </c>
      <c r="C5503" s="35">
        <v>0</v>
      </c>
      <c r="D5503" s="2">
        <f t="shared" si="85"/>
        <v>1</v>
      </c>
    </row>
    <row r="5504" spans="1:4" x14ac:dyDescent="0.3">
      <c r="A5504" s="34">
        <v>45149</v>
      </c>
      <c r="B5504" s="35">
        <v>1</v>
      </c>
      <c r="C5504" s="35">
        <v>0</v>
      </c>
      <c r="D5504" s="2">
        <f t="shared" si="85"/>
        <v>1</v>
      </c>
    </row>
    <row r="5505" spans="1:4" x14ac:dyDescent="0.3">
      <c r="A5505" s="34">
        <v>45296</v>
      </c>
      <c r="B5505" s="35">
        <v>1</v>
      </c>
      <c r="C5505" s="35">
        <v>1</v>
      </c>
      <c r="D5505" s="2">
        <f t="shared" si="85"/>
        <v>2</v>
      </c>
    </row>
    <row r="5506" spans="1:4" x14ac:dyDescent="0.3">
      <c r="A5506" s="34">
        <v>45334</v>
      </c>
      <c r="B5506" s="35">
        <v>1</v>
      </c>
      <c r="C5506" s="35">
        <v>0</v>
      </c>
      <c r="D5506" s="2">
        <f t="shared" si="85"/>
        <v>1</v>
      </c>
    </row>
    <row r="5507" spans="1:4" x14ac:dyDescent="0.3">
      <c r="A5507" s="34">
        <v>45335</v>
      </c>
      <c r="B5507" s="35">
        <v>1</v>
      </c>
      <c r="C5507" s="35">
        <v>0</v>
      </c>
      <c r="D5507" s="2">
        <f t="shared" ref="D5507:D5570" si="86">B5507+C5507</f>
        <v>1</v>
      </c>
    </row>
    <row r="5508" spans="1:4" x14ac:dyDescent="0.3">
      <c r="A5508" s="34">
        <v>45337</v>
      </c>
      <c r="B5508" s="35">
        <v>1</v>
      </c>
      <c r="C5508" s="35">
        <v>0</v>
      </c>
      <c r="D5508" s="2">
        <f t="shared" si="86"/>
        <v>1</v>
      </c>
    </row>
    <row r="5509" spans="1:4" x14ac:dyDescent="0.3">
      <c r="A5509" s="34">
        <v>45338</v>
      </c>
      <c r="B5509" s="35">
        <v>1</v>
      </c>
      <c r="C5509" s="35">
        <v>0</v>
      </c>
      <c r="D5509" s="2">
        <f t="shared" si="86"/>
        <v>1</v>
      </c>
    </row>
    <row r="5510" spans="1:4" x14ac:dyDescent="0.3">
      <c r="A5510" s="34">
        <v>45340</v>
      </c>
      <c r="B5510" s="35">
        <v>1</v>
      </c>
      <c r="C5510" s="35">
        <v>0</v>
      </c>
      <c r="D5510" s="2">
        <f t="shared" si="86"/>
        <v>1</v>
      </c>
    </row>
    <row r="5511" spans="1:4" x14ac:dyDescent="0.3">
      <c r="A5511" s="34">
        <v>45344</v>
      </c>
      <c r="B5511" s="35">
        <v>1</v>
      </c>
      <c r="C5511" s="35">
        <v>0</v>
      </c>
      <c r="D5511" s="2">
        <f t="shared" si="86"/>
        <v>1</v>
      </c>
    </row>
    <row r="5512" spans="1:4" x14ac:dyDescent="0.3">
      <c r="A5512" s="34">
        <v>45347</v>
      </c>
      <c r="B5512" s="35">
        <v>1</v>
      </c>
      <c r="C5512" s="35">
        <v>0</v>
      </c>
      <c r="D5512" s="2">
        <f t="shared" si="86"/>
        <v>1</v>
      </c>
    </row>
    <row r="5513" spans="1:4" x14ac:dyDescent="0.3">
      <c r="A5513" s="34">
        <v>45348</v>
      </c>
      <c r="B5513" s="35">
        <v>1</v>
      </c>
      <c r="C5513" s="35">
        <v>0</v>
      </c>
      <c r="D5513" s="2">
        <f t="shared" si="86"/>
        <v>1</v>
      </c>
    </row>
    <row r="5514" spans="1:4" x14ac:dyDescent="0.3">
      <c r="A5514" s="34">
        <v>45349</v>
      </c>
      <c r="B5514" s="35">
        <v>1</v>
      </c>
      <c r="C5514" s="35">
        <v>0</v>
      </c>
      <c r="D5514" s="2">
        <f t="shared" si="86"/>
        <v>1</v>
      </c>
    </row>
    <row r="5515" spans="1:4" x14ac:dyDescent="0.3">
      <c r="A5515" s="34">
        <v>45350</v>
      </c>
      <c r="B5515" s="35">
        <v>1</v>
      </c>
      <c r="C5515" s="35">
        <v>0</v>
      </c>
      <c r="D5515" s="2">
        <f t="shared" si="86"/>
        <v>1</v>
      </c>
    </row>
    <row r="5516" spans="1:4" x14ac:dyDescent="0.3">
      <c r="A5516" s="34">
        <v>45352</v>
      </c>
      <c r="B5516" s="35">
        <v>1</v>
      </c>
      <c r="C5516" s="35">
        <v>0</v>
      </c>
      <c r="D5516" s="2">
        <f t="shared" si="86"/>
        <v>1</v>
      </c>
    </row>
    <row r="5517" spans="1:4" x14ac:dyDescent="0.3">
      <c r="A5517" s="34">
        <v>45355</v>
      </c>
      <c r="B5517" s="35">
        <v>1</v>
      </c>
      <c r="C5517" s="35">
        <v>0</v>
      </c>
      <c r="D5517" s="2">
        <f t="shared" si="86"/>
        <v>1</v>
      </c>
    </row>
    <row r="5518" spans="1:4" x14ac:dyDescent="0.3">
      <c r="A5518" s="34">
        <v>45359</v>
      </c>
      <c r="B5518" s="35">
        <v>1</v>
      </c>
      <c r="C5518" s="35">
        <v>0</v>
      </c>
      <c r="D5518" s="2">
        <f t="shared" si="86"/>
        <v>1</v>
      </c>
    </row>
    <row r="5519" spans="1:4" x14ac:dyDescent="0.3">
      <c r="A5519" s="34">
        <v>45361</v>
      </c>
      <c r="B5519" s="35">
        <v>2</v>
      </c>
      <c r="C5519" s="35">
        <v>0</v>
      </c>
      <c r="D5519" s="2">
        <f t="shared" si="86"/>
        <v>2</v>
      </c>
    </row>
    <row r="5520" spans="1:4" x14ac:dyDescent="0.3">
      <c r="A5520" s="34">
        <v>45363</v>
      </c>
      <c r="B5520" s="35">
        <v>1</v>
      </c>
      <c r="C5520" s="35">
        <v>0</v>
      </c>
      <c r="D5520" s="2">
        <f t="shared" si="86"/>
        <v>1</v>
      </c>
    </row>
    <row r="5521" spans="1:4" x14ac:dyDescent="0.3">
      <c r="A5521" s="34">
        <v>45368</v>
      </c>
      <c r="B5521" s="35">
        <v>1</v>
      </c>
      <c r="C5521" s="35">
        <v>0</v>
      </c>
      <c r="D5521" s="2">
        <f t="shared" si="86"/>
        <v>1</v>
      </c>
    </row>
    <row r="5522" spans="1:4" x14ac:dyDescent="0.3">
      <c r="A5522" s="34">
        <v>45369</v>
      </c>
      <c r="B5522" s="35">
        <v>1</v>
      </c>
      <c r="C5522" s="35">
        <v>0</v>
      </c>
      <c r="D5522" s="2">
        <f t="shared" si="86"/>
        <v>1</v>
      </c>
    </row>
    <row r="5523" spans="1:4" x14ac:dyDescent="0.3">
      <c r="A5523" s="34">
        <v>45370</v>
      </c>
      <c r="B5523" s="35">
        <v>3</v>
      </c>
      <c r="C5523" s="35">
        <v>0</v>
      </c>
      <c r="D5523" s="2">
        <f t="shared" si="86"/>
        <v>3</v>
      </c>
    </row>
    <row r="5524" spans="1:4" x14ac:dyDescent="0.3">
      <c r="A5524" s="34">
        <v>45373</v>
      </c>
      <c r="B5524" s="35">
        <v>1</v>
      </c>
      <c r="C5524" s="35">
        <v>0</v>
      </c>
      <c r="D5524" s="2">
        <f t="shared" si="86"/>
        <v>1</v>
      </c>
    </row>
    <row r="5525" spans="1:4" x14ac:dyDescent="0.3">
      <c r="A5525" s="34">
        <v>45375</v>
      </c>
      <c r="B5525" s="35">
        <v>1</v>
      </c>
      <c r="C5525" s="35">
        <v>0</v>
      </c>
      <c r="D5525" s="2">
        <f t="shared" si="86"/>
        <v>1</v>
      </c>
    </row>
    <row r="5526" spans="1:4" x14ac:dyDescent="0.3">
      <c r="A5526" s="34">
        <v>45376</v>
      </c>
      <c r="B5526" s="35">
        <v>1</v>
      </c>
      <c r="C5526" s="35">
        <v>1</v>
      </c>
      <c r="D5526" s="2">
        <f t="shared" si="86"/>
        <v>2</v>
      </c>
    </row>
    <row r="5527" spans="1:4" x14ac:dyDescent="0.3">
      <c r="A5527" s="34">
        <v>45377</v>
      </c>
      <c r="B5527" s="35">
        <v>1</v>
      </c>
      <c r="C5527" s="35">
        <v>0</v>
      </c>
      <c r="D5527" s="2">
        <f t="shared" si="86"/>
        <v>1</v>
      </c>
    </row>
    <row r="5528" spans="1:4" x14ac:dyDescent="0.3">
      <c r="A5528" s="34">
        <v>45378</v>
      </c>
      <c r="B5528" s="35">
        <v>1</v>
      </c>
      <c r="C5528" s="35">
        <v>1</v>
      </c>
      <c r="D5528" s="2">
        <f t="shared" si="86"/>
        <v>2</v>
      </c>
    </row>
    <row r="5529" spans="1:4" x14ac:dyDescent="0.3">
      <c r="A5529" s="34">
        <v>45399</v>
      </c>
      <c r="B5529" s="35">
        <v>1</v>
      </c>
      <c r="C5529" s="35">
        <v>1</v>
      </c>
      <c r="D5529" s="2">
        <f t="shared" si="86"/>
        <v>2</v>
      </c>
    </row>
    <row r="5530" spans="1:4" x14ac:dyDescent="0.3">
      <c r="A5530" s="34">
        <v>45401</v>
      </c>
      <c r="B5530" s="35">
        <v>1</v>
      </c>
      <c r="C5530" s="35">
        <v>0</v>
      </c>
      <c r="D5530" s="2">
        <f t="shared" si="86"/>
        <v>1</v>
      </c>
    </row>
    <row r="5531" spans="1:4" x14ac:dyDescent="0.3">
      <c r="A5531" s="34">
        <v>45403</v>
      </c>
      <c r="B5531" s="35">
        <v>1</v>
      </c>
      <c r="C5531" s="35">
        <v>0</v>
      </c>
      <c r="D5531" s="2">
        <f t="shared" si="86"/>
        <v>1</v>
      </c>
    </row>
    <row r="5532" spans="1:4" x14ac:dyDescent="0.3">
      <c r="A5532" s="34">
        <v>45405</v>
      </c>
      <c r="B5532" s="35">
        <v>1</v>
      </c>
      <c r="C5532" s="35">
        <v>1</v>
      </c>
      <c r="D5532" s="2">
        <f t="shared" si="86"/>
        <v>2</v>
      </c>
    </row>
    <row r="5533" spans="1:4" x14ac:dyDescent="0.3">
      <c r="A5533" s="34">
        <v>45412</v>
      </c>
      <c r="B5533" s="35">
        <v>1</v>
      </c>
      <c r="C5533" s="35">
        <v>0</v>
      </c>
      <c r="D5533" s="2">
        <f t="shared" si="86"/>
        <v>1</v>
      </c>
    </row>
    <row r="5534" spans="1:4" x14ac:dyDescent="0.3">
      <c r="A5534" s="34">
        <v>45473</v>
      </c>
      <c r="B5534" s="35">
        <v>1</v>
      </c>
      <c r="C5534" s="35">
        <v>0</v>
      </c>
      <c r="D5534" s="2">
        <f t="shared" si="86"/>
        <v>1</v>
      </c>
    </row>
    <row r="5535" spans="1:4" x14ac:dyDescent="0.3">
      <c r="A5535" s="34">
        <v>45522</v>
      </c>
      <c r="B5535" s="35">
        <v>2</v>
      </c>
      <c r="C5535" s="35">
        <v>0</v>
      </c>
      <c r="D5535" s="2">
        <f t="shared" si="86"/>
        <v>2</v>
      </c>
    </row>
    <row r="5536" spans="1:4" x14ac:dyDescent="0.3">
      <c r="A5536" s="34">
        <v>45581</v>
      </c>
      <c r="B5536" s="35">
        <v>1</v>
      </c>
      <c r="C5536" s="35">
        <v>1</v>
      </c>
      <c r="D5536" s="2">
        <f t="shared" si="86"/>
        <v>2</v>
      </c>
    </row>
    <row r="5537" spans="1:4" x14ac:dyDescent="0.3">
      <c r="A5537" s="34">
        <v>45582</v>
      </c>
      <c r="B5537" s="35">
        <v>1</v>
      </c>
      <c r="C5537" s="35">
        <v>0</v>
      </c>
      <c r="D5537" s="2">
        <f t="shared" si="86"/>
        <v>1</v>
      </c>
    </row>
    <row r="5538" spans="1:4" x14ac:dyDescent="0.3">
      <c r="A5538" s="34">
        <v>45583</v>
      </c>
      <c r="B5538" s="35">
        <v>1</v>
      </c>
      <c r="C5538" s="35">
        <v>0</v>
      </c>
      <c r="D5538" s="2">
        <f t="shared" si="86"/>
        <v>1</v>
      </c>
    </row>
    <row r="5539" spans="1:4" x14ac:dyDescent="0.3">
      <c r="A5539" s="34">
        <v>45585</v>
      </c>
      <c r="B5539" s="35">
        <v>1</v>
      </c>
      <c r="C5539" s="35">
        <v>0</v>
      </c>
      <c r="D5539" s="2">
        <f t="shared" si="86"/>
        <v>1</v>
      </c>
    </row>
    <row r="5540" spans="1:4" x14ac:dyDescent="0.3">
      <c r="A5540" s="34">
        <v>45586</v>
      </c>
      <c r="B5540" s="35">
        <v>1</v>
      </c>
      <c r="C5540" s="35">
        <v>0</v>
      </c>
      <c r="D5540" s="2">
        <f t="shared" si="86"/>
        <v>1</v>
      </c>
    </row>
    <row r="5541" spans="1:4" x14ac:dyDescent="0.3">
      <c r="A5541" s="34">
        <v>45587</v>
      </c>
      <c r="B5541" s="35">
        <v>1</v>
      </c>
      <c r="C5541" s="35">
        <v>0</v>
      </c>
      <c r="D5541" s="2">
        <f t="shared" si="86"/>
        <v>1</v>
      </c>
    </row>
    <row r="5542" spans="1:4" x14ac:dyDescent="0.3">
      <c r="A5542" s="34">
        <v>45592</v>
      </c>
      <c r="B5542" s="35">
        <v>1</v>
      </c>
      <c r="C5542" s="35">
        <v>1</v>
      </c>
      <c r="D5542" s="2">
        <f t="shared" si="86"/>
        <v>2</v>
      </c>
    </row>
    <row r="5543" spans="1:4" x14ac:dyDescent="0.3">
      <c r="A5543" s="34">
        <v>45596</v>
      </c>
      <c r="B5543" s="35">
        <v>1</v>
      </c>
      <c r="C5543" s="35">
        <v>0</v>
      </c>
      <c r="D5543" s="2">
        <f t="shared" si="86"/>
        <v>1</v>
      </c>
    </row>
    <row r="5544" spans="1:4" x14ac:dyDescent="0.3">
      <c r="A5544" s="34">
        <v>45597</v>
      </c>
      <c r="B5544" s="35">
        <v>1</v>
      </c>
      <c r="C5544" s="35">
        <v>0</v>
      </c>
      <c r="D5544" s="2">
        <f t="shared" si="86"/>
        <v>1</v>
      </c>
    </row>
    <row r="5545" spans="1:4" x14ac:dyDescent="0.3">
      <c r="A5545" s="34">
        <v>45598</v>
      </c>
      <c r="B5545" s="35">
        <v>1</v>
      </c>
      <c r="C5545" s="35">
        <v>0</v>
      </c>
      <c r="D5545" s="2">
        <f t="shared" si="86"/>
        <v>1</v>
      </c>
    </row>
    <row r="5546" spans="1:4" x14ac:dyDescent="0.3">
      <c r="A5546" s="34">
        <v>45599</v>
      </c>
      <c r="B5546" s="35">
        <v>1</v>
      </c>
      <c r="C5546" s="35">
        <v>0</v>
      </c>
      <c r="D5546" s="2">
        <f t="shared" si="86"/>
        <v>1</v>
      </c>
    </row>
    <row r="5547" spans="1:4" x14ac:dyDescent="0.3">
      <c r="A5547" s="34">
        <v>45600</v>
      </c>
      <c r="B5547" s="35">
        <v>1</v>
      </c>
      <c r="C5547" s="35">
        <v>0</v>
      </c>
      <c r="D5547" s="2">
        <f t="shared" si="86"/>
        <v>1</v>
      </c>
    </row>
    <row r="5548" spans="1:4" x14ac:dyDescent="0.3">
      <c r="A5548" s="34">
        <v>45601</v>
      </c>
      <c r="B5548" s="35">
        <v>1</v>
      </c>
      <c r="C5548" s="35">
        <v>0</v>
      </c>
      <c r="D5548" s="2">
        <f t="shared" si="86"/>
        <v>1</v>
      </c>
    </row>
    <row r="5549" spans="1:4" x14ac:dyDescent="0.3">
      <c r="A5549" s="34">
        <v>45603</v>
      </c>
      <c r="B5549" s="35">
        <v>1</v>
      </c>
      <c r="C5549" s="35">
        <v>0</v>
      </c>
      <c r="D5549" s="2">
        <f t="shared" si="86"/>
        <v>1</v>
      </c>
    </row>
    <row r="5550" spans="1:4" x14ac:dyDescent="0.3">
      <c r="A5550" s="34">
        <v>45605</v>
      </c>
      <c r="B5550" s="35">
        <v>1</v>
      </c>
      <c r="C5550" s="35">
        <v>0</v>
      </c>
      <c r="D5550" s="2">
        <f t="shared" si="86"/>
        <v>1</v>
      </c>
    </row>
    <row r="5551" spans="1:4" x14ac:dyDescent="0.3">
      <c r="A5551" s="34">
        <v>45606</v>
      </c>
      <c r="B5551" s="35">
        <v>1</v>
      </c>
      <c r="C5551" s="35">
        <v>0</v>
      </c>
      <c r="D5551" s="2">
        <f t="shared" si="86"/>
        <v>1</v>
      </c>
    </row>
    <row r="5552" spans="1:4" x14ac:dyDescent="0.3">
      <c r="A5552" s="34">
        <v>45609</v>
      </c>
      <c r="B5552" s="35">
        <v>1</v>
      </c>
      <c r="C5552" s="35">
        <v>0</v>
      </c>
      <c r="D5552" s="2">
        <f t="shared" si="86"/>
        <v>1</v>
      </c>
    </row>
    <row r="5553" spans="1:4" x14ac:dyDescent="0.3">
      <c r="A5553" s="34">
        <v>45610</v>
      </c>
      <c r="B5553" s="35">
        <v>1</v>
      </c>
      <c r="C5553" s="35">
        <v>0</v>
      </c>
      <c r="D5553" s="2">
        <f t="shared" si="86"/>
        <v>1</v>
      </c>
    </row>
    <row r="5554" spans="1:4" x14ac:dyDescent="0.3">
      <c r="A5554" s="34">
        <v>45612</v>
      </c>
      <c r="B5554" s="35">
        <v>1</v>
      </c>
      <c r="C5554" s="35">
        <v>0</v>
      </c>
      <c r="D5554" s="2">
        <f t="shared" si="86"/>
        <v>1</v>
      </c>
    </row>
    <row r="5555" spans="1:4" x14ac:dyDescent="0.3">
      <c r="A5555" s="34">
        <v>45617</v>
      </c>
      <c r="B5555" s="35">
        <v>1</v>
      </c>
      <c r="C5555" s="35">
        <v>0</v>
      </c>
      <c r="D5555" s="2">
        <f t="shared" si="86"/>
        <v>1</v>
      </c>
    </row>
    <row r="5556" spans="1:4" x14ac:dyDescent="0.3">
      <c r="A5556" s="34">
        <v>45618</v>
      </c>
      <c r="B5556" s="35">
        <v>1</v>
      </c>
      <c r="C5556" s="35">
        <v>1</v>
      </c>
      <c r="D5556" s="2">
        <f t="shared" si="86"/>
        <v>2</v>
      </c>
    </row>
    <row r="5557" spans="1:4" x14ac:dyDescent="0.3">
      <c r="A5557" s="34">
        <v>45619</v>
      </c>
      <c r="B5557" s="35">
        <v>1</v>
      </c>
      <c r="C5557" s="35">
        <v>0</v>
      </c>
      <c r="D5557" s="2">
        <f t="shared" si="86"/>
        <v>1</v>
      </c>
    </row>
    <row r="5558" spans="1:4" x14ac:dyDescent="0.3">
      <c r="A5558" s="34">
        <v>45623</v>
      </c>
      <c r="B5558" s="35">
        <v>1</v>
      </c>
      <c r="C5558" s="35">
        <v>0</v>
      </c>
      <c r="D5558" s="2">
        <f t="shared" si="86"/>
        <v>1</v>
      </c>
    </row>
    <row r="5559" spans="1:4" x14ac:dyDescent="0.3">
      <c r="A5559" s="34">
        <v>45624</v>
      </c>
      <c r="B5559" s="35">
        <v>1</v>
      </c>
      <c r="C5559" s="35">
        <v>0</v>
      </c>
      <c r="D5559" s="2">
        <f t="shared" si="86"/>
        <v>1</v>
      </c>
    </row>
    <row r="5560" spans="1:4" x14ac:dyDescent="0.3">
      <c r="A5560" s="34">
        <v>45625</v>
      </c>
      <c r="B5560" s="35">
        <v>2</v>
      </c>
      <c r="C5560" s="35">
        <v>2</v>
      </c>
      <c r="D5560" s="2">
        <f t="shared" si="86"/>
        <v>4</v>
      </c>
    </row>
    <row r="5561" spans="1:4" x14ac:dyDescent="0.3">
      <c r="A5561" s="34">
        <v>45629</v>
      </c>
      <c r="B5561" s="35">
        <v>1</v>
      </c>
      <c r="C5561" s="35">
        <v>1</v>
      </c>
      <c r="D5561" s="2">
        <f t="shared" si="86"/>
        <v>2</v>
      </c>
    </row>
    <row r="5562" spans="1:4" x14ac:dyDescent="0.3">
      <c r="A5562" s="34">
        <v>45639</v>
      </c>
      <c r="B5562" s="35">
        <v>1</v>
      </c>
      <c r="C5562" s="35">
        <v>0</v>
      </c>
      <c r="D5562" s="2">
        <f t="shared" si="86"/>
        <v>1</v>
      </c>
    </row>
    <row r="5563" spans="1:4" x14ac:dyDescent="0.3">
      <c r="A5563" s="34">
        <v>45646</v>
      </c>
      <c r="B5563" s="35">
        <v>1</v>
      </c>
      <c r="C5563" s="35">
        <v>0</v>
      </c>
      <c r="D5563" s="2">
        <f t="shared" si="86"/>
        <v>1</v>
      </c>
    </row>
    <row r="5564" spans="1:4" x14ac:dyDescent="0.3">
      <c r="A5564" s="34">
        <v>45648</v>
      </c>
      <c r="B5564" s="35">
        <v>1</v>
      </c>
      <c r="C5564" s="35">
        <v>0</v>
      </c>
      <c r="D5564" s="2">
        <f t="shared" si="86"/>
        <v>1</v>
      </c>
    </row>
    <row r="5565" spans="1:4" x14ac:dyDescent="0.3">
      <c r="A5565" s="34">
        <v>45650</v>
      </c>
      <c r="B5565" s="35">
        <v>2</v>
      </c>
      <c r="C5565" s="35">
        <v>0</v>
      </c>
      <c r="D5565" s="2">
        <f t="shared" si="86"/>
        <v>2</v>
      </c>
    </row>
    <row r="5566" spans="1:4" x14ac:dyDescent="0.3">
      <c r="A5566" s="34">
        <v>45652</v>
      </c>
      <c r="B5566" s="35">
        <v>1</v>
      </c>
      <c r="C5566" s="35">
        <v>0</v>
      </c>
      <c r="D5566" s="2">
        <f t="shared" si="86"/>
        <v>1</v>
      </c>
    </row>
    <row r="5567" spans="1:4" x14ac:dyDescent="0.3">
      <c r="A5567" s="34">
        <v>45655</v>
      </c>
      <c r="B5567" s="35">
        <v>1</v>
      </c>
      <c r="C5567" s="35">
        <v>0</v>
      </c>
      <c r="D5567" s="2">
        <f t="shared" si="86"/>
        <v>1</v>
      </c>
    </row>
    <row r="5568" spans="1:4" x14ac:dyDescent="0.3">
      <c r="A5568" s="34">
        <v>45656</v>
      </c>
      <c r="B5568" s="35">
        <v>1</v>
      </c>
      <c r="C5568" s="35">
        <v>0</v>
      </c>
      <c r="D5568" s="2">
        <f t="shared" si="86"/>
        <v>1</v>
      </c>
    </row>
    <row r="5569" spans="1:4" x14ac:dyDescent="0.3">
      <c r="A5569" s="34">
        <v>45664</v>
      </c>
      <c r="B5569" s="35">
        <v>1</v>
      </c>
      <c r="C5569" s="35">
        <v>1</v>
      </c>
      <c r="D5569" s="2">
        <f t="shared" si="86"/>
        <v>2</v>
      </c>
    </row>
    <row r="5570" spans="1:4" x14ac:dyDescent="0.3">
      <c r="A5570" s="34">
        <v>45667</v>
      </c>
      <c r="B5570" s="35">
        <v>1</v>
      </c>
      <c r="C5570" s="35">
        <v>0</v>
      </c>
      <c r="D5570" s="2">
        <f t="shared" si="86"/>
        <v>1</v>
      </c>
    </row>
    <row r="5571" spans="1:4" x14ac:dyDescent="0.3">
      <c r="A5571" s="34">
        <v>45668</v>
      </c>
      <c r="B5571" s="35">
        <v>1</v>
      </c>
      <c r="C5571" s="35">
        <v>0</v>
      </c>
      <c r="D5571" s="2">
        <f t="shared" ref="D5571:D5634" si="87">B5571+C5571</f>
        <v>1</v>
      </c>
    </row>
    <row r="5572" spans="1:4" x14ac:dyDescent="0.3">
      <c r="A5572" s="34">
        <v>45669</v>
      </c>
      <c r="B5572" s="35">
        <v>1</v>
      </c>
      <c r="C5572" s="35">
        <v>0</v>
      </c>
      <c r="D5572" s="2">
        <f t="shared" si="87"/>
        <v>1</v>
      </c>
    </row>
    <row r="5573" spans="1:4" x14ac:dyDescent="0.3">
      <c r="A5573" s="34">
        <v>45673</v>
      </c>
      <c r="B5573" s="35">
        <v>1</v>
      </c>
      <c r="C5573" s="35">
        <v>0</v>
      </c>
      <c r="D5573" s="2">
        <f t="shared" si="87"/>
        <v>1</v>
      </c>
    </row>
    <row r="5574" spans="1:4" x14ac:dyDescent="0.3">
      <c r="A5574" s="34">
        <v>45674</v>
      </c>
      <c r="B5574" s="35">
        <v>1</v>
      </c>
      <c r="C5574" s="35">
        <v>0</v>
      </c>
      <c r="D5574" s="2">
        <f t="shared" si="87"/>
        <v>1</v>
      </c>
    </row>
    <row r="5575" spans="1:4" x14ac:dyDescent="0.3">
      <c r="A5575" s="34">
        <v>45676</v>
      </c>
      <c r="B5575" s="35">
        <v>1</v>
      </c>
      <c r="C5575" s="35">
        <v>0</v>
      </c>
      <c r="D5575" s="2">
        <f t="shared" si="87"/>
        <v>1</v>
      </c>
    </row>
    <row r="5576" spans="1:4" x14ac:dyDescent="0.3">
      <c r="A5576" s="34">
        <v>45678</v>
      </c>
      <c r="B5576" s="35">
        <v>1</v>
      </c>
      <c r="C5576" s="35">
        <v>0</v>
      </c>
      <c r="D5576" s="2">
        <f t="shared" si="87"/>
        <v>1</v>
      </c>
    </row>
    <row r="5577" spans="1:4" x14ac:dyDescent="0.3">
      <c r="A5577" s="34">
        <v>45679</v>
      </c>
      <c r="B5577" s="35">
        <v>1</v>
      </c>
      <c r="C5577" s="35">
        <v>0</v>
      </c>
      <c r="D5577" s="2">
        <f t="shared" si="87"/>
        <v>1</v>
      </c>
    </row>
    <row r="5578" spans="1:4" x14ac:dyDescent="0.3">
      <c r="A5578" s="34">
        <v>45682</v>
      </c>
      <c r="B5578" s="35">
        <v>1</v>
      </c>
      <c r="C5578" s="35">
        <v>1</v>
      </c>
      <c r="D5578" s="2">
        <f t="shared" si="87"/>
        <v>2</v>
      </c>
    </row>
    <row r="5579" spans="1:4" x14ac:dyDescent="0.3">
      <c r="A5579" s="34">
        <v>45683</v>
      </c>
      <c r="B5579" s="35">
        <v>2</v>
      </c>
      <c r="C5579" s="35">
        <v>1</v>
      </c>
      <c r="D5579" s="2">
        <f t="shared" si="87"/>
        <v>3</v>
      </c>
    </row>
    <row r="5580" spans="1:4" x14ac:dyDescent="0.3">
      <c r="A5580" s="34">
        <v>45684</v>
      </c>
      <c r="B5580" s="35">
        <v>1</v>
      </c>
      <c r="C5580" s="35">
        <v>0</v>
      </c>
      <c r="D5580" s="2">
        <f t="shared" si="87"/>
        <v>1</v>
      </c>
    </row>
    <row r="5581" spans="1:4" x14ac:dyDescent="0.3">
      <c r="A5581" s="34">
        <v>45685</v>
      </c>
      <c r="B5581" s="35">
        <v>1</v>
      </c>
      <c r="C5581" s="35">
        <v>1</v>
      </c>
      <c r="D5581" s="2">
        <f t="shared" si="87"/>
        <v>2</v>
      </c>
    </row>
    <row r="5582" spans="1:4" x14ac:dyDescent="0.3">
      <c r="A5582" s="34">
        <v>45689</v>
      </c>
      <c r="B5582" s="35">
        <v>1</v>
      </c>
      <c r="C5582" s="35">
        <v>0</v>
      </c>
      <c r="D5582" s="2">
        <f t="shared" si="87"/>
        <v>1</v>
      </c>
    </row>
    <row r="5583" spans="1:4" x14ac:dyDescent="0.3">
      <c r="A5583" s="34">
        <v>45690</v>
      </c>
      <c r="B5583" s="35">
        <v>1</v>
      </c>
      <c r="C5583" s="35">
        <v>1</v>
      </c>
      <c r="D5583" s="2">
        <f t="shared" si="87"/>
        <v>2</v>
      </c>
    </row>
    <row r="5584" spans="1:4" x14ac:dyDescent="0.3">
      <c r="A5584" s="34">
        <v>45694</v>
      </c>
      <c r="B5584" s="35">
        <v>1</v>
      </c>
      <c r="C5584" s="35">
        <v>0</v>
      </c>
      <c r="D5584" s="2">
        <f t="shared" si="87"/>
        <v>1</v>
      </c>
    </row>
    <row r="5585" spans="1:4" x14ac:dyDescent="0.3">
      <c r="A5585" s="34">
        <v>45696</v>
      </c>
      <c r="B5585" s="35">
        <v>1</v>
      </c>
      <c r="C5585" s="35">
        <v>0</v>
      </c>
      <c r="D5585" s="2">
        <f t="shared" si="87"/>
        <v>1</v>
      </c>
    </row>
    <row r="5586" spans="1:4" x14ac:dyDescent="0.3">
      <c r="A5586" s="34">
        <v>45699</v>
      </c>
      <c r="B5586" s="35">
        <v>1</v>
      </c>
      <c r="C5586" s="35">
        <v>0</v>
      </c>
      <c r="D5586" s="2">
        <f t="shared" si="87"/>
        <v>1</v>
      </c>
    </row>
    <row r="5587" spans="1:4" x14ac:dyDescent="0.3">
      <c r="A5587" s="34">
        <v>45873</v>
      </c>
      <c r="B5587" s="35">
        <v>1</v>
      </c>
      <c r="C5587" s="35">
        <v>1</v>
      </c>
      <c r="D5587" s="2">
        <f t="shared" si="87"/>
        <v>2</v>
      </c>
    </row>
    <row r="5588" spans="1:4" x14ac:dyDescent="0.3">
      <c r="A5588" s="34">
        <v>45875</v>
      </c>
      <c r="B5588" s="35">
        <v>1</v>
      </c>
      <c r="C5588" s="35">
        <v>0</v>
      </c>
      <c r="D5588" s="2">
        <f t="shared" si="87"/>
        <v>1</v>
      </c>
    </row>
    <row r="5589" spans="1:4" x14ac:dyDescent="0.3">
      <c r="A5589" s="34">
        <v>45876</v>
      </c>
      <c r="B5589" s="35">
        <v>1</v>
      </c>
      <c r="C5589" s="35">
        <v>0</v>
      </c>
      <c r="D5589" s="2">
        <f t="shared" si="87"/>
        <v>1</v>
      </c>
    </row>
    <row r="5590" spans="1:4" x14ac:dyDescent="0.3">
      <c r="A5590" s="34">
        <v>45882</v>
      </c>
      <c r="B5590" s="35">
        <v>1</v>
      </c>
      <c r="C5590" s="35">
        <v>0</v>
      </c>
      <c r="D5590" s="2">
        <f t="shared" si="87"/>
        <v>1</v>
      </c>
    </row>
    <row r="5591" spans="1:4" x14ac:dyDescent="0.3">
      <c r="A5591" s="34">
        <v>45884</v>
      </c>
      <c r="B5591" s="35">
        <v>2</v>
      </c>
      <c r="C5591" s="35">
        <v>1</v>
      </c>
      <c r="D5591" s="2">
        <f t="shared" si="87"/>
        <v>3</v>
      </c>
    </row>
    <row r="5592" spans="1:4" x14ac:dyDescent="0.3">
      <c r="A5592" s="34">
        <v>45887</v>
      </c>
      <c r="B5592" s="35">
        <v>1</v>
      </c>
      <c r="C5592" s="35">
        <v>0</v>
      </c>
      <c r="D5592" s="2">
        <f t="shared" si="87"/>
        <v>1</v>
      </c>
    </row>
    <row r="5593" spans="1:4" x14ac:dyDescent="0.3">
      <c r="A5593" s="34">
        <v>45890</v>
      </c>
      <c r="B5593" s="35">
        <v>1</v>
      </c>
      <c r="C5593" s="35">
        <v>1</v>
      </c>
      <c r="D5593" s="2">
        <f t="shared" si="87"/>
        <v>2</v>
      </c>
    </row>
    <row r="5594" spans="1:4" x14ac:dyDescent="0.3">
      <c r="A5594" s="34">
        <v>45891</v>
      </c>
      <c r="B5594" s="35">
        <v>1</v>
      </c>
      <c r="C5594" s="35">
        <v>0</v>
      </c>
      <c r="D5594" s="2">
        <f t="shared" si="87"/>
        <v>1</v>
      </c>
    </row>
    <row r="5595" spans="1:4" x14ac:dyDescent="0.3">
      <c r="A5595" s="34">
        <v>45895</v>
      </c>
      <c r="B5595" s="35">
        <v>1</v>
      </c>
      <c r="C5595" s="35">
        <v>0</v>
      </c>
      <c r="D5595" s="2">
        <f t="shared" si="87"/>
        <v>1</v>
      </c>
    </row>
    <row r="5596" spans="1:4" x14ac:dyDescent="0.3">
      <c r="A5596" s="34">
        <v>45896</v>
      </c>
      <c r="B5596" s="35">
        <v>1</v>
      </c>
      <c r="C5596" s="35">
        <v>0</v>
      </c>
      <c r="D5596" s="2">
        <f t="shared" si="87"/>
        <v>1</v>
      </c>
    </row>
    <row r="5597" spans="1:4" x14ac:dyDescent="0.3">
      <c r="A5597" s="34">
        <v>45897</v>
      </c>
      <c r="B5597" s="35">
        <v>1</v>
      </c>
      <c r="C5597" s="35">
        <v>0</v>
      </c>
      <c r="D5597" s="2">
        <f t="shared" si="87"/>
        <v>1</v>
      </c>
    </row>
    <row r="5598" spans="1:4" x14ac:dyDescent="0.3">
      <c r="A5598" s="34">
        <v>45898</v>
      </c>
      <c r="B5598" s="35">
        <v>1</v>
      </c>
      <c r="C5598" s="35">
        <v>0</v>
      </c>
      <c r="D5598" s="2">
        <f t="shared" si="87"/>
        <v>1</v>
      </c>
    </row>
    <row r="5599" spans="1:4" x14ac:dyDescent="0.3">
      <c r="A5599" s="34">
        <v>45899</v>
      </c>
      <c r="B5599" s="35">
        <v>1</v>
      </c>
      <c r="C5599" s="35">
        <v>0</v>
      </c>
      <c r="D5599" s="2">
        <f t="shared" si="87"/>
        <v>1</v>
      </c>
    </row>
    <row r="5600" spans="1:4" x14ac:dyDescent="0.3">
      <c r="A5600" s="34">
        <v>45901</v>
      </c>
      <c r="B5600" s="35">
        <v>1</v>
      </c>
      <c r="C5600" s="35">
        <v>0</v>
      </c>
      <c r="D5600" s="2">
        <f t="shared" si="87"/>
        <v>1</v>
      </c>
    </row>
    <row r="5601" spans="1:4" x14ac:dyDescent="0.3">
      <c r="A5601" s="34">
        <v>45904</v>
      </c>
      <c r="B5601" s="35">
        <v>1</v>
      </c>
      <c r="C5601" s="35">
        <v>1</v>
      </c>
      <c r="D5601" s="2">
        <f t="shared" si="87"/>
        <v>2</v>
      </c>
    </row>
    <row r="5602" spans="1:4" x14ac:dyDescent="0.3">
      <c r="A5602" s="34">
        <v>45906</v>
      </c>
      <c r="B5602" s="35">
        <v>1</v>
      </c>
      <c r="C5602" s="35">
        <v>0</v>
      </c>
      <c r="D5602" s="2">
        <f t="shared" si="87"/>
        <v>1</v>
      </c>
    </row>
    <row r="5603" spans="1:4" x14ac:dyDescent="0.3">
      <c r="A5603" s="34">
        <v>45908</v>
      </c>
      <c r="B5603" s="35">
        <v>1</v>
      </c>
      <c r="C5603" s="35">
        <v>0</v>
      </c>
      <c r="D5603" s="2">
        <f t="shared" si="87"/>
        <v>1</v>
      </c>
    </row>
    <row r="5604" spans="1:4" x14ac:dyDescent="0.3">
      <c r="A5604" s="34">
        <v>45910</v>
      </c>
      <c r="B5604" s="35">
        <v>2</v>
      </c>
      <c r="C5604" s="35">
        <v>1</v>
      </c>
      <c r="D5604" s="2">
        <f t="shared" si="87"/>
        <v>3</v>
      </c>
    </row>
    <row r="5605" spans="1:4" x14ac:dyDescent="0.3">
      <c r="A5605" s="34">
        <v>45911</v>
      </c>
      <c r="B5605" s="35">
        <v>1</v>
      </c>
      <c r="C5605" s="35">
        <v>0</v>
      </c>
      <c r="D5605" s="2">
        <f t="shared" si="87"/>
        <v>1</v>
      </c>
    </row>
    <row r="5606" spans="1:4" x14ac:dyDescent="0.3">
      <c r="A5606" s="34">
        <v>45912</v>
      </c>
      <c r="B5606" s="35">
        <v>1</v>
      </c>
      <c r="C5606" s="35">
        <v>0</v>
      </c>
      <c r="D5606" s="2">
        <f t="shared" si="87"/>
        <v>1</v>
      </c>
    </row>
    <row r="5607" spans="1:4" x14ac:dyDescent="0.3">
      <c r="A5607" s="34">
        <v>45914</v>
      </c>
      <c r="B5607" s="35">
        <v>1</v>
      </c>
      <c r="C5607" s="35">
        <v>0</v>
      </c>
      <c r="D5607" s="2">
        <f t="shared" si="87"/>
        <v>1</v>
      </c>
    </row>
    <row r="5608" spans="1:4" x14ac:dyDescent="0.3">
      <c r="A5608" s="34">
        <v>45938</v>
      </c>
      <c r="B5608" s="35">
        <v>1</v>
      </c>
      <c r="C5608" s="35">
        <v>1</v>
      </c>
      <c r="D5608" s="2">
        <f t="shared" si="87"/>
        <v>2</v>
      </c>
    </row>
    <row r="5609" spans="1:4" x14ac:dyDescent="0.3">
      <c r="A5609" s="34">
        <v>45939</v>
      </c>
      <c r="B5609" s="35">
        <v>1</v>
      </c>
      <c r="C5609" s="35">
        <v>0</v>
      </c>
      <c r="D5609" s="2">
        <f t="shared" si="87"/>
        <v>1</v>
      </c>
    </row>
    <row r="5610" spans="1:4" x14ac:dyDescent="0.3">
      <c r="A5610" s="34">
        <v>45941</v>
      </c>
      <c r="B5610" s="35">
        <v>1</v>
      </c>
      <c r="C5610" s="35">
        <v>0</v>
      </c>
      <c r="D5610" s="2">
        <f t="shared" si="87"/>
        <v>1</v>
      </c>
    </row>
    <row r="5611" spans="1:4" x14ac:dyDescent="0.3">
      <c r="A5611" s="34">
        <v>45943</v>
      </c>
      <c r="B5611" s="35">
        <v>2</v>
      </c>
      <c r="C5611" s="35">
        <v>1</v>
      </c>
      <c r="D5611" s="2">
        <f t="shared" si="87"/>
        <v>3</v>
      </c>
    </row>
    <row r="5612" spans="1:4" x14ac:dyDescent="0.3">
      <c r="A5612" s="34">
        <v>45945</v>
      </c>
      <c r="B5612" s="35">
        <v>1</v>
      </c>
      <c r="C5612" s="35">
        <v>0</v>
      </c>
      <c r="D5612" s="2">
        <f t="shared" si="87"/>
        <v>1</v>
      </c>
    </row>
    <row r="5613" spans="1:4" x14ac:dyDescent="0.3">
      <c r="A5613" s="34">
        <v>45965</v>
      </c>
      <c r="B5613" s="35">
        <v>1</v>
      </c>
      <c r="C5613" s="35">
        <v>1</v>
      </c>
      <c r="D5613" s="2">
        <f t="shared" si="87"/>
        <v>2</v>
      </c>
    </row>
    <row r="5614" spans="1:4" x14ac:dyDescent="0.3">
      <c r="A5614" s="34">
        <v>45966</v>
      </c>
      <c r="B5614" s="35">
        <v>1</v>
      </c>
      <c r="C5614" s="35">
        <v>1</v>
      </c>
      <c r="D5614" s="2">
        <f t="shared" si="87"/>
        <v>2</v>
      </c>
    </row>
    <row r="5615" spans="1:4" x14ac:dyDescent="0.3">
      <c r="A5615" s="34">
        <v>45967</v>
      </c>
      <c r="B5615" s="35">
        <v>1</v>
      </c>
      <c r="C5615" s="35">
        <v>0</v>
      </c>
      <c r="D5615" s="2">
        <f t="shared" si="87"/>
        <v>1</v>
      </c>
    </row>
    <row r="5616" spans="1:4" x14ac:dyDescent="0.3">
      <c r="A5616" s="34">
        <v>45969</v>
      </c>
      <c r="B5616" s="35">
        <v>1</v>
      </c>
      <c r="C5616" s="35">
        <v>0</v>
      </c>
      <c r="D5616" s="2">
        <f t="shared" si="87"/>
        <v>1</v>
      </c>
    </row>
    <row r="5617" spans="1:4" x14ac:dyDescent="0.3">
      <c r="A5617" s="34">
        <v>45972</v>
      </c>
      <c r="B5617" s="35">
        <v>1</v>
      </c>
      <c r="C5617" s="35">
        <v>0</v>
      </c>
      <c r="D5617" s="2">
        <f t="shared" si="87"/>
        <v>1</v>
      </c>
    </row>
    <row r="5618" spans="1:4" x14ac:dyDescent="0.3">
      <c r="A5618" s="34">
        <v>45974</v>
      </c>
      <c r="B5618" s="35">
        <v>1</v>
      </c>
      <c r="C5618" s="35">
        <v>0</v>
      </c>
      <c r="D5618" s="2">
        <f t="shared" si="87"/>
        <v>1</v>
      </c>
    </row>
    <row r="5619" spans="1:4" x14ac:dyDescent="0.3">
      <c r="A5619" s="34">
        <v>45975</v>
      </c>
      <c r="B5619" s="35">
        <v>1</v>
      </c>
      <c r="C5619" s="35">
        <v>0</v>
      </c>
      <c r="D5619" s="2">
        <f t="shared" si="87"/>
        <v>1</v>
      </c>
    </row>
    <row r="5620" spans="1:4" x14ac:dyDescent="0.3">
      <c r="A5620" s="34">
        <v>45976</v>
      </c>
      <c r="B5620" s="35">
        <v>1</v>
      </c>
      <c r="C5620" s="35">
        <v>0</v>
      </c>
      <c r="D5620" s="2">
        <f t="shared" si="87"/>
        <v>1</v>
      </c>
    </row>
    <row r="5621" spans="1:4" x14ac:dyDescent="0.3">
      <c r="A5621" s="34">
        <v>45977</v>
      </c>
      <c r="B5621" s="35">
        <v>1</v>
      </c>
      <c r="C5621" s="35">
        <v>0</v>
      </c>
      <c r="D5621" s="2">
        <f t="shared" si="87"/>
        <v>1</v>
      </c>
    </row>
    <row r="5622" spans="1:4" x14ac:dyDescent="0.3">
      <c r="A5622" s="34">
        <v>45981</v>
      </c>
      <c r="B5622" s="35">
        <v>1</v>
      </c>
      <c r="C5622" s="35">
        <v>0</v>
      </c>
      <c r="D5622" s="2">
        <f t="shared" si="87"/>
        <v>1</v>
      </c>
    </row>
    <row r="5623" spans="1:4" x14ac:dyDescent="0.3">
      <c r="A5623" s="34">
        <v>45982</v>
      </c>
      <c r="B5623" s="35">
        <v>1</v>
      </c>
      <c r="C5623" s="35">
        <v>1</v>
      </c>
      <c r="D5623" s="2">
        <f t="shared" si="87"/>
        <v>2</v>
      </c>
    </row>
    <row r="5624" spans="1:4" x14ac:dyDescent="0.3">
      <c r="A5624" s="34">
        <v>45983</v>
      </c>
      <c r="B5624" s="35">
        <v>1</v>
      </c>
      <c r="C5624" s="35">
        <v>0</v>
      </c>
      <c r="D5624" s="2">
        <f t="shared" si="87"/>
        <v>1</v>
      </c>
    </row>
    <row r="5625" spans="1:4" x14ac:dyDescent="0.3">
      <c r="A5625" s="34">
        <v>45984</v>
      </c>
      <c r="B5625" s="35">
        <v>1</v>
      </c>
      <c r="C5625" s="35">
        <v>0</v>
      </c>
      <c r="D5625" s="2">
        <f t="shared" si="87"/>
        <v>1</v>
      </c>
    </row>
    <row r="5626" spans="1:4" x14ac:dyDescent="0.3">
      <c r="A5626" s="34">
        <v>45985</v>
      </c>
      <c r="B5626" s="35">
        <v>1</v>
      </c>
      <c r="C5626" s="35">
        <v>0</v>
      </c>
      <c r="D5626" s="2">
        <f t="shared" si="87"/>
        <v>1</v>
      </c>
    </row>
    <row r="5627" spans="1:4" x14ac:dyDescent="0.3">
      <c r="A5627" s="34">
        <v>45989</v>
      </c>
      <c r="B5627" s="35">
        <v>1</v>
      </c>
      <c r="C5627" s="35">
        <v>0</v>
      </c>
      <c r="D5627" s="2">
        <f t="shared" si="87"/>
        <v>1</v>
      </c>
    </row>
    <row r="5628" spans="1:4" x14ac:dyDescent="0.3">
      <c r="A5628" s="34">
        <v>45991</v>
      </c>
      <c r="B5628" s="35">
        <v>1</v>
      </c>
      <c r="C5628" s="35">
        <v>0</v>
      </c>
      <c r="D5628" s="2">
        <f t="shared" si="87"/>
        <v>1</v>
      </c>
    </row>
    <row r="5629" spans="1:4" x14ac:dyDescent="0.3">
      <c r="A5629" s="34">
        <v>45992</v>
      </c>
      <c r="B5629" s="35">
        <v>1</v>
      </c>
      <c r="C5629" s="35">
        <v>0</v>
      </c>
      <c r="D5629" s="2">
        <f t="shared" si="87"/>
        <v>1</v>
      </c>
    </row>
    <row r="5630" spans="1:4" x14ac:dyDescent="0.3">
      <c r="A5630" s="34">
        <v>45993</v>
      </c>
      <c r="B5630" s="35">
        <v>1</v>
      </c>
      <c r="C5630" s="35">
        <v>1</v>
      </c>
      <c r="D5630" s="2">
        <f t="shared" si="87"/>
        <v>2</v>
      </c>
    </row>
    <row r="5631" spans="1:4" x14ac:dyDescent="0.3">
      <c r="A5631" s="34">
        <v>45994</v>
      </c>
      <c r="B5631" s="35">
        <v>1</v>
      </c>
      <c r="C5631" s="35">
        <v>0</v>
      </c>
      <c r="D5631" s="2">
        <f t="shared" si="87"/>
        <v>1</v>
      </c>
    </row>
    <row r="5632" spans="1:4" x14ac:dyDescent="0.3">
      <c r="A5632" s="34">
        <v>46020</v>
      </c>
      <c r="B5632" s="35">
        <v>1</v>
      </c>
      <c r="C5632" s="35">
        <v>1</v>
      </c>
      <c r="D5632" s="2">
        <f t="shared" si="87"/>
        <v>2</v>
      </c>
    </row>
    <row r="5633" spans="1:4" x14ac:dyDescent="0.3">
      <c r="A5633" s="34">
        <v>46021</v>
      </c>
      <c r="B5633" s="35">
        <v>1</v>
      </c>
      <c r="C5633" s="35">
        <v>0</v>
      </c>
      <c r="D5633" s="2">
        <f t="shared" si="87"/>
        <v>1</v>
      </c>
    </row>
    <row r="5634" spans="1:4" x14ac:dyDescent="0.3">
      <c r="A5634" s="34">
        <v>46022</v>
      </c>
      <c r="B5634" s="35">
        <v>1</v>
      </c>
      <c r="C5634" s="35">
        <v>0</v>
      </c>
      <c r="D5634" s="2">
        <f t="shared" si="87"/>
        <v>1</v>
      </c>
    </row>
    <row r="5635" spans="1:4" x14ac:dyDescent="0.3">
      <c r="A5635" s="34">
        <v>46023</v>
      </c>
      <c r="B5635" s="35">
        <v>1</v>
      </c>
      <c r="C5635" s="35">
        <v>0</v>
      </c>
      <c r="D5635" s="2">
        <f t="shared" ref="D5635:D5698" si="88">B5635+C5635</f>
        <v>1</v>
      </c>
    </row>
    <row r="5636" spans="1:4" x14ac:dyDescent="0.3">
      <c r="A5636" s="34">
        <v>46025</v>
      </c>
      <c r="B5636" s="35">
        <v>1</v>
      </c>
      <c r="C5636" s="35">
        <v>1</v>
      </c>
      <c r="D5636" s="2">
        <f t="shared" si="88"/>
        <v>2</v>
      </c>
    </row>
    <row r="5637" spans="1:4" x14ac:dyDescent="0.3">
      <c r="A5637" s="34">
        <v>46026</v>
      </c>
      <c r="B5637" s="35">
        <v>1</v>
      </c>
      <c r="C5637" s="35">
        <v>1</v>
      </c>
      <c r="D5637" s="2">
        <f t="shared" si="88"/>
        <v>2</v>
      </c>
    </row>
    <row r="5638" spans="1:4" x14ac:dyDescent="0.3">
      <c r="A5638" s="34">
        <v>46030</v>
      </c>
      <c r="B5638" s="35">
        <v>1</v>
      </c>
      <c r="C5638" s="35">
        <v>0</v>
      </c>
      <c r="D5638" s="2">
        <f t="shared" si="88"/>
        <v>1</v>
      </c>
    </row>
    <row r="5639" spans="1:4" x14ac:dyDescent="0.3">
      <c r="A5639" s="34">
        <v>46031</v>
      </c>
      <c r="B5639" s="35">
        <v>1</v>
      </c>
      <c r="C5639" s="35">
        <v>0</v>
      </c>
      <c r="D5639" s="2">
        <f t="shared" si="88"/>
        <v>1</v>
      </c>
    </row>
    <row r="5640" spans="1:4" x14ac:dyDescent="0.3">
      <c r="A5640" s="34">
        <v>46032</v>
      </c>
      <c r="B5640" s="35">
        <v>1</v>
      </c>
      <c r="C5640" s="35">
        <v>0</v>
      </c>
      <c r="D5640" s="2">
        <f t="shared" si="88"/>
        <v>1</v>
      </c>
    </row>
    <row r="5641" spans="1:4" x14ac:dyDescent="0.3">
      <c r="A5641" s="34">
        <v>46033</v>
      </c>
      <c r="B5641" s="35">
        <v>1</v>
      </c>
      <c r="C5641" s="35">
        <v>0</v>
      </c>
      <c r="D5641" s="2">
        <f t="shared" si="88"/>
        <v>1</v>
      </c>
    </row>
    <row r="5642" spans="1:4" x14ac:dyDescent="0.3">
      <c r="A5642" s="34">
        <v>46038</v>
      </c>
      <c r="B5642" s="35">
        <v>1</v>
      </c>
      <c r="C5642" s="35">
        <v>0</v>
      </c>
      <c r="D5642" s="2">
        <f t="shared" si="88"/>
        <v>1</v>
      </c>
    </row>
    <row r="5643" spans="1:4" x14ac:dyDescent="0.3">
      <c r="A5643" s="34">
        <v>46039</v>
      </c>
      <c r="B5643" s="35">
        <v>1</v>
      </c>
      <c r="C5643" s="35">
        <v>0</v>
      </c>
      <c r="D5643" s="2">
        <f t="shared" si="88"/>
        <v>1</v>
      </c>
    </row>
    <row r="5644" spans="1:4" x14ac:dyDescent="0.3">
      <c r="A5644" s="34">
        <v>46040</v>
      </c>
      <c r="B5644" s="35">
        <v>1</v>
      </c>
      <c r="C5644" s="35">
        <v>0</v>
      </c>
      <c r="D5644" s="2">
        <f t="shared" si="88"/>
        <v>1</v>
      </c>
    </row>
    <row r="5645" spans="1:4" x14ac:dyDescent="0.3">
      <c r="A5645" s="34">
        <v>46041</v>
      </c>
      <c r="B5645" s="35">
        <v>1</v>
      </c>
      <c r="C5645" s="35">
        <v>1</v>
      </c>
      <c r="D5645" s="2">
        <f t="shared" si="88"/>
        <v>2</v>
      </c>
    </row>
    <row r="5646" spans="1:4" x14ac:dyDescent="0.3">
      <c r="A5646" s="34">
        <v>46042</v>
      </c>
      <c r="B5646" s="35">
        <v>1</v>
      </c>
      <c r="C5646" s="35">
        <v>1</v>
      </c>
      <c r="D5646" s="2">
        <f t="shared" si="88"/>
        <v>2</v>
      </c>
    </row>
    <row r="5647" spans="1:4" x14ac:dyDescent="0.3">
      <c r="A5647" s="34">
        <v>46047</v>
      </c>
      <c r="B5647" s="35">
        <v>3</v>
      </c>
      <c r="C5647" s="35">
        <v>2</v>
      </c>
      <c r="D5647" s="2">
        <f t="shared" si="88"/>
        <v>5</v>
      </c>
    </row>
    <row r="5648" spans="1:4" x14ac:dyDescent="0.3">
      <c r="A5648" s="34">
        <v>46053</v>
      </c>
      <c r="B5648" s="35">
        <v>1</v>
      </c>
      <c r="C5648" s="35">
        <v>0</v>
      </c>
      <c r="D5648" s="2">
        <f t="shared" si="88"/>
        <v>1</v>
      </c>
    </row>
    <row r="5649" spans="1:4" x14ac:dyDescent="0.3">
      <c r="A5649" s="34">
        <v>46054</v>
      </c>
      <c r="B5649" s="35">
        <v>1</v>
      </c>
      <c r="C5649" s="35">
        <v>1</v>
      </c>
      <c r="D5649" s="2">
        <f t="shared" si="88"/>
        <v>2</v>
      </c>
    </row>
    <row r="5650" spans="1:4" x14ac:dyDescent="0.3">
      <c r="A5650" s="34">
        <v>46057</v>
      </c>
      <c r="B5650" s="35">
        <v>1</v>
      </c>
      <c r="C5650" s="35">
        <v>0</v>
      </c>
      <c r="D5650" s="2">
        <f t="shared" si="88"/>
        <v>1</v>
      </c>
    </row>
    <row r="5651" spans="1:4" x14ac:dyDescent="0.3">
      <c r="A5651" s="34">
        <v>46061</v>
      </c>
      <c r="B5651" s="35">
        <v>1</v>
      </c>
      <c r="C5651" s="35">
        <v>0</v>
      </c>
      <c r="D5651" s="2">
        <f t="shared" si="88"/>
        <v>1</v>
      </c>
    </row>
    <row r="5652" spans="1:4" x14ac:dyDescent="0.3">
      <c r="A5652" s="34">
        <v>46062</v>
      </c>
      <c r="B5652" s="35">
        <v>1</v>
      </c>
      <c r="C5652" s="35">
        <v>1</v>
      </c>
      <c r="D5652" s="2">
        <f t="shared" si="88"/>
        <v>2</v>
      </c>
    </row>
    <row r="5653" spans="1:4" x14ac:dyDescent="0.3">
      <c r="A5653" s="34">
        <v>46066</v>
      </c>
      <c r="B5653" s="35">
        <v>1</v>
      </c>
      <c r="C5653" s="35">
        <v>0</v>
      </c>
      <c r="D5653" s="2">
        <f t="shared" si="88"/>
        <v>1</v>
      </c>
    </row>
    <row r="5654" spans="1:4" x14ac:dyDescent="0.3">
      <c r="A5654" s="34">
        <v>46080</v>
      </c>
      <c r="B5654" s="35">
        <v>2</v>
      </c>
      <c r="C5654" s="35">
        <v>0</v>
      </c>
      <c r="D5654" s="2">
        <f t="shared" si="88"/>
        <v>2</v>
      </c>
    </row>
    <row r="5655" spans="1:4" x14ac:dyDescent="0.3">
      <c r="A5655" s="34">
        <v>46082</v>
      </c>
      <c r="B5655" s="35">
        <v>1</v>
      </c>
      <c r="C5655" s="35">
        <v>0</v>
      </c>
      <c r="D5655" s="2">
        <f t="shared" si="88"/>
        <v>1</v>
      </c>
    </row>
    <row r="5656" spans="1:4" x14ac:dyDescent="0.3">
      <c r="A5656" s="34">
        <v>46085</v>
      </c>
      <c r="B5656" s="35">
        <v>2</v>
      </c>
      <c r="C5656" s="35">
        <v>1</v>
      </c>
      <c r="D5656" s="2">
        <f t="shared" si="88"/>
        <v>3</v>
      </c>
    </row>
    <row r="5657" spans="1:4" x14ac:dyDescent="0.3">
      <c r="A5657" s="34">
        <v>46087</v>
      </c>
      <c r="B5657" s="35">
        <v>1</v>
      </c>
      <c r="C5657" s="35">
        <v>0</v>
      </c>
      <c r="D5657" s="2">
        <f t="shared" si="88"/>
        <v>1</v>
      </c>
    </row>
    <row r="5658" spans="1:4" x14ac:dyDescent="0.3">
      <c r="A5658" s="34">
        <v>46089</v>
      </c>
      <c r="B5658" s="35">
        <v>1</v>
      </c>
      <c r="C5658" s="35">
        <v>0</v>
      </c>
      <c r="D5658" s="2">
        <f t="shared" si="88"/>
        <v>1</v>
      </c>
    </row>
    <row r="5659" spans="1:4" x14ac:dyDescent="0.3">
      <c r="A5659" s="34">
        <v>46091</v>
      </c>
      <c r="B5659" s="35">
        <v>1</v>
      </c>
      <c r="C5659" s="35">
        <v>0</v>
      </c>
      <c r="D5659" s="2">
        <f t="shared" si="88"/>
        <v>1</v>
      </c>
    </row>
    <row r="5660" spans="1:4" x14ac:dyDescent="0.3">
      <c r="A5660" s="34">
        <v>46094</v>
      </c>
      <c r="B5660" s="35">
        <v>1</v>
      </c>
      <c r="C5660" s="35">
        <v>0</v>
      </c>
      <c r="D5660" s="2">
        <f t="shared" si="88"/>
        <v>1</v>
      </c>
    </row>
    <row r="5661" spans="1:4" x14ac:dyDescent="0.3">
      <c r="A5661" s="34">
        <v>46097</v>
      </c>
      <c r="B5661" s="35">
        <v>1</v>
      </c>
      <c r="C5661" s="35">
        <v>0</v>
      </c>
      <c r="D5661" s="2">
        <f t="shared" si="88"/>
        <v>1</v>
      </c>
    </row>
    <row r="5662" spans="1:4" x14ac:dyDescent="0.3">
      <c r="A5662" s="34">
        <v>46098</v>
      </c>
      <c r="B5662" s="35">
        <v>1</v>
      </c>
      <c r="C5662" s="35">
        <v>1</v>
      </c>
      <c r="D5662" s="2">
        <f t="shared" si="88"/>
        <v>2</v>
      </c>
    </row>
    <row r="5663" spans="1:4" x14ac:dyDescent="0.3">
      <c r="A5663" s="34">
        <v>46100</v>
      </c>
      <c r="B5663" s="35">
        <v>3</v>
      </c>
      <c r="C5663" s="35">
        <v>2</v>
      </c>
      <c r="D5663" s="2">
        <f t="shared" si="88"/>
        <v>5</v>
      </c>
    </row>
    <row r="5664" spans="1:4" x14ac:dyDescent="0.3">
      <c r="A5664" s="34">
        <v>46103</v>
      </c>
      <c r="B5664" s="35">
        <v>1</v>
      </c>
      <c r="C5664" s="35">
        <v>0</v>
      </c>
      <c r="D5664" s="2">
        <f t="shared" si="88"/>
        <v>1</v>
      </c>
    </row>
    <row r="5665" spans="1:4" x14ac:dyDescent="0.3">
      <c r="A5665" s="34">
        <v>46104</v>
      </c>
      <c r="B5665" s="35">
        <v>1</v>
      </c>
      <c r="C5665" s="35">
        <v>0</v>
      </c>
      <c r="D5665" s="2">
        <f t="shared" si="88"/>
        <v>1</v>
      </c>
    </row>
    <row r="5666" spans="1:4" x14ac:dyDescent="0.3">
      <c r="A5666" s="34">
        <v>46105</v>
      </c>
      <c r="B5666" s="35">
        <v>1</v>
      </c>
      <c r="C5666" s="35">
        <v>1</v>
      </c>
      <c r="D5666" s="2">
        <f t="shared" si="88"/>
        <v>2</v>
      </c>
    </row>
    <row r="5667" spans="1:4" x14ac:dyDescent="0.3">
      <c r="A5667" s="34">
        <v>46106</v>
      </c>
      <c r="B5667" s="35">
        <v>1</v>
      </c>
      <c r="C5667" s="35">
        <v>1</v>
      </c>
      <c r="D5667" s="2">
        <f t="shared" si="88"/>
        <v>2</v>
      </c>
    </row>
    <row r="5668" spans="1:4" x14ac:dyDescent="0.3">
      <c r="A5668" s="34">
        <v>46126</v>
      </c>
      <c r="B5668" s="35">
        <v>1</v>
      </c>
      <c r="C5668" s="35">
        <v>0</v>
      </c>
      <c r="D5668" s="2">
        <f t="shared" si="88"/>
        <v>1</v>
      </c>
    </row>
    <row r="5669" spans="1:4" x14ac:dyDescent="0.3">
      <c r="A5669" s="34">
        <v>46129</v>
      </c>
      <c r="B5669" s="35">
        <v>1</v>
      </c>
      <c r="C5669" s="35">
        <v>0</v>
      </c>
      <c r="D5669" s="2">
        <f t="shared" si="88"/>
        <v>1</v>
      </c>
    </row>
    <row r="5670" spans="1:4" x14ac:dyDescent="0.3">
      <c r="A5670" s="34">
        <v>46130</v>
      </c>
      <c r="B5670" s="35">
        <v>1</v>
      </c>
      <c r="C5670" s="35">
        <v>0</v>
      </c>
      <c r="D5670" s="2">
        <f t="shared" si="88"/>
        <v>1</v>
      </c>
    </row>
    <row r="5671" spans="1:4" x14ac:dyDescent="0.3">
      <c r="A5671" s="34">
        <v>46134</v>
      </c>
      <c r="B5671" s="35">
        <v>1</v>
      </c>
      <c r="C5671" s="35">
        <v>0</v>
      </c>
      <c r="D5671" s="2">
        <f t="shared" si="88"/>
        <v>1</v>
      </c>
    </row>
    <row r="5672" spans="1:4" x14ac:dyDescent="0.3">
      <c r="A5672" s="34">
        <v>46135</v>
      </c>
      <c r="B5672" s="35">
        <v>2</v>
      </c>
      <c r="C5672" s="35">
        <v>2</v>
      </c>
      <c r="D5672" s="2">
        <f t="shared" si="88"/>
        <v>4</v>
      </c>
    </row>
    <row r="5673" spans="1:4" x14ac:dyDescent="0.3">
      <c r="A5673" s="34">
        <v>46136</v>
      </c>
      <c r="B5673" s="35">
        <v>1</v>
      </c>
      <c r="C5673" s="35">
        <v>0</v>
      </c>
      <c r="D5673" s="2">
        <f t="shared" si="88"/>
        <v>1</v>
      </c>
    </row>
    <row r="5674" spans="1:4" x14ac:dyDescent="0.3">
      <c r="A5674" s="34">
        <v>46137</v>
      </c>
      <c r="B5674" s="35">
        <v>1</v>
      </c>
      <c r="C5674" s="35">
        <v>0</v>
      </c>
      <c r="D5674" s="2">
        <f t="shared" si="88"/>
        <v>1</v>
      </c>
    </row>
    <row r="5675" spans="1:4" x14ac:dyDescent="0.3">
      <c r="A5675" s="34">
        <v>46139</v>
      </c>
      <c r="B5675" s="35">
        <v>1</v>
      </c>
      <c r="C5675" s="35">
        <v>0</v>
      </c>
      <c r="D5675" s="2">
        <f t="shared" si="88"/>
        <v>1</v>
      </c>
    </row>
    <row r="5676" spans="1:4" x14ac:dyDescent="0.3">
      <c r="A5676" s="34">
        <v>46140</v>
      </c>
      <c r="B5676" s="35">
        <v>1</v>
      </c>
      <c r="C5676" s="35">
        <v>0</v>
      </c>
      <c r="D5676" s="2">
        <f t="shared" si="88"/>
        <v>1</v>
      </c>
    </row>
    <row r="5677" spans="1:4" x14ac:dyDescent="0.3">
      <c r="A5677" s="34">
        <v>46151</v>
      </c>
      <c r="B5677" s="35">
        <v>1</v>
      </c>
      <c r="C5677" s="35">
        <v>0</v>
      </c>
      <c r="D5677" s="2">
        <f t="shared" si="88"/>
        <v>1</v>
      </c>
    </row>
    <row r="5678" spans="1:4" x14ac:dyDescent="0.3">
      <c r="A5678" s="34">
        <v>46154</v>
      </c>
      <c r="B5678" s="35">
        <v>1</v>
      </c>
      <c r="C5678" s="35">
        <v>0</v>
      </c>
      <c r="D5678" s="2">
        <f t="shared" si="88"/>
        <v>1</v>
      </c>
    </row>
    <row r="5679" spans="1:4" x14ac:dyDescent="0.3">
      <c r="A5679" s="34">
        <v>46155</v>
      </c>
      <c r="B5679" s="35">
        <v>1</v>
      </c>
      <c r="C5679" s="35">
        <v>0</v>
      </c>
      <c r="D5679" s="2">
        <f t="shared" si="88"/>
        <v>1</v>
      </c>
    </row>
    <row r="5680" spans="1:4" x14ac:dyDescent="0.3">
      <c r="A5680" s="34">
        <v>46157</v>
      </c>
      <c r="B5680" s="35">
        <v>1</v>
      </c>
      <c r="C5680" s="35">
        <v>0</v>
      </c>
      <c r="D5680" s="2">
        <f t="shared" si="88"/>
        <v>1</v>
      </c>
    </row>
    <row r="5681" spans="1:4" x14ac:dyDescent="0.3">
      <c r="A5681" s="34">
        <v>46163</v>
      </c>
      <c r="B5681" s="35">
        <v>1</v>
      </c>
      <c r="C5681" s="35">
        <v>0</v>
      </c>
      <c r="D5681" s="2">
        <f t="shared" si="88"/>
        <v>1</v>
      </c>
    </row>
    <row r="5682" spans="1:4" x14ac:dyDescent="0.3">
      <c r="A5682" s="34">
        <v>46165</v>
      </c>
      <c r="B5682" s="35">
        <v>1</v>
      </c>
      <c r="C5682" s="35">
        <v>0</v>
      </c>
      <c r="D5682" s="2">
        <f t="shared" si="88"/>
        <v>1</v>
      </c>
    </row>
    <row r="5683" spans="1:4" x14ac:dyDescent="0.3">
      <c r="A5683" s="34">
        <v>46169</v>
      </c>
      <c r="B5683" s="35">
        <v>1</v>
      </c>
      <c r="C5683" s="35">
        <v>0</v>
      </c>
      <c r="D5683" s="2">
        <f t="shared" si="88"/>
        <v>1</v>
      </c>
    </row>
    <row r="5684" spans="1:4" x14ac:dyDescent="0.3">
      <c r="A5684" s="34">
        <v>46173</v>
      </c>
      <c r="B5684" s="35">
        <v>2</v>
      </c>
      <c r="C5684" s="35">
        <v>0</v>
      </c>
      <c r="D5684" s="2">
        <f t="shared" si="88"/>
        <v>2</v>
      </c>
    </row>
    <row r="5685" spans="1:4" x14ac:dyDescent="0.3">
      <c r="A5685" s="34">
        <v>46178</v>
      </c>
      <c r="B5685" s="35">
        <v>1</v>
      </c>
      <c r="C5685" s="35">
        <v>1</v>
      </c>
      <c r="D5685" s="2">
        <f t="shared" si="88"/>
        <v>2</v>
      </c>
    </row>
    <row r="5686" spans="1:4" x14ac:dyDescent="0.3">
      <c r="A5686" s="34">
        <v>46185</v>
      </c>
      <c r="B5686" s="35">
        <v>2</v>
      </c>
      <c r="C5686" s="35">
        <v>0</v>
      </c>
      <c r="D5686" s="2">
        <f t="shared" si="88"/>
        <v>2</v>
      </c>
    </row>
    <row r="5687" spans="1:4" x14ac:dyDescent="0.3">
      <c r="A5687" s="34">
        <v>46188</v>
      </c>
      <c r="B5687" s="35">
        <v>1</v>
      </c>
      <c r="C5687" s="35">
        <v>0</v>
      </c>
      <c r="D5687" s="2">
        <f t="shared" si="88"/>
        <v>1</v>
      </c>
    </row>
    <row r="5688" spans="1:4" x14ac:dyDescent="0.3">
      <c r="A5688" s="34">
        <v>46189</v>
      </c>
      <c r="B5688" s="35">
        <v>1</v>
      </c>
      <c r="C5688" s="35">
        <v>0</v>
      </c>
      <c r="D5688" s="2">
        <f t="shared" si="88"/>
        <v>1</v>
      </c>
    </row>
    <row r="5689" spans="1:4" x14ac:dyDescent="0.3">
      <c r="A5689" s="34">
        <v>46191</v>
      </c>
      <c r="B5689" s="35">
        <v>1</v>
      </c>
      <c r="C5689" s="35">
        <v>0</v>
      </c>
      <c r="D5689" s="2">
        <f t="shared" si="88"/>
        <v>1</v>
      </c>
    </row>
    <row r="5690" spans="1:4" x14ac:dyDescent="0.3">
      <c r="A5690" s="34">
        <v>46193</v>
      </c>
      <c r="B5690" s="35">
        <v>1</v>
      </c>
      <c r="C5690" s="35">
        <v>0</v>
      </c>
      <c r="D5690" s="2">
        <f t="shared" si="88"/>
        <v>1</v>
      </c>
    </row>
    <row r="5691" spans="1:4" x14ac:dyDescent="0.3">
      <c r="A5691" s="34">
        <v>46194</v>
      </c>
      <c r="B5691" s="35">
        <v>1</v>
      </c>
      <c r="C5691" s="35">
        <v>0</v>
      </c>
      <c r="D5691" s="2">
        <f t="shared" si="88"/>
        <v>1</v>
      </c>
    </row>
    <row r="5692" spans="1:4" x14ac:dyDescent="0.3">
      <c r="A5692" s="34">
        <v>46195</v>
      </c>
      <c r="B5692" s="35">
        <v>1</v>
      </c>
      <c r="C5692" s="35">
        <v>1</v>
      </c>
      <c r="D5692" s="2">
        <f t="shared" si="88"/>
        <v>2</v>
      </c>
    </row>
    <row r="5693" spans="1:4" x14ac:dyDescent="0.3">
      <c r="A5693" s="34">
        <v>46198</v>
      </c>
      <c r="B5693" s="35">
        <v>1</v>
      </c>
      <c r="C5693" s="35">
        <v>1</v>
      </c>
      <c r="D5693" s="2">
        <f t="shared" si="88"/>
        <v>2</v>
      </c>
    </row>
    <row r="5694" spans="1:4" x14ac:dyDescent="0.3">
      <c r="A5694" s="34">
        <v>46202</v>
      </c>
      <c r="B5694" s="35">
        <v>1</v>
      </c>
      <c r="C5694" s="35">
        <v>0</v>
      </c>
      <c r="D5694" s="2">
        <f t="shared" si="88"/>
        <v>1</v>
      </c>
    </row>
    <row r="5695" spans="1:4" x14ac:dyDescent="0.3">
      <c r="A5695" s="34">
        <v>46207</v>
      </c>
      <c r="B5695" s="35">
        <v>1</v>
      </c>
      <c r="C5695" s="35">
        <v>0</v>
      </c>
      <c r="D5695" s="2">
        <f t="shared" si="88"/>
        <v>1</v>
      </c>
    </row>
    <row r="5696" spans="1:4" x14ac:dyDescent="0.3">
      <c r="A5696" s="34">
        <v>46208</v>
      </c>
      <c r="B5696" s="35">
        <v>1</v>
      </c>
      <c r="C5696" s="35">
        <v>0</v>
      </c>
      <c r="D5696" s="2">
        <f t="shared" si="88"/>
        <v>1</v>
      </c>
    </row>
    <row r="5697" spans="1:4" x14ac:dyDescent="0.3">
      <c r="A5697" s="34">
        <v>46209</v>
      </c>
      <c r="B5697" s="35">
        <v>1</v>
      </c>
      <c r="C5697" s="35">
        <v>0</v>
      </c>
      <c r="D5697" s="2">
        <f t="shared" si="88"/>
        <v>1</v>
      </c>
    </row>
    <row r="5698" spans="1:4" x14ac:dyDescent="0.3">
      <c r="A5698" s="34">
        <v>46211</v>
      </c>
      <c r="B5698" s="35">
        <v>1</v>
      </c>
      <c r="C5698" s="35">
        <v>0</v>
      </c>
      <c r="D5698" s="2">
        <f t="shared" si="88"/>
        <v>1</v>
      </c>
    </row>
    <row r="5699" spans="1:4" x14ac:dyDescent="0.3">
      <c r="A5699" s="34">
        <v>46215</v>
      </c>
      <c r="B5699" s="35">
        <v>1</v>
      </c>
      <c r="C5699" s="35">
        <v>0</v>
      </c>
      <c r="D5699" s="2">
        <f t="shared" ref="D5699:D5762" si="89">B5699+C5699</f>
        <v>1</v>
      </c>
    </row>
    <row r="5700" spans="1:4" x14ac:dyDescent="0.3">
      <c r="A5700" s="34">
        <v>46216</v>
      </c>
      <c r="B5700" s="35">
        <v>2</v>
      </c>
      <c r="C5700" s="35">
        <v>0</v>
      </c>
      <c r="D5700" s="2">
        <f t="shared" si="89"/>
        <v>2</v>
      </c>
    </row>
    <row r="5701" spans="1:4" x14ac:dyDescent="0.3">
      <c r="A5701" s="34">
        <v>46221</v>
      </c>
      <c r="B5701" s="35">
        <v>1</v>
      </c>
      <c r="C5701" s="35">
        <v>0</v>
      </c>
      <c r="D5701" s="2">
        <f t="shared" si="89"/>
        <v>1</v>
      </c>
    </row>
    <row r="5702" spans="1:4" x14ac:dyDescent="0.3">
      <c r="A5702" s="34">
        <v>46223</v>
      </c>
      <c r="B5702" s="35">
        <v>1</v>
      </c>
      <c r="C5702" s="35">
        <v>0</v>
      </c>
      <c r="D5702" s="2">
        <f t="shared" si="89"/>
        <v>1</v>
      </c>
    </row>
    <row r="5703" spans="1:4" x14ac:dyDescent="0.3">
      <c r="A5703" s="34">
        <v>46227</v>
      </c>
      <c r="B5703" s="35">
        <v>1</v>
      </c>
      <c r="C5703" s="35">
        <v>0</v>
      </c>
      <c r="D5703" s="2">
        <f t="shared" si="89"/>
        <v>1</v>
      </c>
    </row>
    <row r="5704" spans="1:4" x14ac:dyDescent="0.3">
      <c r="A5704" s="34">
        <v>46230</v>
      </c>
      <c r="B5704" s="35">
        <v>1</v>
      </c>
      <c r="C5704" s="35">
        <v>0</v>
      </c>
      <c r="D5704" s="2">
        <f t="shared" si="89"/>
        <v>1</v>
      </c>
    </row>
    <row r="5705" spans="1:4" x14ac:dyDescent="0.3">
      <c r="A5705" s="34">
        <v>46232</v>
      </c>
      <c r="B5705" s="35">
        <v>1</v>
      </c>
      <c r="C5705" s="35">
        <v>1</v>
      </c>
      <c r="D5705" s="2">
        <f t="shared" si="89"/>
        <v>2</v>
      </c>
    </row>
    <row r="5706" spans="1:4" x14ac:dyDescent="0.3">
      <c r="A5706" s="34">
        <v>46237</v>
      </c>
      <c r="B5706" s="35">
        <v>1</v>
      </c>
      <c r="C5706" s="35">
        <v>1</v>
      </c>
      <c r="D5706" s="2">
        <f t="shared" si="89"/>
        <v>2</v>
      </c>
    </row>
    <row r="5707" spans="1:4" x14ac:dyDescent="0.3">
      <c r="A5707" s="34">
        <v>46239</v>
      </c>
      <c r="B5707" s="35">
        <v>1</v>
      </c>
      <c r="C5707" s="35">
        <v>0</v>
      </c>
      <c r="D5707" s="2">
        <f t="shared" si="89"/>
        <v>1</v>
      </c>
    </row>
    <row r="5708" spans="1:4" x14ac:dyDescent="0.3">
      <c r="A5708" s="34">
        <v>46240</v>
      </c>
      <c r="B5708" s="35">
        <v>1</v>
      </c>
      <c r="C5708" s="35">
        <v>0</v>
      </c>
      <c r="D5708" s="2">
        <f t="shared" si="89"/>
        <v>1</v>
      </c>
    </row>
    <row r="5709" spans="1:4" x14ac:dyDescent="0.3">
      <c r="A5709" s="34">
        <v>46241</v>
      </c>
      <c r="B5709" s="35">
        <v>1</v>
      </c>
      <c r="C5709" s="35">
        <v>1</v>
      </c>
      <c r="D5709" s="2">
        <f t="shared" si="89"/>
        <v>2</v>
      </c>
    </row>
    <row r="5710" spans="1:4" x14ac:dyDescent="0.3">
      <c r="A5710" s="34">
        <v>46245</v>
      </c>
      <c r="B5710" s="35">
        <v>1</v>
      </c>
      <c r="C5710" s="35">
        <v>0</v>
      </c>
      <c r="D5710" s="2">
        <f t="shared" si="89"/>
        <v>1</v>
      </c>
    </row>
    <row r="5711" spans="1:4" x14ac:dyDescent="0.3">
      <c r="A5711" s="34">
        <v>46247</v>
      </c>
      <c r="B5711" s="35">
        <v>1</v>
      </c>
      <c r="C5711" s="35">
        <v>0</v>
      </c>
      <c r="D5711" s="2">
        <f t="shared" si="89"/>
        <v>1</v>
      </c>
    </row>
    <row r="5712" spans="1:4" x14ac:dyDescent="0.3">
      <c r="A5712" s="34">
        <v>46248</v>
      </c>
      <c r="B5712" s="35">
        <v>1</v>
      </c>
      <c r="C5712" s="35">
        <v>0</v>
      </c>
      <c r="D5712" s="2">
        <f t="shared" si="89"/>
        <v>1</v>
      </c>
    </row>
    <row r="5713" spans="1:4" x14ac:dyDescent="0.3">
      <c r="A5713" s="34">
        <v>46250</v>
      </c>
      <c r="B5713" s="35">
        <v>1</v>
      </c>
      <c r="C5713" s="35">
        <v>0</v>
      </c>
      <c r="D5713" s="2">
        <f t="shared" si="89"/>
        <v>1</v>
      </c>
    </row>
    <row r="5714" spans="1:4" x14ac:dyDescent="0.3">
      <c r="A5714" s="34">
        <v>46252</v>
      </c>
      <c r="B5714" s="35">
        <v>2</v>
      </c>
      <c r="C5714" s="35">
        <v>2</v>
      </c>
      <c r="D5714" s="2">
        <f t="shared" si="89"/>
        <v>4</v>
      </c>
    </row>
    <row r="5715" spans="1:4" x14ac:dyDescent="0.3">
      <c r="A5715" s="34">
        <v>46255</v>
      </c>
      <c r="B5715" s="35">
        <v>1</v>
      </c>
      <c r="C5715" s="35">
        <v>0</v>
      </c>
      <c r="D5715" s="2">
        <f t="shared" si="89"/>
        <v>1</v>
      </c>
    </row>
    <row r="5716" spans="1:4" x14ac:dyDescent="0.3">
      <c r="A5716" s="34">
        <v>46275</v>
      </c>
      <c r="B5716" s="35">
        <v>1</v>
      </c>
      <c r="C5716" s="35">
        <v>0</v>
      </c>
      <c r="D5716" s="2">
        <f t="shared" si="89"/>
        <v>1</v>
      </c>
    </row>
    <row r="5717" spans="1:4" x14ac:dyDescent="0.3">
      <c r="A5717" s="34">
        <v>46284</v>
      </c>
      <c r="B5717" s="35">
        <v>1</v>
      </c>
      <c r="C5717" s="35">
        <v>0</v>
      </c>
      <c r="D5717" s="2">
        <f t="shared" si="89"/>
        <v>1</v>
      </c>
    </row>
    <row r="5718" spans="1:4" x14ac:dyDescent="0.3">
      <c r="A5718" s="34">
        <v>46287</v>
      </c>
      <c r="B5718" s="35">
        <v>1</v>
      </c>
      <c r="C5718" s="35">
        <v>0</v>
      </c>
      <c r="D5718" s="2">
        <f t="shared" si="89"/>
        <v>1</v>
      </c>
    </row>
    <row r="5719" spans="1:4" x14ac:dyDescent="0.3">
      <c r="A5719" s="34">
        <v>46291</v>
      </c>
      <c r="B5719" s="35">
        <v>1</v>
      </c>
      <c r="C5719" s="35">
        <v>1</v>
      </c>
      <c r="D5719" s="2">
        <f t="shared" si="89"/>
        <v>2</v>
      </c>
    </row>
    <row r="5720" spans="1:4" x14ac:dyDescent="0.3">
      <c r="A5720" s="34">
        <v>46296</v>
      </c>
      <c r="B5720" s="35">
        <v>1</v>
      </c>
      <c r="C5720" s="35">
        <v>0</v>
      </c>
      <c r="D5720" s="2">
        <f t="shared" si="89"/>
        <v>1</v>
      </c>
    </row>
    <row r="5721" spans="1:4" x14ac:dyDescent="0.3">
      <c r="A5721" s="34">
        <v>46297</v>
      </c>
      <c r="B5721" s="35">
        <v>1</v>
      </c>
      <c r="C5721" s="35">
        <v>0</v>
      </c>
      <c r="D5721" s="2">
        <f t="shared" si="89"/>
        <v>1</v>
      </c>
    </row>
    <row r="5722" spans="1:4" x14ac:dyDescent="0.3">
      <c r="A5722" s="34">
        <v>46300</v>
      </c>
      <c r="B5722" s="35">
        <v>1</v>
      </c>
      <c r="C5722" s="35">
        <v>1</v>
      </c>
      <c r="D5722" s="2">
        <f t="shared" si="89"/>
        <v>2</v>
      </c>
    </row>
    <row r="5723" spans="1:4" x14ac:dyDescent="0.3">
      <c r="A5723" s="34">
        <v>46301</v>
      </c>
      <c r="B5723" s="35">
        <v>1</v>
      </c>
      <c r="C5723" s="35">
        <v>0</v>
      </c>
      <c r="D5723" s="2">
        <f t="shared" si="89"/>
        <v>1</v>
      </c>
    </row>
    <row r="5724" spans="1:4" x14ac:dyDescent="0.3">
      <c r="A5724" s="34">
        <v>46302</v>
      </c>
      <c r="B5724" s="35">
        <v>1</v>
      </c>
      <c r="C5724" s="35">
        <v>0</v>
      </c>
      <c r="D5724" s="2">
        <f t="shared" si="89"/>
        <v>1</v>
      </c>
    </row>
    <row r="5725" spans="1:4" x14ac:dyDescent="0.3">
      <c r="A5725" s="34">
        <v>46332</v>
      </c>
      <c r="B5725" s="35">
        <v>1</v>
      </c>
      <c r="C5725" s="35">
        <v>1</v>
      </c>
      <c r="D5725" s="2">
        <f t="shared" si="89"/>
        <v>2</v>
      </c>
    </row>
    <row r="5726" spans="1:4" x14ac:dyDescent="0.3">
      <c r="A5726" s="34">
        <v>46339</v>
      </c>
      <c r="B5726" s="35">
        <v>1</v>
      </c>
      <c r="C5726" s="35">
        <v>0</v>
      </c>
      <c r="D5726" s="2">
        <f t="shared" si="89"/>
        <v>1</v>
      </c>
    </row>
    <row r="5727" spans="1:4" x14ac:dyDescent="0.3">
      <c r="A5727" s="34">
        <v>46341</v>
      </c>
      <c r="B5727" s="35">
        <v>1</v>
      </c>
      <c r="C5727" s="35">
        <v>0</v>
      </c>
      <c r="D5727" s="2">
        <f t="shared" si="89"/>
        <v>1</v>
      </c>
    </row>
    <row r="5728" spans="1:4" x14ac:dyDescent="0.3">
      <c r="A5728" s="34">
        <v>46343</v>
      </c>
      <c r="B5728" s="35">
        <v>1</v>
      </c>
      <c r="C5728" s="35">
        <v>0</v>
      </c>
      <c r="D5728" s="2">
        <f t="shared" si="89"/>
        <v>1</v>
      </c>
    </row>
    <row r="5729" spans="1:4" x14ac:dyDescent="0.3">
      <c r="A5729" s="34">
        <v>46349</v>
      </c>
      <c r="B5729" s="35">
        <v>1</v>
      </c>
      <c r="C5729" s="35">
        <v>0</v>
      </c>
      <c r="D5729" s="2">
        <f t="shared" si="89"/>
        <v>1</v>
      </c>
    </row>
    <row r="5730" spans="1:4" x14ac:dyDescent="0.3">
      <c r="A5730" s="34">
        <v>46351</v>
      </c>
      <c r="B5730" s="35">
        <v>1</v>
      </c>
      <c r="C5730" s="35">
        <v>0</v>
      </c>
      <c r="D5730" s="2">
        <f t="shared" si="89"/>
        <v>1</v>
      </c>
    </row>
    <row r="5731" spans="1:4" x14ac:dyDescent="0.3">
      <c r="A5731" s="34">
        <v>46355</v>
      </c>
      <c r="B5731" s="35">
        <v>2</v>
      </c>
      <c r="C5731" s="35">
        <v>2</v>
      </c>
      <c r="D5731" s="2">
        <f t="shared" si="89"/>
        <v>4</v>
      </c>
    </row>
    <row r="5732" spans="1:4" x14ac:dyDescent="0.3">
      <c r="A5732" s="34">
        <v>46375</v>
      </c>
      <c r="B5732" s="35">
        <v>1</v>
      </c>
      <c r="C5732" s="35">
        <v>0</v>
      </c>
      <c r="D5732" s="2">
        <f t="shared" si="89"/>
        <v>1</v>
      </c>
    </row>
    <row r="5733" spans="1:4" x14ac:dyDescent="0.3">
      <c r="A5733" s="34">
        <v>46376</v>
      </c>
      <c r="B5733" s="35">
        <v>1</v>
      </c>
      <c r="C5733" s="35">
        <v>0</v>
      </c>
      <c r="D5733" s="2">
        <f t="shared" si="89"/>
        <v>1</v>
      </c>
    </row>
    <row r="5734" spans="1:4" x14ac:dyDescent="0.3">
      <c r="A5734" s="34">
        <v>46380</v>
      </c>
      <c r="B5734" s="35">
        <v>1</v>
      </c>
      <c r="C5734" s="35">
        <v>0</v>
      </c>
      <c r="D5734" s="2">
        <f t="shared" si="89"/>
        <v>1</v>
      </c>
    </row>
    <row r="5735" spans="1:4" x14ac:dyDescent="0.3">
      <c r="A5735" s="34">
        <v>46386</v>
      </c>
      <c r="B5735" s="35">
        <v>1</v>
      </c>
      <c r="C5735" s="35">
        <v>0</v>
      </c>
      <c r="D5735" s="2">
        <f t="shared" si="89"/>
        <v>1</v>
      </c>
    </row>
    <row r="5736" spans="1:4" x14ac:dyDescent="0.3">
      <c r="A5736" s="34">
        <v>46387</v>
      </c>
      <c r="B5736" s="35">
        <v>1</v>
      </c>
      <c r="C5736" s="35">
        <v>1</v>
      </c>
      <c r="D5736" s="2">
        <f t="shared" si="89"/>
        <v>2</v>
      </c>
    </row>
    <row r="5737" spans="1:4" x14ac:dyDescent="0.3">
      <c r="A5737" s="34">
        <v>46393</v>
      </c>
      <c r="B5737" s="35">
        <v>1</v>
      </c>
      <c r="C5737" s="35">
        <v>0</v>
      </c>
      <c r="D5737" s="2">
        <f t="shared" si="89"/>
        <v>1</v>
      </c>
    </row>
    <row r="5738" spans="1:4" x14ac:dyDescent="0.3">
      <c r="A5738" s="34">
        <v>46394</v>
      </c>
      <c r="B5738" s="35">
        <v>1</v>
      </c>
      <c r="C5738" s="35">
        <v>0</v>
      </c>
      <c r="D5738" s="2">
        <f t="shared" si="89"/>
        <v>1</v>
      </c>
    </row>
    <row r="5739" spans="1:4" x14ac:dyDescent="0.3">
      <c r="A5739" s="34">
        <v>46395</v>
      </c>
      <c r="B5739" s="35">
        <v>1</v>
      </c>
      <c r="C5739" s="35">
        <v>0</v>
      </c>
      <c r="D5739" s="2">
        <f t="shared" si="89"/>
        <v>1</v>
      </c>
    </row>
    <row r="5740" spans="1:4" x14ac:dyDescent="0.3">
      <c r="A5740" s="34">
        <v>46396</v>
      </c>
      <c r="B5740" s="35">
        <v>1</v>
      </c>
      <c r="C5740" s="35">
        <v>0</v>
      </c>
      <c r="D5740" s="2">
        <f t="shared" si="89"/>
        <v>1</v>
      </c>
    </row>
    <row r="5741" spans="1:4" x14ac:dyDescent="0.3">
      <c r="A5741" s="34">
        <v>46397</v>
      </c>
      <c r="B5741" s="35">
        <v>1</v>
      </c>
      <c r="C5741" s="35">
        <v>0</v>
      </c>
      <c r="D5741" s="2">
        <f t="shared" si="89"/>
        <v>1</v>
      </c>
    </row>
    <row r="5742" spans="1:4" x14ac:dyDescent="0.3">
      <c r="A5742" s="34">
        <v>46398</v>
      </c>
      <c r="B5742" s="35">
        <v>1</v>
      </c>
      <c r="C5742" s="35">
        <v>0</v>
      </c>
      <c r="D5742" s="2">
        <f t="shared" si="89"/>
        <v>1</v>
      </c>
    </row>
    <row r="5743" spans="1:4" x14ac:dyDescent="0.3">
      <c r="A5743" s="34">
        <v>46399</v>
      </c>
      <c r="B5743" s="35">
        <v>1</v>
      </c>
      <c r="C5743" s="35">
        <v>0</v>
      </c>
      <c r="D5743" s="2">
        <f t="shared" si="89"/>
        <v>1</v>
      </c>
    </row>
    <row r="5744" spans="1:4" x14ac:dyDescent="0.3">
      <c r="A5744" s="34">
        <v>46402</v>
      </c>
      <c r="B5744" s="35">
        <v>1</v>
      </c>
      <c r="C5744" s="35">
        <v>0</v>
      </c>
      <c r="D5744" s="2">
        <f t="shared" si="89"/>
        <v>1</v>
      </c>
    </row>
    <row r="5745" spans="1:4" x14ac:dyDescent="0.3">
      <c r="A5745" s="34">
        <v>46403</v>
      </c>
      <c r="B5745" s="35">
        <v>1</v>
      </c>
      <c r="C5745" s="35">
        <v>0</v>
      </c>
      <c r="D5745" s="2">
        <f t="shared" si="89"/>
        <v>1</v>
      </c>
    </row>
    <row r="5746" spans="1:4" x14ac:dyDescent="0.3">
      <c r="A5746" s="34">
        <v>46410</v>
      </c>
      <c r="B5746" s="35">
        <v>2</v>
      </c>
      <c r="C5746" s="35">
        <v>1</v>
      </c>
      <c r="D5746" s="2">
        <f t="shared" si="89"/>
        <v>3</v>
      </c>
    </row>
    <row r="5747" spans="1:4" x14ac:dyDescent="0.3">
      <c r="A5747" s="34">
        <v>46411</v>
      </c>
      <c r="B5747" s="35">
        <v>1</v>
      </c>
      <c r="C5747" s="35">
        <v>0</v>
      </c>
      <c r="D5747" s="2">
        <f t="shared" si="89"/>
        <v>1</v>
      </c>
    </row>
    <row r="5748" spans="1:4" x14ac:dyDescent="0.3">
      <c r="A5748" s="34">
        <v>46413</v>
      </c>
      <c r="B5748" s="35">
        <v>1</v>
      </c>
      <c r="C5748" s="35">
        <v>0</v>
      </c>
      <c r="D5748" s="2">
        <f t="shared" si="89"/>
        <v>1</v>
      </c>
    </row>
    <row r="5749" spans="1:4" x14ac:dyDescent="0.3">
      <c r="A5749" s="34">
        <v>46414</v>
      </c>
      <c r="B5749" s="35">
        <v>1</v>
      </c>
      <c r="C5749" s="35">
        <v>0</v>
      </c>
      <c r="D5749" s="2">
        <f t="shared" si="89"/>
        <v>1</v>
      </c>
    </row>
    <row r="5750" spans="1:4" x14ac:dyDescent="0.3">
      <c r="A5750" s="34">
        <v>46415</v>
      </c>
      <c r="B5750" s="35">
        <v>2</v>
      </c>
      <c r="C5750" s="35">
        <v>2</v>
      </c>
      <c r="D5750" s="2">
        <f t="shared" si="89"/>
        <v>4</v>
      </c>
    </row>
    <row r="5751" spans="1:4" x14ac:dyDescent="0.3">
      <c r="A5751" s="34">
        <v>46419</v>
      </c>
      <c r="B5751" s="35">
        <v>1</v>
      </c>
      <c r="C5751" s="35">
        <v>0</v>
      </c>
      <c r="D5751" s="2">
        <f t="shared" si="89"/>
        <v>1</v>
      </c>
    </row>
    <row r="5752" spans="1:4" x14ac:dyDescent="0.3">
      <c r="A5752" s="34">
        <v>46423</v>
      </c>
      <c r="B5752" s="35">
        <v>2</v>
      </c>
      <c r="C5752" s="35">
        <v>0</v>
      </c>
      <c r="D5752" s="2">
        <f t="shared" si="89"/>
        <v>2</v>
      </c>
    </row>
    <row r="5753" spans="1:4" x14ac:dyDescent="0.3">
      <c r="A5753" s="34">
        <v>46424</v>
      </c>
      <c r="B5753" s="35">
        <v>2</v>
      </c>
      <c r="C5753" s="35">
        <v>0</v>
      </c>
      <c r="D5753" s="2">
        <f t="shared" si="89"/>
        <v>2</v>
      </c>
    </row>
    <row r="5754" spans="1:4" x14ac:dyDescent="0.3">
      <c r="A5754" s="34">
        <v>46426</v>
      </c>
      <c r="B5754" s="35">
        <v>1</v>
      </c>
      <c r="C5754" s="35">
        <v>0</v>
      </c>
      <c r="D5754" s="2">
        <f t="shared" si="89"/>
        <v>1</v>
      </c>
    </row>
    <row r="5755" spans="1:4" x14ac:dyDescent="0.3">
      <c r="A5755" s="34">
        <v>46429</v>
      </c>
      <c r="B5755" s="35">
        <v>1</v>
      </c>
      <c r="C5755" s="35">
        <v>0</v>
      </c>
      <c r="D5755" s="2">
        <f t="shared" si="89"/>
        <v>1</v>
      </c>
    </row>
    <row r="5756" spans="1:4" x14ac:dyDescent="0.3">
      <c r="A5756" s="34">
        <v>46456</v>
      </c>
      <c r="B5756" s="35">
        <v>1</v>
      </c>
      <c r="C5756" s="35">
        <v>0</v>
      </c>
      <c r="D5756" s="2">
        <f t="shared" si="89"/>
        <v>1</v>
      </c>
    </row>
    <row r="5757" spans="1:4" x14ac:dyDescent="0.3">
      <c r="A5757" s="34">
        <v>46457</v>
      </c>
      <c r="B5757" s="35">
        <v>1</v>
      </c>
      <c r="C5757" s="35">
        <v>0</v>
      </c>
      <c r="D5757" s="2">
        <f t="shared" si="89"/>
        <v>1</v>
      </c>
    </row>
    <row r="5758" spans="1:4" x14ac:dyDescent="0.3">
      <c r="A5758" s="34">
        <v>46463</v>
      </c>
      <c r="B5758" s="35">
        <v>1</v>
      </c>
      <c r="C5758" s="35">
        <v>0</v>
      </c>
      <c r="D5758" s="2">
        <f t="shared" si="89"/>
        <v>1</v>
      </c>
    </row>
    <row r="5759" spans="1:4" x14ac:dyDescent="0.3">
      <c r="A5759" s="34">
        <v>46464</v>
      </c>
      <c r="B5759" s="35">
        <v>1</v>
      </c>
      <c r="C5759" s="35">
        <v>0</v>
      </c>
      <c r="D5759" s="2">
        <f t="shared" si="89"/>
        <v>1</v>
      </c>
    </row>
    <row r="5760" spans="1:4" x14ac:dyDescent="0.3">
      <c r="A5760" s="34">
        <v>46465</v>
      </c>
      <c r="B5760" s="35">
        <v>1</v>
      </c>
      <c r="C5760" s="35">
        <v>0</v>
      </c>
      <c r="D5760" s="2">
        <f t="shared" si="89"/>
        <v>1</v>
      </c>
    </row>
    <row r="5761" spans="1:4" x14ac:dyDescent="0.3">
      <c r="A5761" s="34">
        <v>46467</v>
      </c>
      <c r="B5761" s="35">
        <v>1</v>
      </c>
      <c r="C5761" s="35">
        <v>0</v>
      </c>
      <c r="D5761" s="2">
        <f t="shared" si="89"/>
        <v>1</v>
      </c>
    </row>
    <row r="5762" spans="1:4" x14ac:dyDescent="0.3">
      <c r="A5762" s="34">
        <v>46468</v>
      </c>
      <c r="B5762" s="35">
        <v>1</v>
      </c>
      <c r="C5762" s="35">
        <v>0</v>
      </c>
      <c r="D5762" s="2">
        <f t="shared" si="89"/>
        <v>1</v>
      </c>
    </row>
    <row r="5763" spans="1:4" x14ac:dyDescent="0.3">
      <c r="A5763" s="34">
        <v>46470</v>
      </c>
      <c r="B5763" s="35">
        <v>1</v>
      </c>
      <c r="C5763" s="35">
        <v>0</v>
      </c>
      <c r="D5763" s="2">
        <f t="shared" ref="D5763:D5826" si="90">B5763+C5763</f>
        <v>1</v>
      </c>
    </row>
    <row r="5764" spans="1:4" x14ac:dyDescent="0.3">
      <c r="A5764" s="34">
        <v>46471</v>
      </c>
      <c r="B5764" s="35">
        <v>1</v>
      </c>
      <c r="C5764" s="35">
        <v>0</v>
      </c>
      <c r="D5764" s="2">
        <f t="shared" si="90"/>
        <v>1</v>
      </c>
    </row>
    <row r="5765" spans="1:4" x14ac:dyDescent="0.3">
      <c r="A5765" s="34">
        <v>46474</v>
      </c>
      <c r="B5765" s="35">
        <v>1</v>
      </c>
      <c r="C5765" s="35">
        <v>0</v>
      </c>
      <c r="D5765" s="2">
        <f t="shared" si="90"/>
        <v>1</v>
      </c>
    </row>
    <row r="5766" spans="1:4" x14ac:dyDescent="0.3">
      <c r="A5766" s="34">
        <v>46477</v>
      </c>
      <c r="B5766" s="35">
        <v>2</v>
      </c>
      <c r="C5766" s="35">
        <v>0</v>
      </c>
      <c r="D5766" s="2">
        <f t="shared" si="90"/>
        <v>2</v>
      </c>
    </row>
    <row r="5767" spans="1:4" x14ac:dyDescent="0.3">
      <c r="A5767" s="34">
        <v>46483</v>
      </c>
      <c r="B5767" s="35">
        <v>1</v>
      </c>
      <c r="C5767" s="35">
        <v>1</v>
      </c>
      <c r="D5767" s="2">
        <f t="shared" si="90"/>
        <v>2</v>
      </c>
    </row>
    <row r="5768" spans="1:4" x14ac:dyDescent="0.3">
      <c r="A5768" s="34">
        <v>46485</v>
      </c>
      <c r="B5768" s="35">
        <v>1</v>
      </c>
      <c r="C5768" s="35">
        <v>0</v>
      </c>
      <c r="D5768" s="2">
        <f t="shared" si="90"/>
        <v>1</v>
      </c>
    </row>
    <row r="5769" spans="1:4" x14ac:dyDescent="0.3">
      <c r="A5769" s="34">
        <v>46486</v>
      </c>
      <c r="B5769" s="35">
        <v>1</v>
      </c>
      <c r="C5769" s="35">
        <v>0</v>
      </c>
      <c r="D5769" s="2">
        <f t="shared" si="90"/>
        <v>1</v>
      </c>
    </row>
    <row r="5770" spans="1:4" x14ac:dyDescent="0.3">
      <c r="A5770" s="34">
        <v>46488</v>
      </c>
      <c r="B5770" s="35">
        <v>1</v>
      </c>
      <c r="C5770" s="35">
        <v>0</v>
      </c>
      <c r="D5770" s="2">
        <f t="shared" si="90"/>
        <v>1</v>
      </c>
    </row>
    <row r="5771" spans="1:4" x14ac:dyDescent="0.3">
      <c r="A5771" s="34">
        <v>46489</v>
      </c>
      <c r="B5771" s="35">
        <v>1</v>
      </c>
      <c r="C5771" s="35">
        <v>0</v>
      </c>
      <c r="D5771" s="2">
        <f t="shared" si="90"/>
        <v>1</v>
      </c>
    </row>
    <row r="5772" spans="1:4" x14ac:dyDescent="0.3">
      <c r="A5772" s="34">
        <v>46491</v>
      </c>
      <c r="B5772" s="35">
        <v>1</v>
      </c>
      <c r="C5772" s="35">
        <v>1</v>
      </c>
      <c r="D5772" s="2">
        <f t="shared" si="90"/>
        <v>2</v>
      </c>
    </row>
    <row r="5773" spans="1:4" x14ac:dyDescent="0.3">
      <c r="A5773" s="34">
        <v>46515</v>
      </c>
      <c r="B5773" s="35">
        <v>1</v>
      </c>
      <c r="C5773" s="35">
        <v>0</v>
      </c>
      <c r="D5773" s="2">
        <f t="shared" si="90"/>
        <v>1</v>
      </c>
    </row>
    <row r="5774" spans="1:4" x14ac:dyDescent="0.3">
      <c r="A5774" s="34">
        <v>46591</v>
      </c>
      <c r="B5774" s="35">
        <v>1</v>
      </c>
      <c r="C5774" s="35">
        <v>0</v>
      </c>
      <c r="D5774" s="2">
        <f t="shared" si="90"/>
        <v>1</v>
      </c>
    </row>
    <row r="5775" spans="1:4" x14ac:dyDescent="0.3">
      <c r="A5775" s="34">
        <v>46592</v>
      </c>
      <c r="B5775" s="35">
        <v>1</v>
      </c>
      <c r="C5775" s="35">
        <v>0</v>
      </c>
      <c r="D5775" s="2">
        <f t="shared" si="90"/>
        <v>1</v>
      </c>
    </row>
    <row r="5776" spans="1:4" x14ac:dyDescent="0.3">
      <c r="A5776" s="34">
        <v>46598</v>
      </c>
      <c r="B5776" s="35">
        <v>1</v>
      </c>
      <c r="C5776" s="35">
        <v>1</v>
      </c>
      <c r="D5776" s="2">
        <f t="shared" si="90"/>
        <v>2</v>
      </c>
    </row>
    <row r="5777" spans="1:4" x14ac:dyDescent="0.3">
      <c r="A5777" s="34">
        <v>46599</v>
      </c>
      <c r="B5777" s="35">
        <v>1</v>
      </c>
      <c r="C5777" s="35">
        <v>0</v>
      </c>
      <c r="D5777" s="2">
        <f t="shared" si="90"/>
        <v>1</v>
      </c>
    </row>
    <row r="5778" spans="1:4" x14ac:dyDescent="0.3">
      <c r="A5778" s="34">
        <v>46602</v>
      </c>
      <c r="B5778" s="35">
        <v>1</v>
      </c>
      <c r="C5778" s="35">
        <v>0</v>
      </c>
      <c r="D5778" s="2">
        <f t="shared" si="90"/>
        <v>1</v>
      </c>
    </row>
    <row r="5779" spans="1:4" x14ac:dyDescent="0.3">
      <c r="A5779" s="34">
        <v>46608</v>
      </c>
      <c r="B5779" s="35">
        <v>1</v>
      </c>
      <c r="C5779" s="35">
        <v>0</v>
      </c>
      <c r="D5779" s="2">
        <f t="shared" si="90"/>
        <v>1</v>
      </c>
    </row>
    <row r="5780" spans="1:4" x14ac:dyDescent="0.3">
      <c r="A5780" s="34">
        <v>46609</v>
      </c>
      <c r="B5780" s="35">
        <v>1</v>
      </c>
      <c r="C5780" s="35">
        <v>0</v>
      </c>
      <c r="D5780" s="2">
        <f t="shared" si="90"/>
        <v>1</v>
      </c>
    </row>
    <row r="5781" spans="1:4" x14ac:dyDescent="0.3">
      <c r="A5781" s="34">
        <v>46633</v>
      </c>
      <c r="B5781" s="35">
        <v>1</v>
      </c>
      <c r="C5781" s="35">
        <v>1</v>
      </c>
      <c r="D5781" s="2">
        <f t="shared" si="90"/>
        <v>2</v>
      </c>
    </row>
    <row r="5782" spans="1:4" x14ac:dyDescent="0.3">
      <c r="A5782" s="34">
        <v>46634</v>
      </c>
      <c r="B5782" s="35">
        <v>1</v>
      </c>
      <c r="C5782" s="35">
        <v>0</v>
      </c>
      <c r="D5782" s="2">
        <f t="shared" si="90"/>
        <v>1</v>
      </c>
    </row>
    <row r="5783" spans="1:4" x14ac:dyDescent="0.3">
      <c r="A5783" s="34">
        <v>46635</v>
      </c>
      <c r="B5783" s="35">
        <v>1</v>
      </c>
      <c r="C5783" s="35">
        <v>0</v>
      </c>
      <c r="D5783" s="2">
        <f t="shared" si="90"/>
        <v>1</v>
      </c>
    </row>
    <row r="5784" spans="1:4" x14ac:dyDescent="0.3">
      <c r="A5784" s="34">
        <v>46638</v>
      </c>
      <c r="B5784" s="35">
        <v>1</v>
      </c>
      <c r="C5784" s="35">
        <v>0</v>
      </c>
      <c r="D5784" s="2">
        <f t="shared" si="90"/>
        <v>1</v>
      </c>
    </row>
    <row r="5785" spans="1:4" x14ac:dyDescent="0.3">
      <c r="A5785" s="34">
        <v>46639</v>
      </c>
      <c r="B5785" s="35">
        <v>1</v>
      </c>
      <c r="C5785" s="35">
        <v>0</v>
      </c>
      <c r="D5785" s="2">
        <f t="shared" si="90"/>
        <v>1</v>
      </c>
    </row>
    <row r="5786" spans="1:4" x14ac:dyDescent="0.3">
      <c r="A5786" s="34">
        <v>46640</v>
      </c>
      <c r="B5786" s="35">
        <v>2</v>
      </c>
      <c r="C5786" s="35">
        <v>1</v>
      </c>
      <c r="D5786" s="2">
        <f t="shared" si="90"/>
        <v>3</v>
      </c>
    </row>
    <row r="5787" spans="1:4" x14ac:dyDescent="0.3">
      <c r="A5787" s="34">
        <v>46642</v>
      </c>
      <c r="B5787" s="35">
        <v>1</v>
      </c>
      <c r="C5787" s="35">
        <v>1</v>
      </c>
      <c r="D5787" s="2">
        <f t="shared" si="90"/>
        <v>2</v>
      </c>
    </row>
    <row r="5788" spans="1:4" x14ac:dyDescent="0.3">
      <c r="A5788" s="34">
        <v>46643</v>
      </c>
      <c r="B5788" s="35">
        <v>1</v>
      </c>
      <c r="C5788" s="35">
        <v>0</v>
      </c>
      <c r="D5788" s="2">
        <f t="shared" si="90"/>
        <v>1</v>
      </c>
    </row>
    <row r="5789" spans="1:4" x14ac:dyDescent="0.3">
      <c r="A5789" s="34">
        <v>46645</v>
      </c>
      <c r="B5789" s="35">
        <v>1</v>
      </c>
      <c r="C5789" s="35">
        <v>0</v>
      </c>
      <c r="D5789" s="2">
        <f t="shared" si="90"/>
        <v>1</v>
      </c>
    </row>
    <row r="5790" spans="1:4" x14ac:dyDescent="0.3">
      <c r="A5790" s="34">
        <v>46647</v>
      </c>
      <c r="B5790" s="35">
        <v>2</v>
      </c>
      <c r="C5790" s="35">
        <v>1</v>
      </c>
      <c r="D5790" s="2">
        <f t="shared" si="90"/>
        <v>3</v>
      </c>
    </row>
    <row r="5791" spans="1:4" x14ac:dyDescent="0.3">
      <c r="A5791" s="34">
        <v>46649</v>
      </c>
      <c r="B5791" s="35">
        <v>1</v>
      </c>
      <c r="C5791" s="35">
        <v>0</v>
      </c>
      <c r="D5791" s="2">
        <f t="shared" si="90"/>
        <v>1</v>
      </c>
    </row>
    <row r="5792" spans="1:4" x14ac:dyDescent="0.3">
      <c r="A5792" s="34">
        <v>46653</v>
      </c>
      <c r="B5792" s="35">
        <v>2</v>
      </c>
      <c r="C5792" s="35">
        <v>0</v>
      </c>
      <c r="D5792" s="2">
        <f t="shared" si="90"/>
        <v>2</v>
      </c>
    </row>
    <row r="5793" spans="1:4" x14ac:dyDescent="0.3">
      <c r="A5793" s="34">
        <v>46654</v>
      </c>
      <c r="B5793" s="35">
        <v>1</v>
      </c>
      <c r="C5793" s="35">
        <v>0</v>
      </c>
      <c r="D5793" s="2">
        <f t="shared" si="90"/>
        <v>1</v>
      </c>
    </row>
    <row r="5794" spans="1:4" x14ac:dyDescent="0.3">
      <c r="A5794" s="34">
        <v>46655</v>
      </c>
      <c r="B5794" s="35">
        <v>1</v>
      </c>
      <c r="C5794" s="35">
        <v>0</v>
      </c>
      <c r="D5794" s="2">
        <f t="shared" si="90"/>
        <v>1</v>
      </c>
    </row>
    <row r="5795" spans="1:4" x14ac:dyDescent="0.3">
      <c r="A5795" s="34">
        <v>46657</v>
      </c>
      <c r="B5795" s="35">
        <v>1</v>
      </c>
      <c r="C5795" s="35">
        <v>0</v>
      </c>
      <c r="D5795" s="2">
        <f t="shared" si="90"/>
        <v>1</v>
      </c>
    </row>
    <row r="5796" spans="1:4" x14ac:dyDescent="0.3">
      <c r="A5796" s="34">
        <v>46658</v>
      </c>
      <c r="B5796" s="35">
        <v>1</v>
      </c>
      <c r="C5796" s="35">
        <v>0</v>
      </c>
      <c r="D5796" s="2">
        <f t="shared" si="90"/>
        <v>1</v>
      </c>
    </row>
    <row r="5797" spans="1:4" x14ac:dyDescent="0.3">
      <c r="A5797" s="34">
        <v>46659</v>
      </c>
      <c r="B5797" s="35">
        <v>1</v>
      </c>
      <c r="C5797" s="35">
        <v>0</v>
      </c>
      <c r="D5797" s="2">
        <f t="shared" si="90"/>
        <v>1</v>
      </c>
    </row>
    <row r="5798" spans="1:4" x14ac:dyDescent="0.3">
      <c r="A5798" s="34">
        <v>46663</v>
      </c>
      <c r="B5798" s="35">
        <v>1</v>
      </c>
      <c r="C5798" s="35">
        <v>0</v>
      </c>
      <c r="D5798" s="2">
        <f t="shared" si="90"/>
        <v>1</v>
      </c>
    </row>
    <row r="5799" spans="1:4" x14ac:dyDescent="0.3">
      <c r="A5799" s="34">
        <v>46668</v>
      </c>
      <c r="B5799" s="35">
        <v>1</v>
      </c>
      <c r="C5799" s="35">
        <v>0</v>
      </c>
      <c r="D5799" s="2">
        <f t="shared" si="90"/>
        <v>1</v>
      </c>
    </row>
    <row r="5800" spans="1:4" x14ac:dyDescent="0.3">
      <c r="A5800" s="34">
        <v>46669</v>
      </c>
      <c r="B5800" s="35">
        <v>2</v>
      </c>
      <c r="C5800" s="35">
        <v>0</v>
      </c>
      <c r="D5800" s="2">
        <f t="shared" si="90"/>
        <v>2</v>
      </c>
    </row>
    <row r="5801" spans="1:4" x14ac:dyDescent="0.3">
      <c r="A5801" s="34">
        <v>46674</v>
      </c>
      <c r="B5801" s="35">
        <v>1</v>
      </c>
      <c r="C5801" s="35">
        <v>0</v>
      </c>
      <c r="D5801" s="2">
        <f t="shared" si="90"/>
        <v>1</v>
      </c>
    </row>
    <row r="5802" spans="1:4" x14ac:dyDescent="0.3">
      <c r="A5802" s="34">
        <v>46675</v>
      </c>
      <c r="B5802" s="35">
        <v>1</v>
      </c>
      <c r="C5802" s="35">
        <v>0</v>
      </c>
      <c r="D5802" s="2">
        <f t="shared" si="90"/>
        <v>1</v>
      </c>
    </row>
    <row r="5803" spans="1:4" x14ac:dyDescent="0.3">
      <c r="A5803" s="34">
        <v>46676</v>
      </c>
      <c r="B5803" s="35">
        <v>1</v>
      </c>
      <c r="C5803" s="35">
        <v>0</v>
      </c>
      <c r="D5803" s="2">
        <f t="shared" si="90"/>
        <v>1</v>
      </c>
    </row>
    <row r="5804" spans="1:4" x14ac:dyDescent="0.3">
      <c r="A5804" s="34">
        <v>46680</v>
      </c>
      <c r="B5804" s="35">
        <v>1</v>
      </c>
      <c r="C5804" s="35">
        <v>0</v>
      </c>
      <c r="D5804" s="2">
        <f t="shared" si="90"/>
        <v>1</v>
      </c>
    </row>
    <row r="5805" spans="1:4" x14ac:dyDescent="0.3">
      <c r="A5805" s="34">
        <v>46681</v>
      </c>
      <c r="B5805" s="35">
        <v>1</v>
      </c>
      <c r="C5805" s="35">
        <v>0</v>
      </c>
      <c r="D5805" s="2">
        <f t="shared" si="90"/>
        <v>1</v>
      </c>
    </row>
    <row r="5806" spans="1:4" x14ac:dyDescent="0.3">
      <c r="A5806" s="34">
        <v>46682</v>
      </c>
      <c r="B5806" s="35">
        <v>1</v>
      </c>
      <c r="C5806" s="35">
        <v>0</v>
      </c>
      <c r="D5806" s="2">
        <f t="shared" si="90"/>
        <v>1</v>
      </c>
    </row>
    <row r="5807" spans="1:4" x14ac:dyDescent="0.3">
      <c r="A5807" s="34">
        <v>46734</v>
      </c>
      <c r="B5807" s="35">
        <v>1</v>
      </c>
      <c r="C5807" s="35">
        <v>0</v>
      </c>
      <c r="D5807" s="2">
        <f t="shared" si="90"/>
        <v>1</v>
      </c>
    </row>
    <row r="5808" spans="1:4" x14ac:dyDescent="0.3">
      <c r="A5808" s="34">
        <v>46735</v>
      </c>
      <c r="B5808" s="35">
        <v>1</v>
      </c>
      <c r="C5808" s="35">
        <v>1</v>
      </c>
      <c r="D5808" s="2">
        <f t="shared" si="90"/>
        <v>2</v>
      </c>
    </row>
    <row r="5809" spans="1:4" x14ac:dyDescent="0.3">
      <c r="A5809" s="34">
        <v>46738</v>
      </c>
      <c r="B5809" s="35">
        <v>1</v>
      </c>
      <c r="C5809" s="35">
        <v>0</v>
      </c>
      <c r="D5809" s="2">
        <f t="shared" si="90"/>
        <v>1</v>
      </c>
    </row>
    <row r="5810" spans="1:4" x14ac:dyDescent="0.3">
      <c r="A5810" s="34">
        <v>46739</v>
      </c>
      <c r="B5810" s="35">
        <v>1</v>
      </c>
      <c r="C5810" s="35">
        <v>1</v>
      </c>
      <c r="D5810" s="2">
        <f t="shared" si="90"/>
        <v>2</v>
      </c>
    </row>
    <row r="5811" spans="1:4" x14ac:dyDescent="0.3">
      <c r="A5811" s="34">
        <v>46743</v>
      </c>
      <c r="B5811" s="35">
        <v>1</v>
      </c>
      <c r="C5811" s="35">
        <v>0</v>
      </c>
      <c r="D5811" s="2">
        <f t="shared" si="90"/>
        <v>1</v>
      </c>
    </row>
    <row r="5812" spans="1:4" x14ac:dyDescent="0.3">
      <c r="A5812" s="34">
        <v>46744</v>
      </c>
      <c r="B5812" s="35">
        <v>1</v>
      </c>
      <c r="C5812" s="35">
        <v>0</v>
      </c>
      <c r="D5812" s="2">
        <f t="shared" si="90"/>
        <v>1</v>
      </c>
    </row>
    <row r="5813" spans="1:4" x14ac:dyDescent="0.3">
      <c r="A5813" s="34">
        <v>46747</v>
      </c>
      <c r="B5813" s="35">
        <v>1</v>
      </c>
      <c r="C5813" s="35">
        <v>0</v>
      </c>
      <c r="D5813" s="2">
        <f t="shared" si="90"/>
        <v>1</v>
      </c>
    </row>
    <row r="5814" spans="1:4" x14ac:dyDescent="0.3">
      <c r="A5814" s="34">
        <v>46749</v>
      </c>
      <c r="B5814" s="35">
        <v>1</v>
      </c>
      <c r="C5814" s="35">
        <v>0</v>
      </c>
      <c r="D5814" s="2">
        <f t="shared" si="90"/>
        <v>1</v>
      </c>
    </row>
    <row r="5815" spans="1:4" x14ac:dyDescent="0.3">
      <c r="A5815" s="34">
        <v>46754</v>
      </c>
      <c r="B5815" s="35">
        <v>1</v>
      </c>
      <c r="C5815" s="35">
        <v>0</v>
      </c>
      <c r="D5815" s="2">
        <f t="shared" si="90"/>
        <v>1</v>
      </c>
    </row>
    <row r="5816" spans="1:4" x14ac:dyDescent="0.3">
      <c r="A5816" s="34">
        <v>46755</v>
      </c>
      <c r="B5816" s="35">
        <v>1</v>
      </c>
      <c r="C5816" s="35">
        <v>0</v>
      </c>
      <c r="D5816" s="2">
        <f t="shared" si="90"/>
        <v>1</v>
      </c>
    </row>
    <row r="5817" spans="1:4" x14ac:dyDescent="0.3">
      <c r="A5817" s="34">
        <v>46763</v>
      </c>
      <c r="B5817" s="35">
        <v>2</v>
      </c>
      <c r="C5817" s="35">
        <v>1</v>
      </c>
      <c r="D5817" s="2">
        <f t="shared" si="90"/>
        <v>3</v>
      </c>
    </row>
    <row r="5818" spans="1:4" x14ac:dyDescent="0.3">
      <c r="A5818" s="34">
        <v>46796</v>
      </c>
      <c r="B5818" s="35">
        <v>1</v>
      </c>
      <c r="C5818" s="35">
        <v>0</v>
      </c>
      <c r="D5818" s="2">
        <f t="shared" si="90"/>
        <v>1</v>
      </c>
    </row>
    <row r="5819" spans="1:4" x14ac:dyDescent="0.3">
      <c r="A5819" s="34">
        <v>46801</v>
      </c>
      <c r="B5819" s="35">
        <v>1</v>
      </c>
      <c r="C5819" s="35">
        <v>1</v>
      </c>
      <c r="D5819" s="2">
        <f t="shared" si="90"/>
        <v>2</v>
      </c>
    </row>
    <row r="5820" spans="1:4" x14ac:dyDescent="0.3">
      <c r="A5820" s="34">
        <v>46804</v>
      </c>
      <c r="B5820" s="35">
        <v>1</v>
      </c>
      <c r="C5820" s="35">
        <v>0</v>
      </c>
      <c r="D5820" s="2">
        <f t="shared" si="90"/>
        <v>1</v>
      </c>
    </row>
    <row r="5821" spans="1:4" x14ac:dyDescent="0.3">
      <c r="A5821" s="34">
        <v>46806</v>
      </c>
      <c r="B5821" s="35">
        <v>1</v>
      </c>
      <c r="C5821" s="35">
        <v>0</v>
      </c>
      <c r="D5821" s="2">
        <f t="shared" si="90"/>
        <v>1</v>
      </c>
    </row>
    <row r="5822" spans="1:4" x14ac:dyDescent="0.3">
      <c r="A5822" s="34">
        <v>46810</v>
      </c>
      <c r="B5822" s="35">
        <v>1</v>
      </c>
      <c r="C5822" s="35">
        <v>0</v>
      </c>
      <c r="D5822" s="2">
        <f t="shared" si="90"/>
        <v>1</v>
      </c>
    </row>
    <row r="5823" spans="1:4" x14ac:dyDescent="0.3">
      <c r="A5823" s="34">
        <v>46820</v>
      </c>
      <c r="B5823" s="35">
        <v>1</v>
      </c>
      <c r="C5823" s="35">
        <v>1</v>
      </c>
      <c r="D5823" s="2">
        <f t="shared" si="90"/>
        <v>2</v>
      </c>
    </row>
    <row r="5824" spans="1:4" x14ac:dyDescent="0.3">
      <c r="A5824" s="34">
        <v>46823</v>
      </c>
      <c r="B5824" s="35">
        <v>1</v>
      </c>
      <c r="C5824" s="35">
        <v>0</v>
      </c>
      <c r="D5824" s="2">
        <f t="shared" si="90"/>
        <v>1</v>
      </c>
    </row>
    <row r="5825" spans="1:4" x14ac:dyDescent="0.3">
      <c r="A5825" s="34">
        <v>46824</v>
      </c>
      <c r="B5825" s="35">
        <v>1</v>
      </c>
      <c r="C5825" s="35">
        <v>0</v>
      </c>
      <c r="D5825" s="2">
        <f t="shared" si="90"/>
        <v>1</v>
      </c>
    </row>
    <row r="5826" spans="1:4" x14ac:dyDescent="0.3">
      <c r="A5826" s="34">
        <v>46872</v>
      </c>
      <c r="B5826" s="35">
        <v>2</v>
      </c>
      <c r="C5826" s="35">
        <v>2</v>
      </c>
      <c r="D5826" s="2">
        <f t="shared" si="90"/>
        <v>4</v>
      </c>
    </row>
    <row r="5827" spans="1:4" x14ac:dyDescent="0.3">
      <c r="A5827" s="34">
        <v>46873</v>
      </c>
      <c r="B5827" s="35">
        <v>2</v>
      </c>
      <c r="C5827" s="35">
        <v>1</v>
      </c>
      <c r="D5827" s="2">
        <f t="shared" ref="D5827:D5890" si="91">B5827+C5827</f>
        <v>3</v>
      </c>
    </row>
    <row r="5828" spans="1:4" x14ac:dyDescent="0.3">
      <c r="A5828" s="34">
        <v>46875</v>
      </c>
      <c r="B5828" s="35">
        <v>1</v>
      </c>
      <c r="C5828" s="35">
        <v>0</v>
      </c>
      <c r="D5828" s="2">
        <f t="shared" si="91"/>
        <v>1</v>
      </c>
    </row>
    <row r="5829" spans="1:4" x14ac:dyDescent="0.3">
      <c r="A5829" s="34">
        <v>46876</v>
      </c>
      <c r="B5829" s="35">
        <v>1</v>
      </c>
      <c r="C5829" s="35">
        <v>0</v>
      </c>
      <c r="D5829" s="2">
        <f t="shared" si="91"/>
        <v>1</v>
      </c>
    </row>
    <row r="5830" spans="1:4" x14ac:dyDescent="0.3">
      <c r="A5830" s="34">
        <v>46877</v>
      </c>
      <c r="B5830" s="35">
        <v>1</v>
      </c>
      <c r="C5830" s="35">
        <v>0</v>
      </c>
      <c r="D5830" s="2">
        <f t="shared" si="91"/>
        <v>1</v>
      </c>
    </row>
    <row r="5831" spans="1:4" x14ac:dyDescent="0.3">
      <c r="A5831" s="34">
        <v>46879</v>
      </c>
      <c r="B5831" s="35">
        <v>1</v>
      </c>
      <c r="C5831" s="35">
        <v>0</v>
      </c>
      <c r="D5831" s="2">
        <f t="shared" si="91"/>
        <v>1</v>
      </c>
    </row>
    <row r="5832" spans="1:4" x14ac:dyDescent="0.3">
      <c r="A5832" s="34">
        <v>46882</v>
      </c>
      <c r="B5832" s="35">
        <v>1</v>
      </c>
      <c r="C5832" s="35">
        <v>0</v>
      </c>
      <c r="D5832" s="2">
        <f t="shared" si="91"/>
        <v>1</v>
      </c>
    </row>
    <row r="5833" spans="1:4" x14ac:dyDescent="0.3">
      <c r="A5833" s="34">
        <v>46883</v>
      </c>
      <c r="B5833" s="35">
        <v>1</v>
      </c>
      <c r="C5833" s="35">
        <v>0</v>
      </c>
      <c r="D5833" s="2">
        <f t="shared" si="91"/>
        <v>1</v>
      </c>
    </row>
    <row r="5834" spans="1:4" x14ac:dyDescent="0.3">
      <c r="A5834" s="34">
        <v>46884</v>
      </c>
      <c r="B5834" s="35">
        <v>1</v>
      </c>
      <c r="C5834" s="35">
        <v>0</v>
      </c>
      <c r="D5834" s="2">
        <f t="shared" si="91"/>
        <v>1</v>
      </c>
    </row>
    <row r="5835" spans="1:4" x14ac:dyDescent="0.3">
      <c r="A5835" s="34">
        <v>46885</v>
      </c>
      <c r="B5835" s="35">
        <v>1</v>
      </c>
      <c r="C5835" s="35">
        <v>0</v>
      </c>
      <c r="D5835" s="2">
        <f t="shared" si="91"/>
        <v>1</v>
      </c>
    </row>
    <row r="5836" spans="1:4" x14ac:dyDescent="0.3">
      <c r="A5836" s="34">
        <v>46887</v>
      </c>
      <c r="B5836" s="35">
        <v>1</v>
      </c>
      <c r="C5836" s="35">
        <v>1</v>
      </c>
      <c r="D5836" s="2">
        <f t="shared" si="91"/>
        <v>2</v>
      </c>
    </row>
    <row r="5837" spans="1:4" x14ac:dyDescent="0.3">
      <c r="A5837" s="34">
        <v>46889</v>
      </c>
      <c r="B5837" s="35">
        <v>1</v>
      </c>
      <c r="C5837" s="35">
        <v>0</v>
      </c>
      <c r="D5837" s="2">
        <f t="shared" si="91"/>
        <v>1</v>
      </c>
    </row>
    <row r="5838" spans="1:4" x14ac:dyDescent="0.3">
      <c r="A5838" s="34">
        <v>46890</v>
      </c>
      <c r="B5838" s="35">
        <v>1</v>
      </c>
      <c r="C5838" s="35">
        <v>0</v>
      </c>
      <c r="D5838" s="2">
        <f t="shared" si="91"/>
        <v>1</v>
      </c>
    </row>
    <row r="5839" spans="1:4" x14ac:dyDescent="0.3">
      <c r="A5839" s="34">
        <v>46893</v>
      </c>
      <c r="B5839" s="35">
        <v>1</v>
      </c>
      <c r="C5839" s="35">
        <v>0</v>
      </c>
      <c r="D5839" s="2">
        <f t="shared" si="91"/>
        <v>1</v>
      </c>
    </row>
    <row r="5840" spans="1:4" x14ac:dyDescent="0.3">
      <c r="A5840" s="34">
        <v>46895</v>
      </c>
      <c r="B5840" s="35">
        <v>1</v>
      </c>
      <c r="C5840" s="35">
        <v>0</v>
      </c>
      <c r="D5840" s="2">
        <f t="shared" si="91"/>
        <v>1</v>
      </c>
    </row>
    <row r="5841" spans="1:4" x14ac:dyDescent="0.3">
      <c r="A5841" s="34">
        <v>46896</v>
      </c>
      <c r="B5841" s="35">
        <v>1</v>
      </c>
      <c r="C5841" s="35">
        <v>1</v>
      </c>
      <c r="D5841" s="2">
        <f t="shared" si="91"/>
        <v>2</v>
      </c>
    </row>
    <row r="5842" spans="1:4" x14ac:dyDescent="0.3">
      <c r="A5842" s="34">
        <v>46900</v>
      </c>
      <c r="B5842" s="35">
        <v>2</v>
      </c>
      <c r="C5842" s="35">
        <v>1</v>
      </c>
      <c r="D5842" s="2">
        <f t="shared" si="91"/>
        <v>3</v>
      </c>
    </row>
    <row r="5843" spans="1:4" x14ac:dyDescent="0.3">
      <c r="A5843" s="34">
        <v>46908</v>
      </c>
      <c r="B5843" s="35">
        <v>1</v>
      </c>
      <c r="C5843" s="35">
        <v>0</v>
      </c>
      <c r="D5843" s="2">
        <f t="shared" si="91"/>
        <v>1</v>
      </c>
    </row>
    <row r="5844" spans="1:4" x14ac:dyDescent="0.3">
      <c r="A5844" s="34">
        <v>46935</v>
      </c>
      <c r="B5844" s="35">
        <v>1</v>
      </c>
      <c r="C5844" s="35">
        <v>1</v>
      </c>
      <c r="D5844" s="2">
        <f t="shared" si="91"/>
        <v>2</v>
      </c>
    </row>
    <row r="5845" spans="1:4" x14ac:dyDescent="0.3">
      <c r="A5845" s="34">
        <v>46936</v>
      </c>
      <c r="B5845" s="35">
        <v>1</v>
      </c>
      <c r="C5845" s="35">
        <v>1</v>
      </c>
      <c r="D5845" s="2">
        <f t="shared" si="91"/>
        <v>2</v>
      </c>
    </row>
    <row r="5846" spans="1:4" x14ac:dyDescent="0.3">
      <c r="A5846" s="34">
        <v>46937</v>
      </c>
      <c r="B5846" s="35">
        <v>1</v>
      </c>
      <c r="C5846" s="35">
        <v>0</v>
      </c>
      <c r="D5846" s="2">
        <f t="shared" si="91"/>
        <v>1</v>
      </c>
    </row>
    <row r="5847" spans="1:4" x14ac:dyDescent="0.3">
      <c r="A5847" s="34">
        <v>46939</v>
      </c>
      <c r="B5847" s="35">
        <v>1</v>
      </c>
      <c r="C5847" s="35">
        <v>0</v>
      </c>
      <c r="D5847" s="2">
        <f t="shared" si="91"/>
        <v>1</v>
      </c>
    </row>
    <row r="5848" spans="1:4" x14ac:dyDescent="0.3">
      <c r="A5848" s="34">
        <v>46940</v>
      </c>
      <c r="B5848" s="35">
        <v>1</v>
      </c>
      <c r="C5848" s="35">
        <v>0</v>
      </c>
      <c r="D5848" s="2">
        <f t="shared" si="91"/>
        <v>1</v>
      </c>
    </row>
    <row r="5849" spans="1:4" x14ac:dyDescent="0.3">
      <c r="A5849" s="34">
        <v>46941</v>
      </c>
      <c r="B5849" s="35">
        <v>1</v>
      </c>
      <c r="C5849" s="35">
        <v>0</v>
      </c>
      <c r="D5849" s="2">
        <f t="shared" si="91"/>
        <v>1</v>
      </c>
    </row>
    <row r="5850" spans="1:4" x14ac:dyDescent="0.3">
      <c r="A5850" s="34">
        <v>46942</v>
      </c>
      <c r="B5850" s="35">
        <v>1</v>
      </c>
      <c r="C5850" s="35">
        <v>0</v>
      </c>
      <c r="D5850" s="2">
        <f t="shared" si="91"/>
        <v>1</v>
      </c>
    </row>
    <row r="5851" spans="1:4" x14ac:dyDescent="0.3">
      <c r="A5851" s="34">
        <v>46943</v>
      </c>
      <c r="B5851" s="35">
        <v>1</v>
      </c>
      <c r="C5851" s="35">
        <v>0</v>
      </c>
      <c r="D5851" s="2">
        <f t="shared" si="91"/>
        <v>1</v>
      </c>
    </row>
    <row r="5852" spans="1:4" x14ac:dyDescent="0.3">
      <c r="A5852" s="34">
        <v>46946</v>
      </c>
      <c r="B5852" s="35">
        <v>1</v>
      </c>
      <c r="C5852" s="35">
        <v>0</v>
      </c>
      <c r="D5852" s="2">
        <f t="shared" si="91"/>
        <v>1</v>
      </c>
    </row>
    <row r="5853" spans="1:4" x14ac:dyDescent="0.3">
      <c r="A5853" s="34">
        <v>46952</v>
      </c>
      <c r="B5853" s="35">
        <v>1</v>
      </c>
      <c r="C5853" s="35">
        <v>0</v>
      </c>
      <c r="D5853" s="2">
        <f t="shared" si="91"/>
        <v>1</v>
      </c>
    </row>
    <row r="5854" spans="1:4" x14ac:dyDescent="0.3">
      <c r="A5854" s="34">
        <v>46957</v>
      </c>
      <c r="B5854" s="35">
        <v>1</v>
      </c>
      <c r="C5854" s="35">
        <v>0</v>
      </c>
      <c r="D5854" s="2">
        <f t="shared" si="91"/>
        <v>1</v>
      </c>
    </row>
    <row r="5855" spans="1:4" x14ac:dyDescent="0.3">
      <c r="A5855" s="34">
        <v>46958</v>
      </c>
      <c r="B5855" s="35">
        <v>1</v>
      </c>
      <c r="C5855" s="35">
        <v>0</v>
      </c>
      <c r="D5855" s="2">
        <f t="shared" si="91"/>
        <v>1</v>
      </c>
    </row>
    <row r="5856" spans="1:4" x14ac:dyDescent="0.3">
      <c r="A5856" s="34">
        <v>46959</v>
      </c>
      <c r="B5856" s="35">
        <v>1</v>
      </c>
      <c r="C5856" s="35">
        <v>1</v>
      </c>
      <c r="D5856" s="2">
        <f t="shared" si="91"/>
        <v>2</v>
      </c>
    </row>
    <row r="5857" spans="1:4" x14ac:dyDescent="0.3">
      <c r="A5857" s="34">
        <v>46961</v>
      </c>
      <c r="B5857" s="35">
        <v>1</v>
      </c>
      <c r="C5857" s="35">
        <v>0</v>
      </c>
      <c r="D5857" s="2">
        <f t="shared" si="91"/>
        <v>1</v>
      </c>
    </row>
    <row r="5858" spans="1:4" x14ac:dyDescent="0.3">
      <c r="A5858" s="34">
        <v>46965</v>
      </c>
      <c r="B5858" s="35">
        <v>1</v>
      </c>
      <c r="C5858" s="35">
        <v>0</v>
      </c>
      <c r="D5858" s="2">
        <f t="shared" si="91"/>
        <v>1</v>
      </c>
    </row>
    <row r="5859" spans="1:4" x14ac:dyDescent="0.3">
      <c r="A5859" s="34">
        <v>46990</v>
      </c>
      <c r="B5859" s="35">
        <v>1</v>
      </c>
      <c r="C5859" s="35">
        <v>0</v>
      </c>
      <c r="D5859" s="2">
        <f t="shared" si="91"/>
        <v>1</v>
      </c>
    </row>
    <row r="5860" spans="1:4" x14ac:dyDescent="0.3">
      <c r="A5860" s="34">
        <v>46994</v>
      </c>
      <c r="B5860" s="35">
        <v>1</v>
      </c>
      <c r="C5860" s="35">
        <v>1</v>
      </c>
      <c r="D5860" s="2">
        <f t="shared" si="91"/>
        <v>2</v>
      </c>
    </row>
    <row r="5861" spans="1:4" x14ac:dyDescent="0.3">
      <c r="A5861" s="34">
        <v>46995</v>
      </c>
      <c r="B5861" s="35">
        <v>1</v>
      </c>
      <c r="C5861" s="35">
        <v>0</v>
      </c>
      <c r="D5861" s="2">
        <f t="shared" si="91"/>
        <v>1</v>
      </c>
    </row>
    <row r="5862" spans="1:4" x14ac:dyDescent="0.3">
      <c r="A5862" s="34">
        <v>46996</v>
      </c>
      <c r="B5862" s="35">
        <v>1</v>
      </c>
      <c r="C5862" s="35">
        <v>0</v>
      </c>
      <c r="D5862" s="2">
        <f t="shared" si="91"/>
        <v>1</v>
      </c>
    </row>
    <row r="5863" spans="1:4" x14ac:dyDescent="0.3">
      <c r="A5863" s="34">
        <v>46998</v>
      </c>
      <c r="B5863" s="35">
        <v>1</v>
      </c>
      <c r="C5863" s="35">
        <v>0</v>
      </c>
      <c r="D5863" s="2">
        <f t="shared" si="91"/>
        <v>1</v>
      </c>
    </row>
    <row r="5864" spans="1:4" x14ac:dyDescent="0.3">
      <c r="A5864" s="34">
        <v>46999</v>
      </c>
      <c r="B5864" s="35">
        <v>1</v>
      </c>
      <c r="C5864" s="35">
        <v>1</v>
      </c>
      <c r="D5864" s="2">
        <f t="shared" si="91"/>
        <v>2</v>
      </c>
    </row>
    <row r="5865" spans="1:4" x14ac:dyDescent="0.3">
      <c r="A5865" s="34">
        <v>47001</v>
      </c>
      <c r="B5865" s="35">
        <v>1</v>
      </c>
      <c r="C5865" s="35">
        <v>0</v>
      </c>
      <c r="D5865" s="2">
        <f t="shared" si="91"/>
        <v>1</v>
      </c>
    </row>
    <row r="5866" spans="1:4" x14ac:dyDescent="0.3">
      <c r="A5866" s="34">
        <v>47003</v>
      </c>
      <c r="B5866" s="35">
        <v>1</v>
      </c>
      <c r="C5866" s="35">
        <v>0</v>
      </c>
      <c r="D5866" s="2">
        <f t="shared" si="91"/>
        <v>1</v>
      </c>
    </row>
    <row r="5867" spans="1:4" x14ac:dyDescent="0.3">
      <c r="A5867" s="34">
        <v>47004</v>
      </c>
      <c r="B5867" s="35">
        <v>1</v>
      </c>
      <c r="C5867" s="35">
        <v>0</v>
      </c>
      <c r="D5867" s="2">
        <f t="shared" si="91"/>
        <v>1</v>
      </c>
    </row>
    <row r="5868" spans="1:4" x14ac:dyDescent="0.3">
      <c r="A5868" s="34">
        <v>47007</v>
      </c>
      <c r="B5868" s="35">
        <v>1</v>
      </c>
      <c r="C5868" s="35">
        <v>1</v>
      </c>
      <c r="D5868" s="2">
        <f t="shared" si="91"/>
        <v>2</v>
      </c>
    </row>
    <row r="5869" spans="1:4" x14ac:dyDescent="0.3">
      <c r="A5869" s="34">
        <v>47009</v>
      </c>
      <c r="B5869" s="35">
        <v>1</v>
      </c>
      <c r="C5869" s="35">
        <v>1</v>
      </c>
      <c r="D5869" s="2">
        <f t="shared" si="91"/>
        <v>2</v>
      </c>
    </row>
    <row r="5870" spans="1:4" x14ac:dyDescent="0.3">
      <c r="A5870" s="34">
        <v>47011</v>
      </c>
      <c r="B5870" s="35">
        <v>1</v>
      </c>
      <c r="C5870" s="35">
        <v>0</v>
      </c>
      <c r="D5870" s="2">
        <f t="shared" si="91"/>
        <v>1</v>
      </c>
    </row>
    <row r="5871" spans="1:4" x14ac:dyDescent="0.3">
      <c r="A5871" s="34">
        <v>47012</v>
      </c>
      <c r="B5871" s="35">
        <v>1</v>
      </c>
      <c r="C5871" s="35">
        <v>1</v>
      </c>
      <c r="D5871" s="2">
        <f t="shared" si="91"/>
        <v>2</v>
      </c>
    </row>
    <row r="5872" spans="1:4" x14ac:dyDescent="0.3">
      <c r="A5872" s="34">
        <v>47017</v>
      </c>
      <c r="B5872" s="35">
        <v>1</v>
      </c>
      <c r="C5872" s="35">
        <v>0</v>
      </c>
      <c r="D5872" s="2">
        <f t="shared" si="91"/>
        <v>1</v>
      </c>
    </row>
    <row r="5873" spans="1:4" x14ac:dyDescent="0.3">
      <c r="A5873" s="34">
        <v>47020</v>
      </c>
      <c r="B5873" s="35">
        <v>1</v>
      </c>
      <c r="C5873" s="35">
        <v>0</v>
      </c>
      <c r="D5873" s="2">
        <f t="shared" si="91"/>
        <v>1</v>
      </c>
    </row>
    <row r="5874" spans="1:4" x14ac:dyDescent="0.3">
      <c r="A5874" s="34">
        <v>47022</v>
      </c>
      <c r="B5874" s="35">
        <v>3</v>
      </c>
      <c r="C5874" s="35">
        <v>2</v>
      </c>
      <c r="D5874" s="2">
        <f t="shared" si="91"/>
        <v>5</v>
      </c>
    </row>
    <row r="5875" spans="1:4" x14ac:dyDescent="0.3">
      <c r="A5875" s="34">
        <v>47023</v>
      </c>
      <c r="B5875" s="35">
        <v>1</v>
      </c>
      <c r="C5875" s="35">
        <v>1</v>
      </c>
      <c r="D5875" s="2">
        <f t="shared" si="91"/>
        <v>2</v>
      </c>
    </row>
    <row r="5876" spans="1:4" x14ac:dyDescent="0.3">
      <c r="A5876" s="34">
        <v>47025</v>
      </c>
      <c r="B5876" s="35">
        <v>1</v>
      </c>
      <c r="C5876" s="35">
        <v>1</v>
      </c>
      <c r="D5876" s="2">
        <f t="shared" si="91"/>
        <v>2</v>
      </c>
    </row>
    <row r="5877" spans="1:4" x14ac:dyDescent="0.3">
      <c r="A5877" s="34">
        <v>47026</v>
      </c>
      <c r="B5877" s="35">
        <v>1</v>
      </c>
      <c r="C5877" s="35">
        <v>0</v>
      </c>
      <c r="D5877" s="2">
        <f t="shared" si="91"/>
        <v>1</v>
      </c>
    </row>
    <row r="5878" spans="1:4" x14ac:dyDescent="0.3">
      <c r="A5878" s="34">
        <v>47028</v>
      </c>
      <c r="B5878" s="35">
        <v>1</v>
      </c>
      <c r="C5878" s="35">
        <v>0</v>
      </c>
      <c r="D5878" s="2">
        <f t="shared" si="91"/>
        <v>1</v>
      </c>
    </row>
    <row r="5879" spans="1:4" x14ac:dyDescent="0.3">
      <c r="A5879" s="34">
        <v>47034</v>
      </c>
      <c r="B5879" s="35">
        <v>1</v>
      </c>
      <c r="C5879" s="35">
        <v>0</v>
      </c>
      <c r="D5879" s="2">
        <f t="shared" si="91"/>
        <v>1</v>
      </c>
    </row>
    <row r="5880" spans="1:4" x14ac:dyDescent="0.3">
      <c r="A5880" s="34">
        <v>47035</v>
      </c>
      <c r="B5880" s="35">
        <v>1</v>
      </c>
      <c r="C5880" s="35">
        <v>1</v>
      </c>
      <c r="D5880" s="2">
        <f t="shared" si="91"/>
        <v>2</v>
      </c>
    </row>
    <row r="5881" spans="1:4" x14ac:dyDescent="0.3">
      <c r="A5881" s="34">
        <v>47038</v>
      </c>
      <c r="B5881" s="35">
        <v>1</v>
      </c>
      <c r="C5881" s="35">
        <v>0</v>
      </c>
      <c r="D5881" s="2">
        <f t="shared" si="91"/>
        <v>1</v>
      </c>
    </row>
    <row r="5882" spans="1:4" x14ac:dyDescent="0.3">
      <c r="A5882" s="34">
        <v>47046</v>
      </c>
      <c r="B5882" s="35">
        <v>1</v>
      </c>
      <c r="C5882" s="35">
        <v>1</v>
      </c>
      <c r="D5882" s="2">
        <f t="shared" si="91"/>
        <v>2</v>
      </c>
    </row>
    <row r="5883" spans="1:4" x14ac:dyDescent="0.3">
      <c r="A5883" s="34">
        <v>47048</v>
      </c>
      <c r="B5883" s="35">
        <v>1</v>
      </c>
      <c r="C5883" s="35">
        <v>0</v>
      </c>
      <c r="D5883" s="2">
        <f t="shared" si="91"/>
        <v>1</v>
      </c>
    </row>
    <row r="5884" spans="1:4" x14ac:dyDescent="0.3">
      <c r="A5884" s="34">
        <v>47051</v>
      </c>
      <c r="B5884" s="35">
        <v>1</v>
      </c>
      <c r="C5884" s="35">
        <v>0</v>
      </c>
      <c r="D5884" s="2">
        <f t="shared" si="91"/>
        <v>1</v>
      </c>
    </row>
    <row r="5885" spans="1:4" x14ac:dyDescent="0.3">
      <c r="A5885" s="34">
        <v>47052</v>
      </c>
      <c r="B5885" s="35">
        <v>1</v>
      </c>
      <c r="C5885" s="35">
        <v>0</v>
      </c>
      <c r="D5885" s="2">
        <f t="shared" si="91"/>
        <v>1</v>
      </c>
    </row>
    <row r="5886" spans="1:4" x14ac:dyDescent="0.3">
      <c r="A5886" s="34">
        <v>47054</v>
      </c>
      <c r="B5886" s="35">
        <v>1</v>
      </c>
      <c r="C5886" s="35">
        <v>0</v>
      </c>
      <c r="D5886" s="2">
        <f t="shared" si="91"/>
        <v>1</v>
      </c>
    </row>
    <row r="5887" spans="1:4" x14ac:dyDescent="0.3">
      <c r="A5887" s="34">
        <v>47055</v>
      </c>
      <c r="B5887" s="35">
        <v>1</v>
      </c>
      <c r="C5887" s="35">
        <v>0</v>
      </c>
      <c r="D5887" s="2">
        <f t="shared" si="91"/>
        <v>1</v>
      </c>
    </row>
    <row r="5888" spans="1:4" x14ac:dyDescent="0.3">
      <c r="A5888" s="34">
        <v>47059</v>
      </c>
      <c r="B5888" s="35">
        <v>1</v>
      </c>
      <c r="C5888" s="35">
        <v>0</v>
      </c>
      <c r="D5888" s="2">
        <f t="shared" si="91"/>
        <v>1</v>
      </c>
    </row>
    <row r="5889" spans="1:4" x14ac:dyDescent="0.3">
      <c r="A5889" s="34">
        <v>47060</v>
      </c>
      <c r="B5889" s="35">
        <v>1</v>
      </c>
      <c r="C5889" s="35">
        <v>0</v>
      </c>
      <c r="D5889" s="2">
        <f t="shared" si="91"/>
        <v>1</v>
      </c>
    </row>
    <row r="5890" spans="1:4" x14ac:dyDescent="0.3">
      <c r="A5890" s="34">
        <v>47067</v>
      </c>
      <c r="B5890" s="35">
        <v>1</v>
      </c>
      <c r="C5890" s="35">
        <v>0</v>
      </c>
      <c r="D5890" s="2">
        <f t="shared" si="91"/>
        <v>1</v>
      </c>
    </row>
    <row r="5891" spans="1:4" x14ac:dyDescent="0.3">
      <c r="A5891" s="34">
        <v>47068</v>
      </c>
      <c r="B5891" s="35">
        <v>1</v>
      </c>
      <c r="C5891" s="35">
        <v>0</v>
      </c>
      <c r="D5891" s="2">
        <f t="shared" ref="D5891:D5954" si="92">B5891+C5891</f>
        <v>1</v>
      </c>
    </row>
    <row r="5892" spans="1:4" x14ac:dyDescent="0.3">
      <c r="A5892" s="34">
        <v>47069</v>
      </c>
      <c r="B5892" s="35">
        <v>1</v>
      </c>
      <c r="C5892" s="35">
        <v>0</v>
      </c>
      <c r="D5892" s="2">
        <f t="shared" si="92"/>
        <v>1</v>
      </c>
    </row>
    <row r="5893" spans="1:4" x14ac:dyDescent="0.3">
      <c r="A5893" s="34">
        <v>47071</v>
      </c>
      <c r="B5893" s="35">
        <v>2</v>
      </c>
      <c r="C5893" s="35">
        <v>0</v>
      </c>
      <c r="D5893" s="2">
        <f t="shared" si="92"/>
        <v>2</v>
      </c>
    </row>
    <row r="5894" spans="1:4" x14ac:dyDescent="0.3">
      <c r="A5894" s="34">
        <v>47073</v>
      </c>
      <c r="B5894" s="35">
        <v>1</v>
      </c>
      <c r="C5894" s="35">
        <v>1</v>
      </c>
      <c r="D5894" s="2">
        <f t="shared" si="92"/>
        <v>2</v>
      </c>
    </row>
    <row r="5895" spans="1:4" x14ac:dyDescent="0.3">
      <c r="A5895" s="34">
        <v>47074</v>
      </c>
      <c r="B5895" s="35">
        <v>1</v>
      </c>
      <c r="C5895" s="35">
        <v>0</v>
      </c>
      <c r="D5895" s="2">
        <f t="shared" si="92"/>
        <v>1</v>
      </c>
    </row>
    <row r="5896" spans="1:4" x14ac:dyDescent="0.3">
      <c r="A5896" s="34">
        <v>47075</v>
      </c>
      <c r="B5896" s="35">
        <v>1</v>
      </c>
      <c r="C5896" s="35">
        <v>0</v>
      </c>
      <c r="D5896" s="2">
        <f t="shared" si="92"/>
        <v>1</v>
      </c>
    </row>
    <row r="5897" spans="1:4" x14ac:dyDescent="0.3">
      <c r="A5897" s="34">
        <v>47090</v>
      </c>
      <c r="B5897" s="35">
        <v>1</v>
      </c>
      <c r="C5897" s="35">
        <v>0</v>
      </c>
      <c r="D5897" s="2">
        <f t="shared" si="92"/>
        <v>1</v>
      </c>
    </row>
    <row r="5898" spans="1:4" x14ac:dyDescent="0.3">
      <c r="A5898" s="34">
        <v>47091</v>
      </c>
      <c r="B5898" s="35">
        <v>2</v>
      </c>
      <c r="C5898" s="35">
        <v>1</v>
      </c>
      <c r="D5898" s="2">
        <f t="shared" si="92"/>
        <v>3</v>
      </c>
    </row>
    <row r="5899" spans="1:4" x14ac:dyDescent="0.3">
      <c r="A5899" s="34">
        <v>47092</v>
      </c>
      <c r="B5899" s="35">
        <v>1</v>
      </c>
      <c r="C5899" s="35">
        <v>0</v>
      </c>
      <c r="D5899" s="2">
        <f t="shared" si="92"/>
        <v>1</v>
      </c>
    </row>
    <row r="5900" spans="1:4" x14ac:dyDescent="0.3">
      <c r="A5900" s="34">
        <v>47093</v>
      </c>
      <c r="B5900" s="35">
        <v>1</v>
      </c>
      <c r="C5900" s="35">
        <v>0</v>
      </c>
      <c r="D5900" s="2">
        <f t="shared" si="92"/>
        <v>1</v>
      </c>
    </row>
    <row r="5901" spans="1:4" x14ac:dyDescent="0.3">
      <c r="A5901" s="34">
        <v>47098</v>
      </c>
      <c r="B5901" s="35">
        <v>1</v>
      </c>
      <c r="C5901" s="35">
        <v>0</v>
      </c>
      <c r="D5901" s="2">
        <f t="shared" si="92"/>
        <v>1</v>
      </c>
    </row>
    <row r="5902" spans="1:4" x14ac:dyDescent="0.3">
      <c r="A5902" s="34">
        <v>47100</v>
      </c>
      <c r="B5902" s="35">
        <v>1</v>
      </c>
      <c r="C5902" s="35">
        <v>1</v>
      </c>
      <c r="D5902" s="2">
        <f t="shared" si="92"/>
        <v>2</v>
      </c>
    </row>
    <row r="5903" spans="1:4" x14ac:dyDescent="0.3">
      <c r="A5903" s="34">
        <v>47102</v>
      </c>
      <c r="B5903" s="35">
        <v>1</v>
      </c>
      <c r="C5903" s="35">
        <v>0</v>
      </c>
      <c r="D5903" s="2">
        <f t="shared" si="92"/>
        <v>1</v>
      </c>
    </row>
    <row r="5904" spans="1:4" x14ac:dyDescent="0.3">
      <c r="A5904" s="34">
        <v>47103</v>
      </c>
      <c r="B5904" s="35">
        <v>1</v>
      </c>
      <c r="C5904" s="35">
        <v>0</v>
      </c>
      <c r="D5904" s="2">
        <f t="shared" si="92"/>
        <v>1</v>
      </c>
    </row>
    <row r="5905" spans="1:4" x14ac:dyDescent="0.3">
      <c r="A5905" s="34">
        <v>47104</v>
      </c>
      <c r="B5905" s="35">
        <v>1</v>
      </c>
      <c r="C5905" s="35">
        <v>0</v>
      </c>
      <c r="D5905" s="2">
        <f t="shared" si="92"/>
        <v>1</v>
      </c>
    </row>
    <row r="5906" spans="1:4" x14ac:dyDescent="0.3">
      <c r="A5906" s="34">
        <v>47105</v>
      </c>
      <c r="B5906" s="35">
        <v>1</v>
      </c>
      <c r="C5906" s="35">
        <v>0</v>
      </c>
      <c r="D5906" s="2">
        <f t="shared" si="92"/>
        <v>1</v>
      </c>
    </row>
    <row r="5907" spans="1:4" x14ac:dyDescent="0.3">
      <c r="A5907" s="34">
        <v>47107</v>
      </c>
      <c r="B5907" s="35">
        <v>1</v>
      </c>
      <c r="C5907" s="35">
        <v>0</v>
      </c>
      <c r="D5907" s="2">
        <f t="shared" si="92"/>
        <v>1</v>
      </c>
    </row>
    <row r="5908" spans="1:4" x14ac:dyDescent="0.3">
      <c r="A5908" s="34">
        <v>47113</v>
      </c>
      <c r="B5908" s="35">
        <v>1</v>
      </c>
      <c r="C5908" s="35">
        <v>0</v>
      </c>
      <c r="D5908" s="2">
        <f t="shared" si="92"/>
        <v>1</v>
      </c>
    </row>
    <row r="5909" spans="1:4" x14ac:dyDescent="0.3">
      <c r="A5909" s="34">
        <v>47114</v>
      </c>
      <c r="B5909" s="35">
        <v>1</v>
      </c>
      <c r="C5909" s="35">
        <v>0</v>
      </c>
      <c r="D5909" s="2">
        <f t="shared" si="92"/>
        <v>1</v>
      </c>
    </row>
    <row r="5910" spans="1:4" x14ac:dyDescent="0.3">
      <c r="A5910" s="34">
        <v>47120</v>
      </c>
      <c r="B5910" s="35">
        <v>1</v>
      </c>
      <c r="C5910" s="35">
        <v>1</v>
      </c>
      <c r="D5910" s="2">
        <f t="shared" si="92"/>
        <v>2</v>
      </c>
    </row>
    <row r="5911" spans="1:4" x14ac:dyDescent="0.3">
      <c r="A5911" s="34">
        <v>47122</v>
      </c>
      <c r="B5911" s="35">
        <v>1</v>
      </c>
      <c r="C5911" s="35">
        <v>0</v>
      </c>
      <c r="D5911" s="2">
        <f t="shared" si="92"/>
        <v>1</v>
      </c>
    </row>
    <row r="5912" spans="1:4" x14ac:dyDescent="0.3">
      <c r="A5912" s="34">
        <v>47123</v>
      </c>
      <c r="B5912" s="35">
        <v>1</v>
      </c>
      <c r="C5912" s="35">
        <v>0</v>
      </c>
      <c r="D5912" s="2">
        <f t="shared" si="92"/>
        <v>1</v>
      </c>
    </row>
    <row r="5913" spans="1:4" x14ac:dyDescent="0.3">
      <c r="A5913" s="34">
        <v>47127</v>
      </c>
      <c r="B5913" s="35">
        <v>1</v>
      </c>
      <c r="C5913" s="35">
        <v>0</v>
      </c>
      <c r="D5913" s="2">
        <f t="shared" si="92"/>
        <v>1</v>
      </c>
    </row>
    <row r="5914" spans="1:4" x14ac:dyDescent="0.3">
      <c r="A5914" s="34">
        <v>47128</v>
      </c>
      <c r="B5914" s="35">
        <v>1</v>
      </c>
      <c r="C5914" s="35">
        <v>0</v>
      </c>
      <c r="D5914" s="2">
        <f t="shared" si="92"/>
        <v>1</v>
      </c>
    </row>
    <row r="5915" spans="1:4" x14ac:dyDescent="0.3">
      <c r="A5915" s="34">
        <v>47130</v>
      </c>
      <c r="B5915" s="35">
        <v>1</v>
      </c>
      <c r="C5915" s="35">
        <v>0</v>
      </c>
      <c r="D5915" s="2">
        <f t="shared" si="92"/>
        <v>1</v>
      </c>
    </row>
    <row r="5916" spans="1:4" x14ac:dyDescent="0.3">
      <c r="A5916" s="34">
        <v>47133</v>
      </c>
      <c r="B5916" s="35">
        <v>1</v>
      </c>
      <c r="C5916" s="35">
        <v>0</v>
      </c>
      <c r="D5916" s="2">
        <f t="shared" si="92"/>
        <v>1</v>
      </c>
    </row>
    <row r="5917" spans="1:4" x14ac:dyDescent="0.3">
      <c r="A5917" s="34">
        <v>47135</v>
      </c>
      <c r="B5917" s="35">
        <v>1</v>
      </c>
      <c r="C5917" s="35">
        <v>0</v>
      </c>
      <c r="D5917" s="2">
        <f t="shared" si="92"/>
        <v>1</v>
      </c>
    </row>
    <row r="5918" spans="1:4" x14ac:dyDescent="0.3">
      <c r="A5918" s="34">
        <v>47137</v>
      </c>
      <c r="B5918" s="35">
        <v>1</v>
      </c>
      <c r="C5918" s="35">
        <v>0</v>
      </c>
      <c r="D5918" s="2">
        <f t="shared" si="92"/>
        <v>1</v>
      </c>
    </row>
    <row r="5919" spans="1:4" x14ac:dyDescent="0.3">
      <c r="A5919" s="34">
        <v>47138</v>
      </c>
      <c r="B5919" s="35">
        <v>1</v>
      </c>
      <c r="C5919" s="35">
        <v>0</v>
      </c>
      <c r="D5919" s="2">
        <f t="shared" si="92"/>
        <v>1</v>
      </c>
    </row>
    <row r="5920" spans="1:4" x14ac:dyDescent="0.3">
      <c r="A5920" s="34">
        <v>47140</v>
      </c>
      <c r="B5920" s="35">
        <v>1</v>
      </c>
      <c r="C5920" s="35">
        <v>1</v>
      </c>
      <c r="D5920" s="2">
        <f t="shared" si="92"/>
        <v>2</v>
      </c>
    </row>
    <row r="5921" spans="1:4" x14ac:dyDescent="0.3">
      <c r="A5921" s="34">
        <v>47141</v>
      </c>
      <c r="B5921" s="35">
        <v>1</v>
      </c>
      <c r="C5921" s="35">
        <v>0</v>
      </c>
      <c r="D5921" s="2">
        <f t="shared" si="92"/>
        <v>1</v>
      </c>
    </row>
    <row r="5922" spans="1:4" x14ac:dyDescent="0.3">
      <c r="A5922" s="34">
        <v>47144</v>
      </c>
      <c r="B5922" s="35">
        <v>1</v>
      </c>
      <c r="C5922" s="35">
        <v>0</v>
      </c>
      <c r="D5922" s="2">
        <f t="shared" si="92"/>
        <v>1</v>
      </c>
    </row>
    <row r="5923" spans="1:4" x14ac:dyDescent="0.3">
      <c r="A5923" s="34">
        <v>47147</v>
      </c>
      <c r="B5923" s="35">
        <v>1</v>
      </c>
      <c r="C5923" s="35">
        <v>0</v>
      </c>
      <c r="D5923" s="2">
        <f t="shared" si="92"/>
        <v>1</v>
      </c>
    </row>
    <row r="5924" spans="1:4" x14ac:dyDescent="0.3">
      <c r="A5924" s="34">
        <v>47149</v>
      </c>
      <c r="B5924" s="35">
        <v>1</v>
      </c>
      <c r="C5924" s="35">
        <v>0</v>
      </c>
      <c r="D5924" s="2">
        <f t="shared" si="92"/>
        <v>1</v>
      </c>
    </row>
    <row r="5925" spans="1:4" x14ac:dyDescent="0.3">
      <c r="A5925" s="34">
        <v>47154</v>
      </c>
      <c r="B5925" s="35">
        <v>1</v>
      </c>
      <c r="C5925" s="35">
        <v>0</v>
      </c>
      <c r="D5925" s="2">
        <f t="shared" si="92"/>
        <v>1</v>
      </c>
    </row>
    <row r="5926" spans="1:4" x14ac:dyDescent="0.3">
      <c r="A5926" s="34">
        <v>47158</v>
      </c>
      <c r="B5926" s="35">
        <v>1</v>
      </c>
      <c r="C5926" s="35">
        <v>0</v>
      </c>
      <c r="D5926" s="2">
        <f t="shared" si="92"/>
        <v>1</v>
      </c>
    </row>
    <row r="5927" spans="1:4" x14ac:dyDescent="0.3">
      <c r="A5927" s="34">
        <v>47160</v>
      </c>
      <c r="B5927" s="35">
        <v>1</v>
      </c>
      <c r="C5927" s="35">
        <v>0</v>
      </c>
      <c r="D5927" s="2">
        <f t="shared" si="92"/>
        <v>1</v>
      </c>
    </row>
    <row r="5928" spans="1:4" x14ac:dyDescent="0.3">
      <c r="A5928" s="34">
        <v>47161</v>
      </c>
      <c r="B5928" s="35">
        <v>1</v>
      </c>
      <c r="C5928" s="35">
        <v>0</v>
      </c>
      <c r="D5928" s="2">
        <f t="shared" si="92"/>
        <v>1</v>
      </c>
    </row>
    <row r="5929" spans="1:4" x14ac:dyDescent="0.3">
      <c r="A5929" s="34">
        <v>47164</v>
      </c>
      <c r="B5929" s="35">
        <v>1</v>
      </c>
      <c r="C5929" s="35">
        <v>1</v>
      </c>
      <c r="D5929" s="2">
        <f t="shared" si="92"/>
        <v>2</v>
      </c>
    </row>
    <row r="5930" spans="1:4" x14ac:dyDescent="0.3">
      <c r="A5930" s="34">
        <v>47169</v>
      </c>
      <c r="B5930" s="35">
        <v>1</v>
      </c>
      <c r="C5930" s="35">
        <v>0</v>
      </c>
      <c r="D5930" s="2">
        <f t="shared" si="92"/>
        <v>1</v>
      </c>
    </row>
    <row r="5931" spans="1:4" x14ac:dyDescent="0.3">
      <c r="A5931" s="34">
        <v>47170</v>
      </c>
      <c r="B5931" s="35">
        <v>1</v>
      </c>
      <c r="C5931" s="35">
        <v>0</v>
      </c>
      <c r="D5931" s="2">
        <f t="shared" si="92"/>
        <v>1</v>
      </c>
    </row>
    <row r="5932" spans="1:4" x14ac:dyDescent="0.3">
      <c r="A5932" s="34">
        <v>47171</v>
      </c>
      <c r="B5932" s="35">
        <v>1</v>
      </c>
      <c r="C5932" s="35">
        <v>0</v>
      </c>
      <c r="D5932" s="2">
        <f t="shared" si="92"/>
        <v>1</v>
      </c>
    </row>
    <row r="5933" spans="1:4" x14ac:dyDescent="0.3">
      <c r="A5933" s="34">
        <v>47172</v>
      </c>
      <c r="B5933" s="35">
        <v>1</v>
      </c>
      <c r="C5933" s="35">
        <v>0</v>
      </c>
      <c r="D5933" s="2">
        <f t="shared" si="92"/>
        <v>1</v>
      </c>
    </row>
    <row r="5934" spans="1:4" x14ac:dyDescent="0.3">
      <c r="A5934" s="34">
        <v>47173</v>
      </c>
      <c r="B5934" s="35">
        <v>1</v>
      </c>
      <c r="C5934" s="35">
        <v>0</v>
      </c>
      <c r="D5934" s="2">
        <f t="shared" si="92"/>
        <v>1</v>
      </c>
    </row>
    <row r="5935" spans="1:4" x14ac:dyDescent="0.3">
      <c r="A5935" s="34">
        <v>47175</v>
      </c>
      <c r="B5935" s="35">
        <v>1</v>
      </c>
      <c r="C5935" s="35">
        <v>1</v>
      </c>
      <c r="D5935" s="2">
        <f t="shared" si="92"/>
        <v>2</v>
      </c>
    </row>
    <row r="5936" spans="1:4" x14ac:dyDescent="0.3">
      <c r="A5936" s="34">
        <v>47193</v>
      </c>
      <c r="B5936" s="35">
        <v>1</v>
      </c>
      <c r="C5936" s="35">
        <v>0</v>
      </c>
      <c r="D5936" s="2">
        <f t="shared" si="92"/>
        <v>1</v>
      </c>
    </row>
    <row r="5937" spans="1:4" x14ac:dyDescent="0.3">
      <c r="A5937" s="34">
        <v>47196</v>
      </c>
      <c r="B5937" s="35">
        <v>1</v>
      </c>
      <c r="C5937" s="35">
        <v>0</v>
      </c>
      <c r="D5937" s="2">
        <f t="shared" si="92"/>
        <v>1</v>
      </c>
    </row>
    <row r="5938" spans="1:4" x14ac:dyDescent="0.3">
      <c r="A5938" s="34">
        <v>47203</v>
      </c>
      <c r="B5938" s="35">
        <v>1</v>
      </c>
      <c r="C5938" s="35">
        <v>0</v>
      </c>
      <c r="D5938" s="2">
        <f t="shared" si="92"/>
        <v>1</v>
      </c>
    </row>
    <row r="5939" spans="1:4" x14ac:dyDescent="0.3">
      <c r="A5939" s="34">
        <v>47211</v>
      </c>
      <c r="B5939" s="35">
        <v>1</v>
      </c>
      <c r="C5939" s="35">
        <v>0</v>
      </c>
      <c r="D5939" s="2">
        <f t="shared" si="92"/>
        <v>1</v>
      </c>
    </row>
    <row r="5940" spans="1:4" x14ac:dyDescent="0.3">
      <c r="A5940" s="34">
        <v>47214</v>
      </c>
      <c r="B5940" s="35">
        <v>1</v>
      </c>
      <c r="C5940" s="35">
        <v>1</v>
      </c>
      <c r="D5940" s="2">
        <f t="shared" si="92"/>
        <v>2</v>
      </c>
    </row>
    <row r="5941" spans="1:4" x14ac:dyDescent="0.3">
      <c r="A5941" s="34">
        <v>47218</v>
      </c>
      <c r="B5941" s="35">
        <v>1</v>
      </c>
      <c r="C5941" s="35">
        <v>0</v>
      </c>
      <c r="D5941" s="2">
        <f t="shared" si="92"/>
        <v>1</v>
      </c>
    </row>
    <row r="5942" spans="1:4" x14ac:dyDescent="0.3">
      <c r="A5942" s="34">
        <v>47219</v>
      </c>
      <c r="B5942" s="35">
        <v>1</v>
      </c>
      <c r="C5942" s="35">
        <v>0</v>
      </c>
      <c r="D5942" s="2">
        <f t="shared" si="92"/>
        <v>1</v>
      </c>
    </row>
    <row r="5943" spans="1:4" x14ac:dyDescent="0.3">
      <c r="A5943" s="34">
        <v>47222</v>
      </c>
      <c r="B5943" s="35">
        <v>1</v>
      </c>
      <c r="C5943" s="35">
        <v>1</v>
      </c>
      <c r="D5943" s="2">
        <f t="shared" si="92"/>
        <v>2</v>
      </c>
    </row>
    <row r="5944" spans="1:4" x14ac:dyDescent="0.3">
      <c r="A5944" s="34">
        <v>47223</v>
      </c>
      <c r="B5944" s="35">
        <v>1</v>
      </c>
      <c r="C5944" s="35">
        <v>1</v>
      </c>
      <c r="D5944" s="2">
        <f t="shared" si="92"/>
        <v>2</v>
      </c>
    </row>
    <row r="5945" spans="1:4" x14ac:dyDescent="0.3">
      <c r="A5945" s="34">
        <v>47224</v>
      </c>
      <c r="B5945" s="35">
        <v>1</v>
      </c>
      <c r="C5945" s="35">
        <v>0</v>
      </c>
      <c r="D5945" s="2">
        <f t="shared" si="92"/>
        <v>1</v>
      </c>
    </row>
    <row r="5946" spans="1:4" x14ac:dyDescent="0.3">
      <c r="A5946" s="34">
        <v>47227</v>
      </c>
      <c r="B5946" s="35">
        <v>1</v>
      </c>
      <c r="C5946" s="35">
        <v>0</v>
      </c>
      <c r="D5946" s="2">
        <f t="shared" si="92"/>
        <v>1</v>
      </c>
    </row>
    <row r="5947" spans="1:4" x14ac:dyDescent="0.3">
      <c r="A5947" s="34">
        <v>47232</v>
      </c>
      <c r="B5947" s="35">
        <v>1</v>
      </c>
      <c r="C5947" s="35">
        <v>0</v>
      </c>
      <c r="D5947" s="2">
        <f t="shared" si="92"/>
        <v>1</v>
      </c>
    </row>
    <row r="5948" spans="1:4" x14ac:dyDescent="0.3">
      <c r="A5948" s="34">
        <v>47235</v>
      </c>
      <c r="B5948" s="35">
        <v>1</v>
      </c>
      <c r="C5948" s="35">
        <v>1</v>
      </c>
      <c r="D5948" s="2">
        <f t="shared" si="92"/>
        <v>2</v>
      </c>
    </row>
    <row r="5949" spans="1:4" x14ac:dyDescent="0.3">
      <c r="A5949" s="34">
        <v>47237</v>
      </c>
      <c r="B5949" s="35">
        <v>1</v>
      </c>
      <c r="C5949" s="35">
        <v>0</v>
      </c>
      <c r="D5949" s="2">
        <f t="shared" si="92"/>
        <v>1</v>
      </c>
    </row>
    <row r="5950" spans="1:4" x14ac:dyDescent="0.3">
      <c r="A5950" s="34">
        <v>47255</v>
      </c>
      <c r="B5950" s="35">
        <v>1</v>
      </c>
      <c r="C5950" s="35">
        <v>0</v>
      </c>
      <c r="D5950" s="2">
        <f t="shared" si="92"/>
        <v>1</v>
      </c>
    </row>
    <row r="5951" spans="1:4" x14ac:dyDescent="0.3">
      <c r="A5951" s="34">
        <v>47256</v>
      </c>
      <c r="B5951" s="35">
        <v>1</v>
      </c>
      <c r="C5951" s="35">
        <v>0</v>
      </c>
      <c r="D5951" s="2">
        <f t="shared" si="92"/>
        <v>1</v>
      </c>
    </row>
    <row r="5952" spans="1:4" x14ac:dyDescent="0.3">
      <c r="A5952" s="34">
        <v>47258</v>
      </c>
      <c r="B5952" s="35">
        <v>1</v>
      </c>
      <c r="C5952" s="35">
        <v>0</v>
      </c>
      <c r="D5952" s="2">
        <f t="shared" si="92"/>
        <v>1</v>
      </c>
    </row>
    <row r="5953" spans="1:4" x14ac:dyDescent="0.3">
      <c r="A5953" s="34">
        <v>47261</v>
      </c>
      <c r="B5953" s="35">
        <v>1</v>
      </c>
      <c r="C5953" s="35">
        <v>0</v>
      </c>
      <c r="D5953" s="2">
        <f t="shared" si="92"/>
        <v>1</v>
      </c>
    </row>
    <row r="5954" spans="1:4" x14ac:dyDescent="0.3">
      <c r="A5954" s="34">
        <v>47262</v>
      </c>
      <c r="B5954" s="35">
        <v>1</v>
      </c>
      <c r="C5954" s="35">
        <v>0</v>
      </c>
      <c r="D5954" s="2">
        <f t="shared" si="92"/>
        <v>1</v>
      </c>
    </row>
    <row r="5955" spans="1:4" x14ac:dyDescent="0.3">
      <c r="A5955" s="34">
        <v>47266</v>
      </c>
      <c r="B5955" s="35">
        <v>1</v>
      </c>
      <c r="C5955" s="35">
        <v>0</v>
      </c>
      <c r="D5955" s="2">
        <f t="shared" ref="D5955:D6018" si="93">B5955+C5955</f>
        <v>1</v>
      </c>
    </row>
    <row r="5956" spans="1:4" x14ac:dyDescent="0.3">
      <c r="A5956" s="34">
        <v>47269</v>
      </c>
      <c r="B5956" s="35">
        <v>1</v>
      </c>
      <c r="C5956" s="35">
        <v>1</v>
      </c>
      <c r="D5956" s="2">
        <f t="shared" si="93"/>
        <v>2</v>
      </c>
    </row>
    <row r="5957" spans="1:4" x14ac:dyDescent="0.3">
      <c r="A5957" s="34">
        <v>47270</v>
      </c>
      <c r="B5957" s="35">
        <v>1</v>
      </c>
      <c r="C5957" s="35">
        <v>0</v>
      </c>
      <c r="D5957" s="2">
        <f t="shared" si="93"/>
        <v>1</v>
      </c>
    </row>
    <row r="5958" spans="1:4" x14ac:dyDescent="0.3">
      <c r="A5958" s="34">
        <v>47271</v>
      </c>
      <c r="B5958" s="35">
        <v>1</v>
      </c>
      <c r="C5958" s="35">
        <v>0</v>
      </c>
      <c r="D5958" s="2">
        <f t="shared" si="93"/>
        <v>1</v>
      </c>
    </row>
    <row r="5959" spans="1:4" x14ac:dyDescent="0.3">
      <c r="A5959" s="34">
        <v>47276</v>
      </c>
      <c r="B5959" s="35">
        <v>1</v>
      </c>
      <c r="C5959" s="35">
        <v>1</v>
      </c>
      <c r="D5959" s="2">
        <f t="shared" si="93"/>
        <v>2</v>
      </c>
    </row>
    <row r="5960" spans="1:4" x14ac:dyDescent="0.3">
      <c r="A5960" s="34">
        <v>47277</v>
      </c>
      <c r="B5960" s="35">
        <v>1</v>
      </c>
      <c r="C5960" s="35">
        <v>0</v>
      </c>
      <c r="D5960" s="2">
        <f t="shared" si="93"/>
        <v>1</v>
      </c>
    </row>
    <row r="5961" spans="1:4" x14ac:dyDescent="0.3">
      <c r="A5961" s="34">
        <v>47279</v>
      </c>
      <c r="B5961" s="35">
        <v>1</v>
      </c>
      <c r="C5961" s="35">
        <v>0</v>
      </c>
      <c r="D5961" s="2">
        <f t="shared" si="93"/>
        <v>1</v>
      </c>
    </row>
    <row r="5962" spans="1:4" x14ac:dyDescent="0.3">
      <c r="A5962" s="34">
        <v>47281</v>
      </c>
      <c r="B5962" s="35">
        <v>1</v>
      </c>
      <c r="C5962" s="35">
        <v>0</v>
      </c>
      <c r="D5962" s="2">
        <f t="shared" si="93"/>
        <v>1</v>
      </c>
    </row>
    <row r="5963" spans="1:4" x14ac:dyDescent="0.3">
      <c r="A5963" s="34">
        <v>47284</v>
      </c>
      <c r="B5963" s="35">
        <v>2</v>
      </c>
      <c r="C5963" s="35">
        <v>1</v>
      </c>
      <c r="D5963" s="2">
        <f t="shared" si="93"/>
        <v>3</v>
      </c>
    </row>
    <row r="5964" spans="1:4" x14ac:dyDescent="0.3">
      <c r="A5964" s="34">
        <v>47287</v>
      </c>
      <c r="B5964" s="35">
        <v>1</v>
      </c>
      <c r="C5964" s="35">
        <v>1</v>
      </c>
      <c r="D5964" s="2">
        <f t="shared" si="93"/>
        <v>2</v>
      </c>
    </row>
    <row r="5965" spans="1:4" x14ac:dyDescent="0.3">
      <c r="A5965" s="34">
        <v>47288</v>
      </c>
      <c r="B5965" s="35">
        <v>1</v>
      </c>
      <c r="C5965" s="35">
        <v>0</v>
      </c>
      <c r="D5965" s="2">
        <f t="shared" si="93"/>
        <v>1</v>
      </c>
    </row>
    <row r="5966" spans="1:4" x14ac:dyDescent="0.3">
      <c r="A5966" s="34">
        <v>47289</v>
      </c>
      <c r="B5966" s="35">
        <v>1</v>
      </c>
      <c r="C5966" s="35">
        <v>0</v>
      </c>
      <c r="D5966" s="2">
        <f t="shared" si="93"/>
        <v>1</v>
      </c>
    </row>
    <row r="5967" spans="1:4" x14ac:dyDescent="0.3">
      <c r="A5967" s="34">
        <v>47290</v>
      </c>
      <c r="B5967" s="35">
        <v>1</v>
      </c>
      <c r="C5967" s="35">
        <v>0</v>
      </c>
      <c r="D5967" s="2">
        <f t="shared" si="93"/>
        <v>1</v>
      </c>
    </row>
    <row r="5968" spans="1:4" x14ac:dyDescent="0.3">
      <c r="A5968" s="34">
        <v>47291</v>
      </c>
      <c r="B5968" s="35">
        <v>1</v>
      </c>
      <c r="C5968" s="35">
        <v>0</v>
      </c>
      <c r="D5968" s="2">
        <f t="shared" si="93"/>
        <v>1</v>
      </c>
    </row>
    <row r="5969" spans="1:4" x14ac:dyDescent="0.3">
      <c r="A5969" s="34">
        <v>47295</v>
      </c>
      <c r="B5969" s="35">
        <v>1</v>
      </c>
      <c r="C5969" s="35">
        <v>0</v>
      </c>
      <c r="D5969" s="2">
        <f t="shared" si="93"/>
        <v>1</v>
      </c>
    </row>
    <row r="5970" spans="1:4" x14ac:dyDescent="0.3">
      <c r="A5970" s="34">
        <v>47305</v>
      </c>
      <c r="B5970" s="35">
        <v>1</v>
      </c>
      <c r="C5970" s="35">
        <v>0</v>
      </c>
      <c r="D5970" s="2">
        <f t="shared" si="93"/>
        <v>1</v>
      </c>
    </row>
    <row r="5971" spans="1:4" x14ac:dyDescent="0.3">
      <c r="A5971" s="34">
        <v>47306</v>
      </c>
      <c r="B5971" s="35">
        <v>1</v>
      </c>
      <c r="C5971" s="35">
        <v>1</v>
      </c>
      <c r="D5971" s="2">
        <f t="shared" si="93"/>
        <v>2</v>
      </c>
    </row>
    <row r="5972" spans="1:4" x14ac:dyDescent="0.3">
      <c r="A5972" s="34">
        <v>47307</v>
      </c>
      <c r="B5972" s="35">
        <v>1</v>
      </c>
      <c r="C5972" s="35">
        <v>0</v>
      </c>
      <c r="D5972" s="2">
        <f t="shared" si="93"/>
        <v>1</v>
      </c>
    </row>
    <row r="5973" spans="1:4" x14ac:dyDescent="0.3">
      <c r="A5973" s="34">
        <v>47308</v>
      </c>
      <c r="B5973" s="35">
        <v>1</v>
      </c>
      <c r="C5973" s="35">
        <v>0</v>
      </c>
      <c r="D5973" s="2">
        <f t="shared" si="93"/>
        <v>1</v>
      </c>
    </row>
    <row r="5974" spans="1:4" x14ac:dyDescent="0.3">
      <c r="A5974" s="34">
        <v>47309</v>
      </c>
      <c r="B5974" s="35">
        <v>1</v>
      </c>
      <c r="C5974" s="35">
        <v>0</v>
      </c>
      <c r="D5974" s="2">
        <f t="shared" si="93"/>
        <v>1</v>
      </c>
    </row>
    <row r="5975" spans="1:4" x14ac:dyDescent="0.3">
      <c r="A5975" s="34">
        <v>47310</v>
      </c>
      <c r="B5975" s="35">
        <v>1</v>
      </c>
      <c r="C5975" s="35">
        <v>1</v>
      </c>
      <c r="D5975" s="2">
        <f t="shared" si="93"/>
        <v>2</v>
      </c>
    </row>
    <row r="5976" spans="1:4" x14ac:dyDescent="0.3">
      <c r="A5976" s="34">
        <v>47312</v>
      </c>
      <c r="B5976" s="35">
        <v>1</v>
      </c>
      <c r="C5976" s="35">
        <v>0</v>
      </c>
      <c r="D5976" s="2">
        <f t="shared" si="93"/>
        <v>1</v>
      </c>
    </row>
    <row r="5977" spans="1:4" x14ac:dyDescent="0.3">
      <c r="A5977" s="34">
        <v>47314</v>
      </c>
      <c r="B5977" s="35">
        <v>1</v>
      </c>
      <c r="C5977" s="35">
        <v>0</v>
      </c>
      <c r="D5977" s="2">
        <f t="shared" si="93"/>
        <v>1</v>
      </c>
    </row>
    <row r="5978" spans="1:4" x14ac:dyDescent="0.3">
      <c r="A5978" s="34">
        <v>47316</v>
      </c>
      <c r="B5978" s="35">
        <v>1</v>
      </c>
      <c r="C5978" s="35">
        <v>1</v>
      </c>
      <c r="D5978" s="2">
        <f t="shared" si="93"/>
        <v>2</v>
      </c>
    </row>
    <row r="5979" spans="1:4" x14ac:dyDescent="0.3">
      <c r="A5979" s="34">
        <v>47318</v>
      </c>
      <c r="B5979" s="35">
        <v>1</v>
      </c>
      <c r="C5979" s="35">
        <v>0</v>
      </c>
      <c r="D5979" s="2">
        <f t="shared" si="93"/>
        <v>1</v>
      </c>
    </row>
    <row r="5980" spans="1:4" x14ac:dyDescent="0.3">
      <c r="A5980" s="34">
        <v>47319</v>
      </c>
      <c r="B5980" s="35">
        <v>1</v>
      </c>
      <c r="C5980" s="35">
        <v>0</v>
      </c>
      <c r="D5980" s="2">
        <f t="shared" si="93"/>
        <v>1</v>
      </c>
    </row>
    <row r="5981" spans="1:4" x14ac:dyDescent="0.3">
      <c r="A5981" s="34">
        <v>47322</v>
      </c>
      <c r="B5981" s="35">
        <v>1</v>
      </c>
      <c r="C5981" s="35">
        <v>1</v>
      </c>
      <c r="D5981" s="2">
        <f t="shared" si="93"/>
        <v>2</v>
      </c>
    </row>
    <row r="5982" spans="1:4" x14ac:dyDescent="0.3">
      <c r="A5982" s="34">
        <v>47323</v>
      </c>
      <c r="B5982" s="35">
        <v>1</v>
      </c>
      <c r="C5982" s="35">
        <v>0</v>
      </c>
      <c r="D5982" s="2">
        <f t="shared" si="93"/>
        <v>1</v>
      </c>
    </row>
    <row r="5983" spans="1:4" x14ac:dyDescent="0.3">
      <c r="A5983" s="34">
        <v>47326</v>
      </c>
      <c r="B5983" s="35">
        <v>1</v>
      </c>
      <c r="C5983" s="35">
        <v>0</v>
      </c>
      <c r="D5983" s="2">
        <f t="shared" si="93"/>
        <v>1</v>
      </c>
    </row>
    <row r="5984" spans="1:4" x14ac:dyDescent="0.3">
      <c r="A5984" s="34">
        <v>47332</v>
      </c>
      <c r="B5984" s="35">
        <v>1</v>
      </c>
      <c r="C5984" s="35">
        <v>0</v>
      </c>
      <c r="D5984" s="2">
        <f t="shared" si="93"/>
        <v>1</v>
      </c>
    </row>
    <row r="5985" spans="1:4" x14ac:dyDescent="0.3">
      <c r="A5985" s="34">
        <v>47362</v>
      </c>
      <c r="B5985" s="35">
        <v>1</v>
      </c>
      <c r="C5985" s="35">
        <v>0</v>
      </c>
      <c r="D5985" s="2">
        <f t="shared" si="93"/>
        <v>1</v>
      </c>
    </row>
    <row r="5986" spans="1:4" x14ac:dyDescent="0.3">
      <c r="A5986" s="34">
        <v>47364</v>
      </c>
      <c r="B5986" s="35">
        <v>1</v>
      </c>
      <c r="C5986" s="35">
        <v>1</v>
      </c>
      <c r="D5986" s="2">
        <f t="shared" si="93"/>
        <v>2</v>
      </c>
    </row>
    <row r="5987" spans="1:4" x14ac:dyDescent="0.3">
      <c r="A5987" s="34">
        <v>47370</v>
      </c>
      <c r="B5987" s="35">
        <v>1</v>
      </c>
      <c r="C5987" s="35">
        <v>0</v>
      </c>
      <c r="D5987" s="2">
        <f t="shared" si="93"/>
        <v>1</v>
      </c>
    </row>
    <row r="5988" spans="1:4" x14ac:dyDescent="0.3">
      <c r="A5988" s="34">
        <v>47372</v>
      </c>
      <c r="B5988" s="35">
        <v>2</v>
      </c>
      <c r="C5988" s="35">
        <v>0</v>
      </c>
      <c r="D5988" s="2">
        <f t="shared" si="93"/>
        <v>2</v>
      </c>
    </row>
    <row r="5989" spans="1:4" x14ac:dyDescent="0.3">
      <c r="A5989" s="34">
        <v>47373</v>
      </c>
      <c r="B5989" s="35">
        <v>4</v>
      </c>
      <c r="C5989" s="35">
        <v>3</v>
      </c>
      <c r="D5989" s="2">
        <f t="shared" si="93"/>
        <v>7</v>
      </c>
    </row>
    <row r="5990" spans="1:4" x14ac:dyDescent="0.3">
      <c r="A5990" s="34">
        <v>47374</v>
      </c>
      <c r="B5990" s="35">
        <v>1</v>
      </c>
      <c r="C5990" s="35">
        <v>0</v>
      </c>
      <c r="D5990" s="2">
        <f t="shared" si="93"/>
        <v>1</v>
      </c>
    </row>
    <row r="5991" spans="1:4" x14ac:dyDescent="0.3">
      <c r="A5991" s="34">
        <v>47377</v>
      </c>
      <c r="B5991" s="35">
        <v>1</v>
      </c>
      <c r="C5991" s="35">
        <v>0</v>
      </c>
      <c r="D5991" s="2">
        <f t="shared" si="93"/>
        <v>1</v>
      </c>
    </row>
    <row r="5992" spans="1:4" x14ac:dyDescent="0.3">
      <c r="A5992" s="34">
        <v>47378</v>
      </c>
      <c r="B5992" s="35">
        <v>2</v>
      </c>
      <c r="C5992" s="35">
        <v>0</v>
      </c>
      <c r="D5992" s="2">
        <f t="shared" si="93"/>
        <v>2</v>
      </c>
    </row>
    <row r="5993" spans="1:4" x14ac:dyDescent="0.3">
      <c r="A5993" s="34">
        <v>47379</v>
      </c>
      <c r="B5993" s="35">
        <v>1</v>
      </c>
      <c r="C5993" s="35">
        <v>0</v>
      </c>
      <c r="D5993" s="2">
        <f t="shared" si="93"/>
        <v>1</v>
      </c>
    </row>
    <row r="5994" spans="1:4" x14ac:dyDescent="0.3">
      <c r="A5994" s="34">
        <v>47381</v>
      </c>
      <c r="B5994" s="35">
        <v>1</v>
      </c>
      <c r="C5994" s="35">
        <v>0</v>
      </c>
      <c r="D5994" s="2">
        <f t="shared" si="93"/>
        <v>1</v>
      </c>
    </row>
    <row r="5995" spans="1:4" x14ac:dyDescent="0.3">
      <c r="A5995" s="34">
        <v>47383</v>
      </c>
      <c r="B5995" s="35">
        <v>1</v>
      </c>
      <c r="C5995" s="35">
        <v>0</v>
      </c>
      <c r="D5995" s="2">
        <f t="shared" si="93"/>
        <v>1</v>
      </c>
    </row>
    <row r="5996" spans="1:4" x14ac:dyDescent="0.3">
      <c r="A5996" s="34">
        <v>47384</v>
      </c>
      <c r="B5996" s="35">
        <v>1</v>
      </c>
      <c r="C5996" s="35">
        <v>0</v>
      </c>
      <c r="D5996" s="2">
        <f t="shared" si="93"/>
        <v>1</v>
      </c>
    </row>
    <row r="5997" spans="1:4" x14ac:dyDescent="0.3">
      <c r="A5997" s="34">
        <v>47387</v>
      </c>
      <c r="B5997" s="35">
        <v>1</v>
      </c>
      <c r="C5997" s="35">
        <v>0</v>
      </c>
      <c r="D5997" s="2">
        <f t="shared" si="93"/>
        <v>1</v>
      </c>
    </row>
    <row r="5998" spans="1:4" x14ac:dyDescent="0.3">
      <c r="A5998" s="34">
        <v>47389</v>
      </c>
      <c r="B5998" s="35">
        <v>1</v>
      </c>
      <c r="C5998" s="35">
        <v>1</v>
      </c>
      <c r="D5998" s="2">
        <f t="shared" si="93"/>
        <v>2</v>
      </c>
    </row>
    <row r="5999" spans="1:4" x14ac:dyDescent="0.3">
      <c r="A5999" s="34">
        <v>47398</v>
      </c>
      <c r="B5999" s="35">
        <v>1</v>
      </c>
      <c r="C5999" s="35">
        <v>0</v>
      </c>
      <c r="D5999" s="2">
        <f t="shared" si="93"/>
        <v>1</v>
      </c>
    </row>
    <row r="6000" spans="1:4" x14ac:dyDescent="0.3">
      <c r="A6000" s="34">
        <v>47405</v>
      </c>
      <c r="B6000" s="35">
        <v>1</v>
      </c>
      <c r="C6000" s="35">
        <v>0</v>
      </c>
      <c r="D6000" s="2">
        <f t="shared" si="93"/>
        <v>1</v>
      </c>
    </row>
    <row r="6001" spans="1:4" x14ac:dyDescent="0.3">
      <c r="A6001" s="34">
        <v>47408</v>
      </c>
      <c r="B6001" s="35">
        <v>1</v>
      </c>
      <c r="C6001" s="35">
        <v>0</v>
      </c>
      <c r="D6001" s="2">
        <f t="shared" si="93"/>
        <v>1</v>
      </c>
    </row>
    <row r="6002" spans="1:4" x14ac:dyDescent="0.3">
      <c r="A6002" s="34">
        <v>47409</v>
      </c>
      <c r="B6002" s="35">
        <v>1</v>
      </c>
      <c r="C6002" s="35">
        <v>0</v>
      </c>
      <c r="D6002" s="2">
        <f t="shared" si="93"/>
        <v>1</v>
      </c>
    </row>
    <row r="6003" spans="1:4" x14ac:dyDescent="0.3">
      <c r="A6003" s="34">
        <v>47414</v>
      </c>
      <c r="B6003" s="35">
        <v>1</v>
      </c>
      <c r="C6003" s="35">
        <v>0</v>
      </c>
      <c r="D6003" s="2">
        <f t="shared" si="93"/>
        <v>1</v>
      </c>
    </row>
    <row r="6004" spans="1:4" x14ac:dyDescent="0.3">
      <c r="A6004" s="34">
        <v>47415</v>
      </c>
      <c r="B6004" s="35">
        <v>1</v>
      </c>
      <c r="C6004" s="35">
        <v>1</v>
      </c>
      <c r="D6004" s="2">
        <f t="shared" si="93"/>
        <v>2</v>
      </c>
    </row>
    <row r="6005" spans="1:4" x14ac:dyDescent="0.3">
      <c r="A6005" s="34">
        <v>47416</v>
      </c>
      <c r="B6005" s="35">
        <v>2</v>
      </c>
      <c r="C6005" s="35">
        <v>2</v>
      </c>
      <c r="D6005" s="2">
        <f t="shared" si="93"/>
        <v>4</v>
      </c>
    </row>
    <row r="6006" spans="1:4" x14ac:dyDescent="0.3">
      <c r="A6006" s="34">
        <v>47417</v>
      </c>
      <c r="B6006" s="35">
        <v>1</v>
      </c>
      <c r="C6006" s="35">
        <v>1</v>
      </c>
      <c r="D6006" s="2">
        <f t="shared" si="93"/>
        <v>2</v>
      </c>
    </row>
    <row r="6007" spans="1:4" x14ac:dyDescent="0.3">
      <c r="A6007" s="34">
        <v>47418</v>
      </c>
      <c r="B6007" s="35">
        <v>1</v>
      </c>
      <c r="C6007" s="35">
        <v>0</v>
      </c>
      <c r="D6007" s="2">
        <f t="shared" si="93"/>
        <v>1</v>
      </c>
    </row>
    <row r="6008" spans="1:4" x14ac:dyDescent="0.3">
      <c r="A6008" s="34">
        <v>47420</v>
      </c>
      <c r="B6008" s="35">
        <v>1</v>
      </c>
      <c r="C6008" s="35">
        <v>0</v>
      </c>
      <c r="D6008" s="2">
        <f t="shared" si="93"/>
        <v>1</v>
      </c>
    </row>
    <row r="6009" spans="1:4" x14ac:dyDescent="0.3">
      <c r="A6009" s="34">
        <v>47421</v>
      </c>
      <c r="B6009" s="35">
        <v>1</v>
      </c>
      <c r="C6009" s="35">
        <v>1</v>
      </c>
      <c r="D6009" s="2">
        <f t="shared" si="93"/>
        <v>2</v>
      </c>
    </row>
    <row r="6010" spans="1:4" x14ac:dyDescent="0.3">
      <c r="A6010" s="34">
        <v>47524</v>
      </c>
      <c r="B6010" s="35">
        <v>1</v>
      </c>
      <c r="C6010" s="35">
        <v>0</v>
      </c>
      <c r="D6010" s="2">
        <f t="shared" si="93"/>
        <v>1</v>
      </c>
    </row>
    <row r="6011" spans="1:4" x14ac:dyDescent="0.3">
      <c r="A6011" s="34">
        <v>47528</v>
      </c>
      <c r="B6011" s="35">
        <v>2</v>
      </c>
      <c r="C6011" s="35">
        <v>1</v>
      </c>
      <c r="D6011" s="2">
        <f t="shared" si="93"/>
        <v>3</v>
      </c>
    </row>
    <row r="6012" spans="1:4" x14ac:dyDescent="0.3">
      <c r="A6012" s="34">
        <v>47529</v>
      </c>
      <c r="B6012" s="35">
        <v>1</v>
      </c>
      <c r="C6012" s="35">
        <v>0</v>
      </c>
      <c r="D6012" s="2">
        <f t="shared" si="93"/>
        <v>1</v>
      </c>
    </row>
    <row r="6013" spans="1:4" x14ac:dyDescent="0.3">
      <c r="A6013" s="34">
        <v>47533</v>
      </c>
      <c r="B6013" s="35">
        <v>1</v>
      </c>
      <c r="C6013" s="35">
        <v>1</v>
      </c>
      <c r="D6013" s="2">
        <f t="shared" si="93"/>
        <v>2</v>
      </c>
    </row>
    <row r="6014" spans="1:4" x14ac:dyDescent="0.3">
      <c r="A6014" s="34">
        <v>47534</v>
      </c>
      <c r="B6014" s="35">
        <v>2</v>
      </c>
      <c r="C6014" s="35">
        <v>1</v>
      </c>
      <c r="D6014" s="2">
        <f t="shared" si="93"/>
        <v>3</v>
      </c>
    </row>
    <row r="6015" spans="1:4" x14ac:dyDescent="0.3">
      <c r="A6015" s="34">
        <v>47536</v>
      </c>
      <c r="B6015" s="35">
        <v>1</v>
      </c>
      <c r="C6015" s="35">
        <v>0</v>
      </c>
      <c r="D6015" s="2">
        <f t="shared" si="93"/>
        <v>1</v>
      </c>
    </row>
    <row r="6016" spans="1:4" x14ac:dyDescent="0.3">
      <c r="A6016" s="34">
        <v>47537</v>
      </c>
      <c r="B6016" s="35">
        <v>1</v>
      </c>
      <c r="C6016" s="35">
        <v>1</v>
      </c>
      <c r="D6016" s="2">
        <f t="shared" si="93"/>
        <v>2</v>
      </c>
    </row>
    <row r="6017" spans="1:4" x14ac:dyDescent="0.3">
      <c r="A6017" s="34">
        <v>47539</v>
      </c>
      <c r="B6017" s="35">
        <v>2</v>
      </c>
      <c r="C6017" s="35">
        <v>1</v>
      </c>
      <c r="D6017" s="2">
        <f t="shared" si="93"/>
        <v>3</v>
      </c>
    </row>
    <row r="6018" spans="1:4" x14ac:dyDescent="0.3">
      <c r="A6018" s="34">
        <v>47542</v>
      </c>
      <c r="B6018" s="35">
        <v>1</v>
      </c>
      <c r="C6018" s="35">
        <v>0</v>
      </c>
      <c r="D6018" s="2">
        <f t="shared" si="93"/>
        <v>1</v>
      </c>
    </row>
    <row r="6019" spans="1:4" x14ac:dyDescent="0.3">
      <c r="A6019" s="34">
        <v>47544</v>
      </c>
      <c r="B6019" s="35">
        <v>1</v>
      </c>
      <c r="C6019" s="35">
        <v>0</v>
      </c>
      <c r="D6019" s="2">
        <f t="shared" ref="D6019:D6082" si="94">B6019+C6019</f>
        <v>1</v>
      </c>
    </row>
    <row r="6020" spans="1:4" x14ac:dyDescent="0.3">
      <c r="A6020" s="34">
        <v>47545</v>
      </c>
      <c r="B6020" s="35">
        <v>1</v>
      </c>
      <c r="C6020" s="35">
        <v>0</v>
      </c>
      <c r="D6020" s="2">
        <f t="shared" si="94"/>
        <v>1</v>
      </c>
    </row>
    <row r="6021" spans="1:4" x14ac:dyDescent="0.3">
      <c r="A6021" s="34">
        <v>47551</v>
      </c>
      <c r="B6021" s="35">
        <v>1</v>
      </c>
      <c r="C6021" s="35">
        <v>0</v>
      </c>
      <c r="D6021" s="2">
        <f t="shared" si="94"/>
        <v>1</v>
      </c>
    </row>
    <row r="6022" spans="1:4" x14ac:dyDescent="0.3">
      <c r="A6022" s="34">
        <v>47553</v>
      </c>
      <c r="B6022" s="35">
        <v>2</v>
      </c>
      <c r="C6022" s="35">
        <v>1</v>
      </c>
      <c r="D6022" s="2">
        <f t="shared" si="94"/>
        <v>3</v>
      </c>
    </row>
    <row r="6023" spans="1:4" x14ac:dyDescent="0.3">
      <c r="A6023" s="34">
        <v>47554</v>
      </c>
      <c r="B6023" s="35">
        <v>1</v>
      </c>
      <c r="C6023" s="35">
        <v>0</v>
      </c>
      <c r="D6023" s="2">
        <f t="shared" si="94"/>
        <v>1</v>
      </c>
    </row>
    <row r="6024" spans="1:4" x14ac:dyDescent="0.3">
      <c r="A6024" s="34">
        <v>47557</v>
      </c>
      <c r="B6024" s="35">
        <v>1</v>
      </c>
      <c r="C6024" s="35">
        <v>0</v>
      </c>
      <c r="D6024" s="2">
        <f t="shared" si="94"/>
        <v>1</v>
      </c>
    </row>
    <row r="6025" spans="1:4" x14ac:dyDescent="0.3">
      <c r="A6025" s="34">
        <v>47558</v>
      </c>
      <c r="B6025" s="35">
        <v>1</v>
      </c>
      <c r="C6025" s="35">
        <v>0</v>
      </c>
      <c r="D6025" s="2">
        <f t="shared" si="94"/>
        <v>1</v>
      </c>
    </row>
    <row r="6026" spans="1:4" x14ac:dyDescent="0.3">
      <c r="A6026" s="34">
        <v>47559</v>
      </c>
      <c r="B6026" s="35">
        <v>1</v>
      </c>
      <c r="C6026" s="35">
        <v>1</v>
      </c>
      <c r="D6026" s="2">
        <f t="shared" si="94"/>
        <v>2</v>
      </c>
    </row>
    <row r="6027" spans="1:4" x14ac:dyDescent="0.3">
      <c r="A6027" s="34">
        <v>47561</v>
      </c>
      <c r="B6027" s="35">
        <v>1</v>
      </c>
      <c r="C6027" s="35">
        <v>0</v>
      </c>
      <c r="D6027" s="2">
        <f t="shared" si="94"/>
        <v>1</v>
      </c>
    </row>
    <row r="6028" spans="1:4" x14ac:dyDescent="0.3">
      <c r="A6028" s="34">
        <v>47562</v>
      </c>
      <c r="B6028" s="35">
        <v>1</v>
      </c>
      <c r="C6028" s="35">
        <v>0</v>
      </c>
      <c r="D6028" s="2">
        <f t="shared" si="94"/>
        <v>1</v>
      </c>
    </row>
    <row r="6029" spans="1:4" x14ac:dyDescent="0.3">
      <c r="A6029" s="34">
        <v>47566</v>
      </c>
      <c r="B6029" s="35">
        <v>1</v>
      </c>
      <c r="C6029" s="35">
        <v>0</v>
      </c>
      <c r="D6029" s="2">
        <f t="shared" si="94"/>
        <v>1</v>
      </c>
    </row>
    <row r="6030" spans="1:4" x14ac:dyDescent="0.3">
      <c r="A6030" s="34">
        <v>47568</v>
      </c>
      <c r="B6030" s="35">
        <v>1</v>
      </c>
      <c r="C6030" s="35">
        <v>0</v>
      </c>
      <c r="D6030" s="2">
        <f t="shared" si="94"/>
        <v>1</v>
      </c>
    </row>
    <row r="6031" spans="1:4" x14ac:dyDescent="0.3">
      <c r="A6031" s="34">
        <v>47569</v>
      </c>
      <c r="B6031" s="35">
        <v>1</v>
      </c>
      <c r="C6031" s="35">
        <v>0</v>
      </c>
      <c r="D6031" s="2">
        <f t="shared" si="94"/>
        <v>1</v>
      </c>
    </row>
    <row r="6032" spans="1:4" x14ac:dyDescent="0.3">
      <c r="A6032" s="34">
        <v>47573</v>
      </c>
      <c r="B6032" s="35">
        <v>1</v>
      </c>
      <c r="C6032" s="35">
        <v>0</v>
      </c>
      <c r="D6032" s="2">
        <f t="shared" si="94"/>
        <v>1</v>
      </c>
    </row>
    <row r="6033" spans="1:4" x14ac:dyDescent="0.3">
      <c r="A6033" s="34">
        <v>47575</v>
      </c>
      <c r="B6033" s="35">
        <v>1</v>
      </c>
      <c r="C6033" s="35">
        <v>0</v>
      </c>
      <c r="D6033" s="2">
        <f t="shared" si="94"/>
        <v>1</v>
      </c>
    </row>
    <row r="6034" spans="1:4" x14ac:dyDescent="0.3">
      <c r="A6034" s="34">
        <v>47586</v>
      </c>
      <c r="B6034" s="35">
        <v>1</v>
      </c>
      <c r="C6034" s="35">
        <v>0</v>
      </c>
      <c r="D6034" s="2">
        <f t="shared" si="94"/>
        <v>1</v>
      </c>
    </row>
    <row r="6035" spans="1:4" x14ac:dyDescent="0.3">
      <c r="A6035" s="34">
        <v>47588</v>
      </c>
      <c r="B6035" s="35">
        <v>1</v>
      </c>
      <c r="C6035" s="35">
        <v>0</v>
      </c>
      <c r="D6035" s="2">
        <f t="shared" si="94"/>
        <v>1</v>
      </c>
    </row>
    <row r="6036" spans="1:4" x14ac:dyDescent="0.3">
      <c r="A6036" s="34">
        <v>47591</v>
      </c>
      <c r="B6036" s="35">
        <v>1</v>
      </c>
      <c r="C6036" s="35">
        <v>0</v>
      </c>
      <c r="D6036" s="2">
        <f t="shared" si="94"/>
        <v>1</v>
      </c>
    </row>
    <row r="6037" spans="1:4" x14ac:dyDescent="0.3">
      <c r="A6037" s="34">
        <v>47596</v>
      </c>
      <c r="B6037" s="35">
        <v>1</v>
      </c>
      <c r="C6037" s="35">
        <v>0</v>
      </c>
      <c r="D6037" s="2">
        <f t="shared" si="94"/>
        <v>1</v>
      </c>
    </row>
    <row r="6038" spans="1:4" x14ac:dyDescent="0.3">
      <c r="A6038" s="34">
        <v>47599</v>
      </c>
      <c r="B6038" s="35">
        <v>2</v>
      </c>
      <c r="C6038" s="35">
        <v>0</v>
      </c>
      <c r="D6038" s="2">
        <f t="shared" si="94"/>
        <v>2</v>
      </c>
    </row>
    <row r="6039" spans="1:4" x14ac:dyDescent="0.3">
      <c r="A6039" s="34">
        <v>47600</v>
      </c>
      <c r="B6039" s="35">
        <v>1</v>
      </c>
      <c r="C6039" s="35">
        <v>0</v>
      </c>
      <c r="D6039" s="2">
        <f t="shared" si="94"/>
        <v>1</v>
      </c>
    </row>
    <row r="6040" spans="1:4" x14ac:dyDescent="0.3">
      <c r="A6040" s="34">
        <v>47601</v>
      </c>
      <c r="B6040" s="35">
        <v>1</v>
      </c>
      <c r="C6040" s="35">
        <v>0</v>
      </c>
      <c r="D6040" s="2">
        <f t="shared" si="94"/>
        <v>1</v>
      </c>
    </row>
    <row r="6041" spans="1:4" x14ac:dyDescent="0.3">
      <c r="A6041" s="34">
        <v>47605</v>
      </c>
      <c r="B6041" s="35">
        <v>1</v>
      </c>
      <c r="C6041" s="35">
        <v>0</v>
      </c>
      <c r="D6041" s="2">
        <f t="shared" si="94"/>
        <v>1</v>
      </c>
    </row>
    <row r="6042" spans="1:4" x14ac:dyDescent="0.3">
      <c r="A6042" s="34">
        <v>47606</v>
      </c>
      <c r="B6042" s="35">
        <v>1</v>
      </c>
      <c r="C6042" s="35">
        <v>0</v>
      </c>
      <c r="D6042" s="2">
        <f t="shared" si="94"/>
        <v>1</v>
      </c>
    </row>
    <row r="6043" spans="1:4" x14ac:dyDescent="0.3">
      <c r="A6043" s="34">
        <v>47724</v>
      </c>
      <c r="B6043" s="35">
        <v>1</v>
      </c>
      <c r="C6043" s="35">
        <v>0</v>
      </c>
      <c r="D6043" s="2">
        <f t="shared" si="94"/>
        <v>1</v>
      </c>
    </row>
    <row r="6044" spans="1:4" x14ac:dyDescent="0.3">
      <c r="A6044" s="34">
        <v>47725</v>
      </c>
      <c r="B6044" s="35">
        <v>2</v>
      </c>
      <c r="C6044" s="35">
        <v>1</v>
      </c>
      <c r="D6044" s="2">
        <f t="shared" si="94"/>
        <v>3</v>
      </c>
    </row>
    <row r="6045" spans="1:4" x14ac:dyDescent="0.3">
      <c r="A6045" s="34">
        <v>47731</v>
      </c>
      <c r="B6045" s="35">
        <v>1</v>
      </c>
      <c r="C6045" s="35">
        <v>0</v>
      </c>
      <c r="D6045" s="2">
        <f t="shared" si="94"/>
        <v>1</v>
      </c>
    </row>
    <row r="6046" spans="1:4" x14ac:dyDescent="0.3">
      <c r="A6046" s="34">
        <v>47733</v>
      </c>
      <c r="B6046" s="35">
        <v>1</v>
      </c>
      <c r="C6046" s="35">
        <v>0</v>
      </c>
      <c r="D6046" s="2">
        <f t="shared" si="94"/>
        <v>1</v>
      </c>
    </row>
    <row r="6047" spans="1:4" x14ac:dyDescent="0.3">
      <c r="A6047" s="34">
        <v>47737</v>
      </c>
      <c r="B6047" s="35">
        <v>1</v>
      </c>
      <c r="C6047" s="35">
        <v>0</v>
      </c>
      <c r="D6047" s="2">
        <f t="shared" si="94"/>
        <v>1</v>
      </c>
    </row>
    <row r="6048" spans="1:4" x14ac:dyDescent="0.3">
      <c r="A6048" s="34">
        <v>47740</v>
      </c>
      <c r="B6048" s="35">
        <v>1</v>
      </c>
      <c r="C6048" s="35">
        <v>0</v>
      </c>
      <c r="D6048" s="2">
        <f t="shared" si="94"/>
        <v>1</v>
      </c>
    </row>
    <row r="6049" spans="1:4" x14ac:dyDescent="0.3">
      <c r="A6049" s="34">
        <v>47741</v>
      </c>
      <c r="B6049" s="35">
        <v>1</v>
      </c>
      <c r="C6049" s="35">
        <v>0</v>
      </c>
      <c r="D6049" s="2">
        <f t="shared" si="94"/>
        <v>1</v>
      </c>
    </row>
    <row r="6050" spans="1:4" x14ac:dyDescent="0.3">
      <c r="A6050" s="34">
        <v>47743</v>
      </c>
      <c r="B6050" s="35">
        <v>1</v>
      </c>
      <c r="C6050" s="35">
        <v>0</v>
      </c>
      <c r="D6050" s="2">
        <f t="shared" si="94"/>
        <v>1</v>
      </c>
    </row>
    <row r="6051" spans="1:4" x14ac:dyDescent="0.3">
      <c r="A6051" s="34">
        <v>47744</v>
      </c>
      <c r="B6051" s="35">
        <v>1</v>
      </c>
      <c r="C6051" s="35">
        <v>0</v>
      </c>
      <c r="D6051" s="2">
        <f t="shared" si="94"/>
        <v>1</v>
      </c>
    </row>
    <row r="6052" spans="1:4" x14ac:dyDescent="0.3">
      <c r="A6052" s="34">
        <v>47745</v>
      </c>
      <c r="B6052" s="35">
        <v>1</v>
      </c>
      <c r="C6052" s="35">
        <v>0</v>
      </c>
      <c r="D6052" s="2">
        <f t="shared" si="94"/>
        <v>1</v>
      </c>
    </row>
    <row r="6053" spans="1:4" x14ac:dyDescent="0.3">
      <c r="A6053" s="34">
        <v>47746</v>
      </c>
      <c r="B6053" s="35">
        <v>1</v>
      </c>
      <c r="C6053" s="35">
        <v>1</v>
      </c>
      <c r="D6053" s="2">
        <f t="shared" si="94"/>
        <v>2</v>
      </c>
    </row>
    <row r="6054" spans="1:4" x14ac:dyDescent="0.3">
      <c r="A6054" s="34">
        <v>47750</v>
      </c>
      <c r="B6054" s="35">
        <v>1</v>
      </c>
      <c r="C6054" s="35">
        <v>0</v>
      </c>
      <c r="D6054" s="2">
        <f t="shared" si="94"/>
        <v>1</v>
      </c>
    </row>
    <row r="6055" spans="1:4" x14ac:dyDescent="0.3">
      <c r="A6055" s="34">
        <v>47752</v>
      </c>
      <c r="B6055" s="35">
        <v>1</v>
      </c>
      <c r="C6055" s="35">
        <v>0</v>
      </c>
      <c r="D6055" s="2">
        <f t="shared" si="94"/>
        <v>1</v>
      </c>
    </row>
    <row r="6056" spans="1:4" x14ac:dyDescent="0.3">
      <c r="A6056" s="34">
        <v>47755</v>
      </c>
      <c r="B6056" s="35">
        <v>1</v>
      </c>
      <c r="C6056" s="35">
        <v>0</v>
      </c>
      <c r="D6056" s="2">
        <f t="shared" si="94"/>
        <v>1</v>
      </c>
    </row>
    <row r="6057" spans="1:4" x14ac:dyDescent="0.3">
      <c r="A6057" s="34">
        <v>47759</v>
      </c>
      <c r="B6057" s="35">
        <v>1</v>
      </c>
      <c r="C6057" s="35">
        <v>0</v>
      </c>
      <c r="D6057" s="2">
        <f t="shared" si="94"/>
        <v>1</v>
      </c>
    </row>
    <row r="6058" spans="1:4" x14ac:dyDescent="0.3">
      <c r="A6058" s="34">
        <v>47760</v>
      </c>
      <c r="B6058" s="35">
        <v>1</v>
      </c>
      <c r="C6058" s="35">
        <v>0</v>
      </c>
      <c r="D6058" s="2">
        <f t="shared" si="94"/>
        <v>1</v>
      </c>
    </row>
    <row r="6059" spans="1:4" x14ac:dyDescent="0.3">
      <c r="A6059" s="34">
        <v>47761</v>
      </c>
      <c r="B6059" s="35">
        <v>1</v>
      </c>
      <c r="C6059" s="35">
        <v>0</v>
      </c>
      <c r="D6059" s="2">
        <f t="shared" si="94"/>
        <v>1</v>
      </c>
    </row>
    <row r="6060" spans="1:4" x14ac:dyDescent="0.3">
      <c r="A6060" s="34">
        <v>47763</v>
      </c>
      <c r="B6060" s="35">
        <v>1</v>
      </c>
      <c r="C6060" s="35">
        <v>0</v>
      </c>
      <c r="D6060" s="2">
        <f t="shared" si="94"/>
        <v>1</v>
      </c>
    </row>
    <row r="6061" spans="1:4" x14ac:dyDescent="0.3">
      <c r="A6061" s="34">
        <v>47764</v>
      </c>
      <c r="B6061" s="35">
        <v>2</v>
      </c>
      <c r="C6061" s="35">
        <v>1</v>
      </c>
      <c r="D6061" s="2">
        <f t="shared" si="94"/>
        <v>3</v>
      </c>
    </row>
    <row r="6062" spans="1:4" x14ac:dyDescent="0.3">
      <c r="A6062" s="34">
        <v>47765</v>
      </c>
      <c r="B6062" s="35">
        <v>1</v>
      </c>
      <c r="C6062" s="35">
        <v>0</v>
      </c>
      <c r="D6062" s="2">
        <f t="shared" si="94"/>
        <v>1</v>
      </c>
    </row>
    <row r="6063" spans="1:4" x14ac:dyDescent="0.3">
      <c r="A6063" s="34">
        <v>47769</v>
      </c>
      <c r="B6063" s="35">
        <v>1</v>
      </c>
      <c r="C6063" s="35">
        <v>0</v>
      </c>
      <c r="D6063" s="2">
        <f t="shared" si="94"/>
        <v>1</v>
      </c>
    </row>
    <row r="6064" spans="1:4" x14ac:dyDescent="0.3">
      <c r="A6064" s="34">
        <v>47770</v>
      </c>
      <c r="B6064" s="35">
        <v>1</v>
      </c>
      <c r="C6064" s="35">
        <v>0</v>
      </c>
      <c r="D6064" s="2">
        <f t="shared" si="94"/>
        <v>1</v>
      </c>
    </row>
    <row r="6065" spans="1:4" x14ac:dyDescent="0.3">
      <c r="A6065" s="34">
        <v>47775</v>
      </c>
      <c r="B6065" s="35">
        <v>1</v>
      </c>
      <c r="C6065" s="35">
        <v>0</v>
      </c>
      <c r="D6065" s="2">
        <f t="shared" si="94"/>
        <v>1</v>
      </c>
    </row>
    <row r="6066" spans="1:4" x14ac:dyDescent="0.3">
      <c r="A6066" s="34">
        <v>47779</v>
      </c>
      <c r="B6066" s="35">
        <v>1</v>
      </c>
      <c r="C6066" s="35">
        <v>0</v>
      </c>
      <c r="D6066" s="2">
        <f t="shared" si="94"/>
        <v>1</v>
      </c>
    </row>
    <row r="6067" spans="1:4" x14ac:dyDescent="0.3">
      <c r="A6067" s="34">
        <v>47780</v>
      </c>
      <c r="B6067" s="35">
        <v>1</v>
      </c>
      <c r="C6067" s="35">
        <v>1</v>
      </c>
      <c r="D6067" s="2">
        <f t="shared" si="94"/>
        <v>2</v>
      </c>
    </row>
    <row r="6068" spans="1:4" x14ac:dyDescent="0.3">
      <c r="A6068" s="34">
        <v>47789</v>
      </c>
      <c r="B6068" s="35">
        <v>1</v>
      </c>
      <c r="C6068" s="35">
        <v>0</v>
      </c>
      <c r="D6068" s="2">
        <f t="shared" si="94"/>
        <v>1</v>
      </c>
    </row>
    <row r="6069" spans="1:4" x14ac:dyDescent="0.3">
      <c r="A6069" s="34">
        <v>47793</v>
      </c>
      <c r="B6069" s="35">
        <v>1</v>
      </c>
      <c r="C6069" s="35">
        <v>0</v>
      </c>
      <c r="D6069" s="2">
        <f t="shared" si="94"/>
        <v>1</v>
      </c>
    </row>
    <row r="6070" spans="1:4" x14ac:dyDescent="0.3">
      <c r="A6070" s="34">
        <v>47798</v>
      </c>
      <c r="B6070" s="35">
        <v>1</v>
      </c>
      <c r="C6070" s="35">
        <v>0</v>
      </c>
      <c r="D6070" s="2">
        <f t="shared" si="94"/>
        <v>1</v>
      </c>
    </row>
    <row r="6071" spans="1:4" x14ac:dyDescent="0.3">
      <c r="A6071" s="34">
        <v>47800</v>
      </c>
      <c r="B6071" s="35">
        <v>1</v>
      </c>
      <c r="C6071" s="35">
        <v>0</v>
      </c>
      <c r="D6071" s="2">
        <f t="shared" si="94"/>
        <v>1</v>
      </c>
    </row>
    <row r="6072" spans="1:4" x14ac:dyDescent="0.3">
      <c r="A6072" s="34">
        <v>47801</v>
      </c>
      <c r="B6072" s="35">
        <v>1</v>
      </c>
      <c r="C6072" s="35">
        <v>0</v>
      </c>
      <c r="D6072" s="2">
        <f t="shared" si="94"/>
        <v>1</v>
      </c>
    </row>
    <row r="6073" spans="1:4" x14ac:dyDescent="0.3">
      <c r="A6073" s="34">
        <v>47802</v>
      </c>
      <c r="B6073" s="35">
        <v>1</v>
      </c>
      <c r="C6073" s="35">
        <v>0</v>
      </c>
      <c r="D6073" s="2">
        <f t="shared" si="94"/>
        <v>1</v>
      </c>
    </row>
    <row r="6074" spans="1:4" x14ac:dyDescent="0.3">
      <c r="A6074" s="34">
        <v>47804</v>
      </c>
      <c r="B6074" s="35">
        <v>1</v>
      </c>
      <c r="C6074" s="35">
        <v>0</v>
      </c>
      <c r="D6074" s="2">
        <f t="shared" si="94"/>
        <v>1</v>
      </c>
    </row>
    <row r="6075" spans="1:4" x14ac:dyDescent="0.3">
      <c r="A6075" s="34">
        <v>47806</v>
      </c>
      <c r="B6075" s="35">
        <v>1</v>
      </c>
      <c r="C6075" s="35">
        <v>0</v>
      </c>
      <c r="D6075" s="2">
        <f t="shared" si="94"/>
        <v>1</v>
      </c>
    </row>
    <row r="6076" spans="1:4" x14ac:dyDescent="0.3">
      <c r="A6076" s="34">
        <v>47807</v>
      </c>
      <c r="B6076" s="35">
        <v>1</v>
      </c>
      <c r="C6076" s="35">
        <v>0</v>
      </c>
      <c r="D6076" s="2">
        <f t="shared" si="94"/>
        <v>1</v>
      </c>
    </row>
    <row r="6077" spans="1:4" x14ac:dyDescent="0.3">
      <c r="A6077" s="34">
        <v>47809</v>
      </c>
      <c r="B6077" s="35">
        <v>1</v>
      </c>
      <c r="C6077" s="35">
        <v>0</v>
      </c>
      <c r="D6077" s="2">
        <f t="shared" si="94"/>
        <v>1</v>
      </c>
    </row>
    <row r="6078" spans="1:4" x14ac:dyDescent="0.3">
      <c r="A6078" s="34">
        <v>47811</v>
      </c>
      <c r="B6078" s="35">
        <v>1</v>
      </c>
      <c r="C6078" s="35">
        <v>0</v>
      </c>
      <c r="D6078" s="2">
        <f t="shared" si="94"/>
        <v>1</v>
      </c>
    </row>
    <row r="6079" spans="1:4" x14ac:dyDescent="0.3">
      <c r="A6079" s="34">
        <v>47922</v>
      </c>
      <c r="B6079" s="35">
        <v>1</v>
      </c>
      <c r="C6079" s="35">
        <v>0</v>
      </c>
      <c r="D6079" s="2">
        <f t="shared" si="94"/>
        <v>1</v>
      </c>
    </row>
    <row r="6080" spans="1:4" x14ac:dyDescent="0.3">
      <c r="A6080" s="34">
        <v>47924</v>
      </c>
      <c r="B6080" s="35">
        <v>1</v>
      </c>
      <c r="C6080" s="35">
        <v>0</v>
      </c>
      <c r="D6080" s="2">
        <f t="shared" si="94"/>
        <v>1</v>
      </c>
    </row>
    <row r="6081" spans="1:4" x14ac:dyDescent="0.3">
      <c r="A6081" s="34">
        <v>47928</v>
      </c>
      <c r="B6081" s="35">
        <v>2</v>
      </c>
      <c r="C6081" s="35">
        <v>2</v>
      </c>
      <c r="D6081" s="2">
        <f t="shared" si="94"/>
        <v>4</v>
      </c>
    </row>
    <row r="6082" spans="1:4" x14ac:dyDescent="0.3">
      <c r="A6082" s="34">
        <v>47929</v>
      </c>
      <c r="B6082" s="35">
        <v>1</v>
      </c>
      <c r="C6082" s="35">
        <v>0</v>
      </c>
      <c r="D6082" s="2">
        <f t="shared" si="94"/>
        <v>1</v>
      </c>
    </row>
    <row r="6083" spans="1:4" x14ac:dyDescent="0.3">
      <c r="A6083" s="34">
        <v>47934</v>
      </c>
      <c r="B6083" s="35">
        <v>1</v>
      </c>
      <c r="C6083" s="35">
        <v>0</v>
      </c>
      <c r="D6083" s="2">
        <f t="shared" ref="D6083:D6146" si="95">B6083+C6083</f>
        <v>1</v>
      </c>
    </row>
    <row r="6084" spans="1:4" x14ac:dyDescent="0.3">
      <c r="A6084" s="34">
        <v>47936</v>
      </c>
      <c r="B6084" s="35">
        <v>1</v>
      </c>
      <c r="C6084" s="35">
        <v>0</v>
      </c>
      <c r="D6084" s="2">
        <f t="shared" si="95"/>
        <v>1</v>
      </c>
    </row>
    <row r="6085" spans="1:4" x14ac:dyDescent="0.3">
      <c r="A6085" s="34">
        <v>47938</v>
      </c>
      <c r="B6085" s="35">
        <v>1</v>
      </c>
      <c r="C6085" s="35">
        <v>0</v>
      </c>
      <c r="D6085" s="2">
        <f t="shared" si="95"/>
        <v>1</v>
      </c>
    </row>
    <row r="6086" spans="1:4" x14ac:dyDescent="0.3">
      <c r="A6086" s="34">
        <v>47941</v>
      </c>
      <c r="B6086" s="35">
        <v>1</v>
      </c>
      <c r="C6086" s="35">
        <v>0</v>
      </c>
      <c r="D6086" s="2">
        <f t="shared" si="95"/>
        <v>1</v>
      </c>
    </row>
    <row r="6087" spans="1:4" x14ac:dyDescent="0.3">
      <c r="A6087" s="34">
        <v>48064</v>
      </c>
      <c r="B6087" s="35">
        <v>1</v>
      </c>
      <c r="C6087" s="35">
        <v>1</v>
      </c>
      <c r="D6087" s="2">
        <f t="shared" si="95"/>
        <v>2</v>
      </c>
    </row>
    <row r="6088" spans="1:4" x14ac:dyDescent="0.3">
      <c r="A6088" s="34">
        <v>48065</v>
      </c>
      <c r="B6088" s="35">
        <v>1</v>
      </c>
      <c r="C6088" s="35">
        <v>0</v>
      </c>
      <c r="D6088" s="2">
        <f t="shared" si="95"/>
        <v>1</v>
      </c>
    </row>
    <row r="6089" spans="1:4" x14ac:dyDescent="0.3">
      <c r="A6089" s="34">
        <v>48067</v>
      </c>
      <c r="B6089" s="35">
        <v>1</v>
      </c>
      <c r="C6089" s="35">
        <v>0</v>
      </c>
      <c r="D6089" s="2">
        <f t="shared" si="95"/>
        <v>1</v>
      </c>
    </row>
    <row r="6090" spans="1:4" x14ac:dyDescent="0.3">
      <c r="A6090" s="34">
        <v>48069</v>
      </c>
      <c r="B6090" s="35">
        <v>1</v>
      </c>
      <c r="C6090" s="35">
        <v>0</v>
      </c>
      <c r="D6090" s="2">
        <f t="shared" si="95"/>
        <v>1</v>
      </c>
    </row>
    <row r="6091" spans="1:4" x14ac:dyDescent="0.3">
      <c r="A6091" s="34">
        <v>48070</v>
      </c>
      <c r="B6091" s="35">
        <v>3</v>
      </c>
      <c r="C6091" s="35">
        <v>1</v>
      </c>
      <c r="D6091" s="2">
        <f t="shared" si="95"/>
        <v>4</v>
      </c>
    </row>
    <row r="6092" spans="1:4" x14ac:dyDescent="0.3">
      <c r="A6092" s="34">
        <v>48071</v>
      </c>
      <c r="B6092" s="35">
        <v>1</v>
      </c>
      <c r="C6092" s="35">
        <v>0</v>
      </c>
      <c r="D6092" s="2">
        <f t="shared" si="95"/>
        <v>1</v>
      </c>
    </row>
    <row r="6093" spans="1:4" x14ac:dyDescent="0.3">
      <c r="A6093" s="34">
        <v>48076</v>
      </c>
      <c r="B6093" s="35">
        <v>1</v>
      </c>
      <c r="C6093" s="35">
        <v>0</v>
      </c>
      <c r="D6093" s="2">
        <f t="shared" si="95"/>
        <v>1</v>
      </c>
    </row>
    <row r="6094" spans="1:4" x14ac:dyDescent="0.3">
      <c r="A6094" s="34">
        <v>48078</v>
      </c>
      <c r="B6094" s="35">
        <v>1</v>
      </c>
      <c r="C6094" s="35">
        <v>1</v>
      </c>
      <c r="D6094" s="2">
        <f t="shared" si="95"/>
        <v>2</v>
      </c>
    </row>
    <row r="6095" spans="1:4" x14ac:dyDescent="0.3">
      <c r="A6095" s="34">
        <v>48087</v>
      </c>
      <c r="B6095" s="35">
        <v>1</v>
      </c>
      <c r="C6095" s="35">
        <v>1</v>
      </c>
      <c r="D6095" s="2">
        <f t="shared" si="95"/>
        <v>2</v>
      </c>
    </row>
    <row r="6096" spans="1:4" x14ac:dyDescent="0.3">
      <c r="A6096" s="34">
        <v>48093</v>
      </c>
      <c r="B6096" s="35">
        <v>1</v>
      </c>
      <c r="C6096" s="35">
        <v>0</v>
      </c>
      <c r="D6096" s="2">
        <f t="shared" si="95"/>
        <v>1</v>
      </c>
    </row>
    <row r="6097" spans="1:4" x14ac:dyDescent="0.3">
      <c r="A6097" s="34">
        <v>48099</v>
      </c>
      <c r="B6097" s="35">
        <v>1</v>
      </c>
      <c r="C6097" s="35">
        <v>0</v>
      </c>
      <c r="D6097" s="2">
        <f t="shared" si="95"/>
        <v>1</v>
      </c>
    </row>
    <row r="6098" spans="1:4" x14ac:dyDescent="0.3">
      <c r="A6098" s="34">
        <v>48100</v>
      </c>
      <c r="B6098" s="35">
        <v>1</v>
      </c>
      <c r="C6098" s="35">
        <v>0</v>
      </c>
      <c r="D6098" s="2">
        <f t="shared" si="95"/>
        <v>1</v>
      </c>
    </row>
    <row r="6099" spans="1:4" x14ac:dyDescent="0.3">
      <c r="A6099" s="34">
        <v>48102</v>
      </c>
      <c r="B6099" s="35">
        <v>2</v>
      </c>
      <c r="C6099" s="35">
        <v>2</v>
      </c>
      <c r="D6099" s="2">
        <f t="shared" si="95"/>
        <v>4</v>
      </c>
    </row>
    <row r="6100" spans="1:4" x14ac:dyDescent="0.3">
      <c r="A6100" s="34">
        <v>48103</v>
      </c>
      <c r="B6100" s="35">
        <v>1</v>
      </c>
      <c r="C6100" s="35">
        <v>0</v>
      </c>
      <c r="D6100" s="2">
        <f t="shared" si="95"/>
        <v>1</v>
      </c>
    </row>
    <row r="6101" spans="1:4" x14ac:dyDescent="0.3">
      <c r="A6101" s="34">
        <v>48104</v>
      </c>
      <c r="B6101" s="35">
        <v>1</v>
      </c>
      <c r="C6101" s="35">
        <v>0</v>
      </c>
      <c r="D6101" s="2">
        <f t="shared" si="95"/>
        <v>1</v>
      </c>
    </row>
    <row r="6102" spans="1:4" x14ac:dyDescent="0.3">
      <c r="A6102" s="34">
        <v>48105</v>
      </c>
      <c r="B6102" s="35">
        <v>1</v>
      </c>
      <c r="C6102" s="35">
        <v>0</v>
      </c>
      <c r="D6102" s="2">
        <f t="shared" si="95"/>
        <v>1</v>
      </c>
    </row>
    <row r="6103" spans="1:4" x14ac:dyDescent="0.3">
      <c r="A6103" s="34">
        <v>48106</v>
      </c>
      <c r="B6103" s="35">
        <v>1</v>
      </c>
      <c r="C6103" s="35">
        <v>0</v>
      </c>
      <c r="D6103" s="2">
        <f t="shared" si="95"/>
        <v>1</v>
      </c>
    </row>
    <row r="6104" spans="1:4" x14ac:dyDescent="0.3">
      <c r="A6104" s="34">
        <v>48107</v>
      </c>
      <c r="B6104" s="35">
        <v>1</v>
      </c>
      <c r="C6104" s="35">
        <v>0</v>
      </c>
      <c r="D6104" s="2">
        <f t="shared" si="95"/>
        <v>1</v>
      </c>
    </row>
    <row r="6105" spans="1:4" x14ac:dyDescent="0.3">
      <c r="A6105" s="34">
        <v>48108</v>
      </c>
      <c r="B6105" s="35">
        <v>1</v>
      </c>
      <c r="C6105" s="35">
        <v>0</v>
      </c>
      <c r="D6105" s="2">
        <f t="shared" si="95"/>
        <v>1</v>
      </c>
    </row>
    <row r="6106" spans="1:4" x14ac:dyDescent="0.3">
      <c r="A6106" s="34">
        <v>48112</v>
      </c>
      <c r="B6106" s="35">
        <v>2</v>
      </c>
      <c r="C6106" s="35">
        <v>0</v>
      </c>
      <c r="D6106" s="2">
        <f t="shared" si="95"/>
        <v>2</v>
      </c>
    </row>
    <row r="6107" spans="1:4" x14ac:dyDescent="0.3">
      <c r="A6107" s="34">
        <v>48252</v>
      </c>
      <c r="B6107" s="35">
        <v>1</v>
      </c>
      <c r="C6107" s="35">
        <v>0</v>
      </c>
      <c r="D6107" s="2">
        <f t="shared" si="95"/>
        <v>1</v>
      </c>
    </row>
    <row r="6108" spans="1:4" x14ac:dyDescent="0.3">
      <c r="A6108" s="34">
        <v>48256</v>
      </c>
      <c r="B6108" s="35">
        <v>1</v>
      </c>
      <c r="C6108" s="35">
        <v>0</v>
      </c>
      <c r="D6108" s="2">
        <f t="shared" si="95"/>
        <v>1</v>
      </c>
    </row>
    <row r="6109" spans="1:4" x14ac:dyDescent="0.3">
      <c r="A6109" s="34">
        <v>48257</v>
      </c>
      <c r="B6109" s="35">
        <v>1</v>
      </c>
      <c r="C6109" s="35">
        <v>0</v>
      </c>
      <c r="D6109" s="2">
        <f t="shared" si="95"/>
        <v>1</v>
      </c>
    </row>
    <row r="6110" spans="1:4" x14ac:dyDescent="0.3">
      <c r="A6110" s="34">
        <v>48260</v>
      </c>
      <c r="B6110" s="35">
        <v>1</v>
      </c>
      <c r="C6110" s="35">
        <v>0</v>
      </c>
      <c r="D6110" s="2">
        <f t="shared" si="95"/>
        <v>1</v>
      </c>
    </row>
    <row r="6111" spans="1:4" x14ac:dyDescent="0.3">
      <c r="A6111" s="34">
        <v>48261</v>
      </c>
      <c r="B6111" s="35">
        <v>1</v>
      </c>
      <c r="C6111" s="35">
        <v>0</v>
      </c>
      <c r="D6111" s="2">
        <f t="shared" si="95"/>
        <v>1</v>
      </c>
    </row>
    <row r="6112" spans="1:4" x14ac:dyDescent="0.3">
      <c r="A6112" s="34">
        <v>48263</v>
      </c>
      <c r="B6112" s="35">
        <v>1</v>
      </c>
      <c r="C6112" s="35">
        <v>0</v>
      </c>
      <c r="D6112" s="2">
        <f t="shared" si="95"/>
        <v>1</v>
      </c>
    </row>
    <row r="6113" spans="1:4" x14ac:dyDescent="0.3">
      <c r="A6113" s="34">
        <v>48264</v>
      </c>
      <c r="B6113" s="35">
        <v>1</v>
      </c>
      <c r="C6113" s="35">
        <v>0</v>
      </c>
      <c r="D6113" s="2">
        <f t="shared" si="95"/>
        <v>1</v>
      </c>
    </row>
    <row r="6114" spans="1:4" x14ac:dyDescent="0.3">
      <c r="A6114" s="34">
        <v>48265</v>
      </c>
      <c r="B6114" s="35">
        <v>1</v>
      </c>
      <c r="C6114" s="35">
        <v>0</v>
      </c>
      <c r="D6114" s="2">
        <f t="shared" si="95"/>
        <v>1</v>
      </c>
    </row>
    <row r="6115" spans="1:4" x14ac:dyDescent="0.3">
      <c r="A6115" s="34">
        <v>48267</v>
      </c>
      <c r="B6115" s="35">
        <v>1</v>
      </c>
      <c r="C6115" s="35">
        <v>0</v>
      </c>
      <c r="D6115" s="2">
        <f t="shared" si="95"/>
        <v>1</v>
      </c>
    </row>
    <row r="6116" spans="1:4" x14ac:dyDescent="0.3">
      <c r="A6116" s="34">
        <v>48268</v>
      </c>
      <c r="B6116" s="35">
        <v>2</v>
      </c>
      <c r="C6116" s="35">
        <v>2</v>
      </c>
      <c r="D6116" s="2">
        <f t="shared" si="95"/>
        <v>4</v>
      </c>
    </row>
    <row r="6117" spans="1:4" x14ac:dyDescent="0.3">
      <c r="A6117" s="34">
        <v>48269</v>
      </c>
      <c r="B6117" s="35">
        <v>1</v>
      </c>
      <c r="C6117" s="35">
        <v>0</v>
      </c>
      <c r="D6117" s="2">
        <f t="shared" si="95"/>
        <v>1</v>
      </c>
    </row>
    <row r="6118" spans="1:4" x14ac:dyDescent="0.3">
      <c r="A6118" s="34">
        <v>48270</v>
      </c>
      <c r="B6118" s="35">
        <v>1</v>
      </c>
      <c r="C6118" s="35">
        <v>0</v>
      </c>
      <c r="D6118" s="2">
        <f t="shared" si="95"/>
        <v>1</v>
      </c>
    </row>
    <row r="6119" spans="1:4" x14ac:dyDescent="0.3">
      <c r="A6119" s="34">
        <v>48271</v>
      </c>
      <c r="B6119" s="35">
        <v>1</v>
      </c>
      <c r="C6119" s="35">
        <v>0</v>
      </c>
      <c r="D6119" s="2">
        <f t="shared" si="95"/>
        <v>1</v>
      </c>
    </row>
    <row r="6120" spans="1:4" x14ac:dyDescent="0.3">
      <c r="A6120" s="34">
        <v>48275</v>
      </c>
      <c r="B6120" s="35">
        <v>2</v>
      </c>
      <c r="C6120" s="35">
        <v>0</v>
      </c>
      <c r="D6120" s="2">
        <f t="shared" si="95"/>
        <v>2</v>
      </c>
    </row>
    <row r="6121" spans="1:4" x14ac:dyDescent="0.3">
      <c r="A6121" s="34">
        <v>48278</v>
      </c>
      <c r="B6121" s="35">
        <v>1</v>
      </c>
      <c r="C6121" s="35">
        <v>1</v>
      </c>
      <c r="D6121" s="2">
        <f t="shared" si="95"/>
        <v>2</v>
      </c>
    </row>
    <row r="6122" spans="1:4" x14ac:dyDescent="0.3">
      <c r="A6122" s="34">
        <v>48279</v>
      </c>
      <c r="B6122" s="35">
        <v>1</v>
      </c>
      <c r="C6122" s="35">
        <v>0</v>
      </c>
      <c r="D6122" s="2">
        <f t="shared" si="95"/>
        <v>1</v>
      </c>
    </row>
    <row r="6123" spans="1:4" x14ac:dyDescent="0.3">
      <c r="A6123" s="34">
        <v>48283</v>
      </c>
      <c r="B6123" s="35">
        <v>1</v>
      </c>
      <c r="C6123" s="35">
        <v>0</v>
      </c>
      <c r="D6123" s="2">
        <f t="shared" si="95"/>
        <v>1</v>
      </c>
    </row>
    <row r="6124" spans="1:4" x14ac:dyDescent="0.3">
      <c r="A6124" s="34">
        <v>48285</v>
      </c>
      <c r="B6124" s="35">
        <v>1</v>
      </c>
      <c r="C6124" s="35">
        <v>0</v>
      </c>
      <c r="D6124" s="2">
        <f t="shared" si="95"/>
        <v>1</v>
      </c>
    </row>
    <row r="6125" spans="1:4" x14ac:dyDescent="0.3">
      <c r="A6125" s="34">
        <v>48288</v>
      </c>
      <c r="B6125" s="35">
        <v>1</v>
      </c>
      <c r="C6125" s="35">
        <v>0</v>
      </c>
      <c r="D6125" s="2">
        <f t="shared" si="95"/>
        <v>1</v>
      </c>
    </row>
    <row r="6126" spans="1:4" x14ac:dyDescent="0.3">
      <c r="A6126" s="34">
        <v>48289</v>
      </c>
      <c r="B6126" s="35">
        <v>1</v>
      </c>
      <c r="C6126" s="35">
        <v>0</v>
      </c>
      <c r="D6126" s="2">
        <f t="shared" si="95"/>
        <v>1</v>
      </c>
    </row>
    <row r="6127" spans="1:4" x14ac:dyDescent="0.3">
      <c r="A6127" s="34">
        <v>48343</v>
      </c>
      <c r="B6127" s="35">
        <v>1</v>
      </c>
      <c r="C6127" s="35">
        <v>0</v>
      </c>
      <c r="D6127" s="2">
        <f t="shared" si="95"/>
        <v>1</v>
      </c>
    </row>
    <row r="6128" spans="1:4" x14ac:dyDescent="0.3">
      <c r="A6128" s="34">
        <v>48345</v>
      </c>
      <c r="B6128" s="35">
        <v>1</v>
      </c>
      <c r="C6128" s="35">
        <v>0</v>
      </c>
      <c r="D6128" s="2">
        <f t="shared" si="95"/>
        <v>1</v>
      </c>
    </row>
    <row r="6129" spans="1:4" x14ac:dyDescent="0.3">
      <c r="A6129" s="34">
        <v>48346</v>
      </c>
      <c r="B6129" s="35">
        <v>1</v>
      </c>
      <c r="C6129" s="35">
        <v>0</v>
      </c>
      <c r="D6129" s="2">
        <f t="shared" si="95"/>
        <v>1</v>
      </c>
    </row>
    <row r="6130" spans="1:4" x14ac:dyDescent="0.3">
      <c r="A6130" s="34">
        <v>48347</v>
      </c>
      <c r="B6130" s="35">
        <v>2</v>
      </c>
      <c r="C6130" s="35">
        <v>0</v>
      </c>
      <c r="D6130" s="2">
        <f t="shared" si="95"/>
        <v>2</v>
      </c>
    </row>
    <row r="6131" spans="1:4" x14ac:dyDescent="0.3">
      <c r="A6131" s="34">
        <v>48352</v>
      </c>
      <c r="B6131" s="35">
        <v>1</v>
      </c>
      <c r="C6131" s="35">
        <v>0</v>
      </c>
      <c r="D6131" s="2">
        <f t="shared" si="95"/>
        <v>1</v>
      </c>
    </row>
    <row r="6132" spans="1:4" x14ac:dyDescent="0.3">
      <c r="A6132" s="34">
        <v>48357</v>
      </c>
      <c r="B6132" s="35">
        <v>1</v>
      </c>
      <c r="C6132" s="35">
        <v>0</v>
      </c>
      <c r="D6132" s="2">
        <f t="shared" si="95"/>
        <v>1</v>
      </c>
    </row>
    <row r="6133" spans="1:4" x14ac:dyDescent="0.3">
      <c r="A6133" s="34">
        <v>48358</v>
      </c>
      <c r="B6133" s="35">
        <v>1</v>
      </c>
      <c r="C6133" s="35">
        <v>0</v>
      </c>
      <c r="D6133" s="2">
        <f t="shared" si="95"/>
        <v>1</v>
      </c>
    </row>
    <row r="6134" spans="1:4" x14ac:dyDescent="0.3">
      <c r="A6134" s="34">
        <v>48360</v>
      </c>
      <c r="B6134" s="35">
        <v>1</v>
      </c>
      <c r="C6134" s="35">
        <v>0</v>
      </c>
      <c r="D6134" s="2">
        <f t="shared" si="95"/>
        <v>1</v>
      </c>
    </row>
    <row r="6135" spans="1:4" x14ac:dyDescent="0.3">
      <c r="A6135" s="34">
        <v>48365</v>
      </c>
      <c r="B6135" s="35">
        <v>1</v>
      </c>
      <c r="C6135" s="35">
        <v>0</v>
      </c>
      <c r="D6135" s="2">
        <f t="shared" si="95"/>
        <v>1</v>
      </c>
    </row>
    <row r="6136" spans="1:4" x14ac:dyDescent="0.3">
      <c r="A6136" s="34">
        <v>48367</v>
      </c>
      <c r="B6136" s="35">
        <v>1</v>
      </c>
      <c r="C6136" s="35">
        <v>0</v>
      </c>
      <c r="D6136" s="2">
        <f t="shared" si="95"/>
        <v>1</v>
      </c>
    </row>
    <row r="6137" spans="1:4" x14ac:dyDescent="0.3">
      <c r="A6137" s="34">
        <v>48369</v>
      </c>
      <c r="B6137" s="35">
        <v>1</v>
      </c>
      <c r="C6137" s="35">
        <v>0</v>
      </c>
      <c r="D6137" s="2">
        <f t="shared" si="95"/>
        <v>1</v>
      </c>
    </row>
    <row r="6138" spans="1:4" x14ac:dyDescent="0.3">
      <c r="A6138" s="34">
        <v>48371</v>
      </c>
      <c r="B6138" s="35">
        <v>1</v>
      </c>
      <c r="C6138" s="35">
        <v>1</v>
      </c>
      <c r="D6138" s="2">
        <f t="shared" si="95"/>
        <v>2</v>
      </c>
    </row>
    <row r="6139" spans="1:4" x14ac:dyDescent="0.3">
      <c r="A6139" s="34">
        <v>48376</v>
      </c>
      <c r="B6139" s="35">
        <v>1</v>
      </c>
      <c r="C6139" s="35">
        <v>0</v>
      </c>
      <c r="D6139" s="2">
        <f t="shared" si="95"/>
        <v>1</v>
      </c>
    </row>
    <row r="6140" spans="1:4" x14ac:dyDescent="0.3">
      <c r="A6140" s="34">
        <v>48377</v>
      </c>
      <c r="B6140" s="35">
        <v>1</v>
      </c>
      <c r="C6140" s="35">
        <v>0</v>
      </c>
      <c r="D6140" s="2">
        <f t="shared" si="95"/>
        <v>1</v>
      </c>
    </row>
    <row r="6141" spans="1:4" x14ac:dyDescent="0.3">
      <c r="A6141" s="34">
        <v>48378</v>
      </c>
      <c r="B6141" s="35">
        <v>1</v>
      </c>
      <c r="C6141" s="35">
        <v>1</v>
      </c>
      <c r="D6141" s="2">
        <f t="shared" si="95"/>
        <v>2</v>
      </c>
    </row>
    <row r="6142" spans="1:4" x14ac:dyDescent="0.3">
      <c r="A6142" s="34">
        <v>48381</v>
      </c>
      <c r="B6142" s="35">
        <v>2</v>
      </c>
      <c r="C6142" s="35">
        <v>1</v>
      </c>
      <c r="D6142" s="2">
        <f t="shared" si="95"/>
        <v>3</v>
      </c>
    </row>
    <row r="6143" spans="1:4" x14ac:dyDescent="0.3">
      <c r="A6143" s="34">
        <v>48382</v>
      </c>
      <c r="B6143" s="35">
        <v>1</v>
      </c>
      <c r="C6143" s="35">
        <v>0</v>
      </c>
      <c r="D6143" s="2">
        <f t="shared" si="95"/>
        <v>1</v>
      </c>
    </row>
    <row r="6144" spans="1:4" x14ac:dyDescent="0.3">
      <c r="A6144" s="34">
        <v>48384</v>
      </c>
      <c r="B6144" s="35">
        <v>1</v>
      </c>
      <c r="C6144" s="35">
        <v>0</v>
      </c>
      <c r="D6144" s="2">
        <f t="shared" si="95"/>
        <v>1</v>
      </c>
    </row>
    <row r="6145" spans="1:4" x14ac:dyDescent="0.3">
      <c r="A6145" s="34">
        <v>48385</v>
      </c>
      <c r="B6145" s="35">
        <v>1</v>
      </c>
      <c r="C6145" s="35">
        <v>0</v>
      </c>
      <c r="D6145" s="2">
        <f t="shared" si="95"/>
        <v>1</v>
      </c>
    </row>
    <row r="6146" spans="1:4" x14ac:dyDescent="0.3">
      <c r="A6146" s="34">
        <v>48386</v>
      </c>
      <c r="B6146" s="35">
        <v>1</v>
      </c>
      <c r="C6146" s="35">
        <v>0</v>
      </c>
      <c r="D6146" s="2">
        <f t="shared" si="95"/>
        <v>1</v>
      </c>
    </row>
    <row r="6147" spans="1:4" x14ac:dyDescent="0.3">
      <c r="A6147" s="34">
        <v>48387</v>
      </c>
      <c r="B6147" s="35">
        <v>1</v>
      </c>
      <c r="C6147" s="35">
        <v>0</v>
      </c>
      <c r="D6147" s="2">
        <f t="shared" ref="D6147:D6210" si="96">B6147+C6147</f>
        <v>1</v>
      </c>
    </row>
    <row r="6148" spans="1:4" x14ac:dyDescent="0.3">
      <c r="A6148" s="34">
        <v>48388</v>
      </c>
      <c r="B6148" s="35">
        <v>1</v>
      </c>
      <c r="C6148" s="35">
        <v>0</v>
      </c>
      <c r="D6148" s="2">
        <f t="shared" si="96"/>
        <v>1</v>
      </c>
    </row>
    <row r="6149" spans="1:4" x14ac:dyDescent="0.3">
      <c r="A6149" s="34">
        <v>48389</v>
      </c>
      <c r="B6149" s="35">
        <v>1</v>
      </c>
      <c r="C6149" s="35">
        <v>0</v>
      </c>
      <c r="D6149" s="2">
        <f t="shared" si="96"/>
        <v>1</v>
      </c>
    </row>
    <row r="6150" spans="1:4" x14ac:dyDescent="0.3">
      <c r="A6150" s="34">
        <v>48390</v>
      </c>
      <c r="B6150" s="35">
        <v>1</v>
      </c>
      <c r="C6150" s="35">
        <v>0</v>
      </c>
      <c r="D6150" s="2">
        <f t="shared" si="96"/>
        <v>1</v>
      </c>
    </row>
    <row r="6151" spans="1:4" x14ac:dyDescent="0.3">
      <c r="A6151" s="34">
        <v>48391</v>
      </c>
      <c r="B6151" s="35">
        <v>1</v>
      </c>
      <c r="C6151" s="35">
        <v>1</v>
      </c>
      <c r="D6151" s="2">
        <f t="shared" si="96"/>
        <v>2</v>
      </c>
    </row>
    <row r="6152" spans="1:4" x14ac:dyDescent="0.3">
      <c r="A6152" s="34">
        <v>48392</v>
      </c>
      <c r="B6152" s="35">
        <v>1</v>
      </c>
      <c r="C6152" s="35">
        <v>0</v>
      </c>
      <c r="D6152" s="2">
        <f t="shared" si="96"/>
        <v>1</v>
      </c>
    </row>
    <row r="6153" spans="1:4" x14ac:dyDescent="0.3">
      <c r="A6153" s="34">
        <v>48393</v>
      </c>
      <c r="B6153" s="35">
        <v>1</v>
      </c>
      <c r="C6153" s="35">
        <v>1</v>
      </c>
      <c r="D6153" s="2">
        <f t="shared" si="96"/>
        <v>2</v>
      </c>
    </row>
    <row r="6154" spans="1:4" x14ac:dyDescent="0.3">
      <c r="A6154" s="34">
        <v>48394</v>
      </c>
      <c r="B6154" s="35">
        <v>1</v>
      </c>
      <c r="C6154" s="35">
        <v>0</v>
      </c>
      <c r="D6154" s="2">
        <f t="shared" si="96"/>
        <v>1</v>
      </c>
    </row>
    <row r="6155" spans="1:4" x14ac:dyDescent="0.3">
      <c r="A6155" s="34">
        <v>48395</v>
      </c>
      <c r="B6155" s="35">
        <v>1</v>
      </c>
      <c r="C6155" s="35">
        <v>0</v>
      </c>
      <c r="D6155" s="2">
        <f t="shared" si="96"/>
        <v>1</v>
      </c>
    </row>
    <row r="6156" spans="1:4" x14ac:dyDescent="0.3">
      <c r="A6156" s="34">
        <v>48397</v>
      </c>
      <c r="B6156" s="35">
        <v>1</v>
      </c>
      <c r="C6156" s="35">
        <v>0</v>
      </c>
      <c r="D6156" s="2">
        <f t="shared" si="96"/>
        <v>1</v>
      </c>
    </row>
    <row r="6157" spans="1:4" x14ac:dyDescent="0.3">
      <c r="A6157" s="34">
        <v>48398</v>
      </c>
      <c r="B6157" s="35">
        <v>1</v>
      </c>
      <c r="C6157" s="35">
        <v>0</v>
      </c>
      <c r="D6157" s="2">
        <f t="shared" si="96"/>
        <v>1</v>
      </c>
    </row>
    <row r="6158" spans="1:4" x14ac:dyDescent="0.3">
      <c r="A6158" s="34">
        <v>48399</v>
      </c>
      <c r="B6158" s="35">
        <v>1</v>
      </c>
      <c r="C6158" s="35">
        <v>0</v>
      </c>
      <c r="D6158" s="2">
        <f t="shared" si="96"/>
        <v>1</v>
      </c>
    </row>
    <row r="6159" spans="1:4" x14ac:dyDescent="0.3">
      <c r="A6159" s="34">
        <v>48400</v>
      </c>
      <c r="B6159" s="35">
        <v>1</v>
      </c>
      <c r="C6159" s="35">
        <v>0</v>
      </c>
      <c r="D6159" s="2">
        <f t="shared" si="96"/>
        <v>1</v>
      </c>
    </row>
    <row r="6160" spans="1:4" x14ac:dyDescent="0.3">
      <c r="A6160" s="34">
        <v>48401</v>
      </c>
      <c r="B6160" s="35">
        <v>1</v>
      </c>
      <c r="C6160" s="35">
        <v>0</v>
      </c>
      <c r="D6160" s="2">
        <f t="shared" si="96"/>
        <v>1</v>
      </c>
    </row>
    <row r="6161" spans="1:4" x14ac:dyDescent="0.3">
      <c r="A6161" s="34">
        <v>48402</v>
      </c>
      <c r="B6161" s="35">
        <v>1</v>
      </c>
      <c r="C6161" s="35">
        <v>0</v>
      </c>
      <c r="D6161" s="2">
        <f t="shared" si="96"/>
        <v>1</v>
      </c>
    </row>
    <row r="6162" spans="1:4" x14ac:dyDescent="0.3">
      <c r="A6162" s="34">
        <v>48404</v>
      </c>
      <c r="B6162" s="35">
        <v>1</v>
      </c>
      <c r="C6162" s="35">
        <v>0</v>
      </c>
      <c r="D6162" s="2">
        <f t="shared" si="96"/>
        <v>1</v>
      </c>
    </row>
    <row r="6163" spans="1:4" x14ac:dyDescent="0.3">
      <c r="A6163" s="34">
        <v>48405</v>
      </c>
      <c r="B6163" s="35">
        <v>1</v>
      </c>
      <c r="C6163" s="35">
        <v>0</v>
      </c>
      <c r="D6163" s="2">
        <f t="shared" si="96"/>
        <v>1</v>
      </c>
    </row>
    <row r="6164" spans="1:4" x14ac:dyDescent="0.3">
      <c r="A6164" s="34">
        <v>48408</v>
      </c>
      <c r="B6164" s="35">
        <v>3</v>
      </c>
      <c r="C6164" s="35">
        <v>0</v>
      </c>
      <c r="D6164" s="2">
        <f t="shared" si="96"/>
        <v>3</v>
      </c>
    </row>
    <row r="6165" spans="1:4" x14ac:dyDescent="0.3">
      <c r="A6165" s="34">
        <v>48410</v>
      </c>
      <c r="B6165" s="35">
        <v>2</v>
      </c>
      <c r="C6165" s="35">
        <v>2</v>
      </c>
      <c r="D6165" s="2">
        <f t="shared" si="96"/>
        <v>4</v>
      </c>
    </row>
    <row r="6166" spans="1:4" x14ac:dyDescent="0.3">
      <c r="A6166" s="34">
        <v>48411</v>
      </c>
      <c r="B6166" s="35">
        <v>1</v>
      </c>
      <c r="C6166" s="35">
        <v>0</v>
      </c>
      <c r="D6166" s="2">
        <f t="shared" si="96"/>
        <v>1</v>
      </c>
    </row>
    <row r="6167" spans="1:4" x14ac:dyDescent="0.3">
      <c r="A6167" s="34">
        <v>48413</v>
      </c>
      <c r="B6167" s="35">
        <v>1</v>
      </c>
      <c r="C6167" s="35">
        <v>1</v>
      </c>
      <c r="D6167" s="2">
        <f t="shared" si="96"/>
        <v>2</v>
      </c>
    </row>
    <row r="6168" spans="1:4" x14ac:dyDescent="0.3">
      <c r="A6168" s="34">
        <v>48416</v>
      </c>
      <c r="B6168" s="35">
        <v>1</v>
      </c>
      <c r="C6168" s="35">
        <v>0</v>
      </c>
      <c r="D6168" s="2">
        <f t="shared" si="96"/>
        <v>1</v>
      </c>
    </row>
    <row r="6169" spans="1:4" x14ac:dyDescent="0.3">
      <c r="A6169" s="34">
        <v>48419</v>
      </c>
      <c r="B6169" s="35">
        <v>1</v>
      </c>
      <c r="C6169" s="35">
        <v>0</v>
      </c>
      <c r="D6169" s="2">
        <f t="shared" si="96"/>
        <v>1</v>
      </c>
    </row>
    <row r="6170" spans="1:4" x14ac:dyDescent="0.3">
      <c r="A6170" s="34">
        <v>48423</v>
      </c>
      <c r="B6170" s="35">
        <v>1</v>
      </c>
      <c r="C6170" s="35">
        <v>0</v>
      </c>
      <c r="D6170" s="2">
        <f t="shared" si="96"/>
        <v>1</v>
      </c>
    </row>
    <row r="6171" spans="1:4" x14ac:dyDescent="0.3">
      <c r="A6171" s="34">
        <v>48424</v>
      </c>
      <c r="B6171" s="35">
        <v>1</v>
      </c>
      <c r="C6171" s="35">
        <v>1</v>
      </c>
      <c r="D6171" s="2">
        <f t="shared" si="96"/>
        <v>2</v>
      </c>
    </row>
    <row r="6172" spans="1:4" x14ac:dyDescent="0.3">
      <c r="A6172" s="34">
        <v>48447</v>
      </c>
      <c r="B6172" s="35">
        <v>1</v>
      </c>
      <c r="C6172" s="35">
        <v>0</v>
      </c>
      <c r="D6172" s="2">
        <f t="shared" si="96"/>
        <v>1</v>
      </c>
    </row>
    <row r="6173" spans="1:4" x14ac:dyDescent="0.3">
      <c r="A6173" s="34">
        <v>48450</v>
      </c>
      <c r="B6173" s="35">
        <v>1</v>
      </c>
      <c r="C6173" s="35">
        <v>0</v>
      </c>
      <c r="D6173" s="2">
        <f t="shared" si="96"/>
        <v>1</v>
      </c>
    </row>
    <row r="6174" spans="1:4" x14ac:dyDescent="0.3">
      <c r="A6174" s="34">
        <v>48451</v>
      </c>
      <c r="B6174" s="35">
        <v>1</v>
      </c>
      <c r="C6174" s="35">
        <v>0</v>
      </c>
      <c r="D6174" s="2">
        <f t="shared" si="96"/>
        <v>1</v>
      </c>
    </row>
    <row r="6175" spans="1:4" x14ac:dyDescent="0.3">
      <c r="A6175" s="34">
        <v>48452</v>
      </c>
      <c r="B6175" s="35">
        <v>1</v>
      </c>
      <c r="C6175" s="35">
        <v>0</v>
      </c>
      <c r="D6175" s="2">
        <f t="shared" si="96"/>
        <v>1</v>
      </c>
    </row>
    <row r="6176" spans="1:4" x14ac:dyDescent="0.3">
      <c r="A6176" s="34">
        <v>48453</v>
      </c>
      <c r="B6176" s="35">
        <v>1</v>
      </c>
      <c r="C6176" s="35">
        <v>0</v>
      </c>
      <c r="D6176" s="2">
        <f t="shared" si="96"/>
        <v>1</v>
      </c>
    </row>
    <row r="6177" spans="1:4" x14ac:dyDescent="0.3">
      <c r="A6177" s="34">
        <v>48455</v>
      </c>
      <c r="B6177" s="35">
        <v>2</v>
      </c>
      <c r="C6177" s="35">
        <v>2</v>
      </c>
      <c r="D6177" s="2">
        <f t="shared" si="96"/>
        <v>4</v>
      </c>
    </row>
    <row r="6178" spans="1:4" x14ac:dyDescent="0.3">
      <c r="A6178" s="34">
        <v>48457</v>
      </c>
      <c r="B6178" s="35">
        <v>1</v>
      </c>
      <c r="C6178" s="35">
        <v>0</v>
      </c>
      <c r="D6178" s="2">
        <f t="shared" si="96"/>
        <v>1</v>
      </c>
    </row>
    <row r="6179" spans="1:4" x14ac:dyDescent="0.3">
      <c r="A6179" s="34">
        <v>48458</v>
      </c>
      <c r="B6179" s="35">
        <v>1</v>
      </c>
      <c r="C6179" s="35">
        <v>0</v>
      </c>
      <c r="D6179" s="2">
        <f t="shared" si="96"/>
        <v>1</v>
      </c>
    </row>
    <row r="6180" spans="1:4" x14ac:dyDescent="0.3">
      <c r="A6180" s="34">
        <v>48461</v>
      </c>
      <c r="B6180" s="35">
        <v>1</v>
      </c>
      <c r="C6180" s="35">
        <v>0</v>
      </c>
      <c r="D6180" s="2">
        <f t="shared" si="96"/>
        <v>1</v>
      </c>
    </row>
    <row r="6181" spans="1:4" x14ac:dyDescent="0.3">
      <c r="A6181" s="34">
        <v>48463</v>
      </c>
      <c r="B6181" s="35">
        <v>1</v>
      </c>
      <c r="C6181" s="35">
        <v>1</v>
      </c>
      <c r="D6181" s="2">
        <f t="shared" si="96"/>
        <v>2</v>
      </c>
    </row>
    <row r="6182" spans="1:4" x14ac:dyDescent="0.3">
      <c r="A6182" s="34">
        <v>48465</v>
      </c>
      <c r="B6182" s="35">
        <v>1</v>
      </c>
      <c r="C6182" s="35">
        <v>0</v>
      </c>
      <c r="D6182" s="2">
        <f t="shared" si="96"/>
        <v>1</v>
      </c>
    </row>
    <row r="6183" spans="1:4" x14ac:dyDescent="0.3">
      <c r="A6183" s="34">
        <v>48466</v>
      </c>
      <c r="B6183" s="35">
        <v>1</v>
      </c>
      <c r="C6183" s="35">
        <v>0</v>
      </c>
      <c r="D6183" s="2">
        <f t="shared" si="96"/>
        <v>1</v>
      </c>
    </row>
    <row r="6184" spans="1:4" x14ac:dyDescent="0.3">
      <c r="A6184" s="34">
        <v>48468</v>
      </c>
      <c r="B6184" s="35">
        <v>1</v>
      </c>
      <c r="C6184" s="35">
        <v>0</v>
      </c>
      <c r="D6184" s="2">
        <f t="shared" si="96"/>
        <v>1</v>
      </c>
    </row>
    <row r="6185" spans="1:4" x14ac:dyDescent="0.3">
      <c r="A6185" s="34">
        <v>48472</v>
      </c>
      <c r="B6185" s="35">
        <v>1</v>
      </c>
      <c r="C6185" s="35">
        <v>0</v>
      </c>
      <c r="D6185" s="2">
        <f t="shared" si="96"/>
        <v>1</v>
      </c>
    </row>
    <row r="6186" spans="1:4" x14ac:dyDescent="0.3">
      <c r="A6186" s="34">
        <v>48473</v>
      </c>
      <c r="B6186" s="35">
        <v>2</v>
      </c>
      <c r="C6186" s="35">
        <v>1</v>
      </c>
      <c r="D6186" s="2">
        <f t="shared" si="96"/>
        <v>3</v>
      </c>
    </row>
    <row r="6187" spans="1:4" x14ac:dyDescent="0.3">
      <c r="A6187" s="34">
        <v>48474</v>
      </c>
      <c r="B6187" s="35">
        <v>1</v>
      </c>
      <c r="C6187" s="35">
        <v>0</v>
      </c>
      <c r="D6187" s="2">
        <f t="shared" si="96"/>
        <v>1</v>
      </c>
    </row>
    <row r="6188" spans="1:4" x14ac:dyDescent="0.3">
      <c r="A6188" s="34">
        <v>48475</v>
      </c>
      <c r="B6188" s="35">
        <v>1</v>
      </c>
      <c r="C6188" s="35">
        <v>1</v>
      </c>
      <c r="D6188" s="2">
        <f t="shared" si="96"/>
        <v>2</v>
      </c>
    </row>
    <row r="6189" spans="1:4" x14ac:dyDescent="0.3">
      <c r="A6189" s="34">
        <v>48480</v>
      </c>
      <c r="B6189" s="35">
        <v>2</v>
      </c>
      <c r="C6189" s="35">
        <v>1</v>
      </c>
      <c r="D6189" s="2">
        <f t="shared" si="96"/>
        <v>3</v>
      </c>
    </row>
    <row r="6190" spans="1:4" x14ac:dyDescent="0.3">
      <c r="A6190" s="34">
        <v>48497</v>
      </c>
      <c r="B6190" s="35">
        <v>1</v>
      </c>
      <c r="C6190" s="35">
        <v>0</v>
      </c>
      <c r="D6190" s="2">
        <f t="shared" si="96"/>
        <v>1</v>
      </c>
    </row>
    <row r="6191" spans="1:4" x14ac:dyDescent="0.3">
      <c r="A6191" s="34">
        <v>48499</v>
      </c>
      <c r="B6191" s="35">
        <v>1</v>
      </c>
      <c r="C6191" s="35">
        <v>0</v>
      </c>
      <c r="D6191" s="2">
        <f t="shared" si="96"/>
        <v>1</v>
      </c>
    </row>
    <row r="6192" spans="1:4" x14ac:dyDescent="0.3">
      <c r="A6192" s="34">
        <v>48501</v>
      </c>
      <c r="B6192" s="35">
        <v>1</v>
      </c>
      <c r="C6192" s="35">
        <v>0</v>
      </c>
      <c r="D6192" s="2">
        <f t="shared" si="96"/>
        <v>1</v>
      </c>
    </row>
    <row r="6193" spans="1:4" x14ac:dyDescent="0.3">
      <c r="A6193" s="34">
        <v>48502</v>
      </c>
      <c r="B6193" s="35">
        <v>1</v>
      </c>
      <c r="C6193" s="35">
        <v>0</v>
      </c>
      <c r="D6193" s="2">
        <f t="shared" si="96"/>
        <v>1</v>
      </c>
    </row>
    <row r="6194" spans="1:4" x14ac:dyDescent="0.3">
      <c r="A6194" s="34">
        <v>48505</v>
      </c>
      <c r="B6194" s="35">
        <v>2</v>
      </c>
      <c r="C6194" s="35">
        <v>0</v>
      </c>
      <c r="D6194" s="2">
        <f t="shared" si="96"/>
        <v>2</v>
      </c>
    </row>
    <row r="6195" spans="1:4" x14ac:dyDescent="0.3">
      <c r="A6195" s="34">
        <v>48506</v>
      </c>
      <c r="B6195" s="35">
        <v>1</v>
      </c>
      <c r="C6195" s="35">
        <v>1</v>
      </c>
      <c r="D6195" s="2">
        <f t="shared" si="96"/>
        <v>2</v>
      </c>
    </row>
    <row r="6196" spans="1:4" x14ac:dyDescent="0.3">
      <c r="A6196" s="34">
        <v>48510</v>
      </c>
      <c r="B6196" s="35">
        <v>1</v>
      </c>
      <c r="C6196" s="35">
        <v>0</v>
      </c>
      <c r="D6196" s="2">
        <f t="shared" si="96"/>
        <v>1</v>
      </c>
    </row>
    <row r="6197" spans="1:4" x14ac:dyDescent="0.3">
      <c r="A6197" s="34">
        <v>48514</v>
      </c>
      <c r="B6197" s="35">
        <v>1</v>
      </c>
      <c r="C6197" s="35">
        <v>0</v>
      </c>
      <c r="D6197" s="2">
        <f t="shared" si="96"/>
        <v>1</v>
      </c>
    </row>
    <row r="6198" spans="1:4" x14ac:dyDescent="0.3">
      <c r="A6198" s="34">
        <v>48519</v>
      </c>
      <c r="B6198" s="35">
        <v>1</v>
      </c>
      <c r="C6198" s="35">
        <v>1</v>
      </c>
      <c r="D6198" s="2">
        <f t="shared" si="96"/>
        <v>2</v>
      </c>
    </row>
    <row r="6199" spans="1:4" x14ac:dyDescent="0.3">
      <c r="A6199" s="34">
        <v>48524</v>
      </c>
      <c r="B6199" s="35">
        <v>1</v>
      </c>
      <c r="C6199" s="35">
        <v>1</v>
      </c>
      <c r="D6199" s="2">
        <f t="shared" si="96"/>
        <v>2</v>
      </c>
    </row>
    <row r="6200" spans="1:4" x14ac:dyDescent="0.3">
      <c r="A6200" s="34">
        <v>48525</v>
      </c>
      <c r="B6200" s="35">
        <v>1</v>
      </c>
      <c r="C6200" s="35">
        <v>1</v>
      </c>
      <c r="D6200" s="2">
        <f t="shared" si="96"/>
        <v>2</v>
      </c>
    </row>
    <row r="6201" spans="1:4" x14ac:dyDescent="0.3">
      <c r="A6201" s="34">
        <v>48526</v>
      </c>
      <c r="B6201" s="35">
        <v>1</v>
      </c>
      <c r="C6201" s="35">
        <v>1</v>
      </c>
      <c r="D6201" s="2">
        <f t="shared" si="96"/>
        <v>2</v>
      </c>
    </row>
    <row r="6202" spans="1:4" x14ac:dyDescent="0.3">
      <c r="A6202" s="34">
        <v>48527</v>
      </c>
      <c r="B6202" s="35">
        <v>1</v>
      </c>
      <c r="C6202" s="35">
        <v>0</v>
      </c>
      <c r="D6202" s="2">
        <f t="shared" si="96"/>
        <v>1</v>
      </c>
    </row>
    <row r="6203" spans="1:4" x14ac:dyDescent="0.3">
      <c r="A6203" s="34">
        <v>48536</v>
      </c>
      <c r="B6203" s="35">
        <v>1</v>
      </c>
      <c r="C6203" s="35">
        <v>0</v>
      </c>
      <c r="D6203" s="2">
        <f t="shared" si="96"/>
        <v>1</v>
      </c>
    </row>
    <row r="6204" spans="1:4" x14ac:dyDescent="0.3">
      <c r="A6204" s="34">
        <v>48539</v>
      </c>
      <c r="B6204" s="35">
        <v>1</v>
      </c>
      <c r="C6204" s="35">
        <v>0</v>
      </c>
      <c r="D6204" s="2">
        <f t="shared" si="96"/>
        <v>1</v>
      </c>
    </row>
    <row r="6205" spans="1:4" x14ac:dyDescent="0.3">
      <c r="A6205" s="34">
        <v>48540</v>
      </c>
      <c r="B6205" s="35">
        <v>1</v>
      </c>
      <c r="C6205" s="35">
        <v>0</v>
      </c>
      <c r="D6205" s="2">
        <f t="shared" si="96"/>
        <v>1</v>
      </c>
    </row>
    <row r="6206" spans="1:4" x14ac:dyDescent="0.3">
      <c r="A6206" s="34">
        <v>48542</v>
      </c>
      <c r="B6206" s="35">
        <v>1</v>
      </c>
      <c r="C6206" s="35">
        <v>0</v>
      </c>
      <c r="D6206" s="2">
        <f t="shared" si="96"/>
        <v>1</v>
      </c>
    </row>
    <row r="6207" spans="1:4" x14ac:dyDescent="0.3">
      <c r="A6207" s="34">
        <v>48543</v>
      </c>
      <c r="B6207" s="35">
        <v>1</v>
      </c>
      <c r="C6207" s="35">
        <v>0</v>
      </c>
      <c r="D6207" s="2">
        <f t="shared" si="96"/>
        <v>1</v>
      </c>
    </row>
    <row r="6208" spans="1:4" x14ac:dyDescent="0.3">
      <c r="A6208" s="34">
        <v>48544</v>
      </c>
      <c r="B6208" s="35">
        <v>1</v>
      </c>
      <c r="C6208" s="35">
        <v>0</v>
      </c>
      <c r="D6208" s="2">
        <f t="shared" si="96"/>
        <v>1</v>
      </c>
    </row>
    <row r="6209" spans="1:4" x14ac:dyDescent="0.3">
      <c r="A6209" s="34">
        <v>48546</v>
      </c>
      <c r="B6209" s="35">
        <v>1</v>
      </c>
      <c r="C6209" s="35">
        <v>0</v>
      </c>
      <c r="D6209" s="2">
        <f t="shared" si="96"/>
        <v>1</v>
      </c>
    </row>
    <row r="6210" spans="1:4" x14ac:dyDescent="0.3">
      <c r="A6210" s="34">
        <v>48549</v>
      </c>
      <c r="B6210" s="35">
        <v>1</v>
      </c>
      <c r="C6210" s="35">
        <v>1</v>
      </c>
      <c r="D6210" s="2">
        <f t="shared" si="96"/>
        <v>2</v>
      </c>
    </row>
    <row r="6211" spans="1:4" x14ac:dyDescent="0.3">
      <c r="A6211" s="34">
        <v>48551</v>
      </c>
      <c r="B6211" s="35">
        <v>1</v>
      </c>
      <c r="C6211" s="35">
        <v>0</v>
      </c>
      <c r="D6211" s="2">
        <f t="shared" ref="D6211:D6274" si="97">B6211+C6211</f>
        <v>1</v>
      </c>
    </row>
    <row r="6212" spans="1:4" x14ac:dyDescent="0.3">
      <c r="A6212" s="34">
        <v>48554</v>
      </c>
      <c r="B6212" s="35">
        <v>1</v>
      </c>
      <c r="C6212" s="35">
        <v>0</v>
      </c>
      <c r="D6212" s="2">
        <f t="shared" si="97"/>
        <v>1</v>
      </c>
    </row>
    <row r="6213" spans="1:4" x14ac:dyDescent="0.3">
      <c r="A6213" s="34">
        <v>48558</v>
      </c>
      <c r="B6213" s="35">
        <v>1</v>
      </c>
      <c r="C6213" s="35">
        <v>0</v>
      </c>
      <c r="D6213" s="2">
        <f t="shared" si="97"/>
        <v>1</v>
      </c>
    </row>
    <row r="6214" spans="1:4" x14ac:dyDescent="0.3">
      <c r="A6214" s="34">
        <v>48563</v>
      </c>
      <c r="B6214" s="35">
        <v>1</v>
      </c>
      <c r="C6214" s="35">
        <v>0</v>
      </c>
      <c r="D6214" s="2">
        <f t="shared" si="97"/>
        <v>1</v>
      </c>
    </row>
    <row r="6215" spans="1:4" x14ac:dyDescent="0.3">
      <c r="A6215" s="34">
        <v>48565</v>
      </c>
      <c r="B6215" s="35">
        <v>1</v>
      </c>
      <c r="C6215" s="35">
        <v>1</v>
      </c>
      <c r="D6215" s="2">
        <f t="shared" si="97"/>
        <v>2</v>
      </c>
    </row>
    <row r="6216" spans="1:4" x14ac:dyDescent="0.3">
      <c r="A6216" s="34">
        <v>48568</v>
      </c>
      <c r="B6216" s="35">
        <v>1</v>
      </c>
      <c r="C6216" s="35">
        <v>0</v>
      </c>
      <c r="D6216" s="2">
        <f t="shared" si="97"/>
        <v>1</v>
      </c>
    </row>
    <row r="6217" spans="1:4" x14ac:dyDescent="0.3">
      <c r="A6217" s="34">
        <v>48607</v>
      </c>
      <c r="B6217" s="35">
        <v>1</v>
      </c>
      <c r="C6217" s="35">
        <v>0</v>
      </c>
      <c r="D6217" s="2">
        <f t="shared" si="97"/>
        <v>1</v>
      </c>
    </row>
    <row r="6218" spans="1:4" x14ac:dyDescent="0.3">
      <c r="A6218" s="34">
        <v>48614</v>
      </c>
      <c r="B6218" s="35">
        <v>1</v>
      </c>
      <c r="C6218" s="35">
        <v>0</v>
      </c>
      <c r="D6218" s="2">
        <f t="shared" si="97"/>
        <v>1</v>
      </c>
    </row>
    <row r="6219" spans="1:4" x14ac:dyDescent="0.3">
      <c r="A6219" s="34">
        <v>48615</v>
      </c>
      <c r="B6219" s="35">
        <v>1</v>
      </c>
      <c r="C6219" s="35">
        <v>0</v>
      </c>
      <c r="D6219" s="2">
        <f t="shared" si="97"/>
        <v>1</v>
      </c>
    </row>
    <row r="6220" spans="1:4" x14ac:dyDescent="0.3">
      <c r="A6220" s="34">
        <v>48616</v>
      </c>
      <c r="B6220" s="35">
        <v>1</v>
      </c>
      <c r="C6220" s="35">
        <v>0</v>
      </c>
      <c r="D6220" s="2">
        <f t="shared" si="97"/>
        <v>1</v>
      </c>
    </row>
    <row r="6221" spans="1:4" x14ac:dyDescent="0.3">
      <c r="A6221" s="34">
        <v>48617</v>
      </c>
      <c r="B6221" s="35">
        <v>1</v>
      </c>
      <c r="C6221" s="35">
        <v>0</v>
      </c>
      <c r="D6221" s="2">
        <f t="shared" si="97"/>
        <v>1</v>
      </c>
    </row>
    <row r="6222" spans="1:4" x14ac:dyDescent="0.3">
      <c r="A6222" s="34">
        <v>48618</v>
      </c>
      <c r="B6222" s="35">
        <v>1</v>
      </c>
      <c r="C6222" s="35">
        <v>0</v>
      </c>
      <c r="D6222" s="2">
        <f t="shared" si="97"/>
        <v>1</v>
      </c>
    </row>
    <row r="6223" spans="1:4" x14ac:dyDescent="0.3">
      <c r="A6223" s="34">
        <v>48619</v>
      </c>
      <c r="B6223" s="35">
        <v>1</v>
      </c>
      <c r="C6223" s="35">
        <v>0</v>
      </c>
      <c r="D6223" s="2">
        <f t="shared" si="97"/>
        <v>1</v>
      </c>
    </row>
    <row r="6224" spans="1:4" x14ac:dyDescent="0.3">
      <c r="A6224" s="34">
        <v>48620</v>
      </c>
      <c r="B6224" s="35">
        <v>1</v>
      </c>
      <c r="C6224" s="35">
        <v>1</v>
      </c>
      <c r="D6224" s="2">
        <f t="shared" si="97"/>
        <v>2</v>
      </c>
    </row>
    <row r="6225" spans="1:4" x14ac:dyDescent="0.3">
      <c r="A6225" s="34">
        <v>48621</v>
      </c>
      <c r="B6225" s="35">
        <v>2</v>
      </c>
      <c r="C6225" s="35">
        <v>0</v>
      </c>
      <c r="D6225" s="2">
        <f t="shared" si="97"/>
        <v>2</v>
      </c>
    </row>
    <row r="6226" spans="1:4" x14ac:dyDescent="0.3">
      <c r="A6226" s="34">
        <v>48622</v>
      </c>
      <c r="B6226" s="35">
        <v>1</v>
      </c>
      <c r="C6226" s="35">
        <v>0</v>
      </c>
      <c r="D6226" s="2">
        <f t="shared" si="97"/>
        <v>1</v>
      </c>
    </row>
    <row r="6227" spans="1:4" x14ac:dyDescent="0.3">
      <c r="A6227" s="34">
        <v>48642</v>
      </c>
      <c r="B6227" s="35">
        <v>1</v>
      </c>
      <c r="C6227" s="35">
        <v>0</v>
      </c>
      <c r="D6227" s="2">
        <f t="shared" si="97"/>
        <v>1</v>
      </c>
    </row>
    <row r="6228" spans="1:4" x14ac:dyDescent="0.3">
      <c r="A6228" s="34">
        <v>48643</v>
      </c>
      <c r="B6228" s="35">
        <v>1</v>
      </c>
      <c r="C6228" s="35">
        <v>0</v>
      </c>
      <c r="D6228" s="2">
        <f t="shared" si="97"/>
        <v>1</v>
      </c>
    </row>
    <row r="6229" spans="1:4" x14ac:dyDescent="0.3">
      <c r="A6229" s="34">
        <v>48648</v>
      </c>
      <c r="B6229" s="35">
        <v>1</v>
      </c>
      <c r="C6229" s="35">
        <v>0</v>
      </c>
      <c r="D6229" s="2">
        <f t="shared" si="97"/>
        <v>1</v>
      </c>
    </row>
    <row r="6230" spans="1:4" x14ac:dyDescent="0.3">
      <c r="A6230" s="34">
        <v>48650</v>
      </c>
      <c r="B6230" s="35">
        <v>2</v>
      </c>
      <c r="C6230" s="35">
        <v>0</v>
      </c>
      <c r="D6230" s="2">
        <f t="shared" si="97"/>
        <v>2</v>
      </c>
    </row>
    <row r="6231" spans="1:4" x14ac:dyDescent="0.3">
      <c r="A6231" s="34">
        <v>48652</v>
      </c>
      <c r="B6231" s="35">
        <v>2</v>
      </c>
      <c r="C6231" s="35">
        <v>0</v>
      </c>
      <c r="D6231" s="2">
        <f t="shared" si="97"/>
        <v>2</v>
      </c>
    </row>
    <row r="6232" spans="1:4" x14ac:dyDescent="0.3">
      <c r="A6232" s="34">
        <v>48653</v>
      </c>
      <c r="B6232" s="35">
        <v>1</v>
      </c>
      <c r="C6232" s="35">
        <v>0</v>
      </c>
      <c r="D6232" s="2">
        <f t="shared" si="97"/>
        <v>1</v>
      </c>
    </row>
    <row r="6233" spans="1:4" x14ac:dyDescent="0.3">
      <c r="A6233" s="34">
        <v>48654</v>
      </c>
      <c r="B6233" s="35">
        <v>1</v>
      </c>
      <c r="C6233" s="35">
        <v>0</v>
      </c>
      <c r="D6233" s="2">
        <f t="shared" si="97"/>
        <v>1</v>
      </c>
    </row>
    <row r="6234" spans="1:4" x14ac:dyDescent="0.3">
      <c r="A6234" s="34">
        <v>48657</v>
      </c>
      <c r="B6234" s="35">
        <v>1</v>
      </c>
      <c r="C6234" s="35">
        <v>0</v>
      </c>
      <c r="D6234" s="2">
        <f t="shared" si="97"/>
        <v>1</v>
      </c>
    </row>
    <row r="6235" spans="1:4" x14ac:dyDescent="0.3">
      <c r="A6235" s="34">
        <v>48659</v>
      </c>
      <c r="B6235" s="35">
        <v>1</v>
      </c>
      <c r="C6235" s="35">
        <v>1</v>
      </c>
      <c r="D6235" s="2">
        <f t="shared" si="97"/>
        <v>2</v>
      </c>
    </row>
    <row r="6236" spans="1:4" x14ac:dyDescent="0.3">
      <c r="A6236" s="34">
        <v>48660</v>
      </c>
      <c r="B6236" s="35">
        <v>2</v>
      </c>
      <c r="C6236" s="35">
        <v>0</v>
      </c>
      <c r="D6236" s="2">
        <f t="shared" si="97"/>
        <v>2</v>
      </c>
    </row>
    <row r="6237" spans="1:4" x14ac:dyDescent="0.3">
      <c r="A6237" s="34">
        <v>48664</v>
      </c>
      <c r="B6237" s="35">
        <v>1</v>
      </c>
      <c r="C6237" s="35">
        <v>0</v>
      </c>
      <c r="D6237" s="2">
        <f t="shared" si="97"/>
        <v>1</v>
      </c>
    </row>
    <row r="6238" spans="1:4" x14ac:dyDescent="0.3">
      <c r="A6238" s="34">
        <v>48732</v>
      </c>
      <c r="B6238" s="35">
        <v>1</v>
      </c>
      <c r="C6238" s="35">
        <v>0</v>
      </c>
      <c r="D6238" s="2">
        <f t="shared" si="97"/>
        <v>1</v>
      </c>
    </row>
    <row r="6239" spans="1:4" x14ac:dyDescent="0.3">
      <c r="A6239" s="34">
        <v>48733</v>
      </c>
      <c r="B6239" s="35">
        <v>1</v>
      </c>
      <c r="C6239" s="35">
        <v>0</v>
      </c>
      <c r="D6239" s="2">
        <f t="shared" si="97"/>
        <v>1</v>
      </c>
    </row>
    <row r="6240" spans="1:4" x14ac:dyDescent="0.3">
      <c r="A6240" s="34">
        <v>48736</v>
      </c>
      <c r="B6240" s="35">
        <v>1</v>
      </c>
      <c r="C6240" s="35">
        <v>0</v>
      </c>
      <c r="D6240" s="2">
        <f t="shared" si="97"/>
        <v>1</v>
      </c>
    </row>
    <row r="6241" spans="1:4" x14ac:dyDescent="0.3">
      <c r="A6241" s="34">
        <v>48738</v>
      </c>
      <c r="B6241" s="35">
        <v>1</v>
      </c>
      <c r="C6241" s="35">
        <v>0</v>
      </c>
      <c r="D6241" s="2">
        <f t="shared" si="97"/>
        <v>1</v>
      </c>
    </row>
    <row r="6242" spans="1:4" x14ac:dyDescent="0.3">
      <c r="A6242" s="34">
        <v>48739</v>
      </c>
      <c r="B6242" s="35">
        <v>1</v>
      </c>
      <c r="C6242" s="35">
        <v>0</v>
      </c>
      <c r="D6242" s="2">
        <f t="shared" si="97"/>
        <v>1</v>
      </c>
    </row>
    <row r="6243" spans="1:4" x14ac:dyDescent="0.3">
      <c r="A6243" s="34">
        <v>48743</v>
      </c>
      <c r="B6243" s="35">
        <v>1</v>
      </c>
      <c r="C6243" s="35">
        <v>0</v>
      </c>
      <c r="D6243" s="2">
        <f t="shared" si="97"/>
        <v>1</v>
      </c>
    </row>
    <row r="6244" spans="1:4" x14ac:dyDescent="0.3">
      <c r="A6244" s="34">
        <v>48744</v>
      </c>
      <c r="B6244" s="35">
        <v>1</v>
      </c>
      <c r="C6244" s="35">
        <v>0</v>
      </c>
      <c r="D6244" s="2">
        <f t="shared" si="97"/>
        <v>1</v>
      </c>
    </row>
    <row r="6245" spans="1:4" x14ac:dyDescent="0.3">
      <c r="A6245" s="34">
        <v>48745</v>
      </c>
      <c r="B6245" s="35">
        <v>1</v>
      </c>
      <c r="C6245" s="35">
        <v>0</v>
      </c>
      <c r="D6245" s="2">
        <f t="shared" si="97"/>
        <v>1</v>
      </c>
    </row>
    <row r="6246" spans="1:4" x14ac:dyDescent="0.3">
      <c r="A6246" s="34">
        <v>48749</v>
      </c>
      <c r="B6246" s="35">
        <v>1</v>
      </c>
      <c r="C6246" s="35">
        <v>0</v>
      </c>
      <c r="D6246" s="2">
        <f t="shared" si="97"/>
        <v>1</v>
      </c>
    </row>
    <row r="6247" spans="1:4" x14ac:dyDescent="0.3">
      <c r="A6247" s="34">
        <v>48750</v>
      </c>
      <c r="B6247" s="35">
        <v>1</v>
      </c>
      <c r="C6247" s="35">
        <v>0</v>
      </c>
      <c r="D6247" s="2">
        <f t="shared" si="97"/>
        <v>1</v>
      </c>
    </row>
    <row r="6248" spans="1:4" x14ac:dyDescent="0.3">
      <c r="A6248" s="34">
        <v>48751</v>
      </c>
      <c r="B6248" s="35">
        <v>1</v>
      </c>
      <c r="C6248" s="35">
        <v>0</v>
      </c>
      <c r="D6248" s="2">
        <f t="shared" si="97"/>
        <v>1</v>
      </c>
    </row>
    <row r="6249" spans="1:4" x14ac:dyDescent="0.3">
      <c r="A6249" s="34">
        <v>48752</v>
      </c>
      <c r="B6249" s="35">
        <v>1</v>
      </c>
      <c r="C6249" s="35">
        <v>1</v>
      </c>
      <c r="D6249" s="2">
        <f t="shared" si="97"/>
        <v>2</v>
      </c>
    </row>
    <row r="6250" spans="1:4" x14ac:dyDescent="0.3">
      <c r="A6250" s="34">
        <v>48756</v>
      </c>
      <c r="B6250" s="35">
        <v>1</v>
      </c>
      <c r="C6250" s="35">
        <v>0</v>
      </c>
      <c r="D6250" s="2">
        <f t="shared" si="97"/>
        <v>1</v>
      </c>
    </row>
    <row r="6251" spans="1:4" x14ac:dyDescent="0.3">
      <c r="A6251" s="34">
        <v>48758</v>
      </c>
      <c r="B6251" s="35">
        <v>1</v>
      </c>
      <c r="C6251" s="35">
        <v>0</v>
      </c>
      <c r="D6251" s="2">
        <f t="shared" si="97"/>
        <v>1</v>
      </c>
    </row>
    <row r="6252" spans="1:4" x14ac:dyDescent="0.3">
      <c r="A6252" s="34">
        <v>48763</v>
      </c>
      <c r="B6252" s="35">
        <v>1</v>
      </c>
      <c r="C6252" s="35">
        <v>0</v>
      </c>
      <c r="D6252" s="2">
        <f t="shared" si="97"/>
        <v>1</v>
      </c>
    </row>
    <row r="6253" spans="1:4" x14ac:dyDescent="0.3">
      <c r="A6253" s="34">
        <v>48764</v>
      </c>
      <c r="B6253" s="35">
        <v>1</v>
      </c>
      <c r="C6253" s="35">
        <v>0</v>
      </c>
      <c r="D6253" s="2">
        <f t="shared" si="97"/>
        <v>1</v>
      </c>
    </row>
    <row r="6254" spans="1:4" x14ac:dyDescent="0.3">
      <c r="A6254" s="34">
        <v>48766</v>
      </c>
      <c r="B6254" s="35">
        <v>1</v>
      </c>
      <c r="C6254" s="35">
        <v>0</v>
      </c>
      <c r="D6254" s="2">
        <f t="shared" si="97"/>
        <v>1</v>
      </c>
    </row>
    <row r="6255" spans="1:4" x14ac:dyDescent="0.3">
      <c r="A6255" s="34">
        <v>48767</v>
      </c>
      <c r="B6255" s="35">
        <v>1</v>
      </c>
      <c r="C6255" s="35">
        <v>0</v>
      </c>
      <c r="D6255" s="2">
        <f t="shared" si="97"/>
        <v>1</v>
      </c>
    </row>
    <row r="6256" spans="1:4" x14ac:dyDescent="0.3">
      <c r="A6256" s="34">
        <v>48768</v>
      </c>
      <c r="B6256" s="35">
        <v>3</v>
      </c>
      <c r="C6256" s="35">
        <v>2</v>
      </c>
      <c r="D6256" s="2">
        <f t="shared" si="97"/>
        <v>5</v>
      </c>
    </row>
    <row r="6257" spans="1:4" x14ac:dyDescent="0.3">
      <c r="A6257" s="34">
        <v>48769</v>
      </c>
      <c r="B6257" s="35">
        <v>1</v>
      </c>
      <c r="C6257" s="35">
        <v>1</v>
      </c>
      <c r="D6257" s="2">
        <f t="shared" si="97"/>
        <v>2</v>
      </c>
    </row>
    <row r="6258" spans="1:4" x14ac:dyDescent="0.3">
      <c r="A6258" s="34">
        <v>48771</v>
      </c>
      <c r="B6258" s="35">
        <v>1</v>
      </c>
      <c r="C6258" s="35">
        <v>0</v>
      </c>
      <c r="D6258" s="2">
        <f t="shared" si="97"/>
        <v>1</v>
      </c>
    </row>
    <row r="6259" spans="1:4" x14ac:dyDescent="0.3">
      <c r="A6259" s="34">
        <v>48776</v>
      </c>
      <c r="B6259" s="35">
        <v>1</v>
      </c>
      <c r="C6259" s="35">
        <v>0</v>
      </c>
      <c r="D6259" s="2">
        <f t="shared" si="97"/>
        <v>1</v>
      </c>
    </row>
    <row r="6260" spans="1:4" x14ac:dyDescent="0.3">
      <c r="A6260" s="34">
        <v>48779</v>
      </c>
      <c r="B6260" s="35">
        <v>1</v>
      </c>
      <c r="C6260" s="35">
        <v>0</v>
      </c>
      <c r="D6260" s="2">
        <f t="shared" si="97"/>
        <v>1</v>
      </c>
    </row>
    <row r="6261" spans="1:4" x14ac:dyDescent="0.3">
      <c r="A6261" s="34">
        <v>48782</v>
      </c>
      <c r="B6261" s="35">
        <v>1</v>
      </c>
      <c r="C6261" s="35">
        <v>0</v>
      </c>
      <c r="D6261" s="2">
        <f t="shared" si="97"/>
        <v>1</v>
      </c>
    </row>
    <row r="6262" spans="1:4" x14ac:dyDescent="0.3">
      <c r="A6262" s="34">
        <v>48783</v>
      </c>
      <c r="B6262" s="35">
        <v>1</v>
      </c>
      <c r="C6262" s="35">
        <v>0</v>
      </c>
      <c r="D6262" s="2">
        <f t="shared" si="97"/>
        <v>1</v>
      </c>
    </row>
    <row r="6263" spans="1:4" x14ac:dyDescent="0.3">
      <c r="A6263" s="34">
        <v>48786</v>
      </c>
      <c r="B6263" s="35">
        <v>1</v>
      </c>
      <c r="C6263" s="35">
        <v>0</v>
      </c>
      <c r="D6263" s="2">
        <f t="shared" si="97"/>
        <v>1</v>
      </c>
    </row>
    <row r="6264" spans="1:4" x14ac:dyDescent="0.3">
      <c r="A6264" s="34">
        <v>48790</v>
      </c>
      <c r="B6264" s="35">
        <v>1</v>
      </c>
      <c r="C6264" s="35">
        <v>0</v>
      </c>
      <c r="D6264" s="2">
        <f t="shared" si="97"/>
        <v>1</v>
      </c>
    </row>
    <row r="6265" spans="1:4" x14ac:dyDescent="0.3">
      <c r="A6265" s="34">
        <v>48791</v>
      </c>
      <c r="B6265" s="35">
        <v>1</v>
      </c>
      <c r="C6265" s="35">
        <v>0</v>
      </c>
      <c r="D6265" s="2">
        <f t="shared" si="97"/>
        <v>1</v>
      </c>
    </row>
    <row r="6266" spans="1:4" x14ac:dyDescent="0.3">
      <c r="A6266" s="34">
        <v>48847</v>
      </c>
      <c r="B6266" s="35">
        <v>1</v>
      </c>
      <c r="C6266" s="35">
        <v>0</v>
      </c>
      <c r="D6266" s="2">
        <f t="shared" si="97"/>
        <v>1</v>
      </c>
    </row>
    <row r="6267" spans="1:4" x14ac:dyDescent="0.3">
      <c r="A6267" s="34">
        <v>48848</v>
      </c>
      <c r="B6267" s="35">
        <v>1</v>
      </c>
      <c r="C6267" s="35">
        <v>1</v>
      </c>
      <c r="D6267" s="2">
        <f t="shared" si="97"/>
        <v>2</v>
      </c>
    </row>
    <row r="6268" spans="1:4" x14ac:dyDescent="0.3">
      <c r="A6268" s="34">
        <v>48851</v>
      </c>
      <c r="B6268" s="35">
        <v>1</v>
      </c>
      <c r="C6268" s="35">
        <v>0</v>
      </c>
      <c r="D6268" s="2">
        <f t="shared" si="97"/>
        <v>1</v>
      </c>
    </row>
    <row r="6269" spans="1:4" x14ac:dyDescent="0.3">
      <c r="A6269" s="34">
        <v>48853</v>
      </c>
      <c r="B6269" s="35">
        <v>1</v>
      </c>
      <c r="C6269" s="35">
        <v>0</v>
      </c>
      <c r="D6269" s="2">
        <f t="shared" si="97"/>
        <v>1</v>
      </c>
    </row>
    <row r="6270" spans="1:4" x14ac:dyDescent="0.3">
      <c r="A6270" s="34">
        <v>48854</v>
      </c>
      <c r="B6270" s="35">
        <v>1</v>
      </c>
      <c r="C6270" s="35">
        <v>1</v>
      </c>
      <c r="D6270" s="2">
        <f t="shared" si="97"/>
        <v>2</v>
      </c>
    </row>
    <row r="6271" spans="1:4" x14ac:dyDescent="0.3">
      <c r="A6271" s="34">
        <v>48858</v>
      </c>
      <c r="B6271" s="35">
        <v>1</v>
      </c>
      <c r="C6271" s="35">
        <v>0</v>
      </c>
      <c r="D6271" s="2">
        <f t="shared" si="97"/>
        <v>1</v>
      </c>
    </row>
    <row r="6272" spans="1:4" x14ac:dyDescent="0.3">
      <c r="A6272" s="34">
        <v>48859</v>
      </c>
      <c r="B6272" s="35">
        <v>1</v>
      </c>
      <c r="C6272" s="35">
        <v>0</v>
      </c>
      <c r="D6272" s="2">
        <f t="shared" si="97"/>
        <v>1</v>
      </c>
    </row>
    <row r="6273" spans="1:4" x14ac:dyDescent="0.3">
      <c r="A6273" s="34">
        <v>48861</v>
      </c>
      <c r="B6273" s="35">
        <v>2</v>
      </c>
      <c r="C6273" s="35">
        <v>1</v>
      </c>
      <c r="D6273" s="2">
        <f t="shared" si="97"/>
        <v>3</v>
      </c>
    </row>
    <row r="6274" spans="1:4" x14ac:dyDescent="0.3">
      <c r="A6274" s="34">
        <v>48869</v>
      </c>
      <c r="B6274" s="35">
        <v>1</v>
      </c>
      <c r="C6274" s="35">
        <v>0</v>
      </c>
      <c r="D6274" s="2">
        <f t="shared" si="97"/>
        <v>1</v>
      </c>
    </row>
    <row r="6275" spans="1:4" x14ac:dyDescent="0.3">
      <c r="A6275" s="34">
        <v>48871</v>
      </c>
      <c r="B6275" s="35">
        <v>1</v>
      </c>
      <c r="C6275" s="35">
        <v>0</v>
      </c>
      <c r="D6275" s="2">
        <f t="shared" ref="D6275:D6338" si="98">B6275+C6275</f>
        <v>1</v>
      </c>
    </row>
    <row r="6276" spans="1:4" x14ac:dyDescent="0.3">
      <c r="A6276" s="34">
        <v>48873</v>
      </c>
      <c r="B6276" s="35">
        <v>2</v>
      </c>
      <c r="C6276" s="35">
        <v>0</v>
      </c>
      <c r="D6276" s="2">
        <f t="shared" si="98"/>
        <v>2</v>
      </c>
    </row>
    <row r="6277" spans="1:4" x14ac:dyDescent="0.3">
      <c r="A6277" s="34">
        <v>48875</v>
      </c>
      <c r="B6277" s="35">
        <v>1</v>
      </c>
      <c r="C6277" s="35">
        <v>0</v>
      </c>
      <c r="D6277" s="2">
        <f t="shared" si="98"/>
        <v>1</v>
      </c>
    </row>
    <row r="6278" spans="1:4" x14ac:dyDescent="0.3">
      <c r="A6278" s="34">
        <v>48876</v>
      </c>
      <c r="B6278" s="35">
        <v>1</v>
      </c>
      <c r="C6278" s="35">
        <v>0</v>
      </c>
      <c r="D6278" s="2">
        <f t="shared" si="98"/>
        <v>1</v>
      </c>
    </row>
    <row r="6279" spans="1:4" x14ac:dyDescent="0.3">
      <c r="A6279" s="34">
        <v>48878</v>
      </c>
      <c r="B6279" s="35">
        <v>1</v>
      </c>
      <c r="C6279" s="35">
        <v>0</v>
      </c>
      <c r="D6279" s="2">
        <f t="shared" si="98"/>
        <v>1</v>
      </c>
    </row>
    <row r="6280" spans="1:4" x14ac:dyDescent="0.3">
      <c r="A6280" s="34">
        <v>48880</v>
      </c>
      <c r="B6280" s="35">
        <v>1</v>
      </c>
      <c r="C6280" s="35">
        <v>1</v>
      </c>
      <c r="D6280" s="2">
        <f t="shared" si="98"/>
        <v>2</v>
      </c>
    </row>
    <row r="6281" spans="1:4" x14ac:dyDescent="0.3">
      <c r="A6281" s="34">
        <v>48881</v>
      </c>
      <c r="B6281" s="35">
        <v>1</v>
      </c>
      <c r="C6281" s="35">
        <v>0</v>
      </c>
      <c r="D6281" s="2">
        <f t="shared" si="98"/>
        <v>1</v>
      </c>
    </row>
    <row r="6282" spans="1:4" x14ac:dyDescent="0.3">
      <c r="A6282" s="34">
        <v>49047</v>
      </c>
      <c r="B6282" s="35">
        <v>3</v>
      </c>
      <c r="C6282" s="35">
        <v>0</v>
      </c>
      <c r="D6282" s="2">
        <f t="shared" si="98"/>
        <v>3</v>
      </c>
    </row>
    <row r="6283" spans="1:4" x14ac:dyDescent="0.3">
      <c r="A6283" s="34">
        <v>49049</v>
      </c>
      <c r="B6283" s="35">
        <v>1</v>
      </c>
      <c r="C6283" s="35">
        <v>0</v>
      </c>
      <c r="D6283" s="2">
        <f t="shared" si="98"/>
        <v>1</v>
      </c>
    </row>
    <row r="6284" spans="1:4" x14ac:dyDescent="0.3">
      <c r="A6284" s="34">
        <v>49050</v>
      </c>
      <c r="B6284" s="35">
        <v>1</v>
      </c>
      <c r="C6284" s="35">
        <v>0</v>
      </c>
      <c r="D6284" s="2">
        <f t="shared" si="98"/>
        <v>1</v>
      </c>
    </row>
    <row r="6285" spans="1:4" x14ac:dyDescent="0.3">
      <c r="A6285" s="34">
        <v>49059</v>
      </c>
      <c r="B6285" s="35">
        <v>1</v>
      </c>
      <c r="C6285" s="35">
        <v>0</v>
      </c>
      <c r="D6285" s="2">
        <f t="shared" si="98"/>
        <v>1</v>
      </c>
    </row>
    <row r="6286" spans="1:4" x14ac:dyDescent="0.3">
      <c r="A6286" s="34">
        <v>49061</v>
      </c>
      <c r="B6286" s="35">
        <v>1</v>
      </c>
      <c r="C6286" s="35">
        <v>0</v>
      </c>
      <c r="D6286" s="2">
        <f t="shared" si="98"/>
        <v>1</v>
      </c>
    </row>
    <row r="6287" spans="1:4" x14ac:dyDescent="0.3">
      <c r="A6287" s="34">
        <v>49064</v>
      </c>
      <c r="B6287" s="35">
        <v>1</v>
      </c>
      <c r="C6287" s="35">
        <v>0</v>
      </c>
      <c r="D6287" s="2">
        <f t="shared" si="98"/>
        <v>1</v>
      </c>
    </row>
    <row r="6288" spans="1:4" x14ac:dyDescent="0.3">
      <c r="A6288" s="34">
        <v>49068</v>
      </c>
      <c r="B6288" s="35">
        <v>1</v>
      </c>
      <c r="C6288" s="35">
        <v>0</v>
      </c>
      <c r="D6288" s="2">
        <f t="shared" si="98"/>
        <v>1</v>
      </c>
    </row>
    <row r="6289" spans="1:4" x14ac:dyDescent="0.3">
      <c r="A6289" s="34">
        <v>49070</v>
      </c>
      <c r="B6289" s="35">
        <v>1</v>
      </c>
      <c r="C6289" s="35">
        <v>0</v>
      </c>
      <c r="D6289" s="2">
        <f t="shared" si="98"/>
        <v>1</v>
      </c>
    </row>
    <row r="6290" spans="1:4" x14ac:dyDescent="0.3">
      <c r="A6290" s="34">
        <v>49071</v>
      </c>
      <c r="B6290" s="35">
        <v>1</v>
      </c>
      <c r="C6290" s="35">
        <v>0</v>
      </c>
      <c r="D6290" s="2">
        <f t="shared" si="98"/>
        <v>1</v>
      </c>
    </row>
    <row r="6291" spans="1:4" x14ac:dyDescent="0.3">
      <c r="A6291" s="34">
        <v>49074</v>
      </c>
      <c r="B6291" s="35">
        <v>2</v>
      </c>
      <c r="C6291" s="35">
        <v>0</v>
      </c>
      <c r="D6291" s="2">
        <f t="shared" si="98"/>
        <v>2</v>
      </c>
    </row>
    <row r="6292" spans="1:4" x14ac:dyDescent="0.3">
      <c r="A6292" s="34">
        <v>49075</v>
      </c>
      <c r="B6292" s="35">
        <v>1</v>
      </c>
      <c r="C6292" s="35">
        <v>1</v>
      </c>
      <c r="D6292" s="2">
        <f t="shared" si="98"/>
        <v>2</v>
      </c>
    </row>
    <row r="6293" spans="1:4" x14ac:dyDescent="0.3">
      <c r="A6293" s="34">
        <v>49076</v>
      </c>
      <c r="B6293" s="35">
        <v>1</v>
      </c>
      <c r="C6293" s="35">
        <v>0</v>
      </c>
      <c r="D6293" s="2">
        <f t="shared" si="98"/>
        <v>1</v>
      </c>
    </row>
    <row r="6294" spans="1:4" x14ac:dyDescent="0.3">
      <c r="A6294" s="34">
        <v>49080</v>
      </c>
      <c r="B6294" s="35">
        <v>1</v>
      </c>
      <c r="C6294" s="35">
        <v>0</v>
      </c>
      <c r="D6294" s="2">
        <f t="shared" si="98"/>
        <v>1</v>
      </c>
    </row>
    <row r="6295" spans="1:4" x14ac:dyDescent="0.3">
      <c r="A6295" s="34">
        <v>49084</v>
      </c>
      <c r="B6295" s="35">
        <v>1</v>
      </c>
      <c r="C6295" s="35">
        <v>1</v>
      </c>
      <c r="D6295" s="2">
        <f t="shared" si="98"/>
        <v>2</v>
      </c>
    </row>
    <row r="6296" spans="1:4" x14ac:dyDescent="0.3">
      <c r="A6296" s="34">
        <v>49085</v>
      </c>
      <c r="B6296" s="35">
        <v>1</v>
      </c>
      <c r="C6296" s="35">
        <v>0</v>
      </c>
      <c r="D6296" s="2">
        <f t="shared" si="98"/>
        <v>1</v>
      </c>
    </row>
    <row r="6297" spans="1:4" x14ac:dyDescent="0.3">
      <c r="A6297" s="34">
        <v>49089</v>
      </c>
      <c r="B6297" s="35">
        <v>1</v>
      </c>
      <c r="C6297" s="35">
        <v>0</v>
      </c>
      <c r="D6297" s="2">
        <f t="shared" si="98"/>
        <v>1</v>
      </c>
    </row>
    <row r="6298" spans="1:4" x14ac:dyDescent="0.3">
      <c r="A6298" s="34">
        <v>49091</v>
      </c>
      <c r="B6298" s="35">
        <v>1</v>
      </c>
      <c r="C6298" s="35">
        <v>0</v>
      </c>
      <c r="D6298" s="2">
        <f t="shared" si="98"/>
        <v>1</v>
      </c>
    </row>
    <row r="6299" spans="1:4" x14ac:dyDescent="0.3">
      <c r="A6299" s="34">
        <v>49092</v>
      </c>
      <c r="B6299" s="35">
        <v>1</v>
      </c>
      <c r="C6299" s="35">
        <v>0</v>
      </c>
      <c r="D6299" s="2">
        <f t="shared" si="98"/>
        <v>1</v>
      </c>
    </row>
    <row r="6300" spans="1:4" x14ac:dyDescent="0.3">
      <c r="A6300" s="34">
        <v>49093</v>
      </c>
      <c r="B6300" s="35">
        <v>1</v>
      </c>
      <c r="C6300" s="35">
        <v>0</v>
      </c>
      <c r="D6300" s="2">
        <f t="shared" si="98"/>
        <v>1</v>
      </c>
    </row>
    <row r="6301" spans="1:4" x14ac:dyDescent="0.3">
      <c r="A6301" s="34">
        <v>49094</v>
      </c>
      <c r="B6301" s="35">
        <v>1</v>
      </c>
      <c r="C6301" s="35">
        <v>0</v>
      </c>
      <c r="D6301" s="2">
        <f t="shared" si="98"/>
        <v>1</v>
      </c>
    </row>
    <row r="6302" spans="1:4" x14ac:dyDescent="0.3">
      <c r="A6302" s="34">
        <v>49095</v>
      </c>
      <c r="B6302" s="35">
        <v>1</v>
      </c>
      <c r="C6302" s="35">
        <v>0</v>
      </c>
      <c r="D6302" s="2">
        <f t="shared" si="98"/>
        <v>1</v>
      </c>
    </row>
    <row r="6303" spans="1:4" x14ac:dyDescent="0.3">
      <c r="A6303" s="34">
        <v>49096</v>
      </c>
      <c r="B6303" s="35">
        <v>1</v>
      </c>
      <c r="C6303" s="35">
        <v>0</v>
      </c>
      <c r="D6303" s="2">
        <f t="shared" si="98"/>
        <v>1</v>
      </c>
    </row>
    <row r="6304" spans="1:4" x14ac:dyDescent="0.3">
      <c r="A6304" s="34">
        <v>49097</v>
      </c>
      <c r="B6304" s="35">
        <v>1</v>
      </c>
      <c r="C6304" s="35">
        <v>0</v>
      </c>
      <c r="D6304" s="2">
        <f t="shared" si="98"/>
        <v>1</v>
      </c>
    </row>
    <row r="6305" spans="1:4" x14ac:dyDescent="0.3">
      <c r="A6305" s="34">
        <v>49098</v>
      </c>
      <c r="B6305" s="35">
        <v>1</v>
      </c>
      <c r="C6305" s="35">
        <v>0</v>
      </c>
      <c r="D6305" s="2">
        <f t="shared" si="98"/>
        <v>1</v>
      </c>
    </row>
    <row r="6306" spans="1:4" x14ac:dyDescent="0.3">
      <c r="A6306" s="34">
        <v>49099</v>
      </c>
      <c r="B6306" s="35">
        <v>1</v>
      </c>
      <c r="C6306" s="35">
        <v>1</v>
      </c>
      <c r="D6306" s="2">
        <f t="shared" si="98"/>
        <v>2</v>
      </c>
    </row>
    <row r="6307" spans="1:4" x14ac:dyDescent="0.3">
      <c r="A6307" s="34">
        <v>49102</v>
      </c>
      <c r="B6307" s="35">
        <v>1</v>
      </c>
      <c r="C6307" s="35">
        <v>0</v>
      </c>
      <c r="D6307" s="2">
        <f t="shared" si="98"/>
        <v>1</v>
      </c>
    </row>
    <row r="6308" spans="1:4" x14ac:dyDescent="0.3">
      <c r="A6308" s="34">
        <v>49103</v>
      </c>
      <c r="B6308" s="35">
        <v>1</v>
      </c>
      <c r="C6308" s="35">
        <v>0</v>
      </c>
      <c r="D6308" s="2">
        <f t="shared" si="98"/>
        <v>1</v>
      </c>
    </row>
    <row r="6309" spans="1:4" x14ac:dyDescent="0.3">
      <c r="A6309" s="34">
        <v>49105</v>
      </c>
      <c r="B6309" s="35">
        <v>1</v>
      </c>
      <c r="C6309" s="35">
        <v>0</v>
      </c>
      <c r="D6309" s="2">
        <f t="shared" si="98"/>
        <v>1</v>
      </c>
    </row>
    <row r="6310" spans="1:4" x14ac:dyDescent="0.3">
      <c r="A6310" s="34">
        <v>49108</v>
      </c>
      <c r="B6310" s="35">
        <v>1</v>
      </c>
      <c r="C6310" s="35">
        <v>0</v>
      </c>
      <c r="D6310" s="2">
        <f t="shared" si="98"/>
        <v>1</v>
      </c>
    </row>
    <row r="6311" spans="1:4" x14ac:dyDescent="0.3">
      <c r="A6311" s="34">
        <v>49110</v>
      </c>
      <c r="B6311" s="35">
        <v>1</v>
      </c>
      <c r="C6311" s="35">
        <v>0</v>
      </c>
      <c r="D6311" s="2">
        <f t="shared" si="98"/>
        <v>1</v>
      </c>
    </row>
    <row r="6312" spans="1:4" x14ac:dyDescent="0.3">
      <c r="A6312" s="34">
        <v>49112</v>
      </c>
      <c r="B6312" s="35">
        <v>1</v>
      </c>
      <c r="C6312" s="35">
        <v>0</v>
      </c>
      <c r="D6312" s="2">
        <f t="shared" si="98"/>
        <v>1</v>
      </c>
    </row>
    <row r="6313" spans="1:4" x14ac:dyDescent="0.3">
      <c r="A6313" s="34">
        <v>49114</v>
      </c>
      <c r="B6313" s="35">
        <v>1</v>
      </c>
      <c r="C6313" s="35">
        <v>1</v>
      </c>
      <c r="D6313" s="2">
        <f t="shared" si="98"/>
        <v>2</v>
      </c>
    </row>
    <row r="6314" spans="1:4" x14ac:dyDescent="0.3">
      <c r="A6314" s="34">
        <v>49116</v>
      </c>
      <c r="B6314" s="35">
        <v>1</v>
      </c>
      <c r="C6314" s="35">
        <v>0</v>
      </c>
      <c r="D6314" s="2">
        <f t="shared" si="98"/>
        <v>1</v>
      </c>
    </row>
    <row r="6315" spans="1:4" x14ac:dyDescent="0.3">
      <c r="A6315" s="34">
        <v>49117</v>
      </c>
      <c r="B6315" s="35">
        <v>1</v>
      </c>
      <c r="C6315" s="35">
        <v>0</v>
      </c>
      <c r="D6315" s="2">
        <f t="shared" si="98"/>
        <v>1</v>
      </c>
    </row>
    <row r="6316" spans="1:4" x14ac:dyDescent="0.3">
      <c r="A6316" s="34">
        <v>49118</v>
      </c>
      <c r="B6316" s="35">
        <v>2</v>
      </c>
      <c r="C6316" s="35">
        <v>0</v>
      </c>
      <c r="D6316" s="2">
        <f t="shared" si="98"/>
        <v>2</v>
      </c>
    </row>
    <row r="6317" spans="1:4" x14ac:dyDescent="0.3">
      <c r="A6317" s="34">
        <v>49119</v>
      </c>
      <c r="B6317" s="35">
        <v>1</v>
      </c>
      <c r="C6317" s="35">
        <v>0</v>
      </c>
      <c r="D6317" s="2">
        <f t="shared" si="98"/>
        <v>1</v>
      </c>
    </row>
    <row r="6318" spans="1:4" x14ac:dyDescent="0.3">
      <c r="A6318" s="34">
        <v>49121</v>
      </c>
      <c r="B6318" s="35">
        <v>2</v>
      </c>
      <c r="C6318" s="35">
        <v>1</v>
      </c>
      <c r="D6318" s="2">
        <f t="shared" si="98"/>
        <v>3</v>
      </c>
    </row>
    <row r="6319" spans="1:4" x14ac:dyDescent="0.3">
      <c r="A6319" s="34">
        <v>49123</v>
      </c>
      <c r="B6319" s="35">
        <v>1</v>
      </c>
      <c r="C6319" s="35">
        <v>0</v>
      </c>
      <c r="D6319" s="2">
        <f t="shared" si="98"/>
        <v>1</v>
      </c>
    </row>
    <row r="6320" spans="1:4" x14ac:dyDescent="0.3">
      <c r="A6320" s="34">
        <v>49187</v>
      </c>
      <c r="B6320" s="35">
        <v>1</v>
      </c>
      <c r="C6320" s="35">
        <v>0</v>
      </c>
      <c r="D6320" s="2">
        <f t="shared" si="98"/>
        <v>1</v>
      </c>
    </row>
    <row r="6321" spans="1:4" x14ac:dyDescent="0.3">
      <c r="A6321" s="34">
        <v>49189</v>
      </c>
      <c r="B6321" s="35">
        <v>1</v>
      </c>
      <c r="C6321" s="35">
        <v>0</v>
      </c>
      <c r="D6321" s="2">
        <f t="shared" si="98"/>
        <v>1</v>
      </c>
    </row>
    <row r="6322" spans="1:4" x14ac:dyDescent="0.3">
      <c r="A6322" s="34">
        <v>49191</v>
      </c>
      <c r="B6322" s="35">
        <v>1</v>
      </c>
      <c r="C6322" s="35">
        <v>0</v>
      </c>
      <c r="D6322" s="2">
        <f t="shared" si="98"/>
        <v>1</v>
      </c>
    </row>
    <row r="6323" spans="1:4" x14ac:dyDescent="0.3">
      <c r="A6323" s="34">
        <v>49192</v>
      </c>
      <c r="B6323" s="35">
        <v>2</v>
      </c>
      <c r="C6323" s="35">
        <v>0</v>
      </c>
      <c r="D6323" s="2">
        <f t="shared" si="98"/>
        <v>2</v>
      </c>
    </row>
    <row r="6324" spans="1:4" x14ac:dyDescent="0.3">
      <c r="A6324" s="34">
        <v>49193</v>
      </c>
      <c r="B6324" s="35">
        <v>1</v>
      </c>
      <c r="C6324" s="35">
        <v>0</v>
      </c>
      <c r="D6324" s="2">
        <f t="shared" si="98"/>
        <v>1</v>
      </c>
    </row>
    <row r="6325" spans="1:4" x14ac:dyDescent="0.3">
      <c r="A6325" s="34">
        <v>49194</v>
      </c>
      <c r="B6325" s="35">
        <v>1</v>
      </c>
      <c r="C6325" s="35">
        <v>0</v>
      </c>
      <c r="D6325" s="2">
        <f t="shared" si="98"/>
        <v>1</v>
      </c>
    </row>
    <row r="6326" spans="1:4" x14ac:dyDescent="0.3">
      <c r="A6326" s="34">
        <v>49196</v>
      </c>
      <c r="B6326" s="35">
        <v>1</v>
      </c>
      <c r="C6326" s="35">
        <v>0</v>
      </c>
      <c r="D6326" s="2">
        <f t="shared" si="98"/>
        <v>1</v>
      </c>
    </row>
    <row r="6327" spans="1:4" x14ac:dyDescent="0.3">
      <c r="A6327" s="34">
        <v>49198</v>
      </c>
      <c r="B6327" s="35">
        <v>1</v>
      </c>
      <c r="C6327" s="35">
        <v>0</v>
      </c>
      <c r="D6327" s="2">
        <f t="shared" si="98"/>
        <v>1</v>
      </c>
    </row>
    <row r="6328" spans="1:4" x14ac:dyDescent="0.3">
      <c r="A6328" s="34">
        <v>49199</v>
      </c>
      <c r="B6328" s="35">
        <v>2</v>
      </c>
      <c r="C6328" s="35">
        <v>0</v>
      </c>
      <c r="D6328" s="2">
        <f t="shared" si="98"/>
        <v>2</v>
      </c>
    </row>
    <row r="6329" spans="1:4" x14ac:dyDescent="0.3">
      <c r="A6329" s="34">
        <v>49202</v>
      </c>
      <c r="B6329" s="35">
        <v>1</v>
      </c>
      <c r="C6329" s="35">
        <v>0</v>
      </c>
      <c r="D6329" s="2">
        <f t="shared" si="98"/>
        <v>1</v>
      </c>
    </row>
    <row r="6330" spans="1:4" x14ac:dyDescent="0.3">
      <c r="A6330" s="34">
        <v>49205</v>
      </c>
      <c r="B6330" s="35">
        <v>1</v>
      </c>
      <c r="C6330" s="35">
        <v>0</v>
      </c>
      <c r="D6330" s="2">
        <f t="shared" si="98"/>
        <v>1</v>
      </c>
    </row>
    <row r="6331" spans="1:4" x14ac:dyDescent="0.3">
      <c r="A6331" s="34">
        <v>49206</v>
      </c>
      <c r="B6331" s="35">
        <v>1</v>
      </c>
      <c r="C6331" s="35">
        <v>0</v>
      </c>
      <c r="D6331" s="2">
        <f t="shared" si="98"/>
        <v>1</v>
      </c>
    </row>
    <row r="6332" spans="1:4" x14ac:dyDescent="0.3">
      <c r="A6332" s="34">
        <v>49210</v>
      </c>
      <c r="B6332" s="35">
        <v>1</v>
      </c>
      <c r="C6332" s="35">
        <v>0</v>
      </c>
      <c r="D6332" s="2">
        <f t="shared" si="98"/>
        <v>1</v>
      </c>
    </row>
    <row r="6333" spans="1:4" x14ac:dyDescent="0.3">
      <c r="A6333" s="34">
        <v>49211</v>
      </c>
      <c r="B6333" s="35">
        <v>1</v>
      </c>
      <c r="C6333" s="35">
        <v>1</v>
      </c>
      <c r="D6333" s="2">
        <f t="shared" si="98"/>
        <v>2</v>
      </c>
    </row>
    <row r="6334" spans="1:4" x14ac:dyDescent="0.3">
      <c r="A6334" s="34">
        <v>49212</v>
      </c>
      <c r="B6334" s="35">
        <v>1</v>
      </c>
      <c r="C6334" s="35">
        <v>0</v>
      </c>
      <c r="D6334" s="2">
        <f t="shared" si="98"/>
        <v>1</v>
      </c>
    </row>
    <row r="6335" spans="1:4" x14ac:dyDescent="0.3">
      <c r="A6335" s="34">
        <v>49213</v>
      </c>
      <c r="B6335" s="35">
        <v>1</v>
      </c>
      <c r="C6335" s="35">
        <v>0</v>
      </c>
      <c r="D6335" s="2">
        <f t="shared" si="98"/>
        <v>1</v>
      </c>
    </row>
    <row r="6336" spans="1:4" x14ac:dyDescent="0.3">
      <c r="A6336" s="34">
        <v>49214</v>
      </c>
      <c r="B6336" s="35">
        <v>1</v>
      </c>
      <c r="C6336" s="35">
        <v>0</v>
      </c>
      <c r="D6336" s="2">
        <f t="shared" si="98"/>
        <v>1</v>
      </c>
    </row>
    <row r="6337" spans="1:4" x14ac:dyDescent="0.3">
      <c r="A6337" s="34">
        <v>49217</v>
      </c>
      <c r="B6337" s="35">
        <v>1</v>
      </c>
      <c r="C6337" s="35">
        <v>0</v>
      </c>
      <c r="D6337" s="2">
        <f t="shared" si="98"/>
        <v>1</v>
      </c>
    </row>
    <row r="6338" spans="1:4" x14ac:dyDescent="0.3">
      <c r="A6338" s="34">
        <v>49218</v>
      </c>
      <c r="B6338" s="35">
        <v>1</v>
      </c>
      <c r="C6338" s="35">
        <v>0</v>
      </c>
      <c r="D6338" s="2">
        <f t="shared" si="98"/>
        <v>1</v>
      </c>
    </row>
    <row r="6339" spans="1:4" x14ac:dyDescent="0.3">
      <c r="A6339" s="34">
        <v>49223</v>
      </c>
      <c r="B6339" s="35">
        <v>1</v>
      </c>
      <c r="C6339" s="35">
        <v>0</v>
      </c>
      <c r="D6339" s="2">
        <f t="shared" ref="D6339:D6402" si="99">B6339+C6339</f>
        <v>1</v>
      </c>
    </row>
    <row r="6340" spans="1:4" x14ac:dyDescent="0.3">
      <c r="A6340" s="34">
        <v>49225</v>
      </c>
      <c r="B6340" s="35">
        <v>1</v>
      </c>
      <c r="C6340" s="35">
        <v>0</v>
      </c>
      <c r="D6340" s="2">
        <f t="shared" si="99"/>
        <v>1</v>
      </c>
    </row>
    <row r="6341" spans="1:4" x14ac:dyDescent="0.3">
      <c r="A6341" s="34">
        <v>49226</v>
      </c>
      <c r="B6341" s="35">
        <v>1</v>
      </c>
      <c r="C6341" s="35">
        <v>0</v>
      </c>
      <c r="D6341" s="2">
        <f t="shared" si="99"/>
        <v>1</v>
      </c>
    </row>
    <row r="6342" spans="1:4" x14ac:dyDescent="0.3">
      <c r="A6342" s="34">
        <v>49228</v>
      </c>
      <c r="B6342" s="35">
        <v>1</v>
      </c>
      <c r="C6342" s="35">
        <v>0</v>
      </c>
      <c r="D6342" s="2">
        <f t="shared" si="99"/>
        <v>1</v>
      </c>
    </row>
    <row r="6343" spans="1:4" x14ac:dyDescent="0.3">
      <c r="A6343" s="34">
        <v>49231</v>
      </c>
      <c r="B6343" s="35">
        <v>2</v>
      </c>
      <c r="C6343" s="35">
        <v>0</v>
      </c>
      <c r="D6343" s="2">
        <f t="shared" si="99"/>
        <v>2</v>
      </c>
    </row>
    <row r="6344" spans="1:4" x14ac:dyDescent="0.3">
      <c r="A6344" s="34">
        <v>49236</v>
      </c>
      <c r="B6344" s="35">
        <v>1</v>
      </c>
      <c r="C6344" s="35">
        <v>0</v>
      </c>
      <c r="D6344" s="2">
        <f t="shared" si="99"/>
        <v>1</v>
      </c>
    </row>
    <row r="6345" spans="1:4" x14ac:dyDescent="0.3">
      <c r="A6345" s="34">
        <v>49237</v>
      </c>
      <c r="B6345" s="35">
        <v>1</v>
      </c>
      <c r="C6345" s="35">
        <v>0</v>
      </c>
      <c r="D6345" s="2">
        <f t="shared" si="99"/>
        <v>1</v>
      </c>
    </row>
    <row r="6346" spans="1:4" x14ac:dyDescent="0.3">
      <c r="A6346" s="34">
        <v>49238</v>
      </c>
      <c r="B6346" s="35">
        <v>1</v>
      </c>
      <c r="C6346" s="35">
        <v>0</v>
      </c>
      <c r="D6346" s="2">
        <f t="shared" si="99"/>
        <v>1</v>
      </c>
    </row>
    <row r="6347" spans="1:4" x14ac:dyDescent="0.3">
      <c r="A6347" s="34">
        <v>49240</v>
      </c>
      <c r="B6347" s="35">
        <v>1</v>
      </c>
      <c r="C6347" s="35">
        <v>0</v>
      </c>
      <c r="D6347" s="2">
        <f t="shared" si="99"/>
        <v>1</v>
      </c>
    </row>
    <row r="6348" spans="1:4" x14ac:dyDescent="0.3">
      <c r="A6348" s="34">
        <v>49242</v>
      </c>
      <c r="B6348" s="35">
        <v>1</v>
      </c>
      <c r="C6348" s="35">
        <v>0</v>
      </c>
      <c r="D6348" s="2">
        <f t="shared" si="99"/>
        <v>1</v>
      </c>
    </row>
    <row r="6349" spans="1:4" x14ac:dyDescent="0.3">
      <c r="A6349" s="34">
        <v>49247</v>
      </c>
      <c r="B6349" s="35">
        <v>1</v>
      </c>
      <c r="C6349" s="35">
        <v>0</v>
      </c>
      <c r="D6349" s="2">
        <f t="shared" si="99"/>
        <v>1</v>
      </c>
    </row>
    <row r="6350" spans="1:4" x14ac:dyDescent="0.3">
      <c r="A6350" s="34">
        <v>49301</v>
      </c>
      <c r="B6350" s="35">
        <v>1</v>
      </c>
      <c r="C6350" s="35">
        <v>0</v>
      </c>
      <c r="D6350" s="2">
        <f t="shared" si="99"/>
        <v>1</v>
      </c>
    </row>
    <row r="6351" spans="1:4" x14ac:dyDescent="0.3">
      <c r="A6351" s="34">
        <v>49302</v>
      </c>
      <c r="B6351" s="35">
        <v>1</v>
      </c>
      <c r="C6351" s="35">
        <v>0</v>
      </c>
      <c r="D6351" s="2">
        <f t="shared" si="99"/>
        <v>1</v>
      </c>
    </row>
    <row r="6352" spans="1:4" x14ac:dyDescent="0.3">
      <c r="A6352" s="34">
        <v>49303</v>
      </c>
      <c r="B6352" s="35">
        <v>1</v>
      </c>
      <c r="C6352" s="35">
        <v>0</v>
      </c>
      <c r="D6352" s="2">
        <f t="shared" si="99"/>
        <v>1</v>
      </c>
    </row>
    <row r="6353" spans="1:4" x14ac:dyDescent="0.3">
      <c r="A6353" s="34">
        <v>49304</v>
      </c>
      <c r="B6353" s="35">
        <v>1</v>
      </c>
      <c r="C6353" s="35">
        <v>1</v>
      </c>
      <c r="D6353" s="2">
        <f t="shared" si="99"/>
        <v>2</v>
      </c>
    </row>
    <row r="6354" spans="1:4" x14ac:dyDescent="0.3">
      <c r="A6354" s="34">
        <v>49305</v>
      </c>
      <c r="B6354" s="35">
        <v>1</v>
      </c>
      <c r="C6354" s="35">
        <v>0</v>
      </c>
      <c r="D6354" s="2">
        <f t="shared" si="99"/>
        <v>1</v>
      </c>
    </row>
    <row r="6355" spans="1:4" x14ac:dyDescent="0.3">
      <c r="A6355" s="34">
        <v>49308</v>
      </c>
      <c r="B6355" s="35">
        <v>2</v>
      </c>
      <c r="C6355" s="35">
        <v>1</v>
      </c>
      <c r="D6355" s="2">
        <f t="shared" si="99"/>
        <v>3</v>
      </c>
    </row>
    <row r="6356" spans="1:4" x14ac:dyDescent="0.3">
      <c r="A6356" s="34">
        <v>49311</v>
      </c>
      <c r="B6356" s="35">
        <v>1</v>
      </c>
      <c r="C6356" s="35">
        <v>0</v>
      </c>
      <c r="D6356" s="2">
        <f t="shared" si="99"/>
        <v>1</v>
      </c>
    </row>
    <row r="6357" spans="1:4" x14ac:dyDescent="0.3">
      <c r="A6357" s="34">
        <v>49312</v>
      </c>
      <c r="B6357" s="35">
        <v>1</v>
      </c>
      <c r="C6357" s="35">
        <v>0</v>
      </c>
      <c r="D6357" s="2">
        <f t="shared" si="99"/>
        <v>1</v>
      </c>
    </row>
    <row r="6358" spans="1:4" x14ac:dyDescent="0.3">
      <c r="A6358" s="34">
        <v>49315</v>
      </c>
      <c r="B6358" s="35">
        <v>1</v>
      </c>
      <c r="C6358" s="35">
        <v>0</v>
      </c>
      <c r="D6358" s="2">
        <f t="shared" si="99"/>
        <v>1</v>
      </c>
    </row>
    <row r="6359" spans="1:4" x14ac:dyDescent="0.3">
      <c r="A6359" s="34">
        <v>49316</v>
      </c>
      <c r="B6359" s="35">
        <v>1</v>
      </c>
      <c r="C6359" s="35">
        <v>0</v>
      </c>
      <c r="D6359" s="2">
        <f t="shared" si="99"/>
        <v>1</v>
      </c>
    </row>
    <row r="6360" spans="1:4" x14ac:dyDescent="0.3">
      <c r="A6360" s="34">
        <v>49319</v>
      </c>
      <c r="B6360" s="35">
        <v>1</v>
      </c>
      <c r="C6360" s="35">
        <v>0</v>
      </c>
      <c r="D6360" s="2">
        <f t="shared" si="99"/>
        <v>1</v>
      </c>
    </row>
    <row r="6361" spans="1:4" x14ac:dyDescent="0.3">
      <c r="A6361" s="34">
        <v>49320</v>
      </c>
      <c r="B6361" s="35">
        <v>1</v>
      </c>
      <c r="C6361" s="35">
        <v>1</v>
      </c>
      <c r="D6361" s="2">
        <f t="shared" si="99"/>
        <v>2</v>
      </c>
    </row>
    <row r="6362" spans="1:4" x14ac:dyDescent="0.3">
      <c r="A6362" s="34">
        <v>49323</v>
      </c>
      <c r="B6362" s="35">
        <v>1</v>
      </c>
      <c r="C6362" s="35">
        <v>0</v>
      </c>
      <c r="D6362" s="2">
        <f t="shared" si="99"/>
        <v>1</v>
      </c>
    </row>
    <row r="6363" spans="1:4" x14ac:dyDescent="0.3">
      <c r="A6363" s="34">
        <v>49324</v>
      </c>
      <c r="B6363" s="35">
        <v>1</v>
      </c>
      <c r="C6363" s="35">
        <v>0</v>
      </c>
      <c r="D6363" s="2">
        <f t="shared" si="99"/>
        <v>1</v>
      </c>
    </row>
    <row r="6364" spans="1:4" x14ac:dyDescent="0.3">
      <c r="A6364" s="34">
        <v>49325</v>
      </c>
      <c r="B6364" s="35">
        <v>1</v>
      </c>
      <c r="C6364" s="35">
        <v>0</v>
      </c>
      <c r="D6364" s="2">
        <f t="shared" si="99"/>
        <v>1</v>
      </c>
    </row>
    <row r="6365" spans="1:4" x14ac:dyDescent="0.3">
      <c r="A6365" s="34">
        <v>49326</v>
      </c>
      <c r="B6365" s="35">
        <v>1</v>
      </c>
      <c r="C6365" s="35">
        <v>0</v>
      </c>
      <c r="D6365" s="2">
        <f t="shared" si="99"/>
        <v>1</v>
      </c>
    </row>
    <row r="6366" spans="1:4" x14ac:dyDescent="0.3">
      <c r="A6366" s="34">
        <v>49328</v>
      </c>
      <c r="B6366" s="35">
        <v>1</v>
      </c>
      <c r="C6366" s="35">
        <v>0</v>
      </c>
      <c r="D6366" s="2">
        <f t="shared" si="99"/>
        <v>1</v>
      </c>
    </row>
    <row r="6367" spans="1:4" x14ac:dyDescent="0.3">
      <c r="A6367" s="34">
        <v>49329</v>
      </c>
      <c r="B6367" s="35">
        <v>2</v>
      </c>
      <c r="C6367" s="35">
        <v>0</v>
      </c>
      <c r="D6367" s="2">
        <f t="shared" si="99"/>
        <v>2</v>
      </c>
    </row>
    <row r="6368" spans="1:4" x14ac:dyDescent="0.3">
      <c r="A6368" s="34">
        <v>49330</v>
      </c>
      <c r="B6368" s="35">
        <v>1</v>
      </c>
      <c r="C6368" s="35">
        <v>0</v>
      </c>
      <c r="D6368" s="2">
        <f t="shared" si="99"/>
        <v>1</v>
      </c>
    </row>
    <row r="6369" spans="1:4" x14ac:dyDescent="0.3">
      <c r="A6369" s="34">
        <v>49332</v>
      </c>
      <c r="B6369" s="35">
        <v>1</v>
      </c>
      <c r="C6369" s="35">
        <v>0</v>
      </c>
      <c r="D6369" s="2">
        <f t="shared" si="99"/>
        <v>1</v>
      </c>
    </row>
    <row r="6370" spans="1:4" x14ac:dyDescent="0.3">
      <c r="A6370" s="34">
        <v>49333</v>
      </c>
      <c r="B6370" s="35">
        <v>1</v>
      </c>
      <c r="C6370" s="35">
        <v>0</v>
      </c>
      <c r="D6370" s="2">
        <f t="shared" si="99"/>
        <v>1</v>
      </c>
    </row>
    <row r="6371" spans="1:4" x14ac:dyDescent="0.3">
      <c r="A6371" s="34">
        <v>49337</v>
      </c>
      <c r="B6371" s="35">
        <v>1</v>
      </c>
      <c r="C6371" s="35">
        <v>0</v>
      </c>
      <c r="D6371" s="2">
        <f t="shared" si="99"/>
        <v>1</v>
      </c>
    </row>
    <row r="6372" spans="1:4" x14ac:dyDescent="0.3">
      <c r="A6372" s="34">
        <v>49339</v>
      </c>
      <c r="B6372" s="35">
        <v>1</v>
      </c>
      <c r="C6372" s="35">
        <v>0</v>
      </c>
      <c r="D6372" s="2">
        <f t="shared" si="99"/>
        <v>1</v>
      </c>
    </row>
    <row r="6373" spans="1:4" x14ac:dyDescent="0.3">
      <c r="A6373" s="34">
        <v>49347</v>
      </c>
      <c r="B6373" s="35">
        <v>1</v>
      </c>
      <c r="C6373" s="35">
        <v>0</v>
      </c>
      <c r="D6373" s="2">
        <f t="shared" si="99"/>
        <v>1</v>
      </c>
    </row>
    <row r="6374" spans="1:4" x14ac:dyDescent="0.3">
      <c r="A6374" s="34">
        <v>49348</v>
      </c>
      <c r="B6374" s="35">
        <v>2</v>
      </c>
      <c r="C6374" s="35">
        <v>0</v>
      </c>
      <c r="D6374" s="2">
        <f t="shared" si="99"/>
        <v>2</v>
      </c>
    </row>
    <row r="6375" spans="1:4" x14ac:dyDescent="0.3">
      <c r="A6375" s="34">
        <v>49349</v>
      </c>
      <c r="B6375" s="35">
        <v>1</v>
      </c>
      <c r="C6375" s="35">
        <v>0</v>
      </c>
      <c r="D6375" s="2">
        <f t="shared" si="99"/>
        <v>1</v>
      </c>
    </row>
    <row r="6376" spans="1:4" x14ac:dyDescent="0.3">
      <c r="A6376" s="34">
        <v>49350</v>
      </c>
      <c r="B6376" s="35">
        <v>1</v>
      </c>
      <c r="C6376" s="35">
        <v>0</v>
      </c>
      <c r="D6376" s="2">
        <f t="shared" si="99"/>
        <v>1</v>
      </c>
    </row>
    <row r="6377" spans="1:4" x14ac:dyDescent="0.3">
      <c r="A6377" s="34">
        <v>49351</v>
      </c>
      <c r="B6377" s="35">
        <v>1</v>
      </c>
      <c r="C6377" s="35">
        <v>0</v>
      </c>
      <c r="D6377" s="2">
        <f t="shared" si="99"/>
        <v>1</v>
      </c>
    </row>
    <row r="6378" spans="1:4" x14ac:dyDescent="0.3">
      <c r="A6378" s="34">
        <v>49352</v>
      </c>
      <c r="B6378" s="35">
        <v>1</v>
      </c>
      <c r="C6378" s="35">
        <v>0</v>
      </c>
      <c r="D6378" s="2">
        <f t="shared" si="99"/>
        <v>1</v>
      </c>
    </row>
    <row r="6379" spans="1:4" x14ac:dyDescent="0.3">
      <c r="A6379" s="34">
        <v>49358</v>
      </c>
      <c r="B6379" s="35">
        <v>1</v>
      </c>
      <c r="C6379" s="35">
        <v>0</v>
      </c>
      <c r="D6379" s="2">
        <f t="shared" si="99"/>
        <v>1</v>
      </c>
    </row>
    <row r="6380" spans="1:4" x14ac:dyDescent="0.3">
      <c r="A6380" s="34">
        <v>49363</v>
      </c>
      <c r="B6380" s="35">
        <v>1</v>
      </c>
      <c r="C6380" s="35">
        <v>1</v>
      </c>
      <c r="D6380" s="2">
        <f t="shared" si="99"/>
        <v>2</v>
      </c>
    </row>
    <row r="6381" spans="1:4" x14ac:dyDescent="0.3">
      <c r="A6381" s="34">
        <v>49428</v>
      </c>
      <c r="B6381" s="35">
        <v>1</v>
      </c>
      <c r="C6381" s="35">
        <v>0</v>
      </c>
      <c r="D6381" s="2">
        <f t="shared" si="99"/>
        <v>1</v>
      </c>
    </row>
    <row r="6382" spans="1:4" x14ac:dyDescent="0.3">
      <c r="A6382" s="34">
        <v>49435</v>
      </c>
      <c r="B6382" s="35">
        <v>1</v>
      </c>
      <c r="C6382" s="35">
        <v>0</v>
      </c>
      <c r="D6382" s="2">
        <f t="shared" si="99"/>
        <v>1</v>
      </c>
    </row>
    <row r="6383" spans="1:4" x14ac:dyDescent="0.3">
      <c r="A6383" s="34">
        <v>49438</v>
      </c>
      <c r="B6383" s="35">
        <v>1</v>
      </c>
      <c r="C6383" s="35">
        <v>1</v>
      </c>
      <c r="D6383" s="2">
        <f t="shared" si="99"/>
        <v>2</v>
      </c>
    </row>
    <row r="6384" spans="1:4" x14ac:dyDescent="0.3">
      <c r="A6384" s="34">
        <v>49440</v>
      </c>
      <c r="B6384" s="35">
        <v>1</v>
      </c>
      <c r="C6384" s="35">
        <v>0</v>
      </c>
      <c r="D6384" s="2">
        <f t="shared" si="99"/>
        <v>1</v>
      </c>
    </row>
    <row r="6385" spans="1:4" x14ac:dyDescent="0.3">
      <c r="A6385" s="34">
        <v>49442</v>
      </c>
      <c r="B6385" s="35">
        <v>1</v>
      </c>
      <c r="C6385" s="35">
        <v>0</v>
      </c>
      <c r="D6385" s="2">
        <f t="shared" si="99"/>
        <v>1</v>
      </c>
    </row>
    <row r="6386" spans="1:4" x14ac:dyDescent="0.3">
      <c r="A6386" s="34">
        <v>49445</v>
      </c>
      <c r="B6386" s="35">
        <v>1</v>
      </c>
      <c r="C6386" s="35">
        <v>0</v>
      </c>
      <c r="D6386" s="2">
        <f t="shared" si="99"/>
        <v>1</v>
      </c>
    </row>
    <row r="6387" spans="1:4" x14ac:dyDescent="0.3">
      <c r="A6387" s="34">
        <v>49446</v>
      </c>
      <c r="B6387" s="35">
        <v>1</v>
      </c>
      <c r="C6387" s="35">
        <v>0</v>
      </c>
      <c r="D6387" s="2">
        <f t="shared" si="99"/>
        <v>1</v>
      </c>
    </row>
    <row r="6388" spans="1:4" x14ac:dyDescent="0.3">
      <c r="A6388" s="34">
        <v>49448</v>
      </c>
      <c r="B6388" s="35">
        <v>1</v>
      </c>
      <c r="C6388" s="35">
        <v>1</v>
      </c>
      <c r="D6388" s="2">
        <f t="shared" si="99"/>
        <v>2</v>
      </c>
    </row>
    <row r="6389" spans="1:4" x14ac:dyDescent="0.3">
      <c r="A6389" s="34">
        <v>49449</v>
      </c>
      <c r="B6389" s="35">
        <v>2</v>
      </c>
      <c r="C6389" s="35">
        <v>1</v>
      </c>
      <c r="D6389" s="2">
        <f t="shared" si="99"/>
        <v>3</v>
      </c>
    </row>
    <row r="6390" spans="1:4" x14ac:dyDescent="0.3">
      <c r="A6390" s="34">
        <v>49450</v>
      </c>
      <c r="B6390" s="35">
        <v>1</v>
      </c>
      <c r="C6390" s="35">
        <v>0</v>
      </c>
      <c r="D6390" s="2">
        <f t="shared" si="99"/>
        <v>1</v>
      </c>
    </row>
    <row r="6391" spans="1:4" x14ac:dyDescent="0.3">
      <c r="A6391" s="34">
        <v>49460</v>
      </c>
      <c r="B6391" s="35">
        <v>1</v>
      </c>
      <c r="C6391" s="35">
        <v>0</v>
      </c>
      <c r="D6391" s="2">
        <f t="shared" si="99"/>
        <v>1</v>
      </c>
    </row>
    <row r="6392" spans="1:4" x14ac:dyDescent="0.3">
      <c r="A6392" s="34">
        <v>49465</v>
      </c>
      <c r="B6392" s="35">
        <v>2</v>
      </c>
      <c r="C6392" s="35">
        <v>1</v>
      </c>
      <c r="D6392" s="2">
        <f t="shared" si="99"/>
        <v>3</v>
      </c>
    </row>
    <row r="6393" spans="1:4" x14ac:dyDescent="0.3">
      <c r="A6393" s="34">
        <v>49467</v>
      </c>
      <c r="B6393" s="35">
        <v>1</v>
      </c>
      <c r="C6393" s="35">
        <v>0</v>
      </c>
      <c r="D6393" s="2">
        <f t="shared" si="99"/>
        <v>1</v>
      </c>
    </row>
    <row r="6394" spans="1:4" x14ac:dyDescent="0.3">
      <c r="A6394" s="34">
        <v>49472</v>
      </c>
      <c r="B6394" s="35">
        <v>1</v>
      </c>
      <c r="C6394" s="35">
        <v>0</v>
      </c>
      <c r="D6394" s="2">
        <f t="shared" si="99"/>
        <v>1</v>
      </c>
    </row>
    <row r="6395" spans="1:4" x14ac:dyDescent="0.3">
      <c r="A6395" s="34">
        <v>49553</v>
      </c>
      <c r="B6395" s="35">
        <v>2</v>
      </c>
      <c r="C6395" s="35">
        <v>2</v>
      </c>
      <c r="D6395" s="2">
        <f t="shared" si="99"/>
        <v>4</v>
      </c>
    </row>
    <row r="6396" spans="1:4" x14ac:dyDescent="0.3">
      <c r="A6396" s="34">
        <v>49555</v>
      </c>
      <c r="B6396" s="35">
        <v>1</v>
      </c>
      <c r="C6396" s="35">
        <v>0</v>
      </c>
      <c r="D6396" s="2">
        <f t="shared" si="99"/>
        <v>1</v>
      </c>
    </row>
    <row r="6397" spans="1:4" x14ac:dyDescent="0.3">
      <c r="A6397" s="34">
        <v>49558</v>
      </c>
      <c r="B6397" s="35">
        <v>1</v>
      </c>
      <c r="C6397" s="35">
        <v>1</v>
      </c>
      <c r="D6397" s="2">
        <f t="shared" si="99"/>
        <v>2</v>
      </c>
    </row>
    <row r="6398" spans="1:4" x14ac:dyDescent="0.3">
      <c r="A6398" s="34">
        <v>49559</v>
      </c>
      <c r="B6398" s="35">
        <v>1</v>
      </c>
      <c r="C6398" s="35">
        <v>0</v>
      </c>
      <c r="D6398" s="2">
        <f t="shared" si="99"/>
        <v>1</v>
      </c>
    </row>
    <row r="6399" spans="1:4" x14ac:dyDescent="0.3">
      <c r="A6399" s="34">
        <v>49560</v>
      </c>
      <c r="B6399" s="35">
        <v>1</v>
      </c>
      <c r="C6399" s="35">
        <v>0</v>
      </c>
      <c r="D6399" s="2">
        <f t="shared" si="99"/>
        <v>1</v>
      </c>
    </row>
    <row r="6400" spans="1:4" x14ac:dyDescent="0.3">
      <c r="A6400" s="34">
        <v>49561</v>
      </c>
      <c r="B6400" s="35">
        <v>1</v>
      </c>
      <c r="C6400" s="35">
        <v>0</v>
      </c>
      <c r="D6400" s="2">
        <f t="shared" si="99"/>
        <v>1</v>
      </c>
    </row>
    <row r="6401" spans="1:4" x14ac:dyDescent="0.3">
      <c r="A6401" s="34">
        <v>49565</v>
      </c>
      <c r="B6401" s="35">
        <v>1</v>
      </c>
      <c r="C6401" s="35">
        <v>0</v>
      </c>
      <c r="D6401" s="2">
        <f t="shared" si="99"/>
        <v>1</v>
      </c>
    </row>
    <row r="6402" spans="1:4" x14ac:dyDescent="0.3">
      <c r="A6402" s="34">
        <v>49567</v>
      </c>
      <c r="B6402" s="35">
        <v>1</v>
      </c>
      <c r="C6402" s="35">
        <v>1</v>
      </c>
      <c r="D6402" s="2">
        <f t="shared" si="99"/>
        <v>2</v>
      </c>
    </row>
    <row r="6403" spans="1:4" x14ac:dyDescent="0.3">
      <c r="A6403" s="34">
        <v>49647</v>
      </c>
      <c r="B6403" s="35">
        <v>1</v>
      </c>
      <c r="C6403" s="35">
        <v>0</v>
      </c>
      <c r="D6403" s="2">
        <f t="shared" ref="D6403:D6466" si="100">B6403+C6403</f>
        <v>1</v>
      </c>
    </row>
    <row r="6404" spans="1:4" x14ac:dyDescent="0.3">
      <c r="A6404" s="34">
        <v>49648</v>
      </c>
      <c r="B6404" s="35">
        <v>1</v>
      </c>
      <c r="C6404" s="35">
        <v>0</v>
      </c>
      <c r="D6404" s="2">
        <f t="shared" si="100"/>
        <v>1</v>
      </c>
    </row>
    <row r="6405" spans="1:4" x14ac:dyDescent="0.3">
      <c r="A6405" s="34">
        <v>49650</v>
      </c>
      <c r="B6405" s="35">
        <v>2</v>
      </c>
      <c r="C6405" s="35">
        <v>1</v>
      </c>
      <c r="D6405" s="2">
        <f t="shared" si="100"/>
        <v>3</v>
      </c>
    </row>
    <row r="6406" spans="1:4" x14ac:dyDescent="0.3">
      <c r="A6406" s="34">
        <v>49653</v>
      </c>
      <c r="B6406" s="35">
        <v>1</v>
      </c>
      <c r="C6406" s="35">
        <v>0</v>
      </c>
      <c r="D6406" s="2">
        <f t="shared" si="100"/>
        <v>1</v>
      </c>
    </row>
    <row r="6407" spans="1:4" x14ac:dyDescent="0.3">
      <c r="A6407" s="34">
        <v>49655</v>
      </c>
      <c r="B6407" s="35">
        <v>1</v>
      </c>
      <c r="C6407" s="35">
        <v>0</v>
      </c>
      <c r="D6407" s="2">
        <f t="shared" si="100"/>
        <v>1</v>
      </c>
    </row>
    <row r="6408" spans="1:4" x14ac:dyDescent="0.3">
      <c r="A6408" s="34">
        <v>49659</v>
      </c>
      <c r="B6408" s="35">
        <v>1</v>
      </c>
      <c r="C6408" s="35">
        <v>0</v>
      </c>
      <c r="D6408" s="2">
        <f t="shared" si="100"/>
        <v>1</v>
      </c>
    </row>
    <row r="6409" spans="1:4" x14ac:dyDescent="0.3">
      <c r="A6409" s="34">
        <v>49662</v>
      </c>
      <c r="B6409" s="35">
        <v>1</v>
      </c>
      <c r="C6409" s="35">
        <v>0</v>
      </c>
      <c r="D6409" s="2">
        <f t="shared" si="100"/>
        <v>1</v>
      </c>
    </row>
    <row r="6410" spans="1:4" x14ac:dyDescent="0.3">
      <c r="A6410" s="34">
        <v>49665</v>
      </c>
      <c r="B6410" s="35">
        <v>1</v>
      </c>
      <c r="C6410" s="35">
        <v>0</v>
      </c>
      <c r="D6410" s="2">
        <f t="shared" si="100"/>
        <v>1</v>
      </c>
    </row>
    <row r="6411" spans="1:4" x14ac:dyDescent="0.3">
      <c r="A6411" s="34">
        <v>49671</v>
      </c>
      <c r="B6411" s="35">
        <v>1</v>
      </c>
      <c r="C6411" s="35">
        <v>0</v>
      </c>
      <c r="D6411" s="2">
        <f t="shared" si="100"/>
        <v>1</v>
      </c>
    </row>
    <row r="6412" spans="1:4" x14ac:dyDescent="0.3">
      <c r="A6412" s="34">
        <v>49679</v>
      </c>
      <c r="B6412" s="35">
        <v>1</v>
      </c>
      <c r="C6412" s="35">
        <v>0</v>
      </c>
      <c r="D6412" s="2">
        <f t="shared" si="100"/>
        <v>1</v>
      </c>
    </row>
    <row r="6413" spans="1:4" x14ac:dyDescent="0.3">
      <c r="A6413" s="34">
        <v>49681</v>
      </c>
      <c r="B6413" s="35">
        <v>1</v>
      </c>
      <c r="C6413" s="35">
        <v>0</v>
      </c>
      <c r="D6413" s="2">
        <f t="shared" si="100"/>
        <v>1</v>
      </c>
    </row>
    <row r="6414" spans="1:4" x14ac:dyDescent="0.3">
      <c r="A6414" s="34">
        <v>49683</v>
      </c>
      <c r="B6414" s="35">
        <v>2</v>
      </c>
      <c r="C6414" s="35">
        <v>0</v>
      </c>
      <c r="D6414" s="2">
        <f t="shared" si="100"/>
        <v>2</v>
      </c>
    </row>
    <row r="6415" spans="1:4" x14ac:dyDescent="0.3">
      <c r="A6415" s="34">
        <v>49745</v>
      </c>
      <c r="B6415" s="35">
        <v>1</v>
      </c>
      <c r="C6415" s="35">
        <v>0</v>
      </c>
      <c r="D6415" s="2">
        <f t="shared" si="100"/>
        <v>1</v>
      </c>
    </row>
    <row r="6416" spans="1:4" x14ac:dyDescent="0.3">
      <c r="A6416" s="34">
        <v>49746</v>
      </c>
      <c r="B6416" s="35">
        <v>1</v>
      </c>
      <c r="C6416" s="35">
        <v>0</v>
      </c>
      <c r="D6416" s="2">
        <f t="shared" si="100"/>
        <v>1</v>
      </c>
    </row>
    <row r="6417" spans="1:4" x14ac:dyDescent="0.3">
      <c r="A6417" s="34">
        <v>49749</v>
      </c>
      <c r="B6417" s="35">
        <v>1</v>
      </c>
      <c r="C6417" s="35">
        <v>0</v>
      </c>
      <c r="D6417" s="2">
        <f t="shared" si="100"/>
        <v>1</v>
      </c>
    </row>
    <row r="6418" spans="1:4" x14ac:dyDescent="0.3">
      <c r="A6418" s="34">
        <v>49751</v>
      </c>
      <c r="B6418" s="35">
        <v>1</v>
      </c>
      <c r="C6418" s="35">
        <v>0</v>
      </c>
      <c r="D6418" s="2">
        <f t="shared" si="100"/>
        <v>1</v>
      </c>
    </row>
    <row r="6419" spans="1:4" x14ac:dyDescent="0.3">
      <c r="A6419" s="34">
        <v>49752</v>
      </c>
      <c r="B6419" s="35">
        <v>1</v>
      </c>
      <c r="C6419" s="35">
        <v>0</v>
      </c>
      <c r="D6419" s="2">
        <f t="shared" si="100"/>
        <v>1</v>
      </c>
    </row>
    <row r="6420" spans="1:4" x14ac:dyDescent="0.3">
      <c r="A6420" s="34">
        <v>49756</v>
      </c>
      <c r="B6420" s="35">
        <v>1</v>
      </c>
      <c r="C6420" s="35">
        <v>0</v>
      </c>
      <c r="D6420" s="2">
        <f t="shared" si="100"/>
        <v>1</v>
      </c>
    </row>
    <row r="6421" spans="1:4" x14ac:dyDescent="0.3">
      <c r="A6421" s="34">
        <v>49760</v>
      </c>
      <c r="B6421" s="35">
        <v>1</v>
      </c>
      <c r="C6421" s="35">
        <v>0</v>
      </c>
      <c r="D6421" s="2">
        <f t="shared" si="100"/>
        <v>1</v>
      </c>
    </row>
    <row r="6422" spans="1:4" x14ac:dyDescent="0.3">
      <c r="A6422" s="34">
        <v>49761</v>
      </c>
      <c r="B6422" s="35">
        <v>1</v>
      </c>
      <c r="C6422" s="35">
        <v>0</v>
      </c>
      <c r="D6422" s="2">
        <f t="shared" si="100"/>
        <v>1</v>
      </c>
    </row>
    <row r="6423" spans="1:4" x14ac:dyDescent="0.3">
      <c r="A6423" s="34">
        <v>49762</v>
      </c>
      <c r="B6423" s="35">
        <v>1</v>
      </c>
      <c r="C6423" s="35">
        <v>0</v>
      </c>
      <c r="D6423" s="2">
        <f t="shared" si="100"/>
        <v>1</v>
      </c>
    </row>
    <row r="6424" spans="1:4" x14ac:dyDescent="0.3">
      <c r="A6424" s="34">
        <v>49763</v>
      </c>
      <c r="B6424" s="35">
        <v>1</v>
      </c>
      <c r="C6424" s="35">
        <v>0</v>
      </c>
      <c r="D6424" s="2">
        <f t="shared" si="100"/>
        <v>1</v>
      </c>
    </row>
    <row r="6425" spans="1:4" x14ac:dyDescent="0.3">
      <c r="A6425" s="34">
        <v>49765</v>
      </c>
      <c r="B6425" s="35">
        <v>1</v>
      </c>
      <c r="C6425" s="35">
        <v>0</v>
      </c>
      <c r="D6425" s="2">
        <f t="shared" si="100"/>
        <v>1</v>
      </c>
    </row>
    <row r="6426" spans="1:4" x14ac:dyDescent="0.3">
      <c r="A6426" s="34">
        <v>49766</v>
      </c>
      <c r="B6426" s="35">
        <v>1</v>
      </c>
      <c r="C6426" s="35">
        <v>1</v>
      </c>
      <c r="D6426" s="2">
        <f t="shared" si="100"/>
        <v>2</v>
      </c>
    </row>
    <row r="6427" spans="1:4" x14ac:dyDescent="0.3">
      <c r="A6427" s="34">
        <v>49770</v>
      </c>
      <c r="B6427" s="35">
        <v>1</v>
      </c>
      <c r="C6427" s="35">
        <v>0</v>
      </c>
      <c r="D6427" s="2">
        <f t="shared" si="100"/>
        <v>1</v>
      </c>
    </row>
    <row r="6428" spans="1:4" x14ac:dyDescent="0.3">
      <c r="A6428" s="34">
        <v>49772</v>
      </c>
      <c r="B6428" s="35">
        <v>2</v>
      </c>
      <c r="C6428" s="35">
        <v>2</v>
      </c>
      <c r="D6428" s="2">
        <f t="shared" si="100"/>
        <v>4</v>
      </c>
    </row>
    <row r="6429" spans="1:4" x14ac:dyDescent="0.3">
      <c r="A6429" s="34">
        <v>49774</v>
      </c>
      <c r="B6429" s="35">
        <v>1</v>
      </c>
      <c r="C6429" s="35">
        <v>0</v>
      </c>
      <c r="D6429" s="2">
        <f t="shared" si="100"/>
        <v>1</v>
      </c>
    </row>
    <row r="6430" spans="1:4" x14ac:dyDescent="0.3">
      <c r="A6430" s="34">
        <v>49776</v>
      </c>
      <c r="B6430" s="35">
        <v>1</v>
      </c>
      <c r="C6430" s="35">
        <v>0</v>
      </c>
      <c r="D6430" s="2">
        <f t="shared" si="100"/>
        <v>1</v>
      </c>
    </row>
    <row r="6431" spans="1:4" x14ac:dyDescent="0.3">
      <c r="A6431" s="34">
        <v>49781</v>
      </c>
      <c r="B6431" s="35">
        <v>1</v>
      </c>
      <c r="C6431" s="35">
        <v>0</v>
      </c>
      <c r="D6431" s="2">
        <f t="shared" si="100"/>
        <v>1</v>
      </c>
    </row>
    <row r="6432" spans="1:4" x14ac:dyDescent="0.3">
      <c r="A6432" s="34">
        <v>49785</v>
      </c>
      <c r="B6432" s="35">
        <v>1</v>
      </c>
      <c r="C6432" s="35">
        <v>1</v>
      </c>
      <c r="D6432" s="2">
        <f t="shared" si="100"/>
        <v>2</v>
      </c>
    </row>
    <row r="6433" spans="1:4" x14ac:dyDescent="0.3">
      <c r="A6433" s="34">
        <v>49786</v>
      </c>
      <c r="B6433" s="35">
        <v>1</v>
      </c>
      <c r="C6433" s="35">
        <v>1</v>
      </c>
      <c r="D6433" s="2">
        <f t="shared" si="100"/>
        <v>2</v>
      </c>
    </row>
    <row r="6434" spans="1:4" x14ac:dyDescent="0.3">
      <c r="A6434" s="34">
        <v>49787</v>
      </c>
      <c r="B6434" s="35">
        <v>1</v>
      </c>
      <c r="C6434" s="35">
        <v>1</v>
      </c>
      <c r="D6434" s="2">
        <f t="shared" si="100"/>
        <v>2</v>
      </c>
    </row>
    <row r="6435" spans="1:4" x14ac:dyDescent="0.3">
      <c r="A6435" s="34">
        <v>49789</v>
      </c>
      <c r="B6435" s="35">
        <v>1</v>
      </c>
      <c r="C6435" s="35">
        <v>1</v>
      </c>
      <c r="D6435" s="2">
        <f t="shared" si="100"/>
        <v>2</v>
      </c>
    </row>
    <row r="6436" spans="1:4" x14ac:dyDescent="0.3">
      <c r="A6436" s="34">
        <v>49790</v>
      </c>
      <c r="B6436" s="35">
        <v>1</v>
      </c>
      <c r="C6436" s="35">
        <v>0</v>
      </c>
      <c r="D6436" s="2">
        <f t="shared" si="100"/>
        <v>1</v>
      </c>
    </row>
    <row r="6437" spans="1:4" x14ac:dyDescent="0.3">
      <c r="A6437" s="34">
        <v>49792</v>
      </c>
      <c r="B6437" s="35">
        <v>1</v>
      </c>
      <c r="C6437" s="35">
        <v>0</v>
      </c>
      <c r="D6437" s="2">
        <f t="shared" si="100"/>
        <v>1</v>
      </c>
    </row>
    <row r="6438" spans="1:4" x14ac:dyDescent="0.3">
      <c r="A6438" s="34">
        <v>49793</v>
      </c>
      <c r="B6438" s="35">
        <v>1</v>
      </c>
      <c r="C6438" s="35">
        <v>0</v>
      </c>
      <c r="D6438" s="2">
        <f t="shared" si="100"/>
        <v>1</v>
      </c>
    </row>
    <row r="6439" spans="1:4" x14ac:dyDescent="0.3">
      <c r="A6439" s="34">
        <v>49801</v>
      </c>
      <c r="B6439" s="35">
        <v>1</v>
      </c>
      <c r="C6439" s="35">
        <v>0</v>
      </c>
      <c r="D6439" s="2">
        <f t="shared" si="100"/>
        <v>1</v>
      </c>
    </row>
    <row r="6440" spans="1:4" x14ac:dyDescent="0.3">
      <c r="A6440" s="34">
        <v>49807</v>
      </c>
      <c r="B6440" s="35">
        <v>1</v>
      </c>
      <c r="C6440" s="35">
        <v>1</v>
      </c>
      <c r="D6440" s="2">
        <f t="shared" si="100"/>
        <v>2</v>
      </c>
    </row>
    <row r="6441" spans="1:4" x14ac:dyDescent="0.3">
      <c r="A6441" s="34">
        <v>49812</v>
      </c>
      <c r="B6441" s="35">
        <v>1</v>
      </c>
      <c r="C6441" s="35">
        <v>0</v>
      </c>
      <c r="D6441" s="2">
        <f t="shared" si="100"/>
        <v>1</v>
      </c>
    </row>
    <row r="6442" spans="1:4" x14ac:dyDescent="0.3">
      <c r="A6442" s="34">
        <v>49813</v>
      </c>
      <c r="B6442" s="35">
        <v>1</v>
      </c>
      <c r="C6442" s="35">
        <v>1</v>
      </c>
      <c r="D6442" s="2">
        <f t="shared" si="100"/>
        <v>2</v>
      </c>
    </row>
    <row r="6443" spans="1:4" x14ac:dyDescent="0.3">
      <c r="A6443" s="34">
        <v>49814</v>
      </c>
      <c r="B6443" s="35">
        <v>1</v>
      </c>
      <c r="C6443" s="35">
        <v>0</v>
      </c>
      <c r="D6443" s="2">
        <f t="shared" si="100"/>
        <v>1</v>
      </c>
    </row>
    <row r="6444" spans="1:4" x14ac:dyDescent="0.3">
      <c r="A6444" s="34">
        <v>49815</v>
      </c>
      <c r="B6444" s="35">
        <v>1</v>
      </c>
      <c r="C6444" s="35">
        <v>1</v>
      </c>
      <c r="D6444" s="2">
        <f t="shared" si="100"/>
        <v>2</v>
      </c>
    </row>
    <row r="6445" spans="1:4" x14ac:dyDescent="0.3">
      <c r="A6445" s="34">
        <v>49817</v>
      </c>
      <c r="B6445" s="35">
        <v>1</v>
      </c>
      <c r="C6445" s="35">
        <v>0</v>
      </c>
      <c r="D6445" s="2">
        <f t="shared" si="100"/>
        <v>1</v>
      </c>
    </row>
    <row r="6446" spans="1:4" x14ac:dyDescent="0.3">
      <c r="A6446" s="34">
        <v>49822</v>
      </c>
      <c r="B6446" s="35">
        <v>1</v>
      </c>
      <c r="C6446" s="35">
        <v>1</v>
      </c>
      <c r="D6446" s="2">
        <f t="shared" si="100"/>
        <v>2</v>
      </c>
    </row>
    <row r="6447" spans="1:4" x14ac:dyDescent="0.3">
      <c r="A6447" s="34">
        <v>49857</v>
      </c>
      <c r="B6447" s="35">
        <v>1</v>
      </c>
      <c r="C6447" s="35">
        <v>1</v>
      </c>
      <c r="D6447" s="2">
        <f t="shared" si="100"/>
        <v>2</v>
      </c>
    </row>
    <row r="6448" spans="1:4" x14ac:dyDescent="0.3">
      <c r="A6448" s="34">
        <v>49860</v>
      </c>
      <c r="B6448" s="35">
        <v>1</v>
      </c>
      <c r="C6448" s="35">
        <v>1</v>
      </c>
      <c r="D6448" s="2">
        <f t="shared" si="100"/>
        <v>2</v>
      </c>
    </row>
    <row r="6449" spans="1:4" x14ac:dyDescent="0.3">
      <c r="A6449" s="34">
        <v>49874</v>
      </c>
      <c r="B6449" s="35">
        <v>1</v>
      </c>
      <c r="C6449" s="35">
        <v>0</v>
      </c>
      <c r="D6449" s="2">
        <f t="shared" si="100"/>
        <v>1</v>
      </c>
    </row>
    <row r="6450" spans="1:4" x14ac:dyDescent="0.3">
      <c r="A6450" s="34">
        <v>49885</v>
      </c>
      <c r="B6450" s="35">
        <v>4</v>
      </c>
      <c r="C6450" s="35">
        <v>3</v>
      </c>
      <c r="D6450" s="2">
        <f t="shared" si="100"/>
        <v>7</v>
      </c>
    </row>
    <row r="6451" spans="1:4" x14ac:dyDescent="0.3">
      <c r="A6451" s="34">
        <v>49890</v>
      </c>
      <c r="B6451" s="35">
        <v>1</v>
      </c>
      <c r="C6451" s="35">
        <v>0</v>
      </c>
      <c r="D6451" s="2">
        <f t="shared" si="100"/>
        <v>1</v>
      </c>
    </row>
    <row r="6452" spans="1:4" x14ac:dyDescent="0.3">
      <c r="A6452" s="34">
        <v>49893</v>
      </c>
      <c r="B6452" s="35">
        <v>1</v>
      </c>
      <c r="C6452" s="35">
        <v>0</v>
      </c>
      <c r="D6452" s="2">
        <f t="shared" si="100"/>
        <v>1</v>
      </c>
    </row>
    <row r="6453" spans="1:4" x14ac:dyDescent="0.3">
      <c r="A6453" s="34">
        <v>49896</v>
      </c>
      <c r="B6453" s="35">
        <v>1</v>
      </c>
      <c r="C6453" s="35">
        <v>1</v>
      </c>
      <c r="D6453" s="2">
        <f t="shared" si="100"/>
        <v>2</v>
      </c>
    </row>
    <row r="6454" spans="1:4" x14ac:dyDescent="0.3">
      <c r="A6454" s="34">
        <v>49903</v>
      </c>
      <c r="B6454" s="35">
        <v>1</v>
      </c>
      <c r="C6454" s="35">
        <v>0</v>
      </c>
      <c r="D6454" s="2">
        <f t="shared" si="100"/>
        <v>1</v>
      </c>
    </row>
    <row r="6455" spans="1:4" x14ac:dyDescent="0.3">
      <c r="A6455" s="34">
        <v>49904</v>
      </c>
      <c r="B6455" s="35">
        <v>1</v>
      </c>
      <c r="C6455" s="35">
        <v>0</v>
      </c>
      <c r="D6455" s="2">
        <f t="shared" si="100"/>
        <v>1</v>
      </c>
    </row>
    <row r="6456" spans="1:4" x14ac:dyDescent="0.3">
      <c r="A6456" s="34">
        <v>49917</v>
      </c>
      <c r="B6456" s="35">
        <v>1</v>
      </c>
      <c r="C6456" s="35">
        <v>0</v>
      </c>
      <c r="D6456" s="2">
        <f t="shared" si="100"/>
        <v>1</v>
      </c>
    </row>
    <row r="6457" spans="1:4" x14ac:dyDescent="0.3">
      <c r="A6457" s="34">
        <v>49923</v>
      </c>
      <c r="B6457" s="35">
        <v>1</v>
      </c>
      <c r="C6457" s="35">
        <v>0</v>
      </c>
      <c r="D6457" s="2">
        <f t="shared" si="100"/>
        <v>1</v>
      </c>
    </row>
    <row r="6458" spans="1:4" x14ac:dyDescent="0.3">
      <c r="A6458" s="34">
        <v>49924</v>
      </c>
      <c r="B6458" s="35">
        <v>1</v>
      </c>
      <c r="C6458" s="35">
        <v>0</v>
      </c>
      <c r="D6458" s="2">
        <f t="shared" si="100"/>
        <v>1</v>
      </c>
    </row>
    <row r="6459" spans="1:4" x14ac:dyDescent="0.3">
      <c r="A6459" s="34">
        <v>49930</v>
      </c>
      <c r="B6459" s="35">
        <v>1</v>
      </c>
      <c r="C6459" s="35">
        <v>0</v>
      </c>
      <c r="D6459" s="2">
        <f t="shared" si="100"/>
        <v>1</v>
      </c>
    </row>
    <row r="6460" spans="1:4" x14ac:dyDescent="0.3">
      <c r="A6460" s="34">
        <v>49934</v>
      </c>
      <c r="B6460" s="35">
        <v>1</v>
      </c>
      <c r="C6460" s="35">
        <v>0</v>
      </c>
      <c r="D6460" s="2">
        <f t="shared" si="100"/>
        <v>1</v>
      </c>
    </row>
    <row r="6461" spans="1:4" x14ac:dyDescent="0.3">
      <c r="A6461" s="34">
        <v>49935</v>
      </c>
      <c r="B6461" s="35">
        <v>1</v>
      </c>
      <c r="C6461" s="35">
        <v>1</v>
      </c>
      <c r="D6461" s="2">
        <f t="shared" si="100"/>
        <v>2</v>
      </c>
    </row>
    <row r="6462" spans="1:4" x14ac:dyDescent="0.3">
      <c r="A6462" s="34">
        <v>49937</v>
      </c>
      <c r="B6462" s="35">
        <v>1</v>
      </c>
      <c r="C6462" s="35">
        <v>0</v>
      </c>
      <c r="D6462" s="2">
        <f t="shared" si="100"/>
        <v>1</v>
      </c>
    </row>
    <row r="6463" spans="1:4" x14ac:dyDescent="0.3">
      <c r="A6463" s="34">
        <v>49939</v>
      </c>
      <c r="B6463" s="35">
        <v>1</v>
      </c>
      <c r="C6463" s="35">
        <v>0</v>
      </c>
      <c r="D6463" s="2">
        <f t="shared" si="100"/>
        <v>1</v>
      </c>
    </row>
    <row r="6464" spans="1:4" x14ac:dyDescent="0.3">
      <c r="A6464" s="34">
        <v>49942</v>
      </c>
      <c r="B6464" s="35">
        <v>1</v>
      </c>
      <c r="C6464" s="35">
        <v>0</v>
      </c>
      <c r="D6464" s="2">
        <f t="shared" si="100"/>
        <v>1</v>
      </c>
    </row>
    <row r="6465" spans="1:4" x14ac:dyDescent="0.3">
      <c r="A6465" s="34">
        <v>49944</v>
      </c>
      <c r="B6465" s="35">
        <v>1</v>
      </c>
      <c r="C6465" s="35">
        <v>0</v>
      </c>
      <c r="D6465" s="2">
        <f t="shared" si="100"/>
        <v>1</v>
      </c>
    </row>
    <row r="6466" spans="1:4" x14ac:dyDescent="0.3">
      <c r="A6466" s="34">
        <v>49945</v>
      </c>
      <c r="B6466" s="35">
        <v>1</v>
      </c>
      <c r="C6466" s="35">
        <v>0</v>
      </c>
      <c r="D6466" s="2">
        <f t="shared" si="100"/>
        <v>1</v>
      </c>
    </row>
    <row r="6467" spans="1:4" x14ac:dyDescent="0.3">
      <c r="A6467" s="34">
        <v>49946</v>
      </c>
      <c r="B6467" s="35">
        <v>1</v>
      </c>
      <c r="C6467" s="35">
        <v>1</v>
      </c>
      <c r="D6467" s="2">
        <f t="shared" ref="D6467:D6530" si="101">B6467+C6467</f>
        <v>2</v>
      </c>
    </row>
    <row r="6468" spans="1:4" x14ac:dyDescent="0.3">
      <c r="A6468" s="34">
        <v>49951</v>
      </c>
      <c r="B6468" s="35">
        <v>1</v>
      </c>
      <c r="C6468" s="35">
        <v>0</v>
      </c>
      <c r="D6468" s="2">
        <f t="shared" si="101"/>
        <v>1</v>
      </c>
    </row>
    <row r="6469" spans="1:4" x14ac:dyDescent="0.3">
      <c r="A6469" s="34">
        <v>49952</v>
      </c>
      <c r="B6469" s="35">
        <v>1</v>
      </c>
      <c r="C6469" s="35">
        <v>0</v>
      </c>
      <c r="D6469" s="2">
        <f t="shared" si="101"/>
        <v>1</v>
      </c>
    </row>
    <row r="6470" spans="1:4" x14ac:dyDescent="0.3">
      <c r="A6470" s="34">
        <v>49954</v>
      </c>
      <c r="B6470" s="35">
        <v>1</v>
      </c>
      <c r="C6470" s="35">
        <v>0</v>
      </c>
      <c r="D6470" s="2">
        <f t="shared" si="101"/>
        <v>1</v>
      </c>
    </row>
    <row r="6471" spans="1:4" x14ac:dyDescent="0.3">
      <c r="A6471" s="34">
        <v>49957</v>
      </c>
      <c r="B6471" s="35">
        <v>1</v>
      </c>
      <c r="C6471" s="35">
        <v>0</v>
      </c>
      <c r="D6471" s="2">
        <f t="shared" si="101"/>
        <v>1</v>
      </c>
    </row>
    <row r="6472" spans="1:4" x14ac:dyDescent="0.3">
      <c r="A6472" s="34">
        <v>49958</v>
      </c>
      <c r="B6472" s="35">
        <v>1</v>
      </c>
      <c r="C6472" s="35">
        <v>0</v>
      </c>
      <c r="D6472" s="2">
        <f t="shared" si="101"/>
        <v>1</v>
      </c>
    </row>
    <row r="6473" spans="1:4" x14ac:dyDescent="0.3">
      <c r="A6473" s="34">
        <v>49961</v>
      </c>
      <c r="B6473" s="35">
        <v>1</v>
      </c>
      <c r="C6473" s="35">
        <v>0</v>
      </c>
      <c r="D6473" s="2">
        <f t="shared" si="101"/>
        <v>1</v>
      </c>
    </row>
    <row r="6474" spans="1:4" x14ac:dyDescent="0.3">
      <c r="A6474" s="34">
        <v>49963</v>
      </c>
      <c r="B6474" s="35">
        <v>1</v>
      </c>
      <c r="C6474" s="35">
        <v>1</v>
      </c>
      <c r="D6474" s="2">
        <f t="shared" si="101"/>
        <v>2</v>
      </c>
    </row>
    <row r="6475" spans="1:4" x14ac:dyDescent="0.3">
      <c r="A6475" s="34">
        <v>49967</v>
      </c>
      <c r="B6475" s="35">
        <v>1</v>
      </c>
      <c r="C6475" s="35">
        <v>0</v>
      </c>
      <c r="D6475" s="2">
        <f t="shared" si="101"/>
        <v>1</v>
      </c>
    </row>
    <row r="6476" spans="1:4" x14ac:dyDescent="0.3">
      <c r="A6476" s="34">
        <v>49968</v>
      </c>
      <c r="B6476" s="35">
        <v>1</v>
      </c>
      <c r="C6476" s="35">
        <v>0</v>
      </c>
      <c r="D6476" s="2">
        <f t="shared" si="101"/>
        <v>1</v>
      </c>
    </row>
    <row r="6477" spans="1:4" x14ac:dyDescent="0.3">
      <c r="A6477" s="34">
        <v>49969</v>
      </c>
      <c r="B6477" s="35">
        <v>1</v>
      </c>
      <c r="C6477" s="35">
        <v>0</v>
      </c>
      <c r="D6477" s="2">
        <f t="shared" si="101"/>
        <v>1</v>
      </c>
    </row>
    <row r="6478" spans="1:4" x14ac:dyDescent="0.3">
      <c r="A6478" s="34">
        <v>49972</v>
      </c>
      <c r="B6478" s="35">
        <v>2</v>
      </c>
      <c r="C6478" s="35">
        <v>0</v>
      </c>
      <c r="D6478" s="2">
        <f t="shared" si="101"/>
        <v>2</v>
      </c>
    </row>
    <row r="6479" spans="1:4" x14ac:dyDescent="0.3">
      <c r="A6479" s="34">
        <v>49974</v>
      </c>
      <c r="B6479" s="35">
        <v>1</v>
      </c>
      <c r="C6479" s="35">
        <v>0</v>
      </c>
      <c r="D6479" s="2">
        <f t="shared" si="101"/>
        <v>1</v>
      </c>
    </row>
    <row r="6480" spans="1:4" x14ac:dyDescent="0.3">
      <c r="A6480" s="34">
        <v>49976</v>
      </c>
      <c r="B6480" s="35">
        <v>1</v>
      </c>
      <c r="C6480" s="35">
        <v>0</v>
      </c>
      <c r="D6480" s="2">
        <f t="shared" si="101"/>
        <v>1</v>
      </c>
    </row>
    <row r="6481" spans="1:4" x14ac:dyDescent="0.3">
      <c r="A6481" s="34">
        <v>49977</v>
      </c>
      <c r="B6481" s="35">
        <v>1</v>
      </c>
      <c r="C6481" s="35">
        <v>0</v>
      </c>
      <c r="D6481" s="2">
        <f t="shared" si="101"/>
        <v>1</v>
      </c>
    </row>
    <row r="6482" spans="1:4" x14ac:dyDescent="0.3">
      <c r="A6482" s="34">
        <v>49979</v>
      </c>
      <c r="B6482" s="35">
        <v>1</v>
      </c>
      <c r="C6482" s="35">
        <v>0</v>
      </c>
      <c r="D6482" s="2">
        <f t="shared" si="101"/>
        <v>1</v>
      </c>
    </row>
    <row r="6483" spans="1:4" x14ac:dyDescent="0.3">
      <c r="A6483" s="34">
        <v>49980</v>
      </c>
      <c r="B6483" s="35">
        <v>1</v>
      </c>
      <c r="C6483" s="35">
        <v>1</v>
      </c>
      <c r="D6483" s="2">
        <f t="shared" si="101"/>
        <v>2</v>
      </c>
    </row>
    <row r="6484" spans="1:4" x14ac:dyDescent="0.3">
      <c r="A6484" s="34">
        <v>49982</v>
      </c>
      <c r="B6484" s="35">
        <v>1</v>
      </c>
      <c r="C6484" s="35">
        <v>0</v>
      </c>
      <c r="D6484" s="2">
        <f t="shared" si="101"/>
        <v>1</v>
      </c>
    </row>
    <row r="6485" spans="1:4" x14ac:dyDescent="0.3">
      <c r="A6485" s="34">
        <v>49985</v>
      </c>
      <c r="B6485" s="35">
        <v>1</v>
      </c>
      <c r="C6485" s="35">
        <v>0</v>
      </c>
      <c r="D6485" s="2">
        <f t="shared" si="101"/>
        <v>1</v>
      </c>
    </row>
    <row r="6486" spans="1:4" x14ac:dyDescent="0.3">
      <c r="A6486" s="34">
        <v>49987</v>
      </c>
      <c r="B6486" s="35">
        <v>1</v>
      </c>
      <c r="C6486" s="35">
        <v>0</v>
      </c>
      <c r="D6486" s="2">
        <f t="shared" si="101"/>
        <v>1</v>
      </c>
    </row>
    <row r="6487" spans="1:4" x14ac:dyDescent="0.3">
      <c r="A6487" s="34">
        <v>49994</v>
      </c>
      <c r="B6487" s="35">
        <v>1</v>
      </c>
      <c r="C6487" s="35">
        <v>0</v>
      </c>
      <c r="D6487" s="2">
        <f t="shared" si="101"/>
        <v>1</v>
      </c>
    </row>
    <row r="6488" spans="1:4" x14ac:dyDescent="0.3">
      <c r="A6488" s="34">
        <v>50001</v>
      </c>
      <c r="B6488" s="35">
        <v>1</v>
      </c>
      <c r="C6488" s="35">
        <v>0</v>
      </c>
      <c r="D6488" s="2">
        <f t="shared" si="101"/>
        <v>1</v>
      </c>
    </row>
    <row r="6489" spans="1:4" x14ac:dyDescent="0.3">
      <c r="A6489" s="34">
        <v>50004</v>
      </c>
      <c r="B6489" s="35">
        <v>1</v>
      </c>
      <c r="C6489" s="35">
        <v>1</v>
      </c>
      <c r="D6489" s="2">
        <f t="shared" si="101"/>
        <v>2</v>
      </c>
    </row>
    <row r="6490" spans="1:4" x14ac:dyDescent="0.3">
      <c r="A6490" s="34">
        <v>50005</v>
      </c>
      <c r="B6490" s="35">
        <v>1</v>
      </c>
      <c r="C6490" s="35">
        <v>0</v>
      </c>
      <c r="D6490" s="2">
        <f t="shared" si="101"/>
        <v>1</v>
      </c>
    </row>
    <row r="6491" spans="1:4" x14ac:dyDescent="0.3">
      <c r="A6491" s="34">
        <v>50007</v>
      </c>
      <c r="B6491" s="35">
        <v>1</v>
      </c>
      <c r="C6491" s="35">
        <v>0</v>
      </c>
      <c r="D6491" s="2">
        <f t="shared" si="101"/>
        <v>1</v>
      </c>
    </row>
    <row r="6492" spans="1:4" x14ac:dyDescent="0.3">
      <c r="A6492" s="34">
        <v>50008</v>
      </c>
      <c r="B6492" s="35">
        <v>1</v>
      </c>
      <c r="C6492" s="35">
        <v>0</v>
      </c>
      <c r="D6492" s="2">
        <f t="shared" si="101"/>
        <v>1</v>
      </c>
    </row>
    <row r="6493" spans="1:4" x14ac:dyDescent="0.3">
      <c r="A6493" s="34">
        <v>50009</v>
      </c>
      <c r="B6493" s="35">
        <v>1</v>
      </c>
      <c r="C6493" s="35">
        <v>0</v>
      </c>
      <c r="D6493" s="2">
        <f t="shared" si="101"/>
        <v>1</v>
      </c>
    </row>
    <row r="6494" spans="1:4" x14ac:dyDescent="0.3">
      <c r="A6494" s="34">
        <v>50012</v>
      </c>
      <c r="B6494" s="35">
        <v>1</v>
      </c>
      <c r="C6494" s="35">
        <v>0</v>
      </c>
      <c r="D6494" s="2">
        <f t="shared" si="101"/>
        <v>1</v>
      </c>
    </row>
    <row r="6495" spans="1:4" x14ac:dyDescent="0.3">
      <c r="A6495" s="34">
        <v>50016</v>
      </c>
      <c r="B6495" s="35">
        <v>1</v>
      </c>
      <c r="C6495" s="35">
        <v>0</v>
      </c>
      <c r="D6495" s="2">
        <f t="shared" si="101"/>
        <v>1</v>
      </c>
    </row>
    <row r="6496" spans="1:4" x14ac:dyDescent="0.3">
      <c r="A6496" s="34">
        <v>50020</v>
      </c>
      <c r="B6496" s="35">
        <v>1</v>
      </c>
      <c r="C6496" s="35">
        <v>0</v>
      </c>
      <c r="D6496" s="2">
        <f t="shared" si="101"/>
        <v>1</v>
      </c>
    </row>
    <row r="6497" spans="1:4" x14ac:dyDescent="0.3">
      <c r="A6497" s="34">
        <v>50022</v>
      </c>
      <c r="B6497" s="35">
        <v>1</v>
      </c>
      <c r="C6497" s="35">
        <v>0</v>
      </c>
      <c r="D6497" s="2">
        <f t="shared" si="101"/>
        <v>1</v>
      </c>
    </row>
    <row r="6498" spans="1:4" x14ac:dyDescent="0.3">
      <c r="A6498" s="34">
        <v>50024</v>
      </c>
      <c r="B6498" s="35">
        <v>1</v>
      </c>
      <c r="C6498" s="35">
        <v>0</v>
      </c>
      <c r="D6498" s="2">
        <f t="shared" si="101"/>
        <v>1</v>
      </c>
    </row>
    <row r="6499" spans="1:4" x14ac:dyDescent="0.3">
      <c r="A6499" s="34">
        <v>50025</v>
      </c>
      <c r="B6499" s="35">
        <v>1</v>
      </c>
      <c r="C6499" s="35">
        <v>0</v>
      </c>
      <c r="D6499" s="2">
        <f t="shared" si="101"/>
        <v>1</v>
      </c>
    </row>
    <row r="6500" spans="1:4" x14ac:dyDescent="0.3">
      <c r="A6500" s="34">
        <v>50027</v>
      </c>
      <c r="B6500" s="35">
        <v>1</v>
      </c>
      <c r="C6500" s="35">
        <v>0</v>
      </c>
      <c r="D6500" s="2">
        <f t="shared" si="101"/>
        <v>1</v>
      </c>
    </row>
    <row r="6501" spans="1:4" x14ac:dyDescent="0.3">
      <c r="A6501" s="34">
        <v>50028</v>
      </c>
      <c r="B6501" s="35">
        <v>2</v>
      </c>
      <c r="C6501" s="35">
        <v>0</v>
      </c>
      <c r="D6501" s="2">
        <f t="shared" si="101"/>
        <v>2</v>
      </c>
    </row>
    <row r="6502" spans="1:4" x14ac:dyDescent="0.3">
      <c r="A6502" s="34">
        <v>50030</v>
      </c>
      <c r="B6502" s="35">
        <v>1</v>
      </c>
      <c r="C6502" s="35">
        <v>0</v>
      </c>
      <c r="D6502" s="2">
        <f t="shared" si="101"/>
        <v>1</v>
      </c>
    </row>
    <row r="6503" spans="1:4" x14ac:dyDescent="0.3">
      <c r="A6503" s="34">
        <v>50033</v>
      </c>
      <c r="B6503" s="35">
        <v>1</v>
      </c>
      <c r="C6503" s="35">
        <v>1</v>
      </c>
      <c r="D6503" s="2">
        <f t="shared" si="101"/>
        <v>2</v>
      </c>
    </row>
    <row r="6504" spans="1:4" x14ac:dyDescent="0.3">
      <c r="A6504" s="34">
        <v>50034</v>
      </c>
      <c r="B6504" s="35">
        <v>1</v>
      </c>
      <c r="C6504" s="35">
        <v>0</v>
      </c>
      <c r="D6504" s="2">
        <f t="shared" si="101"/>
        <v>1</v>
      </c>
    </row>
    <row r="6505" spans="1:4" x14ac:dyDescent="0.3">
      <c r="A6505" s="34">
        <v>50037</v>
      </c>
      <c r="B6505" s="35">
        <v>1</v>
      </c>
      <c r="C6505" s="35">
        <v>0</v>
      </c>
      <c r="D6505" s="2">
        <f t="shared" si="101"/>
        <v>1</v>
      </c>
    </row>
    <row r="6506" spans="1:4" x14ac:dyDescent="0.3">
      <c r="A6506" s="34">
        <v>50042</v>
      </c>
      <c r="B6506" s="35">
        <v>1</v>
      </c>
      <c r="C6506" s="35">
        <v>1</v>
      </c>
      <c r="D6506" s="2">
        <f t="shared" si="101"/>
        <v>2</v>
      </c>
    </row>
    <row r="6507" spans="1:4" x14ac:dyDescent="0.3">
      <c r="A6507" s="34">
        <v>50043</v>
      </c>
      <c r="B6507" s="35">
        <v>1</v>
      </c>
      <c r="C6507" s="35">
        <v>0</v>
      </c>
      <c r="D6507" s="2">
        <f t="shared" si="101"/>
        <v>1</v>
      </c>
    </row>
    <row r="6508" spans="1:4" x14ac:dyDescent="0.3">
      <c r="A6508" s="34">
        <v>50048</v>
      </c>
      <c r="B6508" s="35">
        <v>2</v>
      </c>
      <c r="C6508" s="35">
        <v>1</v>
      </c>
      <c r="D6508" s="2">
        <f t="shared" si="101"/>
        <v>3</v>
      </c>
    </row>
    <row r="6509" spans="1:4" x14ac:dyDescent="0.3">
      <c r="A6509" s="34">
        <v>50049</v>
      </c>
      <c r="B6509" s="35">
        <v>1</v>
      </c>
      <c r="C6509" s="35">
        <v>1</v>
      </c>
      <c r="D6509" s="2">
        <f t="shared" si="101"/>
        <v>2</v>
      </c>
    </row>
    <row r="6510" spans="1:4" x14ac:dyDescent="0.3">
      <c r="A6510" s="34">
        <v>50051</v>
      </c>
      <c r="B6510" s="35">
        <v>1</v>
      </c>
      <c r="C6510" s="35">
        <v>0</v>
      </c>
      <c r="D6510" s="2">
        <f t="shared" si="101"/>
        <v>1</v>
      </c>
    </row>
    <row r="6511" spans="1:4" x14ac:dyDescent="0.3">
      <c r="A6511" s="34">
        <v>50054</v>
      </c>
      <c r="B6511" s="35">
        <v>1</v>
      </c>
      <c r="C6511" s="35">
        <v>0</v>
      </c>
      <c r="D6511" s="2">
        <f t="shared" si="101"/>
        <v>1</v>
      </c>
    </row>
    <row r="6512" spans="1:4" x14ac:dyDescent="0.3">
      <c r="A6512" s="34">
        <v>50056</v>
      </c>
      <c r="B6512" s="35">
        <v>1</v>
      </c>
      <c r="C6512" s="35">
        <v>0</v>
      </c>
      <c r="D6512" s="2">
        <f t="shared" si="101"/>
        <v>1</v>
      </c>
    </row>
    <row r="6513" spans="1:4" x14ac:dyDescent="0.3">
      <c r="A6513" s="34">
        <v>50058</v>
      </c>
      <c r="B6513" s="35">
        <v>1</v>
      </c>
      <c r="C6513" s="35">
        <v>0</v>
      </c>
      <c r="D6513" s="2">
        <f t="shared" si="101"/>
        <v>1</v>
      </c>
    </row>
    <row r="6514" spans="1:4" x14ac:dyDescent="0.3">
      <c r="A6514" s="34">
        <v>50059</v>
      </c>
      <c r="B6514" s="35">
        <v>1</v>
      </c>
      <c r="C6514" s="35">
        <v>0</v>
      </c>
      <c r="D6514" s="2">
        <f t="shared" si="101"/>
        <v>1</v>
      </c>
    </row>
    <row r="6515" spans="1:4" x14ac:dyDescent="0.3">
      <c r="A6515" s="34">
        <v>50060</v>
      </c>
      <c r="B6515" s="35">
        <v>1</v>
      </c>
      <c r="C6515" s="35">
        <v>1</v>
      </c>
      <c r="D6515" s="2">
        <f t="shared" si="101"/>
        <v>2</v>
      </c>
    </row>
    <row r="6516" spans="1:4" x14ac:dyDescent="0.3">
      <c r="A6516" s="34">
        <v>50105</v>
      </c>
      <c r="B6516" s="35">
        <v>1</v>
      </c>
      <c r="C6516" s="35">
        <v>0</v>
      </c>
      <c r="D6516" s="2">
        <f t="shared" si="101"/>
        <v>1</v>
      </c>
    </row>
    <row r="6517" spans="1:4" x14ac:dyDescent="0.3">
      <c r="A6517" s="34">
        <v>50106</v>
      </c>
      <c r="B6517" s="35">
        <v>1</v>
      </c>
      <c r="C6517" s="35">
        <v>0</v>
      </c>
      <c r="D6517" s="2">
        <f t="shared" si="101"/>
        <v>1</v>
      </c>
    </row>
    <row r="6518" spans="1:4" x14ac:dyDescent="0.3">
      <c r="A6518" s="34">
        <v>50107</v>
      </c>
      <c r="B6518" s="35">
        <v>2</v>
      </c>
      <c r="C6518" s="35">
        <v>0</v>
      </c>
      <c r="D6518" s="2">
        <f t="shared" si="101"/>
        <v>2</v>
      </c>
    </row>
    <row r="6519" spans="1:4" x14ac:dyDescent="0.3">
      <c r="A6519" s="34">
        <v>50113</v>
      </c>
      <c r="B6519" s="35">
        <v>1</v>
      </c>
      <c r="C6519" s="35">
        <v>1</v>
      </c>
      <c r="D6519" s="2">
        <f t="shared" si="101"/>
        <v>2</v>
      </c>
    </row>
    <row r="6520" spans="1:4" x14ac:dyDescent="0.3">
      <c r="A6520" s="34">
        <v>50115</v>
      </c>
      <c r="B6520" s="35">
        <v>1</v>
      </c>
      <c r="C6520" s="35">
        <v>1</v>
      </c>
      <c r="D6520" s="2">
        <f t="shared" si="101"/>
        <v>2</v>
      </c>
    </row>
    <row r="6521" spans="1:4" x14ac:dyDescent="0.3">
      <c r="A6521" s="34">
        <v>50116</v>
      </c>
      <c r="B6521" s="35">
        <v>1</v>
      </c>
      <c r="C6521" s="35">
        <v>1</v>
      </c>
      <c r="D6521" s="2">
        <f t="shared" si="101"/>
        <v>2</v>
      </c>
    </row>
    <row r="6522" spans="1:4" x14ac:dyDescent="0.3">
      <c r="A6522" s="34">
        <v>50118</v>
      </c>
      <c r="B6522" s="35">
        <v>1</v>
      </c>
      <c r="C6522" s="35">
        <v>0</v>
      </c>
      <c r="D6522" s="2">
        <f t="shared" si="101"/>
        <v>1</v>
      </c>
    </row>
    <row r="6523" spans="1:4" x14ac:dyDescent="0.3">
      <c r="A6523" s="34">
        <v>50119</v>
      </c>
      <c r="B6523" s="35">
        <v>1</v>
      </c>
      <c r="C6523" s="35">
        <v>0</v>
      </c>
      <c r="D6523" s="2">
        <f t="shared" si="101"/>
        <v>1</v>
      </c>
    </row>
    <row r="6524" spans="1:4" x14ac:dyDescent="0.3">
      <c r="A6524" s="34">
        <v>50121</v>
      </c>
      <c r="B6524" s="35">
        <v>1</v>
      </c>
      <c r="C6524" s="35">
        <v>0</v>
      </c>
      <c r="D6524" s="2">
        <f t="shared" si="101"/>
        <v>1</v>
      </c>
    </row>
    <row r="6525" spans="1:4" x14ac:dyDescent="0.3">
      <c r="A6525" s="34">
        <v>50122</v>
      </c>
      <c r="B6525" s="35">
        <v>1</v>
      </c>
      <c r="C6525" s="35">
        <v>1</v>
      </c>
      <c r="D6525" s="2">
        <f t="shared" si="101"/>
        <v>2</v>
      </c>
    </row>
    <row r="6526" spans="1:4" x14ac:dyDescent="0.3">
      <c r="A6526" s="34">
        <v>50123</v>
      </c>
      <c r="B6526" s="35">
        <v>1</v>
      </c>
      <c r="C6526" s="35">
        <v>0</v>
      </c>
      <c r="D6526" s="2">
        <f t="shared" si="101"/>
        <v>1</v>
      </c>
    </row>
    <row r="6527" spans="1:4" x14ac:dyDescent="0.3">
      <c r="A6527" s="34">
        <v>50129</v>
      </c>
      <c r="B6527" s="35">
        <v>1</v>
      </c>
      <c r="C6527" s="35">
        <v>0</v>
      </c>
      <c r="D6527" s="2">
        <f t="shared" si="101"/>
        <v>1</v>
      </c>
    </row>
    <row r="6528" spans="1:4" x14ac:dyDescent="0.3">
      <c r="A6528" s="34">
        <v>50135</v>
      </c>
      <c r="B6528" s="35">
        <v>1</v>
      </c>
      <c r="C6528" s="35">
        <v>0</v>
      </c>
      <c r="D6528" s="2">
        <f t="shared" si="101"/>
        <v>1</v>
      </c>
    </row>
    <row r="6529" spans="1:4" x14ac:dyDescent="0.3">
      <c r="A6529" s="34">
        <v>50138</v>
      </c>
      <c r="B6529" s="35">
        <v>2</v>
      </c>
      <c r="C6529" s="35">
        <v>1</v>
      </c>
      <c r="D6529" s="2">
        <f t="shared" si="101"/>
        <v>3</v>
      </c>
    </row>
    <row r="6530" spans="1:4" x14ac:dyDescent="0.3">
      <c r="A6530" s="34">
        <v>50139</v>
      </c>
      <c r="B6530" s="35">
        <v>1</v>
      </c>
      <c r="C6530" s="35">
        <v>0</v>
      </c>
      <c r="D6530" s="2">
        <f t="shared" si="101"/>
        <v>1</v>
      </c>
    </row>
    <row r="6531" spans="1:4" x14ac:dyDescent="0.3">
      <c r="A6531" s="34">
        <v>50167</v>
      </c>
      <c r="B6531" s="35">
        <v>3</v>
      </c>
      <c r="C6531" s="35">
        <v>2</v>
      </c>
      <c r="D6531" s="2">
        <f t="shared" ref="D6531:D6594" si="102">B6531+C6531</f>
        <v>5</v>
      </c>
    </row>
    <row r="6532" spans="1:4" x14ac:dyDescent="0.3">
      <c r="A6532" s="34">
        <v>50174</v>
      </c>
      <c r="B6532" s="35">
        <v>1</v>
      </c>
      <c r="C6532" s="35">
        <v>1</v>
      </c>
      <c r="D6532" s="2">
        <f t="shared" si="102"/>
        <v>2</v>
      </c>
    </row>
    <row r="6533" spans="1:4" x14ac:dyDescent="0.3">
      <c r="A6533" s="34">
        <v>50176</v>
      </c>
      <c r="B6533" s="35">
        <v>1</v>
      </c>
      <c r="C6533" s="35">
        <v>0</v>
      </c>
      <c r="D6533" s="2">
        <f t="shared" si="102"/>
        <v>1</v>
      </c>
    </row>
    <row r="6534" spans="1:4" x14ac:dyDescent="0.3">
      <c r="A6534" s="34">
        <v>50181</v>
      </c>
      <c r="B6534" s="35">
        <v>1</v>
      </c>
      <c r="C6534" s="35">
        <v>0</v>
      </c>
      <c r="D6534" s="2">
        <f t="shared" si="102"/>
        <v>1</v>
      </c>
    </row>
    <row r="6535" spans="1:4" x14ac:dyDescent="0.3">
      <c r="A6535" s="34">
        <v>50187</v>
      </c>
      <c r="B6535" s="35">
        <v>1</v>
      </c>
      <c r="C6535" s="35">
        <v>0</v>
      </c>
      <c r="D6535" s="2">
        <f t="shared" si="102"/>
        <v>1</v>
      </c>
    </row>
    <row r="6536" spans="1:4" x14ac:dyDescent="0.3">
      <c r="A6536" s="34">
        <v>50188</v>
      </c>
      <c r="B6536" s="35">
        <v>1</v>
      </c>
      <c r="C6536" s="35">
        <v>1</v>
      </c>
      <c r="D6536" s="2">
        <f t="shared" si="102"/>
        <v>2</v>
      </c>
    </row>
    <row r="6537" spans="1:4" x14ac:dyDescent="0.3">
      <c r="A6537" s="34">
        <v>50191</v>
      </c>
      <c r="B6537" s="35">
        <v>1</v>
      </c>
      <c r="C6537" s="35">
        <v>0</v>
      </c>
      <c r="D6537" s="2">
        <f t="shared" si="102"/>
        <v>1</v>
      </c>
    </row>
    <row r="6538" spans="1:4" x14ac:dyDescent="0.3">
      <c r="A6538" s="34">
        <v>50192</v>
      </c>
      <c r="B6538" s="35">
        <v>1</v>
      </c>
      <c r="C6538" s="35">
        <v>0</v>
      </c>
      <c r="D6538" s="2">
        <f t="shared" si="102"/>
        <v>1</v>
      </c>
    </row>
    <row r="6539" spans="1:4" x14ac:dyDescent="0.3">
      <c r="A6539" s="34">
        <v>50195</v>
      </c>
      <c r="B6539" s="35">
        <v>1</v>
      </c>
      <c r="C6539" s="35">
        <v>0</v>
      </c>
      <c r="D6539" s="2">
        <f t="shared" si="102"/>
        <v>1</v>
      </c>
    </row>
    <row r="6540" spans="1:4" x14ac:dyDescent="0.3">
      <c r="A6540" s="34">
        <v>50198</v>
      </c>
      <c r="B6540" s="35">
        <v>1</v>
      </c>
      <c r="C6540" s="35">
        <v>0</v>
      </c>
      <c r="D6540" s="2">
        <f t="shared" si="102"/>
        <v>1</v>
      </c>
    </row>
    <row r="6541" spans="1:4" x14ac:dyDescent="0.3">
      <c r="A6541" s="34">
        <v>50199</v>
      </c>
      <c r="B6541" s="35">
        <v>1</v>
      </c>
      <c r="C6541" s="35">
        <v>0</v>
      </c>
      <c r="D6541" s="2">
        <f t="shared" si="102"/>
        <v>1</v>
      </c>
    </row>
    <row r="6542" spans="1:4" x14ac:dyDescent="0.3">
      <c r="A6542" s="34">
        <v>50201</v>
      </c>
      <c r="B6542" s="35">
        <v>1</v>
      </c>
      <c r="C6542" s="35">
        <v>0</v>
      </c>
      <c r="D6542" s="2">
        <f t="shared" si="102"/>
        <v>1</v>
      </c>
    </row>
    <row r="6543" spans="1:4" x14ac:dyDescent="0.3">
      <c r="A6543" s="34">
        <v>50205</v>
      </c>
      <c r="B6543" s="35">
        <v>1</v>
      </c>
      <c r="C6543" s="35">
        <v>0</v>
      </c>
      <c r="D6543" s="2">
        <f t="shared" si="102"/>
        <v>1</v>
      </c>
    </row>
    <row r="6544" spans="1:4" x14ac:dyDescent="0.3">
      <c r="A6544" s="34">
        <v>50209</v>
      </c>
      <c r="B6544" s="35">
        <v>1</v>
      </c>
      <c r="C6544" s="35">
        <v>1</v>
      </c>
      <c r="D6544" s="2">
        <f t="shared" si="102"/>
        <v>2</v>
      </c>
    </row>
    <row r="6545" spans="1:4" x14ac:dyDescent="0.3">
      <c r="A6545" s="34">
        <v>50211</v>
      </c>
      <c r="B6545" s="35">
        <v>1</v>
      </c>
      <c r="C6545" s="35">
        <v>1</v>
      </c>
      <c r="D6545" s="2">
        <f t="shared" si="102"/>
        <v>2</v>
      </c>
    </row>
    <row r="6546" spans="1:4" x14ac:dyDescent="0.3">
      <c r="A6546" s="34">
        <v>50214</v>
      </c>
      <c r="B6546" s="35">
        <v>1</v>
      </c>
      <c r="C6546" s="35">
        <v>0</v>
      </c>
      <c r="D6546" s="2">
        <f t="shared" si="102"/>
        <v>1</v>
      </c>
    </row>
    <row r="6547" spans="1:4" x14ac:dyDescent="0.3">
      <c r="A6547" s="34">
        <v>50232</v>
      </c>
      <c r="B6547" s="35">
        <v>1</v>
      </c>
      <c r="C6547" s="35">
        <v>0</v>
      </c>
      <c r="D6547" s="2">
        <f t="shared" si="102"/>
        <v>1</v>
      </c>
    </row>
    <row r="6548" spans="1:4" x14ac:dyDescent="0.3">
      <c r="A6548" s="34">
        <v>50233</v>
      </c>
      <c r="B6548" s="35">
        <v>1</v>
      </c>
      <c r="C6548" s="35">
        <v>0</v>
      </c>
      <c r="D6548" s="2">
        <f t="shared" si="102"/>
        <v>1</v>
      </c>
    </row>
    <row r="6549" spans="1:4" x14ac:dyDescent="0.3">
      <c r="A6549" s="34">
        <v>50235</v>
      </c>
      <c r="B6549" s="35">
        <v>1</v>
      </c>
      <c r="C6549" s="35">
        <v>0</v>
      </c>
      <c r="D6549" s="2">
        <f t="shared" si="102"/>
        <v>1</v>
      </c>
    </row>
    <row r="6550" spans="1:4" x14ac:dyDescent="0.3">
      <c r="A6550" s="34">
        <v>50236</v>
      </c>
      <c r="B6550" s="35">
        <v>1</v>
      </c>
      <c r="C6550" s="35">
        <v>0</v>
      </c>
      <c r="D6550" s="2">
        <f t="shared" si="102"/>
        <v>1</v>
      </c>
    </row>
    <row r="6551" spans="1:4" x14ac:dyDescent="0.3">
      <c r="A6551" s="34">
        <v>50241</v>
      </c>
      <c r="B6551" s="35">
        <v>1</v>
      </c>
      <c r="C6551" s="35">
        <v>0</v>
      </c>
      <c r="D6551" s="2">
        <f t="shared" si="102"/>
        <v>1</v>
      </c>
    </row>
    <row r="6552" spans="1:4" x14ac:dyDescent="0.3">
      <c r="A6552" s="34">
        <v>50243</v>
      </c>
      <c r="B6552" s="35">
        <v>2</v>
      </c>
      <c r="C6552" s="35">
        <v>1</v>
      </c>
      <c r="D6552" s="2">
        <f t="shared" si="102"/>
        <v>3</v>
      </c>
    </row>
    <row r="6553" spans="1:4" x14ac:dyDescent="0.3">
      <c r="A6553" s="34">
        <v>50245</v>
      </c>
      <c r="B6553" s="35">
        <v>1</v>
      </c>
      <c r="C6553" s="35">
        <v>0</v>
      </c>
      <c r="D6553" s="2">
        <f t="shared" si="102"/>
        <v>1</v>
      </c>
    </row>
    <row r="6554" spans="1:4" x14ac:dyDescent="0.3">
      <c r="A6554" s="34">
        <v>50247</v>
      </c>
      <c r="B6554" s="35">
        <v>1</v>
      </c>
      <c r="C6554" s="35">
        <v>0</v>
      </c>
      <c r="D6554" s="2">
        <f t="shared" si="102"/>
        <v>1</v>
      </c>
    </row>
    <row r="6555" spans="1:4" x14ac:dyDescent="0.3">
      <c r="A6555" s="34">
        <v>50250</v>
      </c>
      <c r="B6555" s="35">
        <v>1</v>
      </c>
      <c r="C6555" s="35">
        <v>0</v>
      </c>
      <c r="D6555" s="2">
        <f t="shared" si="102"/>
        <v>1</v>
      </c>
    </row>
    <row r="6556" spans="1:4" x14ac:dyDescent="0.3">
      <c r="A6556" s="34">
        <v>50253</v>
      </c>
      <c r="B6556" s="35">
        <v>1</v>
      </c>
      <c r="C6556" s="35">
        <v>0</v>
      </c>
      <c r="D6556" s="2">
        <f t="shared" si="102"/>
        <v>1</v>
      </c>
    </row>
    <row r="6557" spans="1:4" x14ac:dyDescent="0.3">
      <c r="A6557" s="34">
        <v>50255</v>
      </c>
      <c r="B6557" s="35">
        <v>1</v>
      </c>
      <c r="C6557" s="35">
        <v>0</v>
      </c>
      <c r="D6557" s="2">
        <f t="shared" si="102"/>
        <v>1</v>
      </c>
    </row>
    <row r="6558" spans="1:4" x14ac:dyDescent="0.3">
      <c r="A6558" s="34">
        <v>50257</v>
      </c>
      <c r="B6558" s="35">
        <v>1</v>
      </c>
      <c r="C6558" s="35">
        <v>1</v>
      </c>
      <c r="D6558" s="2">
        <f t="shared" si="102"/>
        <v>2</v>
      </c>
    </row>
    <row r="6559" spans="1:4" x14ac:dyDescent="0.3">
      <c r="A6559" s="34">
        <v>50258</v>
      </c>
      <c r="B6559" s="35">
        <v>1</v>
      </c>
      <c r="C6559" s="35">
        <v>0</v>
      </c>
      <c r="D6559" s="2">
        <f t="shared" si="102"/>
        <v>1</v>
      </c>
    </row>
    <row r="6560" spans="1:4" x14ac:dyDescent="0.3">
      <c r="A6560" s="34">
        <v>50260</v>
      </c>
      <c r="B6560" s="35">
        <v>2</v>
      </c>
      <c r="C6560" s="35">
        <v>0</v>
      </c>
      <c r="D6560" s="2">
        <f t="shared" si="102"/>
        <v>2</v>
      </c>
    </row>
    <row r="6561" spans="1:4" x14ac:dyDescent="0.3">
      <c r="A6561" s="34">
        <v>50268</v>
      </c>
      <c r="B6561" s="35">
        <v>1</v>
      </c>
      <c r="C6561" s="35">
        <v>0</v>
      </c>
      <c r="D6561" s="2">
        <f t="shared" si="102"/>
        <v>1</v>
      </c>
    </row>
    <row r="6562" spans="1:4" x14ac:dyDescent="0.3">
      <c r="A6562" s="34">
        <v>50269</v>
      </c>
      <c r="B6562" s="35">
        <v>1</v>
      </c>
      <c r="C6562" s="35">
        <v>0</v>
      </c>
      <c r="D6562" s="2">
        <f t="shared" si="102"/>
        <v>1</v>
      </c>
    </row>
    <row r="6563" spans="1:4" x14ac:dyDescent="0.3">
      <c r="A6563" s="34">
        <v>50272</v>
      </c>
      <c r="B6563" s="35">
        <v>1</v>
      </c>
      <c r="C6563" s="35">
        <v>0</v>
      </c>
      <c r="D6563" s="2">
        <f t="shared" si="102"/>
        <v>1</v>
      </c>
    </row>
    <row r="6564" spans="1:4" x14ac:dyDescent="0.3">
      <c r="A6564" s="34">
        <v>50277</v>
      </c>
      <c r="B6564" s="35">
        <v>1</v>
      </c>
      <c r="C6564" s="35">
        <v>0</v>
      </c>
      <c r="D6564" s="2">
        <f t="shared" si="102"/>
        <v>1</v>
      </c>
    </row>
    <row r="6565" spans="1:4" x14ac:dyDescent="0.3">
      <c r="A6565" s="34">
        <v>50296</v>
      </c>
      <c r="B6565" s="35">
        <v>1</v>
      </c>
      <c r="C6565" s="35">
        <v>0</v>
      </c>
      <c r="D6565" s="2">
        <f t="shared" si="102"/>
        <v>1</v>
      </c>
    </row>
    <row r="6566" spans="1:4" x14ac:dyDescent="0.3">
      <c r="A6566" s="34">
        <v>50297</v>
      </c>
      <c r="B6566" s="35">
        <v>1</v>
      </c>
      <c r="C6566" s="35">
        <v>0</v>
      </c>
      <c r="D6566" s="2">
        <f t="shared" si="102"/>
        <v>1</v>
      </c>
    </row>
    <row r="6567" spans="1:4" x14ac:dyDescent="0.3">
      <c r="A6567" s="34">
        <v>50298</v>
      </c>
      <c r="B6567" s="35">
        <v>2</v>
      </c>
      <c r="C6567" s="35">
        <v>0</v>
      </c>
      <c r="D6567" s="2">
        <f t="shared" si="102"/>
        <v>2</v>
      </c>
    </row>
    <row r="6568" spans="1:4" x14ac:dyDescent="0.3">
      <c r="A6568" s="34">
        <v>50304</v>
      </c>
      <c r="B6568" s="35">
        <v>2</v>
      </c>
      <c r="C6568" s="35">
        <v>1</v>
      </c>
      <c r="D6568" s="2">
        <f t="shared" si="102"/>
        <v>3</v>
      </c>
    </row>
    <row r="6569" spans="1:4" x14ac:dyDescent="0.3">
      <c r="A6569" s="34">
        <v>50308</v>
      </c>
      <c r="B6569" s="35">
        <v>1</v>
      </c>
      <c r="C6569" s="35">
        <v>0</v>
      </c>
      <c r="D6569" s="2">
        <f t="shared" si="102"/>
        <v>1</v>
      </c>
    </row>
    <row r="6570" spans="1:4" x14ac:dyDescent="0.3">
      <c r="A6570" s="34">
        <v>50309</v>
      </c>
      <c r="B6570" s="35">
        <v>1</v>
      </c>
      <c r="C6570" s="35">
        <v>0</v>
      </c>
      <c r="D6570" s="2">
        <f t="shared" si="102"/>
        <v>1</v>
      </c>
    </row>
    <row r="6571" spans="1:4" x14ac:dyDescent="0.3">
      <c r="A6571" s="34">
        <v>50310</v>
      </c>
      <c r="B6571" s="35">
        <v>1</v>
      </c>
      <c r="C6571" s="35">
        <v>0</v>
      </c>
      <c r="D6571" s="2">
        <f t="shared" si="102"/>
        <v>1</v>
      </c>
    </row>
    <row r="6572" spans="1:4" x14ac:dyDescent="0.3">
      <c r="A6572" s="34">
        <v>50311</v>
      </c>
      <c r="B6572" s="35">
        <v>1</v>
      </c>
      <c r="C6572" s="35">
        <v>1</v>
      </c>
      <c r="D6572" s="2">
        <f t="shared" si="102"/>
        <v>2</v>
      </c>
    </row>
    <row r="6573" spans="1:4" x14ac:dyDescent="0.3">
      <c r="A6573" s="34">
        <v>50313</v>
      </c>
      <c r="B6573" s="35">
        <v>1</v>
      </c>
      <c r="C6573" s="35">
        <v>0</v>
      </c>
      <c r="D6573" s="2">
        <f t="shared" si="102"/>
        <v>1</v>
      </c>
    </row>
    <row r="6574" spans="1:4" x14ac:dyDescent="0.3">
      <c r="A6574" s="34">
        <v>50316</v>
      </c>
      <c r="B6574" s="35">
        <v>1</v>
      </c>
      <c r="C6574" s="35">
        <v>0</v>
      </c>
      <c r="D6574" s="2">
        <f t="shared" si="102"/>
        <v>1</v>
      </c>
    </row>
    <row r="6575" spans="1:4" x14ac:dyDescent="0.3">
      <c r="A6575" s="34">
        <v>50317</v>
      </c>
      <c r="B6575" s="35">
        <v>1</v>
      </c>
      <c r="C6575" s="35">
        <v>0</v>
      </c>
      <c r="D6575" s="2">
        <f t="shared" si="102"/>
        <v>1</v>
      </c>
    </row>
    <row r="6576" spans="1:4" x14ac:dyDescent="0.3">
      <c r="A6576" s="34">
        <v>50318</v>
      </c>
      <c r="B6576" s="35">
        <v>1</v>
      </c>
      <c r="C6576" s="35">
        <v>0</v>
      </c>
      <c r="D6576" s="2">
        <f t="shared" si="102"/>
        <v>1</v>
      </c>
    </row>
    <row r="6577" spans="1:4" x14ac:dyDescent="0.3">
      <c r="A6577" s="34">
        <v>50322</v>
      </c>
      <c r="B6577" s="35">
        <v>1</v>
      </c>
      <c r="C6577" s="35">
        <v>0</v>
      </c>
      <c r="D6577" s="2">
        <f t="shared" si="102"/>
        <v>1</v>
      </c>
    </row>
    <row r="6578" spans="1:4" x14ac:dyDescent="0.3">
      <c r="A6578" s="34">
        <v>50324</v>
      </c>
      <c r="B6578" s="35">
        <v>1</v>
      </c>
      <c r="C6578" s="35">
        <v>0</v>
      </c>
      <c r="D6578" s="2">
        <f t="shared" si="102"/>
        <v>1</v>
      </c>
    </row>
    <row r="6579" spans="1:4" x14ac:dyDescent="0.3">
      <c r="A6579" s="34">
        <v>50329</v>
      </c>
      <c r="B6579" s="35">
        <v>1</v>
      </c>
      <c r="C6579" s="35">
        <v>0</v>
      </c>
      <c r="D6579" s="2">
        <f t="shared" si="102"/>
        <v>1</v>
      </c>
    </row>
    <row r="6580" spans="1:4" x14ac:dyDescent="0.3">
      <c r="A6580" s="34">
        <v>50331</v>
      </c>
      <c r="B6580" s="35">
        <v>1</v>
      </c>
      <c r="C6580" s="35">
        <v>0</v>
      </c>
      <c r="D6580" s="2">
        <f t="shared" si="102"/>
        <v>1</v>
      </c>
    </row>
    <row r="6581" spans="1:4" x14ac:dyDescent="0.3">
      <c r="A6581" s="34">
        <v>50332</v>
      </c>
      <c r="B6581" s="35">
        <v>1</v>
      </c>
      <c r="C6581" s="35">
        <v>0</v>
      </c>
      <c r="D6581" s="2">
        <f t="shared" si="102"/>
        <v>1</v>
      </c>
    </row>
    <row r="6582" spans="1:4" x14ac:dyDescent="0.3">
      <c r="A6582" s="34">
        <v>50333</v>
      </c>
      <c r="B6582" s="35">
        <v>1</v>
      </c>
      <c r="C6582" s="35">
        <v>0</v>
      </c>
      <c r="D6582" s="2">
        <f t="shared" si="102"/>
        <v>1</v>
      </c>
    </row>
    <row r="6583" spans="1:4" x14ac:dyDescent="0.3">
      <c r="A6583" s="34">
        <v>50334</v>
      </c>
      <c r="B6583" s="35">
        <v>1</v>
      </c>
      <c r="C6583" s="35">
        <v>0</v>
      </c>
      <c r="D6583" s="2">
        <f t="shared" si="102"/>
        <v>1</v>
      </c>
    </row>
    <row r="6584" spans="1:4" x14ac:dyDescent="0.3">
      <c r="A6584" s="34">
        <v>50336</v>
      </c>
      <c r="B6584" s="35">
        <v>1</v>
      </c>
      <c r="C6584" s="35">
        <v>0</v>
      </c>
      <c r="D6584" s="2">
        <f t="shared" si="102"/>
        <v>1</v>
      </c>
    </row>
    <row r="6585" spans="1:4" x14ac:dyDescent="0.3">
      <c r="A6585" s="34">
        <v>50337</v>
      </c>
      <c r="B6585" s="35">
        <v>1</v>
      </c>
      <c r="C6585" s="35">
        <v>0</v>
      </c>
      <c r="D6585" s="2">
        <f t="shared" si="102"/>
        <v>1</v>
      </c>
    </row>
    <row r="6586" spans="1:4" x14ac:dyDescent="0.3">
      <c r="A6586" s="34">
        <v>50339</v>
      </c>
      <c r="B6586" s="35">
        <v>1</v>
      </c>
      <c r="C6586" s="35">
        <v>0</v>
      </c>
      <c r="D6586" s="2">
        <f t="shared" si="102"/>
        <v>1</v>
      </c>
    </row>
    <row r="6587" spans="1:4" x14ac:dyDescent="0.3">
      <c r="A6587" s="34">
        <v>50342</v>
      </c>
      <c r="B6587" s="35">
        <v>1</v>
      </c>
      <c r="C6587" s="35">
        <v>0</v>
      </c>
      <c r="D6587" s="2">
        <f t="shared" si="102"/>
        <v>1</v>
      </c>
    </row>
    <row r="6588" spans="1:4" x14ac:dyDescent="0.3">
      <c r="A6588" s="34">
        <v>50343</v>
      </c>
      <c r="B6588" s="35">
        <v>1</v>
      </c>
      <c r="C6588" s="35">
        <v>0</v>
      </c>
      <c r="D6588" s="2">
        <f t="shared" si="102"/>
        <v>1</v>
      </c>
    </row>
    <row r="6589" spans="1:4" x14ac:dyDescent="0.3">
      <c r="A6589" s="34">
        <v>50344</v>
      </c>
      <c r="B6589" s="35">
        <v>1</v>
      </c>
      <c r="C6589" s="35">
        <v>0</v>
      </c>
      <c r="D6589" s="2">
        <f t="shared" si="102"/>
        <v>1</v>
      </c>
    </row>
    <row r="6590" spans="1:4" x14ac:dyDescent="0.3">
      <c r="A6590" s="34">
        <v>50346</v>
      </c>
      <c r="B6590" s="35">
        <v>1</v>
      </c>
      <c r="C6590" s="35">
        <v>0</v>
      </c>
      <c r="D6590" s="2">
        <f t="shared" si="102"/>
        <v>1</v>
      </c>
    </row>
    <row r="6591" spans="1:4" x14ac:dyDescent="0.3">
      <c r="A6591" s="34">
        <v>50347</v>
      </c>
      <c r="B6591" s="35">
        <v>1</v>
      </c>
      <c r="C6591" s="35">
        <v>0</v>
      </c>
      <c r="D6591" s="2">
        <f t="shared" si="102"/>
        <v>1</v>
      </c>
    </row>
    <row r="6592" spans="1:4" x14ac:dyDescent="0.3">
      <c r="A6592" s="34">
        <v>50348</v>
      </c>
      <c r="B6592" s="35">
        <v>1</v>
      </c>
      <c r="C6592" s="35">
        <v>0</v>
      </c>
      <c r="D6592" s="2">
        <f t="shared" si="102"/>
        <v>1</v>
      </c>
    </row>
    <row r="6593" spans="1:4" x14ac:dyDescent="0.3">
      <c r="A6593" s="34">
        <v>50349</v>
      </c>
      <c r="B6593" s="35">
        <v>1</v>
      </c>
      <c r="C6593" s="35">
        <v>0</v>
      </c>
      <c r="D6593" s="2">
        <f t="shared" si="102"/>
        <v>1</v>
      </c>
    </row>
    <row r="6594" spans="1:4" x14ac:dyDescent="0.3">
      <c r="A6594" s="34">
        <v>50350</v>
      </c>
      <c r="B6594" s="35">
        <v>1</v>
      </c>
      <c r="C6594" s="35">
        <v>0</v>
      </c>
      <c r="D6594" s="2">
        <f t="shared" si="102"/>
        <v>1</v>
      </c>
    </row>
    <row r="6595" spans="1:4" x14ac:dyDescent="0.3">
      <c r="A6595" s="34">
        <v>50354</v>
      </c>
      <c r="B6595" s="35">
        <v>1</v>
      </c>
      <c r="C6595" s="35">
        <v>1</v>
      </c>
      <c r="D6595" s="2">
        <f t="shared" ref="D6595:D6658" si="103">B6595+C6595</f>
        <v>2</v>
      </c>
    </row>
    <row r="6596" spans="1:4" x14ac:dyDescent="0.3">
      <c r="A6596" s="34">
        <v>50359</v>
      </c>
      <c r="B6596" s="35">
        <v>1</v>
      </c>
      <c r="C6596" s="35">
        <v>0</v>
      </c>
      <c r="D6596" s="2">
        <f t="shared" si="103"/>
        <v>1</v>
      </c>
    </row>
    <row r="6597" spans="1:4" x14ac:dyDescent="0.3">
      <c r="A6597" s="34">
        <v>50362</v>
      </c>
      <c r="B6597" s="35">
        <v>1</v>
      </c>
      <c r="C6597" s="35">
        <v>1</v>
      </c>
      <c r="D6597" s="2">
        <f t="shared" si="103"/>
        <v>2</v>
      </c>
    </row>
    <row r="6598" spans="1:4" x14ac:dyDescent="0.3">
      <c r="A6598" s="34">
        <v>50364</v>
      </c>
      <c r="B6598" s="35">
        <v>1</v>
      </c>
      <c r="C6598" s="35">
        <v>0</v>
      </c>
      <c r="D6598" s="2">
        <f t="shared" si="103"/>
        <v>1</v>
      </c>
    </row>
    <row r="6599" spans="1:4" x14ac:dyDescent="0.3">
      <c r="A6599" s="34">
        <v>50369</v>
      </c>
      <c r="B6599" s="35">
        <v>1</v>
      </c>
      <c r="C6599" s="35">
        <v>0</v>
      </c>
      <c r="D6599" s="2">
        <f t="shared" si="103"/>
        <v>1</v>
      </c>
    </row>
    <row r="6600" spans="1:4" x14ac:dyDescent="0.3">
      <c r="A6600" s="34">
        <v>50373</v>
      </c>
      <c r="B6600" s="35">
        <v>1</v>
      </c>
      <c r="C6600" s="35">
        <v>0</v>
      </c>
      <c r="D6600" s="2">
        <f t="shared" si="103"/>
        <v>1</v>
      </c>
    </row>
    <row r="6601" spans="1:4" x14ac:dyDescent="0.3">
      <c r="A6601" s="34">
        <v>50380</v>
      </c>
      <c r="B6601" s="35">
        <v>1</v>
      </c>
      <c r="C6601" s="35">
        <v>1</v>
      </c>
      <c r="D6601" s="2">
        <f t="shared" si="103"/>
        <v>2</v>
      </c>
    </row>
    <row r="6602" spans="1:4" x14ac:dyDescent="0.3">
      <c r="A6602" s="34">
        <v>50382</v>
      </c>
      <c r="B6602" s="35">
        <v>1</v>
      </c>
      <c r="C6602" s="35">
        <v>0</v>
      </c>
      <c r="D6602" s="2">
        <f t="shared" si="103"/>
        <v>1</v>
      </c>
    </row>
    <row r="6603" spans="1:4" x14ac:dyDescent="0.3">
      <c r="A6603" s="34">
        <v>50384</v>
      </c>
      <c r="B6603" s="35">
        <v>1</v>
      </c>
      <c r="C6603" s="35">
        <v>0</v>
      </c>
      <c r="D6603" s="2">
        <f t="shared" si="103"/>
        <v>1</v>
      </c>
    </row>
    <row r="6604" spans="1:4" x14ac:dyDescent="0.3">
      <c r="A6604" s="34">
        <v>50385</v>
      </c>
      <c r="B6604" s="35">
        <v>1</v>
      </c>
      <c r="C6604" s="35">
        <v>0</v>
      </c>
      <c r="D6604" s="2">
        <f t="shared" si="103"/>
        <v>1</v>
      </c>
    </row>
    <row r="6605" spans="1:4" x14ac:dyDescent="0.3">
      <c r="A6605" s="34">
        <v>50390</v>
      </c>
      <c r="B6605" s="35">
        <v>1</v>
      </c>
      <c r="C6605" s="35">
        <v>0</v>
      </c>
      <c r="D6605" s="2">
        <f t="shared" si="103"/>
        <v>1</v>
      </c>
    </row>
    <row r="6606" spans="1:4" x14ac:dyDescent="0.3">
      <c r="A6606" s="34">
        <v>50392</v>
      </c>
      <c r="B6606" s="35">
        <v>1</v>
      </c>
      <c r="C6606" s="35">
        <v>0</v>
      </c>
      <c r="D6606" s="2">
        <f t="shared" si="103"/>
        <v>1</v>
      </c>
    </row>
    <row r="6607" spans="1:4" x14ac:dyDescent="0.3">
      <c r="A6607" s="34">
        <v>50393</v>
      </c>
      <c r="B6607" s="35">
        <v>1</v>
      </c>
      <c r="C6607" s="35">
        <v>0</v>
      </c>
      <c r="D6607" s="2">
        <f t="shared" si="103"/>
        <v>1</v>
      </c>
    </row>
    <row r="6608" spans="1:4" x14ac:dyDescent="0.3">
      <c r="A6608" s="34">
        <v>50395</v>
      </c>
      <c r="B6608" s="35">
        <v>1</v>
      </c>
      <c r="C6608" s="35">
        <v>0</v>
      </c>
      <c r="D6608" s="2">
        <f t="shared" si="103"/>
        <v>1</v>
      </c>
    </row>
    <row r="6609" spans="1:4" x14ac:dyDescent="0.3">
      <c r="A6609" s="34">
        <v>50400</v>
      </c>
      <c r="B6609" s="35">
        <v>1</v>
      </c>
      <c r="C6609" s="35">
        <v>0</v>
      </c>
      <c r="D6609" s="2">
        <f t="shared" si="103"/>
        <v>1</v>
      </c>
    </row>
    <row r="6610" spans="1:4" x14ac:dyDescent="0.3">
      <c r="A6610" s="34">
        <v>50401</v>
      </c>
      <c r="B6610" s="35">
        <v>1</v>
      </c>
      <c r="C6610" s="35">
        <v>0</v>
      </c>
      <c r="D6610" s="2">
        <f t="shared" si="103"/>
        <v>1</v>
      </c>
    </row>
    <row r="6611" spans="1:4" x14ac:dyDescent="0.3">
      <c r="A6611" s="34">
        <v>50402</v>
      </c>
      <c r="B6611" s="35">
        <v>1</v>
      </c>
      <c r="C6611" s="35">
        <v>0</v>
      </c>
      <c r="D6611" s="2">
        <f t="shared" si="103"/>
        <v>1</v>
      </c>
    </row>
    <row r="6612" spans="1:4" x14ac:dyDescent="0.3">
      <c r="A6612" s="34">
        <v>50404</v>
      </c>
      <c r="B6612" s="35">
        <v>1</v>
      </c>
      <c r="C6612" s="35">
        <v>0</v>
      </c>
      <c r="D6612" s="2">
        <f t="shared" si="103"/>
        <v>1</v>
      </c>
    </row>
    <row r="6613" spans="1:4" x14ac:dyDescent="0.3">
      <c r="A6613" s="34">
        <v>50406</v>
      </c>
      <c r="B6613" s="35">
        <v>1</v>
      </c>
      <c r="C6613" s="35">
        <v>0</v>
      </c>
      <c r="D6613" s="2">
        <f t="shared" si="103"/>
        <v>1</v>
      </c>
    </row>
    <row r="6614" spans="1:4" x14ac:dyDescent="0.3">
      <c r="A6614" s="34">
        <v>50408</v>
      </c>
      <c r="B6614" s="35">
        <v>1</v>
      </c>
      <c r="C6614" s="35">
        <v>0</v>
      </c>
      <c r="D6614" s="2">
        <f t="shared" si="103"/>
        <v>1</v>
      </c>
    </row>
    <row r="6615" spans="1:4" x14ac:dyDescent="0.3">
      <c r="A6615" s="34">
        <v>50409</v>
      </c>
      <c r="B6615" s="35">
        <v>1</v>
      </c>
      <c r="C6615" s="35">
        <v>0</v>
      </c>
      <c r="D6615" s="2">
        <f t="shared" si="103"/>
        <v>1</v>
      </c>
    </row>
    <row r="6616" spans="1:4" x14ac:dyDescent="0.3">
      <c r="A6616" s="34">
        <v>50411</v>
      </c>
      <c r="B6616" s="35">
        <v>1</v>
      </c>
      <c r="C6616" s="35">
        <v>1</v>
      </c>
      <c r="D6616" s="2">
        <f t="shared" si="103"/>
        <v>2</v>
      </c>
    </row>
    <row r="6617" spans="1:4" x14ac:dyDescent="0.3">
      <c r="A6617" s="34">
        <v>50417</v>
      </c>
      <c r="B6617" s="35">
        <v>1</v>
      </c>
      <c r="C6617" s="35">
        <v>0</v>
      </c>
      <c r="D6617" s="2">
        <f t="shared" si="103"/>
        <v>1</v>
      </c>
    </row>
    <row r="6618" spans="1:4" x14ac:dyDescent="0.3">
      <c r="A6618" s="34">
        <v>50444</v>
      </c>
      <c r="B6618" s="35">
        <v>1</v>
      </c>
      <c r="C6618" s="35">
        <v>0</v>
      </c>
      <c r="D6618" s="2">
        <f t="shared" si="103"/>
        <v>1</v>
      </c>
    </row>
    <row r="6619" spans="1:4" x14ac:dyDescent="0.3">
      <c r="A6619" s="34">
        <v>50445</v>
      </c>
      <c r="B6619" s="35">
        <v>1</v>
      </c>
      <c r="C6619" s="35">
        <v>0</v>
      </c>
      <c r="D6619" s="2">
        <f t="shared" si="103"/>
        <v>1</v>
      </c>
    </row>
    <row r="6620" spans="1:4" x14ac:dyDescent="0.3">
      <c r="A6620" s="34">
        <v>50447</v>
      </c>
      <c r="B6620" s="35">
        <v>1</v>
      </c>
      <c r="C6620" s="35">
        <v>1</v>
      </c>
      <c r="D6620" s="2">
        <f t="shared" si="103"/>
        <v>2</v>
      </c>
    </row>
    <row r="6621" spans="1:4" x14ac:dyDescent="0.3">
      <c r="A6621" s="34">
        <v>50448</v>
      </c>
      <c r="B6621" s="35">
        <v>1</v>
      </c>
      <c r="C6621" s="35">
        <v>0</v>
      </c>
      <c r="D6621" s="2">
        <f t="shared" si="103"/>
        <v>1</v>
      </c>
    </row>
    <row r="6622" spans="1:4" x14ac:dyDescent="0.3">
      <c r="A6622" s="34">
        <v>50450</v>
      </c>
      <c r="B6622" s="35">
        <v>1</v>
      </c>
      <c r="C6622" s="35">
        <v>0</v>
      </c>
      <c r="D6622" s="2">
        <f t="shared" si="103"/>
        <v>1</v>
      </c>
    </row>
    <row r="6623" spans="1:4" x14ac:dyDescent="0.3">
      <c r="A6623" s="34">
        <v>50452</v>
      </c>
      <c r="B6623" s="35">
        <v>1</v>
      </c>
      <c r="C6623" s="35">
        <v>0</v>
      </c>
      <c r="D6623" s="2">
        <f t="shared" si="103"/>
        <v>1</v>
      </c>
    </row>
    <row r="6624" spans="1:4" x14ac:dyDescent="0.3">
      <c r="A6624" s="34">
        <v>50453</v>
      </c>
      <c r="B6624" s="35">
        <v>1</v>
      </c>
      <c r="C6624" s="35">
        <v>0</v>
      </c>
      <c r="D6624" s="2">
        <f t="shared" si="103"/>
        <v>1</v>
      </c>
    </row>
    <row r="6625" spans="1:4" x14ac:dyDescent="0.3">
      <c r="A6625" s="34">
        <v>50459</v>
      </c>
      <c r="B6625" s="35">
        <v>3</v>
      </c>
      <c r="C6625" s="35">
        <v>1</v>
      </c>
      <c r="D6625" s="2">
        <f t="shared" si="103"/>
        <v>4</v>
      </c>
    </row>
    <row r="6626" spans="1:4" x14ac:dyDescent="0.3">
      <c r="A6626" s="34">
        <v>50461</v>
      </c>
      <c r="B6626" s="35">
        <v>1</v>
      </c>
      <c r="C6626" s="35">
        <v>0</v>
      </c>
      <c r="D6626" s="2">
        <f t="shared" si="103"/>
        <v>1</v>
      </c>
    </row>
    <row r="6627" spans="1:4" x14ac:dyDescent="0.3">
      <c r="A6627" s="34">
        <v>50464</v>
      </c>
      <c r="B6627" s="35">
        <v>1</v>
      </c>
      <c r="C6627" s="35">
        <v>0</v>
      </c>
      <c r="D6627" s="2">
        <f t="shared" si="103"/>
        <v>1</v>
      </c>
    </row>
    <row r="6628" spans="1:4" x14ac:dyDescent="0.3">
      <c r="A6628" s="34">
        <v>50465</v>
      </c>
      <c r="B6628" s="35">
        <v>1</v>
      </c>
      <c r="C6628" s="35">
        <v>0</v>
      </c>
      <c r="D6628" s="2">
        <f t="shared" si="103"/>
        <v>1</v>
      </c>
    </row>
    <row r="6629" spans="1:4" x14ac:dyDescent="0.3">
      <c r="A6629" s="34">
        <v>50468</v>
      </c>
      <c r="B6629" s="35">
        <v>1</v>
      </c>
      <c r="C6629" s="35">
        <v>1</v>
      </c>
      <c r="D6629" s="2">
        <f t="shared" si="103"/>
        <v>2</v>
      </c>
    </row>
    <row r="6630" spans="1:4" x14ac:dyDescent="0.3">
      <c r="A6630" s="34">
        <v>50472</v>
      </c>
      <c r="B6630" s="35">
        <v>1</v>
      </c>
      <c r="C6630" s="35">
        <v>0</v>
      </c>
      <c r="D6630" s="2">
        <f t="shared" si="103"/>
        <v>1</v>
      </c>
    </row>
    <row r="6631" spans="1:4" x14ac:dyDescent="0.3">
      <c r="A6631" s="34">
        <v>50481</v>
      </c>
      <c r="B6631" s="35">
        <v>1</v>
      </c>
      <c r="C6631" s="35">
        <v>1</v>
      </c>
      <c r="D6631" s="2">
        <f t="shared" si="103"/>
        <v>2</v>
      </c>
    </row>
    <row r="6632" spans="1:4" x14ac:dyDescent="0.3">
      <c r="A6632" s="34">
        <v>50483</v>
      </c>
      <c r="B6632" s="35">
        <v>1</v>
      </c>
      <c r="C6632" s="35">
        <v>0</v>
      </c>
      <c r="D6632" s="2">
        <f t="shared" si="103"/>
        <v>1</v>
      </c>
    </row>
    <row r="6633" spans="1:4" x14ac:dyDescent="0.3">
      <c r="A6633" s="34">
        <v>50484</v>
      </c>
      <c r="B6633" s="35">
        <v>1</v>
      </c>
      <c r="C6633" s="35">
        <v>0</v>
      </c>
      <c r="D6633" s="2">
        <f t="shared" si="103"/>
        <v>1</v>
      </c>
    </row>
    <row r="6634" spans="1:4" x14ac:dyDescent="0.3">
      <c r="A6634" s="34">
        <v>50485</v>
      </c>
      <c r="B6634" s="35">
        <v>1</v>
      </c>
      <c r="C6634" s="35">
        <v>0</v>
      </c>
      <c r="D6634" s="2">
        <f t="shared" si="103"/>
        <v>1</v>
      </c>
    </row>
    <row r="6635" spans="1:4" x14ac:dyDescent="0.3">
      <c r="A6635" s="34">
        <v>50487</v>
      </c>
      <c r="B6635" s="35">
        <v>1</v>
      </c>
      <c r="C6635" s="35">
        <v>0</v>
      </c>
      <c r="D6635" s="2">
        <f t="shared" si="103"/>
        <v>1</v>
      </c>
    </row>
    <row r="6636" spans="1:4" x14ac:dyDescent="0.3">
      <c r="A6636" s="34">
        <v>50490</v>
      </c>
      <c r="B6636" s="35">
        <v>1</v>
      </c>
      <c r="C6636" s="35">
        <v>1</v>
      </c>
      <c r="D6636" s="2">
        <f t="shared" si="103"/>
        <v>2</v>
      </c>
    </row>
    <row r="6637" spans="1:4" x14ac:dyDescent="0.3">
      <c r="A6637" s="34">
        <v>50492</v>
      </c>
      <c r="B6637" s="35">
        <v>1</v>
      </c>
      <c r="C6637" s="35">
        <v>0</v>
      </c>
      <c r="D6637" s="2">
        <f t="shared" si="103"/>
        <v>1</v>
      </c>
    </row>
    <row r="6638" spans="1:4" x14ac:dyDescent="0.3">
      <c r="A6638" s="34">
        <v>50497</v>
      </c>
      <c r="B6638" s="35">
        <v>1</v>
      </c>
      <c r="C6638" s="35">
        <v>0</v>
      </c>
      <c r="D6638" s="2">
        <f t="shared" si="103"/>
        <v>1</v>
      </c>
    </row>
    <row r="6639" spans="1:4" x14ac:dyDescent="0.3">
      <c r="A6639" s="34">
        <v>50498</v>
      </c>
      <c r="B6639" s="35">
        <v>1</v>
      </c>
      <c r="C6639" s="35">
        <v>1</v>
      </c>
      <c r="D6639" s="2">
        <f t="shared" si="103"/>
        <v>2</v>
      </c>
    </row>
    <row r="6640" spans="1:4" x14ac:dyDescent="0.3">
      <c r="A6640" s="34">
        <v>50501</v>
      </c>
      <c r="B6640" s="35">
        <v>1</v>
      </c>
      <c r="C6640" s="35">
        <v>0</v>
      </c>
      <c r="D6640" s="2">
        <f t="shared" si="103"/>
        <v>1</v>
      </c>
    </row>
    <row r="6641" spans="1:4" x14ac:dyDescent="0.3">
      <c r="A6641" s="34">
        <v>50502</v>
      </c>
      <c r="B6641" s="35">
        <v>1</v>
      </c>
      <c r="C6641" s="35">
        <v>0</v>
      </c>
      <c r="D6641" s="2">
        <f t="shared" si="103"/>
        <v>1</v>
      </c>
    </row>
    <row r="6642" spans="1:4" x14ac:dyDescent="0.3">
      <c r="A6642" s="34">
        <v>50504</v>
      </c>
      <c r="B6642" s="35">
        <v>1</v>
      </c>
      <c r="C6642" s="35">
        <v>0</v>
      </c>
      <c r="D6642" s="2">
        <f t="shared" si="103"/>
        <v>1</v>
      </c>
    </row>
    <row r="6643" spans="1:4" x14ac:dyDescent="0.3">
      <c r="A6643" s="34">
        <v>50506</v>
      </c>
      <c r="B6643" s="35">
        <v>2</v>
      </c>
      <c r="C6643" s="35">
        <v>1</v>
      </c>
      <c r="D6643" s="2">
        <f t="shared" si="103"/>
        <v>3</v>
      </c>
    </row>
    <row r="6644" spans="1:4" x14ac:dyDescent="0.3">
      <c r="A6644" s="34">
        <v>50512</v>
      </c>
      <c r="B6644" s="35">
        <v>1</v>
      </c>
      <c r="C6644" s="35">
        <v>0</v>
      </c>
      <c r="D6644" s="2">
        <f t="shared" si="103"/>
        <v>1</v>
      </c>
    </row>
    <row r="6645" spans="1:4" x14ac:dyDescent="0.3">
      <c r="A6645" s="34">
        <v>50515</v>
      </c>
      <c r="B6645" s="35">
        <v>2</v>
      </c>
      <c r="C6645" s="35">
        <v>1</v>
      </c>
      <c r="D6645" s="2">
        <f t="shared" si="103"/>
        <v>3</v>
      </c>
    </row>
    <row r="6646" spans="1:4" x14ac:dyDescent="0.3">
      <c r="A6646" s="34">
        <v>50523</v>
      </c>
      <c r="B6646" s="35">
        <v>1</v>
      </c>
      <c r="C6646" s="35">
        <v>0</v>
      </c>
      <c r="D6646" s="2">
        <f t="shared" si="103"/>
        <v>1</v>
      </c>
    </row>
    <row r="6647" spans="1:4" x14ac:dyDescent="0.3">
      <c r="A6647" s="34">
        <v>50524</v>
      </c>
      <c r="B6647" s="35">
        <v>1</v>
      </c>
      <c r="C6647" s="35">
        <v>0</v>
      </c>
      <c r="D6647" s="2">
        <f t="shared" si="103"/>
        <v>1</v>
      </c>
    </row>
    <row r="6648" spans="1:4" x14ac:dyDescent="0.3">
      <c r="A6648" s="34">
        <v>50527</v>
      </c>
      <c r="B6648" s="35">
        <v>1</v>
      </c>
      <c r="C6648" s="35">
        <v>0</v>
      </c>
      <c r="D6648" s="2">
        <f t="shared" si="103"/>
        <v>1</v>
      </c>
    </row>
    <row r="6649" spans="1:4" x14ac:dyDescent="0.3">
      <c r="A6649" s="34">
        <v>50529</v>
      </c>
      <c r="B6649" s="35">
        <v>1</v>
      </c>
      <c r="C6649" s="35">
        <v>0</v>
      </c>
      <c r="D6649" s="2">
        <f t="shared" si="103"/>
        <v>1</v>
      </c>
    </row>
    <row r="6650" spans="1:4" x14ac:dyDescent="0.3">
      <c r="A6650" s="34">
        <v>50532</v>
      </c>
      <c r="B6650" s="35">
        <v>1</v>
      </c>
      <c r="C6650" s="35">
        <v>0</v>
      </c>
      <c r="D6650" s="2">
        <f t="shared" si="103"/>
        <v>1</v>
      </c>
    </row>
    <row r="6651" spans="1:4" x14ac:dyDescent="0.3">
      <c r="A6651" s="34">
        <v>50538</v>
      </c>
      <c r="B6651" s="35">
        <v>1</v>
      </c>
      <c r="C6651" s="35">
        <v>0</v>
      </c>
      <c r="D6651" s="2">
        <f t="shared" si="103"/>
        <v>1</v>
      </c>
    </row>
    <row r="6652" spans="1:4" x14ac:dyDescent="0.3">
      <c r="A6652" s="34">
        <v>50539</v>
      </c>
      <c r="B6652" s="35">
        <v>1</v>
      </c>
      <c r="C6652" s="35">
        <v>0</v>
      </c>
      <c r="D6652" s="2">
        <f t="shared" si="103"/>
        <v>1</v>
      </c>
    </row>
    <row r="6653" spans="1:4" x14ac:dyDescent="0.3">
      <c r="A6653" s="34">
        <v>50544</v>
      </c>
      <c r="B6653" s="35">
        <v>2</v>
      </c>
      <c r="C6653" s="35">
        <v>1</v>
      </c>
      <c r="D6653" s="2">
        <f t="shared" si="103"/>
        <v>3</v>
      </c>
    </row>
    <row r="6654" spans="1:4" x14ac:dyDescent="0.3">
      <c r="A6654" s="34">
        <v>50545</v>
      </c>
      <c r="B6654" s="35">
        <v>1</v>
      </c>
      <c r="C6654" s="35">
        <v>1</v>
      </c>
      <c r="D6654" s="2">
        <f t="shared" si="103"/>
        <v>2</v>
      </c>
    </row>
    <row r="6655" spans="1:4" x14ac:dyDescent="0.3">
      <c r="A6655" s="34">
        <v>50574</v>
      </c>
      <c r="B6655" s="35">
        <v>1</v>
      </c>
      <c r="C6655" s="35">
        <v>0</v>
      </c>
      <c r="D6655" s="2">
        <f t="shared" si="103"/>
        <v>1</v>
      </c>
    </row>
    <row r="6656" spans="1:4" x14ac:dyDescent="0.3">
      <c r="A6656" s="34">
        <v>50575</v>
      </c>
      <c r="B6656" s="35">
        <v>1</v>
      </c>
      <c r="C6656" s="35">
        <v>0</v>
      </c>
      <c r="D6656" s="2">
        <f t="shared" si="103"/>
        <v>1</v>
      </c>
    </row>
    <row r="6657" spans="1:4" x14ac:dyDescent="0.3">
      <c r="A6657" s="34">
        <v>50578</v>
      </c>
      <c r="B6657" s="35">
        <v>1</v>
      </c>
      <c r="C6657" s="35">
        <v>0</v>
      </c>
      <c r="D6657" s="2">
        <f t="shared" si="103"/>
        <v>1</v>
      </c>
    </row>
    <row r="6658" spans="1:4" x14ac:dyDescent="0.3">
      <c r="A6658" s="34">
        <v>50579</v>
      </c>
      <c r="B6658" s="35">
        <v>1</v>
      </c>
      <c r="C6658" s="35">
        <v>0</v>
      </c>
      <c r="D6658" s="2">
        <f t="shared" si="103"/>
        <v>1</v>
      </c>
    </row>
    <row r="6659" spans="1:4" x14ac:dyDescent="0.3">
      <c r="A6659" s="34">
        <v>50581</v>
      </c>
      <c r="B6659" s="35">
        <v>1</v>
      </c>
      <c r="C6659" s="35">
        <v>0</v>
      </c>
      <c r="D6659" s="2">
        <f t="shared" ref="D6659:D6722" si="104">B6659+C6659</f>
        <v>1</v>
      </c>
    </row>
    <row r="6660" spans="1:4" x14ac:dyDescent="0.3">
      <c r="A6660" s="34">
        <v>50582</v>
      </c>
      <c r="B6660" s="35">
        <v>1</v>
      </c>
      <c r="C6660" s="35">
        <v>0</v>
      </c>
      <c r="D6660" s="2">
        <f t="shared" si="104"/>
        <v>1</v>
      </c>
    </row>
    <row r="6661" spans="1:4" x14ac:dyDescent="0.3">
      <c r="A6661" s="34">
        <v>50585</v>
      </c>
      <c r="B6661" s="35">
        <v>2</v>
      </c>
      <c r="C6661" s="35">
        <v>0</v>
      </c>
      <c r="D6661" s="2">
        <f t="shared" si="104"/>
        <v>2</v>
      </c>
    </row>
    <row r="6662" spans="1:4" x14ac:dyDescent="0.3">
      <c r="A6662" s="34">
        <v>50586</v>
      </c>
      <c r="B6662" s="35">
        <v>1</v>
      </c>
      <c r="C6662" s="35">
        <v>1</v>
      </c>
      <c r="D6662" s="2">
        <f t="shared" si="104"/>
        <v>2</v>
      </c>
    </row>
    <row r="6663" spans="1:4" x14ac:dyDescent="0.3">
      <c r="A6663" s="34">
        <v>50590</v>
      </c>
      <c r="B6663" s="35">
        <v>1</v>
      </c>
      <c r="C6663" s="35">
        <v>0</v>
      </c>
      <c r="D6663" s="2">
        <f t="shared" si="104"/>
        <v>1</v>
      </c>
    </row>
    <row r="6664" spans="1:4" x14ac:dyDescent="0.3">
      <c r="A6664" s="34">
        <v>50594</v>
      </c>
      <c r="B6664" s="35">
        <v>1</v>
      </c>
      <c r="C6664" s="35">
        <v>0</v>
      </c>
      <c r="D6664" s="2">
        <f t="shared" si="104"/>
        <v>1</v>
      </c>
    </row>
    <row r="6665" spans="1:4" x14ac:dyDescent="0.3">
      <c r="A6665" s="34">
        <v>50595</v>
      </c>
      <c r="B6665" s="35">
        <v>1</v>
      </c>
      <c r="C6665" s="35">
        <v>0</v>
      </c>
      <c r="D6665" s="2">
        <f t="shared" si="104"/>
        <v>1</v>
      </c>
    </row>
    <row r="6666" spans="1:4" x14ac:dyDescent="0.3">
      <c r="A6666" s="34">
        <v>50596</v>
      </c>
      <c r="B6666" s="35">
        <v>1</v>
      </c>
      <c r="C6666" s="35">
        <v>0</v>
      </c>
      <c r="D6666" s="2">
        <f t="shared" si="104"/>
        <v>1</v>
      </c>
    </row>
    <row r="6667" spans="1:4" x14ac:dyDescent="0.3">
      <c r="A6667" s="34">
        <v>50597</v>
      </c>
      <c r="B6667" s="35">
        <v>1</v>
      </c>
      <c r="C6667" s="35">
        <v>0</v>
      </c>
      <c r="D6667" s="2">
        <f t="shared" si="104"/>
        <v>1</v>
      </c>
    </row>
    <row r="6668" spans="1:4" x14ac:dyDescent="0.3">
      <c r="A6668" s="34">
        <v>50598</v>
      </c>
      <c r="B6668" s="35">
        <v>1</v>
      </c>
      <c r="C6668" s="35">
        <v>0</v>
      </c>
      <c r="D6668" s="2">
        <f t="shared" si="104"/>
        <v>1</v>
      </c>
    </row>
    <row r="6669" spans="1:4" x14ac:dyDescent="0.3">
      <c r="A6669" s="34">
        <v>50603</v>
      </c>
      <c r="B6669" s="35">
        <v>1</v>
      </c>
      <c r="C6669" s="35">
        <v>0</v>
      </c>
      <c r="D6669" s="2">
        <f t="shared" si="104"/>
        <v>1</v>
      </c>
    </row>
    <row r="6670" spans="1:4" x14ac:dyDescent="0.3">
      <c r="A6670" s="34">
        <v>50606</v>
      </c>
      <c r="B6670" s="35">
        <v>1</v>
      </c>
      <c r="C6670" s="35">
        <v>0</v>
      </c>
      <c r="D6670" s="2">
        <f t="shared" si="104"/>
        <v>1</v>
      </c>
    </row>
    <row r="6671" spans="1:4" x14ac:dyDescent="0.3">
      <c r="A6671" s="34">
        <v>50609</v>
      </c>
      <c r="B6671" s="35">
        <v>1</v>
      </c>
      <c r="C6671" s="35">
        <v>0</v>
      </c>
      <c r="D6671" s="2">
        <f t="shared" si="104"/>
        <v>1</v>
      </c>
    </row>
    <row r="6672" spans="1:4" x14ac:dyDescent="0.3">
      <c r="A6672" s="34">
        <v>50610</v>
      </c>
      <c r="B6672" s="35">
        <v>1</v>
      </c>
      <c r="C6672" s="35">
        <v>1</v>
      </c>
      <c r="D6672" s="2">
        <f t="shared" si="104"/>
        <v>2</v>
      </c>
    </row>
    <row r="6673" spans="1:4" x14ac:dyDescent="0.3">
      <c r="A6673" s="34">
        <v>50612</v>
      </c>
      <c r="B6673" s="35">
        <v>1</v>
      </c>
      <c r="C6673" s="35">
        <v>0</v>
      </c>
      <c r="D6673" s="2">
        <f t="shared" si="104"/>
        <v>1</v>
      </c>
    </row>
    <row r="6674" spans="1:4" x14ac:dyDescent="0.3">
      <c r="A6674" s="34">
        <v>50614</v>
      </c>
      <c r="B6674" s="35">
        <v>1</v>
      </c>
      <c r="C6674" s="35">
        <v>0</v>
      </c>
      <c r="D6674" s="2">
        <f t="shared" si="104"/>
        <v>1</v>
      </c>
    </row>
    <row r="6675" spans="1:4" x14ac:dyDescent="0.3">
      <c r="A6675" s="34">
        <v>50615</v>
      </c>
      <c r="B6675" s="35">
        <v>1</v>
      </c>
      <c r="C6675" s="35">
        <v>0</v>
      </c>
      <c r="D6675" s="2">
        <f t="shared" si="104"/>
        <v>1</v>
      </c>
    </row>
    <row r="6676" spans="1:4" x14ac:dyDescent="0.3">
      <c r="A6676" s="34">
        <v>50617</v>
      </c>
      <c r="B6676" s="35">
        <v>1</v>
      </c>
      <c r="C6676" s="35">
        <v>0</v>
      </c>
      <c r="D6676" s="2">
        <f t="shared" si="104"/>
        <v>1</v>
      </c>
    </row>
    <row r="6677" spans="1:4" x14ac:dyDescent="0.3">
      <c r="A6677" s="34">
        <v>50620</v>
      </c>
      <c r="B6677" s="35">
        <v>1</v>
      </c>
      <c r="C6677" s="35">
        <v>0</v>
      </c>
      <c r="D6677" s="2">
        <f t="shared" si="104"/>
        <v>1</v>
      </c>
    </row>
    <row r="6678" spans="1:4" x14ac:dyDescent="0.3">
      <c r="A6678" s="34">
        <v>50621</v>
      </c>
      <c r="B6678" s="35">
        <v>1</v>
      </c>
      <c r="C6678" s="35">
        <v>0</v>
      </c>
      <c r="D6678" s="2">
        <f t="shared" si="104"/>
        <v>1</v>
      </c>
    </row>
    <row r="6679" spans="1:4" x14ac:dyDescent="0.3">
      <c r="A6679" s="34">
        <v>50622</v>
      </c>
      <c r="B6679" s="35">
        <v>1</v>
      </c>
      <c r="C6679" s="35">
        <v>0</v>
      </c>
      <c r="D6679" s="2">
        <f t="shared" si="104"/>
        <v>1</v>
      </c>
    </row>
    <row r="6680" spans="1:4" x14ac:dyDescent="0.3">
      <c r="A6680" s="34">
        <v>50623</v>
      </c>
      <c r="B6680" s="35">
        <v>1</v>
      </c>
      <c r="C6680" s="35">
        <v>0</v>
      </c>
      <c r="D6680" s="2">
        <f t="shared" si="104"/>
        <v>1</v>
      </c>
    </row>
    <row r="6681" spans="1:4" x14ac:dyDescent="0.3">
      <c r="A6681" s="34">
        <v>50626</v>
      </c>
      <c r="B6681" s="35">
        <v>1</v>
      </c>
      <c r="C6681" s="35">
        <v>0</v>
      </c>
      <c r="D6681" s="2">
        <f t="shared" si="104"/>
        <v>1</v>
      </c>
    </row>
    <row r="6682" spans="1:4" x14ac:dyDescent="0.3">
      <c r="A6682" s="34">
        <v>50628</v>
      </c>
      <c r="B6682" s="35">
        <v>1</v>
      </c>
      <c r="C6682" s="35">
        <v>0</v>
      </c>
      <c r="D6682" s="2">
        <f t="shared" si="104"/>
        <v>1</v>
      </c>
    </row>
    <row r="6683" spans="1:4" x14ac:dyDescent="0.3">
      <c r="A6683" s="34">
        <v>50630</v>
      </c>
      <c r="B6683" s="35">
        <v>1</v>
      </c>
      <c r="C6683" s="35">
        <v>0</v>
      </c>
      <c r="D6683" s="2">
        <f t="shared" si="104"/>
        <v>1</v>
      </c>
    </row>
    <row r="6684" spans="1:4" x14ac:dyDescent="0.3">
      <c r="A6684" s="34">
        <v>50632</v>
      </c>
      <c r="B6684" s="35">
        <v>1</v>
      </c>
      <c r="C6684" s="35">
        <v>0</v>
      </c>
      <c r="D6684" s="2">
        <f t="shared" si="104"/>
        <v>1</v>
      </c>
    </row>
    <row r="6685" spans="1:4" x14ac:dyDescent="0.3">
      <c r="A6685" s="34">
        <v>50633</v>
      </c>
      <c r="B6685" s="35">
        <v>1</v>
      </c>
      <c r="C6685" s="35">
        <v>1</v>
      </c>
      <c r="D6685" s="2">
        <f t="shared" si="104"/>
        <v>2</v>
      </c>
    </row>
    <row r="6686" spans="1:4" x14ac:dyDescent="0.3">
      <c r="A6686" s="34">
        <v>50638</v>
      </c>
      <c r="B6686" s="35">
        <v>1</v>
      </c>
      <c r="C6686" s="35">
        <v>0</v>
      </c>
      <c r="D6686" s="2">
        <f t="shared" si="104"/>
        <v>1</v>
      </c>
    </row>
    <row r="6687" spans="1:4" x14ac:dyDescent="0.3">
      <c r="A6687" s="34">
        <v>50645</v>
      </c>
      <c r="B6687" s="35">
        <v>1</v>
      </c>
      <c r="C6687" s="35">
        <v>0</v>
      </c>
      <c r="D6687" s="2">
        <f t="shared" si="104"/>
        <v>1</v>
      </c>
    </row>
    <row r="6688" spans="1:4" x14ac:dyDescent="0.3">
      <c r="A6688" s="34">
        <v>50671</v>
      </c>
      <c r="B6688" s="35">
        <v>1</v>
      </c>
      <c r="C6688" s="35">
        <v>0</v>
      </c>
      <c r="D6688" s="2">
        <f t="shared" si="104"/>
        <v>1</v>
      </c>
    </row>
    <row r="6689" spans="1:4" x14ac:dyDescent="0.3">
      <c r="A6689" s="34">
        <v>50674</v>
      </c>
      <c r="B6689" s="35">
        <v>1</v>
      </c>
      <c r="C6689" s="35">
        <v>0</v>
      </c>
      <c r="D6689" s="2">
        <f t="shared" si="104"/>
        <v>1</v>
      </c>
    </row>
    <row r="6690" spans="1:4" x14ac:dyDescent="0.3">
      <c r="A6690" s="34">
        <v>50675</v>
      </c>
      <c r="B6690" s="35">
        <v>1</v>
      </c>
      <c r="C6690" s="35">
        <v>1</v>
      </c>
      <c r="D6690" s="2">
        <f t="shared" si="104"/>
        <v>2</v>
      </c>
    </row>
    <row r="6691" spans="1:4" x14ac:dyDescent="0.3">
      <c r="A6691" s="34">
        <v>50677</v>
      </c>
      <c r="B6691" s="35">
        <v>1</v>
      </c>
      <c r="C6691" s="35">
        <v>0</v>
      </c>
      <c r="D6691" s="2">
        <f t="shared" si="104"/>
        <v>1</v>
      </c>
    </row>
    <row r="6692" spans="1:4" x14ac:dyDescent="0.3">
      <c r="A6692" s="34">
        <v>50683</v>
      </c>
      <c r="B6692" s="35">
        <v>3</v>
      </c>
      <c r="C6692" s="35">
        <v>0</v>
      </c>
      <c r="D6692" s="2">
        <f t="shared" si="104"/>
        <v>3</v>
      </c>
    </row>
    <row r="6693" spans="1:4" x14ac:dyDescent="0.3">
      <c r="A6693" s="34">
        <v>50685</v>
      </c>
      <c r="B6693" s="35">
        <v>1</v>
      </c>
      <c r="C6693" s="35">
        <v>0</v>
      </c>
      <c r="D6693" s="2">
        <f t="shared" si="104"/>
        <v>1</v>
      </c>
    </row>
    <row r="6694" spans="1:4" x14ac:dyDescent="0.3">
      <c r="A6694" s="34">
        <v>50704</v>
      </c>
      <c r="B6694" s="35">
        <v>1</v>
      </c>
      <c r="C6694" s="35">
        <v>0</v>
      </c>
      <c r="D6694" s="2">
        <f t="shared" si="104"/>
        <v>1</v>
      </c>
    </row>
    <row r="6695" spans="1:4" x14ac:dyDescent="0.3">
      <c r="A6695" s="34">
        <v>50705</v>
      </c>
      <c r="B6695" s="35">
        <v>1</v>
      </c>
      <c r="C6695" s="35">
        <v>0</v>
      </c>
      <c r="D6695" s="2">
        <f t="shared" si="104"/>
        <v>1</v>
      </c>
    </row>
    <row r="6696" spans="1:4" x14ac:dyDescent="0.3">
      <c r="A6696" s="34">
        <v>50706</v>
      </c>
      <c r="B6696" s="35">
        <v>1</v>
      </c>
      <c r="C6696" s="35">
        <v>1</v>
      </c>
      <c r="D6696" s="2">
        <f t="shared" si="104"/>
        <v>2</v>
      </c>
    </row>
    <row r="6697" spans="1:4" x14ac:dyDescent="0.3">
      <c r="A6697" s="34">
        <v>50708</v>
      </c>
      <c r="B6697" s="35">
        <v>1</v>
      </c>
      <c r="C6697" s="35">
        <v>0</v>
      </c>
      <c r="D6697" s="2">
        <f t="shared" si="104"/>
        <v>1</v>
      </c>
    </row>
    <row r="6698" spans="1:4" x14ac:dyDescent="0.3">
      <c r="A6698" s="34">
        <v>50711</v>
      </c>
      <c r="B6698" s="35">
        <v>1</v>
      </c>
      <c r="C6698" s="35">
        <v>0</v>
      </c>
      <c r="D6698" s="2">
        <f t="shared" si="104"/>
        <v>1</v>
      </c>
    </row>
    <row r="6699" spans="1:4" x14ac:dyDescent="0.3">
      <c r="A6699" s="34">
        <v>50714</v>
      </c>
      <c r="B6699" s="35">
        <v>2</v>
      </c>
      <c r="C6699" s="35">
        <v>0</v>
      </c>
      <c r="D6699" s="2">
        <f t="shared" si="104"/>
        <v>2</v>
      </c>
    </row>
    <row r="6700" spans="1:4" x14ac:dyDescent="0.3">
      <c r="A6700" s="34">
        <v>50716</v>
      </c>
      <c r="B6700" s="35">
        <v>1</v>
      </c>
      <c r="C6700" s="35">
        <v>1</v>
      </c>
      <c r="D6700" s="2">
        <f t="shared" si="104"/>
        <v>2</v>
      </c>
    </row>
    <row r="6701" spans="1:4" x14ac:dyDescent="0.3">
      <c r="A6701" s="34">
        <v>50719</v>
      </c>
      <c r="B6701" s="35">
        <v>2</v>
      </c>
      <c r="C6701" s="35">
        <v>1</v>
      </c>
      <c r="D6701" s="2">
        <f t="shared" si="104"/>
        <v>3</v>
      </c>
    </row>
    <row r="6702" spans="1:4" x14ac:dyDescent="0.3">
      <c r="A6702" s="34">
        <v>50720</v>
      </c>
      <c r="B6702" s="35">
        <v>1</v>
      </c>
      <c r="C6702" s="35">
        <v>0</v>
      </c>
      <c r="D6702" s="2">
        <f t="shared" si="104"/>
        <v>1</v>
      </c>
    </row>
    <row r="6703" spans="1:4" x14ac:dyDescent="0.3">
      <c r="A6703" s="34">
        <v>50722</v>
      </c>
      <c r="B6703" s="35">
        <v>1</v>
      </c>
      <c r="C6703" s="35">
        <v>0</v>
      </c>
      <c r="D6703" s="2">
        <f t="shared" si="104"/>
        <v>1</v>
      </c>
    </row>
    <row r="6704" spans="1:4" x14ac:dyDescent="0.3">
      <c r="A6704" s="34">
        <v>50728</v>
      </c>
      <c r="B6704" s="35">
        <v>1</v>
      </c>
      <c r="C6704" s="35">
        <v>0</v>
      </c>
      <c r="D6704" s="2">
        <f t="shared" si="104"/>
        <v>1</v>
      </c>
    </row>
    <row r="6705" spans="1:4" x14ac:dyDescent="0.3">
      <c r="A6705" s="34">
        <v>50733</v>
      </c>
      <c r="B6705" s="35">
        <v>1</v>
      </c>
      <c r="C6705" s="35">
        <v>1</v>
      </c>
      <c r="D6705" s="2">
        <f t="shared" si="104"/>
        <v>2</v>
      </c>
    </row>
    <row r="6706" spans="1:4" x14ac:dyDescent="0.3">
      <c r="A6706" s="34">
        <v>50734</v>
      </c>
      <c r="B6706" s="35">
        <v>1</v>
      </c>
      <c r="C6706" s="35">
        <v>0</v>
      </c>
      <c r="D6706" s="2">
        <f t="shared" si="104"/>
        <v>1</v>
      </c>
    </row>
    <row r="6707" spans="1:4" x14ac:dyDescent="0.3">
      <c r="A6707" s="34">
        <v>50737</v>
      </c>
      <c r="B6707" s="35">
        <v>2</v>
      </c>
      <c r="C6707" s="35">
        <v>0</v>
      </c>
      <c r="D6707" s="2">
        <f t="shared" si="104"/>
        <v>2</v>
      </c>
    </row>
    <row r="6708" spans="1:4" x14ac:dyDescent="0.3">
      <c r="A6708" s="34">
        <v>50739</v>
      </c>
      <c r="B6708" s="35">
        <v>1</v>
      </c>
      <c r="C6708" s="35">
        <v>0</v>
      </c>
      <c r="D6708" s="2">
        <f t="shared" si="104"/>
        <v>1</v>
      </c>
    </row>
    <row r="6709" spans="1:4" x14ac:dyDescent="0.3">
      <c r="A6709" s="34">
        <v>50740</v>
      </c>
      <c r="B6709" s="35">
        <v>1</v>
      </c>
      <c r="C6709" s="35">
        <v>0</v>
      </c>
      <c r="D6709" s="2">
        <f t="shared" si="104"/>
        <v>1</v>
      </c>
    </row>
    <row r="6710" spans="1:4" x14ac:dyDescent="0.3">
      <c r="A6710" s="34">
        <v>50745</v>
      </c>
      <c r="B6710" s="35">
        <v>1</v>
      </c>
      <c r="C6710" s="35">
        <v>0</v>
      </c>
      <c r="D6710" s="2">
        <f t="shared" si="104"/>
        <v>1</v>
      </c>
    </row>
    <row r="6711" spans="1:4" x14ac:dyDescent="0.3">
      <c r="A6711" s="34">
        <v>50746</v>
      </c>
      <c r="B6711" s="35">
        <v>1</v>
      </c>
      <c r="C6711" s="35">
        <v>1</v>
      </c>
      <c r="D6711" s="2">
        <f t="shared" si="104"/>
        <v>2</v>
      </c>
    </row>
    <row r="6712" spans="1:4" x14ac:dyDescent="0.3">
      <c r="A6712" s="34">
        <v>50748</v>
      </c>
      <c r="B6712" s="35">
        <v>1</v>
      </c>
      <c r="C6712" s="35">
        <v>0</v>
      </c>
      <c r="D6712" s="2">
        <f t="shared" si="104"/>
        <v>1</v>
      </c>
    </row>
    <row r="6713" spans="1:4" x14ac:dyDescent="0.3">
      <c r="A6713" s="34">
        <v>50761</v>
      </c>
      <c r="B6713" s="35">
        <v>1</v>
      </c>
      <c r="C6713" s="35">
        <v>1</v>
      </c>
      <c r="D6713" s="2">
        <f t="shared" si="104"/>
        <v>2</v>
      </c>
    </row>
    <row r="6714" spans="1:4" x14ac:dyDescent="0.3">
      <c r="A6714" s="34">
        <v>50767</v>
      </c>
      <c r="B6714" s="35">
        <v>1</v>
      </c>
      <c r="C6714" s="35">
        <v>1</v>
      </c>
      <c r="D6714" s="2">
        <f t="shared" si="104"/>
        <v>2</v>
      </c>
    </row>
    <row r="6715" spans="1:4" x14ac:dyDescent="0.3">
      <c r="A6715" s="34">
        <v>50768</v>
      </c>
      <c r="B6715" s="35">
        <v>1</v>
      </c>
      <c r="C6715" s="35">
        <v>0</v>
      </c>
      <c r="D6715" s="2">
        <f t="shared" si="104"/>
        <v>1</v>
      </c>
    </row>
    <row r="6716" spans="1:4" x14ac:dyDescent="0.3">
      <c r="A6716" s="34">
        <v>50769</v>
      </c>
      <c r="B6716" s="35">
        <v>1</v>
      </c>
      <c r="C6716" s="35">
        <v>0</v>
      </c>
      <c r="D6716" s="2">
        <f t="shared" si="104"/>
        <v>1</v>
      </c>
    </row>
    <row r="6717" spans="1:4" x14ac:dyDescent="0.3">
      <c r="A6717" s="34">
        <v>50772</v>
      </c>
      <c r="B6717" s="35">
        <v>1</v>
      </c>
      <c r="C6717" s="35">
        <v>0</v>
      </c>
      <c r="D6717" s="2">
        <f t="shared" si="104"/>
        <v>1</v>
      </c>
    </row>
    <row r="6718" spans="1:4" x14ac:dyDescent="0.3">
      <c r="A6718" s="34">
        <v>50773</v>
      </c>
      <c r="B6718" s="35">
        <v>1</v>
      </c>
      <c r="C6718" s="35">
        <v>1</v>
      </c>
      <c r="D6718" s="2">
        <f t="shared" si="104"/>
        <v>2</v>
      </c>
    </row>
    <row r="6719" spans="1:4" x14ac:dyDescent="0.3">
      <c r="A6719" s="34">
        <v>50775</v>
      </c>
      <c r="B6719" s="35">
        <v>1</v>
      </c>
      <c r="C6719" s="35">
        <v>1</v>
      </c>
      <c r="D6719" s="2">
        <f t="shared" si="104"/>
        <v>2</v>
      </c>
    </row>
    <row r="6720" spans="1:4" x14ac:dyDescent="0.3">
      <c r="A6720" s="34">
        <v>50776</v>
      </c>
      <c r="B6720" s="35">
        <v>1</v>
      </c>
      <c r="C6720" s="35">
        <v>0</v>
      </c>
      <c r="D6720" s="2">
        <f t="shared" si="104"/>
        <v>1</v>
      </c>
    </row>
    <row r="6721" spans="1:4" x14ac:dyDescent="0.3">
      <c r="A6721" s="34">
        <v>50777</v>
      </c>
      <c r="B6721" s="35">
        <v>1</v>
      </c>
      <c r="C6721" s="35">
        <v>0</v>
      </c>
      <c r="D6721" s="2">
        <f t="shared" si="104"/>
        <v>1</v>
      </c>
    </row>
    <row r="6722" spans="1:4" x14ac:dyDescent="0.3">
      <c r="A6722" s="34">
        <v>50779</v>
      </c>
      <c r="B6722" s="35">
        <v>1</v>
      </c>
      <c r="C6722" s="35">
        <v>0</v>
      </c>
      <c r="D6722" s="2">
        <f t="shared" si="104"/>
        <v>1</v>
      </c>
    </row>
    <row r="6723" spans="1:4" x14ac:dyDescent="0.3">
      <c r="A6723" s="34">
        <v>50783</v>
      </c>
      <c r="B6723" s="35">
        <v>1</v>
      </c>
      <c r="C6723" s="35">
        <v>0</v>
      </c>
      <c r="D6723" s="2">
        <f t="shared" ref="D6723:D6786" si="105">B6723+C6723</f>
        <v>1</v>
      </c>
    </row>
    <row r="6724" spans="1:4" x14ac:dyDescent="0.3">
      <c r="A6724" s="34">
        <v>50818</v>
      </c>
      <c r="B6724" s="35">
        <v>1</v>
      </c>
      <c r="C6724" s="35">
        <v>0</v>
      </c>
      <c r="D6724" s="2">
        <f t="shared" si="105"/>
        <v>1</v>
      </c>
    </row>
    <row r="6725" spans="1:4" x14ac:dyDescent="0.3">
      <c r="A6725" s="34">
        <v>50819</v>
      </c>
      <c r="B6725" s="35">
        <v>1</v>
      </c>
      <c r="C6725" s="35">
        <v>1</v>
      </c>
      <c r="D6725" s="2">
        <f t="shared" si="105"/>
        <v>2</v>
      </c>
    </row>
    <row r="6726" spans="1:4" x14ac:dyDescent="0.3">
      <c r="A6726" s="34">
        <v>50821</v>
      </c>
      <c r="B6726" s="35">
        <v>1</v>
      </c>
      <c r="C6726" s="35">
        <v>0</v>
      </c>
      <c r="D6726" s="2">
        <f t="shared" si="105"/>
        <v>1</v>
      </c>
    </row>
    <row r="6727" spans="1:4" x14ac:dyDescent="0.3">
      <c r="A6727" s="34">
        <v>50822</v>
      </c>
      <c r="B6727" s="35">
        <v>1</v>
      </c>
      <c r="C6727" s="35">
        <v>0</v>
      </c>
      <c r="D6727" s="2">
        <f t="shared" si="105"/>
        <v>1</v>
      </c>
    </row>
    <row r="6728" spans="1:4" x14ac:dyDescent="0.3">
      <c r="A6728" s="34">
        <v>50824</v>
      </c>
      <c r="B6728" s="35">
        <v>1</v>
      </c>
      <c r="C6728" s="35">
        <v>0</v>
      </c>
      <c r="D6728" s="2">
        <f t="shared" si="105"/>
        <v>1</v>
      </c>
    </row>
    <row r="6729" spans="1:4" x14ac:dyDescent="0.3">
      <c r="A6729" s="34">
        <v>50827</v>
      </c>
      <c r="B6729" s="35">
        <v>2</v>
      </c>
      <c r="C6729" s="35">
        <v>1</v>
      </c>
      <c r="D6729" s="2">
        <f t="shared" si="105"/>
        <v>3</v>
      </c>
    </row>
    <row r="6730" spans="1:4" x14ac:dyDescent="0.3">
      <c r="A6730" s="34">
        <v>50832</v>
      </c>
      <c r="B6730" s="35">
        <v>1</v>
      </c>
      <c r="C6730" s="35">
        <v>0</v>
      </c>
      <c r="D6730" s="2">
        <f t="shared" si="105"/>
        <v>1</v>
      </c>
    </row>
    <row r="6731" spans="1:4" x14ac:dyDescent="0.3">
      <c r="A6731" s="34">
        <v>50834</v>
      </c>
      <c r="B6731" s="35">
        <v>1</v>
      </c>
      <c r="C6731" s="35">
        <v>0</v>
      </c>
      <c r="D6731" s="2">
        <f t="shared" si="105"/>
        <v>1</v>
      </c>
    </row>
    <row r="6732" spans="1:4" x14ac:dyDescent="0.3">
      <c r="A6732" s="34">
        <v>50835</v>
      </c>
      <c r="B6732" s="35">
        <v>2</v>
      </c>
      <c r="C6732" s="35">
        <v>2</v>
      </c>
      <c r="D6732" s="2">
        <f t="shared" si="105"/>
        <v>4</v>
      </c>
    </row>
    <row r="6733" spans="1:4" x14ac:dyDescent="0.3">
      <c r="A6733" s="34">
        <v>50837</v>
      </c>
      <c r="B6733" s="35">
        <v>1</v>
      </c>
      <c r="C6733" s="35">
        <v>0</v>
      </c>
      <c r="D6733" s="2">
        <f t="shared" si="105"/>
        <v>1</v>
      </c>
    </row>
    <row r="6734" spans="1:4" x14ac:dyDescent="0.3">
      <c r="A6734" s="34">
        <v>50840</v>
      </c>
      <c r="B6734" s="35">
        <v>1</v>
      </c>
      <c r="C6734" s="35">
        <v>0</v>
      </c>
      <c r="D6734" s="2">
        <f t="shared" si="105"/>
        <v>1</v>
      </c>
    </row>
    <row r="6735" spans="1:4" x14ac:dyDescent="0.3">
      <c r="A6735" s="34">
        <v>50841</v>
      </c>
      <c r="B6735" s="35">
        <v>1</v>
      </c>
      <c r="C6735" s="35">
        <v>0</v>
      </c>
      <c r="D6735" s="2">
        <f t="shared" si="105"/>
        <v>1</v>
      </c>
    </row>
    <row r="6736" spans="1:4" x14ac:dyDescent="0.3">
      <c r="A6736" s="34">
        <v>50843</v>
      </c>
      <c r="B6736" s="35">
        <v>1</v>
      </c>
      <c r="C6736" s="35">
        <v>0</v>
      </c>
      <c r="D6736" s="2">
        <f t="shared" si="105"/>
        <v>1</v>
      </c>
    </row>
    <row r="6737" spans="1:4" x14ac:dyDescent="0.3">
      <c r="A6737" s="34">
        <v>50844</v>
      </c>
      <c r="B6737" s="35">
        <v>1</v>
      </c>
      <c r="C6737" s="35">
        <v>1</v>
      </c>
      <c r="D6737" s="2">
        <f t="shared" si="105"/>
        <v>2</v>
      </c>
    </row>
    <row r="6738" spans="1:4" x14ac:dyDescent="0.3">
      <c r="A6738" s="34">
        <v>50845</v>
      </c>
      <c r="B6738" s="35">
        <v>1</v>
      </c>
      <c r="C6738" s="35">
        <v>0</v>
      </c>
      <c r="D6738" s="2">
        <f t="shared" si="105"/>
        <v>1</v>
      </c>
    </row>
    <row r="6739" spans="1:4" x14ac:dyDescent="0.3">
      <c r="A6739" s="34">
        <v>50846</v>
      </c>
      <c r="B6739" s="35">
        <v>1</v>
      </c>
      <c r="C6739" s="35">
        <v>0</v>
      </c>
      <c r="D6739" s="2">
        <f t="shared" si="105"/>
        <v>1</v>
      </c>
    </row>
    <row r="6740" spans="1:4" x14ac:dyDescent="0.3">
      <c r="A6740" s="34">
        <v>50848</v>
      </c>
      <c r="B6740" s="35">
        <v>2</v>
      </c>
      <c r="C6740" s="35">
        <v>1</v>
      </c>
      <c r="D6740" s="2">
        <f t="shared" si="105"/>
        <v>3</v>
      </c>
    </row>
    <row r="6741" spans="1:4" x14ac:dyDescent="0.3">
      <c r="A6741" s="34">
        <v>50849</v>
      </c>
      <c r="B6741" s="35">
        <v>1</v>
      </c>
      <c r="C6741" s="35">
        <v>0</v>
      </c>
      <c r="D6741" s="2">
        <f t="shared" si="105"/>
        <v>1</v>
      </c>
    </row>
    <row r="6742" spans="1:4" x14ac:dyDescent="0.3">
      <c r="A6742" s="34">
        <v>50850</v>
      </c>
      <c r="B6742" s="35">
        <v>1</v>
      </c>
      <c r="C6742" s="35">
        <v>0</v>
      </c>
      <c r="D6742" s="2">
        <f t="shared" si="105"/>
        <v>1</v>
      </c>
    </row>
    <row r="6743" spans="1:4" x14ac:dyDescent="0.3">
      <c r="A6743" s="34">
        <v>50852</v>
      </c>
      <c r="B6743" s="35">
        <v>1</v>
      </c>
      <c r="C6743" s="35">
        <v>0</v>
      </c>
      <c r="D6743" s="2">
        <f t="shared" si="105"/>
        <v>1</v>
      </c>
    </row>
    <row r="6744" spans="1:4" x14ac:dyDescent="0.3">
      <c r="A6744" s="34">
        <v>50855</v>
      </c>
      <c r="B6744" s="35">
        <v>2</v>
      </c>
      <c r="C6744" s="35">
        <v>1</v>
      </c>
      <c r="D6744" s="2">
        <f t="shared" si="105"/>
        <v>3</v>
      </c>
    </row>
    <row r="6745" spans="1:4" x14ac:dyDescent="0.3">
      <c r="A6745" s="34">
        <v>50856</v>
      </c>
      <c r="B6745" s="35">
        <v>2</v>
      </c>
      <c r="C6745" s="35">
        <v>2</v>
      </c>
      <c r="D6745" s="2">
        <f t="shared" si="105"/>
        <v>4</v>
      </c>
    </row>
    <row r="6746" spans="1:4" x14ac:dyDescent="0.3">
      <c r="A6746" s="34">
        <v>50857</v>
      </c>
      <c r="B6746" s="35">
        <v>1</v>
      </c>
      <c r="C6746" s="35">
        <v>1</v>
      </c>
      <c r="D6746" s="2">
        <f t="shared" si="105"/>
        <v>2</v>
      </c>
    </row>
    <row r="6747" spans="1:4" x14ac:dyDescent="0.3">
      <c r="A6747" s="34">
        <v>50858</v>
      </c>
      <c r="B6747" s="35">
        <v>1</v>
      </c>
      <c r="C6747" s="35">
        <v>0</v>
      </c>
      <c r="D6747" s="2">
        <f t="shared" si="105"/>
        <v>1</v>
      </c>
    </row>
    <row r="6748" spans="1:4" x14ac:dyDescent="0.3">
      <c r="A6748" s="34">
        <v>50874</v>
      </c>
      <c r="B6748" s="35">
        <v>1</v>
      </c>
      <c r="C6748" s="35">
        <v>0</v>
      </c>
      <c r="D6748" s="2">
        <f t="shared" si="105"/>
        <v>1</v>
      </c>
    </row>
    <row r="6749" spans="1:4" x14ac:dyDescent="0.3">
      <c r="A6749" s="34">
        <v>50878</v>
      </c>
      <c r="B6749" s="35">
        <v>2</v>
      </c>
      <c r="C6749" s="35">
        <v>0</v>
      </c>
      <c r="D6749" s="2">
        <f t="shared" si="105"/>
        <v>2</v>
      </c>
    </row>
    <row r="6750" spans="1:4" x14ac:dyDescent="0.3">
      <c r="A6750" s="34">
        <v>50879</v>
      </c>
      <c r="B6750" s="35">
        <v>1</v>
      </c>
      <c r="C6750" s="35">
        <v>0</v>
      </c>
      <c r="D6750" s="2">
        <f t="shared" si="105"/>
        <v>1</v>
      </c>
    </row>
    <row r="6751" spans="1:4" x14ac:dyDescent="0.3">
      <c r="A6751" s="34">
        <v>50882</v>
      </c>
      <c r="B6751" s="35">
        <v>1</v>
      </c>
      <c r="C6751" s="35">
        <v>0</v>
      </c>
      <c r="D6751" s="2">
        <f t="shared" si="105"/>
        <v>1</v>
      </c>
    </row>
    <row r="6752" spans="1:4" x14ac:dyDescent="0.3">
      <c r="A6752" s="34">
        <v>50883</v>
      </c>
      <c r="B6752" s="35">
        <v>1</v>
      </c>
      <c r="C6752" s="35">
        <v>1</v>
      </c>
      <c r="D6752" s="2">
        <f t="shared" si="105"/>
        <v>2</v>
      </c>
    </row>
    <row r="6753" spans="1:4" x14ac:dyDescent="0.3">
      <c r="A6753" s="34">
        <v>50887</v>
      </c>
      <c r="B6753" s="35">
        <v>1</v>
      </c>
      <c r="C6753" s="35">
        <v>1</v>
      </c>
      <c r="D6753" s="2">
        <f t="shared" si="105"/>
        <v>2</v>
      </c>
    </row>
    <row r="6754" spans="1:4" x14ac:dyDescent="0.3">
      <c r="A6754" s="34">
        <v>50888</v>
      </c>
      <c r="B6754" s="35">
        <v>1</v>
      </c>
      <c r="C6754" s="35">
        <v>0</v>
      </c>
      <c r="D6754" s="2">
        <f t="shared" si="105"/>
        <v>1</v>
      </c>
    </row>
    <row r="6755" spans="1:4" x14ac:dyDescent="0.3">
      <c r="A6755" s="34">
        <v>50889</v>
      </c>
      <c r="B6755" s="35">
        <v>1</v>
      </c>
      <c r="C6755" s="35">
        <v>0</v>
      </c>
      <c r="D6755" s="2">
        <f t="shared" si="105"/>
        <v>1</v>
      </c>
    </row>
    <row r="6756" spans="1:4" x14ac:dyDescent="0.3">
      <c r="A6756" s="34">
        <v>50890</v>
      </c>
      <c r="B6756" s="35">
        <v>1</v>
      </c>
      <c r="C6756" s="35">
        <v>0</v>
      </c>
      <c r="D6756" s="2">
        <f t="shared" si="105"/>
        <v>1</v>
      </c>
    </row>
    <row r="6757" spans="1:4" x14ac:dyDescent="0.3">
      <c r="A6757" s="34">
        <v>50893</v>
      </c>
      <c r="B6757" s="35">
        <v>1</v>
      </c>
      <c r="C6757" s="35">
        <v>1</v>
      </c>
      <c r="D6757" s="2">
        <f t="shared" si="105"/>
        <v>2</v>
      </c>
    </row>
    <row r="6758" spans="1:4" x14ac:dyDescent="0.3">
      <c r="A6758" s="34">
        <v>50896</v>
      </c>
      <c r="B6758" s="35">
        <v>2</v>
      </c>
      <c r="C6758" s="35">
        <v>0</v>
      </c>
      <c r="D6758" s="2">
        <f t="shared" si="105"/>
        <v>2</v>
      </c>
    </row>
    <row r="6759" spans="1:4" x14ac:dyDescent="0.3">
      <c r="A6759" s="34">
        <v>50898</v>
      </c>
      <c r="B6759" s="35">
        <v>1</v>
      </c>
      <c r="C6759" s="35">
        <v>0</v>
      </c>
      <c r="D6759" s="2">
        <f t="shared" si="105"/>
        <v>1</v>
      </c>
    </row>
    <row r="6760" spans="1:4" x14ac:dyDescent="0.3">
      <c r="A6760" s="34">
        <v>50899</v>
      </c>
      <c r="B6760" s="35">
        <v>1</v>
      </c>
      <c r="C6760" s="35">
        <v>0</v>
      </c>
      <c r="D6760" s="2">
        <f t="shared" si="105"/>
        <v>1</v>
      </c>
    </row>
    <row r="6761" spans="1:4" x14ac:dyDescent="0.3">
      <c r="A6761" s="34">
        <v>50903</v>
      </c>
      <c r="B6761" s="35">
        <v>1</v>
      </c>
      <c r="C6761" s="35">
        <v>1</v>
      </c>
      <c r="D6761" s="2">
        <f t="shared" si="105"/>
        <v>2</v>
      </c>
    </row>
    <row r="6762" spans="1:4" x14ac:dyDescent="0.3">
      <c r="A6762" s="34">
        <v>50904</v>
      </c>
      <c r="B6762" s="35">
        <v>1</v>
      </c>
      <c r="C6762" s="35">
        <v>1</v>
      </c>
      <c r="D6762" s="2">
        <f t="shared" si="105"/>
        <v>2</v>
      </c>
    </row>
    <row r="6763" spans="1:4" x14ac:dyDescent="0.3">
      <c r="A6763" s="34">
        <v>50906</v>
      </c>
      <c r="B6763" s="35">
        <v>1</v>
      </c>
      <c r="C6763" s="35">
        <v>1</v>
      </c>
      <c r="D6763" s="2">
        <f t="shared" si="105"/>
        <v>2</v>
      </c>
    </row>
    <row r="6764" spans="1:4" x14ac:dyDescent="0.3">
      <c r="A6764" s="34">
        <v>50910</v>
      </c>
      <c r="B6764" s="35">
        <v>1</v>
      </c>
      <c r="C6764" s="35">
        <v>0</v>
      </c>
      <c r="D6764" s="2">
        <f t="shared" si="105"/>
        <v>1</v>
      </c>
    </row>
    <row r="6765" spans="1:4" x14ac:dyDescent="0.3">
      <c r="A6765" s="34">
        <v>50915</v>
      </c>
      <c r="B6765" s="35">
        <v>2</v>
      </c>
      <c r="C6765" s="35">
        <v>1</v>
      </c>
      <c r="D6765" s="2">
        <f t="shared" si="105"/>
        <v>3</v>
      </c>
    </row>
    <row r="6766" spans="1:4" x14ac:dyDescent="0.3">
      <c r="A6766" s="34">
        <v>50916</v>
      </c>
      <c r="B6766" s="35">
        <v>1</v>
      </c>
      <c r="C6766" s="35">
        <v>0</v>
      </c>
      <c r="D6766" s="2">
        <f t="shared" si="105"/>
        <v>1</v>
      </c>
    </row>
    <row r="6767" spans="1:4" x14ac:dyDescent="0.3">
      <c r="A6767" s="34">
        <v>50918</v>
      </c>
      <c r="B6767" s="35">
        <v>1</v>
      </c>
      <c r="C6767" s="35">
        <v>0</v>
      </c>
      <c r="D6767" s="2">
        <f t="shared" si="105"/>
        <v>1</v>
      </c>
    </row>
    <row r="6768" spans="1:4" x14ac:dyDescent="0.3">
      <c r="A6768" s="34">
        <v>50922</v>
      </c>
      <c r="B6768" s="35">
        <v>1</v>
      </c>
      <c r="C6768" s="35">
        <v>0</v>
      </c>
      <c r="D6768" s="2">
        <f t="shared" si="105"/>
        <v>1</v>
      </c>
    </row>
    <row r="6769" spans="1:4" x14ac:dyDescent="0.3">
      <c r="A6769" s="34">
        <v>50926</v>
      </c>
      <c r="B6769" s="35">
        <v>2</v>
      </c>
      <c r="C6769" s="35">
        <v>1</v>
      </c>
      <c r="D6769" s="2">
        <f t="shared" si="105"/>
        <v>3</v>
      </c>
    </row>
    <row r="6770" spans="1:4" x14ac:dyDescent="0.3">
      <c r="A6770" s="34">
        <v>50927</v>
      </c>
      <c r="B6770" s="35">
        <v>1</v>
      </c>
      <c r="C6770" s="35">
        <v>0</v>
      </c>
      <c r="D6770" s="2">
        <f t="shared" si="105"/>
        <v>1</v>
      </c>
    </row>
    <row r="6771" spans="1:4" x14ac:dyDescent="0.3">
      <c r="A6771" s="34">
        <v>50936</v>
      </c>
      <c r="B6771" s="35">
        <v>1</v>
      </c>
      <c r="C6771" s="35">
        <v>0</v>
      </c>
      <c r="D6771" s="2">
        <f t="shared" si="105"/>
        <v>1</v>
      </c>
    </row>
    <row r="6772" spans="1:4" x14ac:dyDescent="0.3">
      <c r="A6772" s="34">
        <v>50962</v>
      </c>
      <c r="B6772" s="35">
        <v>1</v>
      </c>
      <c r="C6772" s="35">
        <v>0</v>
      </c>
      <c r="D6772" s="2">
        <f t="shared" si="105"/>
        <v>1</v>
      </c>
    </row>
    <row r="6773" spans="1:4" x14ac:dyDescent="0.3">
      <c r="A6773" s="34">
        <v>50963</v>
      </c>
      <c r="B6773" s="35">
        <v>1</v>
      </c>
      <c r="C6773" s="35">
        <v>0</v>
      </c>
      <c r="D6773" s="2">
        <f t="shared" si="105"/>
        <v>1</v>
      </c>
    </row>
    <row r="6774" spans="1:4" x14ac:dyDescent="0.3">
      <c r="A6774" s="34">
        <v>50982</v>
      </c>
      <c r="B6774" s="35">
        <v>1</v>
      </c>
      <c r="C6774" s="35">
        <v>0</v>
      </c>
      <c r="D6774" s="2">
        <f t="shared" si="105"/>
        <v>1</v>
      </c>
    </row>
    <row r="6775" spans="1:4" x14ac:dyDescent="0.3">
      <c r="A6775" s="34">
        <v>50985</v>
      </c>
      <c r="B6775" s="35">
        <v>1</v>
      </c>
      <c r="C6775" s="35">
        <v>0</v>
      </c>
      <c r="D6775" s="2">
        <f t="shared" si="105"/>
        <v>1</v>
      </c>
    </row>
    <row r="6776" spans="1:4" x14ac:dyDescent="0.3">
      <c r="A6776" s="34">
        <v>50986</v>
      </c>
      <c r="B6776" s="35">
        <v>1</v>
      </c>
      <c r="C6776" s="35">
        <v>0</v>
      </c>
      <c r="D6776" s="2">
        <f t="shared" si="105"/>
        <v>1</v>
      </c>
    </row>
    <row r="6777" spans="1:4" x14ac:dyDescent="0.3">
      <c r="A6777" s="34">
        <v>50989</v>
      </c>
      <c r="B6777" s="35">
        <v>1</v>
      </c>
      <c r="C6777" s="35">
        <v>0</v>
      </c>
      <c r="D6777" s="2">
        <f t="shared" si="105"/>
        <v>1</v>
      </c>
    </row>
    <row r="6778" spans="1:4" x14ac:dyDescent="0.3">
      <c r="A6778" s="34">
        <v>50991</v>
      </c>
      <c r="B6778" s="35">
        <v>1</v>
      </c>
      <c r="C6778" s="35">
        <v>0</v>
      </c>
      <c r="D6778" s="2">
        <f t="shared" si="105"/>
        <v>1</v>
      </c>
    </row>
    <row r="6779" spans="1:4" x14ac:dyDescent="0.3">
      <c r="A6779" s="34">
        <v>50992</v>
      </c>
      <c r="B6779" s="35">
        <v>1</v>
      </c>
      <c r="C6779" s="35">
        <v>1</v>
      </c>
      <c r="D6779" s="2">
        <f t="shared" si="105"/>
        <v>2</v>
      </c>
    </row>
    <row r="6780" spans="1:4" x14ac:dyDescent="0.3">
      <c r="A6780" s="34">
        <v>50994</v>
      </c>
      <c r="B6780" s="35">
        <v>1</v>
      </c>
      <c r="C6780" s="35">
        <v>0</v>
      </c>
      <c r="D6780" s="2">
        <f t="shared" si="105"/>
        <v>1</v>
      </c>
    </row>
    <row r="6781" spans="1:4" x14ac:dyDescent="0.3">
      <c r="A6781" s="34">
        <v>50995</v>
      </c>
      <c r="B6781" s="35">
        <v>1</v>
      </c>
      <c r="C6781" s="35">
        <v>0</v>
      </c>
      <c r="D6781" s="2">
        <f t="shared" si="105"/>
        <v>1</v>
      </c>
    </row>
    <row r="6782" spans="1:4" x14ac:dyDescent="0.3">
      <c r="A6782" s="34">
        <v>50999</v>
      </c>
      <c r="B6782" s="35">
        <v>1</v>
      </c>
      <c r="C6782" s="35">
        <v>0</v>
      </c>
      <c r="D6782" s="2">
        <f t="shared" si="105"/>
        <v>1</v>
      </c>
    </row>
    <row r="6783" spans="1:4" x14ac:dyDescent="0.3">
      <c r="A6783" s="34">
        <v>51006</v>
      </c>
      <c r="B6783" s="35">
        <v>1</v>
      </c>
      <c r="C6783" s="35">
        <v>0</v>
      </c>
      <c r="D6783" s="2">
        <f t="shared" si="105"/>
        <v>1</v>
      </c>
    </row>
    <row r="6784" spans="1:4" x14ac:dyDescent="0.3">
      <c r="A6784" s="34">
        <v>51010</v>
      </c>
      <c r="B6784" s="35">
        <v>1</v>
      </c>
      <c r="C6784" s="35">
        <v>0</v>
      </c>
      <c r="D6784" s="2">
        <f t="shared" si="105"/>
        <v>1</v>
      </c>
    </row>
    <row r="6785" spans="1:4" x14ac:dyDescent="0.3">
      <c r="A6785" s="34">
        <v>51011</v>
      </c>
      <c r="B6785" s="35">
        <v>1</v>
      </c>
      <c r="C6785" s="35">
        <v>0</v>
      </c>
      <c r="D6785" s="2">
        <f t="shared" si="105"/>
        <v>1</v>
      </c>
    </row>
    <row r="6786" spans="1:4" x14ac:dyDescent="0.3">
      <c r="A6786" s="34">
        <v>51013</v>
      </c>
      <c r="B6786" s="35">
        <v>2</v>
      </c>
      <c r="C6786" s="35">
        <v>0</v>
      </c>
      <c r="D6786" s="2">
        <f t="shared" si="105"/>
        <v>2</v>
      </c>
    </row>
    <row r="6787" spans="1:4" x14ac:dyDescent="0.3">
      <c r="A6787" s="34">
        <v>51020</v>
      </c>
      <c r="B6787" s="35">
        <v>1</v>
      </c>
      <c r="C6787" s="35">
        <v>0</v>
      </c>
      <c r="D6787" s="2">
        <f t="shared" ref="D6787:D6850" si="106">B6787+C6787</f>
        <v>1</v>
      </c>
    </row>
    <row r="6788" spans="1:4" x14ac:dyDescent="0.3">
      <c r="A6788" s="34">
        <v>51023</v>
      </c>
      <c r="B6788" s="35">
        <v>1</v>
      </c>
      <c r="C6788" s="35">
        <v>0</v>
      </c>
      <c r="D6788" s="2">
        <f t="shared" si="106"/>
        <v>1</v>
      </c>
    </row>
    <row r="6789" spans="1:4" x14ac:dyDescent="0.3">
      <c r="A6789" s="34">
        <v>51024</v>
      </c>
      <c r="B6789" s="35">
        <v>1</v>
      </c>
      <c r="C6789" s="35">
        <v>0</v>
      </c>
      <c r="D6789" s="2">
        <f t="shared" si="106"/>
        <v>1</v>
      </c>
    </row>
    <row r="6790" spans="1:4" x14ac:dyDescent="0.3">
      <c r="A6790" s="34">
        <v>51029</v>
      </c>
      <c r="B6790" s="35">
        <v>1</v>
      </c>
      <c r="C6790" s="35">
        <v>0</v>
      </c>
      <c r="D6790" s="2">
        <f t="shared" si="106"/>
        <v>1</v>
      </c>
    </row>
    <row r="6791" spans="1:4" x14ac:dyDescent="0.3">
      <c r="A6791" s="34">
        <v>51031</v>
      </c>
      <c r="B6791" s="35">
        <v>1</v>
      </c>
      <c r="C6791" s="35">
        <v>0</v>
      </c>
      <c r="D6791" s="2">
        <f t="shared" si="106"/>
        <v>1</v>
      </c>
    </row>
    <row r="6792" spans="1:4" x14ac:dyDescent="0.3">
      <c r="A6792" s="34">
        <v>51033</v>
      </c>
      <c r="B6792" s="35">
        <v>1</v>
      </c>
      <c r="C6792" s="35">
        <v>0</v>
      </c>
      <c r="D6792" s="2">
        <f t="shared" si="106"/>
        <v>1</v>
      </c>
    </row>
    <row r="6793" spans="1:4" x14ac:dyDescent="0.3">
      <c r="A6793" s="34">
        <v>51037</v>
      </c>
      <c r="B6793" s="35">
        <v>1</v>
      </c>
      <c r="C6793" s="35">
        <v>0</v>
      </c>
      <c r="D6793" s="2">
        <f t="shared" si="106"/>
        <v>1</v>
      </c>
    </row>
    <row r="6794" spans="1:4" x14ac:dyDescent="0.3">
      <c r="A6794" s="34">
        <v>51038</v>
      </c>
      <c r="B6794" s="35">
        <v>1</v>
      </c>
      <c r="C6794" s="35">
        <v>1</v>
      </c>
      <c r="D6794" s="2">
        <f t="shared" si="106"/>
        <v>2</v>
      </c>
    </row>
    <row r="6795" spans="1:4" x14ac:dyDescent="0.3">
      <c r="A6795" s="34">
        <v>51042</v>
      </c>
      <c r="B6795" s="35">
        <v>1</v>
      </c>
      <c r="C6795" s="35">
        <v>0</v>
      </c>
      <c r="D6795" s="2">
        <f t="shared" si="106"/>
        <v>1</v>
      </c>
    </row>
    <row r="6796" spans="1:4" x14ac:dyDescent="0.3">
      <c r="A6796" s="34">
        <v>51044</v>
      </c>
      <c r="B6796" s="35">
        <v>1</v>
      </c>
      <c r="C6796" s="35">
        <v>0</v>
      </c>
      <c r="D6796" s="2">
        <f t="shared" si="106"/>
        <v>1</v>
      </c>
    </row>
    <row r="6797" spans="1:4" x14ac:dyDescent="0.3">
      <c r="A6797" s="34">
        <v>51047</v>
      </c>
      <c r="B6797" s="35">
        <v>1</v>
      </c>
      <c r="C6797" s="35">
        <v>0</v>
      </c>
      <c r="D6797" s="2">
        <f t="shared" si="106"/>
        <v>1</v>
      </c>
    </row>
    <row r="6798" spans="1:4" x14ac:dyDescent="0.3">
      <c r="A6798" s="34">
        <v>51049</v>
      </c>
      <c r="B6798" s="35">
        <v>1</v>
      </c>
      <c r="C6798" s="35">
        <v>0</v>
      </c>
      <c r="D6798" s="2">
        <f t="shared" si="106"/>
        <v>1</v>
      </c>
    </row>
    <row r="6799" spans="1:4" x14ac:dyDescent="0.3">
      <c r="A6799" s="34">
        <v>51066</v>
      </c>
      <c r="B6799" s="35">
        <v>1</v>
      </c>
      <c r="C6799" s="35">
        <v>0</v>
      </c>
      <c r="D6799" s="2">
        <f t="shared" si="106"/>
        <v>1</v>
      </c>
    </row>
    <row r="6800" spans="1:4" x14ac:dyDescent="0.3">
      <c r="A6800" s="34">
        <v>51067</v>
      </c>
      <c r="B6800" s="35">
        <v>1</v>
      </c>
      <c r="C6800" s="35">
        <v>0</v>
      </c>
      <c r="D6800" s="2">
        <f t="shared" si="106"/>
        <v>1</v>
      </c>
    </row>
    <row r="6801" spans="1:4" x14ac:dyDescent="0.3">
      <c r="A6801" s="34">
        <v>51068</v>
      </c>
      <c r="B6801" s="35">
        <v>1</v>
      </c>
      <c r="C6801" s="35">
        <v>1</v>
      </c>
      <c r="D6801" s="2">
        <f t="shared" si="106"/>
        <v>2</v>
      </c>
    </row>
    <row r="6802" spans="1:4" x14ac:dyDescent="0.3">
      <c r="A6802" s="34">
        <v>51072</v>
      </c>
      <c r="B6802" s="35">
        <v>3</v>
      </c>
      <c r="C6802" s="35">
        <v>2</v>
      </c>
      <c r="D6802" s="2">
        <f t="shared" si="106"/>
        <v>5</v>
      </c>
    </row>
    <row r="6803" spans="1:4" x14ac:dyDescent="0.3">
      <c r="A6803" s="34">
        <v>51073</v>
      </c>
      <c r="B6803" s="35">
        <v>1</v>
      </c>
      <c r="C6803" s="35">
        <v>0</v>
      </c>
      <c r="D6803" s="2">
        <f t="shared" si="106"/>
        <v>1</v>
      </c>
    </row>
    <row r="6804" spans="1:4" x14ac:dyDescent="0.3">
      <c r="A6804" s="34">
        <v>51079</v>
      </c>
      <c r="B6804" s="35">
        <v>1</v>
      </c>
      <c r="C6804" s="35">
        <v>0</v>
      </c>
      <c r="D6804" s="2">
        <f t="shared" si="106"/>
        <v>1</v>
      </c>
    </row>
    <row r="6805" spans="1:4" x14ac:dyDescent="0.3">
      <c r="A6805" s="34">
        <v>51081</v>
      </c>
      <c r="B6805" s="35">
        <v>1</v>
      </c>
      <c r="C6805" s="35">
        <v>0</v>
      </c>
      <c r="D6805" s="2">
        <f t="shared" si="106"/>
        <v>1</v>
      </c>
    </row>
    <row r="6806" spans="1:4" x14ac:dyDescent="0.3">
      <c r="A6806" s="34">
        <v>51085</v>
      </c>
      <c r="B6806" s="35">
        <v>1</v>
      </c>
      <c r="C6806" s="35">
        <v>0</v>
      </c>
      <c r="D6806" s="2">
        <f t="shared" si="106"/>
        <v>1</v>
      </c>
    </row>
    <row r="6807" spans="1:4" x14ac:dyDescent="0.3">
      <c r="A6807" s="34">
        <v>51086</v>
      </c>
      <c r="B6807" s="35">
        <v>1</v>
      </c>
      <c r="C6807" s="35">
        <v>0</v>
      </c>
      <c r="D6807" s="2">
        <f t="shared" si="106"/>
        <v>1</v>
      </c>
    </row>
    <row r="6808" spans="1:4" x14ac:dyDescent="0.3">
      <c r="A6808" s="34">
        <v>51087</v>
      </c>
      <c r="B6808" s="35">
        <v>1</v>
      </c>
      <c r="C6808" s="35">
        <v>1</v>
      </c>
      <c r="D6808" s="2">
        <f t="shared" si="106"/>
        <v>2</v>
      </c>
    </row>
    <row r="6809" spans="1:4" x14ac:dyDescent="0.3">
      <c r="A6809" s="34">
        <v>51088</v>
      </c>
      <c r="B6809" s="35">
        <v>1</v>
      </c>
      <c r="C6809" s="35">
        <v>0</v>
      </c>
      <c r="D6809" s="2">
        <f t="shared" si="106"/>
        <v>1</v>
      </c>
    </row>
    <row r="6810" spans="1:4" x14ac:dyDescent="0.3">
      <c r="A6810" s="34">
        <v>51089</v>
      </c>
      <c r="B6810" s="35">
        <v>1</v>
      </c>
      <c r="C6810" s="35">
        <v>0</v>
      </c>
      <c r="D6810" s="2">
        <f t="shared" si="106"/>
        <v>1</v>
      </c>
    </row>
    <row r="6811" spans="1:4" x14ac:dyDescent="0.3">
      <c r="A6811" s="34">
        <v>51091</v>
      </c>
      <c r="B6811" s="35">
        <v>1</v>
      </c>
      <c r="C6811" s="35">
        <v>1</v>
      </c>
      <c r="D6811" s="2">
        <f t="shared" si="106"/>
        <v>2</v>
      </c>
    </row>
    <row r="6812" spans="1:4" x14ac:dyDescent="0.3">
      <c r="A6812" s="34">
        <v>51094</v>
      </c>
      <c r="B6812" s="35">
        <v>2</v>
      </c>
      <c r="C6812" s="35">
        <v>0</v>
      </c>
      <c r="D6812" s="2">
        <f t="shared" si="106"/>
        <v>2</v>
      </c>
    </row>
    <row r="6813" spans="1:4" x14ac:dyDescent="0.3">
      <c r="A6813" s="34">
        <v>51103</v>
      </c>
      <c r="B6813" s="35">
        <v>1</v>
      </c>
      <c r="C6813" s="35">
        <v>1</v>
      </c>
      <c r="D6813" s="2">
        <f t="shared" si="106"/>
        <v>2</v>
      </c>
    </row>
    <row r="6814" spans="1:4" x14ac:dyDescent="0.3">
      <c r="A6814" s="34">
        <v>51152</v>
      </c>
      <c r="B6814" s="35">
        <v>1</v>
      </c>
      <c r="C6814" s="35">
        <v>1</v>
      </c>
      <c r="D6814" s="2">
        <f t="shared" si="106"/>
        <v>2</v>
      </c>
    </row>
    <row r="6815" spans="1:4" x14ac:dyDescent="0.3">
      <c r="A6815" s="34">
        <v>51154</v>
      </c>
      <c r="B6815" s="35">
        <v>1</v>
      </c>
      <c r="C6815" s="35">
        <v>0</v>
      </c>
      <c r="D6815" s="2">
        <f t="shared" si="106"/>
        <v>1</v>
      </c>
    </row>
    <row r="6816" spans="1:4" x14ac:dyDescent="0.3">
      <c r="A6816" s="34">
        <v>51156</v>
      </c>
      <c r="B6816" s="35">
        <v>1</v>
      </c>
      <c r="C6816" s="35">
        <v>0</v>
      </c>
      <c r="D6816" s="2">
        <f t="shared" si="106"/>
        <v>1</v>
      </c>
    </row>
    <row r="6817" spans="1:4" x14ac:dyDescent="0.3">
      <c r="A6817" s="34">
        <v>51158</v>
      </c>
      <c r="B6817" s="35">
        <v>1</v>
      </c>
      <c r="C6817" s="35">
        <v>0</v>
      </c>
      <c r="D6817" s="2">
        <f t="shared" si="106"/>
        <v>1</v>
      </c>
    </row>
    <row r="6818" spans="1:4" x14ac:dyDescent="0.3">
      <c r="A6818" s="34">
        <v>51159</v>
      </c>
      <c r="B6818" s="35">
        <v>1</v>
      </c>
      <c r="C6818" s="35">
        <v>0</v>
      </c>
      <c r="D6818" s="2">
        <f t="shared" si="106"/>
        <v>1</v>
      </c>
    </row>
    <row r="6819" spans="1:4" x14ac:dyDescent="0.3">
      <c r="A6819" s="34">
        <v>51164</v>
      </c>
      <c r="B6819" s="35">
        <v>1</v>
      </c>
      <c r="C6819" s="35">
        <v>0</v>
      </c>
      <c r="D6819" s="2">
        <f t="shared" si="106"/>
        <v>1</v>
      </c>
    </row>
    <row r="6820" spans="1:4" x14ac:dyDescent="0.3">
      <c r="A6820" s="34">
        <v>51171</v>
      </c>
      <c r="B6820" s="35">
        <v>1</v>
      </c>
      <c r="C6820" s="35">
        <v>0</v>
      </c>
      <c r="D6820" s="2">
        <f t="shared" si="106"/>
        <v>1</v>
      </c>
    </row>
    <row r="6821" spans="1:4" x14ac:dyDescent="0.3">
      <c r="A6821" s="34">
        <v>51174</v>
      </c>
      <c r="B6821" s="35">
        <v>3</v>
      </c>
      <c r="C6821" s="35">
        <v>2</v>
      </c>
      <c r="D6821" s="2">
        <f t="shared" si="106"/>
        <v>5</v>
      </c>
    </row>
    <row r="6822" spans="1:4" x14ac:dyDescent="0.3">
      <c r="A6822" s="34">
        <v>51177</v>
      </c>
      <c r="B6822" s="35">
        <v>1</v>
      </c>
      <c r="C6822" s="35">
        <v>1</v>
      </c>
      <c r="D6822" s="2">
        <f t="shared" si="106"/>
        <v>2</v>
      </c>
    </row>
    <row r="6823" spans="1:4" x14ac:dyDescent="0.3">
      <c r="A6823" s="34">
        <v>51181</v>
      </c>
      <c r="B6823" s="35">
        <v>1</v>
      </c>
      <c r="C6823" s="35">
        <v>0</v>
      </c>
      <c r="D6823" s="2">
        <f t="shared" si="106"/>
        <v>1</v>
      </c>
    </row>
    <row r="6824" spans="1:4" x14ac:dyDescent="0.3">
      <c r="A6824" s="34">
        <v>51182</v>
      </c>
      <c r="B6824" s="35">
        <v>1</v>
      </c>
      <c r="C6824" s="35">
        <v>1</v>
      </c>
      <c r="D6824" s="2">
        <f t="shared" si="106"/>
        <v>2</v>
      </c>
    </row>
    <row r="6825" spans="1:4" x14ac:dyDescent="0.3">
      <c r="A6825" s="34">
        <v>51184</v>
      </c>
      <c r="B6825" s="35">
        <v>1</v>
      </c>
      <c r="C6825" s="35">
        <v>0</v>
      </c>
      <c r="D6825" s="2">
        <f t="shared" si="106"/>
        <v>1</v>
      </c>
    </row>
    <row r="6826" spans="1:4" x14ac:dyDescent="0.3">
      <c r="A6826" s="34">
        <v>51186</v>
      </c>
      <c r="B6826" s="35">
        <v>1</v>
      </c>
      <c r="C6826" s="35">
        <v>1</v>
      </c>
      <c r="D6826" s="2">
        <f t="shared" si="106"/>
        <v>2</v>
      </c>
    </row>
    <row r="6827" spans="1:4" x14ac:dyDescent="0.3">
      <c r="A6827" s="34">
        <v>51187</v>
      </c>
      <c r="B6827" s="35">
        <v>1</v>
      </c>
      <c r="C6827" s="35">
        <v>1</v>
      </c>
      <c r="D6827" s="2">
        <f t="shared" si="106"/>
        <v>2</v>
      </c>
    </row>
    <row r="6828" spans="1:4" x14ac:dyDescent="0.3">
      <c r="A6828" s="34">
        <v>51190</v>
      </c>
      <c r="B6828" s="35">
        <v>1</v>
      </c>
      <c r="C6828" s="35">
        <v>0</v>
      </c>
      <c r="D6828" s="2">
        <f t="shared" si="106"/>
        <v>1</v>
      </c>
    </row>
    <row r="6829" spans="1:4" x14ac:dyDescent="0.3">
      <c r="A6829" s="34">
        <v>51191</v>
      </c>
      <c r="B6829" s="35">
        <v>1</v>
      </c>
      <c r="C6829" s="35">
        <v>0</v>
      </c>
      <c r="D6829" s="2">
        <f t="shared" si="106"/>
        <v>1</v>
      </c>
    </row>
    <row r="6830" spans="1:4" x14ac:dyDescent="0.3">
      <c r="A6830" s="34">
        <v>51192</v>
      </c>
      <c r="B6830" s="35">
        <v>1</v>
      </c>
      <c r="C6830" s="35">
        <v>1</v>
      </c>
      <c r="D6830" s="2">
        <f t="shared" si="106"/>
        <v>2</v>
      </c>
    </row>
    <row r="6831" spans="1:4" x14ac:dyDescent="0.3">
      <c r="A6831" s="34">
        <v>51193</v>
      </c>
      <c r="B6831" s="35">
        <v>1</v>
      </c>
      <c r="C6831" s="35">
        <v>1</v>
      </c>
      <c r="D6831" s="2">
        <f t="shared" si="106"/>
        <v>2</v>
      </c>
    </row>
    <row r="6832" spans="1:4" x14ac:dyDescent="0.3">
      <c r="A6832" s="34">
        <v>51196</v>
      </c>
      <c r="B6832" s="35">
        <v>1</v>
      </c>
      <c r="C6832" s="35">
        <v>0</v>
      </c>
      <c r="D6832" s="2">
        <f t="shared" si="106"/>
        <v>1</v>
      </c>
    </row>
    <row r="6833" spans="1:4" x14ac:dyDescent="0.3">
      <c r="A6833" s="34">
        <v>51205</v>
      </c>
      <c r="B6833" s="35">
        <v>1</v>
      </c>
      <c r="C6833" s="35">
        <v>0</v>
      </c>
      <c r="D6833" s="2">
        <f t="shared" si="106"/>
        <v>1</v>
      </c>
    </row>
    <row r="6834" spans="1:4" x14ac:dyDescent="0.3">
      <c r="A6834" s="34">
        <v>51206</v>
      </c>
      <c r="B6834" s="35">
        <v>1</v>
      </c>
      <c r="C6834" s="35">
        <v>0</v>
      </c>
      <c r="D6834" s="2">
        <f t="shared" si="106"/>
        <v>1</v>
      </c>
    </row>
    <row r="6835" spans="1:4" x14ac:dyDescent="0.3">
      <c r="A6835" s="34">
        <v>51207</v>
      </c>
      <c r="B6835" s="35">
        <v>1</v>
      </c>
      <c r="C6835" s="35">
        <v>0</v>
      </c>
      <c r="D6835" s="2">
        <f t="shared" si="106"/>
        <v>1</v>
      </c>
    </row>
    <row r="6836" spans="1:4" x14ac:dyDescent="0.3">
      <c r="A6836" s="34">
        <v>51208</v>
      </c>
      <c r="B6836" s="35">
        <v>1</v>
      </c>
      <c r="C6836" s="35">
        <v>0</v>
      </c>
      <c r="D6836" s="2">
        <f t="shared" si="106"/>
        <v>1</v>
      </c>
    </row>
    <row r="6837" spans="1:4" x14ac:dyDescent="0.3">
      <c r="A6837" s="34">
        <v>51212</v>
      </c>
      <c r="B6837" s="35">
        <v>1</v>
      </c>
      <c r="C6837" s="35">
        <v>0</v>
      </c>
      <c r="D6837" s="2">
        <f t="shared" si="106"/>
        <v>1</v>
      </c>
    </row>
    <row r="6838" spans="1:4" x14ac:dyDescent="0.3">
      <c r="A6838" s="34">
        <v>51214</v>
      </c>
      <c r="B6838" s="35">
        <v>1</v>
      </c>
      <c r="C6838" s="35">
        <v>0</v>
      </c>
      <c r="D6838" s="2">
        <f t="shared" si="106"/>
        <v>1</v>
      </c>
    </row>
    <row r="6839" spans="1:4" x14ac:dyDescent="0.3">
      <c r="A6839" s="34">
        <v>51215</v>
      </c>
      <c r="B6839" s="35">
        <v>1</v>
      </c>
      <c r="C6839" s="35">
        <v>0</v>
      </c>
      <c r="D6839" s="2">
        <f t="shared" si="106"/>
        <v>1</v>
      </c>
    </row>
    <row r="6840" spans="1:4" x14ac:dyDescent="0.3">
      <c r="A6840" s="34">
        <v>51216</v>
      </c>
      <c r="B6840" s="35">
        <v>1</v>
      </c>
      <c r="C6840" s="35">
        <v>0</v>
      </c>
      <c r="D6840" s="2">
        <f t="shared" si="106"/>
        <v>1</v>
      </c>
    </row>
    <row r="6841" spans="1:4" x14ac:dyDescent="0.3">
      <c r="A6841" s="34">
        <v>51231</v>
      </c>
      <c r="B6841" s="35">
        <v>1</v>
      </c>
      <c r="C6841" s="35">
        <v>1</v>
      </c>
      <c r="D6841" s="2">
        <f t="shared" si="106"/>
        <v>2</v>
      </c>
    </row>
    <row r="6842" spans="1:4" x14ac:dyDescent="0.3">
      <c r="A6842" s="34">
        <v>51232</v>
      </c>
      <c r="B6842" s="35">
        <v>1</v>
      </c>
      <c r="C6842" s="35">
        <v>1</v>
      </c>
      <c r="D6842" s="2">
        <f t="shared" si="106"/>
        <v>2</v>
      </c>
    </row>
    <row r="6843" spans="1:4" x14ac:dyDescent="0.3">
      <c r="A6843" s="34">
        <v>51235</v>
      </c>
      <c r="B6843" s="35">
        <v>1</v>
      </c>
      <c r="C6843" s="35">
        <v>0</v>
      </c>
      <c r="D6843" s="2">
        <f t="shared" si="106"/>
        <v>1</v>
      </c>
    </row>
    <row r="6844" spans="1:4" x14ac:dyDescent="0.3">
      <c r="A6844" s="34">
        <v>51236</v>
      </c>
      <c r="B6844" s="35">
        <v>1</v>
      </c>
      <c r="C6844" s="35">
        <v>0</v>
      </c>
      <c r="D6844" s="2">
        <f t="shared" si="106"/>
        <v>1</v>
      </c>
    </row>
    <row r="6845" spans="1:4" x14ac:dyDescent="0.3">
      <c r="A6845" s="34">
        <v>51237</v>
      </c>
      <c r="B6845" s="35">
        <v>1</v>
      </c>
      <c r="C6845" s="35">
        <v>0</v>
      </c>
      <c r="D6845" s="2">
        <f t="shared" si="106"/>
        <v>1</v>
      </c>
    </row>
    <row r="6846" spans="1:4" x14ac:dyDescent="0.3">
      <c r="A6846" s="34">
        <v>51238</v>
      </c>
      <c r="B6846" s="35">
        <v>1</v>
      </c>
      <c r="C6846" s="35">
        <v>1</v>
      </c>
      <c r="D6846" s="2">
        <f t="shared" si="106"/>
        <v>2</v>
      </c>
    </row>
    <row r="6847" spans="1:4" x14ac:dyDescent="0.3">
      <c r="A6847" s="34">
        <v>51243</v>
      </c>
      <c r="B6847" s="35">
        <v>1</v>
      </c>
      <c r="C6847" s="35">
        <v>0</v>
      </c>
      <c r="D6847" s="2">
        <f t="shared" si="106"/>
        <v>1</v>
      </c>
    </row>
    <row r="6848" spans="1:4" x14ac:dyDescent="0.3">
      <c r="A6848" s="34">
        <v>51244</v>
      </c>
      <c r="B6848" s="35">
        <v>1</v>
      </c>
      <c r="C6848" s="35">
        <v>0</v>
      </c>
      <c r="D6848" s="2">
        <f t="shared" si="106"/>
        <v>1</v>
      </c>
    </row>
    <row r="6849" spans="1:4" x14ac:dyDescent="0.3">
      <c r="A6849" s="34">
        <v>51245</v>
      </c>
      <c r="B6849" s="35">
        <v>1</v>
      </c>
      <c r="C6849" s="35">
        <v>1</v>
      </c>
      <c r="D6849" s="2">
        <f t="shared" si="106"/>
        <v>2</v>
      </c>
    </row>
    <row r="6850" spans="1:4" x14ac:dyDescent="0.3">
      <c r="A6850" s="34">
        <v>51249</v>
      </c>
      <c r="B6850" s="35">
        <v>1</v>
      </c>
      <c r="C6850" s="35">
        <v>1</v>
      </c>
      <c r="D6850" s="2">
        <f t="shared" si="106"/>
        <v>2</v>
      </c>
    </row>
    <row r="6851" spans="1:4" x14ac:dyDescent="0.3">
      <c r="A6851" s="34">
        <v>51250</v>
      </c>
      <c r="B6851" s="35">
        <v>2</v>
      </c>
      <c r="C6851" s="35">
        <v>1</v>
      </c>
      <c r="D6851" s="2">
        <f t="shared" ref="D6851:D6914" si="107">B6851+C6851</f>
        <v>3</v>
      </c>
    </row>
    <row r="6852" spans="1:4" x14ac:dyDescent="0.3">
      <c r="A6852" s="34">
        <v>51255</v>
      </c>
      <c r="B6852" s="35">
        <v>1</v>
      </c>
      <c r="C6852" s="35">
        <v>0</v>
      </c>
      <c r="D6852" s="2">
        <f t="shared" si="107"/>
        <v>1</v>
      </c>
    </row>
    <row r="6853" spans="1:4" x14ac:dyDescent="0.3">
      <c r="A6853" s="34">
        <v>51257</v>
      </c>
      <c r="B6853" s="35">
        <v>1</v>
      </c>
      <c r="C6853" s="35">
        <v>1</v>
      </c>
      <c r="D6853" s="2">
        <f t="shared" si="107"/>
        <v>2</v>
      </c>
    </row>
    <row r="6854" spans="1:4" x14ac:dyDescent="0.3">
      <c r="A6854" s="34">
        <v>51260</v>
      </c>
      <c r="B6854" s="35">
        <v>1</v>
      </c>
      <c r="C6854" s="35">
        <v>0</v>
      </c>
      <c r="D6854" s="2">
        <f t="shared" si="107"/>
        <v>1</v>
      </c>
    </row>
    <row r="6855" spans="1:4" x14ac:dyDescent="0.3">
      <c r="A6855" s="34">
        <v>51286</v>
      </c>
      <c r="B6855" s="35">
        <v>1</v>
      </c>
      <c r="C6855" s="35">
        <v>1</v>
      </c>
      <c r="D6855" s="2">
        <f t="shared" si="107"/>
        <v>2</v>
      </c>
    </row>
    <row r="6856" spans="1:4" x14ac:dyDescent="0.3">
      <c r="A6856" s="34">
        <v>51292</v>
      </c>
      <c r="B6856" s="35">
        <v>1</v>
      </c>
      <c r="C6856" s="35">
        <v>0</v>
      </c>
      <c r="D6856" s="2">
        <f t="shared" si="107"/>
        <v>1</v>
      </c>
    </row>
    <row r="6857" spans="1:4" x14ac:dyDescent="0.3">
      <c r="A6857" s="34">
        <v>51293</v>
      </c>
      <c r="B6857" s="35">
        <v>1</v>
      </c>
      <c r="C6857" s="35">
        <v>0</v>
      </c>
      <c r="D6857" s="2">
        <f t="shared" si="107"/>
        <v>1</v>
      </c>
    </row>
    <row r="6858" spans="1:4" x14ac:dyDescent="0.3">
      <c r="A6858" s="34">
        <v>51294</v>
      </c>
      <c r="B6858" s="35">
        <v>2</v>
      </c>
      <c r="C6858" s="35">
        <v>1</v>
      </c>
      <c r="D6858" s="2">
        <f t="shared" si="107"/>
        <v>3</v>
      </c>
    </row>
    <row r="6859" spans="1:4" x14ac:dyDescent="0.3">
      <c r="A6859" s="34">
        <v>51295</v>
      </c>
      <c r="B6859" s="35">
        <v>1</v>
      </c>
      <c r="C6859" s="35">
        <v>1</v>
      </c>
      <c r="D6859" s="2">
        <f t="shared" si="107"/>
        <v>2</v>
      </c>
    </row>
    <row r="6860" spans="1:4" x14ac:dyDescent="0.3">
      <c r="A6860" s="34">
        <v>51305</v>
      </c>
      <c r="B6860" s="35">
        <v>1</v>
      </c>
      <c r="C6860" s="35">
        <v>0</v>
      </c>
      <c r="D6860" s="2">
        <f t="shared" si="107"/>
        <v>1</v>
      </c>
    </row>
    <row r="6861" spans="1:4" x14ac:dyDescent="0.3">
      <c r="A6861" s="34">
        <v>51306</v>
      </c>
      <c r="B6861" s="35">
        <v>1</v>
      </c>
      <c r="C6861" s="35">
        <v>0</v>
      </c>
      <c r="D6861" s="2">
        <f t="shared" si="107"/>
        <v>1</v>
      </c>
    </row>
    <row r="6862" spans="1:4" x14ac:dyDescent="0.3">
      <c r="A6862" s="34">
        <v>51307</v>
      </c>
      <c r="B6862" s="35">
        <v>1</v>
      </c>
      <c r="C6862" s="35">
        <v>0</v>
      </c>
      <c r="D6862" s="2">
        <f t="shared" si="107"/>
        <v>1</v>
      </c>
    </row>
    <row r="6863" spans="1:4" x14ac:dyDescent="0.3">
      <c r="A6863" s="34">
        <v>51313</v>
      </c>
      <c r="B6863" s="35">
        <v>1</v>
      </c>
      <c r="C6863" s="35">
        <v>1</v>
      </c>
      <c r="D6863" s="2">
        <f t="shared" si="107"/>
        <v>2</v>
      </c>
    </row>
    <row r="6864" spans="1:4" x14ac:dyDescent="0.3">
      <c r="A6864" s="34">
        <v>51316</v>
      </c>
      <c r="B6864" s="35">
        <v>1</v>
      </c>
      <c r="C6864" s="35">
        <v>0</v>
      </c>
      <c r="D6864" s="2">
        <f t="shared" si="107"/>
        <v>1</v>
      </c>
    </row>
    <row r="6865" spans="1:4" x14ac:dyDescent="0.3">
      <c r="A6865" s="34">
        <v>51317</v>
      </c>
      <c r="B6865" s="35">
        <v>2</v>
      </c>
      <c r="C6865" s="35">
        <v>0</v>
      </c>
      <c r="D6865" s="2">
        <f t="shared" si="107"/>
        <v>2</v>
      </c>
    </row>
    <row r="6866" spans="1:4" x14ac:dyDescent="0.3">
      <c r="A6866" s="34">
        <v>51320</v>
      </c>
      <c r="B6866" s="35">
        <v>2</v>
      </c>
      <c r="C6866" s="35">
        <v>1</v>
      </c>
      <c r="D6866" s="2">
        <f t="shared" si="107"/>
        <v>3</v>
      </c>
    </row>
    <row r="6867" spans="1:4" x14ac:dyDescent="0.3">
      <c r="A6867" s="34">
        <v>51323</v>
      </c>
      <c r="B6867" s="35">
        <v>1</v>
      </c>
      <c r="C6867" s="35">
        <v>0</v>
      </c>
      <c r="D6867" s="2">
        <f t="shared" si="107"/>
        <v>1</v>
      </c>
    </row>
    <row r="6868" spans="1:4" x14ac:dyDescent="0.3">
      <c r="A6868" s="34">
        <v>51325</v>
      </c>
      <c r="B6868" s="35">
        <v>1</v>
      </c>
      <c r="C6868" s="35">
        <v>0</v>
      </c>
      <c r="D6868" s="2">
        <f t="shared" si="107"/>
        <v>1</v>
      </c>
    </row>
    <row r="6869" spans="1:4" x14ac:dyDescent="0.3">
      <c r="A6869" s="34">
        <v>51328</v>
      </c>
      <c r="B6869" s="35">
        <v>1</v>
      </c>
      <c r="C6869" s="35">
        <v>0</v>
      </c>
      <c r="D6869" s="2">
        <f t="shared" si="107"/>
        <v>1</v>
      </c>
    </row>
    <row r="6870" spans="1:4" x14ac:dyDescent="0.3">
      <c r="A6870" s="34">
        <v>51332</v>
      </c>
      <c r="B6870" s="35">
        <v>1</v>
      </c>
      <c r="C6870" s="35">
        <v>0</v>
      </c>
      <c r="D6870" s="2">
        <f t="shared" si="107"/>
        <v>1</v>
      </c>
    </row>
    <row r="6871" spans="1:4" x14ac:dyDescent="0.3">
      <c r="A6871" s="34">
        <v>51333</v>
      </c>
      <c r="B6871" s="35">
        <v>1</v>
      </c>
      <c r="C6871" s="35">
        <v>0</v>
      </c>
      <c r="D6871" s="2">
        <f t="shared" si="107"/>
        <v>1</v>
      </c>
    </row>
    <row r="6872" spans="1:4" x14ac:dyDescent="0.3">
      <c r="A6872" s="34">
        <v>51335</v>
      </c>
      <c r="B6872" s="35">
        <v>1</v>
      </c>
      <c r="C6872" s="35">
        <v>0</v>
      </c>
      <c r="D6872" s="2">
        <f t="shared" si="107"/>
        <v>1</v>
      </c>
    </row>
    <row r="6873" spans="1:4" x14ac:dyDescent="0.3">
      <c r="A6873" s="34">
        <v>51349</v>
      </c>
      <c r="B6873" s="35">
        <v>1</v>
      </c>
      <c r="C6873" s="35">
        <v>0</v>
      </c>
      <c r="D6873" s="2">
        <f t="shared" si="107"/>
        <v>1</v>
      </c>
    </row>
    <row r="6874" spans="1:4" x14ac:dyDescent="0.3">
      <c r="A6874" s="34">
        <v>51395</v>
      </c>
      <c r="B6874" s="35">
        <v>2</v>
      </c>
      <c r="C6874" s="35">
        <v>0</v>
      </c>
      <c r="D6874" s="2">
        <f t="shared" si="107"/>
        <v>2</v>
      </c>
    </row>
    <row r="6875" spans="1:4" x14ac:dyDescent="0.3">
      <c r="A6875" s="34">
        <v>51400</v>
      </c>
      <c r="B6875" s="35">
        <v>1</v>
      </c>
      <c r="C6875" s="35">
        <v>0</v>
      </c>
      <c r="D6875" s="2">
        <f t="shared" si="107"/>
        <v>1</v>
      </c>
    </row>
    <row r="6876" spans="1:4" x14ac:dyDescent="0.3">
      <c r="A6876" s="34">
        <v>51401</v>
      </c>
      <c r="B6876" s="35">
        <v>1</v>
      </c>
      <c r="C6876" s="35">
        <v>0</v>
      </c>
      <c r="D6876" s="2">
        <f t="shared" si="107"/>
        <v>1</v>
      </c>
    </row>
    <row r="6877" spans="1:4" x14ac:dyDescent="0.3">
      <c r="A6877" s="34">
        <v>51402</v>
      </c>
      <c r="B6877" s="35">
        <v>1</v>
      </c>
      <c r="C6877" s="35">
        <v>0</v>
      </c>
      <c r="D6877" s="2">
        <f t="shared" si="107"/>
        <v>1</v>
      </c>
    </row>
    <row r="6878" spans="1:4" x14ac:dyDescent="0.3">
      <c r="A6878" s="34">
        <v>51404</v>
      </c>
      <c r="B6878" s="35">
        <v>1</v>
      </c>
      <c r="C6878" s="35">
        <v>0</v>
      </c>
      <c r="D6878" s="2">
        <f t="shared" si="107"/>
        <v>1</v>
      </c>
    </row>
    <row r="6879" spans="1:4" x14ac:dyDescent="0.3">
      <c r="A6879" s="34">
        <v>51408</v>
      </c>
      <c r="B6879" s="35">
        <v>2</v>
      </c>
      <c r="C6879" s="35">
        <v>0</v>
      </c>
      <c r="D6879" s="2">
        <f t="shared" si="107"/>
        <v>2</v>
      </c>
    </row>
    <row r="6880" spans="1:4" x14ac:dyDescent="0.3">
      <c r="A6880" s="34">
        <v>51409</v>
      </c>
      <c r="B6880" s="35">
        <v>1</v>
      </c>
      <c r="C6880" s="35">
        <v>0</v>
      </c>
      <c r="D6880" s="2">
        <f t="shared" si="107"/>
        <v>1</v>
      </c>
    </row>
    <row r="6881" spans="1:4" x14ac:dyDescent="0.3">
      <c r="A6881" s="34">
        <v>51412</v>
      </c>
      <c r="B6881" s="35">
        <v>1</v>
      </c>
      <c r="C6881" s="35">
        <v>0</v>
      </c>
      <c r="D6881" s="2">
        <f t="shared" si="107"/>
        <v>1</v>
      </c>
    </row>
    <row r="6882" spans="1:4" x14ac:dyDescent="0.3">
      <c r="A6882" s="34">
        <v>51414</v>
      </c>
      <c r="B6882" s="35">
        <v>1</v>
      </c>
      <c r="C6882" s="35">
        <v>0</v>
      </c>
      <c r="D6882" s="2">
        <f t="shared" si="107"/>
        <v>1</v>
      </c>
    </row>
    <row r="6883" spans="1:4" x14ac:dyDescent="0.3">
      <c r="A6883" s="34">
        <v>51416</v>
      </c>
      <c r="B6883" s="35">
        <v>1</v>
      </c>
      <c r="C6883" s="35">
        <v>1</v>
      </c>
      <c r="D6883" s="2">
        <f t="shared" si="107"/>
        <v>2</v>
      </c>
    </row>
    <row r="6884" spans="1:4" x14ac:dyDescent="0.3">
      <c r="A6884" s="34">
        <v>51417</v>
      </c>
      <c r="B6884" s="35">
        <v>1</v>
      </c>
      <c r="C6884" s="35">
        <v>0</v>
      </c>
      <c r="D6884" s="2">
        <f t="shared" si="107"/>
        <v>1</v>
      </c>
    </row>
    <row r="6885" spans="1:4" x14ac:dyDescent="0.3">
      <c r="A6885" s="34">
        <v>51419</v>
      </c>
      <c r="B6885" s="35">
        <v>1</v>
      </c>
      <c r="C6885" s="35">
        <v>0</v>
      </c>
      <c r="D6885" s="2">
        <f t="shared" si="107"/>
        <v>1</v>
      </c>
    </row>
    <row r="6886" spans="1:4" x14ac:dyDescent="0.3">
      <c r="A6886" s="34">
        <v>51421</v>
      </c>
      <c r="B6886" s="35">
        <v>1</v>
      </c>
      <c r="C6886" s="35">
        <v>0</v>
      </c>
      <c r="D6886" s="2">
        <f t="shared" si="107"/>
        <v>1</v>
      </c>
    </row>
    <row r="6887" spans="1:4" x14ac:dyDescent="0.3">
      <c r="A6887" s="34">
        <v>51424</v>
      </c>
      <c r="B6887" s="35">
        <v>2</v>
      </c>
      <c r="C6887" s="35">
        <v>0</v>
      </c>
      <c r="D6887" s="2">
        <f t="shared" si="107"/>
        <v>2</v>
      </c>
    </row>
    <row r="6888" spans="1:4" x14ac:dyDescent="0.3">
      <c r="A6888" s="34">
        <v>51426</v>
      </c>
      <c r="B6888" s="35">
        <v>1</v>
      </c>
      <c r="C6888" s="35">
        <v>0</v>
      </c>
      <c r="D6888" s="2">
        <f t="shared" si="107"/>
        <v>1</v>
      </c>
    </row>
    <row r="6889" spans="1:4" x14ac:dyDescent="0.3">
      <c r="A6889" s="34">
        <v>51427</v>
      </c>
      <c r="B6889" s="35">
        <v>1</v>
      </c>
      <c r="C6889" s="35">
        <v>0</v>
      </c>
      <c r="D6889" s="2">
        <f t="shared" si="107"/>
        <v>1</v>
      </c>
    </row>
    <row r="6890" spans="1:4" x14ac:dyDescent="0.3">
      <c r="A6890" s="34">
        <v>51428</v>
      </c>
      <c r="B6890" s="35">
        <v>1</v>
      </c>
      <c r="C6890" s="35">
        <v>0</v>
      </c>
      <c r="D6890" s="2">
        <f t="shared" si="107"/>
        <v>1</v>
      </c>
    </row>
    <row r="6891" spans="1:4" x14ac:dyDescent="0.3">
      <c r="A6891" s="34">
        <v>51430</v>
      </c>
      <c r="B6891" s="35">
        <v>1</v>
      </c>
      <c r="C6891" s="35">
        <v>1</v>
      </c>
      <c r="D6891" s="2">
        <f t="shared" si="107"/>
        <v>2</v>
      </c>
    </row>
    <row r="6892" spans="1:4" x14ac:dyDescent="0.3">
      <c r="A6892" s="34">
        <v>51434</v>
      </c>
      <c r="B6892" s="35">
        <v>1</v>
      </c>
      <c r="C6892" s="35">
        <v>0</v>
      </c>
      <c r="D6892" s="2">
        <f t="shared" si="107"/>
        <v>1</v>
      </c>
    </row>
    <row r="6893" spans="1:4" x14ac:dyDescent="0.3">
      <c r="A6893" s="34">
        <v>51435</v>
      </c>
      <c r="B6893" s="35">
        <v>1</v>
      </c>
      <c r="C6893" s="35">
        <v>0</v>
      </c>
      <c r="D6893" s="2">
        <f t="shared" si="107"/>
        <v>1</v>
      </c>
    </row>
    <row r="6894" spans="1:4" x14ac:dyDescent="0.3">
      <c r="A6894" s="34">
        <v>51436</v>
      </c>
      <c r="B6894" s="35">
        <v>1</v>
      </c>
      <c r="C6894" s="35">
        <v>0</v>
      </c>
      <c r="D6894" s="2">
        <f t="shared" si="107"/>
        <v>1</v>
      </c>
    </row>
    <row r="6895" spans="1:4" x14ac:dyDescent="0.3">
      <c r="A6895" s="34">
        <v>51437</v>
      </c>
      <c r="B6895" s="35">
        <v>1</v>
      </c>
      <c r="C6895" s="35">
        <v>1</v>
      </c>
      <c r="D6895" s="2">
        <f t="shared" si="107"/>
        <v>2</v>
      </c>
    </row>
    <row r="6896" spans="1:4" x14ac:dyDescent="0.3">
      <c r="A6896" s="34">
        <v>51440</v>
      </c>
      <c r="B6896" s="35">
        <v>1</v>
      </c>
      <c r="C6896" s="35">
        <v>1</v>
      </c>
      <c r="D6896" s="2">
        <f t="shared" si="107"/>
        <v>2</v>
      </c>
    </row>
    <row r="6897" spans="1:4" x14ac:dyDescent="0.3">
      <c r="A6897" s="34">
        <v>51441</v>
      </c>
      <c r="B6897" s="35">
        <v>1</v>
      </c>
      <c r="C6897" s="35">
        <v>0</v>
      </c>
      <c r="D6897" s="2">
        <f t="shared" si="107"/>
        <v>1</v>
      </c>
    </row>
    <row r="6898" spans="1:4" x14ac:dyDescent="0.3">
      <c r="A6898" s="34">
        <v>51442</v>
      </c>
      <c r="B6898" s="35">
        <v>2</v>
      </c>
      <c r="C6898" s="35">
        <v>0</v>
      </c>
      <c r="D6898" s="2">
        <f t="shared" si="107"/>
        <v>2</v>
      </c>
    </row>
    <row r="6899" spans="1:4" x14ac:dyDescent="0.3">
      <c r="A6899" s="34">
        <v>51453</v>
      </c>
      <c r="B6899" s="35">
        <v>1</v>
      </c>
      <c r="C6899" s="35">
        <v>0</v>
      </c>
      <c r="D6899" s="2">
        <f t="shared" si="107"/>
        <v>1</v>
      </c>
    </row>
    <row r="6900" spans="1:4" x14ac:dyDescent="0.3">
      <c r="A6900" s="34">
        <v>51455</v>
      </c>
      <c r="B6900" s="35">
        <v>1</v>
      </c>
      <c r="C6900" s="35">
        <v>0</v>
      </c>
      <c r="D6900" s="2">
        <f t="shared" si="107"/>
        <v>1</v>
      </c>
    </row>
    <row r="6901" spans="1:4" x14ac:dyDescent="0.3">
      <c r="A6901" s="34">
        <v>51459</v>
      </c>
      <c r="B6901" s="35">
        <v>1</v>
      </c>
      <c r="C6901" s="35">
        <v>0</v>
      </c>
      <c r="D6901" s="2">
        <f t="shared" si="107"/>
        <v>1</v>
      </c>
    </row>
    <row r="6902" spans="1:4" x14ac:dyDescent="0.3">
      <c r="A6902" s="34">
        <v>51465</v>
      </c>
      <c r="B6902" s="35">
        <v>1</v>
      </c>
      <c r="C6902" s="35">
        <v>0</v>
      </c>
      <c r="D6902" s="2">
        <f t="shared" si="107"/>
        <v>1</v>
      </c>
    </row>
    <row r="6903" spans="1:4" x14ac:dyDescent="0.3">
      <c r="A6903" s="34">
        <v>51468</v>
      </c>
      <c r="B6903" s="35">
        <v>1</v>
      </c>
      <c r="C6903" s="35">
        <v>0</v>
      </c>
      <c r="D6903" s="2">
        <f t="shared" si="107"/>
        <v>1</v>
      </c>
    </row>
    <row r="6904" spans="1:4" x14ac:dyDescent="0.3">
      <c r="A6904" s="34">
        <v>51469</v>
      </c>
      <c r="B6904" s="35">
        <v>1</v>
      </c>
      <c r="C6904" s="35">
        <v>1</v>
      </c>
      <c r="D6904" s="2">
        <f t="shared" si="107"/>
        <v>2</v>
      </c>
    </row>
    <row r="6905" spans="1:4" x14ac:dyDescent="0.3">
      <c r="A6905" s="34">
        <v>51471</v>
      </c>
      <c r="B6905" s="35">
        <v>1</v>
      </c>
      <c r="C6905" s="35">
        <v>1</v>
      </c>
      <c r="D6905" s="2">
        <f t="shared" si="107"/>
        <v>2</v>
      </c>
    </row>
    <row r="6906" spans="1:4" x14ac:dyDescent="0.3">
      <c r="A6906" s="34">
        <v>51474</v>
      </c>
      <c r="B6906" s="35">
        <v>1</v>
      </c>
      <c r="C6906" s="35">
        <v>1</v>
      </c>
      <c r="D6906" s="2">
        <f t="shared" si="107"/>
        <v>2</v>
      </c>
    </row>
    <row r="6907" spans="1:4" x14ac:dyDescent="0.3">
      <c r="A6907" s="34">
        <v>51475</v>
      </c>
      <c r="B6907" s="35">
        <v>1</v>
      </c>
      <c r="C6907" s="35">
        <v>0</v>
      </c>
      <c r="D6907" s="2">
        <f t="shared" si="107"/>
        <v>1</v>
      </c>
    </row>
    <row r="6908" spans="1:4" x14ac:dyDescent="0.3">
      <c r="A6908" s="34">
        <v>51476</v>
      </c>
      <c r="B6908" s="35">
        <v>1</v>
      </c>
      <c r="C6908" s="35">
        <v>0</v>
      </c>
      <c r="D6908" s="2">
        <f t="shared" si="107"/>
        <v>1</v>
      </c>
    </row>
    <row r="6909" spans="1:4" x14ac:dyDescent="0.3">
      <c r="A6909" s="34">
        <v>51477</v>
      </c>
      <c r="B6909" s="35">
        <v>1</v>
      </c>
      <c r="C6909" s="35">
        <v>1</v>
      </c>
      <c r="D6909" s="2">
        <f t="shared" si="107"/>
        <v>2</v>
      </c>
    </row>
    <row r="6910" spans="1:4" x14ac:dyDescent="0.3">
      <c r="A6910" s="34">
        <v>51480</v>
      </c>
      <c r="B6910" s="35">
        <v>1</v>
      </c>
      <c r="C6910" s="35">
        <v>0</v>
      </c>
      <c r="D6910" s="2">
        <f t="shared" si="107"/>
        <v>1</v>
      </c>
    </row>
    <row r="6911" spans="1:4" x14ac:dyDescent="0.3">
      <c r="A6911" s="34">
        <v>51506</v>
      </c>
      <c r="B6911" s="35">
        <v>1</v>
      </c>
      <c r="C6911" s="35">
        <v>0</v>
      </c>
      <c r="D6911" s="2">
        <f t="shared" si="107"/>
        <v>1</v>
      </c>
    </row>
    <row r="6912" spans="1:4" x14ac:dyDescent="0.3">
      <c r="A6912" s="34">
        <v>51510</v>
      </c>
      <c r="B6912" s="35">
        <v>1</v>
      </c>
      <c r="C6912" s="35">
        <v>0</v>
      </c>
      <c r="D6912" s="2">
        <f t="shared" si="107"/>
        <v>1</v>
      </c>
    </row>
    <row r="6913" spans="1:4" x14ac:dyDescent="0.3">
      <c r="A6913" s="34">
        <v>51511</v>
      </c>
      <c r="B6913" s="35">
        <v>1</v>
      </c>
      <c r="C6913" s="35">
        <v>0</v>
      </c>
      <c r="D6913" s="2">
        <f t="shared" si="107"/>
        <v>1</v>
      </c>
    </row>
    <row r="6914" spans="1:4" x14ac:dyDescent="0.3">
      <c r="A6914" s="34">
        <v>51513</v>
      </c>
      <c r="B6914" s="35">
        <v>1</v>
      </c>
      <c r="C6914" s="35">
        <v>0</v>
      </c>
      <c r="D6914" s="2">
        <f t="shared" si="107"/>
        <v>1</v>
      </c>
    </row>
    <row r="6915" spans="1:4" x14ac:dyDescent="0.3">
      <c r="A6915" s="34">
        <v>51515</v>
      </c>
      <c r="B6915" s="35">
        <v>1</v>
      </c>
      <c r="C6915" s="35">
        <v>0</v>
      </c>
      <c r="D6915" s="2">
        <f t="shared" ref="D6915:D6978" si="108">B6915+C6915</f>
        <v>1</v>
      </c>
    </row>
    <row r="6916" spans="1:4" x14ac:dyDescent="0.3">
      <c r="A6916" s="34">
        <v>51516</v>
      </c>
      <c r="B6916" s="35">
        <v>1</v>
      </c>
      <c r="C6916" s="35">
        <v>0</v>
      </c>
      <c r="D6916" s="2">
        <f t="shared" si="108"/>
        <v>1</v>
      </c>
    </row>
    <row r="6917" spans="1:4" x14ac:dyDescent="0.3">
      <c r="A6917" s="34">
        <v>51517</v>
      </c>
      <c r="B6917" s="35">
        <v>1</v>
      </c>
      <c r="C6917" s="35">
        <v>0</v>
      </c>
      <c r="D6917" s="2">
        <f t="shared" si="108"/>
        <v>1</v>
      </c>
    </row>
    <row r="6918" spans="1:4" x14ac:dyDescent="0.3">
      <c r="A6918" s="34">
        <v>51521</v>
      </c>
      <c r="B6918" s="35">
        <v>1</v>
      </c>
      <c r="C6918" s="35">
        <v>0</v>
      </c>
      <c r="D6918" s="2">
        <f t="shared" si="108"/>
        <v>1</v>
      </c>
    </row>
    <row r="6919" spans="1:4" x14ac:dyDescent="0.3">
      <c r="A6919" s="34">
        <v>51522</v>
      </c>
      <c r="B6919" s="35">
        <v>1</v>
      </c>
      <c r="C6919" s="35">
        <v>0</v>
      </c>
      <c r="D6919" s="2">
        <f t="shared" si="108"/>
        <v>1</v>
      </c>
    </row>
    <row r="6920" spans="1:4" x14ac:dyDescent="0.3">
      <c r="A6920" s="34">
        <v>51526</v>
      </c>
      <c r="B6920" s="35">
        <v>1</v>
      </c>
      <c r="C6920" s="35">
        <v>0</v>
      </c>
      <c r="D6920" s="2">
        <f t="shared" si="108"/>
        <v>1</v>
      </c>
    </row>
    <row r="6921" spans="1:4" x14ac:dyDescent="0.3">
      <c r="A6921" s="34">
        <v>51528</v>
      </c>
      <c r="B6921" s="35">
        <v>1</v>
      </c>
      <c r="C6921" s="35">
        <v>0</v>
      </c>
      <c r="D6921" s="2">
        <f t="shared" si="108"/>
        <v>1</v>
      </c>
    </row>
    <row r="6922" spans="1:4" x14ac:dyDescent="0.3">
      <c r="A6922" s="34">
        <v>51529</v>
      </c>
      <c r="B6922" s="35">
        <v>1</v>
      </c>
      <c r="C6922" s="35">
        <v>0</v>
      </c>
      <c r="D6922" s="2">
        <f t="shared" si="108"/>
        <v>1</v>
      </c>
    </row>
    <row r="6923" spans="1:4" x14ac:dyDescent="0.3">
      <c r="A6923" s="34">
        <v>51530</v>
      </c>
      <c r="B6923" s="35">
        <v>1</v>
      </c>
      <c r="C6923" s="35">
        <v>0</v>
      </c>
      <c r="D6923" s="2">
        <f t="shared" si="108"/>
        <v>1</v>
      </c>
    </row>
    <row r="6924" spans="1:4" x14ac:dyDescent="0.3">
      <c r="A6924" s="34">
        <v>51536</v>
      </c>
      <c r="B6924" s="35">
        <v>1</v>
      </c>
      <c r="C6924" s="35">
        <v>1</v>
      </c>
      <c r="D6924" s="2">
        <f t="shared" si="108"/>
        <v>2</v>
      </c>
    </row>
    <row r="6925" spans="1:4" x14ac:dyDescent="0.3">
      <c r="A6925" s="34">
        <v>51537</v>
      </c>
      <c r="B6925" s="35">
        <v>1</v>
      </c>
      <c r="C6925" s="35">
        <v>0</v>
      </c>
      <c r="D6925" s="2">
        <f t="shared" si="108"/>
        <v>1</v>
      </c>
    </row>
    <row r="6926" spans="1:4" x14ac:dyDescent="0.3">
      <c r="A6926" s="34">
        <v>51541</v>
      </c>
      <c r="B6926" s="35">
        <v>1</v>
      </c>
      <c r="C6926" s="35">
        <v>0</v>
      </c>
      <c r="D6926" s="2">
        <f t="shared" si="108"/>
        <v>1</v>
      </c>
    </row>
    <row r="6927" spans="1:4" x14ac:dyDescent="0.3">
      <c r="A6927" s="34">
        <v>51543</v>
      </c>
      <c r="B6927" s="35">
        <v>1</v>
      </c>
      <c r="C6927" s="35">
        <v>0</v>
      </c>
      <c r="D6927" s="2">
        <f t="shared" si="108"/>
        <v>1</v>
      </c>
    </row>
    <row r="6928" spans="1:4" x14ac:dyDescent="0.3">
      <c r="A6928" s="34">
        <v>51544</v>
      </c>
      <c r="B6928" s="35">
        <v>1</v>
      </c>
      <c r="C6928" s="35">
        <v>0</v>
      </c>
      <c r="D6928" s="2">
        <f t="shared" si="108"/>
        <v>1</v>
      </c>
    </row>
    <row r="6929" spans="1:4" x14ac:dyDescent="0.3">
      <c r="A6929" s="34">
        <v>51546</v>
      </c>
      <c r="B6929" s="35">
        <v>1</v>
      </c>
      <c r="C6929" s="35">
        <v>1</v>
      </c>
      <c r="D6929" s="2">
        <f t="shared" si="108"/>
        <v>2</v>
      </c>
    </row>
    <row r="6930" spans="1:4" x14ac:dyDescent="0.3">
      <c r="A6930" s="34">
        <v>51547</v>
      </c>
      <c r="B6930" s="35">
        <v>2</v>
      </c>
      <c r="C6930" s="35">
        <v>0</v>
      </c>
      <c r="D6930" s="2">
        <f t="shared" si="108"/>
        <v>2</v>
      </c>
    </row>
    <row r="6931" spans="1:4" x14ac:dyDescent="0.3">
      <c r="A6931" s="34">
        <v>51551</v>
      </c>
      <c r="B6931" s="35">
        <v>1</v>
      </c>
      <c r="C6931" s="35">
        <v>1</v>
      </c>
      <c r="D6931" s="2">
        <f t="shared" si="108"/>
        <v>2</v>
      </c>
    </row>
    <row r="6932" spans="1:4" x14ac:dyDescent="0.3">
      <c r="A6932" s="34">
        <v>51552</v>
      </c>
      <c r="B6932" s="35">
        <v>1</v>
      </c>
      <c r="C6932" s="35">
        <v>0</v>
      </c>
      <c r="D6932" s="2">
        <f t="shared" si="108"/>
        <v>1</v>
      </c>
    </row>
    <row r="6933" spans="1:4" x14ac:dyDescent="0.3">
      <c r="A6933" s="34">
        <v>51553</v>
      </c>
      <c r="B6933" s="35">
        <v>1</v>
      </c>
      <c r="C6933" s="35">
        <v>0</v>
      </c>
      <c r="D6933" s="2">
        <f t="shared" si="108"/>
        <v>1</v>
      </c>
    </row>
    <row r="6934" spans="1:4" x14ac:dyDescent="0.3">
      <c r="A6934" s="34">
        <v>51554</v>
      </c>
      <c r="B6934" s="35">
        <v>1</v>
      </c>
      <c r="C6934" s="35">
        <v>0</v>
      </c>
      <c r="D6934" s="2">
        <f t="shared" si="108"/>
        <v>1</v>
      </c>
    </row>
    <row r="6935" spans="1:4" x14ac:dyDescent="0.3">
      <c r="A6935" s="34">
        <v>51555</v>
      </c>
      <c r="B6935" s="35">
        <v>1</v>
      </c>
      <c r="C6935" s="35">
        <v>0</v>
      </c>
      <c r="D6935" s="2">
        <f t="shared" si="108"/>
        <v>1</v>
      </c>
    </row>
    <row r="6936" spans="1:4" x14ac:dyDescent="0.3">
      <c r="A6936" s="34">
        <v>51556</v>
      </c>
      <c r="B6936" s="35">
        <v>1</v>
      </c>
      <c r="C6936" s="35">
        <v>0</v>
      </c>
      <c r="D6936" s="2">
        <f t="shared" si="108"/>
        <v>1</v>
      </c>
    </row>
    <row r="6937" spans="1:4" x14ac:dyDescent="0.3">
      <c r="A6937" s="34">
        <v>51558</v>
      </c>
      <c r="B6937" s="35">
        <v>2</v>
      </c>
      <c r="C6937" s="35">
        <v>0</v>
      </c>
      <c r="D6937" s="2">
        <f t="shared" si="108"/>
        <v>2</v>
      </c>
    </row>
    <row r="6938" spans="1:4" x14ac:dyDescent="0.3">
      <c r="A6938" s="34">
        <v>51576</v>
      </c>
      <c r="B6938" s="35">
        <v>1</v>
      </c>
      <c r="C6938" s="35">
        <v>0</v>
      </c>
      <c r="D6938" s="2">
        <f t="shared" si="108"/>
        <v>1</v>
      </c>
    </row>
    <row r="6939" spans="1:4" x14ac:dyDescent="0.3">
      <c r="A6939" s="34">
        <v>51581</v>
      </c>
      <c r="B6939" s="35">
        <v>1</v>
      </c>
      <c r="C6939" s="35">
        <v>0</v>
      </c>
      <c r="D6939" s="2">
        <f t="shared" si="108"/>
        <v>1</v>
      </c>
    </row>
    <row r="6940" spans="1:4" x14ac:dyDescent="0.3">
      <c r="A6940" s="34">
        <v>51582</v>
      </c>
      <c r="B6940" s="35">
        <v>1</v>
      </c>
      <c r="C6940" s="35">
        <v>0</v>
      </c>
      <c r="D6940" s="2">
        <f t="shared" si="108"/>
        <v>1</v>
      </c>
    </row>
    <row r="6941" spans="1:4" x14ac:dyDescent="0.3">
      <c r="A6941" s="34">
        <v>51584</v>
      </c>
      <c r="B6941" s="35">
        <v>1</v>
      </c>
      <c r="C6941" s="35">
        <v>0</v>
      </c>
      <c r="D6941" s="2">
        <f t="shared" si="108"/>
        <v>1</v>
      </c>
    </row>
    <row r="6942" spans="1:4" x14ac:dyDescent="0.3">
      <c r="A6942" s="34">
        <v>51588</v>
      </c>
      <c r="B6942" s="35">
        <v>1</v>
      </c>
      <c r="C6942" s="35">
        <v>0</v>
      </c>
      <c r="D6942" s="2">
        <f t="shared" si="108"/>
        <v>1</v>
      </c>
    </row>
    <row r="6943" spans="1:4" x14ac:dyDescent="0.3">
      <c r="A6943" s="34">
        <v>51590</v>
      </c>
      <c r="B6943" s="35">
        <v>1</v>
      </c>
      <c r="C6943" s="35">
        <v>0</v>
      </c>
      <c r="D6943" s="2">
        <f t="shared" si="108"/>
        <v>1</v>
      </c>
    </row>
    <row r="6944" spans="1:4" x14ac:dyDescent="0.3">
      <c r="A6944" s="34">
        <v>51592</v>
      </c>
      <c r="B6944" s="35">
        <v>1</v>
      </c>
      <c r="C6944" s="35">
        <v>1</v>
      </c>
      <c r="D6944" s="2">
        <f t="shared" si="108"/>
        <v>2</v>
      </c>
    </row>
    <row r="6945" spans="1:4" x14ac:dyDescent="0.3">
      <c r="A6945" s="34">
        <v>51594</v>
      </c>
      <c r="B6945" s="35">
        <v>1</v>
      </c>
      <c r="C6945" s="35">
        <v>0</v>
      </c>
      <c r="D6945" s="2">
        <f t="shared" si="108"/>
        <v>1</v>
      </c>
    </row>
    <row r="6946" spans="1:4" x14ac:dyDescent="0.3">
      <c r="A6946" s="34">
        <v>51597</v>
      </c>
      <c r="B6946" s="35">
        <v>1</v>
      </c>
      <c r="C6946" s="35">
        <v>1</v>
      </c>
      <c r="D6946" s="2">
        <f t="shared" si="108"/>
        <v>2</v>
      </c>
    </row>
    <row r="6947" spans="1:4" x14ac:dyDescent="0.3">
      <c r="A6947" s="34">
        <v>51600</v>
      </c>
      <c r="B6947" s="35">
        <v>1</v>
      </c>
      <c r="C6947" s="35">
        <v>0</v>
      </c>
      <c r="D6947" s="2">
        <f t="shared" si="108"/>
        <v>1</v>
      </c>
    </row>
    <row r="6948" spans="1:4" x14ac:dyDescent="0.3">
      <c r="A6948" s="34">
        <v>51605</v>
      </c>
      <c r="B6948" s="35">
        <v>1</v>
      </c>
      <c r="C6948" s="35">
        <v>0</v>
      </c>
      <c r="D6948" s="2">
        <f t="shared" si="108"/>
        <v>1</v>
      </c>
    </row>
    <row r="6949" spans="1:4" x14ac:dyDescent="0.3">
      <c r="A6949" s="34">
        <v>51606</v>
      </c>
      <c r="B6949" s="35">
        <v>1</v>
      </c>
      <c r="C6949" s="35">
        <v>0</v>
      </c>
      <c r="D6949" s="2">
        <f t="shared" si="108"/>
        <v>1</v>
      </c>
    </row>
    <row r="6950" spans="1:4" x14ac:dyDescent="0.3">
      <c r="A6950" s="34">
        <v>51607</v>
      </c>
      <c r="B6950" s="35">
        <v>1</v>
      </c>
      <c r="C6950" s="35">
        <v>1</v>
      </c>
      <c r="D6950" s="2">
        <f t="shared" si="108"/>
        <v>2</v>
      </c>
    </row>
    <row r="6951" spans="1:4" x14ac:dyDescent="0.3">
      <c r="A6951" s="34">
        <v>51611</v>
      </c>
      <c r="B6951" s="35">
        <v>1</v>
      </c>
      <c r="C6951" s="35">
        <v>0</v>
      </c>
      <c r="D6951" s="2">
        <f t="shared" si="108"/>
        <v>1</v>
      </c>
    </row>
    <row r="6952" spans="1:4" x14ac:dyDescent="0.3">
      <c r="A6952" s="34">
        <v>51612</v>
      </c>
      <c r="B6952" s="35">
        <v>1</v>
      </c>
      <c r="C6952" s="35">
        <v>0</v>
      </c>
      <c r="D6952" s="2">
        <f t="shared" si="108"/>
        <v>1</v>
      </c>
    </row>
    <row r="6953" spans="1:4" x14ac:dyDescent="0.3">
      <c r="A6953" s="34">
        <v>51614</v>
      </c>
      <c r="B6953" s="35">
        <v>1</v>
      </c>
      <c r="C6953" s="35">
        <v>0</v>
      </c>
      <c r="D6953" s="2">
        <f t="shared" si="108"/>
        <v>1</v>
      </c>
    </row>
    <row r="6954" spans="1:4" x14ac:dyDescent="0.3">
      <c r="A6954" s="34">
        <v>51619</v>
      </c>
      <c r="B6954" s="35">
        <v>2</v>
      </c>
      <c r="C6954" s="35">
        <v>0</v>
      </c>
      <c r="D6954" s="2">
        <f t="shared" si="108"/>
        <v>2</v>
      </c>
    </row>
    <row r="6955" spans="1:4" x14ac:dyDescent="0.3">
      <c r="A6955" s="34">
        <v>51621</v>
      </c>
      <c r="B6955" s="35">
        <v>1</v>
      </c>
      <c r="C6955" s="35">
        <v>0</v>
      </c>
      <c r="D6955" s="2">
        <f t="shared" si="108"/>
        <v>1</v>
      </c>
    </row>
    <row r="6956" spans="1:4" x14ac:dyDescent="0.3">
      <c r="A6956" s="34">
        <v>51622</v>
      </c>
      <c r="B6956" s="35">
        <v>1</v>
      </c>
      <c r="C6956" s="35">
        <v>0</v>
      </c>
      <c r="D6956" s="2">
        <f t="shared" si="108"/>
        <v>1</v>
      </c>
    </row>
    <row r="6957" spans="1:4" x14ac:dyDescent="0.3">
      <c r="A6957" s="34">
        <v>51628</v>
      </c>
      <c r="B6957" s="35">
        <v>1</v>
      </c>
      <c r="C6957" s="35">
        <v>0</v>
      </c>
      <c r="D6957" s="2">
        <f t="shared" si="108"/>
        <v>1</v>
      </c>
    </row>
    <row r="6958" spans="1:4" x14ac:dyDescent="0.3">
      <c r="A6958" s="34">
        <v>51629</v>
      </c>
      <c r="B6958" s="35">
        <v>1</v>
      </c>
      <c r="C6958" s="35">
        <v>0</v>
      </c>
      <c r="D6958" s="2">
        <f t="shared" si="108"/>
        <v>1</v>
      </c>
    </row>
    <row r="6959" spans="1:4" x14ac:dyDescent="0.3">
      <c r="A6959" s="34">
        <v>51633</v>
      </c>
      <c r="B6959" s="35">
        <v>1</v>
      </c>
      <c r="C6959" s="35">
        <v>0</v>
      </c>
      <c r="D6959" s="2">
        <f t="shared" si="108"/>
        <v>1</v>
      </c>
    </row>
    <row r="6960" spans="1:4" x14ac:dyDescent="0.3">
      <c r="A6960" s="34">
        <v>51640</v>
      </c>
      <c r="B6960" s="35">
        <v>1</v>
      </c>
      <c r="C6960" s="35">
        <v>1</v>
      </c>
      <c r="D6960" s="2">
        <f t="shared" si="108"/>
        <v>2</v>
      </c>
    </row>
    <row r="6961" spans="1:4" x14ac:dyDescent="0.3">
      <c r="A6961" s="34">
        <v>51641</v>
      </c>
      <c r="B6961" s="35">
        <v>1</v>
      </c>
      <c r="C6961" s="35">
        <v>0</v>
      </c>
      <c r="D6961" s="2">
        <f t="shared" si="108"/>
        <v>1</v>
      </c>
    </row>
    <row r="6962" spans="1:4" x14ac:dyDescent="0.3">
      <c r="A6962" s="34">
        <v>51643</v>
      </c>
      <c r="B6962" s="35">
        <v>1</v>
      </c>
      <c r="C6962" s="35">
        <v>1</v>
      </c>
      <c r="D6962" s="2">
        <f t="shared" si="108"/>
        <v>2</v>
      </c>
    </row>
    <row r="6963" spans="1:4" x14ac:dyDescent="0.3">
      <c r="A6963" s="34">
        <v>51686</v>
      </c>
      <c r="B6963" s="35">
        <v>1</v>
      </c>
      <c r="C6963" s="35">
        <v>0</v>
      </c>
      <c r="D6963" s="2">
        <f t="shared" si="108"/>
        <v>1</v>
      </c>
    </row>
    <row r="6964" spans="1:4" x14ac:dyDescent="0.3">
      <c r="A6964" s="34">
        <v>51688</v>
      </c>
      <c r="B6964" s="35">
        <v>1</v>
      </c>
      <c r="C6964" s="35">
        <v>1</v>
      </c>
      <c r="D6964" s="2">
        <f t="shared" si="108"/>
        <v>2</v>
      </c>
    </row>
    <row r="6965" spans="1:4" x14ac:dyDescent="0.3">
      <c r="A6965" s="34">
        <v>51692</v>
      </c>
      <c r="B6965" s="35">
        <v>1</v>
      </c>
      <c r="C6965" s="35">
        <v>0</v>
      </c>
      <c r="D6965" s="2">
        <f t="shared" si="108"/>
        <v>1</v>
      </c>
    </row>
    <row r="6966" spans="1:4" x14ac:dyDescent="0.3">
      <c r="A6966" s="34">
        <v>51693</v>
      </c>
      <c r="B6966" s="35">
        <v>1</v>
      </c>
      <c r="C6966" s="35">
        <v>0</v>
      </c>
      <c r="D6966" s="2">
        <f t="shared" si="108"/>
        <v>1</v>
      </c>
    </row>
    <row r="6967" spans="1:4" x14ac:dyDescent="0.3">
      <c r="A6967" s="34">
        <v>51694</v>
      </c>
      <c r="B6967" s="35">
        <v>1</v>
      </c>
      <c r="C6967" s="35">
        <v>0</v>
      </c>
      <c r="D6967" s="2">
        <f t="shared" si="108"/>
        <v>1</v>
      </c>
    </row>
    <row r="6968" spans="1:4" x14ac:dyDescent="0.3">
      <c r="A6968" s="34">
        <v>51695</v>
      </c>
      <c r="B6968" s="35">
        <v>1</v>
      </c>
      <c r="C6968" s="35">
        <v>0</v>
      </c>
      <c r="D6968" s="2">
        <f t="shared" si="108"/>
        <v>1</v>
      </c>
    </row>
    <row r="6969" spans="1:4" x14ac:dyDescent="0.3">
      <c r="A6969" s="34">
        <v>51696</v>
      </c>
      <c r="B6969" s="35">
        <v>1</v>
      </c>
      <c r="C6969" s="35">
        <v>0</v>
      </c>
      <c r="D6969" s="2">
        <f t="shared" si="108"/>
        <v>1</v>
      </c>
    </row>
    <row r="6970" spans="1:4" x14ac:dyDescent="0.3">
      <c r="A6970" s="34">
        <v>51699</v>
      </c>
      <c r="B6970" s="35">
        <v>2</v>
      </c>
      <c r="C6970" s="35">
        <v>2</v>
      </c>
      <c r="D6970" s="2">
        <f t="shared" si="108"/>
        <v>4</v>
      </c>
    </row>
    <row r="6971" spans="1:4" x14ac:dyDescent="0.3">
      <c r="A6971" s="34">
        <v>51709</v>
      </c>
      <c r="B6971" s="35">
        <v>1</v>
      </c>
      <c r="C6971" s="35">
        <v>0</v>
      </c>
      <c r="D6971" s="2">
        <f t="shared" si="108"/>
        <v>1</v>
      </c>
    </row>
    <row r="6972" spans="1:4" x14ac:dyDescent="0.3">
      <c r="A6972" s="34">
        <v>51710</v>
      </c>
      <c r="B6972" s="35">
        <v>1</v>
      </c>
      <c r="C6972" s="35">
        <v>0</v>
      </c>
      <c r="D6972" s="2">
        <f t="shared" si="108"/>
        <v>1</v>
      </c>
    </row>
    <row r="6973" spans="1:4" x14ac:dyDescent="0.3">
      <c r="A6973" s="34">
        <v>51712</v>
      </c>
      <c r="B6973" s="35">
        <v>1</v>
      </c>
      <c r="C6973" s="35">
        <v>0</v>
      </c>
      <c r="D6973" s="2">
        <f t="shared" si="108"/>
        <v>1</v>
      </c>
    </row>
    <row r="6974" spans="1:4" x14ac:dyDescent="0.3">
      <c r="A6974" s="34">
        <v>51714</v>
      </c>
      <c r="B6974" s="35">
        <v>1</v>
      </c>
      <c r="C6974" s="35">
        <v>0</v>
      </c>
      <c r="D6974" s="2">
        <f t="shared" si="108"/>
        <v>1</v>
      </c>
    </row>
    <row r="6975" spans="1:4" x14ac:dyDescent="0.3">
      <c r="A6975" s="34">
        <v>51716</v>
      </c>
      <c r="B6975" s="35">
        <v>1</v>
      </c>
      <c r="C6975" s="35">
        <v>0</v>
      </c>
      <c r="D6975" s="2">
        <f t="shared" si="108"/>
        <v>1</v>
      </c>
    </row>
    <row r="6976" spans="1:4" x14ac:dyDescent="0.3">
      <c r="A6976" s="34">
        <v>51717</v>
      </c>
      <c r="B6976" s="35">
        <v>1</v>
      </c>
      <c r="C6976" s="35">
        <v>0</v>
      </c>
      <c r="D6976" s="2">
        <f t="shared" si="108"/>
        <v>1</v>
      </c>
    </row>
    <row r="6977" spans="1:4" x14ac:dyDescent="0.3">
      <c r="A6977" s="34">
        <v>51719</v>
      </c>
      <c r="B6977" s="35">
        <v>1</v>
      </c>
      <c r="C6977" s="35">
        <v>1</v>
      </c>
      <c r="D6977" s="2">
        <f t="shared" si="108"/>
        <v>2</v>
      </c>
    </row>
    <row r="6978" spans="1:4" x14ac:dyDescent="0.3">
      <c r="A6978" s="34">
        <v>51723</v>
      </c>
      <c r="B6978" s="35">
        <v>1</v>
      </c>
      <c r="C6978" s="35">
        <v>1</v>
      </c>
      <c r="D6978" s="2">
        <f t="shared" si="108"/>
        <v>2</v>
      </c>
    </row>
    <row r="6979" spans="1:4" x14ac:dyDescent="0.3">
      <c r="A6979" s="34">
        <v>51725</v>
      </c>
      <c r="B6979" s="35">
        <v>1</v>
      </c>
      <c r="C6979" s="35">
        <v>1</v>
      </c>
      <c r="D6979" s="2">
        <f t="shared" ref="D6979:D7042" si="109">B6979+C6979</f>
        <v>2</v>
      </c>
    </row>
    <row r="6980" spans="1:4" x14ac:dyDescent="0.3">
      <c r="A6980" s="34">
        <v>51726</v>
      </c>
      <c r="B6980" s="35">
        <v>1</v>
      </c>
      <c r="C6980" s="35">
        <v>0</v>
      </c>
      <c r="D6980" s="2">
        <f t="shared" si="109"/>
        <v>1</v>
      </c>
    </row>
    <row r="6981" spans="1:4" x14ac:dyDescent="0.3">
      <c r="A6981" s="34">
        <v>51728</v>
      </c>
      <c r="B6981" s="35">
        <v>1</v>
      </c>
      <c r="C6981" s="35">
        <v>0</v>
      </c>
      <c r="D6981" s="2">
        <f t="shared" si="109"/>
        <v>1</v>
      </c>
    </row>
    <row r="6982" spans="1:4" x14ac:dyDescent="0.3">
      <c r="A6982" s="34">
        <v>51737</v>
      </c>
      <c r="B6982" s="35">
        <v>1</v>
      </c>
      <c r="C6982" s="35">
        <v>0</v>
      </c>
      <c r="D6982" s="2">
        <f t="shared" si="109"/>
        <v>1</v>
      </c>
    </row>
    <row r="6983" spans="1:4" x14ac:dyDescent="0.3">
      <c r="A6983" s="34">
        <v>51747</v>
      </c>
      <c r="B6983" s="35">
        <v>1</v>
      </c>
      <c r="C6983" s="35">
        <v>0</v>
      </c>
      <c r="D6983" s="2">
        <f t="shared" si="109"/>
        <v>1</v>
      </c>
    </row>
    <row r="6984" spans="1:4" x14ac:dyDescent="0.3">
      <c r="A6984" s="34">
        <v>51751</v>
      </c>
      <c r="B6984" s="35">
        <v>1</v>
      </c>
      <c r="C6984" s="35">
        <v>0</v>
      </c>
      <c r="D6984" s="2">
        <f t="shared" si="109"/>
        <v>1</v>
      </c>
    </row>
    <row r="6985" spans="1:4" x14ac:dyDescent="0.3">
      <c r="A6985" s="34">
        <v>51752</v>
      </c>
      <c r="B6985" s="35">
        <v>1</v>
      </c>
      <c r="C6985" s="35">
        <v>0</v>
      </c>
      <c r="D6985" s="2">
        <f t="shared" si="109"/>
        <v>1</v>
      </c>
    </row>
    <row r="6986" spans="1:4" x14ac:dyDescent="0.3">
      <c r="A6986" s="34">
        <v>51755</v>
      </c>
      <c r="B6986" s="35">
        <v>1</v>
      </c>
      <c r="C6986" s="35">
        <v>0</v>
      </c>
      <c r="D6986" s="2">
        <f t="shared" si="109"/>
        <v>1</v>
      </c>
    </row>
    <row r="6987" spans="1:4" x14ac:dyDescent="0.3">
      <c r="A6987" s="34">
        <v>51757</v>
      </c>
      <c r="B6987" s="35">
        <v>1</v>
      </c>
      <c r="C6987" s="35">
        <v>0</v>
      </c>
      <c r="D6987" s="2">
        <f t="shared" si="109"/>
        <v>1</v>
      </c>
    </row>
    <row r="6988" spans="1:4" x14ac:dyDescent="0.3">
      <c r="A6988" s="34">
        <v>51759</v>
      </c>
      <c r="B6988" s="35">
        <v>1</v>
      </c>
      <c r="C6988" s="35">
        <v>0</v>
      </c>
      <c r="D6988" s="2">
        <f t="shared" si="109"/>
        <v>1</v>
      </c>
    </row>
    <row r="6989" spans="1:4" x14ac:dyDescent="0.3">
      <c r="A6989" s="34">
        <v>51760</v>
      </c>
      <c r="B6989" s="35">
        <v>1</v>
      </c>
      <c r="C6989" s="35">
        <v>0</v>
      </c>
      <c r="D6989" s="2">
        <f t="shared" si="109"/>
        <v>1</v>
      </c>
    </row>
    <row r="6990" spans="1:4" x14ac:dyDescent="0.3">
      <c r="A6990" s="34">
        <v>51763</v>
      </c>
      <c r="B6990" s="35">
        <v>1</v>
      </c>
      <c r="C6990" s="35">
        <v>1</v>
      </c>
      <c r="D6990" s="2">
        <f t="shared" si="109"/>
        <v>2</v>
      </c>
    </row>
    <row r="6991" spans="1:4" x14ac:dyDescent="0.3">
      <c r="A6991" s="34">
        <v>51764</v>
      </c>
      <c r="B6991" s="35">
        <v>1</v>
      </c>
      <c r="C6991" s="35">
        <v>0</v>
      </c>
      <c r="D6991" s="2">
        <f t="shared" si="109"/>
        <v>1</v>
      </c>
    </row>
    <row r="6992" spans="1:4" x14ac:dyDescent="0.3">
      <c r="A6992" s="34">
        <v>51766</v>
      </c>
      <c r="B6992" s="35">
        <v>1</v>
      </c>
      <c r="C6992" s="35">
        <v>0</v>
      </c>
      <c r="D6992" s="2">
        <f t="shared" si="109"/>
        <v>1</v>
      </c>
    </row>
    <row r="6993" spans="1:4" x14ac:dyDescent="0.3">
      <c r="A6993" s="34">
        <v>51774</v>
      </c>
      <c r="B6993" s="35">
        <v>1</v>
      </c>
      <c r="C6993" s="35">
        <v>0</v>
      </c>
      <c r="D6993" s="2">
        <f t="shared" si="109"/>
        <v>1</v>
      </c>
    </row>
    <row r="6994" spans="1:4" x14ac:dyDescent="0.3">
      <c r="A6994" s="34">
        <v>51775</v>
      </c>
      <c r="B6994" s="35">
        <v>1</v>
      </c>
      <c r="C6994" s="35">
        <v>0</v>
      </c>
      <c r="D6994" s="2">
        <f t="shared" si="109"/>
        <v>1</v>
      </c>
    </row>
    <row r="6995" spans="1:4" x14ac:dyDescent="0.3">
      <c r="A6995" s="34">
        <v>51776</v>
      </c>
      <c r="B6995" s="35">
        <v>1</v>
      </c>
      <c r="C6995" s="35">
        <v>0</v>
      </c>
      <c r="D6995" s="2">
        <f t="shared" si="109"/>
        <v>1</v>
      </c>
    </row>
    <row r="6996" spans="1:4" x14ac:dyDescent="0.3">
      <c r="A6996" s="34">
        <v>51777</v>
      </c>
      <c r="B6996" s="35">
        <v>2</v>
      </c>
      <c r="C6996" s="35">
        <v>1</v>
      </c>
      <c r="D6996" s="2">
        <f t="shared" si="109"/>
        <v>3</v>
      </c>
    </row>
    <row r="6997" spans="1:4" x14ac:dyDescent="0.3">
      <c r="A6997" s="34">
        <v>51781</v>
      </c>
      <c r="B6997" s="35">
        <v>1</v>
      </c>
      <c r="C6997" s="35">
        <v>0</v>
      </c>
      <c r="D6997" s="2">
        <f t="shared" si="109"/>
        <v>1</v>
      </c>
    </row>
    <row r="6998" spans="1:4" x14ac:dyDescent="0.3">
      <c r="A6998" s="34">
        <v>51782</v>
      </c>
      <c r="B6998" s="35">
        <v>1</v>
      </c>
      <c r="C6998" s="35">
        <v>0</v>
      </c>
      <c r="D6998" s="2">
        <f t="shared" si="109"/>
        <v>1</v>
      </c>
    </row>
    <row r="6999" spans="1:4" x14ac:dyDescent="0.3">
      <c r="A6999" s="34">
        <v>51866</v>
      </c>
      <c r="B6999" s="35">
        <v>1</v>
      </c>
      <c r="C6999" s="35">
        <v>0</v>
      </c>
      <c r="D6999" s="2">
        <f t="shared" si="109"/>
        <v>1</v>
      </c>
    </row>
    <row r="7000" spans="1:4" x14ac:dyDescent="0.3">
      <c r="A7000" s="34">
        <v>51886</v>
      </c>
      <c r="B7000" s="35">
        <v>1</v>
      </c>
      <c r="C7000" s="35">
        <v>0</v>
      </c>
      <c r="D7000" s="2">
        <f t="shared" si="109"/>
        <v>1</v>
      </c>
    </row>
    <row r="7001" spans="1:4" x14ac:dyDescent="0.3">
      <c r="A7001" s="34">
        <v>51889</v>
      </c>
      <c r="B7001" s="35">
        <v>1</v>
      </c>
      <c r="C7001" s="35">
        <v>0</v>
      </c>
      <c r="D7001" s="2">
        <f t="shared" si="109"/>
        <v>1</v>
      </c>
    </row>
    <row r="7002" spans="1:4" x14ac:dyDescent="0.3">
      <c r="A7002" s="34">
        <v>51892</v>
      </c>
      <c r="B7002" s="35">
        <v>1</v>
      </c>
      <c r="C7002" s="35">
        <v>0</v>
      </c>
      <c r="D7002" s="2">
        <f t="shared" si="109"/>
        <v>1</v>
      </c>
    </row>
    <row r="7003" spans="1:4" x14ac:dyDescent="0.3">
      <c r="A7003" s="34">
        <v>51898</v>
      </c>
      <c r="B7003" s="35">
        <v>1</v>
      </c>
      <c r="C7003" s="35">
        <v>0</v>
      </c>
      <c r="D7003" s="2">
        <f t="shared" si="109"/>
        <v>1</v>
      </c>
    </row>
    <row r="7004" spans="1:4" x14ac:dyDescent="0.3">
      <c r="A7004" s="34">
        <v>51901</v>
      </c>
      <c r="B7004" s="35">
        <v>1</v>
      </c>
      <c r="C7004" s="35">
        <v>1</v>
      </c>
      <c r="D7004" s="2">
        <f t="shared" si="109"/>
        <v>2</v>
      </c>
    </row>
    <row r="7005" spans="1:4" x14ac:dyDescent="0.3">
      <c r="A7005" s="34">
        <v>51904</v>
      </c>
      <c r="B7005" s="35">
        <v>1</v>
      </c>
      <c r="C7005" s="35">
        <v>0</v>
      </c>
      <c r="D7005" s="2">
        <f t="shared" si="109"/>
        <v>1</v>
      </c>
    </row>
    <row r="7006" spans="1:4" x14ac:dyDescent="0.3">
      <c r="A7006" s="34">
        <v>51907</v>
      </c>
      <c r="B7006" s="35">
        <v>1</v>
      </c>
      <c r="C7006" s="35">
        <v>0</v>
      </c>
      <c r="D7006" s="2">
        <f t="shared" si="109"/>
        <v>1</v>
      </c>
    </row>
    <row r="7007" spans="1:4" x14ac:dyDescent="0.3">
      <c r="A7007" s="34">
        <v>51909</v>
      </c>
      <c r="B7007" s="35">
        <v>1</v>
      </c>
      <c r="C7007" s="35">
        <v>0</v>
      </c>
      <c r="D7007" s="2">
        <f t="shared" si="109"/>
        <v>1</v>
      </c>
    </row>
    <row r="7008" spans="1:4" x14ac:dyDescent="0.3">
      <c r="A7008" s="34">
        <v>51912</v>
      </c>
      <c r="B7008" s="35">
        <v>1</v>
      </c>
      <c r="C7008" s="35">
        <v>1</v>
      </c>
      <c r="D7008" s="2">
        <f t="shared" si="109"/>
        <v>2</v>
      </c>
    </row>
    <row r="7009" spans="1:4" x14ac:dyDescent="0.3">
      <c r="A7009" s="34">
        <v>51915</v>
      </c>
      <c r="B7009" s="35">
        <v>1</v>
      </c>
      <c r="C7009" s="35">
        <v>0</v>
      </c>
      <c r="D7009" s="2">
        <f t="shared" si="109"/>
        <v>1</v>
      </c>
    </row>
    <row r="7010" spans="1:4" x14ac:dyDescent="0.3">
      <c r="A7010" s="34">
        <v>51927</v>
      </c>
      <c r="B7010" s="35">
        <v>1</v>
      </c>
      <c r="C7010" s="35">
        <v>1</v>
      </c>
      <c r="D7010" s="2">
        <f t="shared" si="109"/>
        <v>2</v>
      </c>
    </row>
    <row r="7011" spans="1:4" x14ac:dyDescent="0.3">
      <c r="A7011" s="34">
        <v>51930</v>
      </c>
      <c r="B7011" s="35">
        <v>1</v>
      </c>
      <c r="C7011" s="35">
        <v>0</v>
      </c>
      <c r="D7011" s="2">
        <f t="shared" si="109"/>
        <v>1</v>
      </c>
    </row>
    <row r="7012" spans="1:4" x14ac:dyDescent="0.3">
      <c r="A7012" s="34">
        <v>51933</v>
      </c>
      <c r="B7012" s="35">
        <v>1</v>
      </c>
      <c r="C7012" s="35">
        <v>0</v>
      </c>
      <c r="D7012" s="2">
        <f t="shared" si="109"/>
        <v>1</v>
      </c>
    </row>
    <row r="7013" spans="1:4" x14ac:dyDescent="0.3">
      <c r="A7013" s="34">
        <v>51934</v>
      </c>
      <c r="B7013" s="35">
        <v>1</v>
      </c>
      <c r="C7013" s="35">
        <v>0</v>
      </c>
      <c r="D7013" s="2">
        <f t="shared" si="109"/>
        <v>1</v>
      </c>
    </row>
    <row r="7014" spans="1:4" x14ac:dyDescent="0.3">
      <c r="A7014" s="34">
        <v>51935</v>
      </c>
      <c r="B7014" s="35">
        <v>1</v>
      </c>
      <c r="C7014" s="35">
        <v>0</v>
      </c>
      <c r="D7014" s="2">
        <f t="shared" si="109"/>
        <v>1</v>
      </c>
    </row>
    <row r="7015" spans="1:4" x14ac:dyDescent="0.3">
      <c r="A7015" s="34">
        <v>51939</v>
      </c>
      <c r="B7015" s="35">
        <v>3</v>
      </c>
      <c r="C7015" s="35">
        <v>2</v>
      </c>
      <c r="D7015" s="2">
        <f t="shared" si="109"/>
        <v>5</v>
      </c>
    </row>
    <row r="7016" spans="1:4" x14ac:dyDescent="0.3">
      <c r="A7016" s="34">
        <v>51942</v>
      </c>
      <c r="B7016" s="35">
        <v>1</v>
      </c>
      <c r="C7016" s="35">
        <v>1</v>
      </c>
      <c r="D7016" s="2">
        <f t="shared" si="109"/>
        <v>2</v>
      </c>
    </row>
    <row r="7017" spans="1:4" x14ac:dyDescent="0.3">
      <c r="A7017" s="34">
        <v>51944</v>
      </c>
      <c r="B7017" s="35">
        <v>1</v>
      </c>
      <c r="C7017" s="35">
        <v>1</v>
      </c>
      <c r="D7017" s="2">
        <f t="shared" si="109"/>
        <v>2</v>
      </c>
    </row>
    <row r="7018" spans="1:4" x14ac:dyDescent="0.3">
      <c r="A7018" s="34">
        <v>51945</v>
      </c>
      <c r="B7018" s="35">
        <v>1</v>
      </c>
      <c r="C7018" s="35">
        <v>0</v>
      </c>
      <c r="D7018" s="2">
        <f t="shared" si="109"/>
        <v>1</v>
      </c>
    </row>
    <row r="7019" spans="1:4" x14ac:dyDescent="0.3">
      <c r="A7019" s="34">
        <v>51951</v>
      </c>
      <c r="B7019" s="35">
        <v>1</v>
      </c>
      <c r="C7019" s="35">
        <v>0</v>
      </c>
      <c r="D7019" s="2">
        <f t="shared" si="109"/>
        <v>1</v>
      </c>
    </row>
    <row r="7020" spans="1:4" x14ac:dyDescent="0.3">
      <c r="A7020" s="34">
        <v>51952</v>
      </c>
      <c r="B7020" s="35">
        <v>1</v>
      </c>
      <c r="C7020" s="35">
        <v>1</v>
      </c>
      <c r="D7020" s="2">
        <f t="shared" si="109"/>
        <v>2</v>
      </c>
    </row>
    <row r="7021" spans="1:4" x14ac:dyDescent="0.3">
      <c r="A7021" s="34">
        <v>51953</v>
      </c>
      <c r="B7021" s="35">
        <v>1</v>
      </c>
      <c r="C7021" s="35">
        <v>0</v>
      </c>
      <c r="D7021" s="2">
        <f t="shared" si="109"/>
        <v>1</v>
      </c>
    </row>
    <row r="7022" spans="1:4" x14ac:dyDescent="0.3">
      <c r="A7022" s="34">
        <v>51956</v>
      </c>
      <c r="B7022" s="35">
        <v>1</v>
      </c>
      <c r="C7022" s="35">
        <v>0</v>
      </c>
      <c r="D7022" s="2">
        <f t="shared" si="109"/>
        <v>1</v>
      </c>
    </row>
    <row r="7023" spans="1:4" x14ac:dyDescent="0.3">
      <c r="A7023" s="34">
        <v>51961</v>
      </c>
      <c r="B7023" s="35">
        <v>1</v>
      </c>
      <c r="C7023" s="35">
        <v>0</v>
      </c>
      <c r="D7023" s="2">
        <f t="shared" si="109"/>
        <v>1</v>
      </c>
    </row>
    <row r="7024" spans="1:4" x14ac:dyDescent="0.3">
      <c r="A7024" s="34">
        <v>51965</v>
      </c>
      <c r="B7024" s="35">
        <v>1</v>
      </c>
      <c r="C7024" s="35">
        <v>0</v>
      </c>
      <c r="D7024" s="2">
        <f t="shared" si="109"/>
        <v>1</v>
      </c>
    </row>
    <row r="7025" spans="1:4" x14ac:dyDescent="0.3">
      <c r="A7025" s="34">
        <v>51967</v>
      </c>
      <c r="B7025" s="35">
        <v>1</v>
      </c>
      <c r="C7025" s="35">
        <v>0</v>
      </c>
      <c r="D7025" s="2">
        <f t="shared" si="109"/>
        <v>1</v>
      </c>
    </row>
    <row r="7026" spans="1:4" x14ac:dyDescent="0.3">
      <c r="A7026" s="34">
        <v>51968</v>
      </c>
      <c r="B7026" s="35">
        <v>1</v>
      </c>
      <c r="C7026" s="35">
        <v>0</v>
      </c>
      <c r="D7026" s="2">
        <f t="shared" si="109"/>
        <v>1</v>
      </c>
    </row>
    <row r="7027" spans="1:4" x14ac:dyDescent="0.3">
      <c r="A7027" s="34">
        <v>51969</v>
      </c>
      <c r="B7027" s="35">
        <v>2</v>
      </c>
      <c r="C7027" s="35">
        <v>2</v>
      </c>
      <c r="D7027" s="2">
        <f t="shared" si="109"/>
        <v>4</v>
      </c>
    </row>
    <row r="7028" spans="1:4" x14ac:dyDescent="0.3">
      <c r="A7028" s="34">
        <v>51983</v>
      </c>
      <c r="B7028" s="35">
        <v>2</v>
      </c>
      <c r="C7028" s="35">
        <v>2</v>
      </c>
      <c r="D7028" s="2">
        <f t="shared" si="109"/>
        <v>4</v>
      </c>
    </row>
    <row r="7029" spans="1:4" x14ac:dyDescent="0.3">
      <c r="A7029" s="34">
        <v>51984</v>
      </c>
      <c r="B7029" s="35">
        <v>1</v>
      </c>
      <c r="C7029" s="35">
        <v>1</v>
      </c>
      <c r="D7029" s="2">
        <f t="shared" si="109"/>
        <v>2</v>
      </c>
    </row>
    <row r="7030" spans="1:4" x14ac:dyDescent="0.3">
      <c r="A7030" s="34">
        <v>51986</v>
      </c>
      <c r="B7030" s="35">
        <v>1</v>
      </c>
      <c r="C7030" s="35">
        <v>0</v>
      </c>
      <c r="D7030" s="2">
        <f t="shared" si="109"/>
        <v>1</v>
      </c>
    </row>
    <row r="7031" spans="1:4" x14ac:dyDescent="0.3">
      <c r="A7031" s="34">
        <v>51987</v>
      </c>
      <c r="B7031" s="35">
        <v>2</v>
      </c>
      <c r="C7031" s="35">
        <v>0</v>
      </c>
      <c r="D7031" s="2">
        <f t="shared" si="109"/>
        <v>2</v>
      </c>
    </row>
    <row r="7032" spans="1:4" x14ac:dyDescent="0.3">
      <c r="A7032" s="34">
        <v>51988</v>
      </c>
      <c r="B7032" s="35">
        <v>1</v>
      </c>
      <c r="C7032" s="35">
        <v>0</v>
      </c>
      <c r="D7032" s="2">
        <f t="shared" si="109"/>
        <v>1</v>
      </c>
    </row>
    <row r="7033" spans="1:4" x14ac:dyDescent="0.3">
      <c r="A7033" s="34">
        <v>51990</v>
      </c>
      <c r="B7033" s="35">
        <v>1</v>
      </c>
      <c r="C7033" s="35">
        <v>0</v>
      </c>
      <c r="D7033" s="2">
        <f t="shared" si="109"/>
        <v>1</v>
      </c>
    </row>
    <row r="7034" spans="1:4" x14ac:dyDescent="0.3">
      <c r="A7034" s="34">
        <v>52000</v>
      </c>
      <c r="B7034" s="35">
        <v>1</v>
      </c>
      <c r="C7034" s="35">
        <v>0</v>
      </c>
      <c r="D7034" s="2">
        <f t="shared" si="109"/>
        <v>1</v>
      </c>
    </row>
    <row r="7035" spans="1:4" x14ac:dyDescent="0.3">
      <c r="A7035" s="34">
        <v>52003</v>
      </c>
      <c r="B7035" s="35">
        <v>1</v>
      </c>
      <c r="C7035" s="35">
        <v>1</v>
      </c>
      <c r="D7035" s="2">
        <f t="shared" si="109"/>
        <v>2</v>
      </c>
    </row>
    <row r="7036" spans="1:4" x14ac:dyDescent="0.3">
      <c r="A7036" s="34">
        <v>52004</v>
      </c>
      <c r="B7036" s="35">
        <v>1</v>
      </c>
      <c r="C7036" s="35">
        <v>0</v>
      </c>
      <c r="D7036" s="2">
        <f t="shared" si="109"/>
        <v>1</v>
      </c>
    </row>
    <row r="7037" spans="1:4" x14ac:dyDescent="0.3">
      <c r="A7037" s="34">
        <v>52013</v>
      </c>
      <c r="B7037" s="35">
        <v>1</v>
      </c>
      <c r="C7037" s="35">
        <v>0</v>
      </c>
      <c r="D7037" s="2">
        <f t="shared" si="109"/>
        <v>1</v>
      </c>
    </row>
    <row r="7038" spans="1:4" x14ac:dyDescent="0.3">
      <c r="A7038" s="34">
        <v>52014</v>
      </c>
      <c r="B7038" s="35">
        <v>1</v>
      </c>
      <c r="C7038" s="35">
        <v>1</v>
      </c>
      <c r="D7038" s="2">
        <f t="shared" si="109"/>
        <v>2</v>
      </c>
    </row>
    <row r="7039" spans="1:4" x14ac:dyDescent="0.3">
      <c r="A7039" s="34">
        <v>52015</v>
      </c>
      <c r="B7039" s="35">
        <v>1</v>
      </c>
      <c r="C7039" s="35">
        <v>0</v>
      </c>
      <c r="D7039" s="2">
        <f t="shared" si="109"/>
        <v>1</v>
      </c>
    </row>
    <row r="7040" spans="1:4" x14ac:dyDescent="0.3">
      <c r="A7040" s="34">
        <v>52016</v>
      </c>
      <c r="B7040" s="35">
        <v>1</v>
      </c>
      <c r="C7040" s="35">
        <v>0</v>
      </c>
      <c r="D7040" s="2">
        <f t="shared" si="109"/>
        <v>1</v>
      </c>
    </row>
    <row r="7041" spans="1:4" x14ac:dyDescent="0.3">
      <c r="A7041" s="34">
        <v>52018</v>
      </c>
      <c r="B7041" s="35">
        <v>1</v>
      </c>
      <c r="C7041" s="35">
        <v>0</v>
      </c>
      <c r="D7041" s="2">
        <f t="shared" si="109"/>
        <v>1</v>
      </c>
    </row>
    <row r="7042" spans="1:4" x14ac:dyDescent="0.3">
      <c r="A7042" s="34">
        <v>52027</v>
      </c>
      <c r="B7042" s="35">
        <v>2</v>
      </c>
      <c r="C7042" s="35">
        <v>2</v>
      </c>
      <c r="D7042" s="2">
        <f t="shared" si="109"/>
        <v>4</v>
      </c>
    </row>
    <row r="7043" spans="1:4" x14ac:dyDescent="0.3">
      <c r="A7043" s="34">
        <v>52028</v>
      </c>
      <c r="B7043" s="35">
        <v>1</v>
      </c>
      <c r="C7043" s="35">
        <v>0</v>
      </c>
      <c r="D7043" s="2">
        <f t="shared" ref="D7043:D7106" si="110">B7043+C7043</f>
        <v>1</v>
      </c>
    </row>
    <row r="7044" spans="1:4" x14ac:dyDescent="0.3">
      <c r="A7044" s="34">
        <v>52031</v>
      </c>
      <c r="B7044" s="35">
        <v>1</v>
      </c>
      <c r="C7044" s="35">
        <v>0</v>
      </c>
      <c r="D7044" s="2">
        <f t="shared" si="110"/>
        <v>1</v>
      </c>
    </row>
    <row r="7045" spans="1:4" x14ac:dyDescent="0.3">
      <c r="A7045" s="34">
        <v>52034</v>
      </c>
      <c r="B7045" s="35">
        <v>1</v>
      </c>
      <c r="C7045" s="35">
        <v>0</v>
      </c>
      <c r="D7045" s="2">
        <f t="shared" si="110"/>
        <v>1</v>
      </c>
    </row>
    <row r="7046" spans="1:4" x14ac:dyDescent="0.3">
      <c r="A7046" s="34">
        <v>52213</v>
      </c>
      <c r="B7046" s="35">
        <v>1</v>
      </c>
      <c r="C7046" s="35">
        <v>0</v>
      </c>
      <c r="D7046" s="2">
        <f t="shared" si="110"/>
        <v>1</v>
      </c>
    </row>
    <row r="7047" spans="1:4" x14ac:dyDescent="0.3">
      <c r="A7047" s="34">
        <v>52215</v>
      </c>
      <c r="B7047" s="35">
        <v>1</v>
      </c>
      <c r="C7047" s="35">
        <v>0</v>
      </c>
      <c r="D7047" s="2">
        <f t="shared" si="110"/>
        <v>1</v>
      </c>
    </row>
    <row r="7048" spans="1:4" x14ac:dyDescent="0.3">
      <c r="A7048" s="34">
        <v>52216</v>
      </c>
      <c r="B7048" s="35">
        <v>1</v>
      </c>
      <c r="C7048" s="35">
        <v>0</v>
      </c>
      <c r="D7048" s="2">
        <f t="shared" si="110"/>
        <v>1</v>
      </c>
    </row>
    <row r="7049" spans="1:4" x14ac:dyDescent="0.3">
      <c r="A7049" s="34">
        <v>52224</v>
      </c>
      <c r="B7049" s="35">
        <v>1</v>
      </c>
      <c r="C7049" s="35">
        <v>0</v>
      </c>
      <c r="D7049" s="2">
        <f t="shared" si="110"/>
        <v>1</v>
      </c>
    </row>
    <row r="7050" spans="1:4" x14ac:dyDescent="0.3">
      <c r="A7050" s="34">
        <v>52225</v>
      </c>
      <c r="B7050" s="35">
        <v>1</v>
      </c>
      <c r="C7050" s="35">
        <v>0</v>
      </c>
      <c r="D7050" s="2">
        <f t="shared" si="110"/>
        <v>1</v>
      </c>
    </row>
    <row r="7051" spans="1:4" x14ac:dyDescent="0.3">
      <c r="A7051" s="34">
        <v>52226</v>
      </c>
      <c r="B7051" s="35">
        <v>1</v>
      </c>
      <c r="C7051" s="35">
        <v>0</v>
      </c>
      <c r="D7051" s="2">
        <f t="shared" si="110"/>
        <v>1</v>
      </c>
    </row>
    <row r="7052" spans="1:4" x14ac:dyDescent="0.3">
      <c r="A7052" s="34">
        <v>52230</v>
      </c>
      <c r="B7052" s="35">
        <v>1</v>
      </c>
      <c r="C7052" s="35">
        <v>0</v>
      </c>
      <c r="D7052" s="2">
        <f t="shared" si="110"/>
        <v>1</v>
      </c>
    </row>
    <row r="7053" spans="1:4" x14ac:dyDescent="0.3">
      <c r="A7053" s="34">
        <v>52232</v>
      </c>
      <c r="B7053" s="35">
        <v>1</v>
      </c>
      <c r="C7053" s="35">
        <v>1</v>
      </c>
      <c r="D7053" s="2">
        <f t="shared" si="110"/>
        <v>2</v>
      </c>
    </row>
    <row r="7054" spans="1:4" x14ac:dyDescent="0.3">
      <c r="A7054" s="34">
        <v>52234</v>
      </c>
      <c r="B7054" s="35">
        <v>1</v>
      </c>
      <c r="C7054" s="35">
        <v>1</v>
      </c>
      <c r="D7054" s="2">
        <f t="shared" si="110"/>
        <v>2</v>
      </c>
    </row>
    <row r="7055" spans="1:4" x14ac:dyDescent="0.3">
      <c r="A7055" s="34">
        <v>52235</v>
      </c>
      <c r="B7055" s="35">
        <v>1</v>
      </c>
      <c r="C7055" s="35">
        <v>0</v>
      </c>
      <c r="D7055" s="2">
        <f t="shared" si="110"/>
        <v>1</v>
      </c>
    </row>
    <row r="7056" spans="1:4" x14ac:dyDescent="0.3">
      <c r="A7056" s="34">
        <v>52237</v>
      </c>
      <c r="B7056" s="35">
        <v>1</v>
      </c>
      <c r="C7056" s="35">
        <v>1</v>
      </c>
      <c r="D7056" s="2">
        <f t="shared" si="110"/>
        <v>2</v>
      </c>
    </row>
    <row r="7057" spans="1:4" x14ac:dyDescent="0.3">
      <c r="A7057" s="34">
        <v>52238</v>
      </c>
      <c r="B7057" s="35">
        <v>1</v>
      </c>
      <c r="C7057" s="35">
        <v>0</v>
      </c>
      <c r="D7057" s="2">
        <f t="shared" si="110"/>
        <v>1</v>
      </c>
    </row>
    <row r="7058" spans="1:4" x14ac:dyDescent="0.3">
      <c r="A7058" s="34">
        <v>52239</v>
      </c>
      <c r="B7058" s="35">
        <v>1</v>
      </c>
      <c r="C7058" s="35">
        <v>0</v>
      </c>
      <c r="D7058" s="2">
        <f t="shared" si="110"/>
        <v>1</v>
      </c>
    </row>
    <row r="7059" spans="1:4" x14ac:dyDescent="0.3">
      <c r="A7059" s="34">
        <v>52242</v>
      </c>
      <c r="B7059" s="35">
        <v>1</v>
      </c>
      <c r="C7059" s="35">
        <v>0</v>
      </c>
      <c r="D7059" s="2">
        <f t="shared" si="110"/>
        <v>1</v>
      </c>
    </row>
    <row r="7060" spans="1:4" x14ac:dyDescent="0.3">
      <c r="A7060" s="34">
        <v>52244</v>
      </c>
      <c r="B7060" s="35">
        <v>1</v>
      </c>
      <c r="C7060" s="35">
        <v>0</v>
      </c>
      <c r="D7060" s="2">
        <f t="shared" si="110"/>
        <v>1</v>
      </c>
    </row>
    <row r="7061" spans="1:4" x14ac:dyDescent="0.3">
      <c r="A7061" s="34">
        <v>52246</v>
      </c>
      <c r="B7061" s="35">
        <v>1</v>
      </c>
      <c r="C7061" s="35">
        <v>1</v>
      </c>
      <c r="D7061" s="2">
        <f t="shared" si="110"/>
        <v>2</v>
      </c>
    </row>
    <row r="7062" spans="1:4" x14ac:dyDescent="0.3">
      <c r="A7062" s="34">
        <v>52248</v>
      </c>
      <c r="B7062" s="35">
        <v>1</v>
      </c>
      <c r="C7062" s="35">
        <v>0</v>
      </c>
      <c r="D7062" s="2">
        <f t="shared" si="110"/>
        <v>1</v>
      </c>
    </row>
    <row r="7063" spans="1:4" x14ac:dyDescent="0.3">
      <c r="A7063" s="34">
        <v>52252</v>
      </c>
      <c r="B7063" s="35">
        <v>1</v>
      </c>
      <c r="C7063" s="35">
        <v>1</v>
      </c>
      <c r="D7063" s="2">
        <f t="shared" si="110"/>
        <v>2</v>
      </c>
    </row>
    <row r="7064" spans="1:4" x14ac:dyDescent="0.3">
      <c r="A7064" s="34">
        <v>52253</v>
      </c>
      <c r="B7064" s="35">
        <v>1</v>
      </c>
      <c r="C7064" s="35">
        <v>0</v>
      </c>
      <c r="D7064" s="2">
        <f t="shared" si="110"/>
        <v>1</v>
      </c>
    </row>
    <row r="7065" spans="1:4" x14ac:dyDescent="0.3">
      <c r="A7065" s="34">
        <v>52255</v>
      </c>
      <c r="B7065" s="35">
        <v>1</v>
      </c>
      <c r="C7065" s="35">
        <v>0</v>
      </c>
      <c r="D7065" s="2">
        <f t="shared" si="110"/>
        <v>1</v>
      </c>
    </row>
    <row r="7066" spans="1:4" x14ac:dyDescent="0.3">
      <c r="A7066" s="34">
        <v>52256</v>
      </c>
      <c r="B7066" s="35">
        <v>1</v>
      </c>
      <c r="C7066" s="35">
        <v>0</v>
      </c>
      <c r="D7066" s="2">
        <f t="shared" si="110"/>
        <v>1</v>
      </c>
    </row>
    <row r="7067" spans="1:4" x14ac:dyDescent="0.3">
      <c r="A7067" s="34">
        <v>52282</v>
      </c>
      <c r="B7067" s="35">
        <v>1</v>
      </c>
      <c r="C7067" s="35">
        <v>0</v>
      </c>
      <c r="D7067" s="2">
        <f t="shared" si="110"/>
        <v>1</v>
      </c>
    </row>
    <row r="7068" spans="1:4" x14ac:dyDescent="0.3">
      <c r="A7068" s="34">
        <v>52283</v>
      </c>
      <c r="B7068" s="35">
        <v>1</v>
      </c>
      <c r="C7068" s="35">
        <v>0</v>
      </c>
      <c r="D7068" s="2">
        <f t="shared" si="110"/>
        <v>1</v>
      </c>
    </row>
    <row r="7069" spans="1:4" x14ac:dyDescent="0.3">
      <c r="A7069" s="34">
        <v>52284</v>
      </c>
      <c r="B7069" s="35">
        <v>1</v>
      </c>
      <c r="C7069" s="35">
        <v>1</v>
      </c>
      <c r="D7069" s="2">
        <f t="shared" si="110"/>
        <v>2</v>
      </c>
    </row>
    <row r="7070" spans="1:4" x14ac:dyDescent="0.3">
      <c r="A7070" s="34">
        <v>52286</v>
      </c>
      <c r="B7070" s="35">
        <v>1</v>
      </c>
      <c r="C7070" s="35">
        <v>0</v>
      </c>
      <c r="D7070" s="2">
        <f t="shared" si="110"/>
        <v>1</v>
      </c>
    </row>
    <row r="7071" spans="1:4" x14ac:dyDescent="0.3">
      <c r="A7071" s="34">
        <v>52287</v>
      </c>
      <c r="B7071" s="35">
        <v>1</v>
      </c>
      <c r="C7071" s="35">
        <v>0</v>
      </c>
      <c r="D7071" s="2">
        <f t="shared" si="110"/>
        <v>1</v>
      </c>
    </row>
    <row r="7072" spans="1:4" x14ac:dyDescent="0.3">
      <c r="A7072" s="34">
        <v>52288</v>
      </c>
      <c r="B7072" s="35">
        <v>1</v>
      </c>
      <c r="C7072" s="35">
        <v>0</v>
      </c>
      <c r="D7072" s="2">
        <f t="shared" si="110"/>
        <v>1</v>
      </c>
    </row>
    <row r="7073" spans="1:4" x14ac:dyDescent="0.3">
      <c r="A7073" s="34">
        <v>52290</v>
      </c>
      <c r="B7073" s="35">
        <v>1</v>
      </c>
      <c r="C7073" s="35">
        <v>0</v>
      </c>
      <c r="D7073" s="2">
        <f t="shared" si="110"/>
        <v>1</v>
      </c>
    </row>
    <row r="7074" spans="1:4" x14ac:dyDescent="0.3">
      <c r="A7074" s="34">
        <v>52291</v>
      </c>
      <c r="B7074" s="35">
        <v>2</v>
      </c>
      <c r="C7074" s="35">
        <v>0</v>
      </c>
      <c r="D7074" s="2">
        <f t="shared" si="110"/>
        <v>2</v>
      </c>
    </row>
    <row r="7075" spans="1:4" x14ac:dyDescent="0.3">
      <c r="A7075" s="34">
        <v>52292</v>
      </c>
      <c r="B7075" s="35">
        <v>1</v>
      </c>
      <c r="C7075" s="35">
        <v>0</v>
      </c>
      <c r="D7075" s="2">
        <f t="shared" si="110"/>
        <v>1</v>
      </c>
    </row>
    <row r="7076" spans="1:4" x14ac:dyDescent="0.3">
      <c r="A7076" s="34">
        <v>52296</v>
      </c>
      <c r="B7076" s="35">
        <v>1</v>
      </c>
      <c r="C7076" s="35">
        <v>0</v>
      </c>
      <c r="D7076" s="2">
        <f t="shared" si="110"/>
        <v>1</v>
      </c>
    </row>
    <row r="7077" spans="1:4" x14ac:dyDescent="0.3">
      <c r="A7077" s="34">
        <v>52297</v>
      </c>
      <c r="B7077" s="35">
        <v>1</v>
      </c>
      <c r="C7077" s="35">
        <v>1</v>
      </c>
      <c r="D7077" s="2">
        <f t="shared" si="110"/>
        <v>2</v>
      </c>
    </row>
    <row r="7078" spans="1:4" x14ac:dyDescent="0.3">
      <c r="A7078" s="34">
        <v>52298</v>
      </c>
      <c r="B7078" s="35">
        <v>1</v>
      </c>
      <c r="C7078" s="35">
        <v>0</v>
      </c>
      <c r="D7078" s="2">
        <f t="shared" si="110"/>
        <v>1</v>
      </c>
    </row>
    <row r="7079" spans="1:4" x14ac:dyDescent="0.3">
      <c r="A7079" s="34">
        <v>52300</v>
      </c>
      <c r="B7079" s="35">
        <v>1</v>
      </c>
      <c r="C7079" s="35">
        <v>0</v>
      </c>
      <c r="D7079" s="2">
        <f t="shared" si="110"/>
        <v>1</v>
      </c>
    </row>
    <row r="7080" spans="1:4" x14ac:dyDescent="0.3">
      <c r="A7080" s="34">
        <v>52302</v>
      </c>
      <c r="B7080" s="35">
        <v>1</v>
      </c>
      <c r="C7080" s="35">
        <v>0</v>
      </c>
      <c r="D7080" s="2">
        <f t="shared" si="110"/>
        <v>1</v>
      </c>
    </row>
    <row r="7081" spans="1:4" x14ac:dyDescent="0.3">
      <c r="A7081" s="34">
        <v>52303</v>
      </c>
      <c r="B7081" s="35">
        <v>1</v>
      </c>
      <c r="C7081" s="35">
        <v>0</v>
      </c>
      <c r="D7081" s="2">
        <f t="shared" si="110"/>
        <v>1</v>
      </c>
    </row>
    <row r="7082" spans="1:4" x14ac:dyDescent="0.3">
      <c r="A7082" s="34">
        <v>52307</v>
      </c>
      <c r="B7082" s="35">
        <v>2</v>
      </c>
      <c r="C7082" s="35">
        <v>1</v>
      </c>
      <c r="D7082" s="2">
        <f t="shared" si="110"/>
        <v>3</v>
      </c>
    </row>
    <row r="7083" spans="1:4" x14ac:dyDescent="0.3">
      <c r="A7083" s="34">
        <v>52308</v>
      </c>
      <c r="B7083" s="35">
        <v>2</v>
      </c>
      <c r="C7083" s="35">
        <v>1</v>
      </c>
      <c r="D7083" s="2">
        <f t="shared" si="110"/>
        <v>3</v>
      </c>
    </row>
    <row r="7084" spans="1:4" x14ac:dyDescent="0.3">
      <c r="A7084" s="34">
        <v>52309</v>
      </c>
      <c r="B7084" s="35">
        <v>1</v>
      </c>
      <c r="C7084" s="35">
        <v>0</v>
      </c>
      <c r="D7084" s="2">
        <f t="shared" si="110"/>
        <v>1</v>
      </c>
    </row>
    <row r="7085" spans="1:4" x14ac:dyDescent="0.3">
      <c r="A7085" s="34">
        <v>52310</v>
      </c>
      <c r="B7085" s="35">
        <v>1</v>
      </c>
      <c r="C7085" s="35">
        <v>0</v>
      </c>
      <c r="D7085" s="2">
        <f t="shared" si="110"/>
        <v>1</v>
      </c>
    </row>
    <row r="7086" spans="1:4" x14ac:dyDescent="0.3">
      <c r="A7086" s="34">
        <v>52311</v>
      </c>
      <c r="B7086" s="35">
        <v>1</v>
      </c>
      <c r="C7086" s="35">
        <v>0</v>
      </c>
      <c r="D7086" s="2">
        <f t="shared" si="110"/>
        <v>1</v>
      </c>
    </row>
    <row r="7087" spans="1:4" x14ac:dyDescent="0.3">
      <c r="A7087" s="34">
        <v>52312</v>
      </c>
      <c r="B7087" s="35">
        <v>1</v>
      </c>
      <c r="C7087" s="35">
        <v>0</v>
      </c>
      <c r="D7087" s="2">
        <f t="shared" si="110"/>
        <v>1</v>
      </c>
    </row>
    <row r="7088" spans="1:4" x14ac:dyDescent="0.3">
      <c r="A7088" s="34">
        <v>52313</v>
      </c>
      <c r="B7088" s="35">
        <v>1</v>
      </c>
      <c r="C7088" s="35">
        <v>0</v>
      </c>
      <c r="D7088" s="2">
        <f t="shared" si="110"/>
        <v>1</v>
      </c>
    </row>
    <row r="7089" spans="1:4" x14ac:dyDescent="0.3">
      <c r="A7089" s="34">
        <v>52316</v>
      </c>
      <c r="B7089" s="35">
        <v>1</v>
      </c>
      <c r="C7089" s="35">
        <v>0</v>
      </c>
      <c r="D7089" s="2">
        <f t="shared" si="110"/>
        <v>1</v>
      </c>
    </row>
    <row r="7090" spans="1:4" x14ac:dyDescent="0.3">
      <c r="A7090" s="34">
        <v>52318</v>
      </c>
      <c r="B7090" s="35">
        <v>1</v>
      </c>
      <c r="C7090" s="35">
        <v>1</v>
      </c>
      <c r="D7090" s="2">
        <f t="shared" si="110"/>
        <v>2</v>
      </c>
    </row>
    <row r="7091" spans="1:4" x14ac:dyDescent="0.3">
      <c r="A7091" s="34">
        <v>52320</v>
      </c>
      <c r="B7091" s="35">
        <v>1</v>
      </c>
      <c r="C7091" s="35">
        <v>0</v>
      </c>
      <c r="D7091" s="2">
        <f t="shared" si="110"/>
        <v>1</v>
      </c>
    </row>
    <row r="7092" spans="1:4" x14ac:dyDescent="0.3">
      <c r="A7092" s="34">
        <v>52321</v>
      </c>
      <c r="B7092" s="35">
        <v>1</v>
      </c>
      <c r="C7092" s="35">
        <v>1</v>
      </c>
      <c r="D7092" s="2">
        <f t="shared" si="110"/>
        <v>2</v>
      </c>
    </row>
    <row r="7093" spans="1:4" x14ac:dyDescent="0.3">
      <c r="A7093" s="34">
        <v>52325</v>
      </c>
      <c r="B7093" s="35">
        <v>1</v>
      </c>
      <c r="C7093" s="35">
        <v>0</v>
      </c>
      <c r="D7093" s="2">
        <f t="shared" si="110"/>
        <v>1</v>
      </c>
    </row>
    <row r="7094" spans="1:4" x14ac:dyDescent="0.3">
      <c r="A7094" s="34">
        <v>52329</v>
      </c>
      <c r="B7094" s="35">
        <v>1</v>
      </c>
      <c r="C7094" s="35">
        <v>0</v>
      </c>
      <c r="D7094" s="2">
        <f t="shared" si="110"/>
        <v>1</v>
      </c>
    </row>
    <row r="7095" spans="1:4" x14ac:dyDescent="0.3">
      <c r="A7095" s="34">
        <v>52330</v>
      </c>
      <c r="B7095" s="35">
        <v>2</v>
      </c>
      <c r="C7095" s="35">
        <v>0</v>
      </c>
      <c r="D7095" s="2">
        <f t="shared" si="110"/>
        <v>2</v>
      </c>
    </row>
    <row r="7096" spans="1:4" x14ac:dyDescent="0.3">
      <c r="A7096" s="34">
        <v>52332</v>
      </c>
      <c r="B7096" s="35">
        <v>1</v>
      </c>
      <c r="C7096" s="35">
        <v>0</v>
      </c>
      <c r="D7096" s="2">
        <f t="shared" si="110"/>
        <v>1</v>
      </c>
    </row>
    <row r="7097" spans="1:4" x14ac:dyDescent="0.3">
      <c r="A7097" s="34">
        <v>52333</v>
      </c>
      <c r="B7097" s="35">
        <v>1</v>
      </c>
      <c r="C7097" s="35">
        <v>0</v>
      </c>
      <c r="D7097" s="2">
        <f t="shared" si="110"/>
        <v>1</v>
      </c>
    </row>
    <row r="7098" spans="1:4" x14ac:dyDescent="0.3">
      <c r="A7098" s="34">
        <v>52334</v>
      </c>
      <c r="B7098" s="35">
        <v>1</v>
      </c>
      <c r="C7098" s="35">
        <v>0</v>
      </c>
      <c r="D7098" s="2">
        <f t="shared" si="110"/>
        <v>1</v>
      </c>
    </row>
    <row r="7099" spans="1:4" x14ac:dyDescent="0.3">
      <c r="A7099" s="34">
        <v>52335</v>
      </c>
      <c r="B7099" s="35">
        <v>1</v>
      </c>
      <c r="C7099" s="35">
        <v>1</v>
      </c>
      <c r="D7099" s="2">
        <f t="shared" si="110"/>
        <v>2</v>
      </c>
    </row>
    <row r="7100" spans="1:4" x14ac:dyDescent="0.3">
      <c r="A7100" s="34">
        <v>52336</v>
      </c>
      <c r="B7100" s="35">
        <v>1</v>
      </c>
      <c r="C7100" s="35">
        <v>1</v>
      </c>
      <c r="D7100" s="2">
        <f t="shared" si="110"/>
        <v>2</v>
      </c>
    </row>
    <row r="7101" spans="1:4" x14ac:dyDescent="0.3">
      <c r="A7101" s="34">
        <v>52353</v>
      </c>
      <c r="B7101" s="35">
        <v>1</v>
      </c>
      <c r="C7101" s="35">
        <v>0</v>
      </c>
      <c r="D7101" s="2">
        <f t="shared" si="110"/>
        <v>1</v>
      </c>
    </row>
    <row r="7102" spans="1:4" x14ac:dyDescent="0.3">
      <c r="A7102" s="34">
        <v>52360</v>
      </c>
      <c r="B7102" s="35">
        <v>1</v>
      </c>
      <c r="C7102" s="35">
        <v>0</v>
      </c>
      <c r="D7102" s="2">
        <f t="shared" si="110"/>
        <v>1</v>
      </c>
    </row>
    <row r="7103" spans="1:4" x14ac:dyDescent="0.3">
      <c r="A7103" s="34">
        <v>52363</v>
      </c>
      <c r="B7103" s="35">
        <v>1</v>
      </c>
      <c r="C7103" s="35">
        <v>1</v>
      </c>
      <c r="D7103" s="2">
        <f t="shared" si="110"/>
        <v>2</v>
      </c>
    </row>
    <row r="7104" spans="1:4" x14ac:dyDescent="0.3">
      <c r="A7104" s="34">
        <v>52364</v>
      </c>
      <c r="B7104" s="35">
        <v>1</v>
      </c>
      <c r="C7104" s="35">
        <v>0</v>
      </c>
      <c r="D7104" s="2">
        <f t="shared" si="110"/>
        <v>1</v>
      </c>
    </row>
    <row r="7105" spans="1:4" x14ac:dyDescent="0.3">
      <c r="A7105" s="34">
        <v>52366</v>
      </c>
      <c r="B7105" s="35">
        <v>1</v>
      </c>
      <c r="C7105" s="35">
        <v>0</v>
      </c>
      <c r="D7105" s="2">
        <f t="shared" si="110"/>
        <v>1</v>
      </c>
    </row>
    <row r="7106" spans="1:4" x14ac:dyDescent="0.3">
      <c r="A7106" s="34">
        <v>52368</v>
      </c>
      <c r="B7106" s="35">
        <v>1</v>
      </c>
      <c r="C7106" s="35">
        <v>0</v>
      </c>
      <c r="D7106" s="2">
        <f t="shared" si="110"/>
        <v>1</v>
      </c>
    </row>
    <row r="7107" spans="1:4" x14ac:dyDescent="0.3">
      <c r="A7107" s="34">
        <v>52370</v>
      </c>
      <c r="B7107" s="35">
        <v>1</v>
      </c>
      <c r="C7107" s="35">
        <v>0</v>
      </c>
      <c r="D7107" s="2">
        <f t="shared" ref="D7107:D7170" si="111">B7107+C7107</f>
        <v>1</v>
      </c>
    </row>
    <row r="7108" spans="1:4" x14ac:dyDescent="0.3">
      <c r="A7108" s="34">
        <v>52372</v>
      </c>
      <c r="B7108" s="35">
        <v>1</v>
      </c>
      <c r="C7108" s="35">
        <v>1</v>
      </c>
      <c r="D7108" s="2">
        <f t="shared" si="111"/>
        <v>2</v>
      </c>
    </row>
    <row r="7109" spans="1:4" x14ac:dyDescent="0.3">
      <c r="A7109" s="34">
        <v>52383</v>
      </c>
      <c r="B7109" s="35">
        <v>1</v>
      </c>
      <c r="C7109" s="35">
        <v>0</v>
      </c>
      <c r="D7109" s="2">
        <f t="shared" si="111"/>
        <v>1</v>
      </c>
    </row>
    <row r="7110" spans="1:4" x14ac:dyDescent="0.3">
      <c r="A7110" s="34">
        <v>52385</v>
      </c>
      <c r="B7110" s="35">
        <v>1</v>
      </c>
      <c r="C7110" s="35">
        <v>0</v>
      </c>
      <c r="D7110" s="2">
        <f t="shared" si="111"/>
        <v>1</v>
      </c>
    </row>
    <row r="7111" spans="1:4" x14ac:dyDescent="0.3">
      <c r="A7111" s="34">
        <v>52387</v>
      </c>
      <c r="B7111" s="35">
        <v>1</v>
      </c>
      <c r="C7111" s="35">
        <v>0</v>
      </c>
      <c r="D7111" s="2">
        <f t="shared" si="111"/>
        <v>1</v>
      </c>
    </row>
    <row r="7112" spans="1:4" x14ac:dyDescent="0.3">
      <c r="A7112" s="34">
        <v>52391</v>
      </c>
      <c r="B7112" s="35">
        <v>1</v>
      </c>
      <c r="C7112" s="35">
        <v>0</v>
      </c>
      <c r="D7112" s="2">
        <f t="shared" si="111"/>
        <v>1</v>
      </c>
    </row>
    <row r="7113" spans="1:4" x14ac:dyDescent="0.3">
      <c r="A7113" s="34">
        <v>52392</v>
      </c>
      <c r="B7113" s="35">
        <v>1</v>
      </c>
      <c r="C7113" s="35">
        <v>0</v>
      </c>
      <c r="D7113" s="2">
        <f t="shared" si="111"/>
        <v>1</v>
      </c>
    </row>
    <row r="7114" spans="1:4" x14ac:dyDescent="0.3">
      <c r="A7114" s="34">
        <v>52396</v>
      </c>
      <c r="B7114" s="35">
        <v>1</v>
      </c>
      <c r="C7114" s="35">
        <v>1</v>
      </c>
      <c r="D7114" s="2">
        <f t="shared" si="111"/>
        <v>2</v>
      </c>
    </row>
    <row r="7115" spans="1:4" x14ac:dyDescent="0.3">
      <c r="A7115" s="34">
        <v>52400</v>
      </c>
      <c r="B7115" s="35">
        <v>1</v>
      </c>
      <c r="C7115" s="35">
        <v>0</v>
      </c>
      <c r="D7115" s="2">
        <f t="shared" si="111"/>
        <v>1</v>
      </c>
    </row>
    <row r="7116" spans="1:4" x14ac:dyDescent="0.3">
      <c r="A7116" s="34">
        <v>52403</v>
      </c>
      <c r="B7116" s="35">
        <v>1</v>
      </c>
      <c r="C7116" s="35">
        <v>0</v>
      </c>
      <c r="D7116" s="2">
        <f t="shared" si="111"/>
        <v>1</v>
      </c>
    </row>
    <row r="7117" spans="1:4" x14ac:dyDescent="0.3">
      <c r="A7117" s="34">
        <v>52405</v>
      </c>
      <c r="B7117" s="35">
        <v>1</v>
      </c>
      <c r="C7117" s="35">
        <v>0</v>
      </c>
      <c r="D7117" s="2">
        <f t="shared" si="111"/>
        <v>1</v>
      </c>
    </row>
    <row r="7118" spans="1:4" x14ac:dyDescent="0.3">
      <c r="A7118" s="34">
        <v>52409</v>
      </c>
      <c r="B7118" s="35">
        <v>1</v>
      </c>
      <c r="C7118" s="35">
        <v>0</v>
      </c>
      <c r="D7118" s="2">
        <f t="shared" si="111"/>
        <v>1</v>
      </c>
    </row>
    <row r="7119" spans="1:4" x14ac:dyDescent="0.3">
      <c r="A7119" s="34">
        <v>52411</v>
      </c>
      <c r="B7119" s="35">
        <v>1</v>
      </c>
      <c r="C7119" s="35">
        <v>0</v>
      </c>
      <c r="D7119" s="2">
        <f t="shared" si="111"/>
        <v>1</v>
      </c>
    </row>
    <row r="7120" spans="1:4" x14ac:dyDescent="0.3">
      <c r="A7120" s="34">
        <v>52414</v>
      </c>
      <c r="B7120" s="35">
        <v>1</v>
      </c>
      <c r="C7120" s="35">
        <v>1</v>
      </c>
      <c r="D7120" s="2">
        <f t="shared" si="111"/>
        <v>2</v>
      </c>
    </row>
    <row r="7121" spans="1:4" x14ac:dyDescent="0.3">
      <c r="A7121" s="34">
        <v>52417</v>
      </c>
      <c r="B7121" s="35">
        <v>1</v>
      </c>
      <c r="C7121" s="35">
        <v>0</v>
      </c>
      <c r="D7121" s="2">
        <f t="shared" si="111"/>
        <v>1</v>
      </c>
    </row>
    <row r="7122" spans="1:4" x14ac:dyDescent="0.3">
      <c r="A7122" s="34">
        <v>52418</v>
      </c>
      <c r="B7122" s="35">
        <v>1</v>
      </c>
      <c r="C7122" s="35">
        <v>1</v>
      </c>
      <c r="D7122" s="2">
        <f t="shared" si="111"/>
        <v>2</v>
      </c>
    </row>
    <row r="7123" spans="1:4" x14ac:dyDescent="0.3">
      <c r="A7123" s="34">
        <v>52419</v>
      </c>
      <c r="B7123" s="35">
        <v>1</v>
      </c>
      <c r="C7123" s="35">
        <v>0</v>
      </c>
      <c r="D7123" s="2">
        <f t="shared" si="111"/>
        <v>1</v>
      </c>
    </row>
    <row r="7124" spans="1:4" x14ac:dyDescent="0.3">
      <c r="A7124" s="34">
        <v>52421</v>
      </c>
      <c r="B7124" s="35">
        <v>1</v>
      </c>
      <c r="C7124" s="35">
        <v>0</v>
      </c>
      <c r="D7124" s="2">
        <f t="shared" si="111"/>
        <v>1</v>
      </c>
    </row>
    <row r="7125" spans="1:4" x14ac:dyDescent="0.3">
      <c r="A7125" s="34">
        <v>52423</v>
      </c>
      <c r="B7125" s="35">
        <v>1</v>
      </c>
      <c r="C7125" s="35">
        <v>0</v>
      </c>
      <c r="D7125" s="2">
        <f t="shared" si="111"/>
        <v>1</v>
      </c>
    </row>
    <row r="7126" spans="1:4" x14ac:dyDescent="0.3">
      <c r="A7126" s="34">
        <v>52424</v>
      </c>
      <c r="B7126" s="35">
        <v>2</v>
      </c>
      <c r="C7126" s="35">
        <v>1</v>
      </c>
      <c r="D7126" s="2">
        <f t="shared" si="111"/>
        <v>3</v>
      </c>
    </row>
    <row r="7127" spans="1:4" x14ac:dyDescent="0.3">
      <c r="A7127" s="34">
        <v>52425</v>
      </c>
      <c r="B7127" s="35">
        <v>1</v>
      </c>
      <c r="C7127" s="35">
        <v>0</v>
      </c>
      <c r="D7127" s="2">
        <f t="shared" si="111"/>
        <v>1</v>
      </c>
    </row>
    <row r="7128" spans="1:4" x14ac:dyDescent="0.3">
      <c r="A7128" s="34">
        <v>52428</v>
      </c>
      <c r="B7128" s="35">
        <v>1</v>
      </c>
      <c r="C7128" s="35">
        <v>0</v>
      </c>
      <c r="D7128" s="2">
        <f t="shared" si="111"/>
        <v>1</v>
      </c>
    </row>
    <row r="7129" spans="1:4" x14ac:dyDescent="0.3">
      <c r="A7129" s="34">
        <v>52429</v>
      </c>
      <c r="B7129" s="35">
        <v>1</v>
      </c>
      <c r="C7129" s="35">
        <v>0</v>
      </c>
      <c r="D7129" s="2">
        <f t="shared" si="111"/>
        <v>1</v>
      </c>
    </row>
    <row r="7130" spans="1:4" x14ac:dyDescent="0.3">
      <c r="A7130" s="34">
        <v>52430</v>
      </c>
      <c r="B7130" s="35">
        <v>1</v>
      </c>
      <c r="C7130" s="35">
        <v>0</v>
      </c>
      <c r="D7130" s="2">
        <f t="shared" si="111"/>
        <v>1</v>
      </c>
    </row>
    <row r="7131" spans="1:4" x14ac:dyDescent="0.3">
      <c r="A7131" s="34">
        <v>52434</v>
      </c>
      <c r="B7131" s="35">
        <v>1</v>
      </c>
      <c r="C7131" s="35">
        <v>0</v>
      </c>
      <c r="D7131" s="2">
        <f t="shared" si="111"/>
        <v>1</v>
      </c>
    </row>
    <row r="7132" spans="1:4" x14ac:dyDescent="0.3">
      <c r="A7132" s="34">
        <v>52448</v>
      </c>
      <c r="B7132" s="35">
        <v>1</v>
      </c>
      <c r="C7132" s="35">
        <v>0</v>
      </c>
      <c r="D7132" s="2">
        <f t="shared" si="111"/>
        <v>1</v>
      </c>
    </row>
    <row r="7133" spans="1:4" x14ac:dyDescent="0.3">
      <c r="A7133" s="34">
        <v>52449</v>
      </c>
      <c r="B7133" s="35">
        <v>2</v>
      </c>
      <c r="C7133" s="35">
        <v>2</v>
      </c>
      <c r="D7133" s="2">
        <f t="shared" si="111"/>
        <v>4</v>
      </c>
    </row>
    <row r="7134" spans="1:4" x14ac:dyDescent="0.3">
      <c r="A7134" s="34">
        <v>52456</v>
      </c>
      <c r="B7134" s="35">
        <v>1</v>
      </c>
      <c r="C7134" s="35">
        <v>0</v>
      </c>
      <c r="D7134" s="2">
        <f t="shared" si="111"/>
        <v>1</v>
      </c>
    </row>
    <row r="7135" spans="1:4" x14ac:dyDescent="0.3">
      <c r="A7135" s="34">
        <v>52459</v>
      </c>
      <c r="B7135" s="35">
        <v>1</v>
      </c>
      <c r="C7135" s="35">
        <v>0</v>
      </c>
      <c r="D7135" s="2">
        <f t="shared" si="111"/>
        <v>1</v>
      </c>
    </row>
    <row r="7136" spans="1:4" x14ac:dyDescent="0.3">
      <c r="A7136" s="34">
        <v>52470</v>
      </c>
      <c r="B7136" s="35">
        <v>1</v>
      </c>
      <c r="C7136" s="35">
        <v>0</v>
      </c>
      <c r="D7136" s="2">
        <f t="shared" si="111"/>
        <v>1</v>
      </c>
    </row>
    <row r="7137" spans="1:4" x14ac:dyDescent="0.3">
      <c r="A7137" s="34">
        <v>52471</v>
      </c>
      <c r="B7137" s="35">
        <v>1</v>
      </c>
      <c r="C7137" s="35">
        <v>0</v>
      </c>
      <c r="D7137" s="2">
        <f t="shared" si="111"/>
        <v>1</v>
      </c>
    </row>
    <row r="7138" spans="1:4" x14ac:dyDescent="0.3">
      <c r="A7138" s="34">
        <v>52472</v>
      </c>
      <c r="B7138" s="35">
        <v>1</v>
      </c>
      <c r="C7138" s="35">
        <v>0</v>
      </c>
      <c r="D7138" s="2">
        <f t="shared" si="111"/>
        <v>1</v>
      </c>
    </row>
    <row r="7139" spans="1:4" x14ac:dyDescent="0.3">
      <c r="A7139" s="34">
        <v>52473</v>
      </c>
      <c r="B7139" s="35">
        <v>1</v>
      </c>
      <c r="C7139" s="35">
        <v>0</v>
      </c>
      <c r="D7139" s="2">
        <f t="shared" si="111"/>
        <v>1</v>
      </c>
    </row>
    <row r="7140" spans="1:4" x14ac:dyDescent="0.3">
      <c r="A7140" s="34">
        <v>52475</v>
      </c>
      <c r="B7140" s="35">
        <v>1</v>
      </c>
      <c r="C7140" s="35">
        <v>0</v>
      </c>
      <c r="D7140" s="2">
        <f t="shared" si="111"/>
        <v>1</v>
      </c>
    </row>
    <row r="7141" spans="1:4" x14ac:dyDescent="0.3">
      <c r="A7141" s="34">
        <v>52478</v>
      </c>
      <c r="B7141" s="35">
        <v>1</v>
      </c>
      <c r="C7141" s="35">
        <v>0</v>
      </c>
      <c r="D7141" s="2">
        <f t="shared" si="111"/>
        <v>1</v>
      </c>
    </row>
    <row r="7142" spans="1:4" x14ac:dyDescent="0.3">
      <c r="A7142" s="34">
        <v>52479</v>
      </c>
      <c r="B7142" s="35">
        <v>1</v>
      </c>
      <c r="C7142" s="35">
        <v>0</v>
      </c>
      <c r="D7142" s="2">
        <f t="shared" si="111"/>
        <v>1</v>
      </c>
    </row>
    <row r="7143" spans="1:4" x14ac:dyDescent="0.3">
      <c r="A7143" s="34">
        <v>52480</v>
      </c>
      <c r="B7143" s="35">
        <v>1</v>
      </c>
      <c r="C7143" s="35">
        <v>0</v>
      </c>
      <c r="D7143" s="2">
        <f t="shared" si="111"/>
        <v>1</v>
      </c>
    </row>
    <row r="7144" spans="1:4" x14ac:dyDescent="0.3">
      <c r="A7144" s="34">
        <v>52481</v>
      </c>
      <c r="B7144" s="35">
        <v>1</v>
      </c>
      <c r="C7144" s="35">
        <v>0</v>
      </c>
      <c r="D7144" s="2">
        <f t="shared" si="111"/>
        <v>1</v>
      </c>
    </row>
    <row r="7145" spans="1:4" x14ac:dyDescent="0.3">
      <c r="A7145" s="34">
        <v>52483</v>
      </c>
      <c r="B7145" s="35">
        <v>1</v>
      </c>
      <c r="C7145" s="35">
        <v>0</v>
      </c>
      <c r="D7145" s="2">
        <f t="shared" si="111"/>
        <v>1</v>
      </c>
    </row>
    <row r="7146" spans="1:4" x14ac:dyDescent="0.3">
      <c r="A7146" s="34">
        <v>52485</v>
      </c>
      <c r="B7146" s="35">
        <v>1</v>
      </c>
      <c r="C7146" s="35">
        <v>1</v>
      </c>
      <c r="D7146" s="2">
        <f t="shared" si="111"/>
        <v>2</v>
      </c>
    </row>
    <row r="7147" spans="1:4" x14ac:dyDescent="0.3">
      <c r="A7147" s="34">
        <v>52487</v>
      </c>
      <c r="B7147" s="35">
        <v>1</v>
      </c>
      <c r="C7147" s="35">
        <v>1</v>
      </c>
      <c r="D7147" s="2">
        <f t="shared" si="111"/>
        <v>2</v>
      </c>
    </row>
    <row r="7148" spans="1:4" x14ac:dyDescent="0.3">
      <c r="A7148" s="34">
        <v>52516</v>
      </c>
      <c r="B7148" s="35">
        <v>1</v>
      </c>
      <c r="C7148" s="35">
        <v>0</v>
      </c>
      <c r="D7148" s="2">
        <f t="shared" si="111"/>
        <v>1</v>
      </c>
    </row>
    <row r="7149" spans="1:4" x14ac:dyDescent="0.3">
      <c r="A7149" s="34">
        <v>52517</v>
      </c>
      <c r="B7149" s="35">
        <v>1</v>
      </c>
      <c r="C7149" s="35">
        <v>0</v>
      </c>
      <c r="D7149" s="2">
        <f t="shared" si="111"/>
        <v>1</v>
      </c>
    </row>
    <row r="7150" spans="1:4" x14ac:dyDescent="0.3">
      <c r="A7150" s="34">
        <v>52518</v>
      </c>
      <c r="B7150" s="35">
        <v>1</v>
      </c>
      <c r="C7150" s="35">
        <v>0</v>
      </c>
      <c r="D7150" s="2">
        <f t="shared" si="111"/>
        <v>1</v>
      </c>
    </row>
    <row r="7151" spans="1:4" x14ac:dyDescent="0.3">
      <c r="A7151" s="34">
        <v>52519</v>
      </c>
      <c r="B7151" s="35">
        <v>2</v>
      </c>
      <c r="C7151" s="35">
        <v>2</v>
      </c>
      <c r="D7151" s="2">
        <f t="shared" si="111"/>
        <v>4</v>
      </c>
    </row>
    <row r="7152" spans="1:4" x14ac:dyDescent="0.3">
      <c r="A7152" s="34">
        <v>52520</v>
      </c>
      <c r="B7152" s="35">
        <v>1</v>
      </c>
      <c r="C7152" s="35">
        <v>1</v>
      </c>
      <c r="D7152" s="2">
        <f t="shared" si="111"/>
        <v>2</v>
      </c>
    </row>
    <row r="7153" spans="1:4" x14ac:dyDescent="0.3">
      <c r="A7153" s="34">
        <v>52522</v>
      </c>
      <c r="B7153" s="35">
        <v>2</v>
      </c>
      <c r="C7153" s="35">
        <v>2</v>
      </c>
      <c r="D7153" s="2">
        <f t="shared" si="111"/>
        <v>4</v>
      </c>
    </row>
    <row r="7154" spans="1:4" x14ac:dyDescent="0.3">
      <c r="A7154" s="34">
        <v>52523</v>
      </c>
      <c r="B7154" s="35">
        <v>1</v>
      </c>
      <c r="C7154" s="35">
        <v>0</v>
      </c>
      <c r="D7154" s="2">
        <f t="shared" si="111"/>
        <v>1</v>
      </c>
    </row>
    <row r="7155" spans="1:4" x14ac:dyDescent="0.3">
      <c r="A7155" s="34">
        <v>52524</v>
      </c>
      <c r="B7155" s="35">
        <v>1</v>
      </c>
      <c r="C7155" s="35">
        <v>0</v>
      </c>
      <c r="D7155" s="2">
        <f t="shared" si="111"/>
        <v>1</v>
      </c>
    </row>
    <row r="7156" spans="1:4" x14ac:dyDescent="0.3">
      <c r="A7156" s="34">
        <v>52526</v>
      </c>
      <c r="B7156" s="35">
        <v>1</v>
      </c>
      <c r="C7156" s="35">
        <v>0</v>
      </c>
      <c r="D7156" s="2">
        <f t="shared" si="111"/>
        <v>1</v>
      </c>
    </row>
    <row r="7157" spans="1:4" x14ac:dyDescent="0.3">
      <c r="A7157" s="34">
        <v>52527</v>
      </c>
      <c r="B7157" s="35">
        <v>1</v>
      </c>
      <c r="C7157" s="35">
        <v>0</v>
      </c>
      <c r="D7157" s="2">
        <f t="shared" si="111"/>
        <v>1</v>
      </c>
    </row>
    <row r="7158" spans="1:4" x14ac:dyDescent="0.3">
      <c r="A7158" s="34">
        <v>52532</v>
      </c>
      <c r="B7158" s="35">
        <v>1</v>
      </c>
      <c r="C7158" s="35">
        <v>0</v>
      </c>
      <c r="D7158" s="2">
        <f t="shared" si="111"/>
        <v>1</v>
      </c>
    </row>
    <row r="7159" spans="1:4" x14ac:dyDescent="0.3">
      <c r="A7159" s="34">
        <v>52533</v>
      </c>
      <c r="B7159" s="35">
        <v>1</v>
      </c>
      <c r="C7159" s="35">
        <v>0</v>
      </c>
      <c r="D7159" s="2">
        <f t="shared" si="111"/>
        <v>1</v>
      </c>
    </row>
    <row r="7160" spans="1:4" x14ac:dyDescent="0.3">
      <c r="A7160" s="34">
        <v>52534</v>
      </c>
      <c r="B7160" s="35">
        <v>1</v>
      </c>
      <c r="C7160" s="35">
        <v>0</v>
      </c>
      <c r="D7160" s="2">
        <f t="shared" si="111"/>
        <v>1</v>
      </c>
    </row>
    <row r="7161" spans="1:4" x14ac:dyDescent="0.3">
      <c r="A7161" s="34">
        <v>52537</v>
      </c>
      <c r="B7161" s="35">
        <v>1</v>
      </c>
      <c r="C7161" s="35">
        <v>1</v>
      </c>
      <c r="D7161" s="2">
        <f t="shared" si="111"/>
        <v>2</v>
      </c>
    </row>
    <row r="7162" spans="1:4" x14ac:dyDescent="0.3">
      <c r="A7162" s="34">
        <v>52539</v>
      </c>
      <c r="B7162" s="35">
        <v>1</v>
      </c>
      <c r="C7162" s="35">
        <v>1</v>
      </c>
      <c r="D7162" s="2">
        <f t="shared" si="111"/>
        <v>2</v>
      </c>
    </row>
    <row r="7163" spans="1:4" x14ac:dyDescent="0.3">
      <c r="A7163" s="34">
        <v>52558</v>
      </c>
      <c r="B7163" s="35">
        <v>1</v>
      </c>
      <c r="C7163" s="35">
        <v>0</v>
      </c>
      <c r="D7163" s="2">
        <f t="shared" si="111"/>
        <v>1</v>
      </c>
    </row>
    <row r="7164" spans="1:4" x14ac:dyDescent="0.3">
      <c r="A7164" s="34">
        <v>52560</v>
      </c>
      <c r="B7164" s="35">
        <v>1</v>
      </c>
      <c r="C7164" s="35">
        <v>0</v>
      </c>
      <c r="D7164" s="2">
        <f t="shared" si="111"/>
        <v>1</v>
      </c>
    </row>
    <row r="7165" spans="1:4" x14ac:dyDescent="0.3">
      <c r="A7165" s="34">
        <v>52565</v>
      </c>
      <c r="B7165" s="35">
        <v>1</v>
      </c>
      <c r="C7165" s="35">
        <v>0</v>
      </c>
      <c r="D7165" s="2">
        <f t="shared" si="111"/>
        <v>1</v>
      </c>
    </row>
    <row r="7166" spans="1:4" x14ac:dyDescent="0.3">
      <c r="A7166" s="34">
        <v>52568</v>
      </c>
      <c r="B7166" s="35">
        <v>1</v>
      </c>
      <c r="C7166" s="35">
        <v>1</v>
      </c>
      <c r="D7166" s="2">
        <f t="shared" si="111"/>
        <v>2</v>
      </c>
    </row>
    <row r="7167" spans="1:4" x14ac:dyDescent="0.3">
      <c r="A7167" s="34">
        <v>52572</v>
      </c>
      <c r="B7167" s="35">
        <v>1</v>
      </c>
      <c r="C7167" s="35">
        <v>0</v>
      </c>
      <c r="D7167" s="2">
        <f t="shared" si="111"/>
        <v>1</v>
      </c>
    </row>
    <row r="7168" spans="1:4" x14ac:dyDescent="0.3">
      <c r="A7168" s="34">
        <v>52574</v>
      </c>
      <c r="B7168" s="35">
        <v>1</v>
      </c>
      <c r="C7168" s="35">
        <v>0</v>
      </c>
      <c r="D7168" s="2">
        <f t="shared" si="111"/>
        <v>1</v>
      </c>
    </row>
    <row r="7169" spans="1:4" x14ac:dyDescent="0.3">
      <c r="A7169" s="34">
        <v>52575</v>
      </c>
      <c r="B7169" s="35">
        <v>1</v>
      </c>
      <c r="C7169" s="35">
        <v>0</v>
      </c>
      <c r="D7169" s="2">
        <f t="shared" si="111"/>
        <v>1</v>
      </c>
    </row>
    <row r="7170" spans="1:4" x14ac:dyDescent="0.3">
      <c r="A7170" s="34">
        <v>52577</v>
      </c>
      <c r="B7170" s="35">
        <v>1</v>
      </c>
      <c r="C7170" s="35">
        <v>0</v>
      </c>
      <c r="D7170" s="2">
        <f t="shared" si="111"/>
        <v>1</v>
      </c>
    </row>
    <row r="7171" spans="1:4" x14ac:dyDescent="0.3">
      <c r="A7171" s="34">
        <v>52578</v>
      </c>
      <c r="B7171" s="35">
        <v>1</v>
      </c>
      <c r="C7171" s="35">
        <v>0</v>
      </c>
      <c r="D7171" s="2">
        <f t="shared" ref="D7171:D7234" si="112">B7171+C7171</f>
        <v>1</v>
      </c>
    </row>
    <row r="7172" spans="1:4" x14ac:dyDescent="0.3">
      <c r="A7172" s="34">
        <v>52580</v>
      </c>
      <c r="B7172" s="35">
        <v>2</v>
      </c>
      <c r="C7172" s="35">
        <v>1</v>
      </c>
      <c r="D7172" s="2">
        <f t="shared" si="112"/>
        <v>3</v>
      </c>
    </row>
    <row r="7173" spans="1:4" x14ac:dyDescent="0.3">
      <c r="A7173" s="34">
        <v>52581</v>
      </c>
      <c r="B7173" s="35">
        <v>1</v>
      </c>
      <c r="C7173" s="35">
        <v>1</v>
      </c>
      <c r="D7173" s="2">
        <f t="shared" si="112"/>
        <v>2</v>
      </c>
    </row>
    <row r="7174" spans="1:4" x14ac:dyDescent="0.3">
      <c r="A7174" s="34">
        <v>52582</v>
      </c>
      <c r="B7174" s="35">
        <v>2</v>
      </c>
      <c r="C7174" s="35">
        <v>0</v>
      </c>
      <c r="D7174" s="2">
        <f t="shared" si="112"/>
        <v>2</v>
      </c>
    </row>
    <row r="7175" spans="1:4" x14ac:dyDescent="0.3">
      <c r="A7175" s="34">
        <v>52583</v>
      </c>
      <c r="B7175" s="35">
        <v>1</v>
      </c>
      <c r="C7175" s="35">
        <v>0</v>
      </c>
      <c r="D7175" s="2">
        <f t="shared" si="112"/>
        <v>1</v>
      </c>
    </row>
    <row r="7176" spans="1:4" x14ac:dyDescent="0.3">
      <c r="A7176" s="34">
        <v>52586</v>
      </c>
      <c r="B7176" s="35">
        <v>1</v>
      </c>
      <c r="C7176" s="35">
        <v>1</v>
      </c>
      <c r="D7176" s="2">
        <f t="shared" si="112"/>
        <v>2</v>
      </c>
    </row>
    <row r="7177" spans="1:4" x14ac:dyDescent="0.3">
      <c r="A7177" s="34">
        <v>52588</v>
      </c>
      <c r="B7177" s="35">
        <v>1</v>
      </c>
      <c r="C7177" s="35">
        <v>0</v>
      </c>
      <c r="D7177" s="2">
        <f t="shared" si="112"/>
        <v>1</v>
      </c>
    </row>
    <row r="7178" spans="1:4" x14ac:dyDescent="0.3">
      <c r="A7178" s="34">
        <v>52589</v>
      </c>
      <c r="B7178" s="35">
        <v>1</v>
      </c>
      <c r="C7178" s="35">
        <v>0</v>
      </c>
      <c r="D7178" s="2">
        <f t="shared" si="112"/>
        <v>1</v>
      </c>
    </row>
    <row r="7179" spans="1:4" x14ac:dyDescent="0.3">
      <c r="A7179" s="34">
        <v>52600</v>
      </c>
      <c r="B7179" s="35">
        <v>1</v>
      </c>
      <c r="C7179" s="35">
        <v>0</v>
      </c>
      <c r="D7179" s="2">
        <f t="shared" si="112"/>
        <v>1</v>
      </c>
    </row>
    <row r="7180" spans="1:4" x14ac:dyDescent="0.3">
      <c r="A7180" s="34">
        <v>52601</v>
      </c>
      <c r="B7180" s="35">
        <v>1</v>
      </c>
      <c r="C7180" s="35">
        <v>0</v>
      </c>
      <c r="D7180" s="2">
        <f t="shared" si="112"/>
        <v>1</v>
      </c>
    </row>
    <row r="7181" spans="1:4" x14ac:dyDescent="0.3">
      <c r="A7181" s="34">
        <v>52604</v>
      </c>
      <c r="B7181" s="35">
        <v>1</v>
      </c>
      <c r="C7181" s="35">
        <v>0</v>
      </c>
      <c r="D7181" s="2">
        <f t="shared" si="112"/>
        <v>1</v>
      </c>
    </row>
    <row r="7182" spans="1:4" x14ac:dyDescent="0.3">
      <c r="A7182" s="34">
        <v>52607</v>
      </c>
      <c r="B7182" s="35">
        <v>1</v>
      </c>
      <c r="C7182" s="35">
        <v>0</v>
      </c>
      <c r="D7182" s="2">
        <f t="shared" si="112"/>
        <v>1</v>
      </c>
    </row>
    <row r="7183" spans="1:4" x14ac:dyDescent="0.3">
      <c r="A7183" s="34">
        <v>52610</v>
      </c>
      <c r="B7183" s="35">
        <v>1</v>
      </c>
      <c r="C7183" s="35">
        <v>0</v>
      </c>
      <c r="D7183" s="2">
        <f t="shared" si="112"/>
        <v>1</v>
      </c>
    </row>
    <row r="7184" spans="1:4" x14ac:dyDescent="0.3">
      <c r="A7184" s="34">
        <v>52611</v>
      </c>
      <c r="B7184" s="35">
        <v>1</v>
      </c>
      <c r="C7184" s="35">
        <v>0</v>
      </c>
      <c r="D7184" s="2">
        <f t="shared" si="112"/>
        <v>1</v>
      </c>
    </row>
    <row r="7185" spans="1:4" x14ac:dyDescent="0.3">
      <c r="A7185" s="34">
        <v>52612</v>
      </c>
      <c r="B7185" s="35">
        <v>1</v>
      </c>
      <c r="C7185" s="35">
        <v>0</v>
      </c>
      <c r="D7185" s="2">
        <f t="shared" si="112"/>
        <v>1</v>
      </c>
    </row>
    <row r="7186" spans="1:4" x14ac:dyDescent="0.3">
      <c r="A7186" s="34">
        <v>52613</v>
      </c>
      <c r="B7186" s="35">
        <v>1</v>
      </c>
      <c r="C7186" s="35">
        <v>0</v>
      </c>
      <c r="D7186" s="2">
        <f t="shared" si="112"/>
        <v>1</v>
      </c>
    </row>
    <row r="7187" spans="1:4" x14ac:dyDescent="0.3">
      <c r="A7187" s="34">
        <v>52621</v>
      </c>
      <c r="B7187" s="35">
        <v>1</v>
      </c>
      <c r="C7187" s="35">
        <v>0</v>
      </c>
      <c r="D7187" s="2">
        <f t="shared" si="112"/>
        <v>1</v>
      </c>
    </row>
    <row r="7188" spans="1:4" x14ac:dyDescent="0.3">
      <c r="A7188" s="34">
        <v>52622</v>
      </c>
      <c r="B7188" s="35">
        <v>1</v>
      </c>
      <c r="C7188" s="35">
        <v>0</v>
      </c>
      <c r="D7188" s="2">
        <f t="shared" si="112"/>
        <v>1</v>
      </c>
    </row>
    <row r="7189" spans="1:4" x14ac:dyDescent="0.3">
      <c r="A7189" s="34">
        <v>52626</v>
      </c>
      <c r="B7189" s="35">
        <v>1</v>
      </c>
      <c r="C7189" s="35">
        <v>0</v>
      </c>
      <c r="D7189" s="2">
        <f t="shared" si="112"/>
        <v>1</v>
      </c>
    </row>
    <row r="7190" spans="1:4" x14ac:dyDescent="0.3">
      <c r="A7190" s="34">
        <v>52629</v>
      </c>
      <c r="B7190" s="35">
        <v>1</v>
      </c>
      <c r="C7190" s="35">
        <v>0</v>
      </c>
      <c r="D7190" s="2">
        <f t="shared" si="112"/>
        <v>1</v>
      </c>
    </row>
    <row r="7191" spans="1:4" x14ac:dyDescent="0.3">
      <c r="A7191" s="34">
        <v>52633</v>
      </c>
      <c r="B7191" s="35">
        <v>1</v>
      </c>
      <c r="C7191" s="35">
        <v>0</v>
      </c>
      <c r="D7191" s="2">
        <f t="shared" si="112"/>
        <v>1</v>
      </c>
    </row>
    <row r="7192" spans="1:4" x14ac:dyDescent="0.3">
      <c r="A7192" s="34">
        <v>52635</v>
      </c>
      <c r="B7192" s="35">
        <v>1</v>
      </c>
      <c r="C7192" s="35">
        <v>0</v>
      </c>
      <c r="D7192" s="2">
        <f t="shared" si="112"/>
        <v>1</v>
      </c>
    </row>
    <row r="7193" spans="1:4" x14ac:dyDescent="0.3">
      <c r="A7193" s="34">
        <v>52636</v>
      </c>
      <c r="B7193" s="35">
        <v>1</v>
      </c>
      <c r="C7193" s="35">
        <v>0</v>
      </c>
      <c r="D7193" s="2">
        <f t="shared" si="112"/>
        <v>1</v>
      </c>
    </row>
    <row r="7194" spans="1:4" x14ac:dyDescent="0.3">
      <c r="A7194" s="34">
        <v>52643</v>
      </c>
      <c r="B7194" s="35">
        <v>1</v>
      </c>
      <c r="C7194" s="35">
        <v>0</v>
      </c>
      <c r="D7194" s="2">
        <f t="shared" si="112"/>
        <v>1</v>
      </c>
    </row>
    <row r="7195" spans="1:4" x14ac:dyDescent="0.3">
      <c r="A7195" s="34">
        <v>52649</v>
      </c>
      <c r="B7195" s="35">
        <v>1</v>
      </c>
      <c r="C7195" s="35">
        <v>1</v>
      </c>
      <c r="D7195" s="2">
        <f t="shared" si="112"/>
        <v>2</v>
      </c>
    </row>
    <row r="7196" spans="1:4" x14ac:dyDescent="0.3">
      <c r="A7196" s="34">
        <v>52651</v>
      </c>
      <c r="B7196" s="35">
        <v>1</v>
      </c>
      <c r="C7196" s="35">
        <v>0</v>
      </c>
      <c r="D7196" s="2">
        <f t="shared" si="112"/>
        <v>1</v>
      </c>
    </row>
    <row r="7197" spans="1:4" x14ac:dyDescent="0.3">
      <c r="A7197" s="34">
        <v>52653</v>
      </c>
      <c r="B7197" s="35">
        <v>1</v>
      </c>
      <c r="C7197" s="35">
        <v>0</v>
      </c>
      <c r="D7197" s="2">
        <f t="shared" si="112"/>
        <v>1</v>
      </c>
    </row>
    <row r="7198" spans="1:4" x14ac:dyDescent="0.3">
      <c r="A7198" s="34">
        <v>52654</v>
      </c>
      <c r="B7198" s="35">
        <v>1</v>
      </c>
      <c r="C7198" s="35">
        <v>1</v>
      </c>
      <c r="D7198" s="2">
        <f t="shared" si="112"/>
        <v>2</v>
      </c>
    </row>
    <row r="7199" spans="1:4" x14ac:dyDescent="0.3">
      <c r="A7199" s="34">
        <v>52658</v>
      </c>
      <c r="B7199" s="35">
        <v>1</v>
      </c>
      <c r="C7199" s="35">
        <v>0</v>
      </c>
      <c r="D7199" s="2">
        <f t="shared" si="112"/>
        <v>1</v>
      </c>
    </row>
    <row r="7200" spans="1:4" x14ac:dyDescent="0.3">
      <c r="A7200" s="34">
        <v>52713</v>
      </c>
      <c r="B7200" s="35">
        <v>1</v>
      </c>
      <c r="C7200" s="35">
        <v>1</v>
      </c>
      <c r="D7200" s="2">
        <f t="shared" si="112"/>
        <v>2</v>
      </c>
    </row>
    <row r="7201" spans="1:4" x14ac:dyDescent="0.3">
      <c r="A7201" s="34">
        <v>52714</v>
      </c>
      <c r="B7201" s="35">
        <v>1</v>
      </c>
      <c r="C7201" s="35">
        <v>0</v>
      </c>
      <c r="D7201" s="2">
        <f t="shared" si="112"/>
        <v>1</v>
      </c>
    </row>
    <row r="7202" spans="1:4" x14ac:dyDescent="0.3">
      <c r="A7202" s="34">
        <v>52718</v>
      </c>
      <c r="B7202" s="35">
        <v>1</v>
      </c>
      <c r="C7202" s="35">
        <v>0</v>
      </c>
      <c r="D7202" s="2">
        <f t="shared" si="112"/>
        <v>1</v>
      </c>
    </row>
    <row r="7203" spans="1:4" x14ac:dyDescent="0.3">
      <c r="A7203" s="34">
        <v>52720</v>
      </c>
      <c r="B7203" s="35">
        <v>1</v>
      </c>
      <c r="C7203" s="35">
        <v>0</v>
      </c>
      <c r="D7203" s="2">
        <f t="shared" si="112"/>
        <v>1</v>
      </c>
    </row>
    <row r="7204" spans="1:4" x14ac:dyDescent="0.3">
      <c r="A7204" s="34">
        <v>52730</v>
      </c>
      <c r="B7204" s="35">
        <v>1</v>
      </c>
      <c r="C7204" s="35">
        <v>0</v>
      </c>
      <c r="D7204" s="2">
        <f t="shared" si="112"/>
        <v>1</v>
      </c>
    </row>
    <row r="7205" spans="1:4" x14ac:dyDescent="0.3">
      <c r="A7205" s="34">
        <v>52731</v>
      </c>
      <c r="B7205" s="35">
        <v>1</v>
      </c>
      <c r="C7205" s="35">
        <v>0</v>
      </c>
      <c r="D7205" s="2">
        <f t="shared" si="112"/>
        <v>1</v>
      </c>
    </row>
    <row r="7206" spans="1:4" x14ac:dyDescent="0.3">
      <c r="A7206" s="34">
        <v>52732</v>
      </c>
      <c r="B7206" s="35">
        <v>2</v>
      </c>
      <c r="C7206" s="35">
        <v>1</v>
      </c>
      <c r="D7206" s="2">
        <f t="shared" si="112"/>
        <v>3</v>
      </c>
    </row>
    <row r="7207" spans="1:4" x14ac:dyDescent="0.3">
      <c r="A7207" s="34">
        <v>52737</v>
      </c>
      <c r="B7207" s="35">
        <v>1</v>
      </c>
      <c r="C7207" s="35">
        <v>1</v>
      </c>
      <c r="D7207" s="2">
        <f t="shared" si="112"/>
        <v>2</v>
      </c>
    </row>
    <row r="7208" spans="1:4" x14ac:dyDescent="0.3">
      <c r="A7208" s="34">
        <v>52738</v>
      </c>
      <c r="B7208" s="35">
        <v>3</v>
      </c>
      <c r="C7208" s="35">
        <v>3</v>
      </c>
      <c r="D7208" s="2">
        <f t="shared" si="112"/>
        <v>6</v>
      </c>
    </row>
    <row r="7209" spans="1:4" x14ac:dyDescent="0.3">
      <c r="A7209" s="34">
        <v>52783</v>
      </c>
      <c r="B7209" s="35">
        <v>1</v>
      </c>
      <c r="C7209" s="35">
        <v>0</v>
      </c>
      <c r="D7209" s="2">
        <f t="shared" si="112"/>
        <v>1</v>
      </c>
    </row>
    <row r="7210" spans="1:4" x14ac:dyDescent="0.3">
      <c r="A7210" s="34">
        <v>52788</v>
      </c>
      <c r="B7210" s="35">
        <v>1</v>
      </c>
      <c r="C7210" s="35">
        <v>0</v>
      </c>
      <c r="D7210" s="2">
        <f t="shared" si="112"/>
        <v>1</v>
      </c>
    </row>
    <row r="7211" spans="1:4" x14ac:dyDescent="0.3">
      <c r="A7211" s="34">
        <v>52789</v>
      </c>
      <c r="B7211" s="35">
        <v>1</v>
      </c>
      <c r="C7211" s="35">
        <v>0</v>
      </c>
      <c r="D7211" s="2">
        <f t="shared" si="112"/>
        <v>1</v>
      </c>
    </row>
    <row r="7212" spans="1:4" x14ac:dyDescent="0.3">
      <c r="A7212" s="34">
        <v>52797</v>
      </c>
      <c r="B7212" s="35">
        <v>1</v>
      </c>
      <c r="C7212" s="35">
        <v>0</v>
      </c>
      <c r="D7212" s="2">
        <f t="shared" si="112"/>
        <v>1</v>
      </c>
    </row>
    <row r="7213" spans="1:4" x14ac:dyDescent="0.3">
      <c r="A7213" s="34">
        <v>52798</v>
      </c>
      <c r="B7213" s="35">
        <v>1</v>
      </c>
      <c r="C7213" s="35">
        <v>0</v>
      </c>
      <c r="D7213" s="2">
        <f t="shared" si="112"/>
        <v>1</v>
      </c>
    </row>
    <row r="7214" spans="1:4" x14ac:dyDescent="0.3">
      <c r="A7214" s="34">
        <v>52799</v>
      </c>
      <c r="B7214" s="35">
        <v>1</v>
      </c>
      <c r="C7214" s="35">
        <v>0</v>
      </c>
      <c r="D7214" s="2">
        <f t="shared" si="112"/>
        <v>1</v>
      </c>
    </row>
    <row r="7215" spans="1:4" x14ac:dyDescent="0.3">
      <c r="A7215" s="34">
        <v>52800</v>
      </c>
      <c r="B7215" s="35">
        <v>1</v>
      </c>
      <c r="C7215" s="35">
        <v>0</v>
      </c>
      <c r="D7215" s="2">
        <f t="shared" si="112"/>
        <v>1</v>
      </c>
    </row>
    <row r="7216" spans="1:4" x14ac:dyDescent="0.3">
      <c r="A7216" s="34">
        <v>52803</v>
      </c>
      <c r="B7216" s="35">
        <v>1</v>
      </c>
      <c r="C7216" s="35">
        <v>0</v>
      </c>
      <c r="D7216" s="2">
        <f t="shared" si="112"/>
        <v>1</v>
      </c>
    </row>
    <row r="7217" spans="1:4" x14ac:dyDescent="0.3">
      <c r="A7217" s="34">
        <v>52805</v>
      </c>
      <c r="B7217" s="35">
        <v>1</v>
      </c>
      <c r="C7217" s="35">
        <v>1</v>
      </c>
      <c r="D7217" s="2">
        <f t="shared" si="112"/>
        <v>2</v>
      </c>
    </row>
    <row r="7218" spans="1:4" x14ac:dyDescent="0.3">
      <c r="A7218" s="34">
        <v>52808</v>
      </c>
      <c r="B7218" s="35">
        <v>1</v>
      </c>
      <c r="C7218" s="35">
        <v>0</v>
      </c>
      <c r="D7218" s="2">
        <f t="shared" si="112"/>
        <v>1</v>
      </c>
    </row>
    <row r="7219" spans="1:4" x14ac:dyDescent="0.3">
      <c r="A7219" s="34">
        <v>52830</v>
      </c>
      <c r="B7219" s="35">
        <v>2</v>
      </c>
      <c r="C7219" s="35">
        <v>0</v>
      </c>
      <c r="D7219" s="2">
        <f t="shared" si="112"/>
        <v>2</v>
      </c>
    </row>
    <row r="7220" spans="1:4" x14ac:dyDescent="0.3">
      <c r="A7220" s="34">
        <v>52871</v>
      </c>
      <c r="B7220" s="35">
        <v>4</v>
      </c>
      <c r="C7220" s="35">
        <v>3</v>
      </c>
      <c r="D7220" s="2">
        <f t="shared" si="112"/>
        <v>7</v>
      </c>
    </row>
    <row r="7221" spans="1:4" x14ac:dyDescent="0.3">
      <c r="A7221" s="34">
        <v>52873</v>
      </c>
      <c r="B7221" s="35">
        <v>1</v>
      </c>
      <c r="C7221" s="35">
        <v>0</v>
      </c>
      <c r="D7221" s="2">
        <f t="shared" si="112"/>
        <v>1</v>
      </c>
    </row>
    <row r="7222" spans="1:4" x14ac:dyDescent="0.3">
      <c r="A7222" s="34">
        <v>52874</v>
      </c>
      <c r="B7222" s="35">
        <v>1</v>
      </c>
      <c r="C7222" s="35">
        <v>0</v>
      </c>
      <c r="D7222" s="2">
        <f t="shared" si="112"/>
        <v>1</v>
      </c>
    </row>
    <row r="7223" spans="1:4" x14ac:dyDescent="0.3">
      <c r="A7223" s="34">
        <v>52876</v>
      </c>
      <c r="B7223" s="35">
        <v>1</v>
      </c>
      <c r="C7223" s="35">
        <v>0</v>
      </c>
      <c r="D7223" s="2">
        <f t="shared" si="112"/>
        <v>1</v>
      </c>
    </row>
    <row r="7224" spans="1:4" x14ac:dyDescent="0.3">
      <c r="A7224" s="34">
        <v>52886</v>
      </c>
      <c r="B7224" s="35">
        <v>1</v>
      </c>
      <c r="C7224" s="35">
        <v>0</v>
      </c>
      <c r="D7224" s="2">
        <f t="shared" si="112"/>
        <v>1</v>
      </c>
    </row>
    <row r="7225" spans="1:4" x14ac:dyDescent="0.3">
      <c r="A7225" s="34">
        <v>52887</v>
      </c>
      <c r="B7225" s="35">
        <v>1</v>
      </c>
      <c r="C7225" s="35">
        <v>0</v>
      </c>
      <c r="D7225" s="2">
        <f t="shared" si="112"/>
        <v>1</v>
      </c>
    </row>
    <row r="7226" spans="1:4" x14ac:dyDescent="0.3">
      <c r="A7226" s="34">
        <v>52891</v>
      </c>
      <c r="B7226" s="35">
        <v>1</v>
      </c>
      <c r="C7226" s="35">
        <v>0</v>
      </c>
      <c r="D7226" s="2">
        <f t="shared" si="112"/>
        <v>1</v>
      </c>
    </row>
    <row r="7227" spans="1:4" x14ac:dyDescent="0.3">
      <c r="A7227" s="34">
        <v>52895</v>
      </c>
      <c r="B7227" s="35">
        <v>1</v>
      </c>
      <c r="C7227" s="35">
        <v>0</v>
      </c>
      <c r="D7227" s="2">
        <f t="shared" si="112"/>
        <v>1</v>
      </c>
    </row>
    <row r="7228" spans="1:4" x14ac:dyDescent="0.3">
      <c r="A7228" s="34">
        <v>52896</v>
      </c>
      <c r="B7228" s="35">
        <v>1</v>
      </c>
      <c r="C7228" s="35">
        <v>0</v>
      </c>
      <c r="D7228" s="2">
        <f t="shared" si="112"/>
        <v>1</v>
      </c>
    </row>
    <row r="7229" spans="1:4" x14ac:dyDescent="0.3">
      <c r="A7229" s="34">
        <v>52897</v>
      </c>
      <c r="B7229" s="35">
        <v>1</v>
      </c>
      <c r="C7229" s="35">
        <v>0</v>
      </c>
      <c r="D7229" s="2">
        <f t="shared" si="112"/>
        <v>1</v>
      </c>
    </row>
    <row r="7230" spans="1:4" x14ac:dyDescent="0.3">
      <c r="A7230" s="34">
        <v>52898</v>
      </c>
      <c r="B7230" s="35">
        <v>1</v>
      </c>
      <c r="C7230" s="35">
        <v>0</v>
      </c>
      <c r="D7230" s="2">
        <f t="shared" si="112"/>
        <v>1</v>
      </c>
    </row>
    <row r="7231" spans="1:4" x14ac:dyDescent="0.3">
      <c r="A7231" s="34">
        <v>52899</v>
      </c>
      <c r="B7231" s="35">
        <v>1</v>
      </c>
      <c r="C7231" s="35">
        <v>0</v>
      </c>
      <c r="D7231" s="2">
        <f t="shared" si="112"/>
        <v>1</v>
      </c>
    </row>
    <row r="7232" spans="1:4" x14ac:dyDescent="0.3">
      <c r="A7232" s="34">
        <v>52901</v>
      </c>
      <c r="B7232" s="35">
        <v>1</v>
      </c>
      <c r="C7232" s="35">
        <v>0</v>
      </c>
      <c r="D7232" s="2">
        <f t="shared" si="112"/>
        <v>1</v>
      </c>
    </row>
    <row r="7233" spans="1:4" x14ac:dyDescent="0.3">
      <c r="A7233" s="34">
        <v>52905</v>
      </c>
      <c r="B7233" s="35">
        <v>1</v>
      </c>
      <c r="C7233" s="35">
        <v>1</v>
      </c>
      <c r="D7233" s="2">
        <f t="shared" si="112"/>
        <v>2</v>
      </c>
    </row>
    <row r="7234" spans="1:4" x14ac:dyDescent="0.3">
      <c r="A7234" s="34">
        <v>52907</v>
      </c>
      <c r="B7234" s="35">
        <v>1</v>
      </c>
      <c r="C7234" s="35">
        <v>0</v>
      </c>
      <c r="D7234" s="2">
        <f t="shared" si="112"/>
        <v>1</v>
      </c>
    </row>
    <row r="7235" spans="1:4" x14ac:dyDescent="0.3">
      <c r="A7235" s="34">
        <v>52910</v>
      </c>
      <c r="B7235" s="35">
        <v>1</v>
      </c>
      <c r="C7235" s="35">
        <v>0</v>
      </c>
      <c r="D7235" s="2">
        <f t="shared" ref="D7235:D7298" si="113">B7235+C7235</f>
        <v>1</v>
      </c>
    </row>
    <row r="7236" spans="1:4" x14ac:dyDescent="0.3">
      <c r="A7236" s="34">
        <v>52914</v>
      </c>
      <c r="B7236" s="35">
        <v>1</v>
      </c>
      <c r="C7236" s="35">
        <v>0</v>
      </c>
      <c r="D7236" s="2">
        <f t="shared" si="113"/>
        <v>1</v>
      </c>
    </row>
    <row r="7237" spans="1:4" x14ac:dyDescent="0.3">
      <c r="A7237" s="34">
        <v>52915</v>
      </c>
      <c r="B7237" s="35">
        <v>1</v>
      </c>
      <c r="C7237" s="35">
        <v>0</v>
      </c>
      <c r="D7237" s="2">
        <f t="shared" si="113"/>
        <v>1</v>
      </c>
    </row>
    <row r="7238" spans="1:4" x14ac:dyDescent="0.3">
      <c r="A7238" s="34">
        <v>52917</v>
      </c>
      <c r="B7238" s="35">
        <v>1</v>
      </c>
      <c r="C7238" s="35">
        <v>0</v>
      </c>
      <c r="D7238" s="2">
        <f t="shared" si="113"/>
        <v>1</v>
      </c>
    </row>
    <row r="7239" spans="1:4" x14ac:dyDescent="0.3">
      <c r="A7239" s="34">
        <v>52921</v>
      </c>
      <c r="B7239" s="35">
        <v>1</v>
      </c>
      <c r="C7239" s="35">
        <v>0</v>
      </c>
      <c r="D7239" s="2">
        <f t="shared" si="113"/>
        <v>1</v>
      </c>
    </row>
    <row r="7240" spans="1:4" x14ac:dyDescent="0.3">
      <c r="A7240" s="34">
        <v>52923</v>
      </c>
      <c r="B7240" s="35">
        <v>1</v>
      </c>
      <c r="C7240" s="35">
        <v>0</v>
      </c>
      <c r="D7240" s="2">
        <f t="shared" si="113"/>
        <v>1</v>
      </c>
    </row>
    <row r="7241" spans="1:4" x14ac:dyDescent="0.3">
      <c r="A7241" s="34">
        <v>52924</v>
      </c>
      <c r="B7241" s="35">
        <v>1</v>
      </c>
      <c r="C7241" s="35">
        <v>0</v>
      </c>
      <c r="D7241" s="2">
        <f t="shared" si="113"/>
        <v>1</v>
      </c>
    </row>
    <row r="7242" spans="1:4" x14ac:dyDescent="0.3">
      <c r="A7242" s="34">
        <v>52925</v>
      </c>
      <c r="B7242" s="35">
        <v>1</v>
      </c>
      <c r="C7242" s="35">
        <v>0</v>
      </c>
      <c r="D7242" s="2">
        <f t="shared" si="113"/>
        <v>1</v>
      </c>
    </row>
    <row r="7243" spans="1:4" x14ac:dyDescent="0.3">
      <c r="A7243" s="34">
        <v>52928</v>
      </c>
      <c r="B7243" s="35">
        <v>2</v>
      </c>
      <c r="C7243" s="35">
        <v>1</v>
      </c>
      <c r="D7243" s="2">
        <f t="shared" si="113"/>
        <v>3</v>
      </c>
    </row>
    <row r="7244" spans="1:4" x14ac:dyDescent="0.3">
      <c r="A7244" s="34">
        <v>52932</v>
      </c>
      <c r="B7244" s="35">
        <v>1</v>
      </c>
      <c r="C7244" s="35">
        <v>1</v>
      </c>
      <c r="D7244" s="2">
        <f t="shared" si="113"/>
        <v>2</v>
      </c>
    </row>
    <row r="7245" spans="1:4" x14ac:dyDescent="0.3">
      <c r="A7245" s="34">
        <v>52933</v>
      </c>
      <c r="B7245" s="35">
        <v>1</v>
      </c>
      <c r="C7245" s="35">
        <v>0</v>
      </c>
      <c r="D7245" s="2">
        <f t="shared" si="113"/>
        <v>1</v>
      </c>
    </row>
    <row r="7246" spans="1:4" x14ac:dyDescent="0.3">
      <c r="A7246" s="34">
        <v>52936</v>
      </c>
      <c r="B7246" s="35">
        <v>1</v>
      </c>
      <c r="C7246" s="35">
        <v>0</v>
      </c>
      <c r="D7246" s="2">
        <f t="shared" si="113"/>
        <v>1</v>
      </c>
    </row>
    <row r="7247" spans="1:4" x14ac:dyDescent="0.3">
      <c r="A7247" s="34">
        <v>52937</v>
      </c>
      <c r="B7247" s="35">
        <v>1</v>
      </c>
      <c r="C7247" s="35">
        <v>0</v>
      </c>
      <c r="D7247" s="2">
        <f t="shared" si="113"/>
        <v>1</v>
      </c>
    </row>
    <row r="7248" spans="1:4" x14ac:dyDescent="0.3">
      <c r="A7248" s="34">
        <v>52938</v>
      </c>
      <c r="B7248" s="35">
        <v>1</v>
      </c>
      <c r="C7248" s="35">
        <v>0</v>
      </c>
      <c r="D7248" s="2">
        <f t="shared" si="113"/>
        <v>1</v>
      </c>
    </row>
    <row r="7249" spans="1:4" x14ac:dyDescent="0.3">
      <c r="A7249" s="34">
        <v>52940</v>
      </c>
      <c r="B7249" s="35">
        <v>1</v>
      </c>
      <c r="C7249" s="35">
        <v>0</v>
      </c>
      <c r="D7249" s="2">
        <f t="shared" si="113"/>
        <v>1</v>
      </c>
    </row>
    <row r="7250" spans="1:4" x14ac:dyDescent="0.3">
      <c r="A7250" s="34">
        <v>52941</v>
      </c>
      <c r="B7250" s="35">
        <v>1</v>
      </c>
      <c r="C7250" s="35">
        <v>0</v>
      </c>
      <c r="D7250" s="2">
        <f t="shared" si="113"/>
        <v>1</v>
      </c>
    </row>
    <row r="7251" spans="1:4" x14ac:dyDescent="0.3">
      <c r="A7251" s="34">
        <v>52942</v>
      </c>
      <c r="B7251" s="35">
        <v>1</v>
      </c>
      <c r="C7251" s="35">
        <v>0</v>
      </c>
      <c r="D7251" s="2">
        <f t="shared" si="113"/>
        <v>1</v>
      </c>
    </row>
    <row r="7252" spans="1:4" x14ac:dyDescent="0.3">
      <c r="A7252" s="34">
        <v>52946</v>
      </c>
      <c r="B7252" s="35">
        <v>2</v>
      </c>
      <c r="C7252" s="35">
        <v>2</v>
      </c>
      <c r="D7252" s="2">
        <f t="shared" si="113"/>
        <v>4</v>
      </c>
    </row>
    <row r="7253" spans="1:4" x14ac:dyDescent="0.3">
      <c r="A7253" s="34">
        <v>52961</v>
      </c>
      <c r="B7253" s="35">
        <v>1</v>
      </c>
      <c r="C7253" s="35">
        <v>0</v>
      </c>
      <c r="D7253" s="2">
        <f t="shared" si="113"/>
        <v>1</v>
      </c>
    </row>
    <row r="7254" spans="1:4" x14ac:dyDescent="0.3">
      <c r="A7254" s="34">
        <v>52962</v>
      </c>
      <c r="B7254" s="35">
        <v>1</v>
      </c>
      <c r="C7254" s="35">
        <v>0</v>
      </c>
      <c r="D7254" s="2">
        <f t="shared" si="113"/>
        <v>1</v>
      </c>
    </row>
    <row r="7255" spans="1:4" x14ac:dyDescent="0.3">
      <c r="A7255" s="34">
        <v>52965</v>
      </c>
      <c r="B7255" s="35">
        <v>1</v>
      </c>
      <c r="C7255" s="35">
        <v>0</v>
      </c>
      <c r="D7255" s="2">
        <f t="shared" si="113"/>
        <v>1</v>
      </c>
    </row>
    <row r="7256" spans="1:4" x14ac:dyDescent="0.3">
      <c r="A7256" s="34">
        <v>52966</v>
      </c>
      <c r="B7256" s="35">
        <v>1</v>
      </c>
      <c r="C7256" s="35">
        <v>0</v>
      </c>
      <c r="D7256" s="2">
        <f t="shared" si="113"/>
        <v>1</v>
      </c>
    </row>
    <row r="7257" spans="1:4" x14ac:dyDescent="0.3">
      <c r="A7257" s="34">
        <v>52970</v>
      </c>
      <c r="B7257" s="35">
        <v>1</v>
      </c>
      <c r="C7257" s="35">
        <v>0</v>
      </c>
      <c r="D7257" s="2">
        <f t="shared" si="113"/>
        <v>1</v>
      </c>
    </row>
    <row r="7258" spans="1:4" x14ac:dyDescent="0.3">
      <c r="A7258" s="34">
        <v>52971</v>
      </c>
      <c r="B7258" s="35">
        <v>1</v>
      </c>
      <c r="C7258" s="35">
        <v>0</v>
      </c>
      <c r="D7258" s="2">
        <f t="shared" si="113"/>
        <v>1</v>
      </c>
    </row>
    <row r="7259" spans="1:4" x14ac:dyDescent="0.3">
      <c r="A7259" s="34">
        <v>52972</v>
      </c>
      <c r="B7259" s="35">
        <v>1</v>
      </c>
      <c r="C7259" s="35">
        <v>0</v>
      </c>
      <c r="D7259" s="2">
        <f t="shared" si="113"/>
        <v>1</v>
      </c>
    </row>
    <row r="7260" spans="1:4" x14ac:dyDescent="0.3">
      <c r="A7260" s="34">
        <v>52975</v>
      </c>
      <c r="B7260" s="35">
        <v>1</v>
      </c>
      <c r="C7260" s="35">
        <v>0</v>
      </c>
      <c r="D7260" s="2">
        <f t="shared" si="113"/>
        <v>1</v>
      </c>
    </row>
    <row r="7261" spans="1:4" x14ac:dyDescent="0.3">
      <c r="A7261" s="34">
        <v>52976</v>
      </c>
      <c r="B7261" s="35">
        <v>1</v>
      </c>
      <c r="C7261" s="35">
        <v>0</v>
      </c>
      <c r="D7261" s="2">
        <f t="shared" si="113"/>
        <v>1</v>
      </c>
    </row>
    <row r="7262" spans="1:4" x14ac:dyDescent="0.3">
      <c r="A7262" s="34">
        <v>52980</v>
      </c>
      <c r="B7262" s="35">
        <v>1</v>
      </c>
      <c r="C7262" s="35">
        <v>0</v>
      </c>
      <c r="D7262" s="2">
        <f t="shared" si="113"/>
        <v>1</v>
      </c>
    </row>
    <row r="7263" spans="1:4" x14ac:dyDescent="0.3">
      <c r="A7263" s="34">
        <v>52983</v>
      </c>
      <c r="B7263" s="35">
        <v>1</v>
      </c>
      <c r="C7263" s="35">
        <v>1</v>
      </c>
      <c r="D7263" s="2">
        <f t="shared" si="113"/>
        <v>2</v>
      </c>
    </row>
    <row r="7264" spans="1:4" x14ac:dyDescent="0.3">
      <c r="A7264" s="34">
        <v>52984</v>
      </c>
      <c r="B7264" s="35">
        <v>1</v>
      </c>
      <c r="C7264" s="35">
        <v>0</v>
      </c>
      <c r="D7264" s="2">
        <f t="shared" si="113"/>
        <v>1</v>
      </c>
    </row>
    <row r="7265" spans="1:4" x14ac:dyDescent="0.3">
      <c r="A7265" s="34">
        <v>52988</v>
      </c>
      <c r="B7265" s="35">
        <v>1</v>
      </c>
      <c r="C7265" s="35">
        <v>0</v>
      </c>
      <c r="D7265" s="2">
        <f t="shared" si="113"/>
        <v>1</v>
      </c>
    </row>
    <row r="7266" spans="1:4" x14ac:dyDescent="0.3">
      <c r="A7266" s="34">
        <v>52990</v>
      </c>
      <c r="B7266" s="35">
        <v>2</v>
      </c>
      <c r="C7266" s="35">
        <v>0</v>
      </c>
      <c r="D7266" s="2">
        <f t="shared" si="113"/>
        <v>2</v>
      </c>
    </row>
    <row r="7267" spans="1:4" x14ac:dyDescent="0.3">
      <c r="A7267" s="34">
        <v>52994</v>
      </c>
      <c r="B7267" s="35">
        <v>1</v>
      </c>
      <c r="C7267" s="35">
        <v>1</v>
      </c>
      <c r="D7267" s="2">
        <f t="shared" si="113"/>
        <v>2</v>
      </c>
    </row>
    <row r="7268" spans="1:4" x14ac:dyDescent="0.3">
      <c r="A7268" s="34">
        <v>52996</v>
      </c>
      <c r="B7268" s="35">
        <v>1</v>
      </c>
      <c r="C7268" s="35">
        <v>0</v>
      </c>
      <c r="D7268" s="2">
        <f t="shared" si="113"/>
        <v>1</v>
      </c>
    </row>
    <row r="7269" spans="1:4" x14ac:dyDescent="0.3">
      <c r="A7269" s="34">
        <v>52997</v>
      </c>
      <c r="B7269" s="35">
        <v>1</v>
      </c>
      <c r="C7269" s="35">
        <v>0</v>
      </c>
      <c r="D7269" s="2">
        <f t="shared" si="113"/>
        <v>1</v>
      </c>
    </row>
    <row r="7270" spans="1:4" x14ac:dyDescent="0.3">
      <c r="A7270" s="34">
        <v>53003</v>
      </c>
      <c r="B7270" s="35">
        <v>1</v>
      </c>
      <c r="C7270" s="35">
        <v>0</v>
      </c>
      <c r="D7270" s="2">
        <f t="shared" si="113"/>
        <v>1</v>
      </c>
    </row>
    <row r="7271" spans="1:4" x14ac:dyDescent="0.3">
      <c r="A7271" s="34">
        <v>53008</v>
      </c>
      <c r="B7271" s="35">
        <v>1</v>
      </c>
      <c r="C7271" s="35">
        <v>0</v>
      </c>
      <c r="D7271" s="2">
        <f t="shared" si="113"/>
        <v>1</v>
      </c>
    </row>
    <row r="7272" spans="1:4" x14ac:dyDescent="0.3">
      <c r="A7272" s="34">
        <v>53009</v>
      </c>
      <c r="B7272" s="35">
        <v>1</v>
      </c>
      <c r="C7272" s="35">
        <v>0</v>
      </c>
      <c r="D7272" s="2">
        <f t="shared" si="113"/>
        <v>1</v>
      </c>
    </row>
    <row r="7273" spans="1:4" x14ac:dyDescent="0.3">
      <c r="A7273" s="34">
        <v>53011</v>
      </c>
      <c r="B7273" s="35">
        <v>1</v>
      </c>
      <c r="C7273" s="35">
        <v>0</v>
      </c>
      <c r="D7273" s="2">
        <f t="shared" si="113"/>
        <v>1</v>
      </c>
    </row>
    <row r="7274" spans="1:4" x14ac:dyDescent="0.3">
      <c r="A7274" s="34">
        <v>53022</v>
      </c>
      <c r="B7274" s="35">
        <v>1</v>
      </c>
      <c r="C7274" s="35">
        <v>0</v>
      </c>
      <c r="D7274" s="2">
        <f t="shared" si="113"/>
        <v>1</v>
      </c>
    </row>
    <row r="7275" spans="1:4" x14ac:dyDescent="0.3">
      <c r="A7275" s="34">
        <v>53023</v>
      </c>
      <c r="B7275" s="35">
        <v>1</v>
      </c>
      <c r="C7275" s="35">
        <v>1</v>
      </c>
      <c r="D7275" s="2">
        <f t="shared" si="113"/>
        <v>2</v>
      </c>
    </row>
    <row r="7276" spans="1:4" x14ac:dyDescent="0.3">
      <c r="A7276" s="34">
        <v>53024</v>
      </c>
      <c r="B7276" s="35">
        <v>1</v>
      </c>
      <c r="C7276" s="35">
        <v>0</v>
      </c>
      <c r="D7276" s="2">
        <f t="shared" si="113"/>
        <v>1</v>
      </c>
    </row>
    <row r="7277" spans="1:4" x14ac:dyDescent="0.3">
      <c r="A7277" s="34">
        <v>53025</v>
      </c>
      <c r="B7277" s="35">
        <v>1</v>
      </c>
      <c r="C7277" s="35">
        <v>0</v>
      </c>
      <c r="D7277" s="2">
        <f t="shared" si="113"/>
        <v>1</v>
      </c>
    </row>
    <row r="7278" spans="1:4" x14ac:dyDescent="0.3">
      <c r="A7278" s="34">
        <v>53026</v>
      </c>
      <c r="B7278" s="35">
        <v>1</v>
      </c>
      <c r="C7278" s="35">
        <v>0</v>
      </c>
      <c r="D7278" s="2">
        <f t="shared" si="113"/>
        <v>1</v>
      </c>
    </row>
    <row r="7279" spans="1:4" x14ac:dyDescent="0.3">
      <c r="A7279" s="34">
        <v>53027</v>
      </c>
      <c r="B7279" s="35">
        <v>1</v>
      </c>
      <c r="C7279" s="35">
        <v>0</v>
      </c>
      <c r="D7279" s="2">
        <f t="shared" si="113"/>
        <v>1</v>
      </c>
    </row>
    <row r="7280" spans="1:4" x14ac:dyDescent="0.3">
      <c r="A7280" s="34">
        <v>53028</v>
      </c>
      <c r="B7280" s="35">
        <v>1</v>
      </c>
      <c r="C7280" s="35">
        <v>0</v>
      </c>
      <c r="D7280" s="2">
        <f t="shared" si="113"/>
        <v>1</v>
      </c>
    </row>
    <row r="7281" spans="1:4" x14ac:dyDescent="0.3">
      <c r="A7281" s="34">
        <v>53030</v>
      </c>
      <c r="B7281" s="35">
        <v>1</v>
      </c>
      <c r="C7281" s="35">
        <v>0</v>
      </c>
      <c r="D7281" s="2">
        <f t="shared" si="113"/>
        <v>1</v>
      </c>
    </row>
    <row r="7282" spans="1:4" x14ac:dyDescent="0.3">
      <c r="A7282" s="34">
        <v>53039</v>
      </c>
      <c r="B7282" s="35">
        <v>1</v>
      </c>
      <c r="C7282" s="35">
        <v>0</v>
      </c>
      <c r="D7282" s="2">
        <f t="shared" si="113"/>
        <v>1</v>
      </c>
    </row>
    <row r="7283" spans="1:4" x14ac:dyDescent="0.3">
      <c r="A7283" s="34">
        <v>53043</v>
      </c>
      <c r="B7283" s="35">
        <v>1</v>
      </c>
      <c r="C7283" s="35">
        <v>0</v>
      </c>
      <c r="D7283" s="2">
        <f t="shared" si="113"/>
        <v>1</v>
      </c>
    </row>
    <row r="7284" spans="1:4" x14ac:dyDescent="0.3">
      <c r="A7284" s="34">
        <v>53044</v>
      </c>
      <c r="B7284" s="35">
        <v>1</v>
      </c>
      <c r="C7284" s="35">
        <v>0</v>
      </c>
      <c r="D7284" s="2">
        <f t="shared" si="113"/>
        <v>1</v>
      </c>
    </row>
    <row r="7285" spans="1:4" x14ac:dyDescent="0.3">
      <c r="A7285" s="34">
        <v>53045</v>
      </c>
      <c r="B7285" s="35">
        <v>1</v>
      </c>
      <c r="C7285" s="35">
        <v>1</v>
      </c>
      <c r="D7285" s="2">
        <f t="shared" si="113"/>
        <v>2</v>
      </c>
    </row>
    <row r="7286" spans="1:4" x14ac:dyDescent="0.3">
      <c r="A7286" s="34">
        <v>53046</v>
      </c>
      <c r="B7286" s="35">
        <v>1</v>
      </c>
      <c r="C7286" s="35">
        <v>0</v>
      </c>
      <c r="D7286" s="2">
        <f t="shared" si="113"/>
        <v>1</v>
      </c>
    </row>
    <row r="7287" spans="1:4" x14ac:dyDescent="0.3">
      <c r="A7287" s="34">
        <v>53070</v>
      </c>
      <c r="B7287" s="35">
        <v>1</v>
      </c>
      <c r="C7287" s="35">
        <v>1</v>
      </c>
      <c r="D7287" s="2">
        <f t="shared" si="113"/>
        <v>2</v>
      </c>
    </row>
    <row r="7288" spans="1:4" x14ac:dyDescent="0.3">
      <c r="A7288" s="34">
        <v>53072</v>
      </c>
      <c r="B7288" s="35">
        <v>1</v>
      </c>
      <c r="C7288" s="35">
        <v>0</v>
      </c>
      <c r="D7288" s="2">
        <f t="shared" si="113"/>
        <v>1</v>
      </c>
    </row>
    <row r="7289" spans="1:4" x14ac:dyDescent="0.3">
      <c r="A7289" s="34">
        <v>53075</v>
      </c>
      <c r="B7289" s="35">
        <v>1</v>
      </c>
      <c r="C7289" s="35">
        <v>0</v>
      </c>
      <c r="D7289" s="2">
        <f t="shared" si="113"/>
        <v>1</v>
      </c>
    </row>
    <row r="7290" spans="1:4" x14ac:dyDescent="0.3">
      <c r="A7290" s="34">
        <v>53081</v>
      </c>
      <c r="B7290" s="35">
        <v>1</v>
      </c>
      <c r="C7290" s="35">
        <v>0</v>
      </c>
      <c r="D7290" s="2">
        <f t="shared" si="113"/>
        <v>1</v>
      </c>
    </row>
    <row r="7291" spans="1:4" x14ac:dyDescent="0.3">
      <c r="A7291" s="34">
        <v>53108</v>
      </c>
      <c r="B7291" s="35">
        <v>1</v>
      </c>
      <c r="C7291" s="35">
        <v>0</v>
      </c>
      <c r="D7291" s="2">
        <f t="shared" si="113"/>
        <v>1</v>
      </c>
    </row>
    <row r="7292" spans="1:4" x14ac:dyDescent="0.3">
      <c r="A7292" s="34">
        <v>53112</v>
      </c>
      <c r="B7292" s="35">
        <v>1</v>
      </c>
      <c r="C7292" s="35">
        <v>0</v>
      </c>
      <c r="D7292" s="2">
        <f t="shared" si="113"/>
        <v>1</v>
      </c>
    </row>
    <row r="7293" spans="1:4" x14ac:dyDescent="0.3">
      <c r="A7293" s="34">
        <v>53113</v>
      </c>
      <c r="B7293" s="35">
        <v>1</v>
      </c>
      <c r="C7293" s="35">
        <v>0</v>
      </c>
      <c r="D7293" s="2">
        <f t="shared" si="113"/>
        <v>1</v>
      </c>
    </row>
    <row r="7294" spans="1:4" x14ac:dyDescent="0.3">
      <c r="A7294" s="34">
        <v>53114</v>
      </c>
      <c r="B7294" s="35">
        <v>1</v>
      </c>
      <c r="C7294" s="35">
        <v>0</v>
      </c>
      <c r="D7294" s="2">
        <f t="shared" si="113"/>
        <v>1</v>
      </c>
    </row>
    <row r="7295" spans="1:4" x14ac:dyDescent="0.3">
      <c r="A7295" s="34">
        <v>53116</v>
      </c>
      <c r="B7295" s="35">
        <v>1</v>
      </c>
      <c r="C7295" s="35">
        <v>0</v>
      </c>
      <c r="D7295" s="2">
        <f t="shared" si="113"/>
        <v>1</v>
      </c>
    </row>
    <row r="7296" spans="1:4" x14ac:dyDescent="0.3">
      <c r="A7296" s="34">
        <v>53121</v>
      </c>
      <c r="B7296" s="35">
        <v>3</v>
      </c>
      <c r="C7296" s="35">
        <v>0</v>
      </c>
      <c r="D7296" s="2">
        <f t="shared" si="113"/>
        <v>3</v>
      </c>
    </row>
    <row r="7297" spans="1:4" x14ac:dyDescent="0.3">
      <c r="A7297" s="34">
        <v>53123</v>
      </c>
      <c r="B7297" s="35">
        <v>1</v>
      </c>
      <c r="C7297" s="35">
        <v>0</v>
      </c>
      <c r="D7297" s="2">
        <f t="shared" si="113"/>
        <v>1</v>
      </c>
    </row>
    <row r="7298" spans="1:4" x14ac:dyDescent="0.3">
      <c r="A7298" s="34">
        <v>53129</v>
      </c>
      <c r="B7298" s="35">
        <v>1</v>
      </c>
      <c r="C7298" s="35">
        <v>1</v>
      </c>
      <c r="D7298" s="2">
        <f t="shared" si="113"/>
        <v>2</v>
      </c>
    </row>
    <row r="7299" spans="1:4" x14ac:dyDescent="0.3">
      <c r="A7299" s="34">
        <v>53135</v>
      </c>
      <c r="B7299" s="35">
        <v>1</v>
      </c>
      <c r="C7299" s="35">
        <v>0</v>
      </c>
      <c r="D7299" s="2">
        <f t="shared" ref="D7299:D7362" si="114">B7299+C7299</f>
        <v>1</v>
      </c>
    </row>
    <row r="7300" spans="1:4" x14ac:dyDescent="0.3">
      <c r="A7300" s="34">
        <v>53141</v>
      </c>
      <c r="B7300" s="35">
        <v>1</v>
      </c>
      <c r="C7300" s="35">
        <v>0</v>
      </c>
      <c r="D7300" s="2">
        <f t="shared" si="114"/>
        <v>1</v>
      </c>
    </row>
    <row r="7301" spans="1:4" x14ac:dyDescent="0.3">
      <c r="A7301" s="34">
        <v>53142</v>
      </c>
      <c r="B7301" s="35">
        <v>1</v>
      </c>
      <c r="C7301" s="35">
        <v>0</v>
      </c>
      <c r="D7301" s="2">
        <f t="shared" si="114"/>
        <v>1</v>
      </c>
    </row>
    <row r="7302" spans="1:4" x14ac:dyDescent="0.3">
      <c r="A7302" s="34">
        <v>53147</v>
      </c>
      <c r="B7302" s="35">
        <v>1</v>
      </c>
      <c r="C7302" s="35">
        <v>0</v>
      </c>
      <c r="D7302" s="2">
        <f t="shared" si="114"/>
        <v>1</v>
      </c>
    </row>
    <row r="7303" spans="1:4" x14ac:dyDescent="0.3">
      <c r="A7303" s="34">
        <v>53148</v>
      </c>
      <c r="B7303" s="35">
        <v>1</v>
      </c>
      <c r="C7303" s="35">
        <v>0</v>
      </c>
      <c r="D7303" s="2">
        <f t="shared" si="114"/>
        <v>1</v>
      </c>
    </row>
    <row r="7304" spans="1:4" x14ac:dyDescent="0.3">
      <c r="A7304" s="34">
        <v>53150</v>
      </c>
      <c r="B7304" s="35">
        <v>1</v>
      </c>
      <c r="C7304" s="35">
        <v>1</v>
      </c>
      <c r="D7304" s="2">
        <f t="shared" si="114"/>
        <v>2</v>
      </c>
    </row>
    <row r="7305" spans="1:4" x14ac:dyDescent="0.3">
      <c r="A7305" s="34">
        <v>53157</v>
      </c>
      <c r="B7305" s="35">
        <v>1</v>
      </c>
      <c r="C7305" s="35">
        <v>0</v>
      </c>
      <c r="D7305" s="2">
        <f t="shared" si="114"/>
        <v>1</v>
      </c>
    </row>
    <row r="7306" spans="1:4" x14ac:dyDescent="0.3">
      <c r="A7306" s="34">
        <v>53159</v>
      </c>
      <c r="B7306" s="35">
        <v>1</v>
      </c>
      <c r="C7306" s="35">
        <v>0</v>
      </c>
      <c r="D7306" s="2">
        <f t="shared" si="114"/>
        <v>1</v>
      </c>
    </row>
    <row r="7307" spans="1:4" x14ac:dyDescent="0.3">
      <c r="A7307" s="34">
        <v>53164</v>
      </c>
      <c r="B7307" s="35">
        <v>1</v>
      </c>
      <c r="C7307" s="35">
        <v>1</v>
      </c>
      <c r="D7307" s="2">
        <f t="shared" si="114"/>
        <v>2</v>
      </c>
    </row>
    <row r="7308" spans="1:4" x14ac:dyDescent="0.3">
      <c r="A7308" s="34">
        <v>53165</v>
      </c>
      <c r="B7308" s="35">
        <v>1</v>
      </c>
      <c r="C7308" s="35">
        <v>0</v>
      </c>
      <c r="D7308" s="2">
        <f t="shared" si="114"/>
        <v>1</v>
      </c>
    </row>
    <row r="7309" spans="1:4" x14ac:dyDescent="0.3">
      <c r="A7309" s="34">
        <v>53166</v>
      </c>
      <c r="B7309" s="35">
        <v>1</v>
      </c>
      <c r="C7309" s="35">
        <v>0</v>
      </c>
      <c r="D7309" s="2">
        <f t="shared" si="114"/>
        <v>1</v>
      </c>
    </row>
    <row r="7310" spans="1:4" x14ac:dyDescent="0.3">
      <c r="A7310" s="34">
        <v>53168</v>
      </c>
      <c r="B7310" s="35">
        <v>2</v>
      </c>
      <c r="C7310" s="35">
        <v>0</v>
      </c>
      <c r="D7310" s="2">
        <f t="shared" si="114"/>
        <v>2</v>
      </c>
    </row>
    <row r="7311" spans="1:4" x14ac:dyDescent="0.3">
      <c r="A7311" s="34">
        <v>53172</v>
      </c>
      <c r="B7311" s="35">
        <v>1</v>
      </c>
      <c r="C7311" s="35">
        <v>0</v>
      </c>
      <c r="D7311" s="2">
        <f t="shared" si="114"/>
        <v>1</v>
      </c>
    </row>
    <row r="7312" spans="1:4" x14ac:dyDescent="0.3">
      <c r="A7312" s="34">
        <v>53173</v>
      </c>
      <c r="B7312" s="35">
        <v>1</v>
      </c>
      <c r="C7312" s="35">
        <v>0</v>
      </c>
      <c r="D7312" s="2">
        <f t="shared" si="114"/>
        <v>1</v>
      </c>
    </row>
    <row r="7313" spans="1:4" x14ac:dyDescent="0.3">
      <c r="A7313" s="34">
        <v>53174</v>
      </c>
      <c r="B7313" s="35">
        <v>1</v>
      </c>
      <c r="C7313" s="35">
        <v>0</v>
      </c>
      <c r="D7313" s="2">
        <f t="shared" si="114"/>
        <v>1</v>
      </c>
    </row>
    <row r="7314" spans="1:4" x14ac:dyDescent="0.3">
      <c r="A7314" s="34">
        <v>53175</v>
      </c>
      <c r="B7314" s="35">
        <v>1</v>
      </c>
      <c r="C7314" s="35">
        <v>0</v>
      </c>
      <c r="D7314" s="2">
        <f t="shared" si="114"/>
        <v>1</v>
      </c>
    </row>
    <row r="7315" spans="1:4" x14ac:dyDescent="0.3">
      <c r="A7315" s="34">
        <v>53177</v>
      </c>
      <c r="B7315" s="35">
        <v>1</v>
      </c>
      <c r="C7315" s="35">
        <v>0</v>
      </c>
      <c r="D7315" s="2">
        <f t="shared" si="114"/>
        <v>1</v>
      </c>
    </row>
    <row r="7316" spans="1:4" x14ac:dyDescent="0.3">
      <c r="A7316" s="34">
        <v>53178</v>
      </c>
      <c r="B7316" s="35">
        <v>1</v>
      </c>
      <c r="C7316" s="35">
        <v>0</v>
      </c>
      <c r="D7316" s="2">
        <f t="shared" si="114"/>
        <v>1</v>
      </c>
    </row>
    <row r="7317" spans="1:4" x14ac:dyDescent="0.3">
      <c r="A7317" s="34">
        <v>53179</v>
      </c>
      <c r="B7317" s="35">
        <v>1</v>
      </c>
      <c r="C7317" s="35">
        <v>1</v>
      </c>
      <c r="D7317" s="2">
        <f t="shared" si="114"/>
        <v>2</v>
      </c>
    </row>
    <row r="7318" spans="1:4" x14ac:dyDescent="0.3">
      <c r="A7318" s="34">
        <v>53181</v>
      </c>
      <c r="B7318" s="35">
        <v>1</v>
      </c>
      <c r="C7318" s="35">
        <v>0</v>
      </c>
      <c r="D7318" s="2">
        <f t="shared" si="114"/>
        <v>1</v>
      </c>
    </row>
    <row r="7319" spans="1:4" x14ac:dyDescent="0.3">
      <c r="A7319" s="34">
        <v>53186</v>
      </c>
      <c r="B7319" s="35">
        <v>1</v>
      </c>
      <c r="C7319" s="35">
        <v>0</v>
      </c>
      <c r="D7319" s="2">
        <f t="shared" si="114"/>
        <v>1</v>
      </c>
    </row>
    <row r="7320" spans="1:4" x14ac:dyDescent="0.3">
      <c r="A7320" s="34">
        <v>53187</v>
      </c>
      <c r="B7320" s="35">
        <v>1</v>
      </c>
      <c r="C7320" s="35">
        <v>0</v>
      </c>
      <c r="D7320" s="2">
        <f t="shared" si="114"/>
        <v>1</v>
      </c>
    </row>
    <row r="7321" spans="1:4" x14ac:dyDescent="0.3">
      <c r="A7321" s="34">
        <v>53190</v>
      </c>
      <c r="B7321" s="35">
        <v>1</v>
      </c>
      <c r="C7321" s="35">
        <v>0</v>
      </c>
      <c r="D7321" s="2">
        <f t="shared" si="114"/>
        <v>1</v>
      </c>
    </row>
    <row r="7322" spans="1:4" x14ac:dyDescent="0.3">
      <c r="A7322" s="34">
        <v>53191</v>
      </c>
      <c r="B7322" s="35">
        <v>1</v>
      </c>
      <c r="C7322" s="35">
        <v>0</v>
      </c>
      <c r="D7322" s="2">
        <f t="shared" si="114"/>
        <v>1</v>
      </c>
    </row>
    <row r="7323" spans="1:4" x14ac:dyDescent="0.3">
      <c r="A7323" s="34">
        <v>53192</v>
      </c>
      <c r="B7323" s="35">
        <v>2</v>
      </c>
      <c r="C7323" s="35">
        <v>2</v>
      </c>
      <c r="D7323" s="2">
        <f t="shared" si="114"/>
        <v>4</v>
      </c>
    </row>
    <row r="7324" spans="1:4" x14ac:dyDescent="0.3">
      <c r="A7324" s="34">
        <v>53198</v>
      </c>
      <c r="B7324" s="35">
        <v>1</v>
      </c>
      <c r="C7324" s="35">
        <v>1</v>
      </c>
      <c r="D7324" s="2">
        <f t="shared" si="114"/>
        <v>2</v>
      </c>
    </row>
    <row r="7325" spans="1:4" x14ac:dyDescent="0.3">
      <c r="A7325" s="34">
        <v>53199</v>
      </c>
      <c r="B7325" s="35">
        <v>1</v>
      </c>
      <c r="C7325" s="35">
        <v>0</v>
      </c>
      <c r="D7325" s="2">
        <f t="shared" si="114"/>
        <v>1</v>
      </c>
    </row>
    <row r="7326" spans="1:4" x14ac:dyDescent="0.3">
      <c r="A7326" s="34">
        <v>53201</v>
      </c>
      <c r="B7326" s="35">
        <v>1</v>
      </c>
      <c r="C7326" s="35">
        <v>0</v>
      </c>
      <c r="D7326" s="2">
        <f t="shared" si="114"/>
        <v>1</v>
      </c>
    </row>
    <row r="7327" spans="1:4" x14ac:dyDescent="0.3">
      <c r="A7327" s="34">
        <v>53202</v>
      </c>
      <c r="B7327" s="35">
        <v>1</v>
      </c>
      <c r="C7327" s="35">
        <v>0</v>
      </c>
      <c r="D7327" s="2">
        <f t="shared" si="114"/>
        <v>1</v>
      </c>
    </row>
    <row r="7328" spans="1:4" x14ac:dyDescent="0.3">
      <c r="A7328" s="34">
        <v>53205</v>
      </c>
      <c r="B7328" s="35">
        <v>1</v>
      </c>
      <c r="C7328" s="35">
        <v>0</v>
      </c>
      <c r="D7328" s="2">
        <f t="shared" si="114"/>
        <v>1</v>
      </c>
    </row>
    <row r="7329" spans="1:4" x14ac:dyDescent="0.3">
      <c r="A7329" s="34">
        <v>53206</v>
      </c>
      <c r="B7329" s="35">
        <v>1</v>
      </c>
      <c r="C7329" s="35">
        <v>0</v>
      </c>
      <c r="D7329" s="2">
        <f t="shared" si="114"/>
        <v>1</v>
      </c>
    </row>
    <row r="7330" spans="1:4" x14ac:dyDescent="0.3">
      <c r="A7330" s="34">
        <v>53207</v>
      </c>
      <c r="B7330" s="35">
        <v>1</v>
      </c>
      <c r="C7330" s="35">
        <v>0</v>
      </c>
      <c r="D7330" s="2">
        <f t="shared" si="114"/>
        <v>1</v>
      </c>
    </row>
    <row r="7331" spans="1:4" x14ac:dyDescent="0.3">
      <c r="A7331" s="34">
        <v>53209</v>
      </c>
      <c r="B7331" s="35">
        <v>1</v>
      </c>
      <c r="C7331" s="35">
        <v>0</v>
      </c>
      <c r="D7331" s="2">
        <f t="shared" si="114"/>
        <v>1</v>
      </c>
    </row>
    <row r="7332" spans="1:4" x14ac:dyDescent="0.3">
      <c r="A7332" s="34">
        <v>53211</v>
      </c>
      <c r="B7332" s="35">
        <v>1</v>
      </c>
      <c r="C7332" s="35">
        <v>1</v>
      </c>
      <c r="D7332" s="2">
        <f t="shared" si="114"/>
        <v>2</v>
      </c>
    </row>
    <row r="7333" spans="1:4" x14ac:dyDescent="0.3">
      <c r="A7333" s="34">
        <v>53212</v>
      </c>
      <c r="B7333" s="35">
        <v>1</v>
      </c>
      <c r="C7333" s="35">
        <v>0</v>
      </c>
      <c r="D7333" s="2">
        <f t="shared" si="114"/>
        <v>1</v>
      </c>
    </row>
    <row r="7334" spans="1:4" x14ac:dyDescent="0.3">
      <c r="A7334" s="34">
        <v>53213</v>
      </c>
      <c r="B7334" s="35">
        <v>1</v>
      </c>
      <c r="C7334" s="35">
        <v>0</v>
      </c>
      <c r="D7334" s="2">
        <f t="shared" si="114"/>
        <v>1</v>
      </c>
    </row>
    <row r="7335" spans="1:4" x14ac:dyDescent="0.3">
      <c r="A7335" s="34">
        <v>53215</v>
      </c>
      <c r="B7335" s="35">
        <v>1</v>
      </c>
      <c r="C7335" s="35">
        <v>0</v>
      </c>
      <c r="D7335" s="2">
        <f t="shared" si="114"/>
        <v>1</v>
      </c>
    </row>
    <row r="7336" spans="1:4" x14ac:dyDescent="0.3">
      <c r="A7336" s="34">
        <v>53219</v>
      </c>
      <c r="B7336" s="35">
        <v>1</v>
      </c>
      <c r="C7336" s="35">
        <v>0</v>
      </c>
      <c r="D7336" s="2">
        <f t="shared" si="114"/>
        <v>1</v>
      </c>
    </row>
    <row r="7337" spans="1:4" x14ac:dyDescent="0.3">
      <c r="A7337" s="34">
        <v>53220</v>
      </c>
      <c r="B7337" s="35">
        <v>1</v>
      </c>
      <c r="C7337" s="35">
        <v>0</v>
      </c>
      <c r="D7337" s="2">
        <f t="shared" si="114"/>
        <v>1</v>
      </c>
    </row>
    <row r="7338" spans="1:4" x14ac:dyDescent="0.3">
      <c r="A7338" s="34">
        <v>53222</v>
      </c>
      <c r="B7338" s="35">
        <v>1</v>
      </c>
      <c r="C7338" s="35">
        <v>0</v>
      </c>
      <c r="D7338" s="2">
        <f t="shared" si="114"/>
        <v>1</v>
      </c>
    </row>
    <row r="7339" spans="1:4" x14ac:dyDescent="0.3">
      <c r="A7339" s="34">
        <v>53224</v>
      </c>
      <c r="B7339" s="35">
        <v>1</v>
      </c>
      <c r="C7339" s="35">
        <v>0</v>
      </c>
      <c r="D7339" s="2">
        <f t="shared" si="114"/>
        <v>1</v>
      </c>
    </row>
    <row r="7340" spans="1:4" x14ac:dyDescent="0.3">
      <c r="A7340" s="34">
        <v>53225</v>
      </c>
      <c r="B7340" s="35">
        <v>1</v>
      </c>
      <c r="C7340" s="35">
        <v>0</v>
      </c>
      <c r="D7340" s="2">
        <f t="shared" si="114"/>
        <v>1</v>
      </c>
    </row>
    <row r="7341" spans="1:4" x14ac:dyDescent="0.3">
      <c r="A7341" s="34">
        <v>53227</v>
      </c>
      <c r="B7341" s="35">
        <v>1</v>
      </c>
      <c r="C7341" s="35">
        <v>0</v>
      </c>
      <c r="D7341" s="2">
        <f t="shared" si="114"/>
        <v>1</v>
      </c>
    </row>
    <row r="7342" spans="1:4" x14ac:dyDescent="0.3">
      <c r="A7342" s="34">
        <v>53229</v>
      </c>
      <c r="B7342" s="35">
        <v>2</v>
      </c>
      <c r="C7342" s="35">
        <v>1</v>
      </c>
      <c r="D7342" s="2">
        <f t="shared" si="114"/>
        <v>3</v>
      </c>
    </row>
    <row r="7343" spans="1:4" x14ac:dyDescent="0.3">
      <c r="A7343" s="34">
        <v>53230</v>
      </c>
      <c r="B7343" s="35">
        <v>1</v>
      </c>
      <c r="C7343" s="35">
        <v>0</v>
      </c>
      <c r="D7343" s="2">
        <f t="shared" si="114"/>
        <v>1</v>
      </c>
    </row>
    <row r="7344" spans="1:4" x14ac:dyDescent="0.3">
      <c r="A7344" s="34">
        <v>53253</v>
      </c>
      <c r="B7344" s="35">
        <v>1</v>
      </c>
      <c r="C7344" s="35">
        <v>0</v>
      </c>
      <c r="D7344" s="2">
        <f t="shared" si="114"/>
        <v>1</v>
      </c>
    </row>
    <row r="7345" spans="1:4" x14ac:dyDescent="0.3">
      <c r="A7345" s="34">
        <v>53256</v>
      </c>
      <c r="B7345" s="35">
        <v>1</v>
      </c>
      <c r="C7345" s="35">
        <v>0</v>
      </c>
      <c r="D7345" s="2">
        <f t="shared" si="114"/>
        <v>1</v>
      </c>
    </row>
    <row r="7346" spans="1:4" x14ac:dyDescent="0.3">
      <c r="A7346" s="34">
        <v>53258</v>
      </c>
      <c r="B7346" s="35">
        <v>1</v>
      </c>
      <c r="C7346" s="35">
        <v>0</v>
      </c>
      <c r="D7346" s="2">
        <f t="shared" si="114"/>
        <v>1</v>
      </c>
    </row>
    <row r="7347" spans="1:4" x14ac:dyDescent="0.3">
      <c r="A7347" s="34">
        <v>53259</v>
      </c>
      <c r="B7347" s="35">
        <v>1</v>
      </c>
      <c r="C7347" s="35">
        <v>0</v>
      </c>
      <c r="D7347" s="2">
        <f t="shared" si="114"/>
        <v>1</v>
      </c>
    </row>
    <row r="7348" spans="1:4" x14ac:dyDescent="0.3">
      <c r="A7348" s="34">
        <v>53373</v>
      </c>
      <c r="B7348" s="35">
        <v>1</v>
      </c>
      <c r="C7348" s="35">
        <v>0</v>
      </c>
      <c r="D7348" s="2">
        <f t="shared" si="114"/>
        <v>1</v>
      </c>
    </row>
    <row r="7349" spans="1:4" x14ac:dyDescent="0.3">
      <c r="A7349" s="34">
        <v>53374</v>
      </c>
      <c r="B7349" s="35">
        <v>3</v>
      </c>
      <c r="C7349" s="35">
        <v>1</v>
      </c>
      <c r="D7349" s="2">
        <f t="shared" si="114"/>
        <v>4</v>
      </c>
    </row>
    <row r="7350" spans="1:4" x14ac:dyDescent="0.3">
      <c r="A7350" s="34">
        <v>53378</v>
      </c>
      <c r="B7350" s="35">
        <v>1</v>
      </c>
      <c r="C7350" s="35">
        <v>1</v>
      </c>
      <c r="D7350" s="2">
        <f t="shared" si="114"/>
        <v>2</v>
      </c>
    </row>
    <row r="7351" spans="1:4" x14ac:dyDescent="0.3">
      <c r="A7351" s="34">
        <v>53381</v>
      </c>
      <c r="B7351" s="35">
        <v>1</v>
      </c>
      <c r="C7351" s="35">
        <v>0</v>
      </c>
      <c r="D7351" s="2">
        <f t="shared" si="114"/>
        <v>1</v>
      </c>
    </row>
    <row r="7352" spans="1:4" x14ac:dyDescent="0.3">
      <c r="A7352" s="34">
        <v>53382</v>
      </c>
      <c r="B7352" s="35">
        <v>1</v>
      </c>
      <c r="C7352" s="35">
        <v>0</v>
      </c>
      <c r="D7352" s="2">
        <f t="shared" si="114"/>
        <v>1</v>
      </c>
    </row>
    <row r="7353" spans="1:4" x14ac:dyDescent="0.3">
      <c r="A7353" s="34">
        <v>53384</v>
      </c>
      <c r="B7353" s="35">
        <v>2</v>
      </c>
      <c r="C7353" s="35">
        <v>0</v>
      </c>
      <c r="D7353" s="2">
        <f t="shared" si="114"/>
        <v>2</v>
      </c>
    </row>
    <row r="7354" spans="1:4" x14ac:dyDescent="0.3">
      <c r="A7354" s="34">
        <v>53385</v>
      </c>
      <c r="B7354" s="35">
        <v>1</v>
      </c>
      <c r="C7354" s="35">
        <v>0</v>
      </c>
      <c r="D7354" s="2">
        <f t="shared" si="114"/>
        <v>1</v>
      </c>
    </row>
    <row r="7355" spans="1:4" x14ac:dyDescent="0.3">
      <c r="A7355" s="34">
        <v>53386</v>
      </c>
      <c r="B7355" s="35">
        <v>1</v>
      </c>
      <c r="C7355" s="35">
        <v>0</v>
      </c>
      <c r="D7355" s="2">
        <f t="shared" si="114"/>
        <v>1</v>
      </c>
    </row>
    <row r="7356" spans="1:4" x14ac:dyDescent="0.3">
      <c r="A7356" s="34">
        <v>53387</v>
      </c>
      <c r="B7356" s="35">
        <v>1</v>
      </c>
      <c r="C7356" s="35">
        <v>0</v>
      </c>
      <c r="D7356" s="2">
        <f t="shared" si="114"/>
        <v>1</v>
      </c>
    </row>
    <row r="7357" spans="1:4" x14ac:dyDescent="0.3">
      <c r="A7357" s="34">
        <v>53389</v>
      </c>
      <c r="B7357" s="35">
        <v>1</v>
      </c>
      <c r="C7357" s="35">
        <v>0</v>
      </c>
      <c r="D7357" s="2">
        <f t="shared" si="114"/>
        <v>1</v>
      </c>
    </row>
    <row r="7358" spans="1:4" x14ac:dyDescent="0.3">
      <c r="A7358" s="34">
        <v>53391</v>
      </c>
      <c r="B7358" s="35">
        <v>1</v>
      </c>
      <c r="C7358" s="35">
        <v>0</v>
      </c>
      <c r="D7358" s="2">
        <f t="shared" si="114"/>
        <v>1</v>
      </c>
    </row>
    <row r="7359" spans="1:4" x14ac:dyDescent="0.3">
      <c r="A7359" s="34">
        <v>53394</v>
      </c>
      <c r="B7359" s="35">
        <v>1</v>
      </c>
      <c r="C7359" s="35">
        <v>0</v>
      </c>
      <c r="D7359" s="2">
        <f t="shared" si="114"/>
        <v>1</v>
      </c>
    </row>
    <row r="7360" spans="1:4" x14ac:dyDescent="0.3">
      <c r="A7360" s="34">
        <v>53398</v>
      </c>
      <c r="B7360" s="35">
        <v>1</v>
      </c>
      <c r="C7360" s="35">
        <v>1</v>
      </c>
      <c r="D7360" s="2">
        <f t="shared" si="114"/>
        <v>2</v>
      </c>
    </row>
    <row r="7361" spans="1:4" x14ac:dyDescent="0.3">
      <c r="A7361" s="34">
        <v>53399</v>
      </c>
      <c r="B7361" s="35">
        <v>1</v>
      </c>
      <c r="C7361" s="35">
        <v>0</v>
      </c>
      <c r="D7361" s="2">
        <f t="shared" si="114"/>
        <v>1</v>
      </c>
    </row>
    <row r="7362" spans="1:4" x14ac:dyDescent="0.3">
      <c r="A7362" s="34">
        <v>53400</v>
      </c>
      <c r="B7362" s="35">
        <v>1</v>
      </c>
      <c r="C7362" s="35">
        <v>0</v>
      </c>
      <c r="D7362" s="2">
        <f t="shared" si="114"/>
        <v>1</v>
      </c>
    </row>
    <row r="7363" spans="1:4" x14ac:dyDescent="0.3">
      <c r="A7363" s="34">
        <v>53402</v>
      </c>
      <c r="B7363" s="35">
        <v>1</v>
      </c>
      <c r="C7363" s="35">
        <v>0</v>
      </c>
      <c r="D7363" s="2">
        <f t="shared" ref="D7363:D7426" si="115">B7363+C7363</f>
        <v>1</v>
      </c>
    </row>
    <row r="7364" spans="1:4" x14ac:dyDescent="0.3">
      <c r="A7364" s="34">
        <v>53404</v>
      </c>
      <c r="B7364" s="35">
        <v>1</v>
      </c>
      <c r="C7364" s="35">
        <v>0</v>
      </c>
      <c r="D7364" s="2">
        <f t="shared" si="115"/>
        <v>1</v>
      </c>
    </row>
    <row r="7365" spans="1:4" x14ac:dyDescent="0.3">
      <c r="A7365" s="34">
        <v>53409</v>
      </c>
      <c r="B7365" s="35">
        <v>1</v>
      </c>
      <c r="C7365" s="35">
        <v>0</v>
      </c>
      <c r="D7365" s="2">
        <f t="shared" si="115"/>
        <v>1</v>
      </c>
    </row>
    <row r="7366" spans="1:4" x14ac:dyDescent="0.3">
      <c r="A7366" s="34">
        <v>53414</v>
      </c>
      <c r="B7366" s="35">
        <v>2</v>
      </c>
      <c r="C7366" s="35">
        <v>1</v>
      </c>
      <c r="D7366" s="2">
        <f t="shared" si="115"/>
        <v>3</v>
      </c>
    </row>
    <row r="7367" spans="1:4" x14ac:dyDescent="0.3">
      <c r="A7367" s="34">
        <v>53417</v>
      </c>
      <c r="B7367" s="35">
        <v>1</v>
      </c>
      <c r="C7367" s="35">
        <v>0</v>
      </c>
      <c r="D7367" s="2">
        <f t="shared" si="115"/>
        <v>1</v>
      </c>
    </row>
    <row r="7368" spans="1:4" x14ac:dyDescent="0.3">
      <c r="A7368" s="34">
        <v>53419</v>
      </c>
      <c r="B7368" s="35">
        <v>1</v>
      </c>
      <c r="C7368" s="35">
        <v>0</v>
      </c>
      <c r="D7368" s="2">
        <f t="shared" si="115"/>
        <v>1</v>
      </c>
    </row>
    <row r="7369" spans="1:4" x14ac:dyDescent="0.3">
      <c r="A7369" s="34">
        <v>53421</v>
      </c>
      <c r="B7369" s="35">
        <v>1</v>
      </c>
      <c r="C7369" s="35">
        <v>0</v>
      </c>
      <c r="D7369" s="2">
        <f t="shared" si="115"/>
        <v>1</v>
      </c>
    </row>
    <row r="7370" spans="1:4" x14ac:dyDescent="0.3">
      <c r="A7370" s="34">
        <v>53422</v>
      </c>
      <c r="B7370" s="35">
        <v>1</v>
      </c>
      <c r="C7370" s="35">
        <v>0</v>
      </c>
      <c r="D7370" s="2">
        <f t="shared" si="115"/>
        <v>1</v>
      </c>
    </row>
    <row r="7371" spans="1:4" x14ac:dyDescent="0.3">
      <c r="A7371" s="34">
        <v>53429</v>
      </c>
      <c r="B7371" s="35">
        <v>1</v>
      </c>
      <c r="C7371" s="35">
        <v>0</v>
      </c>
      <c r="D7371" s="2">
        <f t="shared" si="115"/>
        <v>1</v>
      </c>
    </row>
    <row r="7372" spans="1:4" x14ac:dyDescent="0.3">
      <c r="A7372" s="34">
        <v>53435</v>
      </c>
      <c r="B7372" s="35">
        <v>1</v>
      </c>
      <c r="C7372" s="35">
        <v>0</v>
      </c>
      <c r="D7372" s="2">
        <f t="shared" si="115"/>
        <v>1</v>
      </c>
    </row>
    <row r="7373" spans="1:4" x14ac:dyDescent="0.3">
      <c r="A7373" s="34">
        <v>53437</v>
      </c>
      <c r="B7373" s="35">
        <v>1</v>
      </c>
      <c r="C7373" s="35">
        <v>0</v>
      </c>
      <c r="D7373" s="2">
        <f t="shared" si="115"/>
        <v>1</v>
      </c>
    </row>
    <row r="7374" spans="1:4" x14ac:dyDescent="0.3">
      <c r="A7374" s="34">
        <v>53439</v>
      </c>
      <c r="B7374" s="35">
        <v>1</v>
      </c>
      <c r="C7374" s="35">
        <v>0</v>
      </c>
      <c r="D7374" s="2">
        <f t="shared" si="115"/>
        <v>1</v>
      </c>
    </row>
    <row r="7375" spans="1:4" x14ac:dyDescent="0.3">
      <c r="A7375" s="34">
        <v>53441</v>
      </c>
      <c r="B7375" s="35">
        <v>1</v>
      </c>
      <c r="C7375" s="35">
        <v>0</v>
      </c>
      <c r="D7375" s="2">
        <f t="shared" si="115"/>
        <v>1</v>
      </c>
    </row>
    <row r="7376" spans="1:4" x14ac:dyDescent="0.3">
      <c r="A7376" s="34">
        <v>53443</v>
      </c>
      <c r="B7376" s="35">
        <v>1</v>
      </c>
      <c r="C7376" s="35">
        <v>0</v>
      </c>
      <c r="D7376" s="2">
        <f t="shared" si="115"/>
        <v>1</v>
      </c>
    </row>
    <row r="7377" spans="1:4" x14ac:dyDescent="0.3">
      <c r="A7377" s="34">
        <v>53446</v>
      </c>
      <c r="B7377" s="35">
        <v>1</v>
      </c>
      <c r="C7377" s="35">
        <v>0</v>
      </c>
      <c r="D7377" s="2">
        <f t="shared" si="115"/>
        <v>1</v>
      </c>
    </row>
    <row r="7378" spans="1:4" x14ac:dyDescent="0.3">
      <c r="A7378" s="34">
        <v>53447</v>
      </c>
      <c r="B7378" s="35">
        <v>1</v>
      </c>
      <c r="C7378" s="35">
        <v>0</v>
      </c>
      <c r="D7378" s="2">
        <f t="shared" si="115"/>
        <v>1</v>
      </c>
    </row>
    <row r="7379" spans="1:4" x14ac:dyDescent="0.3">
      <c r="A7379" s="34">
        <v>53449</v>
      </c>
      <c r="B7379" s="35">
        <v>1</v>
      </c>
      <c r="C7379" s="35">
        <v>0</v>
      </c>
      <c r="D7379" s="2">
        <f t="shared" si="115"/>
        <v>1</v>
      </c>
    </row>
    <row r="7380" spans="1:4" x14ac:dyDescent="0.3">
      <c r="A7380" s="34">
        <v>53450</v>
      </c>
      <c r="B7380" s="35">
        <v>1</v>
      </c>
      <c r="C7380" s="35">
        <v>0</v>
      </c>
      <c r="D7380" s="2">
        <f t="shared" si="115"/>
        <v>1</v>
      </c>
    </row>
    <row r="7381" spans="1:4" x14ac:dyDescent="0.3">
      <c r="A7381" s="34">
        <v>53452</v>
      </c>
      <c r="B7381" s="35">
        <v>1</v>
      </c>
      <c r="C7381" s="35">
        <v>0</v>
      </c>
      <c r="D7381" s="2">
        <f t="shared" si="115"/>
        <v>1</v>
      </c>
    </row>
    <row r="7382" spans="1:4" x14ac:dyDescent="0.3">
      <c r="A7382" s="34">
        <v>53455</v>
      </c>
      <c r="B7382" s="35">
        <v>1</v>
      </c>
      <c r="C7382" s="35">
        <v>1</v>
      </c>
      <c r="D7382" s="2">
        <f t="shared" si="115"/>
        <v>2</v>
      </c>
    </row>
    <row r="7383" spans="1:4" x14ac:dyDescent="0.3">
      <c r="A7383" s="34">
        <v>53456</v>
      </c>
      <c r="B7383" s="35">
        <v>1</v>
      </c>
      <c r="C7383" s="35">
        <v>0</v>
      </c>
      <c r="D7383" s="2">
        <f t="shared" si="115"/>
        <v>1</v>
      </c>
    </row>
    <row r="7384" spans="1:4" x14ac:dyDescent="0.3">
      <c r="A7384" s="34">
        <v>53459</v>
      </c>
      <c r="B7384" s="35">
        <v>1</v>
      </c>
      <c r="C7384" s="35">
        <v>0</v>
      </c>
      <c r="D7384" s="2">
        <f t="shared" si="115"/>
        <v>1</v>
      </c>
    </row>
    <row r="7385" spans="1:4" x14ac:dyDescent="0.3">
      <c r="A7385" s="34">
        <v>53460</v>
      </c>
      <c r="B7385" s="35">
        <v>1</v>
      </c>
      <c r="C7385" s="35">
        <v>0</v>
      </c>
      <c r="D7385" s="2">
        <f t="shared" si="115"/>
        <v>1</v>
      </c>
    </row>
    <row r="7386" spans="1:4" x14ac:dyDescent="0.3">
      <c r="A7386" s="34">
        <v>53461</v>
      </c>
      <c r="B7386" s="35">
        <v>1</v>
      </c>
      <c r="C7386" s="35">
        <v>1</v>
      </c>
      <c r="D7386" s="2">
        <f t="shared" si="115"/>
        <v>2</v>
      </c>
    </row>
    <row r="7387" spans="1:4" x14ac:dyDescent="0.3">
      <c r="A7387" s="34">
        <v>53462</v>
      </c>
      <c r="B7387" s="35">
        <v>1</v>
      </c>
      <c r="C7387" s="35">
        <v>1</v>
      </c>
      <c r="D7387" s="2">
        <f t="shared" si="115"/>
        <v>2</v>
      </c>
    </row>
    <row r="7388" spans="1:4" x14ac:dyDescent="0.3">
      <c r="A7388" s="34">
        <v>53474</v>
      </c>
      <c r="B7388" s="35">
        <v>1</v>
      </c>
      <c r="C7388" s="35">
        <v>0</v>
      </c>
      <c r="D7388" s="2">
        <f t="shared" si="115"/>
        <v>1</v>
      </c>
    </row>
    <row r="7389" spans="1:4" x14ac:dyDescent="0.3">
      <c r="A7389" s="34">
        <v>53475</v>
      </c>
      <c r="B7389" s="35">
        <v>1</v>
      </c>
      <c r="C7389" s="35">
        <v>1</v>
      </c>
      <c r="D7389" s="2">
        <f t="shared" si="115"/>
        <v>2</v>
      </c>
    </row>
    <row r="7390" spans="1:4" x14ac:dyDescent="0.3">
      <c r="A7390" s="34">
        <v>53477</v>
      </c>
      <c r="B7390" s="35">
        <v>1</v>
      </c>
      <c r="C7390" s="35">
        <v>0</v>
      </c>
      <c r="D7390" s="2">
        <f t="shared" si="115"/>
        <v>1</v>
      </c>
    </row>
    <row r="7391" spans="1:4" x14ac:dyDescent="0.3">
      <c r="A7391" s="34">
        <v>53483</v>
      </c>
      <c r="B7391" s="35">
        <v>1</v>
      </c>
      <c r="C7391" s="35">
        <v>0</v>
      </c>
      <c r="D7391" s="2">
        <f t="shared" si="115"/>
        <v>1</v>
      </c>
    </row>
    <row r="7392" spans="1:4" x14ac:dyDescent="0.3">
      <c r="A7392" s="34">
        <v>53492</v>
      </c>
      <c r="B7392" s="35">
        <v>1</v>
      </c>
      <c r="C7392" s="35">
        <v>0</v>
      </c>
      <c r="D7392" s="2">
        <f t="shared" si="115"/>
        <v>1</v>
      </c>
    </row>
    <row r="7393" spans="1:4" x14ac:dyDescent="0.3">
      <c r="A7393" s="34">
        <v>53493</v>
      </c>
      <c r="B7393" s="35">
        <v>1</v>
      </c>
      <c r="C7393" s="35">
        <v>1</v>
      </c>
      <c r="D7393" s="2">
        <f t="shared" si="115"/>
        <v>2</v>
      </c>
    </row>
    <row r="7394" spans="1:4" x14ac:dyDescent="0.3">
      <c r="A7394" s="34">
        <v>53495</v>
      </c>
      <c r="B7394" s="35">
        <v>1</v>
      </c>
      <c r="C7394" s="35">
        <v>0</v>
      </c>
      <c r="D7394" s="2">
        <f t="shared" si="115"/>
        <v>1</v>
      </c>
    </row>
    <row r="7395" spans="1:4" x14ac:dyDescent="0.3">
      <c r="A7395" s="34">
        <v>53499</v>
      </c>
      <c r="B7395" s="35">
        <v>1</v>
      </c>
      <c r="C7395" s="35">
        <v>0</v>
      </c>
      <c r="D7395" s="2">
        <f t="shared" si="115"/>
        <v>1</v>
      </c>
    </row>
    <row r="7396" spans="1:4" x14ac:dyDescent="0.3">
      <c r="A7396" s="34">
        <v>53500</v>
      </c>
      <c r="B7396" s="35">
        <v>1</v>
      </c>
      <c r="C7396" s="35">
        <v>0</v>
      </c>
      <c r="D7396" s="2">
        <f t="shared" si="115"/>
        <v>1</v>
      </c>
    </row>
    <row r="7397" spans="1:4" x14ac:dyDescent="0.3">
      <c r="A7397" s="34">
        <v>53501</v>
      </c>
      <c r="B7397" s="35">
        <v>1</v>
      </c>
      <c r="C7397" s="35">
        <v>0</v>
      </c>
      <c r="D7397" s="2">
        <f t="shared" si="115"/>
        <v>1</v>
      </c>
    </row>
    <row r="7398" spans="1:4" x14ac:dyDescent="0.3">
      <c r="A7398" s="34">
        <v>53504</v>
      </c>
      <c r="B7398" s="35">
        <v>1</v>
      </c>
      <c r="C7398" s="35">
        <v>0</v>
      </c>
      <c r="D7398" s="2">
        <f t="shared" si="115"/>
        <v>1</v>
      </c>
    </row>
    <row r="7399" spans="1:4" x14ac:dyDescent="0.3">
      <c r="A7399" s="34">
        <v>53507</v>
      </c>
      <c r="B7399" s="35">
        <v>1</v>
      </c>
      <c r="C7399" s="35">
        <v>0</v>
      </c>
      <c r="D7399" s="2">
        <f t="shared" si="115"/>
        <v>1</v>
      </c>
    </row>
    <row r="7400" spans="1:4" x14ac:dyDescent="0.3">
      <c r="A7400" s="34">
        <v>53508</v>
      </c>
      <c r="B7400" s="35">
        <v>1</v>
      </c>
      <c r="C7400" s="35">
        <v>0</v>
      </c>
      <c r="D7400" s="2">
        <f t="shared" si="115"/>
        <v>1</v>
      </c>
    </row>
    <row r="7401" spans="1:4" x14ac:dyDescent="0.3">
      <c r="A7401" s="34">
        <v>53509</v>
      </c>
      <c r="B7401" s="35">
        <v>1</v>
      </c>
      <c r="C7401" s="35">
        <v>0</v>
      </c>
      <c r="D7401" s="2">
        <f t="shared" si="115"/>
        <v>1</v>
      </c>
    </row>
    <row r="7402" spans="1:4" x14ac:dyDescent="0.3">
      <c r="A7402" s="34">
        <v>53511</v>
      </c>
      <c r="B7402" s="35">
        <v>1</v>
      </c>
      <c r="C7402" s="35">
        <v>0</v>
      </c>
      <c r="D7402" s="2">
        <f t="shared" si="115"/>
        <v>1</v>
      </c>
    </row>
    <row r="7403" spans="1:4" x14ac:dyDescent="0.3">
      <c r="A7403" s="34">
        <v>53517</v>
      </c>
      <c r="B7403" s="35">
        <v>1</v>
      </c>
      <c r="C7403" s="35">
        <v>1</v>
      </c>
      <c r="D7403" s="2">
        <f t="shared" si="115"/>
        <v>2</v>
      </c>
    </row>
    <row r="7404" spans="1:4" x14ac:dyDescent="0.3">
      <c r="A7404" s="34">
        <v>53522</v>
      </c>
      <c r="B7404" s="35">
        <v>1</v>
      </c>
      <c r="C7404" s="35">
        <v>0</v>
      </c>
      <c r="D7404" s="2">
        <f t="shared" si="115"/>
        <v>1</v>
      </c>
    </row>
    <row r="7405" spans="1:4" x14ac:dyDescent="0.3">
      <c r="A7405" s="34">
        <v>53525</v>
      </c>
      <c r="B7405" s="35">
        <v>1</v>
      </c>
      <c r="C7405" s="35">
        <v>0</v>
      </c>
      <c r="D7405" s="2">
        <f t="shared" si="115"/>
        <v>1</v>
      </c>
    </row>
    <row r="7406" spans="1:4" x14ac:dyDescent="0.3">
      <c r="A7406" s="34">
        <v>53527</v>
      </c>
      <c r="B7406" s="35">
        <v>1</v>
      </c>
      <c r="C7406" s="35">
        <v>0</v>
      </c>
      <c r="D7406" s="2">
        <f t="shared" si="115"/>
        <v>1</v>
      </c>
    </row>
    <row r="7407" spans="1:4" x14ac:dyDescent="0.3">
      <c r="A7407" s="34">
        <v>53528</v>
      </c>
      <c r="B7407" s="35">
        <v>1</v>
      </c>
      <c r="C7407" s="35">
        <v>0</v>
      </c>
      <c r="D7407" s="2">
        <f t="shared" si="115"/>
        <v>1</v>
      </c>
    </row>
    <row r="7408" spans="1:4" x14ac:dyDescent="0.3">
      <c r="A7408" s="34">
        <v>53529</v>
      </c>
      <c r="B7408" s="35">
        <v>1</v>
      </c>
      <c r="C7408" s="35">
        <v>0</v>
      </c>
      <c r="D7408" s="2">
        <f t="shared" si="115"/>
        <v>1</v>
      </c>
    </row>
    <row r="7409" spans="1:4" x14ac:dyDescent="0.3">
      <c r="A7409" s="34">
        <v>53530</v>
      </c>
      <c r="B7409" s="35">
        <v>1</v>
      </c>
      <c r="C7409" s="35">
        <v>0</v>
      </c>
      <c r="D7409" s="2">
        <f t="shared" si="115"/>
        <v>1</v>
      </c>
    </row>
    <row r="7410" spans="1:4" x14ac:dyDescent="0.3">
      <c r="A7410" s="34">
        <v>53534</v>
      </c>
      <c r="B7410" s="35">
        <v>1</v>
      </c>
      <c r="C7410" s="35">
        <v>1</v>
      </c>
      <c r="D7410" s="2">
        <f t="shared" si="115"/>
        <v>2</v>
      </c>
    </row>
    <row r="7411" spans="1:4" x14ac:dyDescent="0.3">
      <c r="A7411" s="34">
        <v>53538</v>
      </c>
      <c r="B7411" s="35">
        <v>1</v>
      </c>
      <c r="C7411" s="35">
        <v>0</v>
      </c>
      <c r="D7411" s="2">
        <f t="shared" si="115"/>
        <v>1</v>
      </c>
    </row>
    <row r="7412" spans="1:4" x14ac:dyDescent="0.3">
      <c r="A7412" s="34">
        <v>53620</v>
      </c>
      <c r="B7412" s="35">
        <v>1</v>
      </c>
      <c r="C7412" s="35">
        <v>0</v>
      </c>
      <c r="D7412" s="2">
        <f t="shared" si="115"/>
        <v>1</v>
      </c>
    </row>
    <row r="7413" spans="1:4" x14ac:dyDescent="0.3">
      <c r="A7413" s="34">
        <v>53622</v>
      </c>
      <c r="B7413" s="35">
        <v>1</v>
      </c>
      <c r="C7413" s="35">
        <v>0</v>
      </c>
      <c r="D7413" s="2">
        <f t="shared" si="115"/>
        <v>1</v>
      </c>
    </row>
    <row r="7414" spans="1:4" x14ac:dyDescent="0.3">
      <c r="A7414" s="34">
        <v>53634</v>
      </c>
      <c r="B7414" s="35">
        <v>1</v>
      </c>
      <c r="C7414" s="35">
        <v>0</v>
      </c>
      <c r="D7414" s="2">
        <f t="shared" si="115"/>
        <v>1</v>
      </c>
    </row>
    <row r="7415" spans="1:4" x14ac:dyDescent="0.3">
      <c r="A7415" s="34">
        <v>53637</v>
      </c>
      <c r="B7415" s="35">
        <v>1</v>
      </c>
      <c r="C7415" s="35">
        <v>0</v>
      </c>
      <c r="D7415" s="2">
        <f t="shared" si="115"/>
        <v>1</v>
      </c>
    </row>
    <row r="7416" spans="1:4" x14ac:dyDescent="0.3">
      <c r="A7416" s="34">
        <v>53638</v>
      </c>
      <c r="B7416" s="35">
        <v>1</v>
      </c>
      <c r="C7416" s="35">
        <v>1</v>
      </c>
      <c r="D7416" s="2">
        <f t="shared" si="115"/>
        <v>2</v>
      </c>
    </row>
    <row r="7417" spans="1:4" x14ac:dyDescent="0.3">
      <c r="A7417" s="34">
        <v>53639</v>
      </c>
      <c r="B7417" s="35">
        <v>2</v>
      </c>
      <c r="C7417" s="35">
        <v>1</v>
      </c>
      <c r="D7417" s="2">
        <f t="shared" si="115"/>
        <v>3</v>
      </c>
    </row>
    <row r="7418" spans="1:4" x14ac:dyDescent="0.3">
      <c r="A7418" s="34">
        <v>53641</v>
      </c>
      <c r="B7418" s="35">
        <v>1</v>
      </c>
      <c r="C7418" s="35">
        <v>0</v>
      </c>
      <c r="D7418" s="2">
        <f t="shared" si="115"/>
        <v>1</v>
      </c>
    </row>
    <row r="7419" spans="1:4" x14ac:dyDescent="0.3">
      <c r="A7419" s="34">
        <v>53642</v>
      </c>
      <c r="B7419" s="35">
        <v>1</v>
      </c>
      <c r="C7419" s="35">
        <v>0</v>
      </c>
      <c r="D7419" s="2">
        <f t="shared" si="115"/>
        <v>1</v>
      </c>
    </row>
    <row r="7420" spans="1:4" x14ac:dyDescent="0.3">
      <c r="A7420" s="34">
        <v>53644</v>
      </c>
      <c r="B7420" s="35">
        <v>1</v>
      </c>
      <c r="C7420" s="35">
        <v>0</v>
      </c>
      <c r="D7420" s="2">
        <f t="shared" si="115"/>
        <v>1</v>
      </c>
    </row>
    <row r="7421" spans="1:4" x14ac:dyDescent="0.3">
      <c r="A7421" s="34">
        <v>53647</v>
      </c>
      <c r="B7421" s="35">
        <v>2</v>
      </c>
      <c r="C7421" s="35">
        <v>0</v>
      </c>
      <c r="D7421" s="2">
        <f t="shared" si="115"/>
        <v>2</v>
      </c>
    </row>
    <row r="7422" spans="1:4" x14ac:dyDescent="0.3">
      <c r="A7422" s="34">
        <v>53649</v>
      </c>
      <c r="B7422" s="35">
        <v>1</v>
      </c>
      <c r="C7422" s="35">
        <v>0</v>
      </c>
      <c r="D7422" s="2">
        <f t="shared" si="115"/>
        <v>1</v>
      </c>
    </row>
    <row r="7423" spans="1:4" x14ac:dyDescent="0.3">
      <c r="A7423" s="34">
        <v>53652</v>
      </c>
      <c r="B7423" s="35">
        <v>1</v>
      </c>
      <c r="C7423" s="35">
        <v>0</v>
      </c>
      <c r="D7423" s="2">
        <f t="shared" si="115"/>
        <v>1</v>
      </c>
    </row>
    <row r="7424" spans="1:4" x14ac:dyDescent="0.3">
      <c r="A7424" s="34">
        <v>53663</v>
      </c>
      <c r="B7424" s="35">
        <v>1</v>
      </c>
      <c r="C7424" s="35">
        <v>0</v>
      </c>
      <c r="D7424" s="2">
        <f t="shared" si="115"/>
        <v>1</v>
      </c>
    </row>
    <row r="7425" spans="1:4" x14ac:dyDescent="0.3">
      <c r="A7425" s="34">
        <v>53664</v>
      </c>
      <c r="B7425" s="35">
        <v>1</v>
      </c>
      <c r="C7425" s="35">
        <v>1</v>
      </c>
      <c r="D7425" s="2">
        <f t="shared" si="115"/>
        <v>2</v>
      </c>
    </row>
    <row r="7426" spans="1:4" x14ac:dyDescent="0.3">
      <c r="A7426" s="34">
        <v>53665</v>
      </c>
      <c r="B7426" s="35">
        <v>1</v>
      </c>
      <c r="C7426" s="35">
        <v>0</v>
      </c>
      <c r="D7426" s="2">
        <f t="shared" si="115"/>
        <v>1</v>
      </c>
    </row>
    <row r="7427" spans="1:4" x14ac:dyDescent="0.3">
      <c r="A7427" s="34">
        <v>53667</v>
      </c>
      <c r="B7427" s="35">
        <v>1</v>
      </c>
      <c r="C7427" s="35">
        <v>0</v>
      </c>
      <c r="D7427" s="2">
        <f t="shared" ref="D7427:D7490" si="116">B7427+C7427</f>
        <v>1</v>
      </c>
    </row>
    <row r="7428" spans="1:4" x14ac:dyDescent="0.3">
      <c r="A7428" s="34">
        <v>53668</v>
      </c>
      <c r="B7428" s="35">
        <v>1</v>
      </c>
      <c r="C7428" s="35">
        <v>0</v>
      </c>
      <c r="D7428" s="2">
        <f t="shared" si="116"/>
        <v>1</v>
      </c>
    </row>
    <row r="7429" spans="1:4" x14ac:dyDescent="0.3">
      <c r="A7429" s="34">
        <v>53669</v>
      </c>
      <c r="B7429" s="35">
        <v>1</v>
      </c>
      <c r="C7429" s="35">
        <v>0</v>
      </c>
      <c r="D7429" s="2">
        <f t="shared" si="116"/>
        <v>1</v>
      </c>
    </row>
    <row r="7430" spans="1:4" x14ac:dyDescent="0.3">
      <c r="A7430" s="34">
        <v>53672</v>
      </c>
      <c r="B7430" s="35">
        <v>1</v>
      </c>
      <c r="C7430" s="35">
        <v>0</v>
      </c>
      <c r="D7430" s="2">
        <f t="shared" si="116"/>
        <v>1</v>
      </c>
    </row>
    <row r="7431" spans="1:4" x14ac:dyDescent="0.3">
      <c r="A7431" s="34">
        <v>53675</v>
      </c>
      <c r="B7431" s="35">
        <v>1</v>
      </c>
      <c r="C7431" s="35">
        <v>1</v>
      </c>
      <c r="D7431" s="2">
        <f t="shared" si="116"/>
        <v>2</v>
      </c>
    </row>
    <row r="7432" spans="1:4" x14ac:dyDescent="0.3">
      <c r="A7432" s="34">
        <v>53676</v>
      </c>
      <c r="B7432" s="35">
        <v>2</v>
      </c>
      <c r="C7432" s="35">
        <v>1</v>
      </c>
      <c r="D7432" s="2">
        <f t="shared" si="116"/>
        <v>3</v>
      </c>
    </row>
    <row r="7433" spans="1:4" x14ac:dyDescent="0.3">
      <c r="A7433" s="34">
        <v>53679</v>
      </c>
      <c r="B7433" s="35">
        <v>1</v>
      </c>
      <c r="C7433" s="35">
        <v>0</v>
      </c>
      <c r="D7433" s="2">
        <f t="shared" si="116"/>
        <v>1</v>
      </c>
    </row>
    <row r="7434" spans="1:4" x14ac:dyDescent="0.3">
      <c r="A7434" s="34">
        <v>53681</v>
      </c>
      <c r="B7434" s="35">
        <v>1</v>
      </c>
      <c r="C7434" s="35">
        <v>0</v>
      </c>
      <c r="D7434" s="2">
        <f t="shared" si="116"/>
        <v>1</v>
      </c>
    </row>
    <row r="7435" spans="1:4" x14ac:dyDescent="0.3">
      <c r="A7435" s="34">
        <v>53685</v>
      </c>
      <c r="B7435" s="35">
        <v>1</v>
      </c>
      <c r="C7435" s="35">
        <v>0</v>
      </c>
      <c r="D7435" s="2">
        <f t="shared" si="116"/>
        <v>1</v>
      </c>
    </row>
    <row r="7436" spans="1:4" x14ac:dyDescent="0.3">
      <c r="A7436" s="34">
        <v>53689</v>
      </c>
      <c r="B7436" s="35">
        <v>1</v>
      </c>
      <c r="C7436" s="35">
        <v>0</v>
      </c>
      <c r="D7436" s="2">
        <f t="shared" si="116"/>
        <v>1</v>
      </c>
    </row>
    <row r="7437" spans="1:4" x14ac:dyDescent="0.3">
      <c r="A7437" s="34">
        <v>53690</v>
      </c>
      <c r="B7437" s="35">
        <v>1</v>
      </c>
      <c r="C7437" s="35">
        <v>0</v>
      </c>
      <c r="D7437" s="2">
        <f t="shared" si="116"/>
        <v>1</v>
      </c>
    </row>
    <row r="7438" spans="1:4" x14ac:dyDescent="0.3">
      <c r="A7438" s="34">
        <v>53692</v>
      </c>
      <c r="B7438" s="35">
        <v>1</v>
      </c>
      <c r="C7438" s="35">
        <v>0</v>
      </c>
      <c r="D7438" s="2">
        <f t="shared" si="116"/>
        <v>1</v>
      </c>
    </row>
    <row r="7439" spans="1:4" x14ac:dyDescent="0.3">
      <c r="A7439" s="34">
        <v>53696</v>
      </c>
      <c r="B7439" s="35">
        <v>1</v>
      </c>
      <c r="C7439" s="35">
        <v>0</v>
      </c>
      <c r="D7439" s="2">
        <f t="shared" si="116"/>
        <v>1</v>
      </c>
    </row>
    <row r="7440" spans="1:4" x14ac:dyDescent="0.3">
      <c r="A7440" s="34">
        <v>53699</v>
      </c>
      <c r="B7440" s="35">
        <v>1</v>
      </c>
      <c r="C7440" s="35">
        <v>0</v>
      </c>
      <c r="D7440" s="2">
        <f t="shared" si="116"/>
        <v>1</v>
      </c>
    </row>
    <row r="7441" spans="1:4" x14ac:dyDescent="0.3">
      <c r="A7441" s="34">
        <v>53702</v>
      </c>
      <c r="B7441" s="35">
        <v>1</v>
      </c>
      <c r="C7441" s="35">
        <v>1</v>
      </c>
      <c r="D7441" s="2">
        <f t="shared" si="116"/>
        <v>2</v>
      </c>
    </row>
    <row r="7442" spans="1:4" x14ac:dyDescent="0.3">
      <c r="A7442" s="34">
        <v>53706</v>
      </c>
      <c r="B7442" s="35">
        <v>1</v>
      </c>
      <c r="C7442" s="35">
        <v>0</v>
      </c>
      <c r="D7442" s="2">
        <f t="shared" si="116"/>
        <v>1</v>
      </c>
    </row>
    <row r="7443" spans="1:4" x14ac:dyDescent="0.3">
      <c r="A7443" s="34">
        <v>53707</v>
      </c>
      <c r="B7443" s="35">
        <v>1</v>
      </c>
      <c r="C7443" s="35">
        <v>0</v>
      </c>
      <c r="D7443" s="2">
        <f t="shared" si="116"/>
        <v>1</v>
      </c>
    </row>
    <row r="7444" spans="1:4" x14ac:dyDescent="0.3">
      <c r="A7444" s="34">
        <v>53708</v>
      </c>
      <c r="B7444" s="35">
        <v>1</v>
      </c>
      <c r="C7444" s="35">
        <v>0</v>
      </c>
      <c r="D7444" s="2">
        <f t="shared" si="116"/>
        <v>1</v>
      </c>
    </row>
    <row r="7445" spans="1:4" x14ac:dyDescent="0.3">
      <c r="A7445" s="34">
        <v>53709</v>
      </c>
      <c r="B7445" s="35">
        <v>1</v>
      </c>
      <c r="C7445" s="35">
        <v>0</v>
      </c>
      <c r="D7445" s="2">
        <f t="shared" si="116"/>
        <v>1</v>
      </c>
    </row>
    <row r="7446" spans="1:4" x14ac:dyDescent="0.3">
      <c r="A7446" s="34">
        <v>53710</v>
      </c>
      <c r="B7446" s="35">
        <v>1</v>
      </c>
      <c r="C7446" s="35">
        <v>0</v>
      </c>
      <c r="D7446" s="2">
        <f t="shared" si="116"/>
        <v>1</v>
      </c>
    </row>
    <row r="7447" spans="1:4" x14ac:dyDescent="0.3">
      <c r="A7447" s="34">
        <v>53789</v>
      </c>
      <c r="B7447" s="35">
        <v>1</v>
      </c>
      <c r="C7447" s="35">
        <v>0</v>
      </c>
      <c r="D7447" s="2">
        <f t="shared" si="116"/>
        <v>1</v>
      </c>
    </row>
    <row r="7448" spans="1:4" x14ac:dyDescent="0.3">
      <c r="A7448" s="34">
        <v>53791</v>
      </c>
      <c r="B7448" s="35">
        <v>1</v>
      </c>
      <c r="C7448" s="35">
        <v>1</v>
      </c>
      <c r="D7448" s="2">
        <f t="shared" si="116"/>
        <v>2</v>
      </c>
    </row>
    <row r="7449" spans="1:4" x14ac:dyDescent="0.3">
      <c r="A7449" s="34">
        <v>53793</v>
      </c>
      <c r="B7449" s="35">
        <v>1</v>
      </c>
      <c r="C7449" s="35">
        <v>0</v>
      </c>
      <c r="D7449" s="2">
        <f t="shared" si="116"/>
        <v>1</v>
      </c>
    </row>
    <row r="7450" spans="1:4" x14ac:dyDescent="0.3">
      <c r="A7450" s="34">
        <v>53794</v>
      </c>
      <c r="B7450" s="35">
        <v>1</v>
      </c>
      <c r="C7450" s="35">
        <v>0</v>
      </c>
      <c r="D7450" s="2">
        <f t="shared" si="116"/>
        <v>1</v>
      </c>
    </row>
    <row r="7451" spans="1:4" x14ac:dyDescent="0.3">
      <c r="A7451" s="34">
        <v>53795</v>
      </c>
      <c r="B7451" s="35">
        <v>1</v>
      </c>
      <c r="C7451" s="35">
        <v>0</v>
      </c>
      <c r="D7451" s="2">
        <f t="shared" si="116"/>
        <v>1</v>
      </c>
    </row>
    <row r="7452" spans="1:4" x14ac:dyDescent="0.3">
      <c r="A7452" s="34">
        <v>53800</v>
      </c>
      <c r="B7452" s="35">
        <v>1</v>
      </c>
      <c r="C7452" s="35">
        <v>0</v>
      </c>
      <c r="D7452" s="2">
        <f t="shared" si="116"/>
        <v>1</v>
      </c>
    </row>
    <row r="7453" spans="1:4" x14ac:dyDescent="0.3">
      <c r="A7453" s="34">
        <v>53804</v>
      </c>
      <c r="B7453" s="35">
        <v>1</v>
      </c>
      <c r="C7453" s="35">
        <v>0</v>
      </c>
      <c r="D7453" s="2">
        <f t="shared" si="116"/>
        <v>1</v>
      </c>
    </row>
    <row r="7454" spans="1:4" x14ac:dyDescent="0.3">
      <c r="A7454" s="34">
        <v>53805</v>
      </c>
      <c r="B7454" s="35">
        <v>1</v>
      </c>
      <c r="C7454" s="35">
        <v>0</v>
      </c>
      <c r="D7454" s="2">
        <f t="shared" si="116"/>
        <v>1</v>
      </c>
    </row>
    <row r="7455" spans="1:4" x14ac:dyDescent="0.3">
      <c r="A7455" s="34">
        <v>53807</v>
      </c>
      <c r="B7455" s="35">
        <v>1</v>
      </c>
      <c r="C7455" s="35">
        <v>0</v>
      </c>
      <c r="D7455" s="2">
        <f t="shared" si="116"/>
        <v>1</v>
      </c>
    </row>
    <row r="7456" spans="1:4" x14ac:dyDescent="0.3">
      <c r="A7456" s="34">
        <v>53808</v>
      </c>
      <c r="B7456" s="35">
        <v>1</v>
      </c>
      <c r="C7456" s="35">
        <v>1</v>
      </c>
      <c r="D7456" s="2">
        <f t="shared" si="116"/>
        <v>2</v>
      </c>
    </row>
    <row r="7457" spans="1:4" x14ac:dyDescent="0.3">
      <c r="A7457" s="34">
        <v>53810</v>
      </c>
      <c r="B7457" s="35">
        <v>1</v>
      </c>
      <c r="C7457" s="35">
        <v>0</v>
      </c>
      <c r="D7457" s="2">
        <f t="shared" si="116"/>
        <v>1</v>
      </c>
    </row>
    <row r="7458" spans="1:4" x14ac:dyDescent="0.3">
      <c r="A7458" s="34">
        <v>53813</v>
      </c>
      <c r="B7458" s="35">
        <v>1</v>
      </c>
      <c r="C7458" s="35">
        <v>0</v>
      </c>
      <c r="D7458" s="2">
        <f t="shared" si="116"/>
        <v>1</v>
      </c>
    </row>
    <row r="7459" spans="1:4" x14ac:dyDescent="0.3">
      <c r="A7459" s="34">
        <v>53817</v>
      </c>
      <c r="B7459" s="35">
        <v>1</v>
      </c>
      <c r="C7459" s="35">
        <v>1</v>
      </c>
      <c r="D7459" s="2">
        <f t="shared" si="116"/>
        <v>2</v>
      </c>
    </row>
    <row r="7460" spans="1:4" x14ac:dyDescent="0.3">
      <c r="A7460" s="34">
        <v>53819</v>
      </c>
      <c r="B7460" s="35">
        <v>1</v>
      </c>
      <c r="C7460" s="35">
        <v>0</v>
      </c>
      <c r="D7460" s="2">
        <f t="shared" si="116"/>
        <v>1</v>
      </c>
    </row>
    <row r="7461" spans="1:4" x14ac:dyDescent="0.3">
      <c r="A7461" s="34">
        <v>53820</v>
      </c>
      <c r="B7461" s="35">
        <v>1</v>
      </c>
      <c r="C7461" s="35">
        <v>0</v>
      </c>
      <c r="D7461" s="2">
        <f t="shared" si="116"/>
        <v>1</v>
      </c>
    </row>
    <row r="7462" spans="1:4" x14ac:dyDescent="0.3">
      <c r="A7462" s="34">
        <v>53821</v>
      </c>
      <c r="B7462" s="35">
        <v>1</v>
      </c>
      <c r="C7462" s="35">
        <v>0</v>
      </c>
      <c r="D7462" s="2">
        <f t="shared" si="116"/>
        <v>1</v>
      </c>
    </row>
    <row r="7463" spans="1:4" x14ac:dyDescent="0.3">
      <c r="A7463" s="34">
        <v>53822</v>
      </c>
      <c r="B7463" s="35">
        <v>1</v>
      </c>
      <c r="C7463" s="35">
        <v>1</v>
      </c>
      <c r="D7463" s="2">
        <f t="shared" si="116"/>
        <v>2</v>
      </c>
    </row>
    <row r="7464" spans="1:4" x14ac:dyDescent="0.3">
      <c r="A7464" s="34">
        <v>53824</v>
      </c>
      <c r="B7464" s="35">
        <v>1</v>
      </c>
      <c r="C7464" s="35">
        <v>0</v>
      </c>
      <c r="D7464" s="2">
        <f t="shared" si="116"/>
        <v>1</v>
      </c>
    </row>
    <row r="7465" spans="1:4" x14ac:dyDescent="0.3">
      <c r="A7465" s="34">
        <v>53829</v>
      </c>
      <c r="B7465" s="35">
        <v>1</v>
      </c>
      <c r="C7465" s="35">
        <v>0</v>
      </c>
      <c r="D7465" s="2">
        <f t="shared" si="116"/>
        <v>1</v>
      </c>
    </row>
    <row r="7466" spans="1:4" x14ac:dyDescent="0.3">
      <c r="A7466" s="34">
        <v>53834</v>
      </c>
      <c r="B7466" s="35">
        <v>2</v>
      </c>
      <c r="C7466" s="35">
        <v>0</v>
      </c>
      <c r="D7466" s="2">
        <f t="shared" si="116"/>
        <v>2</v>
      </c>
    </row>
    <row r="7467" spans="1:4" x14ac:dyDescent="0.3">
      <c r="A7467" s="34">
        <v>53835</v>
      </c>
      <c r="B7467" s="35">
        <v>1</v>
      </c>
      <c r="C7467" s="35">
        <v>0</v>
      </c>
      <c r="D7467" s="2">
        <f t="shared" si="116"/>
        <v>1</v>
      </c>
    </row>
    <row r="7468" spans="1:4" x14ac:dyDescent="0.3">
      <c r="A7468" s="34">
        <v>53840</v>
      </c>
      <c r="B7468" s="35">
        <v>1</v>
      </c>
      <c r="C7468" s="35">
        <v>0</v>
      </c>
      <c r="D7468" s="2">
        <f t="shared" si="116"/>
        <v>1</v>
      </c>
    </row>
    <row r="7469" spans="1:4" x14ac:dyDescent="0.3">
      <c r="A7469" s="34">
        <v>53841</v>
      </c>
      <c r="B7469" s="35">
        <v>1</v>
      </c>
      <c r="C7469" s="35">
        <v>0</v>
      </c>
      <c r="D7469" s="2">
        <f t="shared" si="116"/>
        <v>1</v>
      </c>
    </row>
    <row r="7470" spans="1:4" x14ac:dyDescent="0.3">
      <c r="A7470" s="34">
        <v>53842</v>
      </c>
      <c r="B7470" s="35">
        <v>1</v>
      </c>
      <c r="C7470" s="35">
        <v>0</v>
      </c>
      <c r="D7470" s="2">
        <f t="shared" si="116"/>
        <v>1</v>
      </c>
    </row>
    <row r="7471" spans="1:4" x14ac:dyDescent="0.3">
      <c r="A7471" s="34">
        <v>53847</v>
      </c>
      <c r="B7471" s="35">
        <v>1</v>
      </c>
      <c r="C7471" s="35">
        <v>0</v>
      </c>
      <c r="D7471" s="2">
        <f t="shared" si="116"/>
        <v>1</v>
      </c>
    </row>
    <row r="7472" spans="1:4" x14ac:dyDescent="0.3">
      <c r="A7472" s="34">
        <v>53849</v>
      </c>
      <c r="B7472" s="35">
        <v>1</v>
      </c>
      <c r="C7472" s="35">
        <v>0</v>
      </c>
      <c r="D7472" s="2">
        <f t="shared" si="116"/>
        <v>1</v>
      </c>
    </row>
    <row r="7473" spans="1:4" x14ac:dyDescent="0.3">
      <c r="A7473" s="34">
        <v>53852</v>
      </c>
      <c r="B7473" s="35">
        <v>1</v>
      </c>
      <c r="C7473" s="35">
        <v>0</v>
      </c>
      <c r="D7473" s="2">
        <f t="shared" si="116"/>
        <v>1</v>
      </c>
    </row>
    <row r="7474" spans="1:4" x14ac:dyDescent="0.3">
      <c r="A7474" s="34">
        <v>53854</v>
      </c>
      <c r="B7474" s="35">
        <v>1</v>
      </c>
      <c r="C7474" s="35">
        <v>0</v>
      </c>
      <c r="D7474" s="2">
        <f t="shared" si="116"/>
        <v>1</v>
      </c>
    </row>
    <row r="7475" spans="1:4" x14ac:dyDescent="0.3">
      <c r="A7475" s="34">
        <v>53856</v>
      </c>
      <c r="B7475" s="35">
        <v>1</v>
      </c>
      <c r="C7475" s="35">
        <v>0</v>
      </c>
      <c r="D7475" s="2">
        <f t="shared" si="116"/>
        <v>1</v>
      </c>
    </row>
    <row r="7476" spans="1:4" x14ac:dyDescent="0.3">
      <c r="A7476" s="34">
        <v>53858</v>
      </c>
      <c r="B7476" s="35">
        <v>1</v>
      </c>
      <c r="C7476" s="35">
        <v>1</v>
      </c>
      <c r="D7476" s="2">
        <f t="shared" si="116"/>
        <v>2</v>
      </c>
    </row>
    <row r="7477" spans="1:4" x14ac:dyDescent="0.3">
      <c r="A7477" s="34">
        <v>53863</v>
      </c>
      <c r="B7477" s="35">
        <v>1</v>
      </c>
      <c r="C7477" s="35">
        <v>0</v>
      </c>
      <c r="D7477" s="2">
        <f t="shared" si="116"/>
        <v>1</v>
      </c>
    </row>
    <row r="7478" spans="1:4" x14ac:dyDescent="0.3">
      <c r="A7478" s="34">
        <v>53865</v>
      </c>
      <c r="B7478" s="35">
        <v>1</v>
      </c>
      <c r="C7478" s="35">
        <v>0</v>
      </c>
      <c r="D7478" s="2">
        <f t="shared" si="116"/>
        <v>1</v>
      </c>
    </row>
    <row r="7479" spans="1:4" x14ac:dyDescent="0.3">
      <c r="A7479" s="34">
        <v>53866</v>
      </c>
      <c r="B7479" s="35">
        <v>1</v>
      </c>
      <c r="C7479" s="35">
        <v>0</v>
      </c>
      <c r="D7479" s="2">
        <f t="shared" si="116"/>
        <v>1</v>
      </c>
    </row>
    <row r="7480" spans="1:4" x14ac:dyDescent="0.3">
      <c r="A7480" s="34">
        <v>53867</v>
      </c>
      <c r="B7480" s="35">
        <v>1</v>
      </c>
      <c r="C7480" s="35">
        <v>0</v>
      </c>
      <c r="D7480" s="2">
        <f t="shared" si="116"/>
        <v>1</v>
      </c>
    </row>
    <row r="7481" spans="1:4" x14ac:dyDescent="0.3">
      <c r="A7481" s="34">
        <v>53870</v>
      </c>
      <c r="B7481" s="35">
        <v>2</v>
      </c>
      <c r="C7481" s="35">
        <v>0</v>
      </c>
      <c r="D7481" s="2">
        <f t="shared" si="116"/>
        <v>2</v>
      </c>
    </row>
    <row r="7482" spans="1:4" x14ac:dyDescent="0.3">
      <c r="A7482" s="34">
        <v>53873</v>
      </c>
      <c r="B7482" s="35">
        <v>1</v>
      </c>
      <c r="C7482" s="35">
        <v>1</v>
      </c>
      <c r="D7482" s="2">
        <f t="shared" si="116"/>
        <v>2</v>
      </c>
    </row>
    <row r="7483" spans="1:4" x14ac:dyDescent="0.3">
      <c r="A7483" s="34">
        <v>53876</v>
      </c>
      <c r="B7483" s="35">
        <v>1</v>
      </c>
      <c r="C7483" s="35">
        <v>0</v>
      </c>
      <c r="D7483" s="2">
        <f t="shared" si="116"/>
        <v>1</v>
      </c>
    </row>
    <row r="7484" spans="1:4" x14ac:dyDescent="0.3">
      <c r="A7484" s="34">
        <v>53933</v>
      </c>
      <c r="B7484" s="35">
        <v>1</v>
      </c>
      <c r="C7484" s="35">
        <v>0</v>
      </c>
      <c r="D7484" s="2">
        <f t="shared" si="116"/>
        <v>1</v>
      </c>
    </row>
    <row r="7485" spans="1:4" x14ac:dyDescent="0.3">
      <c r="A7485" s="34">
        <v>53958</v>
      </c>
      <c r="B7485" s="35">
        <v>2</v>
      </c>
      <c r="C7485" s="35">
        <v>0</v>
      </c>
      <c r="D7485" s="2">
        <f t="shared" si="116"/>
        <v>2</v>
      </c>
    </row>
    <row r="7486" spans="1:4" x14ac:dyDescent="0.3">
      <c r="A7486" s="34">
        <v>53960</v>
      </c>
      <c r="B7486" s="35">
        <v>1</v>
      </c>
      <c r="C7486" s="35">
        <v>0</v>
      </c>
      <c r="D7486" s="2">
        <f t="shared" si="116"/>
        <v>1</v>
      </c>
    </row>
    <row r="7487" spans="1:4" x14ac:dyDescent="0.3">
      <c r="A7487" s="34">
        <v>53961</v>
      </c>
      <c r="B7487" s="35">
        <v>1</v>
      </c>
      <c r="C7487" s="35">
        <v>1</v>
      </c>
      <c r="D7487" s="2">
        <f t="shared" si="116"/>
        <v>2</v>
      </c>
    </row>
    <row r="7488" spans="1:4" x14ac:dyDescent="0.3">
      <c r="A7488" s="34">
        <v>53962</v>
      </c>
      <c r="B7488" s="35">
        <v>1</v>
      </c>
      <c r="C7488" s="35">
        <v>0</v>
      </c>
      <c r="D7488" s="2">
        <f t="shared" si="116"/>
        <v>1</v>
      </c>
    </row>
    <row r="7489" spans="1:4" x14ac:dyDescent="0.3">
      <c r="A7489" s="34">
        <v>53963</v>
      </c>
      <c r="B7489" s="35">
        <v>1</v>
      </c>
      <c r="C7489" s="35">
        <v>0</v>
      </c>
      <c r="D7489" s="2">
        <f t="shared" si="116"/>
        <v>1</v>
      </c>
    </row>
    <row r="7490" spans="1:4" x14ac:dyDescent="0.3">
      <c r="A7490" s="34">
        <v>53968</v>
      </c>
      <c r="B7490" s="35">
        <v>2</v>
      </c>
      <c r="C7490" s="35">
        <v>0</v>
      </c>
      <c r="D7490" s="2">
        <f t="shared" si="116"/>
        <v>2</v>
      </c>
    </row>
    <row r="7491" spans="1:4" x14ac:dyDescent="0.3">
      <c r="A7491" s="34">
        <v>53970</v>
      </c>
      <c r="B7491" s="35">
        <v>1</v>
      </c>
      <c r="C7491" s="35">
        <v>0</v>
      </c>
      <c r="D7491" s="2">
        <f t="shared" ref="D7491:D7554" si="117">B7491+C7491</f>
        <v>1</v>
      </c>
    </row>
    <row r="7492" spans="1:4" x14ac:dyDescent="0.3">
      <c r="A7492" s="34">
        <v>53974</v>
      </c>
      <c r="B7492" s="35">
        <v>1</v>
      </c>
      <c r="C7492" s="35">
        <v>0</v>
      </c>
      <c r="D7492" s="2">
        <f t="shared" si="117"/>
        <v>1</v>
      </c>
    </row>
    <row r="7493" spans="1:4" x14ac:dyDescent="0.3">
      <c r="A7493" s="34">
        <v>53976</v>
      </c>
      <c r="B7493" s="35">
        <v>1</v>
      </c>
      <c r="C7493" s="35">
        <v>0</v>
      </c>
      <c r="D7493" s="2">
        <f t="shared" si="117"/>
        <v>1</v>
      </c>
    </row>
    <row r="7494" spans="1:4" x14ac:dyDescent="0.3">
      <c r="A7494" s="34">
        <v>53978</v>
      </c>
      <c r="B7494" s="35">
        <v>2</v>
      </c>
      <c r="C7494" s="35">
        <v>0</v>
      </c>
      <c r="D7494" s="2">
        <f t="shared" si="117"/>
        <v>2</v>
      </c>
    </row>
    <row r="7495" spans="1:4" x14ac:dyDescent="0.3">
      <c r="A7495" s="34">
        <v>53980</v>
      </c>
      <c r="B7495" s="35">
        <v>1</v>
      </c>
      <c r="C7495" s="35">
        <v>0</v>
      </c>
      <c r="D7495" s="2">
        <f t="shared" si="117"/>
        <v>1</v>
      </c>
    </row>
    <row r="7496" spans="1:4" x14ac:dyDescent="0.3">
      <c r="A7496" s="34">
        <v>53986</v>
      </c>
      <c r="B7496" s="35">
        <v>1</v>
      </c>
      <c r="C7496" s="35">
        <v>0</v>
      </c>
      <c r="D7496" s="2">
        <f t="shared" si="117"/>
        <v>1</v>
      </c>
    </row>
    <row r="7497" spans="1:4" x14ac:dyDescent="0.3">
      <c r="A7497" s="34">
        <v>53987</v>
      </c>
      <c r="B7497" s="35">
        <v>1</v>
      </c>
      <c r="C7497" s="35">
        <v>0</v>
      </c>
      <c r="D7497" s="2">
        <f t="shared" si="117"/>
        <v>1</v>
      </c>
    </row>
    <row r="7498" spans="1:4" x14ac:dyDescent="0.3">
      <c r="A7498" s="34">
        <v>53988</v>
      </c>
      <c r="B7498" s="35">
        <v>1</v>
      </c>
      <c r="C7498" s="35">
        <v>0</v>
      </c>
      <c r="D7498" s="2">
        <f t="shared" si="117"/>
        <v>1</v>
      </c>
    </row>
    <row r="7499" spans="1:4" x14ac:dyDescent="0.3">
      <c r="A7499" s="34">
        <v>53989</v>
      </c>
      <c r="B7499" s="35">
        <v>1</v>
      </c>
      <c r="C7499" s="35">
        <v>0</v>
      </c>
      <c r="D7499" s="2">
        <f t="shared" si="117"/>
        <v>1</v>
      </c>
    </row>
    <row r="7500" spans="1:4" x14ac:dyDescent="0.3">
      <c r="A7500" s="34">
        <v>53990</v>
      </c>
      <c r="B7500" s="35">
        <v>1</v>
      </c>
      <c r="C7500" s="35">
        <v>1</v>
      </c>
      <c r="D7500" s="2">
        <f t="shared" si="117"/>
        <v>2</v>
      </c>
    </row>
    <row r="7501" spans="1:4" x14ac:dyDescent="0.3">
      <c r="A7501" s="34">
        <v>53991</v>
      </c>
      <c r="B7501" s="35">
        <v>1</v>
      </c>
      <c r="C7501" s="35">
        <v>0</v>
      </c>
      <c r="D7501" s="2">
        <f t="shared" si="117"/>
        <v>1</v>
      </c>
    </row>
    <row r="7502" spans="1:4" x14ac:dyDescent="0.3">
      <c r="A7502" s="34">
        <v>53998</v>
      </c>
      <c r="B7502" s="35">
        <v>1</v>
      </c>
      <c r="C7502" s="35">
        <v>1</v>
      </c>
      <c r="D7502" s="2">
        <f t="shared" si="117"/>
        <v>2</v>
      </c>
    </row>
    <row r="7503" spans="1:4" x14ac:dyDescent="0.3">
      <c r="A7503" s="34">
        <v>54082</v>
      </c>
      <c r="B7503" s="35">
        <v>1</v>
      </c>
      <c r="C7503" s="35">
        <v>0</v>
      </c>
      <c r="D7503" s="2">
        <f t="shared" si="117"/>
        <v>1</v>
      </c>
    </row>
    <row r="7504" spans="1:4" x14ac:dyDescent="0.3">
      <c r="A7504" s="34">
        <v>54083</v>
      </c>
      <c r="B7504" s="35">
        <v>1</v>
      </c>
      <c r="C7504" s="35">
        <v>1</v>
      </c>
      <c r="D7504" s="2">
        <f t="shared" si="117"/>
        <v>2</v>
      </c>
    </row>
    <row r="7505" spans="1:4" x14ac:dyDescent="0.3">
      <c r="A7505" s="34">
        <v>54084</v>
      </c>
      <c r="B7505" s="35">
        <v>1</v>
      </c>
      <c r="C7505" s="35">
        <v>0</v>
      </c>
      <c r="D7505" s="2">
        <f t="shared" si="117"/>
        <v>1</v>
      </c>
    </row>
    <row r="7506" spans="1:4" x14ac:dyDescent="0.3">
      <c r="A7506" s="34">
        <v>54085</v>
      </c>
      <c r="B7506" s="35">
        <v>1</v>
      </c>
      <c r="C7506" s="35">
        <v>1</v>
      </c>
      <c r="D7506" s="2">
        <f t="shared" si="117"/>
        <v>2</v>
      </c>
    </row>
    <row r="7507" spans="1:4" x14ac:dyDescent="0.3">
      <c r="A7507" s="34">
        <v>54089</v>
      </c>
      <c r="B7507" s="35">
        <v>1</v>
      </c>
      <c r="C7507" s="35">
        <v>0</v>
      </c>
      <c r="D7507" s="2">
        <f t="shared" si="117"/>
        <v>1</v>
      </c>
    </row>
    <row r="7508" spans="1:4" x14ac:dyDescent="0.3">
      <c r="A7508" s="34">
        <v>54090</v>
      </c>
      <c r="B7508" s="35">
        <v>1</v>
      </c>
      <c r="C7508" s="35">
        <v>1</v>
      </c>
      <c r="D7508" s="2">
        <f t="shared" si="117"/>
        <v>2</v>
      </c>
    </row>
    <row r="7509" spans="1:4" x14ac:dyDescent="0.3">
      <c r="A7509" s="34">
        <v>54093</v>
      </c>
      <c r="B7509" s="35">
        <v>1</v>
      </c>
      <c r="C7509" s="35">
        <v>0</v>
      </c>
      <c r="D7509" s="2">
        <f t="shared" si="117"/>
        <v>1</v>
      </c>
    </row>
    <row r="7510" spans="1:4" x14ac:dyDescent="0.3">
      <c r="A7510" s="34">
        <v>54094</v>
      </c>
      <c r="B7510" s="35">
        <v>1</v>
      </c>
      <c r="C7510" s="35">
        <v>0</v>
      </c>
      <c r="D7510" s="2">
        <f t="shared" si="117"/>
        <v>1</v>
      </c>
    </row>
    <row r="7511" spans="1:4" x14ac:dyDescent="0.3">
      <c r="A7511" s="34">
        <v>54095</v>
      </c>
      <c r="B7511" s="35">
        <v>1</v>
      </c>
      <c r="C7511" s="35">
        <v>0</v>
      </c>
      <c r="D7511" s="2">
        <f t="shared" si="117"/>
        <v>1</v>
      </c>
    </row>
    <row r="7512" spans="1:4" x14ac:dyDescent="0.3">
      <c r="A7512" s="34">
        <v>54096</v>
      </c>
      <c r="B7512" s="35">
        <v>1</v>
      </c>
      <c r="C7512" s="35">
        <v>0</v>
      </c>
      <c r="D7512" s="2">
        <f t="shared" si="117"/>
        <v>1</v>
      </c>
    </row>
    <row r="7513" spans="1:4" x14ac:dyDescent="0.3">
      <c r="A7513" s="34">
        <v>54099</v>
      </c>
      <c r="B7513" s="35">
        <v>1</v>
      </c>
      <c r="C7513" s="35">
        <v>0</v>
      </c>
      <c r="D7513" s="2">
        <f t="shared" si="117"/>
        <v>1</v>
      </c>
    </row>
    <row r="7514" spans="1:4" x14ac:dyDescent="0.3">
      <c r="A7514" s="34">
        <v>54100</v>
      </c>
      <c r="B7514" s="35">
        <v>1</v>
      </c>
      <c r="C7514" s="35">
        <v>0</v>
      </c>
      <c r="D7514" s="2">
        <f t="shared" si="117"/>
        <v>1</v>
      </c>
    </row>
    <row r="7515" spans="1:4" x14ac:dyDescent="0.3">
      <c r="A7515" s="34">
        <v>54101</v>
      </c>
      <c r="B7515" s="35">
        <v>1</v>
      </c>
      <c r="C7515" s="35">
        <v>0</v>
      </c>
      <c r="D7515" s="2">
        <f t="shared" si="117"/>
        <v>1</v>
      </c>
    </row>
    <row r="7516" spans="1:4" x14ac:dyDescent="0.3">
      <c r="A7516" s="34">
        <v>54102</v>
      </c>
      <c r="B7516" s="35">
        <v>1</v>
      </c>
      <c r="C7516" s="35">
        <v>0</v>
      </c>
      <c r="D7516" s="2">
        <f t="shared" si="117"/>
        <v>1</v>
      </c>
    </row>
    <row r="7517" spans="1:4" x14ac:dyDescent="0.3">
      <c r="A7517" s="34">
        <v>54131</v>
      </c>
      <c r="B7517" s="35">
        <v>1</v>
      </c>
      <c r="C7517" s="35">
        <v>0</v>
      </c>
      <c r="D7517" s="2">
        <f t="shared" si="117"/>
        <v>1</v>
      </c>
    </row>
    <row r="7518" spans="1:4" x14ac:dyDescent="0.3">
      <c r="A7518" s="34">
        <v>54132</v>
      </c>
      <c r="B7518" s="35">
        <v>1</v>
      </c>
      <c r="C7518" s="35">
        <v>1</v>
      </c>
      <c r="D7518" s="2">
        <f t="shared" si="117"/>
        <v>2</v>
      </c>
    </row>
    <row r="7519" spans="1:4" x14ac:dyDescent="0.3">
      <c r="A7519" s="34">
        <v>54136</v>
      </c>
      <c r="B7519" s="35">
        <v>2</v>
      </c>
      <c r="C7519" s="35">
        <v>2</v>
      </c>
      <c r="D7519" s="2">
        <f t="shared" si="117"/>
        <v>4</v>
      </c>
    </row>
    <row r="7520" spans="1:4" x14ac:dyDescent="0.3">
      <c r="A7520" s="34">
        <v>54137</v>
      </c>
      <c r="B7520" s="35">
        <v>1</v>
      </c>
      <c r="C7520" s="35">
        <v>1</v>
      </c>
      <c r="D7520" s="2">
        <f t="shared" si="117"/>
        <v>2</v>
      </c>
    </row>
    <row r="7521" spans="1:4" x14ac:dyDescent="0.3">
      <c r="A7521" s="34">
        <v>54138</v>
      </c>
      <c r="B7521" s="35">
        <v>1</v>
      </c>
      <c r="C7521" s="35">
        <v>0</v>
      </c>
      <c r="D7521" s="2">
        <f t="shared" si="117"/>
        <v>1</v>
      </c>
    </row>
    <row r="7522" spans="1:4" x14ac:dyDescent="0.3">
      <c r="A7522" s="34">
        <v>54140</v>
      </c>
      <c r="B7522" s="35">
        <v>1</v>
      </c>
      <c r="C7522" s="35">
        <v>0</v>
      </c>
      <c r="D7522" s="2">
        <f t="shared" si="117"/>
        <v>1</v>
      </c>
    </row>
    <row r="7523" spans="1:4" x14ac:dyDescent="0.3">
      <c r="A7523" s="34">
        <v>54141</v>
      </c>
      <c r="B7523" s="35">
        <v>1</v>
      </c>
      <c r="C7523" s="35">
        <v>0</v>
      </c>
      <c r="D7523" s="2">
        <f t="shared" si="117"/>
        <v>1</v>
      </c>
    </row>
    <row r="7524" spans="1:4" x14ac:dyDescent="0.3">
      <c r="A7524" s="34">
        <v>54143</v>
      </c>
      <c r="B7524" s="35">
        <v>1</v>
      </c>
      <c r="C7524" s="35">
        <v>1</v>
      </c>
      <c r="D7524" s="2">
        <f t="shared" si="117"/>
        <v>2</v>
      </c>
    </row>
    <row r="7525" spans="1:4" x14ac:dyDescent="0.3">
      <c r="A7525" s="34">
        <v>54145</v>
      </c>
      <c r="B7525" s="35">
        <v>1</v>
      </c>
      <c r="C7525" s="35">
        <v>0</v>
      </c>
      <c r="D7525" s="2">
        <f t="shared" si="117"/>
        <v>1</v>
      </c>
    </row>
    <row r="7526" spans="1:4" x14ac:dyDescent="0.3">
      <c r="A7526" s="34">
        <v>54146</v>
      </c>
      <c r="B7526" s="35">
        <v>1</v>
      </c>
      <c r="C7526" s="35">
        <v>0</v>
      </c>
      <c r="D7526" s="2">
        <f t="shared" si="117"/>
        <v>1</v>
      </c>
    </row>
    <row r="7527" spans="1:4" x14ac:dyDescent="0.3">
      <c r="A7527" s="34">
        <v>54150</v>
      </c>
      <c r="B7527" s="35">
        <v>1</v>
      </c>
      <c r="C7527" s="35">
        <v>0</v>
      </c>
      <c r="D7527" s="2">
        <f t="shared" si="117"/>
        <v>1</v>
      </c>
    </row>
    <row r="7528" spans="1:4" x14ac:dyDescent="0.3">
      <c r="A7528" s="34">
        <v>54151</v>
      </c>
      <c r="B7528" s="35">
        <v>1</v>
      </c>
      <c r="C7528" s="35">
        <v>0</v>
      </c>
      <c r="D7528" s="2">
        <f t="shared" si="117"/>
        <v>1</v>
      </c>
    </row>
    <row r="7529" spans="1:4" x14ac:dyDescent="0.3">
      <c r="A7529" s="34">
        <v>54158</v>
      </c>
      <c r="B7529" s="35">
        <v>1</v>
      </c>
      <c r="C7529" s="35">
        <v>0</v>
      </c>
      <c r="D7529" s="2">
        <f t="shared" si="117"/>
        <v>1</v>
      </c>
    </row>
    <row r="7530" spans="1:4" x14ac:dyDescent="0.3">
      <c r="A7530" s="34">
        <v>54159</v>
      </c>
      <c r="B7530" s="35">
        <v>1</v>
      </c>
      <c r="C7530" s="35">
        <v>0</v>
      </c>
      <c r="D7530" s="2">
        <f t="shared" si="117"/>
        <v>1</v>
      </c>
    </row>
    <row r="7531" spans="1:4" x14ac:dyDescent="0.3">
      <c r="A7531" s="34">
        <v>54163</v>
      </c>
      <c r="B7531" s="35">
        <v>1</v>
      </c>
      <c r="C7531" s="35">
        <v>0</v>
      </c>
      <c r="D7531" s="2">
        <f t="shared" si="117"/>
        <v>1</v>
      </c>
    </row>
    <row r="7532" spans="1:4" x14ac:dyDescent="0.3">
      <c r="A7532" s="34">
        <v>54167</v>
      </c>
      <c r="B7532" s="35">
        <v>1</v>
      </c>
      <c r="C7532" s="35">
        <v>1</v>
      </c>
      <c r="D7532" s="2">
        <f t="shared" si="117"/>
        <v>2</v>
      </c>
    </row>
    <row r="7533" spans="1:4" x14ac:dyDescent="0.3">
      <c r="A7533" s="34">
        <v>54169</v>
      </c>
      <c r="B7533" s="35">
        <v>1</v>
      </c>
      <c r="C7533" s="35">
        <v>1</v>
      </c>
      <c r="D7533" s="2">
        <f t="shared" si="117"/>
        <v>2</v>
      </c>
    </row>
    <row r="7534" spans="1:4" x14ac:dyDescent="0.3">
      <c r="A7534" s="34">
        <v>54231</v>
      </c>
      <c r="B7534" s="35">
        <v>1</v>
      </c>
      <c r="C7534" s="35">
        <v>0</v>
      </c>
      <c r="D7534" s="2">
        <f t="shared" si="117"/>
        <v>1</v>
      </c>
    </row>
    <row r="7535" spans="1:4" x14ac:dyDescent="0.3">
      <c r="A7535" s="34">
        <v>54233</v>
      </c>
      <c r="B7535" s="35">
        <v>1</v>
      </c>
      <c r="C7535" s="35">
        <v>0</v>
      </c>
      <c r="D7535" s="2">
        <f t="shared" si="117"/>
        <v>1</v>
      </c>
    </row>
    <row r="7536" spans="1:4" x14ac:dyDescent="0.3">
      <c r="A7536" s="34">
        <v>54236</v>
      </c>
      <c r="B7536" s="35">
        <v>1</v>
      </c>
      <c r="C7536" s="35">
        <v>0</v>
      </c>
      <c r="D7536" s="2">
        <f t="shared" si="117"/>
        <v>1</v>
      </c>
    </row>
    <row r="7537" spans="1:4" x14ac:dyDescent="0.3">
      <c r="A7537" s="34">
        <v>54237</v>
      </c>
      <c r="B7537" s="35">
        <v>1</v>
      </c>
      <c r="C7537" s="35">
        <v>0</v>
      </c>
      <c r="D7537" s="2">
        <f t="shared" si="117"/>
        <v>1</v>
      </c>
    </row>
    <row r="7538" spans="1:4" x14ac:dyDescent="0.3">
      <c r="A7538" s="34">
        <v>54243</v>
      </c>
      <c r="B7538" s="35">
        <v>1</v>
      </c>
      <c r="C7538" s="35">
        <v>1</v>
      </c>
      <c r="D7538" s="2">
        <f t="shared" si="117"/>
        <v>2</v>
      </c>
    </row>
    <row r="7539" spans="1:4" x14ac:dyDescent="0.3">
      <c r="A7539" s="34">
        <v>54245</v>
      </c>
      <c r="B7539" s="35">
        <v>1</v>
      </c>
      <c r="C7539" s="35">
        <v>1</v>
      </c>
      <c r="D7539" s="2">
        <f t="shared" si="117"/>
        <v>2</v>
      </c>
    </row>
    <row r="7540" spans="1:4" x14ac:dyDescent="0.3">
      <c r="A7540" s="34">
        <v>54248</v>
      </c>
      <c r="B7540" s="35">
        <v>1</v>
      </c>
      <c r="C7540" s="35">
        <v>0</v>
      </c>
      <c r="D7540" s="2">
        <f t="shared" si="117"/>
        <v>1</v>
      </c>
    </row>
    <row r="7541" spans="1:4" x14ac:dyDescent="0.3">
      <c r="A7541" s="34">
        <v>54249</v>
      </c>
      <c r="B7541" s="35">
        <v>1</v>
      </c>
      <c r="C7541" s="35">
        <v>0</v>
      </c>
      <c r="D7541" s="2">
        <f t="shared" si="117"/>
        <v>1</v>
      </c>
    </row>
    <row r="7542" spans="1:4" x14ac:dyDescent="0.3">
      <c r="A7542" s="34">
        <v>54250</v>
      </c>
      <c r="B7542" s="35">
        <v>1</v>
      </c>
      <c r="C7542" s="35">
        <v>0</v>
      </c>
      <c r="D7542" s="2">
        <f t="shared" si="117"/>
        <v>1</v>
      </c>
    </row>
    <row r="7543" spans="1:4" x14ac:dyDescent="0.3">
      <c r="A7543" s="34">
        <v>54251</v>
      </c>
      <c r="B7543" s="35">
        <v>1</v>
      </c>
      <c r="C7543" s="35">
        <v>0</v>
      </c>
      <c r="D7543" s="2">
        <f t="shared" si="117"/>
        <v>1</v>
      </c>
    </row>
    <row r="7544" spans="1:4" x14ac:dyDescent="0.3">
      <c r="A7544" s="34">
        <v>54252</v>
      </c>
      <c r="B7544" s="35">
        <v>1</v>
      </c>
      <c r="C7544" s="35">
        <v>0</v>
      </c>
      <c r="D7544" s="2">
        <f t="shared" si="117"/>
        <v>1</v>
      </c>
    </row>
    <row r="7545" spans="1:4" x14ac:dyDescent="0.3">
      <c r="A7545" s="34">
        <v>54253</v>
      </c>
      <c r="B7545" s="35">
        <v>1</v>
      </c>
      <c r="C7545" s="35">
        <v>0</v>
      </c>
      <c r="D7545" s="2">
        <f t="shared" si="117"/>
        <v>1</v>
      </c>
    </row>
    <row r="7546" spans="1:4" x14ac:dyDescent="0.3">
      <c r="A7546" s="34">
        <v>54254</v>
      </c>
      <c r="B7546" s="35">
        <v>1</v>
      </c>
      <c r="C7546" s="35">
        <v>0</v>
      </c>
      <c r="D7546" s="2">
        <f t="shared" si="117"/>
        <v>1</v>
      </c>
    </row>
    <row r="7547" spans="1:4" x14ac:dyDescent="0.3">
      <c r="A7547" s="34">
        <v>54255</v>
      </c>
      <c r="B7547" s="35">
        <v>1</v>
      </c>
      <c r="C7547" s="35">
        <v>0</v>
      </c>
      <c r="D7547" s="2">
        <f t="shared" si="117"/>
        <v>1</v>
      </c>
    </row>
    <row r="7548" spans="1:4" x14ac:dyDescent="0.3">
      <c r="A7548" s="34">
        <v>54259</v>
      </c>
      <c r="B7548" s="35">
        <v>1</v>
      </c>
      <c r="C7548" s="35">
        <v>0</v>
      </c>
      <c r="D7548" s="2">
        <f t="shared" si="117"/>
        <v>1</v>
      </c>
    </row>
    <row r="7549" spans="1:4" x14ac:dyDescent="0.3">
      <c r="A7549" s="34">
        <v>54267</v>
      </c>
      <c r="B7549" s="35">
        <v>1</v>
      </c>
      <c r="C7549" s="35">
        <v>0</v>
      </c>
      <c r="D7549" s="2">
        <f t="shared" si="117"/>
        <v>1</v>
      </c>
    </row>
    <row r="7550" spans="1:4" x14ac:dyDescent="0.3">
      <c r="A7550" s="34">
        <v>54268</v>
      </c>
      <c r="B7550" s="35">
        <v>1</v>
      </c>
      <c r="C7550" s="35">
        <v>1</v>
      </c>
      <c r="D7550" s="2">
        <f t="shared" si="117"/>
        <v>2</v>
      </c>
    </row>
    <row r="7551" spans="1:4" x14ac:dyDescent="0.3">
      <c r="A7551" s="34">
        <v>54272</v>
      </c>
      <c r="B7551" s="35">
        <v>1</v>
      </c>
      <c r="C7551" s="35">
        <v>0</v>
      </c>
      <c r="D7551" s="2">
        <f t="shared" si="117"/>
        <v>1</v>
      </c>
    </row>
    <row r="7552" spans="1:4" x14ac:dyDescent="0.3">
      <c r="A7552" s="34">
        <v>54273</v>
      </c>
      <c r="B7552" s="35">
        <v>1</v>
      </c>
      <c r="C7552" s="35">
        <v>0</v>
      </c>
      <c r="D7552" s="2">
        <f t="shared" si="117"/>
        <v>1</v>
      </c>
    </row>
    <row r="7553" spans="1:4" x14ac:dyDescent="0.3">
      <c r="A7553" s="34">
        <v>54275</v>
      </c>
      <c r="B7553" s="35">
        <v>1</v>
      </c>
      <c r="C7553" s="35">
        <v>0</v>
      </c>
      <c r="D7553" s="2">
        <f t="shared" si="117"/>
        <v>1</v>
      </c>
    </row>
    <row r="7554" spans="1:4" x14ac:dyDescent="0.3">
      <c r="A7554" s="34">
        <v>54276</v>
      </c>
      <c r="B7554" s="35">
        <v>1</v>
      </c>
      <c r="C7554" s="35">
        <v>0</v>
      </c>
      <c r="D7554" s="2">
        <f t="shared" si="117"/>
        <v>1</v>
      </c>
    </row>
    <row r="7555" spans="1:4" x14ac:dyDescent="0.3">
      <c r="A7555" s="34">
        <v>54278</v>
      </c>
      <c r="B7555" s="35">
        <v>1</v>
      </c>
      <c r="C7555" s="35">
        <v>0</v>
      </c>
      <c r="D7555" s="2">
        <f t="shared" ref="D7555:D7618" si="118">B7555+C7555</f>
        <v>1</v>
      </c>
    </row>
    <row r="7556" spans="1:4" x14ac:dyDescent="0.3">
      <c r="A7556" s="34">
        <v>54279</v>
      </c>
      <c r="B7556" s="35">
        <v>1</v>
      </c>
      <c r="C7556" s="35">
        <v>0</v>
      </c>
      <c r="D7556" s="2">
        <f t="shared" si="118"/>
        <v>1</v>
      </c>
    </row>
    <row r="7557" spans="1:4" x14ac:dyDescent="0.3">
      <c r="A7557" s="34">
        <v>54280</v>
      </c>
      <c r="B7557" s="35">
        <v>1</v>
      </c>
      <c r="C7557" s="35">
        <v>1</v>
      </c>
      <c r="D7557" s="2">
        <f t="shared" si="118"/>
        <v>2</v>
      </c>
    </row>
    <row r="7558" spans="1:4" x14ac:dyDescent="0.3">
      <c r="A7558" s="34">
        <v>54281</v>
      </c>
      <c r="B7558" s="35">
        <v>1</v>
      </c>
      <c r="C7558" s="35">
        <v>0</v>
      </c>
      <c r="D7558" s="2">
        <f t="shared" si="118"/>
        <v>1</v>
      </c>
    </row>
    <row r="7559" spans="1:4" x14ac:dyDescent="0.3">
      <c r="A7559" s="34">
        <v>54283</v>
      </c>
      <c r="B7559" s="35">
        <v>1</v>
      </c>
      <c r="C7559" s="35">
        <v>0</v>
      </c>
      <c r="D7559" s="2">
        <f t="shared" si="118"/>
        <v>1</v>
      </c>
    </row>
    <row r="7560" spans="1:4" x14ac:dyDescent="0.3">
      <c r="A7560" s="34">
        <v>54286</v>
      </c>
      <c r="B7560" s="35">
        <v>1</v>
      </c>
      <c r="C7560" s="35">
        <v>0</v>
      </c>
      <c r="D7560" s="2">
        <f t="shared" si="118"/>
        <v>1</v>
      </c>
    </row>
    <row r="7561" spans="1:4" x14ac:dyDescent="0.3">
      <c r="A7561" s="34">
        <v>54331</v>
      </c>
      <c r="B7561" s="35">
        <v>1</v>
      </c>
      <c r="C7561" s="35">
        <v>1</v>
      </c>
      <c r="D7561" s="2">
        <f t="shared" si="118"/>
        <v>2</v>
      </c>
    </row>
    <row r="7562" spans="1:4" x14ac:dyDescent="0.3">
      <c r="A7562" s="34">
        <v>54419</v>
      </c>
      <c r="B7562" s="35">
        <v>1</v>
      </c>
      <c r="C7562" s="35">
        <v>0</v>
      </c>
      <c r="D7562" s="2">
        <f t="shared" si="118"/>
        <v>1</v>
      </c>
    </row>
    <row r="7563" spans="1:4" x14ac:dyDescent="0.3">
      <c r="A7563" s="34">
        <v>54423</v>
      </c>
      <c r="B7563" s="35">
        <v>1</v>
      </c>
      <c r="C7563" s="35">
        <v>1</v>
      </c>
      <c r="D7563" s="2">
        <f t="shared" si="118"/>
        <v>2</v>
      </c>
    </row>
    <row r="7564" spans="1:4" x14ac:dyDescent="0.3">
      <c r="A7564" s="34">
        <v>54426</v>
      </c>
      <c r="B7564" s="35">
        <v>1</v>
      </c>
      <c r="C7564" s="35">
        <v>0</v>
      </c>
      <c r="D7564" s="2">
        <f t="shared" si="118"/>
        <v>1</v>
      </c>
    </row>
    <row r="7565" spans="1:4" x14ac:dyDescent="0.3">
      <c r="A7565" s="34">
        <v>54431</v>
      </c>
      <c r="B7565" s="35">
        <v>1</v>
      </c>
      <c r="C7565" s="35">
        <v>0</v>
      </c>
      <c r="D7565" s="2">
        <f t="shared" si="118"/>
        <v>1</v>
      </c>
    </row>
    <row r="7566" spans="1:4" x14ac:dyDescent="0.3">
      <c r="A7566" s="34">
        <v>54433</v>
      </c>
      <c r="B7566" s="35">
        <v>1</v>
      </c>
      <c r="C7566" s="35">
        <v>0</v>
      </c>
      <c r="D7566" s="2">
        <f t="shared" si="118"/>
        <v>1</v>
      </c>
    </row>
    <row r="7567" spans="1:4" x14ac:dyDescent="0.3">
      <c r="A7567" s="34">
        <v>54438</v>
      </c>
      <c r="B7567" s="35">
        <v>1</v>
      </c>
      <c r="C7567" s="35">
        <v>1</v>
      </c>
      <c r="D7567" s="2">
        <f t="shared" si="118"/>
        <v>2</v>
      </c>
    </row>
    <row r="7568" spans="1:4" x14ac:dyDescent="0.3">
      <c r="A7568" s="34">
        <v>54439</v>
      </c>
      <c r="B7568" s="35">
        <v>1</v>
      </c>
      <c r="C7568" s="35">
        <v>0</v>
      </c>
      <c r="D7568" s="2">
        <f t="shared" si="118"/>
        <v>1</v>
      </c>
    </row>
    <row r="7569" spans="1:4" x14ac:dyDescent="0.3">
      <c r="A7569" s="34">
        <v>54440</v>
      </c>
      <c r="B7569" s="35">
        <v>1</v>
      </c>
      <c r="C7569" s="35">
        <v>0</v>
      </c>
      <c r="D7569" s="2">
        <f t="shared" si="118"/>
        <v>1</v>
      </c>
    </row>
    <row r="7570" spans="1:4" x14ac:dyDescent="0.3">
      <c r="A7570" s="34">
        <v>54446</v>
      </c>
      <c r="B7570" s="35">
        <v>1</v>
      </c>
      <c r="C7570" s="35">
        <v>0</v>
      </c>
      <c r="D7570" s="2">
        <f t="shared" si="118"/>
        <v>1</v>
      </c>
    </row>
    <row r="7571" spans="1:4" x14ac:dyDescent="0.3">
      <c r="A7571" s="34">
        <v>54447</v>
      </c>
      <c r="B7571" s="35">
        <v>1</v>
      </c>
      <c r="C7571" s="35">
        <v>0</v>
      </c>
      <c r="D7571" s="2">
        <f t="shared" si="118"/>
        <v>1</v>
      </c>
    </row>
    <row r="7572" spans="1:4" x14ac:dyDescent="0.3">
      <c r="A7572" s="34">
        <v>54451</v>
      </c>
      <c r="B7572" s="35">
        <v>1</v>
      </c>
      <c r="C7572" s="35">
        <v>0</v>
      </c>
      <c r="D7572" s="2">
        <f t="shared" si="118"/>
        <v>1</v>
      </c>
    </row>
    <row r="7573" spans="1:4" x14ac:dyDescent="0.3">
      <c r="A7573" s="34">
        <v>54452</v>
      </c>
      <c r="B7573" s="35">
        <v>2</v>
      </c>
      <c r="C7573" s="35">
        <v>0</v>
      </c>
      <c r="D7573" s="2">
        <f t="shared" si="118"/>
        <v>2</v>
      </c>
    </row>
    <row r="7574" spans="1:4" x14ac:dyDescent="0.3">
      <c r="A7574" s="34">
        <v>54453</v>
      </c>
      <c r="B7574" s="35">
        <v>1</v>
      </c>
      <c r="C7574" s="35">
        <v>0</v>
      </c>
      <c r="D7574" s="2">
        <f t="shared" si="118"/>
        <v>1</v>
      </c>
    </row>
    <row r="7575" spans="1:4" x14ac:dyDescent="0.3">
      <c r="A7575" s="34">
        <v>54454</v>
      </c>
      <c r="B7575" s="35">
        <v>1</v>
      </c>
      <c r="C7575" s="35">
        <v>1</v>
      </c>
      <c r="D7575" s="2">
        <f t="shared" si="118"/>
        <v>2</v>
      </c>
    </row>
    <row r="7576" spans="1:4" x14ac:dyDescent="0.3">
      <c r="A7576" s="34">
        <v>54456</v>
      </c>
      <c r="B7576" s="35">
        <v>1</v>
      </c>
      <c r="C7576" s="35">
        <v>0</v>
      </c>
      <c r="D7576" s="2">
        <f t="shared" si="118"/>
        <v>1</v>
      </c>
    </row>
    <row r="7577" spans="1:4" x14ac:dyDescent="0.3">
      <c r="A7577" s="34">
        <v>54457</v>
      </c>
      <c r="B7577" s="35">
        <v>1</v>
      </c>
      <c r="C7577" s="35">
        <v>0</v>
      </c>
      <c r="D7577" s="2">
        <f t="shared" si="118"/>
        <v>1</v>
      </c>
    </row>
    <row r="7578" spans="1:4" x14ac:dyDescent="0.3">
      <c r="A7578" s="34">
        <v>54462</v>
      </c>
      <c r="B7578" s="35">
        <v>1</v>
      </c>
      <c r="C7578" s="35">
        <v>1</v>
      </c>
      <c r="D7578" s="2">
        <f t="shared" si="118"/>
        <v>2</v>
      </c>
    </row>
    <row r="7579" spans="1:4" x14ac:dyDescent="0.3">
      <c r="A7579" s="34">
        <v>54464</v>
      </c>
      <c r="B7579" s="35">
        <v>1</v>
      </c>
      <c r="C7579" s="35">
        <v>0</v>
      </c>
      <c r="D7579" s="2">
        <f t="shared" si="118"/>
        <v>1</v>
      </c>
    </row>
    <row r="7580" spans="1:4" x14ac:dyDescent="0.3">
      <c r="A7580" s="34">
        <v>54469</v>
      </c>
      <c r="B7580" s="35">
        <v>1</v>
      </c>
      <c r="C7580" s="35">
        <v>0</v>
      </c>
      <c r="D7580" s="2">
        <f t="shared" si="118"/>
        <v>1</v>
      </c>
    </row>
    <row r="7581" spans="1:4" x14ac:dyDescent="0.3">
      <c r="A7581" s="34">
        <v>54471</v>
      </c>
      <c r="B7581" s="35">
        <v>2</v>
      </c>
      <c r="C7581" s="35">
        <v>1</v>
      </c>
      <c r="D7581" s="2">
        <f t="shared" si="118"/>
        <v>3</v>
      </c>
    </row>
    <row r="7582" spans="1:4" x14ac:dyDescent="0.3">
      <c r="A7582" s="34">
        <v>54472</v>
      </c>
      <c r="B7582" s="35">
        <v>1</v>
      </c>
      <c r="C7582" s="35">
        <v>0</v>
      </c>
      <c r="D7582" s="2">
        <f t="shared" si="118"/>
        <v>1</v>
      </c>
    </row>
    <row r="7583" spans="1:4" x14ac:dyDescent="0.3">
      <c r="A7583" s="34">
        <v>54473</v>
      </c>
      <c r="B7583" s="35">
        <v>1</v>
      </c>
      <c r="C7583" s="35">
        <v>0</v>
      </c>
      <c r="D7583" s="2">
        <f t="shared" si="118"/>
        <v>1</v>
      </c>
    </row>
    <row r="7584" spans="1:4" x14ac:dyDescent="0.3">
      <c r="A7584" s="34">
        <v>54474</v>
      </c>
      <c r="B7584" s="35">
        <v>1</v>
      </c>
      <c r="C7584" s="35">
        <v>0</v>
      </c>
      <c r="D7584" s="2">
        <f t="shared" si="118"/>
        <v>1</v>
      </c>
    </row>
    <row r="7585" spans="1:4" x14ac:dyDescent="0.3">
      <c r="A7585" s="34">
        <v>54478</v>
      </c>
      <c r="B7585" s="35">
        <v>1</v>
      </c>
      <c r="C7585" s="35">
        <v>1</v>
      </c>
      <c r="D7585" s="2">
        <f t="shared" si="118"/>
        <v>2</v>
      </c>
    </row>
    <row r="7586" spans="1:4" x14ac:dyDescent="0.3">
      <c r="A7586" s="34">
        <v>54496</v>
      </c>
      <c r="B7586" s="35">
        <v>1</v>
      </c>
      <c r="C7586" s="35">
        <v>0</v>
      </c>
      <c r="D7586" s="2">
        <f t="shared" si="118"/>
        <v>1</v>
      </c>
    </row>
    <row r="7587" spans="1:4" x14ac:dyDescent="0.3">
      <c r="A7587" s="34">
        <v>54501</v>
      </c>
      <c r="B7587" s="35">
        <v>1</v>
      </c>
      <c r="C7587" s="35">
        <v>1</v>
      </c>
      <c r="D7587" s="2">
        <f t="shared" si="118"/>
        <v>2</v>
      </c>
    </row>
    <row r="7588" spans="1:4" x14ac:dyDescent="0.3">
      <c r="A7588" s="34">
        <v>54502</v>
      </c>
      <c r="B7588" s="35">
        <v>1</v>
      </c>
      <c r="C7588" s="35">
        <v>0</v>
      </c>
      <c r="D7588" s="2">
        <f t="shared" si="118"/>
        <v>1</v>
      </c>
    </row>
    <row r="7589" spans="1:4" x14ac:dyDescent="0.3">
      <c r="A7589" s="34">
        <v>54505</v>
      </c>
      <c r="B7589" s="35">
        <v>1</v>
      </c>
      <c r="C7589" s="35">
        <v>0</v>
      </c>
      <c r="D7589" s="2">
        <f t="shared" si="118"/>
        <v>1</v>
      </c>
    </row>
    <row r="7590" spans="1:4" x14ac:dyDescent="0.3">
      <c r="A7590" s="34">
        <v>54509</v>
      </c>
      <c r="B7590" s="35">
        <v>1</v>
      </c>
      <c r="C7590" s="35">
        <v>0</v>
      </c>
      <c r="D7590" s="2">
        <f t="shared" si="118"/>
        <v>1</v>
      </c>
    </row>
    <row r="7591" spans="1:4" x14ac:dyDescent="0.3">
      <c r="A7591" s="34">
        <v>54527</v>
      </c>
      <c r="B7591" s="35">
        <v>1</v>
      </c>
      <c r="C7591" s="35">
        <v>0</v>
      </c>
      <c r="D7591" s="2">
        <f t="shared" si="118"/>
        <v>1</v>
      </c>
    </row>
    <row r="7592" spans="1:4" x14ac:dyDescent="0.3">
      <c r="A7592" s="34">
        <v>54528</v>
      </c>
      <c r="B7592" s="35">
        <v>1</v>
      </c>
      <c r="C7592" s="35">
        <v>1</v>
      </c>
      <c r="D7592" s="2">
        <f t="shared" si="118"/>
        <v>2</v>
      </c>
    </row>
    <row r="7593" spans="1:4" x14ac:dyDescent="0.3">
      <c r="A7593" s="34">
        <v>54552</v>
      </c>
      <c r="B7593" s="35">
        <v>1</v>
      </c>
      <c r="C7593" s="35">
        <v>0</v>
      </c>
      <c r="D7593" s="2">
        <f t="shared" si="118"/>
        <v>1</v>
      </c>
    </row>
    <row r="7594" spans="1:4" x14ac:dyDescent="0.3">
      <c r="A7594" s="34">
        <v>54559</v>
      </c>
      <c r="B7594" s="35">
        <v>1</v>
      </c>
      <c r="C7594" s="35">
        <v>0</v>
      </c>
      <c r="D7594" s="2">
        <f t="shared" si="118"/>
        <v>1</v>
      </c>
    </row>
    <row r="7595" spans="1:4" x14ac:dyDescent="0.3">
      <c r="A7595" s="34">
        <v>54560</v>
      </c>
      <c r="B7595" s="35">
        <v>1</v>
      </c>
      <c r="C7595" s="35">
        <v>0</v>
      </c>
      <c r="D7595" s="2">
        <f t="shared" si="118"/>
        <v>1</v>
      </c>
    </row>
    <row r="7596" spans="1:4" x14ac:dyDescent="0.3">
      <c r="A7596" s="34">
        <v>54562</v>
      </c>
      <c r="B7596" s="35">
        <v>1</v>
      </c>
      <c r="C7596" s="35">
        <v>0</v>
      </c>
      <c r="D7596" s="2">
        <f t="shared" si="118"/>
        <v>1</v>
      </c>
    </row>
    <row r="7597" spans="1:4" x14ac:dyDescent="0.3">
      <c r="A7597" s="34">
        <v>54563</v>
      </c>
      <c r="B7597" s="35">
        <v>1</v>
      </c>
      <c r="C7597" s="35">
        <v>0</v>
      </c>
      <c r="D7597" s="2">
        <f t="shared" si="118"/>
        <v>1</v>
      </c>
    </row>
    <row r="7598" spans="1:4" x14ac:dyDescent="0.3">
      <c r="A7598" s="34">
        <v>54565</v>
      </c>
      <c r="B7598" s="35">
        <v>1</v>
      </c>
      <c r="C7598" s="35">
        <v>0</v>
      </c>
      <c r="D7598" s="2">
        <f t="shared" si="118"/>
        <v>1</v>
      </c>
    </row>
    <row r="7599" spans="1:4" x14ac:dyDescent="0.3">
      <c r="A7599" s="34">
        <v>54569</v>
      </c>
      <c r="B7599" s="35">
        <v>1</v>
      </c>
      <c r="C7599" s="35">
        <v>0</v>
      </c>
      <c r="D7599" s="2">
        <f t="shared" si="118"/>
        <v>1</v>
      </c>
    </row>
    <row r="7600" spans="1:4" x14ac:dyDescent="0.3">
      <c r="A7600" s="34">
        <v>54570</v>
      </c>
      <c r="B7600" s="35">
        <v>1</v>
      </c>
      <c r="C7600" s="35">
        <v>0</v>
      </c>
      <c r="D7600" s="2">
        <f t="shared" si="118"/>
        <v>1</v>
      </c>
    </row>
    <row r="7601" spans="1:4" x14ac:dyDescent="0.3">
      <c r="A7601" s="34">
        <v>54571</v>
      </c>
      <c r="B7601" s="35">
        <v>1</v>
      </c>
      <c r="C7601" s="35">
        <v>0</v>
      </c>
      <c r="D7601" s="2">
        <f t="shared" si="118"/>
        <v>1</v>
      </c>
    </row>
    <row r="7602" spans="1:4" x14ac:dyDescent="0.3">
      <c r="A7602" s="34">
        <v>54574</v>
      </c>
      <c r="B7602" s="35">
        <v>1</v>
      </c>
      <c r="C7602" s="35">
        <v>0</v>
      </c>
      <c r="D7602" s="2">
        <f t="shared" si="118"/>
        <v>1</v>
      </c>
    </row>
    <row r="7603" spans="1:4" x14ac:dyDescent="0.3">
      <c r="A7603" s="34">
        <v>54575</v>
      </c>
      <c r="B7603" s="35">
        <v>1</v>
      </c>
      <c r="C7603" s="35">
        <v>1</v>
      </c>
      <c r="D7603" s="2">
        <f t="shared" si="118"/>
        <v>2</v>
      </c>
    </row>
    <row r="7604" spans="1:4" x14ac:dyDescent="0.3">
      <c r="A7604" s="34">
        <v>54665</v>
      </c>
      <c r="B7604" s="35">
        <v>1</v>
      </c>
      <c r="C7604" s="35">
        <v>0</v>
      </c>
      <c r="D7604" s="2">
        <f t="shared" si="118"/>
        <v>1</v>
      </c>
    </row>
    <row r="7605" spans="1:4" x14ac:dyDescent="0.3">
      <c r="A7605" s="34">
        <v>54666</v>
      </c>
      <c r="B7605" s="35">
        <v>1</v>
      </c>
      <c r="C7605" s="35">
        <v>0</v>
      </c>
      <c r="D7605" s="2">
        <f t="shared" si="118"/>
        <v>1</v>
      </c>
    </row>
    <row r="7606" spans="1:4" x14ac:dyDescent="0.3">
      <c r="A7606" s="34">
        <v>54667</v>
      </c>
      <c r="B7606" s="35">
        <v>1</v>
      </c>
      <c r="C7606" s="35">
        <v>0</v>
      </c>
      <c r="D7606" s="2">
        <f t="shared" si="118"/>
        <v>1</v>
      </c>
    </row>
    <row r="7607" spans="1:4" x14ac:dyDescent="0.3">
      <c r="A7607" s="34">
        <v>54668</v>
      </c>
      <c r="B7607" s="35">
        <v>1</v>
      </c>
      <c r="C7607" s="35">
        <v>0</v>
      </c>
      <c r="D7607" s="2">
        <f t="shared" si="118"/>
        <v>1</v>
      </c>
    </row>
    <row r="7608" spans="1:4" x14ac:dyDescent="0.3">
      <c r="A7608" s="34">
        <v>54669</v>
      </c>
      <c r="B7608" s="35">
        <v>1</v>
      </c>
      <c r="C7608" s="35">
        <v>0</v>
      </c>
      <c r="D7608" s="2">
        <f t="shared" si="118"/>
        <v>1</v>
      </c>
    </row>
    <row r="7609" spans="1:4" x14ac:dyDescent="0.3">
      <c r="A7609" s="34">
        <v>54672</v>
      </c>
      <c r="B7609" s="35">
        <v>1</v>
      </c>
      <c r="C7609" s="35">
        <v>0</v>
      </c>
      <c r="D7609" s="2">
        <f t="shared" si="118"/>
        <v>1</v>
      </c>
    </row>
    <row r="7610" spans="1:4" x14ac:dyDescent="0.3">
      <c r="A7610" s="34">
        <v>54673</v>
      </c>
      <c r="B7610" s="35">
        <v>1</v>
      </c>
      <c r="C7610" s="35">
        <v>0</v>
      </c>
      <c r="D7610" s="2">
        <f t="shared" si="118"/>
        <v>1</v>
      </c>
    </row>
    <row r="7611" spans="1:4" x14ac:dyDescent="0.3">
      <c r="A7611" s="34">
        <v>54676</v>
      </c>
      <c r="B7611" s="35">
        <v>1</v>
      </c>
      <c r="C7611" s="35">
        <v>1</v>
      </c>
      <c r="D7611" s="2">
        <f t="shared" si="118"/>
        <v>2</v>
      </c>
    </row>
    <row r="7612" spans="1:4" x14ac:dyDescent="0.3">
      <c r="A7612" s="34">
        <v>54677</v>
      </c>
      <c r="B7612" s="35">
        <v>1</v>
      </c>
      <c r="C7612" s="35">
        <v>0</v>
      </c>
      <c r="D7612" s="2">
        <f t="shared" si="118"/>
        <v>1</v>
      </c>
    </row>
    <row r="7613" spans="1:4" x14ac:dyDescent="0.3">
      <c r="A7613" s="34">
        <v>54687</v>
      </c>
      <c r="B7613" s="35">
        <v>1</v>
      </c>
      <c r="C7613" s="35">
        <v>0</v>
      </c>
      <c r="D7613" s="2">
        <f t="shared" si="118"/>
        <v>1</v>
      </c>
    </row>
    <row r="7614" spans="1:4" x14ac:dyDescent="0.3">
      <c r="A7614" s="34">
        <v>54689</v>
      </c>
      <c r="B7614" s="35">
        <v>1</v>
      </c>
      <c r="C7614" s="35">
        <v>0</v>
      </c>
      <c r="D7614" s="2">
        <f t="shared" si="118"/>
        <v>1</v>
      </c>
    </row>
    <row r="7615" spans="1:4" x14ac:dyDescent="0.3">
      <c r="A7615" s="34">
        <v>54692</v>
      </c>
      <c r="B7615" s="35">
        <v>1</v>
      </c>
      <c r="C7615" s="35">
        <v>0</v>
      </c>
      <c r="D7615" s="2">
        <f t="shared" si="118"/>
        <v>1</v>
      </c>
    </row>
    <row r="7616" spans="1:4" x14ac:dyDescent="0.3">
      <c r="A7616" s="34">
        <v>54694</v>
      </c>
      <c r="B7616" s="35">
        <v>1</v>
      </c>
      <c r="C7616" s="35">
        <v>0</v>
      </c>
      <c r="D7616" s="2">
        <f t="shared" si="118"/>
        <v>1</v>
      </c>
    </row>
    <row r="7617" spans="1:4" x14ac:dyDescent="0.3">
      <c r="A7617" s="34">
        <v>54699</v>
      </c>
      <c r="B7617" s="35">
        <v>1</v>
      </c>
      <c r="C7617" s="35">
        <v>0</v>
      </c>
      <c r="D7617" s="2">
        <f t="shared" si="118"/>
        <v>1</v>
      </c>
    </row>
    <row r="7618" spans="1:4" x14ac:dyDescent="0.3">
      <c r="A7618" s="34">
        <v>54702</v>
      </c>
      <c r="B7618" s="35">
        <v>1</v>
      </c>
      <c r="C7618" s="35">
        <v>0</v>
      </c>
      <c r="D7618" s="2">
        <f t="shared" si="118"/>
        <v>1</v>
      </c>
    </row>
    <row r="7619" spans="1:4" x14ac:dyDescent="0.3">
      <c r="A7619" s="34">
        <v>54705</v>
      </c>
      <c r="B7619" s="35">
        <v>1</v>
      </c>
      <c r="C7619" s="35">
        <v>0</v>
      </c>
      <c r="D7619" s="2">
        <f t="shared" ref="D7619:D7682" si="119">B7619+C7619</f>
        <v>1</v>
      </c>
    </row>
    <row r="7620" spans="1:4" x14ac:dyDescent="0.3">
      <c r="A7620" s="34">
        <v>54706</v>
      </c>
      <c r="B7620" s="35">
        <v>1</v>
      </c>
      <c r="C7620" s="35">
        <v>0</v>
      </c>
      <c r="D7620" s="2">
        <f t="shared" si="119"/>
        <v>1</v>
      </c>
    </row>
    <row r="7621" spans="1:4" x14ac:dyDescent="0.3">
      <c r="A7621" s="34">
        <v>54709</v>
      </c>
      <c r="B7621" s="35">
        <v>1</v>
      </c>
      <c r="C7621" s="35">
        <v>1</v>
      </c>
      <c r="D7621" s="2">
        <f t="shared" si="119"/>
        <v>2</v>
      </c>
    </row>
    <row r="7622" spans="1:4" x14ac:dyDescent="0.3">
      <c r="A7622" s="34">
        <v>54711</v>
      </c>
      <c r="B7622" s="35">
        <v>1</v>
      </c>
      <c r="C7622" s="35">
        <v>1</v>
      </c>
      <c r="D7622" s="2">
        <f t="shared" si="119"/>
        <v>2</v>
      </c>
    </row>
    <row r="7623" spans="1:4" x14ac:dyDescent="0.3">
      <c r="A7623" s="34">
        <v>54715</v>
      </c>
      <c r="B7623" s="35">
        <v>1</v>
      </c>
      <c r="C7623" s="35">
        <v>0</v>
      </c>
      <c r="D7623" s="2">
        <f t="shared" si="119"/>
        <v>1</v>
      </c>
    </row>
    <row r="7624" spans="1:4" x14ac:dyDescent="0.3">
      <c r="A7624" s="34">
        <v>54716</v>
      </c>
      <c r="B7624" s="35">
        <v>1</v>
      </c>
      <c r="C7624" s="35">
        <v>1</v>
      </c>
      <c r="D7624" s="2">
        <f t="shared" si="119"/>
        <v>2</v>
      </c>
    </row>
    <row r="7625" spans="1:4" x14ac:dyDescent="0.3">
      <c r="A7625" s="34">
        <v>54719</v>
      </c>
      <c r="B7625" s="35">
        <v>1</v>
      </c>
      <c r="C7625" s="35">
        <v>0</v>
      </c>
      <c r="D7625" s="2">
        <f t="shared" si="119"/>
        <v>1</v>
      </c>
    </row>
    <row r="7626" spans="1:4" x14ac:dyDescent="0.3">
      <c r="A7626" s="34">
        <v>54817</v>
      </c>
      <c r="B7626" s="35">
        <v>1</v>
      </c>
      <c r="C7626" s="35">
        <v>0</v>
      </c>
      <c r="D7626" s="2">
        <f t="shared" si="119"/>
        <v>1</v>
      </c>
    </row>
    <row r="7627" spans="1:4" x14ac:dyDescent="0.3">
      <c r="A7627" s="34">
        <v>54818</v>
      </c>
      <c r="B7627" s="35">
        <v>1</v>
      </c>
      <c r="C7627" s="35">
        <v>0</v>
      </c>
      <c r="D7627" s="2">
        <f t="shared" si="119"/>
        <v>1</v>
      </c>
    </row>
    <row r="7628" spans="1:4" x14ac:dyDescent="0.3">
      <c r="A7628" s="34">
        <v>54819</v>
      </c>
      <c r="B7628" s="35">
        <v>1</v>
      </c>
      <c r="C7628" s="35">
        <v>0</v>
      </c>
      <c r="D7628" s="2">
        <f t="shared" si="119"/>
        <v>1</v>
      </c>
    </row>
    <row r="7629" spans="1:4" x14ac:dyDescent="0.3">
      <c r="A7629" s="34">
        <v>54821</v>
      </c>
      <c r="B7629" s="35">
        <v>1</v>
      </c>
      <c r="C7629" s="35">
        <v>1</v>
      </c>
      <c r="D7629" s="2">
        <f t="shared" si="119"/>
        <v>2</v>
      </c>
    </row>
    <row r="7630" spans="1:4" x14ac:dyDescent="0.3">
      <c r="A7630" s="34">
        <v>54824</v>
      </c>
      <c r="B7630" s="35">
        <v>1</v>
      </c>
      <c r="C7630" s="35">
        <v>0</v>
      </c>
      <c r="D7630" s="2">
        <f t="shared" si="119"/>
        <v>1</v>
      </c>
    </row>
    <row r="7631" spans="1:4" x14ac:dyDescent="0.3">
      <c r="A7631" s="34">
        <v>54827</v>
      </c>
      <c r="B7631" s="35">
        <v>1</v>
      </c>
      <c r="C7631" s="35">
        <v>0</v>
      </c>
      <c r="D7631" s="2">
        <f t="shared" si="119"/>
        <v>1</v>
      </c>
    </row>
    <row r="7632" spans="1:4" x14ac:dyDescent="0.3">
      <c r="A7632" s="34">
        <v>54849</v>
      </c>
      <c r="B7632" s="35">
        <v>1</v>
      </c>
      <c r="C7632" s="35">
        <v>0</v>
      </c>
      <c r="D7632" s="2">
        <f t="shared" si="119"/>
        <v>1</v>
      </c>
    </row>
    <row r="7633" spans="1:4" x14ac:dyDescent="0.3">
      <c r="A7633" s="34">
        <v>54857</v>
      </c>
      <c r="B7633" s="35">
        <v>1</v>
      </c>
      <c r="C7633" s="35">
        <v>1</v>
      </c>
      <c r="D7633" s="2">
        <f t="shared" si="119"/>
        <v>2</v>
      </c>
    </row>
    <row r="7634" spans="1:4" x14ac:dyDescent="0.3">
      <c r="A7634" s="34">
        <v>54859</v>
      </c>
      <c r="B7634" s="35">
        <v>1</v>
      </c>
      <c r="C7634" s="35">
        <v>0</v>
      </c>
      <c r="D7634" s="2">
        <f t="shared" si="119"/>
        <v>1</v>
      </c>
    </row>
    <row r="7635" spans="1:4" x14ac:dyDescent="0.3">
      <c r="A7635" s="34">
        <v>54861</v>
      </c>
      <c r="B7635" s="35">
        <v>1</v>
      </c>
      <c r="C7635" s="35">
        <v>0</v>
      </c>
      <c r="D7635" s="2">
        <f t="shared" si="119"/>
        <v>1</v>
      </c>
    </row>
    <row r="7636" spans="1:4" x14ac:dyDescent="0.3">
      <c r="A7636" s="34">
        <v>54862</v>
      </c>
      <c r="B7636" s="35">
        <v>1</v>
      </c>
      <c r="C7636" s="35">
        <v>0</v>
      </c>
      <c r="D7636" s="2">
        <f t="shared" si="119"/>
        <v>1</v>
      </c>
    </row>
    <row r="7637" spans="1:4" x14ac:dyDescent="0.3">
      <c r="A7637" s="34">
        <v>54863</v>
      </c>
      <c r="B7637" s="35">
        <v>1</v>
      </c>
      <c r="C7637" s="35">
        <v>0</v>
      </c>
      <c r="D7637" s="2">
        <f t="shared" si="119"/>
        <v>1</v>
      </c>
    </row>
    <row r="7638" spans="1:4" x14ac:dyDescent="0.3">
      <c r="A7638" s="34">
        <v>54864</v>
      </c>
      <c r="B7638" s="35">
        <v>1</v>
      </c>
      <c r="C7638" s="35">
        <v>0</v>
      </c>
      <c r="D7638" s="2">
        <f t="shared" si="119"/>
        <v>1</v>
      </c>
    </row>
    <row r="7639" spans="1:4" x14ac:dyDescent="0.3">
      <c r="A7639" s="34">
        <v>54869</v>
      </c>
      <c r="B7639" s="35">
        <v>1</v>
      </c>
      <c r="C7639" s="35">
        <v>0</v>
      </c>
      <c r="D7639" s="2">
        <f t="shared" si="119"/>
        <v>1</v>
      </c>
    </row>
    <row r="7640" spans="1:4" x14ac:dyDescent="0.3">
      <c r="A7640" s="34">
        <v>54876</v>
      </c>
      <c r="B7640" s="35">
        <v>1</v>
      </c>
      <c r="C7640" s="35">
        <v>0</v>
      </c>
      <c r="D7640" s="2">
        <f t="shared" si="119"/>
        <v>1</v>
      </c>
    </row>
    <row r="7641" spans="1:4" x14ac:dyDescent="0.3">
      <c r="A7641" s="34">
        <v>54880</v>
      </c>
      <c r="B7641" s="35">
        <v>1</v>
      </c>
      <c r="C7641" s="35">
        <v>1</v>
      </c>
      <c r="D7641" s="2">
        <f t="shared" si="119"/>
        <v>2</v>
      </c>
    </row>
    <row r="7642" spans="1:4" x14ac:dyDescent="0.3">
      <c r="A7642" s="34">
        <v>54881</v>
      </c>
      <c r="B7642" s="35">
        <v>1</v>
      </c>
      <c r="C7642" s="35">
        <v>0</v>
      </c>
      <c r="D7642" s="2">
        <f t="shared" si="119"/>
        <v>1</v>
      </c>
    </row>
    <row r="7643" spans="1:4" x14ac:dyDescent="0.3">
      <c r="A7643" s="34">
        <v>54885</v>
      </c>
      <c r="B7643" s="35">
        <v>1</v>
      </c>
      <c r="C7643" s="35">
        <v>0</v>
      </c>
      <c r="D7643" s="2">
        <f t="shared" si="119"/>
        <v>1</v>
      </c>
    </row>
    <row r="7644" spans="1:4" x14ac:dyDescent="0.3">
      <c r="A7644" s="34">
        <v>54887</v>
      </c>
      <c r="B7644" s="35">
        <v>1</v>
      </c>
      <c r="C7644" s="35">
        <v>0</v>
      </c>
      <c r="D7644" s="2">
        <f t="shared" si="119"/>
        <v>1</v>
      </c>
    </row>
    <row r="7645" spans="1:4" x14ac:dyDescent="0.3">
      <c r="A7645" s="34">
        <v>54891</v>
      </c>
      <c r="B7645" s="35">
        <v>1</v>
      </c>
      <c r="C7645" s="35">
        <v>1</v>
      </c>
      <c r="D7645" s="2">
        <f t="shared" si="119"/>
        <v>2</v>
      </c>
    </row>
    <row r="7646" spans="1:4" x14ac:dyDescent="0.3">
      <c r="A7646" s="34">
        <v>54893</v>
      </c>
      <c r="B7646" s="35">
        <v>1</v>
      </c>
      <c r="C7646" s="35">
        <v>0</v>
      </c>
      <c r="D7646" s="2">
        <f t="shared" si="119"/>
        <v>1</v>
      </c>
    </row>
    <row r="7647" spans="1:4" x14ac:dyDescent="0.3">
      <c r="A7647" s="34">
        <v>54896</v>
      </c>
      <c r="B7647" s="35">
        <v>2</v>
      </c>
      <c r="C7647" s="35">
        <v>1</v>
      </c>
      <c r="D7647" s="2">
        <f t="shared" si="119"/>
        <v>3</v>
      </c>
    </row>
    <row r="7648" spans="1:4" x14ac:dyDescent="0.3">
      <c r="A7648" s="34">
        <v>54897</v>
      </c>
      <c r="B7648" s="35">
        <v>1</v>
      </c>
      <c r="C7648" s="35">
        <v>0</v>
      </c>
      <c r="D7648" s="2">
        <f t="shared" si="119"/>
        <v>1</v>
      </c>
    </row>
    <row r="7649" spans="1:4" x14ac:dyDescent="0.3">
      <c r="A7649" s="34">
        <v>54899</v>
      </c>
      <c r="B7649" s="35">
        <v>1</v>
      </c>
      <c r="C7649" s="35">
        <v>0</v>
      </c>
      <c r="D7649" s="2">
        <f t="shared" si="119"/>
        <v>1</v>
      </c>
    </row>
    <row r="7650" spans="1:4" x14ac:dyDescent="0.3">
      <c r="A7650" s="34">
        <v>54901</v>
      </c>
      <c r="B7650" s="35">
        <v>1</v>
      </c>
      <c r="C7650" s="35">
        <v>0</v>
      </c>
      <c r="D7650" s="2">
        <f t="shared" si="119"/>
        <v>1</v>
      </c>
    </row>
    <row r="7651" spans="1:4" x14ac:dyDescent="0.3">
      <c r="A7651" s="34">
        <v>54905</v>
      </c>
      <c r="B7651" s="35">
        <v>1</v>
      </c>
      <c r="C7651" s="35">
        <v>0</v>
      </c>
      <c r="D7651" s="2">
        <f t="shared" si="119"/>
        <v>1</v>
      </c>
    </row>
    <row r="7652" spans="1:4" x14ac:dyDescent="0.3">
      <c r="A7652" s="34">
        <v>54911</v>
      </c>
      <c r="B7652" s="35">
        <v>1</v>
      </c>
      <c r="C7652" s="35">
        <v>1</v>
      </c>
      <c r="D7652" s="2">
        <f t="shared" si="119"/>
        <v>2</v>
      </c>
    </row>
    <row r="7653" spans="1:4" x14ac:dyDescent="0.3">
      <c r="A7653" s="34">
        <v>54941</v>
      </c>
      <c r="B7653" s="35">
        <v>2</v>
      </c>
      <c r="C7653" s="35">
        <v>1</v>
      </c>
      <c r="D7653" s="2">
        <f t="shared" si="119"/>
        <v>3</v>
      </c>
    </row>
    <row r="7654" spans="1:4" x14ac:dyDescent="0.3">
      <c r="A7654" s="34">
        <v>54951</v>
      </c>
      <c r="B7654" s="35">
        <v>1</v>
      </c>
      <c r="C7654" s="35">
        <v>0</v>
      </c>
      <c r="D7654" s="2">
        <f t="shared" si="119"/>
        <v>1</v>
      </c>
    </row>
    <row r="7655" spans="1:4" x14ac:dyDescent="0.3">
      <c r="A7655" s="34">
        <v>55026</v>
      </c>
      <c r="B7655" s="35">
        <v>2</v>
      </c>
      <c r="C7655" s="35">
        <v>2</v>
      </c>
      <c r="D7655" s="2">
        <f t="shared" si="119"/>
        <v>4</v>
      </c>
    </row>
    <row r="7656" spans="1:4" x14ac:dyDescent="0.3">
      <c r="A7656" s="34">
        <v>55027</v>
      </c>
      <c r="B7656" s="35">
        <v>1</v>
      </c>
      <c r="C7656" s="35">
        <v>0</v>
      </c>
      <c r="D7656" s="2">
        <f t="shared" si="119"/>
        <v>1</v>
      </c>
    </row>
    <row r="7657" spans="1:4" x14ac:dyDescent="0.3">
      <c r="A7657" s="34">
        <v>55029</v>
      </c>
      <c r="B7657" s="35">
        <v>1</v>
      </c>
      <c r="C7657" s="35">
        <v>0</v>
      </c>
      <c r="D7657" s="2">
        <f t="shared" si="119"/>
        <v>1</v>
      </c>
    </row>
    <row r="7658" spans="1:4" x14ac:dyDescent="0.3">
      <c r="A7658" s="34">
        <v>55030</v>
      </c>
      <c r="B7658" s="35">
        <v>1</v>
      </c>
      <c r="C7658" s="35">
        <v>0</v>
      </c>
      <c r="D7658" s="2">
        <f t="shared" si="119"/>
        <v>1</v>
      </c>
    </row>
    <row r="7659" spans="1:4" x14ac:dyDescent="0.3">
      <c r="A7659" s="34">
        <v>55044</v>
      </c>
      <c r="B7659" s="35">
        <v>1</v>
      </c>
      <c r="C7659" s="35">
        <v>0</v>
      </c>
      <c r="D7659" s="2">
        <f t="shared" si="119"/>
        <v>1</v>
      </c>
    </row>
    <row r="7660" spans="1:4" x14ac:dyDescent="0.3">
      <c r="A7660" s="34">
        <v>55051</v>
      </c>
      <c r="B7660" s="35">
        <v>1</v>
      </c>
      <c r="C7660" s="35">
        <v>0</v>
      </c>
      <c r="D7660" s="2">
        <f t="shared" si="119"/>
        <v>1</v>
      </c>
    </row>
    <row r="7661" spans="1:4" x14ac:dyDescent="0.3">
      <c r="A7661" s="34">
        <v>55052</v>
      </c>
      <c r="B7661" s="35">
        <v>1</v>
      </c>
      <c r="C7661" s="35">
        <v>0</v>
      </c>
      <c r="D7661" s="2">
        <f t="shared" si="119"/>
        <v>1</v>
      </c>
    </row>
    <row r="7662" spans="1:4" x14ac:dyDescent="0.3">
      <c r="A7662" s="34">
        <v>55054</v>
      </c>
      <c r="B7662" s="35">
        <v>1</v>
      </c>
      <c r="C7662" s="35">
        <v>0</v>
      </c>
      <c r="D7662" s="2">
        <f t="shared" si="119"/>
        <v>1</v>
      </c>
    </row>
    <row r="7663" spans="1:4" x14ac:dyDescent="0.3">
      <c r="A7663" s="34">
        <v>55055</v>
      </c>
      <c r="B7663" s="35">
        <v>1</v>
      </c>
      <c r="C7663" s="35">
        <v>0</v>
      </c>
      <c r="D7663" s="2">
        <f t="shared" si="119"/>
        <v>1</v>
      </c>
    </row>
    <row r="7664" spans="1:4" x14ac:dyDescent="0.3">
      <c r="A7664" s="34">
        <v>55059</v>
      </c>
      <c r="B7664" s="35">
        <v>1</v>
      </c>
      <c r="C7664" s="35">
        <v>0</v>
      </c>
      <c r="D7664" s="2">
        <f t="shared" si="119"/>
        <v>1</v>
      </c>
    </row>
    <row r="7665" spans="1:4" x14ac:dyDescent="0.3">
      <c r="A7665" s="34">
        <v>55060</v>
      </c>
      <c r="B7665" s="35">
        <v>1</v>
      </c>
      <c r="C7665" s="35">
        <v>0</v>
      </c>
      <c r="D7665" s="2">
        <f t="shared" si="119"/>
        <v>1</v>
      </c>
    </row>
    <row r="7666" spans="1:4" x14ac:dyDescent="0.3">
      <c r="A7666" s="34">
        <v>55061</v>
      </c>
      <c r="B7666" s="35">
        <v>1</v>
      </c>
      <c r="C7666" s="35">
        <v>0</v>
      </c>
      <c r="D7666" s="2">
        <f t="shared" si="119"/>
        <v>1</v>
      </c>
    </row>
    <row r="7667" spans="1:4" x14ac:dyDescent="0.3">
      <c r="A7667" s="34">
        <v>55062</v>
      </c>
      <c r="B7667" s="35">
        <v>1</v>
      </c>
      <c r="C7667" s="35">
        <v>0</v>
      </c>
      <c r="D7667" s="2">
        <f t="shared" si="119"/>
        <v>1</v>
      </c>
    </row>
    <row r="7668" spans="1:4" x14ac:dyDescent="0.3">
      <c r="A7668" s="34">
        <v>55063</v>
      </c>
      <c r="B7668" s="35">
        <v>2</v>
      </c>
      <c r="C7668" s="35">
        <v>1</v>
      </c>
      <c r="D7668" s="2">
        <f t="shared" si="119"/>
        <v>3</v>
      </c>
    </row>
    <row r="7669" spans="1:4" x14ac:dyDescent="0.3">
      <c r="A7669" s="34">
        <v>55066</v>
      </c>
      <c r="B7669" s="35">
        <v>1</v>
      </c>
      <c r="C7669" s="35">
        <v>0</v>
      </c>
      <c r="D7669" s="2">
        <f t="shared" si="119"/>
        <v>1</v>
      </c>
    </row>
    <row r="7670" spans="1:4" x14ac:dyDescent="0.3">
      <c r="A7670" s="34">
        <v>55067</v>
      </c>
      <c r="B7670" s="35">
        <v>2</v>
      </c>
      <c r="C7670" s="35">
        <v>0</v>
      </c>
      <c r="D7670" s="2">
        <f t="shared" si="119"/>
        <v>2</v>
      </c>
    </row>
    <row r="7671" spans="1:4" x14ac:dyDescent="0.3">
      <c r="A7671" s="34">
        <v>55072</v>
      </c>
      <c r="B7671" s="35">
        <v>1</v>
      </c>
      <c r="C7671" s="35">
        <v>0</v>
      </c>
      <c r="D7671" s="2">
        <f t="shared" si="119"/>
        <v>1</v>
      </c>
    </row>
    <row r="7672" spans="1:4" x14ac:dyDescent="0.3">
      <c r="A7672" s="34">
        <v>55081</v>
      </c>
      <c r="B7672" s="35">
        <v>1</v>
      </c>
      <c r="C7672" s="35">
        <v>0</v>
      </c>
      <c r="D7672" s="2">
        <f t="shared" si="119"/>
        <v>1</v>
      </c>
    </row>
    <row r="7673" spans="1:4" x14ac:dyDescent="0.3">
      <c r="A7673" s="34">
        <v>55082</v>
      </c>
      <c r="B7673" s="35">
        <v>1</v>
      </c>
      <c r="C7673" s="35">
        <v>0</v>
      </c>
      <c r="D7673" s="2">
        <f t="shared" si="119"/>
        <v>1</v>
      </c>
    </row>
    <row r="7674" spans="1:4" x14ac:dyDescent="0.3">
      <c r="A7674" s="34">
        <v>55083</v>
      </c>
      <c r="B7674" s="35">
        <v>1</v>
      </c>
      <c r="C7674" s="35">
        <v>0</v>
      </c>
      <c r="D7674" s="2">
        <f t="shared" si="119"/>
        <v>1</v>
      </c>
    </row>
    <row r="7675" spans="1:4" x14ac:dyDescent="0.3">
      <c r="A7675" s="34">
        <v>55124</v>
      </c>
      <c r="B7675" s="35">
        <v>1</v>
      </c>
      <c r="C7675" s="35">
        <v>0</v>
      </c>
      <c r="D7675" s="2">
        <f t="shared" si="119"/>
        <v>1</v>
      </c>
    </row>
    <row r="7676" spans="1:4" x14ac:dyDescent="0.3">
      <c r="A7676" s="34">
        <v>55128</v>
      </c>
      <c r="B7676" s="35">
        <v>1</v>
      </c>
      <c r="C7676" s="35">
        <v>0</v>
      </c>
      <c r="D7676" s="2">
        <f t="shared" si="119"/>
        <v>1</v>
      </c>
    </row>
    <row r="7677" spans="1:4" x14ac:dyDescent="0.3">
      <c r="A7677" s="34">
        <v>55129</v>
      </c>
      <c r="B7677" s="35">
        <v>1</v>
      </c>
      <c r="C7677" s="35">
        <v>0</v>
      </c>
      <c r="D7677" s="2">
        <f t="shared" si="119"/>
        <v>1</v>
      </c>
    </row>
    <row r="7678" spans="1:4" x14ac:dyDescent="0.3">
      <c r="A7678" s="34">
        <v>55131</v>
      </c>
      <c r="B7678" s="35">
        <v>1</v>
      </c>
      <c r="C7678" s="35">
        <v>1</v>
      </c>
      <c r="D7678" s="2">
        <f t="shared" si="119"/>
        <v>2</v>
      </c>
    </row>
    <row r="7679" spans="1:4" x14ac:dyDescent="0.3">
      <c r="A7679" s="34">
        <v>55134</v>
      </c>
      <c r="B7679" s="35">
        <v>1</v>
      </c>
      <c r="C7679" s="35">
        <v>0</v>
      </c>
      <c r="D7679" s="2">
        <f t="shared" si="119"/>
        <v>1</v>
      </c>
    </row>
    <row r="7680" spans="1:4" x14ac:dyDescent="0.3">
      <c r="A7680" s="34">
        <v>55135</v>
      </c>
      <c r="B7680" s="35">
        <v>1</v>
      </c>
      <c r="C7680" s="35">
        <v>0</v>
      </c>
      <c r="D7680" s="2">
        <f t="shared" si="119"/>
        <v>1</v>
      </c>
    </row>
    <row r="7681" spans="1:4" x14ac:dyDescent="0.3">
      <c r="A7681" s="34">
        <v>55136</v>
      </c>
      <c r="B7681" s="35">
        <v>1</v>
      </c>
      <c r="C7681" s="35">
        <v>0</v>
      </c>
      <c r="D7681" s="2">
        <f t="shared" si="119"/>
        <v>1</v>
      </c>
    </row>
    <row r="7682" spans="1:4" x14ac:dyDescent="0.3">
      <c r="A7682" s="34">
        <v>55141</v>
      </c>
      <c r="B7682" s="35">
        <v>1</v>
      </c>
      <c r="C7682" s="35">
        <v>0</v>
      </c>
      <c r="D7682" s="2">
        <f t="shared" si="119"/>
        <v>1</v>
      </c>
    </row>
    <row r="7683" spans="1:4" x14ac:dyDescent="0.3">
      <c r="A7683" s="34">
        <v>55143</v>
      </c>
      <c r="B7683" s="35">
        <v>1</v>
      </c>
      <c r="C7683" s="35">
        <v>0</v>
      </c>
      <c r="D7683" s="2">
        <f t="shared" ref="D7683:D7746" si="120">B7683+C7683</f>
        <v>1</v>
      </c>
    </row>
    <row r="7684" spans="1:4" x14ac:dyDescent="0.3">
      <c r="A7684" s="34">
        <v>55145</v>
      </c>
      <c r="B7684" s="35">
        <v>1</v>
      </c>
      <c r="C7684" s="35">
        <v>0</v>
      </c>
      <c r="D7684" s="2">
        <f t="shared" si="120"/>
        <v>1</v>
      </c>
    </row>
    <row r="7685" spans="1:4" x14ac:dyDescent="0.3">
      <c r="A7685" s="34">
        <v>55146</v>
      </c>
      <c r="B7685" s="35">
        <v>1</v>
      </c>
      <c r="C7685" s="35">
        <v>0</v>
      </c>
      <c r="D7685" s="2">
        <f t="shared" si="120"/>
        <v>1</v>
      </c>
    </row>
    <row r="7686" spans="1:4" x14ac:dyDescent="0.3">
      <c r="A7686" s="34">
        <v>55148</v>
      </c>
      <c r="B7686" s="35">
        <v>1</v>
      </c>
      <c r="C7686" s="35">
        <v>0</v>
      </c>
      <c r="D7686" s="2">
        <f t="shared" si="120"/>
        <v>1</v>
      </c>
    </row>
    <row r="7687" spans="1:4" x14ac:dyDescent="0.3">
      <c r="A7687" s="34">
        <v>55149</v>
      </c>
      <c r="B7687" s="35">
        <v>1</v>
      </c>
      <c r="C7687" s="35">
        <v>0</v>
      </c>
      <c r="D7687" s="2">
        <f t="shared" si="120"/>
        <v>1</v>
      </c>
    </row>
    <row r="7688" spans="1:4" x14ac:dyDescent="0.3">
      <c r="A7688" s="34">
        <v>55150</v>
      </c>
      <c r="B7688" s="35">
        <v>1</v>
      </c>
      <c r="C7688" s="35">
        <v>0</v>
      </c>
      <c r="D7688" s="2">
        <f t="shared" si="120"/>
        <v>1</v>
      </c>
    </row>
    <row r="7689" spans="1:4" x14ac:dyDescent="0.3">
      <c r="A7689" s="34">
        <v>55153</v>
      </c>
      <c r="B7689" s="35">
        <v>1</v>
      </c>
      <c r="C7689" s="35">
        <v>0</v>
      </c>
      <c r="D7689" s="2">
        <f t="shared" si="120"/>
        <v>1</v>
      </c>
    </row>
    <row r="7690" spans="1:4" x14ac:dyDescent="0.3">
      <c r="A7690" s="34">
        <v>55154</v>
      </c>
      <c r="B7690" s="35">
        <v>1</v>
      </c>
      <c r="C7690" s="35">
        <v>1</v>
      </c>
      <c r="D7690" s="2">
        <f t="shared" si="120"/>
        <v>2</v>
      </c>
    </row>
    <row r="7691" spans="1:4" x14ac:dyDescent="0.3">
      <c r="A7691" s="34">
        <v>55155</v>
      </c>
      <c r="B7691" s="35">
        <v>1</v>
      </c>
      <c r="C7691" s="35">
        <v>0</v>
      </c>
      <c r="D7691" s="2">
        <f t="shared" si="120"/>
        <v>1</v>
      </c>
    </row>
    <row r="7692" spans="1:4" x14ac:dyDescent="0.3">
      <c r="A7692" s="34">
        <v>55156</v>
      </c>
      <c r="B7692" s="35">
        <v>1</v>
      </c>
      <c r="C7692" s="35">
        <v>0</v>
      </c>
      <c r="D7692" s="2">
        <f t="shared" si="120"/>
        <v>1</v>
      </c>
    </row>
    <row r="7693" spans="1:4" x14ac:dyDescent="0.3">
      <c r="A7693" s="34">
        <v>55159</v>
      </c>
      <c r="B7693" s="35">
        <v>1</v>
      </c>
      <c r="C7693" s="35">
        <v>0</v>
      </c>
      <c r="D7693" s="2">
        <f t="shared" si="120"/>
        <v>1</v>
      </c>
    </row>
    <row r="7694" spans="1:4" x14ac:dyDescent="0.3">
      <c r="A7694" s="34">
        <v>55160</v>
      </c>
      <c r="B7694" s="35">
        <v>1</v>
      </c>
      <c r="C7694" s="35">
        <v>1</v>
      </c>
      <c r="D7694" s="2">
        <f t="shared" si="120"/>
        <v>2</v>
      </c>
    </row>
    <row r="7695" spans="1:4" x14ac:dyDescent="0.3">
      <c r="A7695" s="34">
        <v>55162</v>
      </c>
      <c r="B7695" s="35">
        <v>1</v>
      </c>
      <c r="C7695" s="35">
        <v>0</v>
      </c>
      <c r="D7695" s="2">
        <f t="shared" si="120"/>
        <v>1</v>
      </c>
    </row>
    <row r="7696" spans="1:4" x14ac:dyDescent="0.3">
      <c r="A7696" s="34">
        <v>55163</v>
      </c>
      <c r="B7696" s="35">
        <v>1</v>
      </c>
      <c r="C7696" s="35">
        <v>0</v>
      </c>
      <c r="D7696" s="2">
        <f t="shared" si="120"/>
        <v>1</v>
      </c>
    </row>
    <row r="7697" spans="1:4" x14ac:dyDescent="0.3">
      <c r="A7697" s="34">
        <v>55164</v>
      </c>
      <c r="B7697" s="35">
        <v>1</v>
      </c>
      <c r="C7697" s="35">
        <v>0</v>
      </c>
      <c r="D7697" s="2">
        <f t="shared" si="120"/>
        <v>1</v>
      </c>
    </row>
    <row r="7698" spans="1:4" x14ac:dyDescent="0.3">
      <c r="A7698" s="34">
        <v>55166</v>
      </c>
      <c r="B7698" s="35">
        <v>1</v>
      </c>
      <c r="C7698" s="35">
        <v>0</v>
      </c>
      <c r="D7698" s="2">
        <f t="shared" si="120"/>
        <v>1</v>
      </c>
    </row>
    <row r="7699" spans="1:4" x14ac:dyDescent="0.3">
      <c r="A7699" s="34">
        <v>55168</v>
      </c>
      <c r="B7699" s="35">
        <v>1</v>
      </c>
      <c r="C7699" s="35">
        <v>0</v>
      </c>
      <c r="D7699" s="2">
        <f t="shared" si="120"/>
        <v>1</v>
      </c>
    </row>
    <row r="7700" spans="1:4" x14ac:dyDescent="0.3">
      <c r="A7700" s="34">
        <v>55170</v>
      </c>
      <c r="B7700" s="35">
        <v>1</v>
      </c>
      <c r="C7700" s="35">
        <v>0</v>
      </c>
      <c r="D7700" s="2">
        <f t="shared" si="120"/>
        <v>1</v>
      </c>
    </row>
    <row r="7701" spans="1:4" x14ac:dyDescent="0.3">
      <c r="A7701" s="34">
        <v>55172</v>
      </c>
      <c r="B7701" s="35">
        <v>1</v>
      </c>
      <c r="C7701" s="35">
        <v>0</v>
      </c>
      <c r="D7701" s="2">
        <f t="shared" si="120"/>
        <v>1</v>
      </c>
    </row>
    <row r="7702" spans="1:4" x14ac:dyDescent="0.3">
      <c r="A7702" s="34">
        <v>55179</v>
      </c>
      <c r="B7702" s="35">
        <v>1</v>
      </c>
      <c r="C7702" s="35">
        <v>0</v>
      </c>
      <c r="D7702" s="2">
        <f t="shared" si="120"/>
        <v>1</v>
      </c>
    </row>
    <row r="7703" spans="1:4" x14ac:dyDescent="0.3">
      <c r="A7703" s="34">
        <v>55182</v>
      </c>
      <c r="B7703" s="35">
        <v>1</v>
      </c>
      <c r="C7703" s="35">
        <v>0</v>
      </c>
      <c r="D7703" s="2">
        <f t="shared" si="120"/>
        <v>1</v>
      </c>
    </row>
    <row r="7704" spans="1:4" x14ac:dyDescent="0.3">
      <c r="A7704" s="34">
        <v>55183</v>
      </c>
      <c r="B7704" s="35">
        <v>2</v>
      </c>
      <c r="C7704" s="35">
        <v>0</v>
      </c>
      <c r="D7704" s="2">
        <f t="shared" si="120"/>
        <v>2</v>
      </c>
    </row>
    <row r="7705" spans="1:4" x14ac:dyDescent="0.3">
      <c r="A7705" s="34">
        <v>55260</v>
      </c>
      <c r="B7705" s="35">
        <v>1</v>
      </c>
      <c r="C7705" s="35">
        <v>0</v>
      </c>
      <c r="D7705" s="2">
        <f t="shared" si="120"/>
        <v>1</v>
      </c>
    </row>
    <row r="7706" spans="1:4" x14ac:dyDescent="0.3">
      <c r="A7706" s="34">
        <v>55263</v>
      </c>
      <c r="B7706" s="35">
        <v>1</v>
      </c>
      <c r="C7706" s="35">
        <v>0</v>
      </c>
      <c r="D7706" s="2">
        <f t="shared" si="120"/>
        <v>1</v>
      </c>
    </row>
    <row r="7707" spans="1:4" x14ac:dyDescent="0.3">
      <c r="A7707" s="34">
        <v>55267</v>
      </c>
      <c r="B7707" s="35">
        <v>1</v>
      </c>
      <c r="C7707" s="35">
        <v>0</v>
      </c>
      <c r="D7707" s="2">
        <f t="shared" si="120"/>
        <v>1</v>
      </c>
    </row>
    <row r="7708" spans="1:4" x14ac:dyDescent="0.3">
      <c r="A7708" s="34">
        <v>55268</v>
      </c>
      <c r="B7708" s="35">
        <v>1</v>
      </c>
      <c r="C7708" s="35">
        <v>0</v>
      </c>
      <c r="D7708" s="2">
        <f t="shared" si="120"/>
        <v>1</v>
      </c>
    </row>
    <row r="7709" spans="1:4" x14ac:dyDescent="0.3">
      <c r="A7709" s="34">
        <v>55273</v>
      </c>
      <c r="B7709" s="35">
        <v>2</v>
      </c>
      <c r="C7709" s="35">
        <v>0</v>
      </c>
      <c r="D7709" s="2">
        <f t="shared" si="120"/>
        <v>2</v>
      </c>
    </row>
    <row r="7710" spans="1:4" x14ac:dyDescent="0.3">
      <c r="A7710" s="34">
        <v>55275</v>
      </c>
      <c r="B7710" s="35">
        <v>1</v>
      </c>
      <c r="C7710" s="35">
        <v>0</v>
      </c>
      <c r="D7710" s="2">
        <f t="shared" si="120"/>
        <v>1</v>
      </c>
    </row>
    <row r="7711" spans="1:4" x14ac:dyDescent="0.3">
      <c r="A7711" s="34">
        <v>55288</v>
      </c>
      <c r="B7711" s="35">
        <v>3</v>
      </c>
      <c r="C7711" s="35">
        <v>2</v>
      </c>
      <c r="D7711" s="2">
        <f t="shared" si="120"/>
        <v>5</v>
      </c>
    </row>
    <row r="7712" spans="1:4" x14ac:dyDescent="0.3">
      <c r="A7712" s="34">
        <v>55289</v>
      </c>
      <c r="B7712" s="35">
        <v>1</v>
      </c>
      <c r="C7712" s="35">
        <v>0</v>
      </c>
      <c r="D7712" s="2">
        <f t="shared" si="120"/>
        <v>1</v>
      </c>
    </row>
    <row r="7713" spans="1:4" x14ac:dyDescent="0.3">
      <c r="A7713" s="34">
        <v>55290</v>
      </c>
      <c r="B7713" s="35">
        <v>1</v>
      </c>
      <c r="C7713" s="35">
        <v>1</v>
      </c>
      <c r="D7713" s="2">
        <f t="shared" si="120"/>
        <v>2</v>
      </c>
    </row>
    <row r="7714" spans="1:4" x14ac:dyDescent="0.3">
      <c r="A7714" s="34">
        <v>55291</v>
      </c>
      <c r="B7714" s="35">
        <v>1</v>
      </c>
      <c r="C7714" s="35">
        <v>0</v>
      </c>
      <c r="D7714" s="2">
        <f t="shared" si="120"/>
        <v>1</v>
      </c>
    </row>
    <row r="7715" spans="1:4" x14ac:dyDescent="0.3">
      <c r="A7715" s="34">
        <v>55292</v>
      </c>
      <c r="B7715" s="35">
        <v>1</v>
      </c>
      <c r="C7715" s="35">
        <v>0</v>
      </c>
      <c r="D7715" s="2">
        <f t="shared" si="120"/>
        <v>1</v>
      </c>
    </row>
    <row r="7716" spans="1:4" x14ac:dyDescent="0.3">
      <c r="A7716" s="34">
        <v>55294</v>
      </c>
      <c r="B7716" s="35">
        <v>1</v>
      </c>
      <c r="C7716" s="35">
        <v>0</v>
      </c>
      <c r="D7716" s="2">
        <f t="shared" si="120"/>
        <v>1</v>
      </c>
    </row>
    <row r="7717" spans="1:4" x14ac:dyDescent="0.3">
      <c r="A7717" s="34">
        <v>55297</v>
      </c>
      <c r="B7717" s="35">
        <v>1</v>
      </c>
      <c r="C7717" s="35">
        <v>0</v>
      </c>
      <c r="D7717" s="2">
        <f t="shared" si="120"/>
        <v>1</v>
      </c>
    </row>
    <row r="7718" spans="1:4" x14ac:dyDescent="0.3">
      <c r="A7718" s="34">
        <v>55298</v>
      </c>
      <c r="B7718" s="35">
        <v>2</v>
      </c>
      <c r="C7718" s="35">
        <v>2</v>
      </c>
      <c r="D7718" s="2">
        <f t="shared" si="120"/>
        <v>4</v>
      </c>
    </row>
    <row r="7719" spans="1:4" x14ac:dyDescent="0.3">
      <c r="A7719" s="34">
        <v>55303</v>
      </c>
      <c r="B7719" s="35">
        <v>1</v>
      </c>
      <c r="C7719" s="35">
        <v>0</v>
      </c>
      <c r="D7719" s="2">
        <f t="shared" si="120"/>
        <v>1</v>
      </c>
    </row>
    <row r="7720" spans="1:4" x14ac:dyDescent="0.3">
      <c r="A7720" s="34">
        <v>55304</v>
      </c>
      <c r="B7720" s="35">
        <v>1</v>
      </c>
      <c r="C7720" s="35">
        <v>0</v>
      </c>
      <c r="D7720" s="2">
        <f t="shared" si="120"/>
        <v>1</v>
      </c>
    </row>
    <row r="7721" spans="1:4" x14ac:dyDescent="0.3">
      <c r="A7721" s="34">
        <v>55305</v>
      </c>
      <c r="B7721" s="35">
        <v>1</v>
      </c>
      <c r="C7721" s="35">
        <v>0</v>
      </c>
      <c r="D7721" s="2">
        <f t="shared" si="120"/>
        <v>1</v>
      </c>
    </row>
    <row r="7722" spans="1:4" x14ac:dyDescent="0.3">
      <c r="A7722" s="34">
        <v>55308</v>
      </c>
      <c r="B7722" s="35">
        <v>1</v>
      </c>
      <c r="C7722" s="35">
        <v>0</v>
      </c>
      <c r="D7722" s="2">
        <f t="shared" si="120"/>
        <v>1</v>
      </c>
    </row>
    <row r="7723" spans="1:4" x14ac:dyDescent="0.3">
      <c r="A7723" s="34">
        <v>55310</v>
      </c>
      <c r="B7723" s="35">
        <v>1</v>
      </c>
      <c r="C7723" s="35">
        <v>0</v>
      </c>
      <c r="D7723" s="2">
        <f t="shared" si="120"/>
        <v>1</v>
      </c>
    </row>
    <row r="7724" spans="1:4" x14ac:dyDescent="0.3">
      <c r="A7724" s="34">
        <v>55313</v>
      </c>
      <c r="B7724" s="35">
        <v>1</v>
      </c>
      <c r="C7724" s="35">
        <v>0</v>
      </c>
      <c r="D7724" s="2">
        <f t="shared" si="120"/>
        <v>1</v>
      </c>
    </row>
    <row r="7725" spans="1:4" x14ac:dyDescent="0.3">
      <c r="A7725" s="34">
        <v>55318</v>
      </c>
      <c r="B7725" s="35">
        <v>1</v>
      </c>
      <c r="C7725" s="35">
        <v>1</v>
      </c>
      <c r="D7725" s="2">
        <f t="shared" si="120"/>
        <v>2</v>
      </c>
    </row>
    <row r="7726" spans="1:4" x14ac:dyDescent="0.3">
      <c r="A7726" s="34">
        <v>55319</v>
      </c>
      <c r="B7726" s="35">
        <v>1</v>
      </c>
      <c r="C7726" s="35">
        <v>1</v>
      </c>
      <c r="D7726" s="2">
        <f t="shared" si="120"/>
        <v>2</v>
      </c>
    </row>
    <row r="7727" spans="1:4" x14ac:dyDescent="0.3">
      <c r="A7727" s="34">
        <v>55320</v>
      </c>
      <c r="B7727" s="35">
        <v>1</v>
      </c>
      <c r="C7727" s="35">
        <v>0</v>
      </c>
      <c r="D7727" s="2">
        <f t="shared" si="120"/>
        <v>1</v>
      </c>
    </row>
    <row r="7728" spans="1:4" x14ac:dyDescent="0.3">
      <c r="A7728" s="34">
        <v>55321</v>
      </c>
      <c r="B7728" s="35">
        <v>1</v>
      </c>
      <c r="C7728" s="35">
        <v>0</v>
      </c>
      <c r="D7728" s="2">
        <f t="shared" si="120"/>
        <v>1</v>
      </c>
    </row>
    <row r="7729" spans="1:4" x14ac:dyDescent="0.3">
      <c r="A7729" s="34">
        <v>55322</v>
      </c>
      <c r="B7729" s="35">
        <v>1</v>
      </c>
      <c r="C7729" s="35">
        <v>0</v>
      </c>
      <c r="D7729" s="2">
        <f t="shared" si="120"/>
        <v>1</v>
      </c>
    </row>
    <row r="7730" spans="1:4" x14ac:dyDescent="0.3">
      <c r="A7730" s="34">
        <v>55325</v>
      </c>
      <c r="B7730" s="35">
        <v>1</v>
      </c>
      <c r="C7730" s="35">
        <v>0</v>
      </c>
      <c r="D7730" s="2">
        <f t="shared" si="120"/>
        <v>1</v>
      </c>
    </row>
    <row r="7731" spans="1:4" x14ac:dyDescent="0.3">
      <c r="A7731" s="34">
        <v>55326</v>
      </c>
      <c r="B7731" s="35">
        <v>1</v>
      </c>
      <c r="C7731" s="35">
        <v>0</v>
      </c>
      <c r="D7731" s="2">
        <f t="shared" si="120"/>
        <v>1</v>
      </c>
    </row>
    <row r="7732" spans="1:4" x14ac:dyDescent="0.3">
      <c r="A7732" s="34">
        <v>55327</v>
      </c>
      <c r="B7732" s="35">
        <v>1</v>
      </c>
      <c r="C7732" s="35">
        <v>1</v>
      </c>
      <c r="D7732" s="2">
        <f t="shared" si="120"/>
        <v>2</v>
      </c>
    </row>
    <row r="7733" spans="1:4" x14ac:dyDescent="0.3">
      <c r="A7733" s="34">
        <v>55329</v>
      </c>
      <c r="B7733" s="35">
        <v>1</v>
      </c>
      <c r="C7733" s="35">
        <v>0</v>
      </c>
      <c r="D7733" s="2">
        <f t="shared" si="120"/>
        <v>1</v>
      </c>
    </row>
    <row r="7734" spans="1:4" x14ac:dyDescent="0.3">
      <c r="A7734" s="34">
        <v>55331</v>
      </c>
      <c r="B7734" s="35">
        <v>1</v>
      </c>
      <c r="C7734" s="35">
        <v>0</v>
      </c>
      <c r="D7734" s="2">
        <f t="shared" si="120"/>
        <v>1</v>
      </c>
    </row>
    <row r="7735" spans="1:4" x14ac:dyDescent="0.3">
      <c r="A7735" s="34">
        <v>55333</v>
      </c>
      <c r="B7735" s="35">
        <v>1</v>
      </c>
      <c r="C7735" s="35">
        <v>0</v>
      </c>
      <c r="D7735" s="2">
        <f t="shared" si="120"/>
        <v>1</v>
      </c>
    </row>
    <row r="7736" spans="1:4" x14ac:dyDescent="0.3">
      <c r="A7736" s="34">
        <v>55337</v>
      </c>
      <c r="B7736" s="35">
        <v>1</v>
      </c>
      <c r="C7736" s="35">
        <v>0</v>
      </c>
      <c r="D7736" s="2">
        <f t="shared" si="120"/>
        <v>1</v>
      </c>
    </row>
    <row r="7737" spans="1:4" x14ac:dyDescent="0.3">
      <c r="A7737" s="34">
        <v>55338</v>
      </c>
      <c r="B7737" s="35">
        <v>1</v>
      </c>
      <c r="C7737" s="35">
        <v>0</v>
      </c>
      <c r="D7737" s="2">
        <f t="shared" si="120"/>
        <v>1</v>
      </c>
    </row>
    <row r="7738" spans="1:4" x14ac:dyDescent="0.3">
      <c r="A7738" s="34">
        <v>55340</v>
      </c>
      <c r="B7738" s="35">
        <v>1</v>
      </c>
      <c r="C7738" s="35">
        <v>0</v>
      </c>
      <c r="D7738" s="2">
        <f t="shared" si="120"/>
        <v>1</v>
      </c>
    </row>
    <row r="7739" spans="1:4" x14ac:dyDescent="0.3">
      <c r="A7739" s="34">
        <v>55343</v>
      </c>
      <c r="B7739" s="35">
        <v>1</v>
      </c>
      <c r="C7739" s="35">
        <v>1</v>
      </c>
      <c r="D7739" s="2">
        <f t="shared" si="120"/>
        <v>2</v>
      </c>
    </row>
    <row r="7740" spans="1:4" x14ac:dyDescent="0.3">
      <c r="A7740" s="34">
        <v>55345</v>
      </c>
      <c r="B7740" s="35">
        <v>1</v>
      </c>
      <c r="C7740" s="35">
        <v>0</v>
      </c>
      <c r="D7740" s="2">
        <f t="shared" si="120"/>
        <v>1</v>
      </c>
    </row>
    <row r="7741" spans="1:4" x14ac:dyDescent="0.3">
      <c r="A7741" s="34">
        <v>55346</v>
      </c>
      <c r="B7741" s="35">
        <v>1</v>
      </c>
      <c r="C7741" s="35">
        <v>0</v>
      </c>
      <c r="D7741" s="2">
        <f t="shared" si="120"/>
        <v>1</v>
      </c>
    </row>
    <row r="7742" spans="1:4" x14ac:dyDescent="0.3">
      <c r="A7742" s="34">
        <v>55349</v>
      </c>
      <c r="B7742" s="35">
        <v>1</v>
      </c>
      <c r="C7742" s="35">
        <v>0</v>
      </c>
      <c r="D7742" s="2">
        <f t="shared" si="120"/>
        <v>1</v>
      </c>
    </row>
    <row r="7743" spans="1:4" x14ac:dyDescent="0.3">
      <c r="A7743" s="34">
        <v>55398</v>
      </c>
      <c r="B7743" s="35">
        <v>1</v>
      </c>
      <c r="C7743" s="35">
        <v>0</v>
      </c>
      <c r="D7743" s="2">
        <f t="shared" si="120"/>
        <v>1</v>
      </c>
    </row>
    <row r="7744" spans="1:4" x14ac:dyDescent="0.3">
      <c r="A7744" s="34">
        <v>55406</v>
      </c>
      <c r="B7744" s="35">
        <v>1</v>
      </c>
      <c r="C7744" s="35">
        <v>1</v>
      </c>
      <c r="D7744" s="2">
        <f t="shared" si="120"/>
        <v>2</v>
      </c>
    </row>
    <row r="7745" spans="1:4" x14ac:dyDescent="0.3">
      <c r="A7745" s="34">
        <v>55432</v>
      </c>
      <c r="B7745" s="35">
        <v>2</v>
      </c>
      <c r="C7745" s="35">
        <v>0</v>
      </c>
      <c r="D7745" s="2">
        <f t="shared" si="120"/>
        <v>2</v>
      </c>
    </row>
    <row r="7746" spans="1:4" x14ac:dyDescent="0.3">
      <c r="A7746" s="34">
        <v>55435</v>
      </c>
      <c r="B7746" s="35">
        <v>1</v>
      </c>
      <c r="C7746" s="35">
        <v>1</v>
      </c>
      <c r="D7746" s="2">
        <f t="shared" si="120"/>
        <v>2</v>
      </c>
    </row>
    <row r="7747" spans="1:4" x14ac:dyDescent="0.3">
      <c r="A7747" s="34">
        <v>55441</v>
      </c>
      <c r="B7747" s="35">
        <v>1</v>
      </c>
      <c r="C7747" s="35">
        <v>0</v>
      </c>
      <c r="D7747" s="2">
        <f t="shared" ref="D7747:D7810" si="121">B7747+C7747</f>
        <v>1</v>
      </c>
    </row>
    <row r="7748" spans="1:4" x14ac:dyDescent="0.3">
      <c r="A7748" s="34">
        <v>55442</v>
      </c>
      <c r="B7748" s="35">
        <v>1</v>
      </c>
      <c r="C7748" s="35">
        <v>0</v>
      </c>
      <c r="D7748" s="2">
        <f t="shared" si="121"/>
        <v>1</v>
      </c>
    </row>
    <row r="7749" spans="1:4" x14ac:dyDescent="0.3">
      <c r="A7749" s="34">
        <v>55443</v>
      </c>
      <c r="B7749" s="35">
        <v>1</v>
      </c>
      <c r="C7749" s="35">
        <v>0</v>
      </c>
      <c r="D7749" s="2">
        <f t="shared" si="121"/>
        <v>1</v>
      </c>
    </row>
    <row r="7750" spans="1:4" x14ac:dyDescent="0.3">
      <c r="A7750" s="34">
        <v>55444</v>
      </c>
      <c r="B7750" s="35">
        <v>1</v>
      </c>
      <c r="C7750" s="35">
        <v>0</v>
      </c>
      <c r="D7750" s="2">
        <f t="shared" si="121"/>
        <v>1</v>
      </c>
    </row>
    <row r="7751" spans="1:4" x14ac:dyDescent="0.3">
      <c r="A7751" s="34">
        <v>55447</v>
      </c>
      <c r="B7751" s="35">
        <v>1</v>
      </c>
      <c r="C7751" s="35">
        <v>0</v>
      </c>
      <c r="D7751" s="2">
        <f t="shared" si="121"/>
        <v>1</v>
      </c>
    </row>
    <row r="7752" spans="1:4" x14ac:dyDescent="0.3">
      <c r="A7752" s="34">
        <v>55448</v>
      </c>
      <c r="B7752" s="35">
        <v>1</v>
      </c>
      <c r="C7752" s="35">
        <v>1</v>
      </c>
      <c r="D7752" s="2">
        <f t="shared" si="121"/>
        <v>2</v>
      </c>
    </row>
    <row r="7753" spans="1:4" x14ac:dyDescent="0.3">
      <c r="A7753" s="34">
        <v>55451</v>
      </c>
      <c r="B7753" s="35">
        <v>1</v>
      </c>
      <c r="C7753" s="35">
        <v>0</v>
      </c>
      <c r="D7753" s="2">
        <f t="shared" si="121"/>
        <v>1</v>
      </c>
    </row>
    <row r="7754" spans="1:4" x14ac:dyDescent="0.3">
      <c r="A7754" s="34">
        <v>55457</v>
      </c>
      <c r="B7754" s="35">
        <v>1</v>
      </c>
      <c r="C7754" s="35">
        <v>1</v>
      </c>
      <c r="D7754" s="2">
        <f t="shared" si="121"/>
        <v>2</v>
      </c>
    </row>
    <row r="7755" spans="1:4" x14ac:dyDescent="0.3">
      <c r="A7755" s="34">
        <v>55459</v>
      </c>
      <c r="B7755" s="35">
        <v>1</v>
      </c>
      <c r="C7755" s="35">
        <v>1</v>
      </c>
      <c r="D7755" s="2">
        <f t="shared" si="121"/>
        <v>2</v>
      </c>
    </row>
    <row r="7756" spans="1:4" x14ac:dyDescent="0.3">
      <c r="A7756" s="34">
        <v>55460</v>
      </c>
      <c r="B7756" s="35">
        <v>1</v>
      </c>
      <c r="C7756" s="35">
        <v>1</v>
      </c>
      <c r="D7756" s="2">
        <f t="shared" si="121"/>
        <v>2</v>
      </c>
    </row>
    <row r="7757" spans="1:4" x14ac:dyDescent="0.3">
      <c r="A7757" s="34">
        <v>55461</v>
      </c>
      <c r="B7757" s="35">
        <v>1</v>
      </c>
      <c r="C7757" s="35">
        <v>0</v>
      </c>
      <c r="D7757" s="2">
        <f t="shared" si="121"/>
        <v>1</v>
      </c>
    </row>
    <row r="7758" spans="1:4" x14ac:dyDescent="0.3">
      <c r="A7758" s="34">
        <v>55468</v>
      </c>
      <c r="B7758" s="35">
        <v>1</v>
      </c>
      <c r="C7758" s="35">
        <v>0</v>
      </c>
      <c r="D7758" s="2">
        <f t="shared" si="121"/>
        <v>1</v>
      </c>
    </row>
    <row r="7759" spans="1:4" x14ac:dyDescent="0.3">
      <c r="A7759" s="34">
        <v>55481</v>
      </c>
      <c r="B7759" s="35">
        <v>1</v>
      </c>
      <c r="C7759" s="35">
        <v>0</v>
      </c>
      <c r="D7759" s="2">
        <f t="shared" si="121"/>
        <v>1</v>
      </c>
    </row>
    <row r="7760" spans="1:4" x14ac:dyDescent="0.3">
      <c r="A7760" s="34">
        <v>55485</v>
      </c>
      <c r="B7760" s="35">
        <v>1</v>
      </c>
      <c r="C7760" s="35">
        <v>0</v>
      </c>
      <c r="D7760" s="2">
        <f t="shared" si="121"/>
        <v>1</v>
      </c>
    </row>
    <row r="7761" spans="1:4" x14ac:dyDescent="0.3">
      <c r="A7761" s="34">
        <v>55486</v>
      </c>
      <c r="B7761" s="35">
        <v>1</v>
      </c>
      <c r="C7761" s="35">
        <v>0</v>
      </c>
      <c r="D7761" s="2">
        <f t="shared" si="121"/>
        <v>1</v>
      </c>
    </row>
    <row r="7762" spans="1:4" x14ac:dyDescent="0.3">
      <c r="A7762" s="34">
        <v>55488</v>
      </c>
      <c r="B7762" s="35">
        <v>1</v>
      </c>
      <c r="C7762" s="35">
        <v>0</v>
      </c>
      <c r="D7762" s="2">
        <f t="shared" si="121"/>
        <v>1</v>
      </c>
    </row>
    <row r="7763" spans="1:4" x14ac:dyDescent="0.3">
      <c r="A7763" s="34">
        <v>55492</v>
      </c>
      <c r="B7763" s="35">
        <v>1</v>
      </c>
      <c r="C7763" s="35">
        <v>0</v>
      </c>
      <c r="D7763" s="2">
        <f t="shared" si="121"/>
        <v>1</v>
      </c>
    </row>
    <row r="7764" spans="1:4" x14ac:dyDescent="0.3">
      <c r="A7764" s="34">
        <v>55495</v>
      </c>
      <c r="B7764" s="35">
        <v>1</v>
      </c>
      <c r="C7764" s="35">
        <v>1</v>
      </c>
      <c r="D7764" s="2">
        <f t="shared" si="121"/>
        <v>2</v>
      </c>
    </row>
    <row r="7765" spans="1:4" x14ac:dyDescent="0.3">
      <c r="A7765" s="34">
        <v>55496</v>
      </c>
      <c r="B7765" s="35">
        <v>1</v>
      </c>
      <c r="C7765" s="35">
        <v>1</v>
      </c>
      <c r="D7765" s="2">
        <f t="shared" si="121"/>
        <v>2</v>
      </c>
    </row>
    <row r="7766" spans="1:4" x14ac:dyDescent="0.3">
      <c r="A7766" s="34">
        <v>55498</v>
      </c>
      <c r="B7766" s="35">
        <v>1</v>
      </c>
      <c r="C7766" s="35">
        <v>1</v>
      </c>
      <c r="D7766" s="2">
        <f t="shared" si="121"/>
        <v>2</v>
      </c>
    </row>
    <row r="7767" spans="1:4" x14ac:dyDescent="0.3">
      <c r="A7767" s="34">
        <v>55499</v>
      </c>
      <c r="B7767" s="35">
        <v>1</v>
      </c>
      <c r="C7767" s="35">
        <v>0</v>
      </c>
      <c r="D7767" s="2">
        <f t="shared" si="121"/>
        <v>1</v>
      </c>
    </row>
    <row r="7768" spans="1:4" x14ac:dyDescent="0.3">
      <c r="A7768" s="34">
        <v>55532</v>
      </c>
      <c r="B7768" s="35">
        <v>1</v>
      </c>
      <c r="C7768" s="35">
        <v>0</v>
      </c>
      <c r="D7768" s="2">
        <f t="shared" si="121"/>
        <v>1</v>
      </c>
    </row>
    <row r="7769" spans="1:4" x14ac:dyDescent="0.3">
      <c r="A7769" s="34">
        <v>55665</v>
      </c>
      <c r="B7769" s="35">
        <v>1</v>
      </c>
      <c r="C7769" s="35">
        <v>1</v>
      </c>
      <c r="D7769" s="2">
        <f t="shared" si="121"/>
        <v>2</v>
      </c>
    </row>
    <row r="7770" spans="1:4" x14ac:dyDescent="0.3">
      <c r="A7770" s="34">
        <v>55670</v>
      </c>
      <c r="B7770" s="35">
        <v>1</v>
      </c>
      <c r="C7770" s="35">
        <v>0</v>
      </c>
      <c r="D7770" s="2">
        <f t="shared" si="121"/>
        <v>1</v>
      </c>
    </row>
    <row r="7771" spans="1:4" x14ac:dyDescent="0.3">
      <c r="A7771" s="34">
        <v>55671</v>
      </c>
      <c r="B7771" s="35">
        <v>1</v>
      </c>
      <c r="C7771" s="35">
        <v>0</v>
      </c>
      <c r="D7771" s="2">
        <f t="shared" si="121"/>
        <v>1</v>
      </c>
    </row>
    <row r="7772" spans="1:4" x14ac:dyDescent="0.3">
      <c r="A7772" s="34">
        <v>55673</v>
      </c>
      <c r="B7772" s="35">
        <v>2</v>
      </c>
      <c r="C7772" s="35">
        <v>0</v>
      </c>
      <c r="D7772" s="2">
        <f t="shared" si="121"/>
        <v>2</v>
      </c>
    </row>
    <row r="7773" spans="1:4" x14ac:dyDescent="0.3">
      <c r="A7773" s="34">
        <v>55674</v>
      </c>
      <c r="B7773" s="35">
        <v>1</v>
      </c>
      <c r="C7773" s="35">
        <v>1</v>
      </c>
      <c r="D7773" s="2">
        <f t="shared" si="121"/>
        <v>2</v>
      </c>
    </row>
    <row r="7774" spans="1:4" x14ac:dyDescent="0.3">
      <c r="A7774" s="34">
        <v>55677</v>
      </c>
      <c r="B7774" s="35">
        <v>1</v>
      </c>
      <c r="C7774" s="35">
        <v>0</v>
      </c>
      <c r="D7774" s="2">
        <f t="shared" si="121"/>
        <v>1</v>
      </c>
    </row>
    <row r="7775" spans="1:4" x14ac:dyDescent="0.3">
      <c r="A7775" s="34">
        <v>55678</v>
      </c>
      <c r="B7775" s="35">
        <v>1</v>
      </c>
      <c r="C7775" s="35">
        <v>0</v>
      </c>
      <c r="D7775" s="2">
        <f t="shared" si="121"/>
        <v>1</v>
      </c>
    </row>
    <row r="7776" spans="1:4" x14ac:dyDescent="0.3">
      <c r="A7776" s="34">
        <v>55680</v>
      </c>
      <c r="B7776" s="35">
        <v>2</v>
      </c>
      <c r="C7776" s="35">
        <v>2</v>
      </c>
      <c r="D7776" s="2">
        <f t="shared" si="121"/>
        <v>4</v>
      </c>
    </row>
    <row r="7777" spans="1:4" x14ac:dyDescent="0.3">
      <c r="A7777" s="34">
        <v>55686</v>
      </c>
      <c r="B7777" s="35">
        <v>1</v>
      </c>
      <c r="C7777" s="35">
        <v>1</v>
      </c>
      <c r="D7777" s="2">
        <f t="shared" si="121"/>
        <v>2</v>
      </c>
    </row>
    <row r="7778" spans="1:4" x14ac:dyDescent="0.3">
      <c r="A7778" s="34">
        <v>55687</v>
      </c>
      <c r="B7778" s="35">
        <v>2</v>
      </c>
      <c r="C7778" s="35">
        <v>1</v>
      </c>
      <c r="D7778" s="2">
        <f t="shared" si="121"/>
        <v>3</v>
      </c>
    </row>
    <row r="7779" spans="1:4" x14ac:dyDescent="0.3">
      <c r="A7779" s="34">
        <v>55688</v>
      </c>
      <c r="B7779" s="35">
        <v>1</v>
      </c>
      <c r="C7779" s="35">
        <v>0</v>
      </c>
      <c r="D7779" s="2">
        <f t="shared" si="121"/>
        <v>1</v>
      </c>
    </row>
    <row r="7780" spans="1:4" x14ac:dyDescent="0.3">
      <c r="A7780" s="34">
        <v>55712</v>
      </c>
      <c r="B7780" s="35">
        <v>1</v>
      </c>
      <c r="C7780" s="35">
        <v>1</v>
      </c>
      <c r="D7780" s="2">
        <f t="shared" si="121"/>
        <v>2</v>
      </c>
    </row>
    <row r="7781" spans="1:4" x14ac:dyDescent="0.3">
      <c r="A7781" s="34">
        <v>55715</v>
      </c>
      <c r="B7781" s="35">
        <v>1</v>
      </c>
      <c r="C7781" s="35">
        <v>0</v>
      </c>
      <c r="D7781" s="2">
        <f t="shared" si="121"/>
        <v>1</v>
      </c>
    </row>
    <row r="7782" spans="1:4" x14ac:dyDescent="0.3">
      <c r="A7782" s="34">
        <v>55717</v>
      </c>
      <c r="B7782" s="35">
        <v>1</v>
      </c>
      <c r="C7782" s="35">
        <v>0</v>
      </c>
      <c r="D7782" s="2">
        <f t="shared" si="121"/>
        <v>1</v>
      </c>
    </row>
    <row r="7783" spans="1:4" x14ac:dyDescent="0.3">
      <c r="A7783" s="34">
        <v>55720</v>
      </c>
      <c r="B7783" s="35">
        <v>1</v>
      </c>
      <c r="C7783" s="35">
        <v>0</v>
      </c>
      <c r="D7783" s="2">
        <f t="shared" si="121"/>
        <v>1</v>
      </c>
    </row>
    <row r="7784" spans="1:4" x14ac:dyDescent="0.3">
      <c r="A7784" s="34">
        <v>55722</v>
      </c>
      <c r="B7784" s="35">
        <v>1</v>
      </c>
      <c r="C7784" s="35">
        <v>0</v>
      </c>
      <c r="D7784" s="2">
        <f t="shared" si="121"/>
        <v>1</v>
      </c>
    </row>
    <row r="7785" spans="1:4" x14ac:dyDescent="0.3">
      <c r="A7785" s="34">
        <v>55725</v>
      </c>
      <c r="B7785" s="35">
        <v>1</v>
      </c>
      <c r="C7785" s="35">
        <v>0</v>
      </c>
      <c r="D7785" s="2">
        <f t="shared" si="121"/>
        <v>1</v>
      </c>
    </row>
    <row r="7786" spans="1:4" x14ac:dyDescent="0.3">
      <c r="A7786" s="34">
        <v>55727</v>
      </c>
      <c r="B7786" s="35">
        <v>1</v>
      </c>
      <c r="C7786" s="35">
        <v>0</v>
      </c>
      <c r="D7786" s="2">
        <f t="shared" si="121"/>
        <v>1</v>
      </c>
    </row>
    <row r="7787" spans="1:4" x14ac:dyDescent="0.3">
      <c r="A7787" s="34">
        <v>55728</v>
      </c>
      <c r="B7787" s="35">
        <v>1</v>
      </c>
      <c r="C7787" s="35">
        <v>0</v>
      </c>
      <c r="D7787" s="2">
        <f t="shared" si="121"/>
        <v>1</v>
      </c>
    </row>
    <row r="7788" spans="1:4" x14ac:dyDescent="0.3">
      <c r="A7788" s="34">
        <v>55735</v>
      </c>
      <c r="B7788" s="35">
        <v>1</v>
      </c>
      <c r="C7788" s="35">
        <v>0</v>
      </c>
      <c r="D7788" s="2">
        <f t="shared" si="121"/>
        <v>1</v>
      </c>
    </row>
    <row r="7789" spans="1:4" x14ac:dyDescent="0.3">
      <c r="A7789" s="34">
        <v>55736</v>
      </c>
      <c r="B7789" s="35">
        <v>1</v>
      </c>
      <c r="C7789" s="35">
        <v>0</v>
      </c>
      <c r="D7789" s="2">
        <f t="shared" si="121"/>
        <v>1</v>
      </c>
    </row>
    <row r="7790" spans="1:4" x14ac:dyDescent="0.3">
      <c r="A7790" s="34">
        <v>55737</v>
      </c>
      <c r="B7790" s="35">
        <v>1</v>
      </c>
      <c r="C7790" s="35">
        <v>0</v>
      </c>
      <c r="D7790" s="2">
        <f t="shared" si="121"/>
        <v>1</v>
      </c>
    </row>
    <row r="7791" spans="1:4" x14ac:dyDescent="0.3">
      <c r="A7791" s="34">
        <v>55738</v>
      </c>
      <c r="B7791" s="35">
        <v>1</v>
      </c>
      <c r="C7791" s="35">
        <v>0</v>
      </c>
      <c r="D7791" s="2">
        <f t="shared" si="121"/>
        <v>1</v>
      </c>
    </row>
    <row r="7792" spans="1:4" x14ac:dyDescent="0.3">
      <c r="A7792" s="34">
        <v>55744</v>
      </c>
      <c r="B7792" s="35">
        <v>1</v>
      </c>
      <c r="C7792" s="35">
        <v>0</v>
      </c>
      <c r="D7792" s="2">
        <f t="shared" si="121"/>
        <v>1</v>
      </c>
    </row>
    <row r="7793" spans="1:4" x14ac:dyDescent="0.3">
      <c r="A7793" s="34">
        <v>55747</v>
      </c>
      <c r="B7793" s="35">
        <v>1</v>
      </c>
      <c r="C7793" s="35">
        <v>1</v>
      </c>
      <c r="D7793" s="2">
        <f t="shared" si="121"/>
        <v>2</v>
      </c>
    </row>
    <row r="7794" spans="1:4" x14ac:dyDescent="0.3">
      <c r="A7794" s="34">
        <v>55750</v>
      </c>
      <c r="B7794" s="35">
        <v>1</v>
      </c>
      <c r="C7794" s="35">
        <v>0</v>
      </c>
      <c r="D7794" s="2">
        <f t="shared" si="121"/>
        <v>1</v>
      </c>
    </row>
    <row r="7795" spans="1:4" x14ac:dyDescent="0.3">
      <c r="A7795" s="34">
        <v>55753</v>
      </c>
      <c r="B7795" s="35">
        <v>1</v>
      </c>
      <c r="C7795" s="35">
        <v>0</v>
      </c>
      <c r="D7795" s="2">
        <f t="shared" si="121"/>
        <v>1</v>
      </c>
    </row>
    <row r="7796" spans="1:4" x14ac:dyDescent="0.3">
      <c r="A7796" s="34">
        <v>55759</v>
      </c>
      <c r="B7796" s="35">
        <v>1</v>
      </c>
      <c r="C7796" s="35">
        <v>0</v>
      </c>
      <c r="D7796" s="2">
        <f t="shared" si="121"/>
        <v>1</v>
      </c>
    </row>
    <row r="7797" spans="1:4" x14ac:dyDescent="0.3">
      <c r="A7797" s="34">
        <v>55760</v>
      </c>
      <c r="B7797" s="35">
        <v>1</v>
      </c>
      <c r="C7797" s="35">
        <v>0</v>
      </c>
      <c r="D7797" s="2">
        <f t="shared" si="121"/>
        <v>1</v>
      </c>
    </row>
    <row r="7798" spans="1:4" x14ac:dyDescent="0.3">
      <c r="A7798" s="34">
        <v>55769</v>
      </c>
      <c r="B7798" s="35">
        <v>1</v>
      </c>
      <c r="C7798" s="35">
        <v>0</v>
      </c>
      <c r="D7798" s="2">
        <f t="shared" si="121"/>
        <v>1</v>
      </c>
    </row>
    <row r="7799" spans="1:4" x14ac:dyDescent="0.3">
      <c r="A7799" s="34">
        <v>55779</v>
      </c>
      <c r="B7799" s="35">
        <v>1</v>
      </c>
      <c r="C7799" s="35">
        <v>0</v>
      </c>
      <c r="D7799" s="2">
        <f t="shared" si="121"/>
        <v>1</v>
      </c>
    </row>
    <row r="7800" spans="1:4" x14ac:dyDescent="0.3">
      <c r="A7800" s="34">
        <v>55780</v>
      </c>
      <c r="B7800" s="35">
        <v>1</v>
      </c>
      <c r="C7800" s="35">
        <v>0</v>
      </c>
      <c r="D7800" s="2">
        <f t="shared" si="121"/>
        <v>1</v>
      </c>
    </row>
    <row r="7801" spans="1:4" x14ac:dyDescent="0.3">
      <c r="A7801" s="34">
        <v>55781</v>
      </c>
      <c r="B7801" s="35">
        <v>1</v>
      </c>
      <c r="C7801" s="35">
        <v>0</v>
      </c>
      <c r="D7801" s="2">
        <f t="shared" si="121"/>
        <v>1</v>
      </c>
    </row>
    <row r="7802" spans="1:4" x14ac:dyDescent="0.3">
      <c r="A7802" s="34">
        <v>55782</v>
      </c>
      <c r="B7802" s="35">
        <v>1</v>
      </c>
      <c r="C7802" s="35">
        <v>0</v>
      </c>
      <c r="D7802" s="2">
        <f t="shared" si="121"/>
        <v>1</v>
      </c>
    </row>
    <row r="7803" spans="1:4" x14ac:dyDescent="0.3">
      <c r="A7803" s="34">
        <v>55786</v>
      </c>
      <c r="B7803" s="35">
        <v>1</v>
      </c>
      <c r="C7803" s="35">
        <v>1</v>
      </c>
      <c r="D7803" s="2">
        <f t="shared" si="121"/>
        <v>2</v>
      </c>
    </row>
    <row r="7804" spans="1:4" x14ac:dyDescent="0.3">
      <c r="A7804" s="34">
        <v>55789</v>
      </c>
      <c r="B7804" s="35">
        <v>1</v>
      </c>
      <c r="C7804" s="35">
        <v>1</v>
      </c>
      <c r="D7804" s="2">
        <f t="shared" si="121"/>
        <v>2</v>
      </c>
    </row>
    <row r="7805" spans="1:4" x14ac:dyDescent="0.3">
      <c r="A7805" s="34">
        <v>55790</v>
      </c>
      <c r="B7805" s="35">
        <v>1</v>
      </c>
      <c r="C7805" s="35">
        <v>0</v>
      </c>
      <c r="D7805" s="2">
        <f t="shared" si="121"/>
        <v>1</v>
      </c>
    </row>
    <row r="7806" spans="1:4" x14ac:dyDescent="0.3">
      <c r="A7806" s="34">
        <v>55792</v>
      </c>
      <c r="B7806" s="35">
        <v>1</v>
      </c>
      <c r="C7806" s="35">
        <v>0</v>
      </c>
      <c r="D7806" s="2">
        <f t="shared" si="121"/>
        <v>1</v>
      </c>
    </row>
    <row r="7807" spans="1:4" x14ac:dyDescent="0.3">
      <c r="A7807" s="34">
        <v>55794</v>
      </c>
      <c r="B7807" s="35">
        <v>1</v>
      </c>
      <c r="C7807" s="35">
        <v>1</v>
      </c>
      <c r="D7807" s="2">
        <f t="shared" si="121"/>
        <v>2</v>
      </c>
    </row>
    <row r="7808" spans="1:4" x14ac:dyDescent="0.3">
      <c r="A7808" s="34">
        <v>55795</v>
      </c>
      <c r="B7808" s="35">
        <v>1</v>
      </c>
      <c r="C7808" s="35">
        <v>0</v>
      </c>
      <c r="D7808" s="2">
        <f t="shared" si="121"/>
        <v>1</v>
      </c>
    </row>
    <row r="7809" spans="1:4" x14ac:dyDescent="0.3">
      <c r="A7809" s="34">
        <v>55847</v>
      </c>
      <c r="B7809" s="35">
        <v>1</v>
      </c>
      <c r="C7809" s="35">
        <v>0</v>
      </c>
      <c r="D7809" s="2">
        <f t="shared" si="121"/>
        <v>1</v>
      </c>
    </row>
    <row r="7810" spans="1:4" x14ac:dyDescent="0.3">
      <c r="A7810" s="34">
        <v>55848</v>
      </c>
      <c r="B7810" s="35">
        <v>1</v>
      </c>
      <c r="C7810" s="35">
        <v>0</v>
      </c>
      <c r="D7810" s="2">
        <f t="shared" si="121"/>
        <v>1</v>
      </c>
    </row>
    <row r="7811" spans="1:4" x14ac:dyDescent="0.3">
      <c r="A7811" s="34">
        <v>55850</v>
      </c>
      <c r="B7811" s="35">
        <v>1</v>
      </c>
      <c r="C7811" s="35">
        <v>0</v>
      </c>
      <c r="D7811" s="2">
        <f t="shared" ref="D7811:D7874" si="122">B7811+C7811</f>
        <v>1</v>
      </c>
    </row>
    <row r="7812" spans="1:4" x14ac:dyDescent="0.3">
      <c r="A7812" s="34">
        <v>55852</v>
      </c>
      <c r="B7812" s="35">
        <v>1</v>
      </c>
      <c r="C7812" s="35">
        <v>0</v>
      </c>
      <c r="D7812" s="2">
        <f t="shared" si="122"/>
        <v>1</v>
      </c>
    </row>
    <row r="7813" spans="1:4" x14ac:dyDescent="0.3">
      <c r="A7813" s="34">
        <v>55853</v>
      </c>
      <c r="B7813" s="35">
        <v>1</v>
      </c>
      <c r="C7813" s="35">
        <v>0</v>
      </c>
      <c r="D7813" s="2">
        <f t="shared" si="122"/>
        <v>1</v>
      </c>
    </row>
    <row r="7814" spans="1:4" x14ac:dyDescent="0.3">
      <c r="A7814" s="34">
        <v>55858</v>
      </c>
      <c r="B7814" s="35">
        <v>1</v>
      </c>
      <c r="C7814" s="35">
        <v>0</v>
      </c>
      <c r="D7814" s="2">
        <f t="shared" si="122"/>
        <v>1</v>
      </c>
    </row>
    <row r="7815" spans="1:4" x14ac:dyDescent="0.3">
      <c r="A7815" s="34">
        <v>55860</v>
      </c>
      <c r="B7815" s="35">
        <v>1</v>
      </c>
      <c r="C7815" s="35">
        <v>0</v>
      </c>
      <c r="D7815" s="2">
        <f t="shared" si="122"/>
        <v>1</v>
      </c>
    </row>
    <row r="7816" spans="1:4" x14ac:dyDescent="0.3">
      <c r="A7816" s="34">
        <v>55868</v>
      </c>
      <c r="B7816" s="35">
        <v>1</v>
      </c>
      <c r="C7816" s="35">
        <v>0</v>
      </c>
      <c r="D7816" s="2">
        <f t="shared" si="122"/>
        <v>1</v>
      </c>
    </row>
    <row r="7817" spans="1:4" x14ac:dyDescent="0.3">
      <c r="A7817" s="34">
        <v>55873</v>
      </c>
      <c r="B7817" s="35">
        <v>2</v>
      </c>
      <c r="C7817" s="35">
        <v>0</v>
      </c>
      <c r="D7817" s="2">
        <f t="shared" si="122"/>
        <v>2</v>
      </c>
    </row>
    <row r="7818" spans="1:4" x14ac:dyDescent="0.3">
      <c r="A7818" s="34">
        <v>55875</v>
      </c>
      <c r="B7818" s="35">
        <v>1</v>
      </c>
      <c r="C7818" s="35">
        <v>0</v>
      </c>
      <c r="D7818" s="2">
        <f t="shared" si="122"/>
        <v>1</v>
      </c>
    </row>
    <row r="7819" spans="1:4" x14ac:dyDescent="0.3">
      <c r="A7819" s="34">
        <v>55883</v>
      </c>
      <c r="B7819" s="35">
        <v>1</v>
      </c>
      <c r="C7819" s="35">
        <v>0</v>
      </c>
      <c r="D7819" s="2">
        <f t="shared" si="122"/>
        <v>1</v>
      </c>
    </row>
    <row r="7820" spans="1:4" x14ac:dyDescent="0.3">
      <c r="A7820" s="34">
        <v>55884</v>
      </c>
      <c r="B7820" s="35">
        <v>1</v>
      </c>
      <c r="C7820" s="35">
        <v>0</v>
      </c>
      <c r="D7820" s="2">
        <f t="shared" si="122"/>
        <v>1</v>
      </c>
    </row>
    <row r="7821" spans="1:4" x14ac:dyDescent="0.3">
      <c r="A7821" s="34">
        <v>55886</v>
      </c>
      <c r="B7821" s="35">
        <v>1</v>
      </c>
      <c r="C7821" s="35">
        <v>0</v>
      </c>
      <c r="D7821" s="2">
        <f t="shared" si="122"/>
        <v>1</v>
      </c>
    </row>
    <row r="7822" spans="1:4" x14ac:dyDescent="0.3">
      <c r="A7822" s="34">
        <v>55888</v>
      </c>
      <c r="B7822" s="35">
        <v>1</v>
      </c>
      <c r="C7822" s="35">
        <v>0</v>
      </c>
      <c r="D7822" s="2">
        <f t="shared" si="122"/>
        <v>1</v>
      </c>
    </row>
    <row r="7823" spans="1:4" x14ac:dyDescent="0.3">
      <c r="A7823" s="34">
        <v>55891</v>
      </c>
      <c r="B7823" s="35">
        <v>1</v>
      </c>
      <c r="C7823" s="35">
        <v>0</v>
      </c>
      <c r="D7823" s="2">
        <f t="shared" si="122"/>
        <v>1</v>
      </c>
    </row>
    <row r="7824" spans="1:4" x14ac:dyDescent="0.3">
      <c r="A7824" s="34">
        <v>55892</v>
      </c>
      <c r="B7824" s="35">
        <v>1</v>
      </c>
      <c r="C7824" s="35">
        <v>1</v>
      </c>
      <c r="D7824" s="2">
        <f t="shared" si="122"/>
        <v>2</v>
      </c>
    </row>
    <row r="7825" spans="1:4" x14ac:dyDescent="0.3">
      <c r="A7825" s="34">
        <v>55894</v>
      </c>
      <c r="B7825" s="35">
        <v>1</v>
      </c>
      <c r="C7825" s="35">
        <v>0</v>
      </c>
      <c r="D7825" s="2">
        <f t="shared" si="122"/>
        <v>1</v>
      </c>
    </row>
    <row r="7826" spans="1:4" x14ac:dyDescent="0.3">
      <c r="A7826" s="34">
        <v>55895</v>
      </c>
      <c r="B7826" s="35">
        <v>2</v>
      </c>
      <c r="C7826" s="35">
        <v>0</v>
      </c>
      <c r="D7826" s="2">
        <f t="shared" si="122"/>
        <v>2</v>
      </c>
    </row>
    <row r="7827" spans="1:4" x14ac:dyDescent="0.3">
      <c r="A7827" s="34">
        <v>55912</v>
      </c>
      <c r="B7827" s="35">
        <v>4</v>
      </c>
      <c r="C7827" s="35">
        <v>0</v>
      </c>
      <c r="D7827" s="2">
        <f t="shared" si="122"/>
        <v>4</v>
      </c>
    </row>
    <row r="7828" spans="1:4" x14ac:dyDescent="0.3">
      <c r="A7828" s="34">
        <v>55932</v>
      </c>
      <c r="B7828" s="35">
        <v>1</v>
      </c>
      <c r="C7828" s="35">
        <v>0</v>
      </c>
      <c r="D7828" s="2">
        <f t="shared" si="122"/>
        <v>1</v>
      </c>
    </row>
    <row r="7829" spans="1:4" x14ac:dyDescent="0.3">
      <c r="A7829" s="34">
        <v>55934</v>
      </c>
      <c r="B7829" s="35">
        <v>1</v>
      </c>
      <c r="C7829" s="35">
        <v>0</v>
      </c>
      <c r="D7829" s="2">
        <f t="shared" si="122"/>
        <v>1</v>
      </c>
    </row>
    <row r="7830" spans="1:4" x14ac:dyDescent="0.3">
      <c r="A7830" s="34">
        <v>55936</v>
      </c>
      <c r="B7830" s="35">
        <v>1</v>
      </c>
      <c r="C7830" s="35">
        <v>0</v>
      </c>
      <c r="D7830" s="2">
        <f t="shared" si="122"/>
        <v>1</v>
      </c>
    </row>
    <row r="7831" spans="1:4" x14ac:dyDescent="0.3">
      <c r="A7831" s="34">
        <v>55937</v>
      </c>
      <c r="B7831" s="35">
        <v>1</v>
      </c>
      <c r="C7831" s="35">
        <v>0</v>
      </c>
      <c r="D7831" s="2">
        <f t="shared" si="122"/>
        <v>1</v>
      </c>
    </row>
    <row r="7832" spans="1:4" x14ac:dyDescent="0.3">
      <c r="A7832" s="34">
        <v>55939</v>
      </c>
      <c r="B7832" s="35">
        <v>1</v>
      </c>
      <c r="C7832" s="35">
        <v>0</v>
      </c>
      <c r="D7832" s="2">
        <f t="shared" si="122"/>
        <v>1</v>
      </c>
    </row>
    <row r="7833" spans="1:4" x14ac:dyDescent="0.3">
      <c r="A7833" s="34">
        <v>55940</v>
      </c>
      <c r="B7833" s="35">
        <v>1</v>
      </c>
      <c r="C7833" s="35">
        <v>0</v>
      </c>
      <c r="D7833" s="2">
        <f t="shared" si="122"/>
        <v>1</v>
      </c>
    </row>
    <row r="7834" spans="1:4" x14ac:dyDescent="0.3">
      <c r="A7834" s="34">
        <v>55942</v>
      </c>
      <c r="B7834" s="35">
        <v>1</v>
      </c>
      <c r="C7834" s="35">
        <v>1</v>
      </c>
      <c r="D7834" s="2">
        <f t="shared" si="122"/>
        <v>2</v>
      </c>
    </row>
    <row r="7835" spans="1:4" x14ac:dyDescent="0.3">
      <c r="A7835" s="34">
        <v>56088</v>
      </c>
      <c r="B7835" s="35">
        <v>1</v>
      </c>
      <c r="C7835" s="35">
        <v>0</v>
      </c>
      <c r="D7835" s="2">
        <f t="shared" si="122"/>
        <v>1</v>
      </c>
    </row>
    <row r="7836" spans="1:4" x14ac:dyDescent="0.3">
      <c r="A7836" s="34">
        <v>56089</v>
      </c>
      <c r="B7836" s="35">
        <v>1</v>
      </c>
      <c r="C7836" s="35">
        <v>1</v>
      </c>
      <c r="D7836" s="2">
        <f t="shared" si="122"/>
        <v>2</v>
      </c>
    </row>
    <row r="7837" spans="1:4" x14ac:dyDescent="0.3">
      <c r="A7837" s="34">
        <v>56092</v>
      </c>
      <c r="B7837" s="35">
        <v>1</v>
      </c>
      <c r="C7837" s="35">
        <v>0</v>
      </c>
      <c r="D7837" s="2">
        <f t="shared" si="122"/>
        <v>1</v>
      </c>
    </row>
    <row r="7838" spans="1:4" x14ac:dyDescent="0.3">
      <c r="A7838" s="34">
        <v>56093</v>
      </c>
      <c r="B7838" s="35">
        <v>1</v>
      </c>
      <c r="C7838" s="35">
        <v>0</v>
      </c>
      <c r="D7838" s="2">
        <f t="shared" si="122"/>
        <v>1</v>
      </c>
    </row>
    <row r="7839" spans="1:4" x14ac:dyDescent="0.3">
      <c r="A7839" s="34">
        <v>56094</v>
      </c>
      <c r="B7839" s="35">
        <v>1</v>
      </c>
      <c r="C7839" s="35">
        <v>0</v>
      </c>
      <c r="D7839" s="2">
        <f t="shared" si="122"/>
        <v>1</v>
      </c>
    </row>
    <row r="7840" spans="1:4" x14ac:dyDescent="0.3">
      <c r="A7840" s="34">
        <v>56100</v>
      </c>
      <c r="B7840" s="35">
        <v>1</v>
      </c>
      <c r="C7840" s="35">
        <v>0</v>
      </c>
      <c r="D7840" s="2">
        <f t="shared" si="122"/>
        <v>1</v>
      </c>
    </row>
    <row r="7841" spans="1:4" x14ac:dyDescent="0.3">
      <c r="A7841" s="34">
        <v>56101</v>
      </c>
      <c r="B7841" s="35">
        <v>1</v>
      </c>
      <c r="C7841" s="35">
        <v>0</v>
      </c>
      <c r="D7841" s="2">
        <f t="shared" si="122"/>
        <v>1</v>
      </c>
    </row>
    <row r="7842" spans="1:4" x14ac:dyDescent="0.3">
      <c r="A7842" s="34">
        <v>56102</v>
      </c>
      <c r="B7842" s="35">
        <v>1</v>
      </c>
      <c r="C7842" s="35">
        <v>0</v>
      </c>
      <c r="D7842" s="2">
        <f t="shared" si="122"/>
        <v>1</v>
      </c>
    </row>
    <row r="7843" spans="1:4" x14ac:dyDescent="0.3">
      <c r="A7843" s="34">
        <v>56105</v>
      </c>
      <c r="B7843" s="35">
        <v>1</v>
      </c>
      <c r="C7843" s="35">
        <v>0</v>
      </c>
      <c r="D7843" s="2">
        <f t="shared" si="122"/>
        <v>1</v>
      </c>
    </row>
    <row r="7844" spans="1:4" x14ac:dyDescent="0.3">
      <c r="A7844" s="34">
        <v>56108</v>
      </c>
      <c r="B7844" s="35">
        <v>1</v>
      </c>
      <c r="C7844" s="35">
        <v>0</v>
      </c>
      <c r="D7844" s="2">
        <f t="shared" si="122"/>
        <v>1</v>
      </c>
    </row>
    <row r="7845" spans="1:4" x14ac:dyDescent="0.3">
      <c r="A7845" s="34">
        <v>56109</v>
      </c>
      <c r="B7845" s="35">
        <v>1</v>
      </c>
      <c r="C7845" s="35">
        <v>0</v>
      </c>
      <c r="D7845" s="2">
        <f t="shared" si="122"/>
        <v>1</v>
      </c>
    </row>
    <row r="7846" spans="1:4" x14ac:dyDescent="0.3">
      <c r="A7846" s="34">
        <v>56112</v>
      </c>
      <c r="B7846" s="35">
        <v>1</v>
      </c>
      <c r="C7846" s="35">
        <v>0</v>
      </c>
      <c r="D7846" s="2">
        <f t="shared" si="122"/>
        <v>1</v>
      </c>
    </row>
    <row r="7847" spans="1:4" x14ac:dyDescent="0.3">
      <c r="A7847" s="34">
        <v>56113</v>
      </c>
      <c r="B7847" s="35">
        <v>1</v>
      </c>
      <c r="C7847" s="35">
        <v>1</v>
      </c>
      <c r="D7847" s="2">
        <f t="shared" si="122"/>
        <v>2</v>
      </c>
    </row>
    <row r="7848" spans="1:4" x14ac:dyDescent="0.3">
      <c r="A7848" s="34">
        <v>56115</v>
      </c>
      <c r="B7848" s="35">
        <v>1</v>
      </c>
      <c r="C7848" s="35">
        <v>0</v>
      </c>
      <c r="D7848" s="2">
        <f t="shared" si="122"/>
        <v>1</v>
      </c>
    </row>
    <row r="7849" spans="1:4" x14ac:dyDescent="0.3">
      <c r="A7849" s="34">
        <v>56116</v>
      </c>
      <c r="B7849" s="35">
        <v>1</v>
      </c>
      <c r="C7849" s="35">
        <v>0</v>
      </c>
      <c r="D7849" s="2">
        <f t="shared" si="122"/>
        <v>1</v>
      </c>
    </row>
    <row r="7850" spans="1:4" x14ac:dyDescent="0.3">
      <c r="A7850" s="34">
        <v>56118</v>
      </c>
      <c r="B7850" s="35">
        <v>1</v>
      </c>
      <c r="C7850" s="35">
        <v>0</v>
      </c>
      <c r="D7850" s="2">
        <f t="shared" si="122"/>
        <v>1</v>
      </c>
    </row>
    <row r="7851" spans="1:4" x14ac:dyDescent="0.3">
      <c r="A7851" s="34">
        <v>56119</v>
      </c>
      <c r="B7851" s="35">
        <v>1</v>
      </c>
      <c r="C7851" s="35">
        <v>0</v>
      </c>
      <c r="D7851" s="2">
        <f t="shared" si="122"/>
        <v>1</v>
      </c>
    </row>
    <row r="7852" spans="1:4" x14ac:dyDescent="0.3">
      <c r="A7852" s="34">
        <v>56122</v>
      </c>
      <c r="B7852" s="35">
        <v>1</v>
      </c>
      <c r="C7852" s="35">
        <v>0</v>
      </c>
      <c r="D7852" s="2">
        <f t="shared" si="122"/>
        <v>1</v>
      </c>
    </row>
    <row r="7853" spans="1:4" x14ac:dyDescent="0.3">
      <c r="A7853" s="34">
        <v>56127</v>
      </c>
      <c r="B7853" s="35">
        <v>1</v>
      </c>
      <c r="C7853" s="35">
        <v>0</v>
      </c>
      <c r="D7853" s="2">
        <f t="shared" si="122"/>
        <v>1</v>
      </c>
    </row>
    <row r="7854" spans="1:4" x14ac:dyDescent="0.3">
      <c r="A7854" s="34">
        <v>56131</v>
      </c>
      <c r="B7854" s="35">
        <v>2</v>
      </c>
      <c r="C7854" s="35">
        <v>2</v>
      </c>
      <c r="D7854" s="2">
        <f t="shared" si="122"/>
        <v>4</v>
      </c>
    </row>
    <row r="7855" spans="1:4" x14ac:dyDescent="0.3">
      <c r="A7855" s="34">
        <v>56137</v>
      </c>
      <c r="B7855" s="35">
        <v>1</v>
      </c>
      <c r="C7855" s="35">
        <v>0</v>
      </c>
      <c r="D7855" s="2">
        <f t="shared" si="122"/>
        <v>1</v>
      </c>
    </row>
    <row r="7856" spans="1:4" x14ac:dyDescent="0.3">
      <c r="A7856" s="34">
        <v>56138</v>
      </c>
      <c r="B7856" s="35">
        <v>1</v>
      </c>
      <c r="C7856" s="35">
        <v>0</v>
      </c>
      <c r="D7856" s="2">
        <f t="shared" si="122"/>
        <v>1</v>
      </c>
    </row>
    <row r="7857" spans="1:4" x14ac:dyDescent="0.3">
      <c r="A7857" s="34">
        <v>56139</v>
      </c>
      <c r="B7857" s="35">
        <v>1</v>
      </c>
      <c r="C7857" s="35">
        <v>0</v>
      </c>
      <c r="D7857" s="2">
        <f t="shared" si="122"/>
        <v>1</v>
      </c>
    </row>
    <row r="7858" spans="1:4" x14ac:dyDescent="0.3">
      <c r="A7858" s="34">
        <v>56145</v>
      </c>
      <c r="B7858" s="35">
        <v>1</v>
      </c>
      <c r="C7858" s="35">
        <v>0</v>
      </c>
      <c r="D7858" s="2">
        <f t="shared" si="122"/>
        <v>1</v>
      </c>
    </row>
    <row r="7859" spans="1:4" x14ac:dyDescent="0.3">
      <c r="A7859" s="34">
        <v>56147</v>
      </c>
      <c r="B7859" s="35">
        <v>1</v>
      </c>
      <c r="C7859" s="35">
        <v>0</v>
      </c>
      <c r="D7859" s="2">
        <f t="shared" si="122"/>
        <v>1</v>
      </c>
    </row>
    <row r="7860" spans="1:4" x14ac:dyDescent="0.3">
      <c r="A7860" s="34">
        <v>56148</v>
      </c>
      <c r="B7860" s="35">
        <v>1</v>
      </c>
      <c r="C7860" s="35">
        <v>0</v>
      </c>
      <c r="D7860" s="2">
        <f t="shared" si="122"/>
        <v>1</v>
      </c>
    </row>
    <row r="7861" spans="1:4" x14ac:dyDescent="0.3">
      <c r="A7861" s="34">
        <v>56149</v>
      </c>
      <c r="B7861" s="35">
        <v>1</v>
      </c>
      <c r="C7861" s="35">
        <v>1</v>
      </c>
      <c r="D7861" s="2">
        <f t="shared" si="122"/>
        <v>2</v>
      </c>
    </row>
    <row r="7862" spans="1:4" x14ac:dyDescent="0.3">
      <c r="A7862" s="34">
        <v>56150</v>
      </c>
      <c r="B7862" s="35">
        <v>1</v>
      </c>
      <c r="C7862" s="35">
        <v>1</v>
      </c>
      <c r="D7862" s="2">
        <f t="shared" si="122"/>
        <v>2</v>
      </c>
    </row>
    <row r="7863" spans="1:4" x14ac:dyDescent="0.3">
      <c r="A7863" s="34">
        <v>56151</v>
      </c>
      <c r="B7863" s="35">
        <v>1</v>
      </c>
      <c r="C7863" s="35">
        <v>0</v>
      </c>
      <c r="D7863" s="2">
        <f t="shared" si="122"/>
        <v>1</v>
      </c>
    </row>
    <row r="7864" spans="1:4" x14ac:dyDescent="0.3">
      <c r="A7864" s="34">
        <v>56186</v>
      </c>
      <c r="B7864" s="35">
        <v>1</v>
      </c>
      <c r="C7864" s="35">
        <v>0</v>
      </c>
      <c r="D7864" s="2">
        <f t="shared" si="122"/>
        <v>1</v>
      </c>
    </row>
    <row r="7865" spans="1:4" x14ac:dyDescent="0.3">
      <c r="A7865" s="34">
        <v>56193</v>
      </c>
      <c r="B7865" s="35">
        <v>1</v>
      </c>
      <c r="C7865" s="35">
        <v>0</v>
      </c>
      <c r="D7865" s="2">
        <f t="shared" si="122"/>
        <v>1</v>
      </c>
    </row>
    <row r="7866" spans="1:4" x14ac:dyDescent="0.3">
      <c r="A7866" s="34">
        <v>56194</v>
      </c>
      <c r="B7866" s="35">
        <v>1</v>
      </c>
      <c r="C7866" s="35">
        <v>0</v>
      </c>
      <c r="D7866" s="2">
        <f t="shared" si="122"/>
        <v>1</v>
      </c>
    </row>
    <row r="7867" spans="1:4" x14ac:dyDescent="0.3">
      <c r="A7867" s="34">
        <v>56195</v>
      </c>
      <c r="B7867" s="35">
        <v>3</v>
      </c>
      <c r="C7867" s="35">
        <v>0</v>
      </c>
      <c r="D7867" s="2">
        <f t="shared" si="122"/>
        <v>3</v>
      </c>
    </row>
    <row r="7868" spans="1:4" x14ac:dyDescent="0.3">
      <c r="A7868" s="34">
        <v>56198</v>
      </c>
      <c r="B7868" s="35">
        <v>1</v>
      </c>
      <c r="C7868" s="35">
        <v>1</v>
      </c>
      <c r="D7868" s="2">
        <f t="shared" si="122"/>
        <v>2</v>
      </c>
    </row>
    <row r="7869" spans="1:4" x14ac:dyDescent="0.3">
      <c r="A7869" s="34">
        <v>56200</v>
      </c>
      <c r="B7869" s="35">
        <v>1</v>
      </c>
      <c r="C7869" s="35">
        <v>0</v>
      </c>
      <c r="D7869" s="2">
        <f t="shared" si="122"/>
        <v>1</v>
      </c>
    </row>
    <row r="7870" spans="1:4" x14ac:dyDescent="0.3">
      <c r="A7870" s="34">
        <v>56203</v>
      </c>
      <c r="B7870" s="35">
        <v>1</v>
      </c>
      <c r="C7870" s="35">
        <v>1</v>
      </c>
      <c r="D7870" s="2">
        <f t="shared" si="122"/>
        <v>2</v>
      </c>
    </row>
    <row r="7871" spans="1:4" x14ac:dyDescent="0.3">
      <c r="A7871" s="34">
        <v>56205</v>
      </c>
      <c r="B7871" s="35">
        <v>1</v>
      </c>
      <c r="C7871" s="35">
        <v>1</v>
      </c>
      <c r="D7871" s="2">
        <f t="shared" si="122"/>
        <v>2</v>
      </c>
    </row>
    <row r="7872" spans="1:4" x14ac:dyDescent="0.3">
      <c r="A7872" s="34">
        <v>56209</v>
      </c>
      <c r="B7872" s="35">
        <v>1</v>
      </c>
      <c r="C7872" s="35">
        <v>1</v>
      </c>
      <c r="D7872" s="2">
        <f t="shared" si="122"/>
        <v>2</v>
      </c>
    </row>
    <row r="7873" spans="1:4" x14ac:dyDescent="0.3">
      <c r="A7873" s="34">
        <v>56210</v>
      </c>
      <c r="B7873" s="35">
        <v>1</v>
      </c>
      <c r="C7873" s="35">
        <v>0</v>
      </c>
      <c r="D7873" s="2">
        <f t="shared" si="122"/>
        <v>1</v>
      </c>
    </row>
    <row r="7874" spans="1:4" x14ac:dyDescent="0.3">
      <c r="A7874" s="34">
        <v>56211</v>
      </c>
      <c r="B7874" s="35">
        <v>1</v>
      </c>
      <c r="C7874" s="35">
        <v>0</v>
      </c>
      <c r="D7874" s="2">
        <f t="shared" si="122"/>
        <v>1</v>
      </c>
    </row>
    <row r="7875" spans="1:4" x14ac:dyDescent="0.3">
      <c r="A7875" s="34">
        <v>56213</v>
      </c>
      <c r="B7875" s="35">
        <v>1</v>
      </c>
      <c r="C7875" s="35">
        <v>0</v>
      </c>
      <c r="D7875" s="2">
        <f t="shared" ref="D7875:D7938" si="123">B7875+C7875</f>
        <v>1</v>
      </c>
    </row>
    <row r="7876" spans="1:4" x14ac:dyDescent="0.3">
      <c r="A7876" s="34">
        <v>56214</v>
      </c>
      <c r="B7876" s="35">
        <v>1</v>
      </c>
      <c r="C7876" s="35">
        <v>0</v>
      </c>
      <c r="D7876" s="2">
        <f t="shared" si="123"/>
        <v>1</v>
      </c>
    </row>
    <row r="7877" spans="1:4" x14ac:dyDescent="0.3">
      <c r="A7877" s="34">
        <v>56385</v>
      </c>
      <c r="B7877" s="35">
        <v>1</v>
      </c>
      <c r="C7877" s="35">
        <v>0</v>
      </c>
      <c r="D7877" s="2">
        <f t="shared" si="123"/>
        <v>1</v>
      </c>
    </row>
    <row r="7878" spans="1:4" x14ac:dyDescent="0.3">
      <c r="A7878" s="34">
        <v>56386</v>
      </c>
      <c r="B7878" s="35">
        <v>1</v>
      </c>
      <c r="C7878" s="35">
        <v>1</v>
      </c>
      <c r="D7878" s="2">
        <f t="shared" si="123"/>
        <v>2</v>
      </c>
    </row>
    <row r="7879" spans="1:4" x14ac:dyDescent="0.3">
      <c r="A7879" s="34">
        <v>56388</v>
      </c>
      <c r="B7879" s="35">
        <v>1</v>
      </c>
      <c r="C7879" s="35">
        <v>0</v>
      </c>
      <c r="D7879" s="2">
        <f t="shared" si="123"/>
        <v>1</v>
      </c>
    </row>
    <row r="7880" spans="1:4" x14ac:dyDescent="0.3">
      <c r="A7880" s="34">
        <v>56389</v>
      </c>
      <c r="B7880" s="35">
        <v>2</v>
      </c>
      <c r="C7880" s="35">
        <v>0</v>
      </c>
      <c r="D7880" s="2">
        <f t="shared" si="123"/>
        <v>2</v>
      </c>
    </row>
    <row r="7881" spans="1:4" x14ac:dyDescent="0.3">
      <c r="A7881" s="34">
        <v>56391</v>
      </c>
      <c r="B7881" s="35">
        <v>1</v>
      </c>
      <c r="C7881" s="35">
        <v>0</v>
      </c>
      <c r="D7881" s="2">
        <f t="shared" si="123"/>
        <v>1</v>
      </c>
    </row>
    <row r="7882" spans="1:4" x14ac:dyDescent="0.3">
      <c r="A7882" s="34">
        <v>56393</v>
      </c>
      <c r="B7882" s="35">
        <v>2</v>
      </c>
      <c r="C7882" s="35">
        <v>0</v>
      </c>
      <c r="D7882" s="2">
        <f t="shared" si="123"/>
        <v>2</v>
      </c>
    </row>
    <row r="7883" spans="1:4" x14ac:dyDescent="0.3">
      <c r="A7883" s="34">
        <v>56396</v>
      </c>
      <c r="B7883" s="35">
        <v>1</v>
      </c>
      <c r="C7883" s="35">
        <v>0</v>
      </c>
      <c r="D7883" s="2">
        <f t="shared" si="123"/>
        <v>1</v>
      </c>
    </row>
    <row r="7884" spans="1:4" x14ac:dyDescent="0.3">
      <c r="A7884" s="34">
        <v>56400</v>
      </c>
      <c r="B7884" s="35">
        <v>1</v>
      </c>
      <c r="C7884" s="35">
        <v>0</v>
      </c>
      <c r="D7884" s="2">
        <f t="shared" si="123"/>
        <v>1</v>
      </c>
    </row>
    <row r="7885" spans="1:4" x14ac:dyDescent="0.3">
      <c r="A7885" s="34">
        <v>56405</v>
      </c>
      <c r="B7885" s="35">
        <v>1</v>
      </c>
      <c r="C7885" s="35">
        <v>0</v>
      </c>
      <c r="D7885" s="2">
        <f t="shared" si="123"/>
        <v>1</v>
      </c>
    </row>
    <row r="7886" spans="1:4" x14ac:dyDescent="0.3">
      <c r="A7886" s="34">
        <v>56406</v>
      </c>
      <c r="B7886" s="35">
        <v>1</v>
      </c>
      <c r="C7886" s="35">
        <v>0</v>
      </c>
      <c r="D7886" s="2">
        <f t="shared" si="123"/>
        <v>1</v>
      </c>
    </row>
    <row r="7887" spans="1:4" x14ac:dyDescent="0.3">
      <c r="A7887" s="34">
        <v>56407</v>
      </c>
      <c r="B7887" s="35">
        <v>1</v>
      </c>
      <c r="C7887" s="35">
        <v>1</v>
      </c>
      <c r="D7887" s="2">
        <f t="shared" si="123"/>
        <v>2</v>
      </c>
    </row>
    <row r="7888" spans="1:4" x14ac:dyDescent="0.3">
      <c r="A7888" s="34">
        <v>56409</v>
      </c>
      <c r="B7888" s="35">
        <v>1</v>
      </c>
      <c r="C7888" s="35">
        <v>0</v>
      </c>
      <c r="D7888" s="2">
        <f t="shared" si="123"/>
        <v>1</v>
      </c>
    </row>
    <row r="7889" spans="1:4" x14ac:dyDescent="0.3">
      <c r="A7889" s="34">
        <v>56410</v>
      </c>
      <c r="B7889" s="35">
        <v>1</v>
      </c>
      <c r="C7889" s="35">
        <v>0</v>
      </c>
      <c r="D7889" s="2">
        <f t="shared" si="123"/>
        <v>1</v>
      </c>
    </row>
    <row r="7890" spans="1:4" x14ac:dyDescent="0.3">
      <c r="A7890" s="34">
        <v>56411</v>
      </c>
      <c r="B7890" s="35">
        <v>1</v>
      </c>
      <c r="C7890" s="35">
        <v>0</v>
      </c>
      <c r="D7890" s="2">
        <f t="shared" si="123"/>
        <v>1</v>
      </c>
    </row>
    <row r="7891" spans="1:4" x14ac:dyDescent="0.3">
      <c r="A7891" s="34">
        <v>56413</v>
      </c>
      <c r="B7891" s="35">
        <v>1</v>
      </c>
      <c r="C7891" s="35">
        <v>0</v>
      </c>
      <c r="D7891" s="2">
        <f t="shared" si="123"/>
        <v>1</v>
      </c>
    </row>
    <row r="7892" spans="1:4" x14ac:dyDescent="0.3">
      <c r="A7892" s="34">
        <v>56414</v>
      </c>
      <c r="B7892" s="35">
        <v>1</v>
      </c>
      <c r="C7892" s="35">
        <v>0</v>
      </c>
      <c r="D7892" s="2">
        <f t="shared" si="123"/>
        <v>1</v>
      </c>
    </row>
    <row r="7893" spans="1:4" x14ac:dyDescent="0.3">
      <c r="A7893" s="34">
        <v>56415</v>
      </c>
      <c r="B7893" s="35">
        <v>1</v>
      </c>
      <c r="C7893" s="35">
        <v>0</v>
      </c>
      <c r="D7893" s="2">
        <f t="shared" si="123"/>
        <v>1</v>
      </c>
    </row>
    <row r="7894" spans="1:4" x14ac:dyDescent="0.3">
      <c r="A7894" s="34">
        <v>56421</v>
      </c>
      <c r="B7894" s="35">
        <v>1</v>
      </c>
      <c r="C7894" s="35">
        <v>1</v>
      </c>
      <c r="D7894" s="2">
        <f t="shared" si="123"/>
        <v>2</v>
      </c>
    </row>
    <row r="7895" spans="1:4" x14ac:dyDescent="0.3">
      <c r="A7895" s="34">
        <v>56423</v>
      </c>
      <c r="B7895" s="35">
        <v>1</v>
      </c>
      <c r="C7895" s="35">
        <v>0</v>
      </c>
      <c r="D7895" s="2">
        <f t="shared" si="123"/>
        <v>1</v>
      </c>
    </row>
    <row r="7896" spans="1:4" x14ac:dyDescent="0.3">
      <c r="A7896" s="34">
        <v>56424</v>
      </c>
      <c r="B7896" s="35">
        <v>1</v>
      </c>
      <c r="C7896" s="35">
        <v>0</v>
      </c>
      <c r="D7896" s="2">
        <f t="shared" si="123"/>
        <v>1</v>
      </c>
    </row>
    <row r="7897" spans="1:4" x14ac:dyDescent="0.3">
      <c r="A7897" s="34">
        <v>56425</v>
      </c>
      <c r="B7897" s="35">
        <v>1</v>
      </c>
      <c r="C7897" s="35">
        <v>0</v>
      </c>
      <c r="D7897" s="2">
        <f t="shared" si="123"/>
        <v>1</v>
      </c>
    </row>
    <row r="7898" spans="1:4" x14ac:dyDescent="0.3">
      <c r="A7898" s="34">
        <v>56428</v>
      </c>
      <c r="B7898" s="35">
        <v>2</v>
      </c>
      <c r="C7898" s="35">
        <v>2</v>
      </c>
      <c r="D7898" s="2">
        <f t="shared" si="123"/>
        <v>4</v>
      </c>
    </row>
    <row r="7899" spans="1:4" x14ac:dyDescent="0.3">
      <c r="A7899" s="34">
        <v>56432</v>
      </c>
      <c r="B7899" s="35">
        <v>2</v>
      </c>
      <c r="C7899" s="35">
        <v>0</v>
      </c>
      <c r="D7899" s="2">
        <f t="shared" si="123"/>
        <v>2</v>
      </c>
    </row>
    <row r="7900" spans="1:4" x14ac:dyDescent="0.3">
      <c r="A7900" s="34">
        <v>56436</v>
      </c>
      <c r="B7900" s="35">
        <v>1</v>
      </c>
      <c r="C7900" s="35">
        <v>0</v>
      </c>
      <c r="D7900" s="2">
        <f t="shared" si="123"/>
        <v>1</v>
      </c>
    </row>
    <row r="7901" spans="1:4" x14ac:dyDescent="0.3">
      <c r="A7901" s="34">
        <v>56439</v>
      </c>
      <c r="B7901" s="35">
        <v>1</v>
      </c>
      <c r="C7901" s="35">
        <v>0</v>
      </c>
      <c r="D7901" s="2">
        <f t="shared" si="123"/>
        <v>1</v>
      </c>
    </row>
    <row r="7902" spans="1:4" x14ac:dyDescent="0.3">
      <c r="A7902" s="34">
        <v>56440</v>
      </c>
      <c r="B7902" s="35">
        <v>1</v>
      </c>
      <c r="C7902" s="35">
        <v>0</v>
      </c>
      <c r="D7902" s="2">
        <f t="shared" si="123"/>
        <v>1</v>
      </c>
    </row>
    <row r="7903" spans="1:4" x14ac:dyDescent="0.3">
      <c r="A7903" s="34">
        <v>56441</v>
      </c>
      <c r="B7903" s="35">
        <v>1</v>
      </c>
      <c r="C7903" s="35">
        <v>1</v>
      </c>
      <c r="D7903" s="2">
        <f t="shared" si="123"/>
        <v>2</v>
      </c>
    </row>
    <row r="7904" spans="1:4" x14ac:dyDescent="0.3">
      <c r="A7904" s="34">
        <v>56442</v>
      </c>
      <c r="B7904" s="35">
        <v>1</v>
      </c>
      <c r="C7904" s="35">
        <v>0</v>
      </c>
      <c r="D7904" s="2">
        <f t="shared" si="123"/>
        <v>1</v>
      </c>
    </row>
    <row r="7905" spans="1:4" x14ac:dyDescent="0.3">
      <c r="A7905" s="34">
        <v>56444</v>
      </c>
      <c r="B7905" s="35">
        <v>1</v>
      </c>
      <c r="C7905" s="35">
        <v>1</v>
      </c>
      <c r="D7905" s="2">
        <f t="shared" si="123"/>
        <v>2</v>
      </c>
    </row>
    <row r="7906" spans="1:4" x14ac:dyDescent="0.3">
      <c r="A7906" s="34">
        <v>56733</v>
      </c>
      <c r="B7906" s="35">
        <v>1</v>
      </c>
      <c r="C7906" s="35">
        <v>0</v>
      </c>
      <c r="D7906" s="2">
        <f t="shared" si="123"/>
        <v>1</v>
      </c>
    </row>
    <row r="7907" spans="1:4" x14ac:dyDescent="0.3">
      <c r="A7907" s="34">
        <v>56734</v>
      </c>
      <c r="B7907" s="35">
        <v>1</v>
      </c>
      <c r="C7907" s="35">
        <v>0</v>
      </c>
      <c r="D7907" s="2">
        <f t="shared" si="123"/>
        <v>1</v>
      </c>
    </row>
    <row r="7908" spans="1:4" x14ac:dyDescent="0.3">
      <c r="A7908" s="34">
        <v>56735</v>
      </c>
      <c r="B7908" s="35">
        <v>1</v>
      </c>
      <c r="C7908" s="35">
        <v>0</v>
      </c>
      <c r="D7908" s="2">
        <f t="shared" si="123"/>
        <v>1</v>
      </c>
    </row>
    <row r="7909" spans="1:4" x14ac:dyDescent="0.3">
      <c r="A7909" s="34">
        <v>56738</v>
      </c>
      <c r="B7909" s="35">
        <v>1</v>
      </c>
      <c r="C7909" s="35">
        <v>0</v>
      </c>
      <c r="D7909" s="2">
        <f t="shared" si="123"/>
        <v>1</v>
      </c>
    </row>
    <row r="7910" spans="1:4" x14ac:dyDescent="0.3">
      <c r="A7910" s="34">
        <v>56739</v>
      </c>
      <c r="B7910" s="35">
        <v>1</v>
      </c>
      <c r="C7910" s="35">
        <v>0</v>
      </c>
      <c r="D7910" s="2">
        <f t="shared" si="123"/>
        <v>1</v>
      </c>
    </row>
    <row r="7911" spans="1:4" x14ac:dyDescent="0.3">
      <c r="A7911" s="34">
        <v>56741</v>
      </c>
      <c r="B7911" s="35">
        <v>1</v>
      </c>
      <c r="C7911" s="35">
        <v>0</v>
      </c>
      <c r="D7911" s="2">
        <f t="shared" si="123"/>
        <v>1</v>
      </c>
    </row>
    <row r="7912" spans="1:4" x14ac:dyDescent="0.3">
      <c r="A7912" s="34">
        <v>56750</v>
      </c>
      <c r="B7912" s="35">
        <v>2</v>
      </c>
      <c r="C7912" s="35">
        <v>2</v>
      </c>
      <c r="D7912" s="2">
        <f t="shared" si="123"/>
        <v>4</v>
      </c>
    </row>
    <row r="7913" spans="1:4" x14ac:dyDescent="0.3">
      <c r="A7913" s="34">
        <v>56753</v>
      </c>
      <c r="B7913" s="35">
        <v>1</v>
      </c>
      <c r="C7913" s="35">
        <v>0</v>
      </c>
      <c r="D7913" s="2">
        <f t="shared" si="123"/>
        <v>1</v>
      </c>
    </row>
    <row r="7914" spans="1:4" x14ac:dyDescent="0.3">
      <c r="A7914" s="34">
        <v>56754</v>
      </c>
      <c r="B7914" s="35">
        <v>1</v>
      </c>
      <c r="C7914" s="35">
        <v>0</v>
      </c>
      <c r="D7914" s="2">
        <f t="shared" si="123"/>
        <v>1</v>
      </c>
    </row>
    <row r="7915" spans="1:4" x14ac:dyDescent="0.3">
      <c r="A7915" s="34">
        <v>56756</v>
      </c>
      <c r="B7915" s="35">
        <v>1</v>
      </c>
      <c r="C7915" s="35">
        <v>0</v>
      </c>
      <c r="D7915" s="2">
        <f t="shared" si="123"/>
        <v>1</v>
      </c>
    </row>
    <row r="7916" spans="1:4" x14ac:dyDescent="0.3">
      <c r="A7916" s="34">
        <v>56758</v>
      </c>
      <c r="B7916" s="35">
        <v>1</v>
      </c>
      <c r="C7916" s="35">
        <v>0</v>
      </c>
      <c r="D7916" s="2">
        <f t="shared" si="123"/>
        <v>1</v>
      </c>
    </row>
    <row r="7917" spans="1:4" x14ac:dyDescent="0.3">
      <c r="A7917" s="34">
        <v>56759</v>
      </c>
      <c r="B7917" s="35">
        <v>1</v>
      </c>
      <c r="C7917" s="35">
        <v>1</v>
      </c>
      <c r="D7917" s="2">
        <f t="shared" si="123"/>
        <v>2</v>
      </c>
    </row>
    <row r="7918" spans="1:4" x14ac:dyDescent="0.3">
      <c r="A7918" s="34">
        <v>56761</v>
      </c>
      <c r="B7918" s="35">
        <v>1</v>
      </c>
      <c r="C7918" s="35">
        <v>0</v>
      </c>
      <c r="D7918" s="2">
        <f t="shared" si="123"/>
        <v>1</v>
      </c>
    </row>
    <row r="7919" spans="1:4" x14ac:dyDescent="0.3">
      <c r="A7919" s="34">
        <v>56762</v>
      </c>
      <c r="B7919" s="35">
        <v>1</v>
      </c>
      <c r="C7919" s="35">
        <v>1</v>
      </c>
      <c r="D7919" s="2">
        <f t="shared" si="123"/>
        <v>2</v>
      </c>
    </row>
    <row r="7920" spans="1:4" x14ac:dyDescent="0.3">
      <c r="A7920" s="34">
        <v>56763</v>
      </c>
      <c r="B7920" s="35">
        <v>1</v>
      </c>
      <c r="C7920" s="35">
        <v>0</v>
      </c>
      <c r="D7920" s="2">
        <f t="shared" si="123"/>
        <v>1</v>
      </c>
    </row>
    <row r="7921" spans="1:4" x14ac:dyDescent="0.3">
      <c r="A7921" s="34">
        <v>56764</v>
      </c>
      <c r="B7921" s="35">
        <v>1</v>
      </c>
      <c r="C7921" s="35">
        <v>0</v>
      </c>
      <c r="D7921" s="2">
        <f t="shared" si="123"/>
        <v>1</v>
      </c>
    </row>
    <row r="7922" spans="1:4" x14ac:dyDescent="0.3">
      <c r="A7922" s="34">
        <v>56768</v>
      </c>
      <c r="B7922" s="35">
        <v>1</v>
      </c>
      <c r="C7922" s="35">
        <v>0</v>
      </c>
      <c r="D7922" s="2">
        <f t="shared" si="123"/>
        <v>1</v>
      </c>
    </row>
    <row r="7923" spans="1:4" x14ac:dyDescent="0.3">
      <c r="A7923" s="34">
        <v>56769</v>
      </c>
      <c r="B7923" s="35">
        <v>1</v>
      </c>
      <c r="C7923" s="35">
        <v>0</v>
      </c>
      <c r="D7923" s="2">
        <f t="shared" si="123"/>
        <v>1</v>
      </c>
    </row>
    <row r="7924" spans="1:4" x14ac:dyDescent="0.3">
      <c r="A7924" s="34">
        <v>56771</v>
      </c>
      <c r="B7924" s="35">
        <v>1</v>
      </c>
      <c r="C7924" s="35">
        <v>0</v>
      </c>
      <c r="D7924" s="2">
        <f t="shared" si="123"/>
        <v>1</v>
      </c>
    </row>
    <row r="7925" spans="1:4" x14ac:dyDescent="0.3">
      <c r="A7925" s="34">
        <v>56773</v>
      </c>
      <c r="B7925" s="35">
        <v>1</v>
      </c>
      <c r="C7925" s="35">
        <v>1</v>
      </c>
      <c r="D7925" s="2">
        <f t="shared" si="123"/>
        <v>2</v>
      </c>
    </row>
    <row r="7926" spans="1:4" x14ac:dyDescent="0.3">
      <c r="A7926" s="34">
        <v>56774</v>
      </c>
      <c r="B7926" s="35">
        <v>1</v>
      </c>
      <c r="C7926" s="35">
        <v>0</v>
      </c>
      <c r="D7926" s="2">
        <f t="shared" si="123"/>
        <v>1</v>
      </c>
    </row>
    <row r="7927" spans="1:4" x14ac:dyDescent="0.3">
      <c r="A7927" s="34">
        <v>56775</v>
      </c>
      <c r="B7927" s="35">
        <v>1</v>
      </c>
      <c r="C7927" s="35">
        <v>1</v>
      </c>
      <c r="D7927" s="2">
        <f t="shared" si="123"/>
        <v>2</v>
      </c>
    </row>
    <row r="7928" spans="1:4" x14ac:dyDescent="0.3">
      <c r="A7928" s="34">
        <v>56776</v>
      </c>
      <c r="B7928" s="35">
        <v>1</v>
      </c>
      <c r="C7928" s="35">
        <v>0</v>
      </c>
      <c r="D7928" s="2">
        <f t="shared" si="123"/>
        <v>1</v>
      </c>
    </row>
    <row r="7929" spans="1:4" x14ac:dyDescent="0.3">
      <c r="A7929" s="34">
        <v>56777</v>
      </c>
      <c r="B7929" s="35">
        <v>1</v>
      </c>
      <c r="C7929" s="35">
        <v>1</v>
      </c>
      <c r="D7929" s="2">
        <f t="shared" si="123"/>
        <v>2</v>
      </c>
    </row>
    <row r="7930" spans="1:4" x14ac:dyDescent="0.3">
      <c r="A7930" s="34">
        <v>56778</v>
      </c>
      <c r="B7930" s="35">
        <v>1</v>
      </c>
      <c r="C7930" s="35">
        <v>1</v>
      </c>
      <c r="D7930" s="2">
        <f t="shared" si="123"/>
        <v>2</v>
      </c>
    </row>
    <row r="7931" spans="1:4" x14ac:dyDescent="0.3">
      <c r="A7931" s="34">
        <v>56783</v>
      </c>
      <c r="B7931" s="35">
        <v>1</v>
      </c>
      <c r="C7931" s="35">
        <v>0</v>
      </c>
      <c r="D7931" s="2">
        <f t="shared" si="123"/>
        <v>1</v>
      </c>
    </row>
    <row r="7932" spans="1:4" x14ac:dyDescent="0.3">
      <c r="A7932" s="34">
        <v>56784</v>
      </c>
      <c r="B7932" s="35">
        <v>1</v>
      </c>
      <c r="C7932" s="35">
        <v>0</v>
      </c>
      <c r="D7932" s="2">
        <f t="shared" si="123"/>
        <v>1</v>
      </c>
    </row>
    <row r="7933" spans="1:4" x14ac:dyDescent="0.3">
      <c r="A7933" s="34">
        <v>56825</v>
      </c>
      <c r="B7933" s="35">
        <v>2</v>
      </c>
      <c r="C7933" s="35">
        <v>1</v>
      </c>
      <c r="D7933" s="2">
        <f t="shared" si="123"/>
        <v>3</v>
      </c>
    </row>
    <row r="7934" spans="1:4" x14ac:dyDescent="0.3">
      <c r="A7934" s="34">
        <v>56826</v>
      </c>
      <c r="B7934" s="35">
        <v>1</v>
      </c>
      <c r="C7934" s="35">
        <v>0</v>
      </c>
      <c r="D7934" s="2">
        <f t="shared" si="123"/>
        <v>1</v>
      </c>
    </row>
    <row r="7935" spans="1:4" x14ac:dyDescent="0.3">
      <c r="A7935" s="34">
        <v>56834</v>
      </c>
      <c r="B7935" s="35">
        <v>1</v>
      </c>
      <c r="C7935" s="35">
        <v>0</v>
      </c>
      <c r="D7935" s="2">
        <f t="shared" si="123"/>
        <v>1</v>
      </c>
    </row>
    <row r="7936" spans="1:4" x14ac:dyDescent="0.3">
      <c r="A7936" s="34">
        <v>56836</v>
      </c>
      <c r="B7936" s="35">
        <v>2</v>
      </c>
      <c r="C7936" s="35">
        <v>0</v>
      </c>
      <c r="D7936" s="2">
        <f t="shared" si="123"/>
        <v>2</v>
      </c>
    </row>
    <row r="7937" spans="1:4" x14ac:dyDescent="0.3">
      <c r="A7937" s="34">
        <v>56838</v>
      </c>
      <c r="B7937" s="35">
        <v>1</v>
      </c>
      <c r="C7937" s="35">
        <v>1</v>
      </c>
      <c r="D7937" s="2">
        <f t="shared" si="123"/>
        <v>2</v>
      </c>
    </row>
    <row r="7938" spans="1:4" x14ac:dyDescent="0.3">
      <c r="A7938" s="34">
        <v>56840</v>
      </c>
      <c r="B7938" s="35">
        <v>2</v>
      </c>
      <c r="C7938" s="35">
        <v>0</v>
      </c>
      <c r="D7938" s="2">
        <f t="shared" si="123"/>
        <v>2</v>
      </c>
    </row>
    <row r="7939" spans="1:4" x14ac:dyDescent="0.3">
      <c r="A7939" s="34">
        <v>56843</v>
      </c>
      <c r="B7939" s="35">
        <v>1</v>
      </c>
      <c r="C7939" s="35">
        <v>0</v>
      </c>
      <c r="D7939" s="2">
        <f t="shared" ref="D7939:D8002" si="124">B7939+C7939</f>
        <v>1</v>
      </c>
    </row>
    <row r="7940" spans="1:4" x14ac:dyDescent="0.3">
      <c r="A7940" s="34">
        <v>56844</v>
      </c>
      <c r="B7940" s="35">
        <v>1</v>
      </c>
      <c r="C7940" s="35">
        <v>0</v>
      </c>
      <c r="D7940" s="2">
        <f t="shared" si="124"/>
        <v>1</v>
      </c>
    </row>
    <row r="7941" spans="1:4" x14ac:dyDescent="0.3">
      <c r="A7941" s="34">
        <v>56847</v>
      </c>
      <c r="B7941" s="35">
        <v>1</v>
      </c>
      <c r="C7941" s="35">
        <v>0</v>
      </c>
      <c r="D7941" s="2">
        <f t="shared" si="124"/>
        <v>1</v>
      </c>
    </row>
    <row r="7942" spans="1:4" x14ac:dyDescent="0.3">
      <c r="A7942" s="34">
        <v>56851</v>
      </c>
      <c r="B7942" s="35">
        <v>1</v>
      </c>
      <c r="C7942" s="35">
        <v>0</v>
      </c>
      <c r="D7942" s="2">
        <f t="shared" si="124"/>
        <v>1</v>
      </c>
    </row>
    <row r="7943" spans="1:4" x14ac:dyDescent="0.3">
      <c r="A7943" s="34">
        <v>56852</v>
      </c>
      <c r="B7943" s="35">
        <v>1</v>
      </c>
      <c r="C7943" s="35">
        <v>0</v>
      </c>
      <c r="D7943" s="2">
        <f t="shared" si="124"/>
        <v>1</v>
      </c>
    </row>
    <row r="7944" spans="1:4" x14ac:dyDescent="0.3">
      <c r="A7944" s="34">
        <v>56857</v>
      </c>
      <c r="B7944" s="35">
        <v>1</v>
      </c>
      <c r="C7944" s="35">
        <v>0</v>
      </c>
      <c r="D7944" s="2">
        <f t="shared" si="124"/>
        <v>1</v>
      </c>
    </row>
    <row r="7945" spans="1:4" x14ac:dyDescent="0.3">
      <c r="A7945" s="34">
        <v>56860</v>
      </c>
      <c r="B7945" s="35">
        <v>1</v>
      </c>
      <c r="C7945" s="35">
        <v>0</v>
      </c>
      <c r="D7945" s="2">
        <f t="shared" si="124"/>
        <v>1</v>
      </c>
    </row>
    <row r="7946" spans="1:4" x14ac:dyDescent="0.3">
      <c r="A7946" s="34">
        <v>56861</v>
      </c>
      <c r="B7946" s="35">
        <v>1</v>
      </c>
      <c r="C7946" s="35">
        <v>0</v>
      </c>
      <c r="D7946" s="2">
        <f t="shared" si="124"/>
        <v>1</v>
      </c>
    </row>
    <row r="7947" spans="1:4" x14ac:dyDescent="0.3">
      <c r="A7947" s="34">
        <v>56862</v>
      </c>
      <c r="B7947" s="35">
        <v>1</v>
      </c>
      <c r="C7947" s="35">
        <v>0</v>
      </c>
      <c r="D7947" s="2">
        <f t="shared" si="124"/>
        <v>1</v>
      </c>
    </row>
    <row r="7948" spans="1:4" x14ac:dyDescent="0.3">
      <c r="A7948" s="34">
        <v>56863</v>
      </c>
      <c r="B7948" s="35">
        <v>1</v>
      </c>
      <c r="C7948" s="35">
        <v>0</v>
      </c>
      <c r="D7948" s="2">
        <f t="shared" si="124"/>
        <v>1</v>
      </c>
    </row>
    <row r="7949" spans="1:4" x14ac:dyDescent="0.3">
      <c r="A7949" s="34">
        <v>56864</v>
      </c>
      <c r="B7949" s="35">
        <v>1</v>
      </c>
      <c r="C7949" s="35">
        <v>0</v>
      </c>
      <c r="D7949" s="2">
        <f t="shared" si="124"/>
        <v>1</v>
      </c>
    </row>
    <row r="7950" spans="1:4" x14ac:dyDescent="0.3">
      <c r="A7950" s="34">
        <v>56865</v>
      </c>
      <c r="B7950" s="35">
        <v>1</v>
      </c>
      <c r="C7950" s="35">
        <v>0</v>
      </c>
      <c r="D7950" s="2">
        <f t="shared" si="124"/>
        <v>1</v>
      </c>
    </row>
    <row r="7951" spans="1:4" x14ac:dyDescent="0.3">
      <c r="A7951" s="34">
        <v>56867</v>
      </c>
      <c r="B7951" s="35">
        <v>1</v>
      </c>
      <c r="C7951" s="35">
        <v>0</v>
      </c>
      <c r="D7951" s="2">
        <f t="shared" si="124"/>
        <v>1</v>
      </c>
    </row>
    <row r="7952" spans="1:4" x14ac:dyDescent="0.3">
      <c r="A7952" s="34">
        <v>56868</v>
      </c>
      <c r="B7952" s="35">
        <v>1</v>
      </c>
      <c r="C7952" s="35">
        <v>0</v>
      </c>
      <c r="D7952" s="2">
        <f t="shared" si="124"/>
        <v>1</v>
      </c>
    </row>
    <row r="7953" spans="1:4" x14ac:dyDescent="0.3">
      <c r="A7953" s="34">
        <v>56869</v>
      </c>
      <c r="B7953" s="35">
        <v>1</v>
      </c>
      <c r="C7953" s="35">
        <v>0</v>
      </c>
      <c r="D7953" s="2">
        <f t="shared" si="124"/>
        <v>1</v>
      </c>
    </row>
    <row r="7954" spans="1:4" x14ac:dyDescent="0.3">
      <c r="A7954" s="34">
        <v>56871</v>
      </c>
      <c r="B7954" s="35">
        <v>1</v>
      </c>
      <c r="C7954" s="35">
        <v>0</v>
      </c>
      <c r="D7954" s="2">
        <f t="shared" si="124"/>
        <v>1</v>
      </c>
    </row>
    <row r="7955" spans="1:4" x14ac:dyDescent="0.3">
      <c r="A7955" s="34">
        <v>56878</v>
      </c>
      <c r="B7955" s="35">
        <v>1</v>
      </c>
      <c r="C7955" s="35">
        <v>0</v>
      </c>
      <c r="D7955" s="2">
        <f t="shared" si="124"/>
        <v>1</v>
      </c>
    </row>
    <row r="7956" spans="1:4" x14ac:dyDescent="0.3">
      <c r="A7956" s="34">
        <v>56905</v>
      </c>
      <c r="B7956" s="35">
        <v>1</v>
      </c>
      <c r="C7956" s="35">
        <v>0</v>
      </c>
      <c r="D7956" s="2">
        <f t="shared" si="124"/>
        <v>1</v>
      </c>
    </row>
    <row r="7957" spans="1:4" x14ac:dyDescent="0.3">
      <c r="A7957" s="34">
        <v>56906</v>
      </c>
      <c r="B7957" s="35">
        <v>1</v>
      </c>
      <c r="C7957" s="35">
        <v>0</v>
      </c>
      <c r="D7957" s="2">
        <f t="shared" si="124"/>
        <v>1</v>
      </c>
    </row>
    <row r="7958" spans="1:4" x14ac:dyDescent="0.3">
      <c r="A7958" s="34">
        <v>56908</v>
      </c>
      <c r="B7958" s="35">
        <v>1</v>
      </c>
      <c r="C7958" s="35">
        <v>0</v>
      </c>
      <c r="D7958" s="2">
        <f t="shared" si="124"/>
        <v>1</v>
      </c>
    </row>
    <row r="7959" spans="1:4" x14ac:dyDescent="0.3">
      <c r="A7959" s="34">
        <v>56909</v>
      </c>
      <c r="B7959" s="35">
        <v>1</v>
      </c>
      <c r="C7959" s="35">
        <v>0</v>
      </c>
      <c r="D7959" s="2">
        <f t="shared" si="124"/>
        <v>1</v>
      </c>
    </row>
    <row r="7960" spans="1:4" x14ac:dyDescent="0.3">
      <c r="A7960" s="34">
        <v>56911</v>
      </c>
      <c r="B7960" s="35">
        <v>1</v>
      </c>
      <c r="C7960" s="35">
        <v>0</v>
      </c>
      <c r="D7960" s="2">
        <f t="shared" si="124"/>
        <v>1</v>
      </c>
    </row>
    <row r="7961" spans="1:4" x14ac:dyDescent="0.3">
      <c r="A7961" s="34">
        <v>56917</v>
      </c>
      <c r="B7961" s="35">
        <v>1</v>
      </c>
      <c r="C7961" s="35">
        <v>0</v>
      </c>
      <c r="D7961" s="2">
        <f t="shared" si="124"/>
        <v>1</v>
      </c>
    </row>
    <row r="7962" spans="1:4" x14ac:dyDescent="0.3">
      <c r="A7962" s="34">
        <v>56918</v>
      </c>
      <c r="B7962" s="35">
        <v>1</v>
      </c>
      <c r="C7962" s="35">
        <v>0</v>
      </c>
      <c r="D7962" s="2">
        <f t="shared" si="124"/>
        <v>1</v>
      </c>
    </row>
    <row r="7963" spans="1:4" x14ac:dyDescent="0.3">
      <c r="A7963" s="34">
        <v>56920</v>
      </c>
      <c r="B7963" s="35">
        <v>1</v>
      </c>
      <c r="C7963" s="35">
        <v>0</v>
      </c>
      <c r="D7963" s="2">
        <f t="shared" si="124"/>
        <v>1</v>
      </c>
    </row>
    <row r="7964" spans="1:4" x14ac:dyDescent="0.3">
      <c r="A7964" s="34">
        <v>56925</v>
      </c>
      <c r="B7964" s="35">
        <v>1</v>
      </c>
      <c r="C7964" s="35">
        <v>0</v>
      </c>
      <c r="D7964" s="2">
        <f t="shared" si="124"/>
        <v>1</v>
      </c>
    </row>
    <row r="7965" spans="1:4" x14ac:dyDescent="0.3">
      <c r="A7965" s="34">
        <v>56926</v>
      </c>
      <c r="B7965" s="35">
        <v>1</v>
      </c>
      <c r="C7965" s="35">
        <v>0</v>
      </c>
      <c r="D7965" s="2">
        <f t="shared" si="124"/>
        <v>1</v>
      </c>
    </row>
    <row r="7966" spans="1:4" x14ac:dyDescent="0.3">
      <c r="A7966" s="34">
        <v>56927</v>
      </c>
      <c r="B7966" s="35">
        <v>1</v>
      </c>
      <c r="C7966" s="35">
        <v>0</v>
      </c>
      <c r="D7966" s="2">
        <f t="shared" si="124"/>
        <v>1</v>
      </c>
    </row>
    <row r="7967" spans="1:4" x14ac:dyDescent="0.3">
      <c r="A7967" s="34">
        <v>56929</v>
      </c>
      <c r="B7967" s="35">
        <v>1</v>
      </c>
      <c r="C7967" s="35">
        <v>0</v>
      </c>
      <c r="D7967" s="2">
        <f t="shared" si="124"/>
        <v>1</v>
      </c>
    </row>
    <row r="7968" spans="1:4" x14ac:dyDescent="0.3">
      <c r="A7968" s="34">
        <v>56930</v>
      </c>
      <c r="B7968" s="35">
        <v>1</v>
      </c>
      <c r="C7968" s="35">
        <v>0</v>
      </c>
      <c r="D7968" s="2">
        <f t="shared" si="124"/>
        <v>1</v>
      </c>
    </row>
    <row r="7969" spans="1:4" x14ac:dyDescent="0.3">
      <c r="A7969" s="34">
        <v>56931</v>
      </c>
      <c r="B7969" s="35">
        <v>1</v>
      </c>
      <c r="C7969" s="35">
        <v>0</v>
      </c>
      <c r="D7969" s="2">
        <f t="shared" si="124"/>
        <v>1</v>
      </c>
    </row>
    <row r="7970" spans="1:4" x14ac:dyDescent="0.3">
      <c r="A7970" s="34">
        <v>56932</v>
      </c>
      <c r="B7970" s="35">
        <v>1</v>
      </c>
      <c r="C7970" s="35">
        <v>0</v>
      </c>
      <c r="D7970" s="2">
        <f t="shared" si="124"/>
        <v>1</v>
      </c>
    </row>
    <row r="7971" spans="1:4" x14ac:dyDescent="0.3">
      <c r="A7971" s="34">
        <v>56936</v>
      </c>
      <c r="B7971" s="35">
        <v>1</v>
      </c>
      <c r="C7971" s="35">
        <v>0</v>
      </c>
      <c r="D7971" s="2">
        <f t="shared" si="124"/>
        <v>1</v>
      </c>
    </row>
    <row r="7972" spans="1:4" x14ac:dyDescent="0.3">
      <c r="A7972" s="34">
        <v>56937</v>
      </c>
      <c r="B7972" s="35">
        <v>1</v>
      </c>
      <c r="C7972" s="35">
        <v>0</v>
      </c>
      <c r="D7972" s="2">
        <f t="shared" si="124"/>
        <v>1</v>
      </c>
    </row>
    <row r="7973" spans="1:4" x14ac:dyDescent="0.3">
      <c r="A7973" s="34">
        <v>56946</v>
      </c>
      <c r="B7973" s="35">
        <v>1</v>
      </c>
      <c r="C7973" s="35">
        <v>0</v>
      </c>
      <c r="D7973" s="2">
        <f t="shared" si="124"/>
        <v>1</v>
      </c>
    </row>
    <row r="7974" spans="1:4" x14ac:dyDescent="0.3">
      <c r="A7974" s="34">
        <v>56948</v>
      </c>
      <c r="B7974" s="35">
        <v>1</v>
      </c>
      <c r="C7974" s="35">
        <v>0</v>
      </c>
      <c r="D7974" s="2">
        <f t="shared" si="124"/>
        <v>1</v>
      </c>
    </row>
    <row r="7975" spans="1:4" x14ac:dyDescent="0.3">
      <c r="A7975" s="34">
        <v>57037</v>
      </c>
      <c r="B7975" s="35">
        <v>1</v>
      </c>
      <c r="C7975" s="35">
        <v>1</v>
      </c>
      <c r="D7975" s="2">
        <f t="shared" si="124"/>
        <v>2</v>
      </c>
    </row>
    <row r="7976" spans="1:4" x14ac:dyDescent="0.3">
      <c r="A7976" s="34">
        <v>57038</v>
      </c>
      <c r="B7976" s="35">
        <v>1</v>
      </c>
      <c r="C7976" s="35">
        <v>0</v>
      </c>
      <c r="D7976" s="2">
        <f t="shared" si="124"/>
        <v>1</v>
      </c>
    </row>
    <row r="7977" spans="1:4" x14ac:dyDescent="0.3">
      <c r="A7977" s="34">
        <v>57040</v>
      </c>
      <c r="B7977" s="35">
        <v>1</v>
      </c>
      <c r="C7977" s="35">
        <v>0</v>
      </c>
      <c r="D7977" s="2">
        <f t="shared" si="124"/>
        <v>1</v>
      </c>
    </row>
    <row r="7978" spans="1:4" x14ac:dyDescent="0.3">
      <c r="A7978" s="34">
        <v>57042</v>
      </c>
      <c r="B7978" s="35">
        <v>1</v>
      </c>
      <c r="C7978" s="35">
        <v>0</v>
      </c>
      <c r="D7978" s="2">
        <f t="shared" si="124"/>
        <v>1</v>
      </c>
    </row>
    <row r="7979" spans="1:4" x14ac:dyDescent="0.3">
      <c r="A7979" s="34">
        <v>57048</v>
      </c>
      <c r="B7979" s="35">
        <v>1</v>
      </c>
      <c r="C7979" s="35">
        <v>0</v>
      </c>
      <c r="D7979" s="2">
        <f t="shared" si="124"/>
        <v>1</v>
      </c>
    </row>
    <row r="7980" spans="1:4" x14ac:dyDescent="0.3">
      <c r="A7980" s="34">
        <v>57051</v>
      </c>
      <c r="B7980" s="35">
        <v>1</v>
      </c>
      <c r="C7980" s="35">
        <v>1</v>
      </c>
      <c r="D7980" s="2">
        <f t="shared" si="124"/>
        <v>2</v>
      </c>
    </row>
    <row r="7981" spans="1:4" x14ac:dyDescent="0.3">
      <c r="A7981" s="34">
        <v>57053</v>
      </c>
      <c r="B7981" s="35">
        <v>1</v>
      </c>
      <c r="C7981" s="35">
        <v>0</v>
      </c>
      <c r="D7981" s="2">
        <f t="shared" si="124"/>
        <v>1</v>
      </c>
    </row>
    <row r="7982" spans="1:4" x14ac:dyDescent="0.3">
      <c r="A7982" s="34">
        <v>57055</v>
      </c>
      <c r="B7982" s="35">
        <v>1</v>
      </c>
      <c r="C7982" s="35">
        <v>0</v>
      </c>
      <c r="D7982" s="2">
        <f t="shared" si="124"/>
        <v>1</v>
      </c>
    </row>
    <row r="7983" spans="1:4" x14ac:dyDescent="0.3">
      <c r="A7983" s="34">
        <v>57056</v>
      </c>
      <c r="B7983" s="35">
        <v>1</v>
      </c>
      <c r="C7983" s="35">
        <v>0</v>
      </c>
      <c r="D7983" s="2">
        <f t="shared" si="124"/>
        <v>1</v>
      </c>
    </row>
    <row r="7984" spans="1:4" x14ac:dyDescent="0.3">
      <c r="A7984" s="34">
        <v>57057</v>
      </c>
      <c r="B7984" s="35">
        <v>1</v>
      </c>
      <c r="C7984" s="35">
        <v>0</v>
      </c>
      <c r="D7984" s="2">
        <f t="shared" si="124"/>
        <v>1</v>
      </c>
    </row>
    <row r="7985" spans="1:4" x14ac:dyDescent="0.3">
      <c r="A7985" s="34">
        <v>57059</v>
      </c>
      <c r="B7985" s="35">
        <v>1</v>
      </c>
      <c r="C7985" s="35">
        <v>0</v>
      </c>
      <c r="D7985" s="2">
        <f t="shared" si="124"/>
        <v>1</v>
      </c>
    </row>
    <row r="7986" spans="1:4" x14ac:dyDescent="0.3">
      <c r="A7986" s="34">
        <v>57061</v>
      </c>
      <c r="B7986" s="35">
        <v>1</v>
      </c>
      <c r="C7986" s="35">
        <v>0</v>
      </c>
      <c r="D7986" s="2">
        <f t="shared" si="124"/>
        <v>1</v>
      </c>
    </row>
    <row r="7987" spans="1:4" x14ac:dyDescent="0.3">
      <c r="A7987" s="34">
        <v>57063</v>
      </c>
      <c r="B7987" s="35">
        <v>1</v>
      </c>
      <c r="C7987" s="35">
        <v>0</v>
      </c>
      <c r="D7987" s="2">
        <f t="shared" si="124"/>
        <v>1</v>
      </c>
    </row>
    <row r="7988" spans="1:4" x14ac:dyDescent="0.3">
      <c r="A7988" s="34">
        <v>57064</v>
      </c>
      <c r="B7988" s="35">
        <v>1</v>
      </c>
      <c r="C7988" s="35">
        <v>0</v>
      </c>
      <c r="D7988" s="2">
        <f t="shared" si="124"/>
        <v>1</v>
      </c>
    </row>
    <row r="7989" spans="1:4" x14ac:dyDescent="0.3">
      <c r="A7989" s="34">
        <v>57065</v>
      </c>
      <c r="B7989" s="35">
        <v>1</v>
      </c>
      <c r="C7989" s="35">
        <v>1</v>
      </c>
      <c r="D7989" s="2">
        <f t="shared" si="124"/>
        <v>2</v>
      </c>
    </row>
    <row r="7990" spans="1:4" x14ac:dyDescent="0.3">
      <c r="A7990" s="34">
        <v>57106</v>
      </c>
      <c r="B7990" s="35">
        <v>1</v>
      </c>
      <c r="C7990" s="35">
        <v>0</v>
      </c>
      <c r="D7990" s="2">
        <f t="shared" si="124"/>
        <v>1</v>
      </c>
    </row>
    <row r="7991" spans="1:4" x14ac:dyDescent="0.3">
      <c r="A7991" s="34">
        <v>57108</v>
      </c>
      <c r="B7991" s="35">
        <v>1</v>
      </c>
      <c r="C7991" s="35">
        <v>0</v>
      </c>
      <c r="D7991" s="2">
        <f t="shared" si="124"/>
        <v>1</v>
      </c>
    </row>
    <row r="7992" spans="1:4" x14ac:dyDescent="0.3">
      <c r="A7992" s="34">
        <v>57109</v>
      </c>
      <c r="B7992" s="35">
        <v>1</v>
      </c>
      <c r="C7992" s="35">
        <v>0</v>
      </c>
      <c r="D7992" s="2">
        <f t="shared" si="124"/>
        <v>1</v>
      </c>
    </row>
    <row r="7993" spans="1:4" x14ac:dyDescent="0.3">
      <c r="A7993" s="34">
        <v>57111</v>
      </c>
      <c r="B7993" s="35">
        <v>1</v>
      </c>
      <c r="C7993" s="35">
        <v>0</v>
      </c>
      <c r="D7993" s="2">
        <f t="shared" si="124"/>
        <v>1</v>
      </c>
    </row>
    <row r="7994" spans="1:4" x14ac:dyDescent="0.3">
      <c r="A7994" s="34">
        <v>57113</v>
      </c>
      <c r="B7994" s="35">
        <v>1</v>
      </c>
      <c r="C7994" s="35">
        <v>0</v>
      </c>
      <c r="D7994" s="2">
        <f t="shared" si="124"/>
        <v>1</v>
      </c>
    </row>
    <row r="7995" spans="1:4" x14ac:dyDescent="0.3">
      <c r="A7995" s="34">
        <v>57115</v>
      </c>
      <c r="B7995" s="35">
        <v>1</v>
      </c>
      <c r="C7995" s="35">
        <v>0</v>
      </c>
      <c r="D7995" s="2">
        <f t="shared" si="124"/>
        <v>1</v>
      </c>
    </row>
    <row r="7996" spans="1:4" x14ac:dyDescent="0.3">
      <c r="A7996" s="34">
        <v>57118</v>
      </c>
      <c r="B7996" s="35">
        <v>1</v>
      </c>
      <c r="C7996" s="35">
        <v>0</v>
      </c>
      <c r="D7996" s="2">
        <f t="shared" si="124"/>
        <v>1</v>
      </c>
    </row>
    <row r="7997" spans="1:4" x14ac:dyDescent="0.3">
      <c r="A7997" s="34">
        <v>57123</v>
      </c>
      <c r="B7997" s="35">
        <v>1</v>
      </c>
      <c r="C7997" s="35">
        <v>0</v>
      </c>
      <c r="D7997" s="2">
        <f t="shared" si="124"/>
        <v>1</v>
      </c>
    </row>
    <row r="7998" spans="1:4" x14ac:dyDescent="0.3">
      <c r="A7998" s="34">
        <v>57124</v>
      </c>
      <c r="B7998" s="35">
        <v>1</v>
      </c>
      <c r="C7998" s="35">
        <v>0</v>
      </c>
      <c r="D7998" s="2">
        <f t="shared" si="124"/>
        <v>1</v>
      </c>
    </row>
    <row r="7999" spans="1:4" x14ac:dyDescent="0.3">
      <c r="A7999" s="34">
        <v>57126</v>
      </c>
      <c r="B7999" s="35">
        <v>1</v>
      </c>
      <c r="C7999" s="35">
        <v>0</v>
      </c>
      <c r="D7999" s="2">
        <f t="shared" si="124"/>
        <v>1</v>
      </c>
    </row>
    <row r="8000" spans="1:4" x14ac:dyDescent="0.3">
      <c r="A8000" s="34">
        <v>57127</v>
      </c>
      <c r="B8000" s="35">
        <v>1</v>
      </c>
      <c r="C8000" s="35">
        <v>0</v>
      </c>
      <c r="D8000" s="2">
        <f t="shared" si="124"/>
        <v>1</v>
      </c>
    </row>
    <row r="8001" spans="1:4" x14ac:dyDescent="0.3">
      <c r="A8001" s="34">
        <v>57128</v>
      </c>
      <c r="B8001" s="35">
        <v>1</v>
      </c>
      <c r="C8001" s="35">
        <v>0</v>
      </c>
      <c r="D8001" s="2">
        <f t="shared" si="124"/>
        <v>1</v>
      </c>
    </row>
    <row r="8002" spans="1:4" x14ac:dyDescent="0.3">
      <c r="A8002" s="34">
        <v>57130</v>
      </c>
      <c r="B8002" s="35">
        <v>1</v>
      </c>
      <c r="C8002" s="35">
        <v>0</v>
      </c>
      <c r="D8002" s="2">
        <f t="shared" si="124"/>
        <v>1</v>
      </c>
    </row>
    <row r="8003" spans="1:4" x14ac:dyDescent="0.3">
      <c r="A8003" s="34">
        <v>57132</v>
      </c>
      <c r="B8003" s="35">
        <v>1</v>
      </c>
      <c r="C8003" s="35">
        <v>0</v>
      </c>
      <c r="D8003" s="2">
        <f t="shared" ref="D8003:D8066" si="125">B8003+C8003</f>
        <v>1</v>
      </c>
    </row>
    <row r="8004" spans="1:4" x14ac:dyDescent="0.3">
      <c r="A8004" s="34">
        <v>57133</v>
      </c>
      <c r="B8004" s="35">
        <v>1</v>
      </c>
      <c r="C8004" s="35">
        <v>1</v>
      </c>
      <c r="D8004" s="2">
        <f t="shared" si="125"/>
        <v>2</v>
      </c>
    </row>
    <row r="8005" spans="1:4" x14ac:dyDescent="0.3">
      <c r="A8005" s="34">
        <v>57134</v>
      </c>
      <c r="B8005" s="35">
        <v>1</v>
      </c>
      <c r="C8005" s="35">
        <v>0</v>
      </c>
      <c r="D8005" s="2">
        <f t="shared" si="125"/>
        <v>1</v>
      </c>
    </row>
    <row r="8006" spans="1:4" x14ac:dyDescent="0.3">
      <c r="A8006" s="34">
        <v>57135</v>
      </c>
      <c r="B8006" s="35">
        <v>1</v>
      </c>
      <c r="C8006" s="35">
        <v>0</v>
      </c>
      <c r="D8006" s="2">
        <f t="shared" si="125"/>
        <v>1</v>
      </c>
    </row>
    <row r="8007" spans="1:4" x14ac:dyDescent="0.3">
      <c r="A8007" s="34">
        <v>57138</v>
      </c>
      <c r="B8007" s="35">
        <v>1</v>
      </c>
      <c r="C8007" s="35">
        <v>0</v>
      </c>
      <c r="D8007" s="2">
        <f t="shared" si="125"/>
        <v>1</v>
      </c>
    </row>
    <row r="8008" spans="1:4" x14ac:dyDescent="0.3">
      <c r="A8008" s="34">
        <v>57141</v>
      </c>
      <c r="B8008" s="35">
        <v>1</v>
      </c>
      <c r="C8008" s="35">
        <v>0</v>
      </c>
      <c r="D8008" s="2">
        <f t="shared" si="125"/>
        <v>1</v>
      </c>
    </row>
    <row r="8009" spans="1:4" x14ac:dyDescent="0.3">
      <c r="A8009" s="34">
        <v>57142</v>
      </c>
      <c r="B8009" s="35">
        <v>2</v>
      </c>
      <c r="C8009" s="35">
        <v>2</v>
      </c>
      <c r="D8009" s="2">
        <f t="shared" si="125"/>
        <v>4</v>
      </c>
    </row>
    <row r="8010" spans="1:4" x14ac:dyDescent="0.3">
      <c r="A8010" s="34">
        <v>57191</v>
      </c>
      <c r="B8010" s="35">
        <v>1</v>
      </c>
      <c r="C8010" s="35">
        <v>0</v>
      </c>
      <c r="D8010" s="2">
        <f t="shared" si="125"/>
        <v>1</v>
      </c>
    </row>
    <row r="8011" spans="1:4" x14ac:dyDescent="0.3">
      <c r="A8011" s="34">
        <v>57194</v>
      </c>
      <c r="B8011" s="35">
        <v>1</v>
      </c>
      <c r="C8011" s="35">
        <v>0</v>
      </c>
      <c r="D8011" s="2">
        <f t="shared" si="125"/>
        <v>1</v>
      </c>
    </row>
    <row r="8012" spans="1:4" x14ac:dyDescent="0.3">
      <c r="A8012" s="34">
        <v>57195</v>
      </c>
      <c r="B8012" s="35">
        <v>2</v>
      </c>
      <c r="C8012" s="35">
        <v>0</v>
      </c>
      <c r="D8012" s="2">
        <f t="shared" si="125"/>
        <v>2</v>
      </c>
    </row>
    <row r="8013" spans="1:4" x14ac:dyDescent="0.3">
      <c r="A8013" s="34">
        <v>57197</v>
      </c>
      <c r="B8013" s="35">
        <v>1</v>
      </c>
      <c r="C8013" s="35">
        <v>0</v>
      </c>
      <c r="D8013" s="2">
        <f t="shared" si="125"/>
        <v>1</v>
      </c>
    </row>
    <row r="8014" spans="1:4" x14ac:dyDescent="0.3">
      <c r="A8014" s="34">
        <v>57202</v>
      </c>
      <c r="B8014" s="35">
        <v>1</v>
      </c>
      <c r="C8014" s="35">
        <v>0</v>
      </c>
      <c r="D8014" s="2">
        <f t="shared" si="125"/>
        <v>1</v>
      </c>
    </row>
    <row r="8015" spans="1:4" x14ac:dyDescent="0.3">
      <c r="A8015" s="34">
        <v>57207</v>
      </c>
      <c r="B8015" s="35">
        <v>1</v>
      </c>
      <c r="C8015" s="35">
        <v>0</v>
      </c>
      <c r="D8015" s="2">
        <f t="shared" si="125"/>
        <v>1</v>
      </c>
    </row>
    <row r="8016" spans="1:4" x14ac:dyDescent="0.3">
      <c r="A8016" s="34">
        <v>57211</v>
      </c>
      <c r="B8016" s="35">
        <v>1</v>
      </c>
      <c r="C8016" s="35">
        <v>0</v>
      </c>
      <c r="D8016" s="2">
        <f t="shared" si="125"/>
        <v>1</v>
      </c>
    </row>
    <row r="8017" spans="1:4" x14ac:dyDescent="0.3">
      <c r="A8017" s="34">
        <v>57213</v>
      </c>
      <c r="B8017" s="35">
        <v>1</v>
      </c>
      <c r="C8017" s="35">
        <v>0</v>
      </c>
      <c r="D8017" s="2">
        <f t="shared" si="125"/>
        <v>1</v>
      </c>
    </row>
    <row r="8018" spans="1:4" x14ac:dyDescent="0.3">
      <c r="A8018" s="34">
        <v>57215</v>
      </c>
      <c r="B8018" s="35">
        <v>1</v>
      </c>
      <c r="C8018" s="35">
        <v>0</v>
      </c>
      <c r="D8018" s="2">
        <f t="shared" si="125"/>
        <v>1</v>
      </c>
    </row>
    <row r="8019" spans="1:4" x14ac:dyDescent="0.3">
      <c r="A8019" s="34">
        <v>57216</v>
      </c>
      <c r="B8019" s="35">
        <v>1</v>
      </c>
      <c r="C8019" s="35">
        <v>0</v>
      </c>
      <c r="D8019" s="2">
        <f t="shared" si="125"/>
        <v>1</v>
      </c>
    </row>
    <row r="8020" spans="1:4" x14ac:dyDescent="0.3">
      <c r="A8020" s="34">
        <v>57219</v>
      </c>
      <c r="B8020" s="35">
        <v>1</v>
      </c>
      <c r="C8020" s="35">
        <v>0</v>
      </c>
      <c r="D8020" s="2">
        <f t="shared" si="125"/>
        <v>1</v>
      </c>
    </row>
    <row r="8021" spans="1:4" x14ac:dyDescent="0.3">
      <c r="A8021" s="34">
        <v>57220</v>
      </c>
      <c r="B8021" s="35">
        <v>1</v>
      </c>
      <c r="C8021" s="35">
        <v>0</v>
      </c>
      <c r="D8021" s="2">
        <f t="shared" si="125"/>
        <v>1</v>
      </c>
    </row>
    <row r="8022" spans="1:4" x14ac:dyDescent="0.3">
      <c r="A8022" s="34">
        <v>57221</v>
      </c>
      <c r="B8022" s="35">
        <v>1</v>
      </c>
      <c r="C8022" s="35">
        <v>0</v>
      </c>
      <c r="D8022" s="2">
        <f t="shared" si="125"/>
        <v>1</v>
      </c>
    </row>
    <row r="8023" spans="1:4" x14ac:dyDescent="0.3">
      <c r="A8023" s="34">
        <v>57222</v>
      </c>
      <c r="B8023" s="35">
        <v>1</v>
      </c>
      <c r="C8023" s="35">
        <v>1</v>
      </c>
      <c r="D8023" s="2">
        <f t="shared" si="125"/>
        <v>2</v>
      </c>
    </row>
    <row r="8024" spans="1:4" x14ac:dyDescent="0.3">
      <c r="A8024" s="34">
        <v>57223</v>
      </c>
      <c r="B8024" s="35">
        <v>1</v>
      </c>
      <c r="C8024" s="35">
        <v>0</v>
      </c>
      <c r="D8024" s="2">
        <f t="shared" si="125"/>
        <v>1</v>
      </c>
    </row>
    <row r="8025" spans="1:4" x14ac:dyDescent="0.3">
      <c r="A8025" s="34">
        <v>57224</v>
      </c>
      <c r="B8025" s="35">
        <v>1</v>
      </c>
      <c r="C8025" s="35">
        <v>0</v>
      </c>
      <c r="D8025" s="2">
        <f t="shared" si="125"/>
        <v>1</v>
      </c>
    </row>
    <row r="8026" spans="1:4" x14ac:dyDescent="0.3">
      <c r="A8026" s="34">
        <v>57226</v>
      </c>
      <c r="B8026" s="35">
        <v>1</v>
      </c>
      <c r="C8026" s="35">
        <v>0</v>
      </c>
      <c r="D8026" s="2">
        <f t="shared" si="125"/>
        <v>1</v>
      </c>
    </row>
    <row r="8027" spans="1:4" x14ac:dyDescent="0.3">
      <c r="A8027" s="34">
        <v>57229</v>
      </c>
      <c r="B8027" s="35">
        <v>1</v>
      </c>
      <c r="C8027" s="35">
        <v>1</v>
      </c>
      <c r="D8027" s="2">
        <f t="shared" si="125"/>
        <v>2</v>
      </c>
    </row>
    <row r="8028" spans="1:4" x14ac:dyDescent="0.3">
      <c r="A8028" s="34">
        <v>57236</v>
      </c>
      <c r="B8028" s="35">
        <v>1</v>
      </c>
      <c r="C8028" s="35">
        <v>0</v>
      </c>
      <c r="D8028" s="2">
        <f t="shared" si="125"/>
        <v>1</v>
      </c>
    </row>
    <row r="8029" spans="1:4" x14ac:dyDescent="0.3">
      <c r="A8029" s="34">
        <v>57240</v>
      </c>
      <c r="B8029" s="35">
        <v>1</v>
      </c>
      <c r="C8029" s="35">
        <v>0</v>
      </c>
      <c r="D8029" s="2">
        <f t="shared" si="125"/>
        <v>1</v>
      </c>
    </row>
    <row r="8030" spans="1:4" x14ac:dyDescent="0.3">
      <c r="A8030" s="34">
        <v>57241</v>
      </c>
      <c r="B8030" s="35">
        <v>1</v>
      </c>
      <c r="C8030" s="35">
        <v>1</v>
      </c>
      <c r="D8030" s="2">
        <f t="shared" si="125"/>
        <v>2</v>
      </c>
    </row>
    <row r="8031" spans="1:4" x14ac:dyDescent="0.3">
      <c r="A8031" s="34">
        <v>57242</v>
      </c>
      <c r="B8031" s="35">
        <v>1</v>
      </c>
      <c r="C8031" s="35">
        <v>0</v>
      </c>
      <c r="D8031" s="2">
        <f t="shared" si="125"/>
        <v>1</v>
      </c>
    </row>
    <row r="8032" spans="1:4" x14ac:dyDescent="0.3">
      <c r="A8032" s="34">
        <v>57243</v>
      </c>
      <c r="B8032" s="35">
        <v>1</v>
      </c>
      <c r="C8032" s="35">
        <v>1</v>
      </c>
      <c r="D8032" s="2">
        <f t="shared" si="125"/>
        <v>2</v>
      </c>
    </row>
    <row r="8033" spans="1:4" x14ac:dyDescent="0.3">
      <c r="A8033" s="34">
        <v>57248</v>
      </c>
      <c r="B8033" s="35">
        <v>1</v>
      </c>
      <c r="C8033" s="35">
        <v>0</v>
      </c>
      <c r="D8033" s="2">
        <f t="shared" si="125"/>
        <v>1</v>
      </c>
    </row>
    <row r="8034" spans="1:4" x14ac:dyDescent="0.3">
      <c r="A8034" s="34">
        <v>57249</v>
      </c>
      <c r="B8034" s="35">
        <v>1</v>
      </c>
      <c r="C8034" s="35">
        <v>0</v>
      </c>
      <c r="D8034" s="2">
        <f t="shared" si="125"/>
        <v>1</v>
      </c>
    </row>
    <row r="8035" spans="1:4" x14ac:dyDescent="0.3">
      <c r="A8035" s="34">
        <v>57251</v>
      </c>
      <c r="B8035" s="35">
        <v>1</v>
      </c>
      <c r="C8035" s="35">
        <v>0</v>
      </c>
      <c r="D8035" s="2">
        <f t="shared" si="125"/>
        <v>1</v>
      </c>
    </row>
    <row r="8036" spans="1:4" x14ac:dyDescent="0.3">
      <c r="A8036" s="34">
        <v>57252</v>
      </c>
      <c r="B8036" s="35">
        <v>1</v>
      </c>
      <c r="C8036" s="35">
        <v>0</v>
      </c>
      <c r="D8036" s="2">
        <f t="shared" si="125"/>
        <v>1</v>
      </c>
    </row>
    <row r="8037" spans="1:4" x14ac:dyDescent="0.3">
      <c r="A8037" s="34">
        <v>57253</v>
      </c>
      <c r="B8037" s="35">
        <v>1</v>
      </c>
      <c r="C8037" s="35">
        <v>0</v>
      </c>
      <c r="D8037" s="2">
        <f t="shared" si="125"/>
        <v>1</v>
      </c>
    </row>
    <row r="8038" spans="1:4" x14ac:dyDescent="0.3">
      <c r="A8038" s="34">
        <v>57255</v>
      </c>
      <c r="B8038" s="35">
        <v>2</v>
      </c>
      <c r="C8038" s="35">
        <v>2</v>
      </c>
      <c r="D8038" s="2">
        <f t="shared" si="125"/>
        <v>4</v>
      </c>
    </row>
    <row r="8039" spans="1:4" x14ac:dyDescent="0.3">
      <c r="A8039" s="34">
        <v>57258</v>
      </c>
      <c r="B8039" s="35">
        <v>1</v>
      </c>
      <c r="C8039" s="35">
        <v>0</v>
      </c>
      <c r="D8039" s="2">
        <f t="shared" si="125"/>
        <v>1</v>
      </c>
    </row>
    <row r="8040" spans="1:4" x14ac:dyDescent="0.3">
      <c r="A8040" s="34">
        <v>57259</v>
      </c>
      <c r="B8040" s="35">
        <v>1</v>
      </c>
      <c r="C8040" s="35">
        <v>1</v>
      </c>
      <c r="D8040" s="2">
        <f t="shared" si="125"/>
        <v>2</v>
      </c>
    </row>
    <row r="8041" spans="1:4" x14ac:dyDescent="0.3">
      <c r="A8041" s="34">
        <v>57262</v>
      </c>
      <c r="B8041" s="35">
        <v>1</v>
      </c>
      <c r="C8041" s="35">
        <v>0</v>
      </c>
      <c r="D8041" s="2">
        <f t="shared" si="125"/>
        <v>1</v>
      </c>
    </row>
    <row r="8042" spans="1:4" x14ac:dyDescent="0.3">
      <c r="A8042" s="34">
        <v>57266</v>
      </c>
      <c r="B8042" s="35">
        <v>1</v>
      </c>
      <c r="C8042" s="35">
        <v>0</v>
      </c>
      <c r="D8042" s="2">
        <f t="shared" si="125"/>
        <v>1</v>
      </c>
    </row>
    <row r="8043" spans="1:4" x14ac:dyDescent="0.3">
      <c r="A8043" s="34">
        <v>57269</v>
      </c>
      <c r="B8043" s="35">
        <v>1</v>
      </c>
      <c r="C8043" s="35">
        <v>0</v>
      </c>
      <c r="D8043" s="2">
        <f t="shared" si="125"/>
        <v>1</v>
      </c>
    </row>
    <row r="8044" spans="1:4" x14ac:dyDescent="0.3">
      <c r="A8044" s="34">
        <v>57271</v>
      </c>
      <c r="B8044" s="35">
        <v>1</v>
      </c>
      <c r="C8044" s="35">
        <v>1</v>
      </c>
      <c r="D8044" s="2">
        <f t="shared" si="125"/>
        <v>2</v>
      </c>
    </row>
    <row r="8045" spans="1:4" x14ac:dyDescent="0.3">
      <c r="A8045" s="34">
        <v>57272</v>
      </c>
      <c r="B8045" s="35">
        <v>1</v>
      </c>
      <c r="C8045" s="35">
        <v>0</v>
      </c>
      <c r="D8045" s="2">
        <f t="shared" si="125"/>
        <v>1</v>
      </c>
    </row>
    <row r="8046" spans="1:4" x14ac:dyDescent="0.3">
      <c r="A8046" s="34">
        <v>57274</v>
      </c>
      <c r="B8046" s="35">
        <v>1</v>
      </c>
      <c r="C8046" s="35">
        <v>0</v>
      </c>
      <c r="D8046" s="2">
        <f t="shared" si="125"/>
        <v>1</v>
      </c>
    </row>
    <row r="8047" spans="1:4" x14ac:dyDescent="0.3">
      <c r="A8047" s="34">
        <v>57275</v>
      </c>
      <c r="B8047" s="35">
        <v>1</v>
      </c>
      <c r="C8047" s="35">
        <v>0</v>
      </c>
      <c r="D8047" s="2">
        <f t="shared" si="125"/>
        <v>1</v>
      </c>
    </row>
    <row r="8048" spans="1:4" x14ac:dyDescent="0.3">
      <c r="A8048" s="34">
        <v>57276</v>
      </c>
      <c r="B8048" s="35">
        <v>1</v>
      </c>
      <c r="C8048" s="35">
        <v>0</v>
      </c>
      <c r="D8048" s="2">
        <f t="shared" si="125"/>
        <v>1</v>
      </c>
    </row>
    <row r="8049" spans="1:4" x14ac:dyDescent="0.3">
      <c r="A8049" s="34">
        <v>57278</v>
      </c>
      <c r="B8049" s="35">
        <v>1</v>
      </c>
      <c r="C8049" s="35">
        <v>0</v>
      </c>
      <c r="D8049" s="2">
        <f t="shared" si="125"/>
        <v>1</v>
      </c>
    </row>
    <row r="8050" spans="1:4" x14ac:dyDescent="0.3">
      <c r="A8050" s="34">
        <v>57281</v>
      </c>
      <c r="B8050" s="35">
        <v>1</v>
      </c>
      <c r="C8050" s="35">
        <v>0</v>
      </c>
      <c r="D8050" s="2">
        <f t="shared" si="125"/>
        <v>1</v>
      </c>
    </row>
    <row r="8051" spans="1:4" x14ac:dyDescent="0.3">
      <c r="A8051" s="34">
        <v>57282</v>
      </c>
      <c r="B8051" s="35">
        <v>1</v>
      </c>
      <c r="C8051" s="35">
        <v>0</v>
      </c>
      <c r="D8051" s="2">
        <f t="shared" si="125"/>
        <v>1</v>
      </c>
    </row>
    <row r="8052" spans="1:4" x14ac:dyDescent="0.3">
      <c r="A8052" s="34">
        <v>57283</v>
      </c>
      <c r="B8052" s="35">
        <v>1</v>
      </c>
      <c r="C8052" s="35">
        <v>0</v>
      </c>
      <c r="D8052" s="2">
        <f t="shared" si="125"/>
        <v>1</v>
      </c>
    </row>
    <row r="8053" spans="1:4" x14ac:dyDescent="0.3">
      <c r="A8053" s="34">
        <v>57286</v>
      </c>
      <c r="B8053" s="35">
        <v>1</v>
      </c>
      <c r="C8053" s="35">
        <v>0</v>
      </c>
      <c r="D8053" s="2">
        <f t="shared" si="125"/>
        <v>1</v>
      </c>
    </row>
    <row r="8054" spans="1:4" x14ac:dyDescent="0.3">
      <c r="A8054" s="34">
        <v>57288</v>
      </c>
      <c r="B8054" s="35">
        <v>1</v>
      </c>
      <c r="C8054" s="35">
        <v>0</v>
      </c>
      <c r="D8054" s="2">
        <f t="shared" si="125"/>
        <v>1</v>
      </c>
    </row>
    <row r="8055" spans="1:4" x14ac:dyDescent="0.3">
      <c r="A8055" s="34">
        <v>57291</v>
      </c>
      <c r="B8055" s="35">
        <v>2</v>
      </c>
      <c r="C8055" s="35">
        <v>1</v>
      </c>
      <c r="D8055" s="2">
        <f t="shared" si="125"/>
        <v>3</v>
      </c>
    </row>
    <row r="8056" spans="1:4" x14ac:dyDescent="0.3">
      <c r="A8056" s="34">
        <v>57294</v>
      </c>
      <c r="B8056" s="35">
        <v>1</v>
      </c>
      <c r="C8056" s="35">
        <v>0</v>
      </c>
      <c r="D8056" s="2">
        <f t="shared" si="125"/>
        <v>1</v>
      </c>
    </row>
    <row r="8057" spans="1:4" x14ac:dyDescent="0.3">
      <c r="A8057" s="34">
        <v>57295</v>
      </c>
      <c r="B8057" s="35">
        <v>1</v>
      </c>
      <c r="C8057" s="35">
        <v>0</v>
      </c>
      <c r="D8057" s="2">
        <f t="shared" si="125"/>
        <v>1</v>
      </c>
    </row>
    <row r="8058" spans="1:4" x14ac:dyDescent="0.3">
      <c r="A8058" s="34">
        <v>57296</v>
      </c>
      <c r="B8058" s="35">
        <v>1</v>
      </c>
      <c r="C8058" s="35">
        <v>0</v>
      </c>
      <c r="D8058" s="2">
        <f t="shared" si="125"/>
        <v>1</v>
      </c>
    </row>
    <row r="8059" spans="1:4" x14ac:dyDescent="0.3">
      <c r="A8059" s="34">
        <v>57297</v>
      </c>
      <c r="B8059" s="35">
        <v>1</v>
      </c>
      <c r="C8059" s="35">
        <v>0</v>
      </c>
      <c r="D8059" s="2">
        <f t="shared" si="125"/>
        <v>1</v>
      </c>
    </row>
    <row r="8060" spans="1:4" x14ac:dyDescent="0.3">
      <c r="A8060" s="34">
        <v>57298</v>
      </c>
      <c r="B8060" s="35">
        <v>1</v>
      </c>
      <c r="C8060" s="35">
        <v>0</v>
      </c>
      <c r="D8060" s="2">
        <f t="shared" si="125"/>
        <v>1</v>
      </c>
    </row>
    <row r="8061" spans="1:4" x14ac:dyDescent="0.3">
      <c r="A8061" s="34">
        <v>57300</v>
      </c>
      <c r="B8061" s="35">
        <v>1</v>
      </c>
      <c r="C8061" s="35">
        <v>0</v>
      </c>
      <c r="D8061" s="2">
        <f t="shared" si="125"/>
        <v>1</v>
      </c>
    </row>
    <row r="8062" spans="1:4" x14ac:dyDescent="0.3">
      <c r="A8062" s="34">
        <v>57302</v>
      </c>
      <c r="B8062" s="35">
        <v>1</v>
      </c>
      <c r="C8062" s="35">
        <v>0</v>
      </c>
      <c r="D8062" s="2">
        <f t="shared" si="125"/>
        <v>1</v>
      </c>
    </row>
    <row r="8063" spans="1:4" x14ac:dyDescent="0.3">
      <c r="A8063" s="34">
        <v>57307</v>
      </c>
      <c r="B8063" s="35">
        <v>1</v>
      </c>
      <c r="C8063" s="35">
        <v>0</v>
      </c>
      <c r="D8063" s="2">
        <f t="shared" si="125"/>
        <v>1</v>
      </c>
    </row>
    <row r="8064" spans="1:4" x14ac:dyDescent="0.3">
      <c r="A8064" s="34">
        <v>57310</v>
      </c>
      <c r="B8064" s="35">
        <v>1</v>
      </c>
      <c r="C8064" s="35">
        <v>0</v>
      </c>
      <c r="D8064" s="2">
        <f t="shared" si="125"/>
        <v>1</v>
      </c>
    </row>
    <row r="8065" spans="1:4" x14ac:dyDescent="0.3">
      <c r="A8065" s="34">
        <v>57312</v>
      </c>
      <c r="B8065" s="35">
        <v>1</v>
      </c>
      <c r="C8065" s="35">
        <v>0</v>
      </c>
      <c r="D8065" s="2">
        <f t="shared" si="125"/>
        <v>1</v>
      </c>
    </row>
    <row r="8066" spans="1:4" x14ac:dyDescent="0.3">
      <c r="A8066" s="34">
        <v>57316</v>
      </c>
      <c r="B8066" s="35">
        <v>1</v>
      </c>
      <c r="C8066" s="35">
        <v>0</v>
      </c>
      <c r="D8066" s="2">
        <f t="shared" si="125"/>
        <v>1</v>
      </c>
    </row>
    <row r="8067" spans="1:4" x14ac:dyDescent="0.3">
      <c r="A8067" s="34">
        <v>57317</v>
      </c>
      <c r="B8067" s="35">
        <v>1</v>
      </c>
      <c r="C8067" s="35">
        <v>0</v>
      </c>
      <c r="D8067" s="2">
        <f t="shared" ref="D8067:D8130" si="126">B8067+C8067</f>
        <v>1</v>
      </c>
    </row>
    <row r="8068" spans="1:4" x14ac:dyDescent="0.3">
      <c r="A8068" s="34">
        <v>57320</v>
      </c>
      <c r="B8068" s="35">
        <v>1</v>
      </c>
      <c r="C8068" s="35">
        <v>0</v>
      </c>
      <c r="D8068" s="2">
        <f t="shared" si="126"/>
        <v>1</v>
      </c>
    </row>
    <row r="8069" spans="1:4" x14ac:dyDescent="0.3">
      <c r="A8069" s="34">
        <v>57321</v>
      </c>
      <c r="B8069" s="35">
        <v>1</v>
      </c>
      <c r="C8069" s="35">
        <v>1</v>
      </c>
      <c r="D8069" s="2">
        <f t="shared" si="126"/>
        <v>2</v>
      </c>
    </row>
    <row r="8070" spans="1:4" x14ac:dyDescent="0.3">
      <c r="A8070" s="34">
        <v>57322</v>
      </c>
      <c r="B8070" s="35">
        <v>1</v>
      </c>
      <c r="C8070" s="35">
        <v>0</v>
      </c>
      <c r="D8070" s="2">
        <f t="shared" si="126"/>
        <v>1</v>
      </c>
    </row>
    <row r="8071" spans="1:4" x14ac:dyDescent="0.3">
      <c r="A8071" s="34">
        <v>57323</v>
      </c>
      <c r="B8071" s="35">
        <v>2</v>
      </c>
      <c r="C8071" s="35">
        <v>1</v>
      </c>
      <c r="D8071" s="2">
        <f t="shared" si="126"/>
        <v>3</v>
      </c>
    </row>
    <row r="8072" spans="1:4" x14ac:dyDescent="0.3">
      <c r="A8072" s="34">
        <v>57326</v>
      </c>
      <c r="B8072" s="35">
        <v>1</v>
      </c>
      <c r="C8072" s="35">
        <v>0</v>
      </c>
      <c r="D8072" s="2">
        <f t="shared" si="126"/>
        <v>1</v>
      </c>
    </row>
    <row r="8073" spans="1:4" x14ac:dyDescent="0.3">
      <c r="A8073" s="34">
        <v>57349</v>
      </c>
      <c r="B8073" s="35">
        <v>1</v>
      </c>
      <c r="C8073" s="35">
        <v>0</v>
      </c>
      <c r="D8073" s="2">
        <f t="shared" si="126"/>
        <v>1</v>
      </c>
    </row>
    <row r="8074" spans="1:4" x14ac:dyDescent="0.3">
      <c r="A8074" s="34">
        <v>57357</v>
      </c>
      <c r="B8074" s="35">
        <v>1</v>
      </c>
      <c r="C8074" s="35">
        <v>0</v>
      </c>
      <c r="D8074" s="2">
        <f t="shared" si="126"/>
        <v>1</v>
      </c>
    </row>
    <row r="8075" spans="1:4" x14ac:dyDescent="0.3">
      <c r="A8075" s="34">
        <v>57360</v>
      </c>
      <c r="B8075" s="35">
        <v>1</v>
      </c>
      <c r="C8075" s="35">
        <v>0</v>
      </c>
      <c r="D8075" s="2">
        <f t="shared" si="126"/>
        <v>1</v>
      </c>
    </row>
    <row r="8076" spans="1:4" x14ac:dyDescent="0.3">
      <c r="A8076" s="34">
        <v>57362</v>
      </c>
      <c r="B8076" s="35">
        <v>1</v>
      </c>
      <c r="C8076" s="35">
        <v>0</v>
      </c>
      <c r="D8076" s="2">
        <f t="shared" si="126"/>
        <v>1</v>
      </c>
    </row>
    <row r="8077" spans="1:4" x14ac:dyDescent="0.3">
      <c r="A8077" s="34">
        <v>57363</v>
      </c>
      <c r="B8077" s="35">
        <v>1</v>
      </c>
      <c r="C8077" s="35">
        <v>0</v>
      </c>
      <c r="D8077" s="2">
        <f t="shared" si="126"/>
        <v>1</v>
      </c>
    </row>
    <row r="8078" spans="1:4" x14ac:dyDescent="0.3">
      <c r="A8078" s="34">
        <v>57370</v>
      </c>
      <c r="B8078" s="35">
        <v>1</v>
      </c>
      <c r="C8078" s="35">
        <v>0</v>
      </c>
      <c r="D8078" s="2">
        <f t="shared" si="126"/>
        <v>1</v>
      </c>
    </row>
    <row r="8079" spans="1:4" x14ac:dyDescent="0.3">
      <c r="A8079" s="34">
        <v>57371</v>
      </c>
      <c r="B8079" s="35">
        <v>1</v>
      </c>
      <c r="C8079" s="35">
        <v>1</v>
      </c>
      <c r="D8079" s="2">
        <f t="shared" si="126"/>
        <v>2</v>
      </c>
    </row>
    <row r="8080" spans="1:4" x14ac:dyDescent="0.3">
      <c r="A8080" s="34">
        <v>57374</v>
      </c>
      <c r="B8080" s="35">
        <v>1</v>
      </c>
      <c r="C8080" s="35">
        <v>0</v>
      </c>
      <c r="D8080" s="2">
        <f t="shared" si="126"/>
        <v>1</v>
      </c>
    </row>
    <row r="8081" spans="1:4" x14ac:dyDescent="0.3">
      <c r="A8081" s="34">
        <v>57375</v>
      </c>
      <c r="B8081" s="35">
        <v>1</v>
      </c>
      <c r="C8081" s="35">
        <v>0</v>
      </c>
      <c r="D8081" s="2">
        <f t="shared" si="126"/>
        <v>1</v>
      </c>
    </row>
    <row r="8082" spans="1:4" x14ac:dyDescent="0.3">
      <c r="A8082" s="34">
        <v>57378</v>
      </c>
      <c r="B8082" s="35">
        <v>1</v>
      </c>
      <c r="C8082" s="35">
        <v>0</v>
      </c>
      <c r="D8082" s="2">
        <f t="shared" si="126"/>
        <v>1</v>
      </c>
    </row>
    <row r="8083" spans="1:4" x14ac:dyDescent="0.3">
      <c r="A8083" s="34">
        <v>57379</v>
      </c>
      <c r="B8083" s="35">
        <v>1</v>
      </c>
      <c r="C8083" s="35">
        <v>0</v>
      </c>
      <c r="D8083" s="2">
        <f t="shared" si="126"/>
        <v>1</v>
      </c>
    </row>
    <row r="8084" spans="1:4" x14ac:dyDescent="0.3">
      <c r="A8084" s="34">
        <v>57384</v>
      </c>
      <c r="B8084" s="35">
        <v>1</v>
      </c>
      <c r="C8084" s="35">
        <v>0</v>
      </c>
      <c r="D8084" s="2">
        <f t="shared" si="126"/>
        <v>1</v>
      </c>
    </row>
    <row r="8085" spans="1:4" x14ac:dyDescent="0.3">
      <c r="A8085" s="34">
        <v>57385</v>
      </c>
      <c r="B8085" s="35">
        <v>1</v>
      </c>
      <c r="C8085" s="35">
        <v>0</v>
      </c>
      <c r="D8085" s="2">
        <f t="shared" si="126"/>
        <v>1</v>
      </c>
    </row>
    <row r="8086" spans="1:4" x14ac:dyDescent="0.3">
      <c r="A8086" s="34">
        <v>57387</v>
      </c>
      <c r="B8086" s="35">
        <v>1</v>
      </c>
      <c r="C8086" s="35">
        <v>0</v>
      </c>
      <c r="D8086" s="2">
        <f t="shared" si="126"/>
        <v>1</v>
      </c>
    </row>
    <row r="8087" spans="1:4" x14ac:dyDescent="0.3">
      <c r="A8087" s="34">
        <v>57388</v>
      </c>
      <c r="B8087" s="35">
        <v>1</v>
      </c>
      <c r="C8087" s="35">
        <v>0</v>
      </c>
      <c r="D8087" s="2">
        <f t="shared" si="126"/>
        <v>1</v>
      </c>
    </row>
    <row r="8088" spans="1:4" x14ac:dyDescent="0.3">
      <c r="A8088" s="34">
        <v>57389</v>
      </c>
      <c r="B8088" s="35">
        <v>2</v>
      </c>
      <c r="C8088" s="35">
        <v>1</v>
      </c>
      <c r="D8088" s="2">
        <f t="shared" si="126"/>
        <v>3</v>
      </c>
    </row>
    <row r="8089" spans="1:4" x14ac:dyDescent="0.3">
      <c r="A8089" s="34">
        <v>57391</v>
      </c>
      <c r="B8089" s="35">
        <v>1</v>
      </c>
      <c r="C8089" s="35">
        <v>0</v>
      </c>
      <c r="D8089" s="2">
        <f t="shared" si="126"/>
        <v>1</v>
      </c>
    </row>
    <row r="8090" spans="1:4" x14ac:dyDescent="0.3">
      <c r="A8090" s="34">
        <v>57393</v>
      </c>
      <c r="B8090" s="35">
        <v>1</v>
      </c>
      <c r="C8090" s="35">
        <v>0</v>
      </c>
      <c r="D8090" s="2">
        <f t="shared" si="126"/>
        <v>1</v>
      </c>
    </row>
    <row r="8091" spans="1:4" x14ac:dyDescent="0.3">
      <c r="A8091" s="34">
        <v>57395</v>
      </c>
      <c r="B8091" s="35">
        <v>1</v>
      </c>
      <c r="C8091" s="35">
        <v>0</v>
      </c>
      <c r="D8091" s="2">
        <f t="shared" si="126"/>
        <v>1</v>
      </c>
    </row>
    <row r="8092" spans="1:4" x14ac:dyDescent="0.3">
      <c r="A8092" s="34">
        <v>57396</v>
      </c>
      <c r="B8092" s="35">
        <v>1</v>
      </c>
      <c r="C8092" s="35">
        <v>0</v>
      </c>
      <c r="D8092" s="2">
        <f t="shared" si="126"/>
        <v>1</v>
      </c>
    </row>
    <row r="8093" spans="1:4" x14ac:dyDescent="0.3">
      <c r="A8093" s="34">
        <v>57402</v>
      </c>
      <c r="B8093" s="35">
        <v>1</v>
      </c>
      <c r="C8093" s="35">
        <v>1</v>
      </c>
      <c r="D8093" s="2">
        <f t="shared" si="126"/>
        <v>2</v>
      </c>
    </row>
    <row r="8094" spans="1:4" x14ac:dyDescent="0.3">
      <c r="A8094" s="34">
        <v>57404</v>
      </c>
      <c r="B8094" s="35">
        <v>1</v>
      </c>
      <c r="C8094" s="35">
        <v>0</v>
      </c>
      <c r="D8094" s="2">
        <f t="shared" si="126"/>
        <v>1</v>
      </c>
    </row>
    <row r="8095" spans="1:4" x14ac:dyDescent="0.3">
      <c r="A8095" s="34">
        <v>57406</v>
      </c>
      <c r="B8095" s="35">
        <v>1</v>
      </c>
      <c r="C8095" s="35">
        <v>0</v>
      </c>
      <c r="D8095" s="2">
        <f t="shared" si="126"/>
        <v>1</v>
      </c>
    </row>
    <row r="8096" spans="1:4" x14ac:dyDescent="0.3">
      <c r="A8096" s="34">
        <v>57408</v>
      </c>
      <c r="B8096" s="35">
        <v>1</v>
      </c>
      <c r="C8096" s="35">
        <v>0</v>
      </c>
      <c r="D8096" s="2">
        <f t="shared" si="126"/>
        <v>1</v>
      </c>
    </row>
    <row r="8097" spans="1:4" x14ac:dyDescent="0.3">
      <c r="A8097" s="34">
        <v>57410</v>
      </c>
      <c r="B8097" s="35">
        <v>1</v>
      </c>
      <c r="C8097" s="35">
        <v>0</v>
      </c>
      <c r="D8097" s="2">
        <f t="shared" si="126"/>
        <v>1</v>
      </c>
    </row>
    <row r="8098" spans="1:4" x14ac:dyDescent="0.3">
      <c r="A8098" s="34">
        <v>57420</v>
      </c>
      <c r="B8098" s="35">
        <v>1</v>
      </c>
      <c r="C8098" s="35">
        <v>0</v>
      </c>
      <c r="D8098" s="2">
        <f t="shared" si="126"/>
        <v>1</v>
      </c>
    </row>
    <row r="8099" spans="1:4" x14ac:dyDescent="0.3">
      <c r="A8099" s="34">
        <v>57423</v>
      </c>
      <c r="B8099" s="35">
        <v>2</v>
      </c>
      <c r="C8099" s="35">
        <v>0</v>
      </c>
      <c r="D8099" s="2">
        <f t="shared" si="126"/>
        <v>2</v>
      </c>
    </row>
    <row r="8100" spans="1:4" x14ac:dyDescent="0.3">
      <c r="A8100" s="34">
        <v>57424</v>
      </c>
      <c r="B8100" s="35">
        <v>3</v>
      </c>
      <c r="C8100" s="35">
        <v>0</v>
      </c>
      <c r="D8100" s="2">
        <f t="shared" si="126"/>
        <v>3</v>
      </c>
    </row>
    <row r="8101" spans="1:4" x14ac:dyDescent="0.3">
      <c r="A8101" s="34">
        <v>57425</v>
      </c>
      <c r="B8101" s="35">
        <v>1</v>
      </c>
      <c r="C8101" s="35">
        <v>1</v>
      </c>
      <c r="D8101" s="2">
        <f t="shared" si="126"/>
        <v>2</v>
      </c>
    </row>
    <row r="8102" spans="1:4" x14ac:dyDescent="0.3">
      <c r="A8102" s="34">
        <v>57426</v>
      </c>
      <c r="B8102" s="35">
        <v>1</v>
      </c>
      <c r="C8102" s="35">
        <v>0</v>
      </c>
      <c r="D8102" s="2">
        <f t="shared" si="126"/>
        <v>1</v>
      </c>
    </row>
    <row r="8103" spans="1:4" x14ac:dyDescent="0.3">
      <c r="A8103" s="34">
        <v>57427</v>
      </c>
      <c r="B8103" s="35">
        <v>1</v>
      </c>
      <c r="C8103" s="35">
        <v>0</v>
      </c>
      <c r="D8103" s="2">
        <f t="shared" si="126"/>
        <v>1</v>
      </c>
    </row>
    <row r="8104" spans="1:4" x14ac:dyDescent="0.3">
      <c r="A8104" s="34">
        <v>57430</v>
      </c>
      <c r="B8104" s="35">
        <v>1</v>
      </c>
      <c r="C8104" s="35">
        <v>0</v>
      </c>
      <c r="D8104" s="2">
        <f t="shared" si="126"/>
        <v>1</v>
      </c>
    </row>
    <row r="8105" spans="1:4" x14ac:dyDescent="0.3">
      <c r="A8105" s="34">
        <v>57432</v>
      </c>
      <c r="B8105" s="35">
        <v>1</v>
      </c>
      <c r="C8105" s="35">
        <v>1</v>
      </c>
      <c r="D8105" s="2">
        <f t="shared" si="126"/>
        <v>2</v>
      </c>
    </row>
    <row r="8106" spans="1:4" x14ac:dyDescent="0.3">
      <c r="A8106" s="34">
        <v>57438</v>
      </c>
      <c r="B8106" s="35">
        <v>1</v>
      </c>
      <c r="C8106" s="35">
        <v>0</v>
      </c>
      <c r="D8106" s="2">
        <f t="shared" si="126"/>
        <v>1</v>
      </c>
    </row>
    <row r="8107" spans="1:4" x14ac:dyDescent="0.3">
      <c r="A8107" s="34">
        <v>57440</v>
      </c>
      <c r="B8107" s="35">
        <v>2</v>
      </c>
      <c r="C8107" s="35">
        <v>0</v>
      </c>
      <c r="D8107" s="2">
        <f t="shared" si="126"/>
        <v>2</v>
      </c>
    </row>
    <row r="8108" spans="1:4" x14ac:dyDescent="0.3">
      <c r="A8108" s="34">
        <v>57443</v>
      </c>
      <c r="B8108" s="35">
        <v>1</v>
      </c>
      <c r="C8108" s="35">
        <v>0</v>
      </c>
      <c r="D8108" s="2">
        <f t="shared" si="126"/>
        <v>1</v>
      </c>
    </row>
    <row r="8109" spans="1:4" x14ac:dyDescent="0.3">
      <c r="A8109" s="34">
        <v>57448</v>
      </c>
      <c r="B8109" s="35">
        <v>1</v>
      </c>
      <c r="C8109" s="35">
        <v>0</v>
      </c>
      <c r="D8109" s="2">
        <f t="shared" si="126"/>
        <v>1</v>
      </c>
    </row>
    <row r="8110" spans="1:4" x14ac:dyDescent="0.3">
      <c r="A8110" s="34">
        <v>57449</v>
      </c>
      <c r="B8110" s="35">
        <v>1</v>
      </c>
      <c r="C8110" s="35">
        <v>0</v>
      </c>
      <c r="D8110" s="2">
        <f t="shared" si="126"/>
        <v>1</v>
      </c>
    </row>
    <row r="8111" spans="1:4" x14ac:dyDescent="0.3">
      <c r="A8111" s="34">
        <v>57450</v>
      </c>
      <c r="B8111" s="35">
        <v>1</v>
      </c>
      <c r="C8111" s="35">
        <v>0</v>
      </c>
      <c r="D8111" s="2">
        <f t="shared" si="126"/>
        <v>1</v>
      </c>
    </row>
    <row r="8112" spans="1:4" x14ac:dyDescent="0.3">
      <c r="A8112" s="34">
        <v>57451</v>
      </c>
      <c r="B8112" s="35">
        <v>1</v>
      </c>
      <c r="C8112" s="35">
        <v>0</v>
      </c>
      <c r="D8112" s="2">
        <f t="shared" si="126"/>
        <v>1</v>
      </c>
    </row>
    <row r="8113" spans="1:4" x14ac:dyDescent="0.3">
      <c r="A8113" s="34">
        <v>57452</v>
      </c>
      <c r="B8113" s="35">
        <v>1</v>
      </c>
      <c r="C8113" s="35">
        <v>0</v>
      </c>
      <c r="D8113" s="2">
        <f t="shared" si="126"/>
        <v>1</v>
      </c>
    </row>
    <row r="8114" spans="1:4" x14ac:dyDescent="0.3">
      <c r="A8114" s="34">
        <v>57453</v>
      </c>
      <c r="B8114" s="35">
        <v>1</v>
      </c>
      <c r="C8114" s="35">
        <v>0</v>
      </c>
      <c r="D8114" s="2">
        <f t="shared" si="126"/>
        <v>1</v>
      </c>
    </row>
    <row r="8115" spans="1:4" x14ac:dyDescent="0.3">
      <c r="A8115" s="34">
        <v>57454</v>
      </c>
      <c r="B8115" s="35">
        <v>1</v>
      </c>
      <c r="C8115" s="35">
        <v>0</v>
      </c>
      <c r="D8115" s="2">
        <f t="shared" si="126"/>
        <v>1</v>
      </c>
    </row>
    <row r="8116" spans="1:4" x14ac:dyDescent="0.3">
      <c r="A8116" s="34">
        <v>57455</v>
      </c>
      <c r="B8116" s="35">
        <v>1</v>
      </c>
      <c r="C8116" s="35">
        <v>0</v>
      </c>
      <c r="D8116" s="2">
        <f t="shared" si="126"/>
        <v>1</v>
      </c>
    </row>
    <row r="8117" spans="1:4" x14ac:dyDescent="0.3">
      <c r="A8117" s="34">
        <v>57457</v>
      </c>
      <c r="B8117" s="35">
        <v>1</v>
      </c>
      <c r="C8117" s="35">
        <v>0</v>
      </c>
      <c r="D8117" s="2">
        <f t="shared" si="126"/>
        <v>1</v>
      </c>
    </row>
    <row r="8118" spans="1:4" x14ac:dyDescent="0.3">
      <c r="A8118" s="34">
        <v>57458</v>
      </c>
      <c r="B8118" s="35">
        <v>1</v>
      </c>
      <c r="C8118" s="35">
        <v>0</v>
      </c>
      <c r="D8118" s="2">
        <f t="shared" si="126"/>
        <v>1</v>
      </c>
    </row>
    <row r="8119" spans="1:4" x14ac:dyDescent="0.3">
      <c r="A8119" s="34">
        <v>57460</v>
      </c>
      <c r="B8119" s="35">
        <v>2</v>
      </c>
      <c r="C8119" s="35">
        <v>0</v>
      </c>
      <c r="D8119" s="2">
        <f t="shared" si="126"/>
        <v>2</v>
      </c>
    </row>
    <row r="8120" spans="1:4" x14ac:dyDescent="0.3">
      <c r="A8120" s="34">
        <v>57461</v>
      </c>
      <c r="B8120" s="35">
        <v>1</v>
      </c>
      <c r="C8120" s="35">
        <v>0</v>
      </c>
      <c r="D8120" s="2">
        <f t="shared" si="126"/>
        <v>1</v>
      </c>
    </row>
    <row r="8121" spans="1:4" x14ac:dyDescent="0.3">
      <c r="A8121" s="34">
        <v>57462</v>
      </c>
      <c r="B8121" s="35">
        <v>1</v>
      </c>
      <c r="C8121" s="35">
        <v>0</v>
      </c>
      <c r="D8121" s="2">
        <f t="shared" si="126"/>
        <v>1</v>
      </c>
    </row>
    <row r="8122" spans="1:4" x14ac:dyDescent="0.3">
      <c r="A8122" s="34">
        <v>57469</v>
      </c>
      <c r="B8122" s="35">
        <v>1</v>
      </c>
      <c r="C8122" s="35">
        <v>0</v>
      </c>
      <c r="D8122" s="2">
        <f t="shared" si="126"/>
        <v>1</v>
      </c>
    </row>
    <row r="8123" spans="1:4" x14ac:dyDescent="0.3">
      <c r="A8123" s="34">
        <v>57470</v>
      </c>
      <c r="B8123" s="35">
        <v>1</v>
      </c>
      <c r="C8123" s="35">
        <v>0</v>
      </c>
      <c r="D8123" s="2">
        <f t="shared" si="126"/>
        <v>1</v>
      </c>
    </row>
    <row r="8124" spans="1:4" x14ac:dyDescent="0.3">
      <c r="A8124" s="34">
        <v>57474</v>
      </c>
      <c r="B8124" s="35">
        <v>1</v>
      </c>
      <c r="C8124" s="35">
        <v>0</v>
      </c>
      <c r="D8124" s="2">
        <f t="shared" si="126"/>
        <v>1</v>
      </c>
    </row>
    <row r="8125" spans="1:4" x14ac:dyDescent="0.3">
      <c r="A8125" s="34">
        <v>57477</v>
      </c>
      <c r="B8125" s="35">
        <v>1</v>
      </c>
      <c r="C8125" s="35">
        <v>0</v>
      </c>
      <c r="D8125" s="2">
        <f t="shared" si="126"/>
        <v>1</v>
      </c>
    </row>
    <row r="8126" spans="1:4" x14ac:dyDescent="0.3">
      <c r="A8126" s="34">
        <v>57478</v>
      </c>
      <c r="B8126" s="35">
        <v>1</v>
      </c>
      <c r="C8126" s="35">
        <v>0</v>
      </c>
      <c r="D8126" s="2">
        <f t="shared" si="126"/>
        <v>1</v>
      </c>
    </row>
    <row r="8127" spans="1:4" x14ac:dyDescent="0.3">
      <c r="A8127" s="34">
        <v>57530</v>
      </c>
      <c r="B8127" s="35">
        <v>1</v>
      </c>
      <c r="C8127" s="35">
        <v>0</v>
      </c>
      <c r="D8127" s="2">
        <f t="shared" si="126"/>
        <v>1</v>
      </c>
    </row>
    <row r="8128" spans="1:4" x14ac:dyDescent="0.3">
      <c r="A8128" s="34">
        <v>57532</v>
      </c>
      <c r="B8128" s="35">
        <v>1</v>
      </c>
      <c r="C8128" s="35">
        <v>1</v>
      </c>
      <c r="D8128" s="2">
        <f t="shared" si="126"/>
        <v>2</v>
      </c>
    </row>
    <row r="8129" spans="1:4" x14ac:dyDescent="0.3">
      <c r="A8129" s="34">
        <v>57533</v>
      </c>
      <c r="B8129" s="35">
        <v>1</v>
      </c>
      <c r="C8129" s="35">
        <v>0</v>
      </c>
      <c r="D8129" s="2">
        <f t="shared" si="126"/>
        <v>1</v>
      </c>
    </row>
    <row r="8130" spans="1:4" x14ac:dyDescent="0.3">
      <c r="A8130" s="34">
        <v>57534</v>
      </c>
      <c r="B8130" s="35">
        <v>1</v>
      </c>
      <c r="C8130" s="35">
        <v>0</v>
      </c>
      <c r="D8130" s="2">
        <f t="shared" si="126"/>
        <v>1</v>
      </c>
    </row>
    <row r="8131" spans="1:4" x14ac:dyDescent="0.3">
      <c r="A8131" s="34">
        <v>57536</v>
      </c>
      <c r="B8131" s="35">
        <v>1</v>
      </c>
      <c r="C8131" s="35">
        <v>0</v>
      </c>
      <c r="D8131" s="2">
        <f t="shared" ref="D8131:D8194" si="127">B8131+C8131</f>
        <v>1</v>
      </c>
    </row>
    <row r="8132" spans="1:4" x14ac:dyDescent="0.3">
      <c r="A8132" s="34">
        <v>57537</v>
      </c>
      <c r="B8132" s="35">
        <v>1</v>
      </c>
      <c r="C8132" s="35">
        <v>0</v>
      </c>
      <c r="D8132" s="2">
        <f t="shared" si="127"/>
        <v>1</v>
      </c>
    </row>
    <row r="8133" spans="1:4" x14ac:dyDescent="0.3">
      <c r="A8133" s="34">
        <v>57543</v>
      </c>
      <c r="B8133" s="35">
        <v>1</v>
      </c>
      <c r="C8133" s="35">
        <v>0</v>
      </c>
      <c r="D8133" s="2">
        <f t="shared" si="127"/>
        <v>1</v>
      </c>
    </row>
    <row r="8134" spans="1:4" x14ac:dyDescent="0.3">
      <c r="A8134" s="34">
        <v>57544</v>
      </c>
      <c r="B8134" s="35">
        <v>1</v>
      </c>
      <c r="C8134" s="35">
        <v>0</v>
      </c>
      <c r="D8134" s="2">
        <f t="shared" si="127"/>
        <v>1</v>
      </c>
    </row>
    <row r="8135" spans="1:4" x14ac:dyDescent="0.3">
      <c r="A8135" s="34">
        <v>57545</v>
      </c>
      <c r="B8135" s="35">
        <v>1</v>
      </c>
      <c r="C8135" s="35">
        <v>0</v>
      </c>
      <c r="D8135" s="2">
        <f t="shared" si="127"/>
        <v>1</v>
      </c>
    </row>
    <row r="8136" spans="1:4" x14ac:dyDescent="0.3">
      <c r="A8136" s="34">
        <v>57546</v>
      </c>
      <c r="B8136" s="35">
        <v>1</v>
      </c>
      <c r="C8136" s="35">
        <v>1</v>
      </c>
      <c r="D8136" s="2">
        <f t="shared" si="127"/>
        <v>2</v>
      </c>
    </row>
    <row r="8137" spans="1:4" x14ac:dyDescent="0.3">
      <c r="A8137" s="34">
        <v>57551</v>
      </c>
      <c r="B8137" s="35">
        <v>1</v>
      </c>
      <c r="C8137" s="35">
        <v>0</v>
      </c>
      <c r="D8137" s="2">
        <f t="shared" si="127"/>
        <v>1</v>
      </c>
    </row>
    <row r="8138" spans="1:4" x14ac:dyDescent="0.3">
      <c r="A8138" s="34">
        <v>57553</v>
      </c>
      <c r="B8138" s="35">
        <v>1</v>
      </c>
      <c r="C8138" s="35">
        <v>0</v>
      </c>
      <c r="D8138" s="2">
        <f t="shared" si="127"/>
        <v>1</v>
      </c>
    </row>
    <row r="8139" spans="1:4" x14ac:dyDescent="0.3">
      <c r="A8139" s="34">
        <v>57557</v>
      </c>
      <c r="B8139" s="35">
        <v>1</v>
      </c>
      <c r="C8139" s="35">
        <v>0</v>
      </c>
      <c r="D8139" s="2">
        <f t="shared" si="127"/>
        <v>1</v>
      </c>
    </row>
    <row r="8140" spans="1:4" x14ac:dyDescent="0.3">
      <c r="A8140" s="34">
        <v>57560</v>
      </c>
      <c r="B8140" s="35">
        <v>1</v>
      </c>
      <c r="C8140" s="35">
        <v>0</v>
      </c>
      <c r="D8140" s="2">
        <f t="shared" si="127"/>
        <v>1</v>
      </c>
    </row>
    <row r="8141" spans="1:4" x14ac:dyDescent="0.3">
      <c r="A8141" s="34">
        <v>57561</v>
      </c>
      <c r="B8141" s="35">
        <v>1</v>
      </c>
      <c r="C8141" s="35">
        <v>1</v>
      </c>
      <c r="D8141" s="2">
        <f t="shared" si="127"/>
        <v>2</v>
      </c>
    </row>
    <row r="8142" spans="1:4" x14ac:dyDescent="0.3">
      <c r="A8142" s="34">
        <v>57564</v>
      </c>
      <c r="B8142" s="35">
        <v>1</v>
      </c>
      <c r="C8142" s="35">
        <v>0</v>
      </c>
      <c r="D8142" s="2">
        <f t="shared" si="127"/>
        <v>1</v>
      </c>
    </row>
    <row r="8143" spans="1:4" x14ac:dyDescent="0.3">
      <c r="A8143" s="34">
        <v>57565</v>
      </c>
      <c r="B8143" s="35">
        <v>2</v>
      </c>
      <c r="C8143" s="35">
        <v>0</v>
      </c>
      <c r="D8143" s="2">
        <f t="shared" si="127"/>
        <v>2</v>
      </c>
    </row>
    <row r="8144" spans="1:4" x14ac:dyDescent="0.3">
      <c r="A8144" s="34">
        <v>57566</v>
      </c>
      <c r="B8144" s="35">
        <v>2</v>
      </c>
      <c r="C8144" s="35">
        <v>1</v>
      </c>
      <c r="D8144" s="2">
        <f t="shared" si="127"/>
        <v>3</v>
      </c>
    </row>
    <row r="8145" spans="1:4" x14ac:dyDescent="0.3">
      <c r="A8145" s="34">
        <v>57567</v>
      </c>
      <c r="B8145" s="35">
        <v>1</v>
      </c>
      <c r="C8145" s="35">
        <v>0</v>
      </c>
      <c r="D8145" s="2">
        <f t="shared" si="127"/>
        <v>1</v>
      </c>
    </row>
    <row r="8146" spans="1:4" x14ac:dyDescent="0.3">
      <c r="A8146" s="34">
        <v>57569</v>
      </c>
      <c r="B8146" s="35">
        <v>1</v>
      </c>
      <c r="C8146" s="35">
        <v>1</v>
      </c>
      <c r="D8146" s="2">
        <f t="shared" si="127"/>
        <v>2</v>
      </c>
    </row>
    <row r="8147" spans="1:4" x14ac:dyDescent="0.3">
      <c r="A8147" s="34">
        <v>57570</v>
      </c>
      <c r="B8147" s="35">
        <v>1</v>
      </c>
      <c r="C8147" s="35">
        <v>0</v>
      </c>
      <c r="D8147" s="2">
        <f t="shared" si="127"/>
        <v>1</v>
      </c>
    </row>
    <row r="8148" spans="1:4" x14ac:dyDescent="0.3">
      <c r="A8148" s="34">
        <v>57571</v>
      </c>
      <c r="B8148" s="35">
        <v>1</v>
      </c>
      <c r="C8148" s="35">
        <v>0</v>
      </c>
      <c r="D8148" s="2">
        <f t="shared" si="127"/>
        <v>1</v>
      </c>
    </row>
    <row r="8149" spans="1:4" x14ac:dyDescent="0.3">
      <c r="A8149" s="34">
        <v>57576</v>
      </c>
      <c r="B8149" s="35">
        <v>1</v>
      </c>
      <c r="C8149" s="35">
        <v>0</v>
      </c>
      <c r="D8149" s="2">
        <f t="shared" si="127"/>
        <v>1</v>
      </c>
    </row>
    <row r="8150" spans="1:4" x14ac:dyDescent="0.3">
      <c r="A8150" s="34">
        <v>57596</v>
      </c>
      <c r="B8150" s="35">
        <v>1</v>
      </c>
      <c r="C8150" s="35">
        <v>0</v>
      </c>
      <c r="D8150" s="2">
        <f t="shared" si="127"/>
        <v>1</v>
      </c>
    </row>
    <row r="8151" spans="1:4" x14ac:dyDescent="0.3">
      <c r="A8151" s="34">
        <v>57597</v>
      </c>
      <c r="B8151" s="35">
        <v>1</v>
      </c>
      <c r="C8151" s="35">
        <v>0</v>
      </c>
      <c r="D8151" s="2">
        <f t="shared" si="127"/>
        <v>1</v>
      </c>
    </row>
    <row r="8152" spans="1:4" x14ac:dyDescent="0.3">
      <c r="A8152" s="34">
        <v>57601</v>
      </c>
      <c r="B8152" s="35">
        <v>2</v>
      </c>
      <c r="C8152" s="35">
        <v>1</v>
      </c>
      <c r="D8152" s="2">
        <f t="shared" si="127"/>
        <v>3</v>
      </c>
    </row>
    <row r="8153" spans="1:4" x14ac:dyDescent="0.3">
      <c r="A8153" s="34">
        <v>57602</v>
      </c>
      <c r="B8153" s="35">
        <v>1</v>
      </c>
      <c r="C8153" s="35">
        <v>0</v>
      </c>
      <c r="D8153" s="2">
        <f t="shared" si="127"/>
        <v>1</v>
      </c>
    </row>
    <row r="8154" spans="1:4" x14ac:dyDescent="0.3">
      <c r="A8154" s="34">
        <v>57611</v>
      </c>
      <c r="B8154" s="35">
        <v>1</v>
      </c>
      <c r="C8154" s="35">
        <v>0</v>
      </c>
      <c r="D8154" s="2">
        <f t="shared" si="127"/>
        <v>1</v>
      </c>
    </row>
    <row r="8155" spans="1:4" x14ac:dyDescent="0.3">
      <c r="A8155" s="34">
        <v>57612</v>
      </c>
      <c r="B8155" s="35">
        <v>1</v>
      </c>
      <c r="C8155" s="35">
        <v>0</v>
      </c>
      <c r="D8155" s="2">
        <f t="shared" si="127"/>
        <v>1</v>
      </c>
    </row>
    <row r="8156" spans="1:4" x14ac:dyDescent="0.3">
      <c r="A8156" s="34">
        <v>57615</v>
      </c>
      <c r="B8156" s="35">
        <v>1</v>
      </c>
      <c r="C8156" s="35">
        <v>0</v>
      </c>
      <c r="D8156" s="2">
        <f t="shared" si="127"/>
        <v>1</v>
      </c>
    </row>
    <row r="8157" spans="1:4" x14ac:dyDescent="0.3">
      <c r="A8157" s="34">
        <v>57619</v>
      </c>
      <c r="B8157" s="35">
        <v>1</v>
      </c>
      <c r="C8157" s="35">
        <v>0</v>
      </c>
      <c r="D8157" s="2">
        <f t="shared" si="127"/>
        <v>1</v>
      </c>
    </row>
    <row r="8158" spans="1:4" x14ac:dyDescent="0.3">
      <c r="A8158" s="34">
        <v>57620</v>
      </c>
      <c r="B8158" s="35">
        <v>1</v>
      </c>
      <c r="C8158" s="35">
        <v>0</v>
      </c>
      <c r="D8158" s="2">
        <f t="shared" si="127"/>
        <v>1</v>
      </c>
    </row>
    <row r="8159" spans="1:4" x14ac:dyDescent="0.3">
      <c r="A8159" s="34">
        <v>57621</v>
      </c>
      <c r="B8159" s="35">
        <v>1</v>
      </c>
      <c r="C8159" s="35">
        <v>0</v>
      </c>
      <c r="D8159" s="2">
        <f t="shared" si="127"/>
        <v>1</v>
      </c>
    </row>
    <row r="8160" spans="1:4" x14ac:dyDescent="0.3">
      <c r="A8160" s="34">
        <v>57623</v>
      </c>
      <c r="B8160" s="35">
        <v>1</v>
      </c>
      <c r="C8160" s="35">
        <v>0</v>
      </c>
      <c r="D8160" s="2">
        <f t="shared" si="127"/>
        <v>1</v>
      </c>
    </row>
    <row r="8161" spans="1:4" x14ac:dyDescent="0.3">
      <c r="A8161" s="34">
        <v>57625</v>
      </c>
      <c r="B8161" s="35">
        <v>1</v>
      </c>
      <c r="C8161" s="35">
        <v>0</v>
      </c>
      <c r="D8161" s="2">
        <f t="shared" si="127"/>
        <v>1</v>
      </c>
    </row>
    <row r="8162" spans="1:4" x14ac:dyDescent="0.3">
      <c r="A8162" s="34">
        <v>57626</v>
      </c>
      <c r="B8162" s="35">
        <v>2</v>
      </c>
      <c r="C8162" s="35">
        <v>1</v>
      </c>
      <c r="D8162" s="2">
        <f t="shared" si="127"/>
        <v>3</v>
      </c>
    </row>
    <row r="8163" spans="1:4" x14ac:dyDescent="0.3">
      <c r="A8163" s="34">
        <v>57628</v>
      </c>
      <c r="B8163" s="35">
        <v>2</v>
      </c>
      <c r="C8163" s="35">
        <v>2</v>
      </c>
      <c r="D8163" s="2">
        <f t="shared" si="127"/>
        <v>4</v>
      </c>
    </row>
    <row r="8164" spans="1:4" x14ac:dyDescent="0.3">
      <c r="A8164" s="34">
        <v>57630</v>
      </c>
      <c r="B8164" s="35">
        <v>1</v>
      </c>
      <c r="C8164" s="35">
        <v>0</v>
      </c>
      <c r="D8164" s="2">
        <f t="shared" si="127"/>
        <v>1</v>
      </c>
    </row>
    <row r="8165" spans="1:4" x14ac:dyDescent="0.3">
      <c r="A8165" s="34">
        <v>57631</v>
      </c>
      <c r="B8165" s="35">
        <v>1</v>
      </c>
      <c r="C8165" s="35">
        <v>0</v>
      </c>
      <c r="D8165" s="2">
        <f t="shared" si="127"/>
        <v>1</v>
      </c>
    </row>
    <row r="8166" spans="1:4" x14ac:dyDescent="0.3">
      <c r="A8166" s="34">
        <v>57659</v>
      </c>
      <c r="B8166" s="35">
        <v>1</v>
      </c>
      <c r="C8166" s="35">
        <v>0</v>
      </c>
      <c r="D8166" s="2">
        <f t="shared" si="127"/>
        <v>1</v>
      </c>
    </row>
    <row r="8167" spans="1:4" x14ac:dyDescent="0.3">
      <c r="A8167" s="34">
        <v>57660</v>
      </c>
      <c r="B8167" s="35">
        <v>1</v>
      </c>
      <c r="C8167" s="35">
        <v>0</v>
      </c>
      <c r="D8167" s="2">
        <f t="shared" si="127"/>
        <v>1</v>
      </c>
    </row>
    <row r="8168" spans="1:4" x14ac:dyDescent="0.3">
      <c r="A8168" s="34">
        <v>57665</v>
      </c>
      <c r="B8168" s="35">
        <v>1</v>
      </c>
      <c r="C8168" s="35">
        <v>0</v>
      </c>
      <c r="D8168" s="2">
        <f t="shared" si="127"/>
        <v>1</v>
      </c>
    </row>
    <row r="8169" spans="1:4" x14ac:dyDescent="0.3">
      <c r="A8169" s="34">
        <v>57666</v>
      </c>
      <c r="B8169" s="35">
        <v>1</v>
      </c>
      <c r="C8169" s="35">
        <v>0</v>
      </c>
      <c r="D8169" s="2">
        <f t="shared" si="127"/>
        <v>1</v>
      </c>
    </row>
    <row r="8170" spans="1:4" x14ac:dyDescent="0.3">
      <c r="A8170" s="34">
        <v>57669</v>
      </c>
      <c r="B8170" s="35">
        <v>1</v>
      </c>
      <c r="C8170" s="35">
        <v>0</v>
      </c>
      <c r="D8170" s="2">
        <f t="shared" si="127"/>
        <v>1</v>
      </c>
    </row>
    <row r="8171" spans="1:4" x14ac:dyDescent="0.3">
      <c r="A8171" s="34">
        <v>57672</v>
      </c>
      <c r="B8171" s="35">
        <v>1</v>
      </c>
      <c r="C8171" s="35">
        <v>0</v>
      </c>
      <c r="D8171" s="2">
        <f t="shared" si="127"/>
        <v>1</v>
      </c>
    </row>
    <row r="8172" spans="1:4" x14ac:dyDescent="0.3">
      <c r="A8172" s="34">
        <v>57673</v>
      </c>
      <c r="B8172" s="35">
        <v>1</v>
      </c>
      <c r="C8172" s="35">
        <v>0</v>
      </c>
      <c r="D8172" s="2">
        <f t="shared" si="127"/>
        <v>1</v>
      </c>
    </row>
    <row r="8173" spans="1:4" x14ac:dyDescent="0.3">
      <c r="A8173" s="34">
        <v>57675</v>
      </c>
      <c r="B8173" s="35">
        <v>1</v>
      </c>
      <c r="C8173" s="35">
        <v>0</v>
      </c>
      <c r="D8173" s="2">
        <f t="shared" si="127"/>
        <v>1</v>
      </c>
    </row>
    <row r="8174" spans="1:4" x14ac:dyDescent="0.3">
      <c r="A8174" s="34">
        <v>57676</v>
      </c>
      <c r="B8174" s="35">
        <v>1</v>
      </c>
      <c r="C8174" s="35">
        <v>0</v>
      </c>
      <c r="D8174" s="2">
        <f t="shared" si="127"/>
        <v>1</v>
      </c>
    </row>
    <row r="8175" spans="1:4" x14ac:dyDescent="0.3">
      <c r="A8175" s="34">
        <v>57681</v>
      </c>
      <c r="B8175" s="35">
        <v>1</v>
      </c>
      <c r="C8175" s="35">
        <v>0</v>
      </c>
      <c r="D8175" s="2">
        <f t="shared" si="127"/>
        <v>1</v>
      </c>
    </row>
    <row r="8176" spans="1:4" x14ac:dyDescent="0.3">
      <c r="A8176" s="34">
        <v>57682</v>
      </c>
      <c r="B8176" s="35">
        <v>1</v>
      </c>
      <c r="C8176" s="35">
        <v>0</v>
      </c>
      <c r="D8176" s="2">
        <f t="shared" si="127"/>
        <v>1</v>
      </c>
    </row>
    <row r="8177" spans="1:4" x14ac:dyDescent="0.3">
      <c r="A8177" s="34">
        <v>57683</v>
      </c>
      <c r="B8177" s="35">
        <v>1</v>
      </c>
      <c r="C8177" s="35">
        <v>0</v>
      </c>
      <c r="D8177" s="2">
        <f t="shared" si="127"/>
        <v>1</v>
      </c>
    </row>
    <row r="8178" spans="1:4" x14ac:dyDescent="0.3">
      <c r="A8178" s="34">
        <v>57684</v>
      </c>
      <c r="B8178" s="35">
        <v>1</v>
      </c>
      <c r="C8178" s="35">
        <v>0</v>
      </c>
      <c r="D8178" s="2">
        <f t="shared" si="127"/>
        <v>1</v>
      </c>
    </row>
    <row r="8179" spans="1:4" x14ac:dyDescent="0.3">
      <c r="A8179" s="34">
        <v>57685</v>
      </c>
      <c r="B8179" s="35">
        <v>1</v>
      </c>
      <c r="C8179" s="35">
        <v>0</v>
      </c>
      <c r="D8179" s="2">
        <f t="shared" si="127"/>
        <v>1</v>
      </c>
    </row>
    <row r="8180" spans="1:4" x14ac:dyDescent="0.3">
      <c r="A8180" s="34">
        <v>57686</v>
      </c>
      <c r="B8180" s="35">
        <v>1</v>
      </c>
      <c r="C8180" s="35">
        <v>0</v>
      </c>
      <c r="D8180" s="2">
        <f t="shared" si="127"/>
        <v>1</v>
      </c>
    </row>
    <row r="8181" spans="1:4" x14ac:dyDescent="0.3">
      <c r="A8181" s="34">
        <v>57687</v>
      </c>
      <c r="B8181" s="35">
        <v>1</v>
      </c>
      <c r="C8181" s="35">
        <v>0</v>
      </c>
      <c r="D8181" s="2">
        <f t="shared" si="127"/>
        <v>1</v>
      </c>
    </row>
    <row r="8182" spans="1:4" x14ac:dyDescent="0.3">
      <c r="A8182" s="34">
        <v>57692</v>
      </c>
      <c r="B8182" s="35">
        <v>1</v>
      </c>
      <c r="C8182" s="35">
        <v>0</v>
      </c>
      <c r="D8182" s="2">
        <f t="shared" si="127"/>
        <v>1</v>
      </c>
    </row>
    <row r="8183" spans="1:4" x14ac:dyDescent="0.3">
      <c r="A8183" s="34">
        <v>57695</v>
      </c>
      <c r="B8183" s="35">
        <v>1</v>
      </c>
      <c r="C8183" s="35">
        <v>0</v>
      </c>
      <c r="D8183" s="2">
        <f t="shared" si="127"/>
        <v>1</v>
      </c>
    </row>
    <row r="8184" spans="1:4" x14ac:dyDescent="0.3">
      <c r="A8184" s="34">
        <v>57698</v>
      </c>
      <c r="B8184" s="35">
        <v>1</v>
      </c>
      <c r="C8184" s="35">
        <v>0</v>
      </c>
      <c r="D8184" s="2">
        <f t="shared" si="127"/>
        <v>1</v>
      </c>
    </row>
    <row r="8185" spans="1:4" x14ac:dyDescent="0.3">
      <c r="A8185" s="34">
        <v>57701</v>
      </c>
      <c r="B8185" s="35">
        <v>1</v>
      </c>
      <c r="C8185" s="35">
        <v>0</v>
      </c>
      <c r="D8185" s="2">
        <f t="shared" si="127"/>
        <v>1</v>
      </c>
    </row>
    <row r="8186" spans="1:4" x14ac:dyDescent="0.3">
      <c r="A8186" s="34">
        <v>57703</v>
      </c>
      <c r="B8186" s="35">
        <v>1</v>
      </c>
      <c r="C8186" s="35">
        <v>0</v>
      </c>
      <c r="D8186" s="2">
        <f t="shared" si="127"/>
        <v>1</v>
      </c>
    </row>
    <row r="8187" spans="1:4" x14ac:dyDescent="0.3">
      <c r="A8187" s="34">
        <v>57704</v>
      </c>
      <c r="B8187" s="35">
        <v>1</v>
      </c>
      <c r="C8187" s="35">
        <v>0</v>
      </c>
      <c r="D8187" s="2">
        <f t="shared" si="127"/>
        <v>1</v>
      </c>
    </row>
    <row r="8188" spans="1:4" x14ac:dyDescent="0.3">
      <c r="A8188" s="34">
        <v>57705</v>
      </c>
      <c r="B8188" s="35">
        <v>1</v>
      </c>
      <c r="C8188" s="35">
        <v>0</v>
      </c>
      <c r="D8188" s="2">
        <f t="shared" si="127"/>
        <v>1</v>
      </c>
    </row>
    <row r="8189" spans="1:4" x14ac:dyDescent="0.3">
      <c r="A8189" s="34">
        <v>57707</v>
      </c>
      <c r="B8189" s="35">
        <v>1</v>
      </c>
      <c r="C8189" s="35">
        <v>1</v>
      </c>
      <c r="D8189" s="2">
        <f t="shared" si="127"/>
        <v>2</v>
      </c>
    </row>
    <row r="8190" spans="1:4" x14ac:dyDescent="0.3">
      <c r="A8190" s="34">
        <v>57708</v>
      </c>
      <c r="B8190" s="35">
        <v>1</v>
      </c>
      <c r="C8190" s="35">
        <v>0</v>
      </c>
      <c r="D8190" s="2">
        <f t="shared" si="127"/>
        <v>1</v>
      </c>
    </row>
    <row r="8191" spans="1:4" x14ac:dyDescent="0.3">
      <c r="A8191" s="34">
        <v>57710</v>
      </c>
      <c r="B8191" s="35">
        <v>1</v>
      </c>
      <c r="C8191" s="35">
        <v>0</v>
      </c>
      <c r="D8191" s="2">
        <f t="shared" si="127"/>
        <v>1</v>
      </c>
    </row>
    <row r="8192" spans="1:4" x14ac:dyDescent="0.3">
      <c r="A8192" s="34">
        <v>57719</v>
      </c>
      <c r="B8192" s="35">
        <v>1</v>
      </c>
      <c r="C8192" s="35">
        <v>1</v>
      </c>
      <c r="D8192" s="2">
        <f t="shared" si="127"/>
        <v>2</v>
      </c>
    </row>
    <row r="8193" spans="1:4" x14ac:dyDescent="0.3">
      <c r="A8193" s="34">
        <v>57723</v>
      </c>
      <c r="B8193" s="35">
        <v>1</v>
      </c>
      <c r="C8193" s="35">
        <v>0</v>
      </c>
      <c r="D8193" s="2">
        <f t="shared" si="127"/>
        <v>1</v>
      </c>
    </row>
    <row r="8194" spans="1:4" x14ac:dyDescent="0.3">
      <c r="A8194" s="34">
        <v>57724</v>
      </c>
      <c r="B8194" s="35">
        <v>1</v>
      </c>
      <c r="C8194" s="35">
        <v>0</v>
      </c>
      <c r="D8194" s="2">
        <f t="shared" si="127"/>
        <v>1</v>
      </c>
    </row>
    <row r="8195" spans="1:4" x14ac:dyDescent="0.3">
      <c r="A8195" s="34">
        <v>57725</v>
      </c>
      <c r="B8195" s="35">
        <v>1</v>
      </c>
      <c r="C8195" s="35">
        <v>0</v>
      </c>
      <c r="D8195" s="2">
        <f t="shared" ref="D8195:D8258" si="128">B8195+C8195</f>
        <v>1</v>
      </c>
    </row>
    <row r="8196" spans="1:4" x14ac:dyDescent="0.3">
      <c r="A8196" s="34">
        <v>57727</v>
      </c>
      <c r="B8196" s="35">
        <v>1</v>
      </c>
      <c r="C8196" s="35">
        <v>0</v>
      </c>
      <c r="D8196" s="2">
        <f t="shared" si="128"/>
        <v>1</v>
      </c>
    </row>
    <row r="8197" spans="1:4" x14ac:dyDescent="0.3">
      <c r="A8197" s="34">
        <v>57732</v>
      </c>
      <c r="B8197" s="35">
        <v>1</v>
      </c>
      <c r="C8197" s="35">
        <v>1</v>
      </c>
      <c r="D8197" s="2">
        <f t="shared" si="128"/>
        <v>2</v>
      </c>
    </row>
    <row r="8198" spans="1:4" x14ac:dyDescent="0.3">
      <c r="A8198" s="34">
        <v>57734</v>
      </c>
      <c r="B8198" s="35">
        <v>1</v>
      </c>
      <c r="C8198" s="35">
        <v>1</v>
      </c>
      <c r="D8198" s="2">
        <f t="shared" si="128"/>
        <v>2</v>
      </c>
    </row>
    <row r="8199" spans="1:4" x14ac:dyDescent="0.3">
      <c r="A8199" s="34">
        <v>57737</v>
      </c>
      <c r="B8199" s="35">
        <v>1</v>
      </c>
      <c r="C8199" s="35">
        <v>0</v>
      </c>
      <c r="D8199" s="2">
        <f t="shared" si="128"/>
        <v>1</v>
      </c>
    </row>
    <row r="8200" spans="1:4" x14ac:dyDescent="0.3">
      <c r="A8200" s="34">
        <v>57739</v>
      </c>
      <c r="B8200" s="35">
        <v>1</v>
      </c>
      <c r="C8200" s="35">
        <v>0</v>
      </c>
      <c r="D8200" s="2">
        <f t="shared" si="128"/>
        <v>1</v>
      </c>
    </row>
    <row r="8201" spans="1:4" x14ac:dyDescent="0.3">
      <c r="A8201" s="34">
        <v>57780</v>
      </c>
      <c r="B8201" s="35">
        <v>1</v>
      </c>
      <c r="C8201" s="35">
        <v>0</v>
      </c>
      <c r="D8201" s="2">
        <f t="shared" si="128"/>
        <v>1</v>
      </c>
    </row>
    <row r="8202" spans="1:4" x14ac:dyDescent="0.3">
      <c r="A8202" s="34">
        <v>57781</v>
      </c>
      <c r="B8202" s="35">
        <v>1</v>
      </c>
      <c r="C8202" s="35">
        <v>0</v>
      </c>
      <c r="D8202" s="2">
        <f t="shared" si="128"/>
        <v>1</v>
      </c>
    </row>
    <row r="8203" spans="1:4" x14ac:dyDescent="0.3">
      <c r="A8203" s="34">
        <v>57782</v>
      </c>
      <c r="B8203" s="35">
        <v>1</v>
      </c>
      <c r="C8203" s="35">
        <v>0</v>
      </c>
      <c r="D8203" s="2">
        <f t="shared" si="128"/>
        <v>1</v>
      </c>
    </row>
    <row r="8204" spans="1:4" x14ac:dyDescent="0.3">
      <c r="A8204" s="34">
        <v>57783</v>
      </c>
      <c r="B8204" s="35">
        <v>1</v>
      </c>
      <c r="C8204" s="35">
        <v>0</v>
      </c>
      <c r="D8204" s="2">
        <f t="shared" si="128"/>
        <v>1</v>
      </c>
    </row>
    <row r="8205" spans="1:4" x14ac:dyDescent="0.3">
      <c r="A8205" s="34">
        <v>57784</v>
      </c>
      <c r="B8205" s="35">
        <v>1</v>
      </c>
      <c r="C8205" s="35">
        <v>0</v>
      </c>
      <c r="D8205" s="2">
        <f t="shared" si="128"/>
        <v>1</v>
      </c>
    </row>
    <row r="8206" spans="1:4" x14ac:dyDescent="0.3">
      <c r="A8206" s="34">
        <v>57786</v>
      </c>
      <c r="B8206" s="35">
        <v>1</v>
      </c>
      <c r="C8206" s="35">
        <v>0</v>
      </c>
      <c r="D8206" s="2">
        <f t="shared" si="128"/>
        <v>1</v>
      </c>
    </row>
    <row r="8207" spans="1:4" x14ac:dyDescent="0.3">
      <c r="A8207" s="34">
        <v>57788</v>
      </c>
      <c r="B8207" s="35">
        <v>1</v>
      </c>
      <c r="C8207" s="35">
        <v>0</v>
      </c>
      <c r="D8207" s="2">
        <f t="shared" si="128"/>
        <v>1</v>
      </c>
    </row>
    <row r="8208" spans="1:4" x14ac:dyDescent="0.3">
      <c r="A8208" s="34">
        <v>57789</v>
      </c>
      <c r="B8208" s="35">
        <v>1</v>
      </c>
      <c r="C8208" s="35">
        <v>1</v>
      </c>
      <c r="D8208" s="2">
        <f t="shared" si="128"/>
        <v>2</v>
      </c>
    </row>
    <row r="8209" spans="1:4" x14ac:dyDescent="0.3">
      <c r="A8209" s="34">
        <v>57791</v>
      </c>
      <c r="B8209" s="35">
        <v>1</v>
      </c>
      <c r="C8209" s="35">
        <v>0</v>
      </c>
      <c r="D8209" s="2">
        <f t="shared" si="128"/>
        <v>1</v>
      </c>
    </row>
    <row r="8210" spans="1:4" x14ac:dyDescent="0.3">
      <c r="A8210" s="34">
        <v>57792</v>
      </c>
      <c r="B8210" s="35">
        <v>1</v>
      </c>
      <c r="C8210" s="35">
        <v>0</v>
      </c>
      <c r="D8210" s="2">
        <f t="shared" si="128"/>
        <v>1</v>
      </c>
    </row>
    <row r="8211" spans="1:4" x14ac:dyDescent="0.3">
      <c r="A8211" s="34">
        <v>57793</v>
      </c>
      <c r="B8211" s="35">
        <v>1</v>
      </c>
      <c r="C8211" s="35">
        <v>1</v>
      </c>
      <c r="D8211" s="2">
        <f t="shared" si="128"/>
        <v>2</v>
      </c>
    </row>
    <row r="8212" spans="1:4" x14ac:dyDescent="0.3">
      <c r="A8212" s="34">
        <v>57796</v>
      </c>
      <c r="B8212" s="35">
        <v>1</v>
      </c>
      <c r="C8212" s="35">
        <v>0</v>
      </c>
      <c r="D8212" s="2">
        <f t="shared" si="128"/>
        <v>1</v>
      </c>
    </row>
    <row r="8213" spans="1:4" x14ac:dyDescent="0.3">
      <c r="A8213" s="34">
        <v>57798</v>
      </c>
      <c r="B8213" s="35">
        <v>1</v>
      </c>
      <c r="C8213" s="35">
        <v>0</v>
      </c>
      <c r="D8213" s="2">
        <f t="shared" si="128"/>
        <v>1</v>
      </c>
    </row>
    <row r="8214" spans="1:4" x14ac:dyDescent="0.3">
      <c r="A8214" s="34">
        <v>57800</v>
      </c>
      <c r="B8214" s="35">
        <v>1</v>
      </c>
      <c r="C8214" s="35">
        <v>0</v>
      </c>
      <c r="D8214" s="2">
        <f t="shared" si="128"/>
        <v>1</v>
      </c>
    </row>
    <row r="8215" spans="1:4" x14ac:dyDescent="0.3">
      <c r="A8215" s="34">
        <v>57801</v>
      </c>
      <c r="B8215" s="35">
        <v>1</v>
      </c>
      <c r="C8215" s="35">
        <v>0</v>
      </c>
      <c r="D8215" s="2">
        <f t="shared" si="128"/>
        <v>1</v>
      </c>
    </row>
    <row r="8216" spans="1:4" x14ac:dyDescent="0.3">
      <c r="A8216" s="34">
        <v>57804</v>
      </c>
      <c r="B8216" s="35">
        <v>1</v>
      </c>
      <c r="C8216" s="35">
        <v>0</v>
      </c>
      <c r="D8216" s="2">
        <f t="shared" si="128"/>
        <v>1</v>
      </c>
    </row>
    <row r="8217" spans="1:4" x14ac:dyDescent="0.3">
      <c r="A8217" s="34">
        <v>57806</v>
      </c>
      <c r="B8217" s="35">
        <v>1</v>
      </c>
      <c r="C8217" s="35">
        <v>1</v>
      </c>
      <c r="D8217" s="2">
        <f t="shared" si="128"/>
        <v>2</v>
      </c>
    </row>
    <row r="8218" spans="1:4" x14ac:dyDescent="0.3">
      <c r="A8218" s="34">
        <v>57808</v>
      </c>
      <c r="B8218" s="35">
        <v>1</v>
      </c>
      <c r="C8218" s="35">
        <v>0</v>
      </c>
      <c r="D8218" s="2">
        <f t="shared" si="128"/>
        <v>1</v>
      </c>
    </row>
    <row r="8219" spans="1:4" x14ac:dyDescent="0.3">
      <c r="A8219" s="34">
        <v>57815</v>
      </c>
      <c r="B8219" s="35">
        <v>1</v>
      </c>
      <c r="C8219" s="35">
        <v>1</v>
      </c>
      <c r="D8219" s="2">
        <f t="shared" si="128"/>
        <v>2</v>
      </c>
    </row>
    <row r="8220" spans="1:4" x14ac:dyDescent="0.3">
      <c r="A8220" s="34">
        <v>57816</v>
      </c>
      <c r="B8220" s="35">
        <v>1</v>
      </c>
      <c r="C8220" s="35">
        <v>0</v>
      </c>
      <c r="D8220" s="2">
        <f t="shared" si="128"/>
        <v>1</v>
      </c>
    </row>
    <row r="8221" spans="1:4" x14ac:dyDescent="0.3">
      <c r="A8221" s="34">
        <v>57819</v>
      </c>
      <c r="B8221" s="35">
        <v>1</v>
      </c>
      <c r="C8221" s="35">
        <v>0</v>
      </c>
      <c r="D8221" s="2">
        <f t="shared" si="128"/>
        <v>1</v>
      </c>
    </row>
    <row r="8222" spans="1:4" x14ac:dyDescent="0.3">
      <c r="A8222" s="34">
        <v>57820</v>
      </c>
      <c r="B8222" s="35">
        <v>1</v>
      </c>
      <c r="C8222" s="35">
        <v>0</v>
      </c>
      <c r="D8222" s="2">
        <f t="shared" si="128"/>
        <v>1</v>
      </c>
    </row>
    <row r="8223" spans="1:4" x14ac:dyDescent="0.3">
      <c r="A8223" s="34">
        <v>57831</v>
      </c>
      <c r="B8223" s="35">
        <v>1</v>
      </c>
      <c r="C8223" s="35">
        <v>1</v>
      </c>
      <c r="D8223" s="2">
        <f t="shared" si="128"/>
        <v>2</v>
      </c>
    </row>
    <row r="8224" spans="1:4" x14ac:dyDescent="0.3">
      <c r="A8224" s="34">
        <v>57832</v>
      </c>
      <c r="B8224" s="35">
        <v>1</v>
      </c>
      <c r="C8224" s="35">
        <v>0</v>
      </c>
      <c r="D8224" s="2">
        <f t="shared" si="128"/>
        <v>1</v>
      </c>
    </row>
    <row r="8225" spans="1:4" x14ac:dyDescent="0.3">
      <c r="A8225" s="34">
        <v>57836</v>
      </c>
      <c r="B8225" s="35">
        <v>1</v>
      </c>
      <c r="C8225" s="35">
        <v>0</v>
      </c>
      <c r="D8225" s="2">
        <f t="shared" si="128"/>
        <v>1</v>
      </c>
    </row>
    <row r="8226" spans="1:4" x14ac:dyDescent="0.3">
      <c r="A8226" s="34">
        <v>57838</v>
      </c>
      <c r="B8226" s="35">
        <v>1</v>
      </c>
      <c r="C8226" s="35">
        <v>0</v>
      </c>
      <c r="D8226" s="2">
        <f t="shared" si="128"/>
        <v>1</v>
      </c>
    </row>
    <row r="8227" spans="1:4" x14ac:dyDescent="0.3">
      <c r="A8227" s="34">
        <v>57839</v>
      </c>
      <c r="B8227" s="35">
        <v>1</v>
      </c>
      <c r="C8227" s="35">
        <v>0</v>
      </c>
      <c r="D8227" s="2">
        <f t="shared" si="128"/>
        <v>1</v>
      </c>
    </row>
    <row r="8228" spans="1:4" x14ac:dyDescent="0.3">
      <c r="A8228" s="34">
        <v>57842</v>
      </c>
      <c r="B8228" s="35">
        <v>1</v>
      </c>
      <c r="C8228" s="35">
        <v>0</v>
      </c>
      <c r="D8228" s="2">
        <f t="shared" si="128"/>
        <v>1</v>
      </c>
    </row>
    <row r="8229" spans="1:4" x14ac:dyDescent="0.3">
      <c r="A8229" s="34">
        <v>57843</v>
      </c>
      <c r="B8229" s="35">
        <v>1</v>
      </c>
      <c r="C8229" s="35">
        <v>0</v>
      </c>
      <c r="D8229" s="2">
        <f t="shared" si="128"/>
        <v>1</v>
      </c>
    </row>
    <row r="8230" spans="1:4" x14ac:dyDescent="0.3">
      <c r="A8230" s="34">
        <v>57847</v>
      </c>
      <c r="B8230" s="35">
        <v>1</v>
      </c>
      <c r="C8230" s="35">
        <v>0</v>
      </c>
      <c r="D8230" s="2">
        <f t="shared" si="128"/>
        <v>1</v>
      </c>
    </row>
    <row r="8231" spans="1:4" x14ac:dyDescent="0.3">
      <c r="A8231" s="34">
        <v>57848</v>
      </c>
      <c r="B8231" s="35">
        <v>1</v>
      </c>
      <c r="C8231" s="35">
        <v>0</v>
      </c>
      <c r="D8231" s="2">
        <f t="shared" si="128"/>
        <v>1</v>
      </c>
    </row>
    <row r="8232" spans="1:4" x14ac:dyDescent="0.3">
      <c r="A8232" s="34">
        <v>57849</v>
      </c>
      <c r="B8232" s="35">
        <v>1</v>
      </c>
      <c r="C8232" s="35">
        <v>1</v>
      </c>
      <c r="D8232" s="2">
        <f t="shared" si="128"/>
        <v>2</v>
      </c>
    </row>
    <row r="8233" spans="1:4" x14ac:dyDescent="0.3">
      <c r="A8233" s="34">
        <v>57850</v>
      </c>
      <c r="B8233" s="35">
        <v>1</v>
      </c>
      <c r="C8233" s="35">
        <v>0</v>
      </c>
      <c r="D8233" s="2">
        <f t="shared" si="128"/>
        <v>1</v>
      </c>
    </row>
    <row r="8234" spans="1:4" x14ac:dyDescent="0.3">
      <c r="A8234" s="34">
        <v>57851</v>
      </c>
      <c r="B8234" s="35">
        <v>1</v>
      </c>
      <c r="C8234" s="35">
        <v>0</v>
      </c>
      <c r="D8234" s="2">
        <f t="shared" si="128"/>
        <v>1</v>
      </c>
    </row>
    <row r="8235" spans="1:4" x14ac:dyDescent="0.3">
      <c r="A8235" s="34">
        <v>57852</v>
      </c>
      <c r="B8235" s="35">
        <v>1</v>
      </c>
      <c r="C8235" s="35">
        <v>0</v>
      </c>
      <c r="D8235" s="2">
        <f t="shared" si="128"/>
        <v>1</v>
      </c>
    </row>
    <row r="8236" spans="1:4" x14ac:dyDescent="0.3">
      <c r="A8236" s="34">
        <v>57853</v>
      </c>
      <c r="B8236" s="35">
        <v>1</v>
      </c>
      <c r="C8236" s="35">
        <v>1</v>
      </c>
      <c r="D8236" s="2">
        <f t="shared" si="128"/>
        <v>2</v>
      </c>
    </row>
    <row r="8237" spans="1:4" x14ac:dyDescent="0.3">
      <c r="A8237" s="34">
        <v>57856</v>
      </c>
      <c r="B8237" s="35">
        <v>1</v>
      </c>
      <c r="C8237" s="35">
        <v>0</v>
      </c>
      <c r="D8237" s="2">
        <f t="shared" si="128"/>
        <v>1</v>
      </c>
    </row>
    <row r="8238" spans="1:4" x14ac:dyDescent="0.3">
      <c r="A8238" s="34">
        <v>57858</v>
      </c>
      <c r="B8238" s="35">
        <v>1</v>
      </c>
      <c r="C8238" s="35">
        <v>0</v>
      </c>
      <c r="D8238" s="2">
        <f t="shared" si="128"/>
        <v>1</v>
      </c>
    </row>
    <row r="8239" spans="1:4" x14ac:dyDescent="0.3">
      <c r="A8239" s="34">
        <v>57859</v>
      </c>
      <c r="B8239" s="35">
        <v>1</v>
      </c>
      <c r="C8239" s="35">
        <v>0</v>
      </c>
      <c r="D8239" s="2">
        <f t="shared" si="128"/>
        <v>1</v>
      </c>
    </row>
    <row r="8240" spans="1:4" x14ac:dyDescent="0.3">
      <c r="A8240" s="34">
        <v>57861</v>
      </c>
      <c r="B8240" s="35">
        <v>1</v>
      </c>
      <c r="C8240" s="35">
        <v>1</v>
      </c>
      <c r="D8240" s="2">
        <f t="shared" si="128"/>
        <v>2</v>
      </c>
    </row>
    <row r="8241" spans="1:4" x14ac:dyDescent="0.3">
      <c r="A8241" s="34">
        <v>57862</v>
      </c>
      <c r="B8241" s="35">
        <v>1</v>
      </c>
      <c r="C8241" s="35">
        <v>0</v>
      </c>
      <c r="D8241" s="2">
        <f t="shared" si="128"/>
        <v>1</v>
      </c>
    </row>
    <row r="8242" spans="1:4" x14ac:dyDescent="0.3">
      <c r="A8242" s="34">
        <v>57863</v>
      </c>
      <c r="B8242" s="35">
        <v>1</v>
      </c>
      <c r="C8242" s="35">
        <v>0</v>
      </c>
      <c r="D8242" s="2">
        <f t="shared" si="128"/>
        <v>1</v>
      </c>
    </row>
    <row r="8243" spans="1:4" x14ac:dyDescent="0.3">
      <c r="A8243" s="34">
        <v>57864</v>
      </c>
      <c r="B8243" s="35">
        <v>1</v>
      </c>
      <c r="C8243" s="35">
        <v>0</v>
      </c>
      <c r="D8243" s="2">
        <f t="shared" si="128"/>
        <v>1</v>
      </c>
    </row>
    <row r="8244" spans="1:4" x14ac:dyDescent="0.3">
      <c r="A8244" s="34">
        <v>57865</v>
      </c>
      <c r="B8244" s="35">
        <v>3</v>
      </c>
      <c r="C8244" s="35">
        <v>3</v>
      </c>
      <c r="D8244" s="2">
        <f t="shared" si="128"/>
        <v>6</v>
      </c>
    </row>
    <row r="8245" spans="1:4" x14ac:dyDescent="0.3">
      <c r="A8245" s="34">
        <v>57868</v>
      </c>
      <c r="B8245" s="35">
        <v>1</v>
      </c>
      <c r="C8245" s="35">
        <v>0</v>
      </c>
      <c r="D8245" s="2">
        <f t="shared" si="128"/>
        <v>1</v>
      </c>
    </row>
    <row r="8246" spans="1:4" x14ac:dyDescent="0.3">
      <c r="A8246" s="34">
        <v>57870</v>
      </c>
      <c r="B8246" s="35">
        <v>1</v>
      </c>
      <c r="C8246" s="35">
        <v>0</v>
      </c>
      <c r="D8246" s="2">
        <f t="shared" si="128"/>
        <v>1</v>
      </c>
    </row>
    <row r="8247" spans="1:4" x14ac:dyDescent="0.3">
      <c r="A8247" s="34">
        <v>57872</v>
      </c>
      <c r="B8247" s="35">
        <v>1</v>
      </c>
      <c r="C8247" s="35">
        <v>0</v>
      </c>
      <c r="D8247" s="2">
        <f t="shared" si="128"/>
        <v>1</v>
      </c>
    </row>
    <row r="8248" spans="1:4" x14ac:dyDescent="0.3">
      <c r="A8248" s="34">
        <v>57873</v>
      </c>
      <c r="B8248" s="35">
        <v>1</v>
      </c>
      <c r="C8248" s="35">
        <v>0</v>
      </c>
      <c r="D8248" s="2">
        <f t="shared" si="128"/>
        <v>1</v>
      </c>
    </row>
    <row r="8249" spans="1:4" x14ac:dyDescent="0.3">
      <c r="A8249" s="34">
        <v>57875</v>
      </c>
      <c r="B8249" s="35">
        <v>1</v>
      </c>
      <c r="C8249" s="35">
        <v>0</v>
      </c>
      <c r="D8249" s="2">
        <f t="shared" si="128"/>
        <v>1</v>
      </c>
    </row>
    <row r="8250" spans="1:4" x14ac:dyDescent="0.3">
      <c r="A8250" s="34">
        <v>57878</v>
      </c>
      <c r="B8250" s="35">
        <v>1</v>
      </c>
      <c r="C8250" s="35">
        <v>0</v>
      </c>
      <c r="D8250" s="2">
        <f t="shared" si="128"/>
        <v>1</v>
      </c>
    </row>
    <row r="8251" spans="1:4" x14ac:dyDescent="0.3">
      <c r="A8251" s="34">
        <v>57880</v>
      </c>
      <c r="B8251" s="35">
        <v>1</v>
      </c>
      <c r="C8251" s="35">
        <v>0</v>
      </c>
      <c r="D8251" s="2">
        <f t="shared" si="128"/>
        <v>1</v>
      </c>
    </row>
    <row r="8252" spans="1:4" x14ac:dyDescent="0.3">
      <c r="A8252" s="34">
        <v>57881</v>
      </c>
      <c r="B8252" s="35">
        <v>1</v>
      </c>
      <c r="C8252" s="35">
        <v>0</v>
      </c>
      <c r="D8252" s="2">
        <f t="shared" si="128"/>
        <v>1</v>
      </c>
    </row>
    <row r="8253" spans="1:4" x14ac:dyDescent="0.3">
      <c r="A8253" s="34">
        <v>57882</v>
      </c>
      <c r="B8253" s="35">
        <v>1</v>
      </c>
      <c r="C8253" s="35">
        <v>0</v>
      </c>
      <c r="D8253" s="2">
        <f t="shared" si="128"/>
        <v>1</v>
      </c>
    </row>
    <row r="8254" spans="1:4" x14ac:dyDescent="0.3">
      <c r="A8254" s="34">
        <v>57886</v>
      </c>
      <c r="B8254" s="35">
        <v>1</v>
      </c>
      <c r="C8254" s="35">
        <v>0</v>
      </c>
      <c r="D8254" s="2">
        <f t="shared" si="128"/>
        <v>1</v>
      </c>
    </row>
    <row r="8255" spans="1:4" x14ac:dyDescent="0.3">
      <c r="A8255" s="34">
        <v>58201</v>
      </c>
      <c r="B8255" s="35">
        <v>1</v>
      </c>
      <c r="C8255" s="35">
        <v>0</v>
      </c>
      <c r="D8255" s="2">
        <f t="shared" si="128"/>
        <v>1</v>
      </c>
    </row>
    <row r="8256" spans="1:4" x14ac:dyDescent="0.3">
      <c r="A8256" s="34">
        <v>58206</v>
      </c>
      <c r="B8256" s="35">
        <v>1</v>
      </c>
      <c r="C8256" s="35">
        <v>0</v>
      </c>
      <c r="D8256" s="2">
        <f t="shared" si="128"/>
        <v>1</v>
      </c>
    </row>
    <row r="8257" spans="1:4" x14ac:dyDescent="0.3">
      <c r="A8257" s="34">
        <v>58208</v>
      </c>
      <c r="B8257" s="35">
        <v>1</v>
      </c>
      <c r="C8257" s="35">
        <v>0</v>
      </c>
      <c r="D8257" s="2">
        <f t="shared" si="128"/>
        <v>1</v>
      </c>
    </row>
    <row r="8258" spans="1:4" x14ac:dyDescent="0.3">
      <c r="A8258" s="34">
        <v>58209</v>
      </c>
      <c r="B8258" s="35">
        <v>1</v>
      </c>
      <c r="C8258" s="35">
        <v>0</v>
      </c>
      <c r="D8258" s="2">
        <f t="shared" si="128"/>
        <v>1</v>
      </c>
    </row>
    <row r="8259" spans="1:4" x14ac:dyDescent="0.3">
      <c r="A8259" s="34">
        <v>58210</v>
      </c>
      <c r="B8259" s="35">
        <v>1</v>
      </c>
      <c r="C8259" s="35">
        <v>0</v>
      </c>
      <c r="D8259" s="2">
        <f t="shared" ref="D8259:D8322" si="129">B8259+C8259</f>
        <v>1</v>
      </c>
    </row>
    <row r="8260" spans="1:4" x14ac:dyDescent="0.3">
      <c r="A8260" s="34">
        <v>58216</v>
      </c>
      <c r="B8260" s="35">
        <v>1</v>
      </c>
      <c r="C8260" s="35">
        <v>0</v>
      </c>
      <c r="D8260" s="2">
        <f t="shared" si="129"/>
        <v>1</v>
      </c>
    </row>
    <row r="8261" spans="1:4" x14ac:dyDescent="0.3">
      <c r="A8261" s="34">
        <v>58288</v>
      </c>
      <c r="B8261" s="35">
        <v>1</v>
      </c>
      <c r="C8261" s="35">
        <v>1</v>
      </c>
      <c r="D8261" s="2">
        <f t="shared" si="129"/>
        <v>2</v>
      </c>
    </row>
    <row r="8262" spans="1:4" x14ac:dyDescent="0.3">
      <c r="A8262" s="34">
        <v>58293</v>
      </c>
      <c r="B8262" s="35">
        <v>1</v>
      </c>
      <c r="C8262" s="35">
        <v>0</v>
      </c>
      <c r="D8262" s="2">
        <f t="shared" si="129"/>
        <v>1</v>
      </c>
    </row>
    <row r="8263" spans="1:4" x14ac:dyDescent="0.3">
      <c r="A8263" s="34">
        <v>58294</v>
      </c>
      <c r="B8263" s="35">
        <v>1</v>
      </c>
      <c r="C8263" s="35">
        <v>0</v>
      </c>
      <c r="D8263" s="2">
        <f t="shared" si="129"/>
        <v>1</v>
      </c>
    </row>
    <row r="8264" spans="1:4" x14ac:dyDescent="0.3">
      <c r="A8264" s="34">
        <v>58295</v>
      </c>
      <c r="B8264" s="35">
        <v>1</v>
      </c>
      <c r="C8264" s="35">
        <v>0</v>
      </c>
      <c r="D8264" s="2">
        <f t="shared" si="129"/>
        <v>1</v>
      </c>
    </row>
    <row r="8265" spans="1:4" x14ac:dyDescent="0.3">
      <c r="A8265" s="34">
        <v>58296</v>
      </c>
      <c r="B8265" s="35">
        <v>1</v>
      </c>
      <c r="C8265" s="35">
        <v>0</v>
      </c>
      <c r="D8265" s="2">
        <f t="shared" si="129"/>
        <v>1</v>
      </c>
    </row>
    <row r="8266" spans="1:4" x14ac:dyDescent="0.3">
      <c r="A8266" s="34">
        <v>58297</v>
      </c>
      <c r="B8266" s="35">
        <v>2</v>
      </c>
      <c r="C8266" s="35">
        <v>1</v>
      </c>
      <c r="D8266" s="2">
        <f t="shared" si="129"/>
        <v>3</v>
      </c>
    </row>
    <row r="8267" spans="1:4" x14ac:dyDescent="0.3">
      <c r="A8267" s="34">
        <v>58298</v>
      </c>
      <c r="B8267" s="35">
        <v>1</v>
      </c>
      <c r="C8267" s="35">
        <v>0</v>
      </c>
      <c r="D8267" s="2">
        <f t="shared" si="129"/>
        <v>1</v>
      </c>
    </row>
    <row r="8268" spans="1:4" x14ac:dyDescent="0.3">
      <c r="A8268" s="34">
        <v>58299</v>
      </c>
      <c r="B8268" s="35">
        <v>1</v>
      </c>
      <c r="C8268" s="35">
        <v>0</v>
      </c>
      <c r="D8268" s="2">
        <f t="shared" si="129"/>
        <v>1</v>
      </c>
    </row>
    <row r="8269" spans="1:4" x14ac:dyDescent="0.3">
      <c r="A8269" s="34">
        <v>58300</v>
      </c>
      <c r="B8269" s="35">
        <v>1</v>
      </c>
      <c r="C8269" s="35">
        <v>0</v>
      </c>
      <c r="D8269" s="2">
        <f t="shared" si="129"/>
        <v>1</v>
      </c>
    </row>
    <row r="8270" spans="1:4" x14ac:dyDescent="0.3">
      <c r="A8270" s="34">
        <v>58301</v>
      </c>
      <c r="B8270" s="35">
        <v>1</v>
      </c>
      <c r="C8270" s="35">
        <v>0</v>
      </c>
      <c r="D8270" s="2">
        <f t="shared" si="129"/>
        <v>1</v>
      </c>
    </row>
    <row r="8271" spans="1:4" x14ac:dyDescent="0.3">
      <c r="A8271" s="34">
        <v>58302</v>
      </c>
      <c r="B8271" s="35">
        <v>1</v>
      </c>
      <c r="C8271" s="35">
        <v>0</v>
      </c>
      <c r="D8271" s="2">
        <f t="shared" si="129"/>
        <v>1</v>
      </c>
    </row>
    <row r="8272" spans="1:4" x14ac:dyDescent="0.3">
      <c r="A8272" s="34">
        <v>58304</v>
      </c>
      <c r="B8272" s="35">
        <v>1</v>
      </c>
      <c r="C8272" s="35">
        <v>0</v>
      </c>
      <c r="D8272" s="2">
        <f t="shared" si="129"/>
        <v>1</v>
      </c>
    </row>
    <row r="8273" spans="1:4" x14ac:dyDescent="0.3">
      <c r="A8273" s="34">
        <v>58305</v>
      </c>
      <c r="B8273" s="35">
        <v>1</v>
      </c>
      <c r="C8273" s="35">
        <v>0</v>
      </c>
      <c r="D8273" s="2">
        <f t="shared" si="129"/>
        <v>1</v>
      </c>
    </row>
    <row r="8274" spans="1:4" x14ac:dyDescent="0.3">
      <c r="A8274" s="34">
        <v>58306</v>
      </c>
      <c r="B8274" s="35">
        <v>1</v>
      </c>
      <c r="C8274" s="35">
        <v>0</v>
      </c>
      <c r="D8274" s="2">
        <f t="shared" si="129"/>
        <v>1</v>
      </c>
    </row>
    <row r="8275" spans="1:4" x14ac:dyDescent="0.3">
      <c r="A8275" s="34">
        <v>58307</v>
      </c>
      <c r="B8275" s="35">
        <v>1</v>
      </c>
      <c r="C8275" s="35">
        <v>0</v>
      </c>
      <c r="D8275" s="2">
        <f t="shared" si="129"/>
        <v>1</v>
      </c>
    </row>
    <row r="8276" spans="1:4" x14ac:dyDescent="0.3">
      <c r="A8276" s="34">
        <v>58310</v>
      </c>
      <c r="B8276" s="35">
        <v>1</v>
      </c>
      <c r="C8276" s="35">
        <v>0</v>
      </c>
      <c r="D8276" s="2">
        <f t="shared" si="129"/>
        <v>1</v>
      </c>
    </row>
    <row r="8277" spans="1:4" x14ac:dyDescent="0.3">
      <c r="A8277" s="34">
        <v>58313</v>
      </c>
      <c r="B8277" s="35">
        <v>1</v>
      </c>
      <c r="C8277" s="35">
        <v>0</v>
      </c>
      <c r="D8277" s="2">
        <f t="shared" si="129"/>
        <v>1</v>
      </c>
    </row>
    <row r="8278" spans="1:4" x14ac:dyDescent="0.3">
      <c r="A8278" s="34">
        <v>58314</v>
      </c>
      <c r="B8278" s="35">
        <v>1</v>
      </c>
      <c r="C8278" s="35">
        <v>0</v>
      </c>
      <c r="D8278" s="2">
        <f t="shared" si="129"/>
        <v>1</v>
      </c>
    </row>
    <row r="8279" spans="1:4" x14ac:dyDescent="0.3">
      <c r="A8279" s="34">
        <v>58318</v>
      </c>
      <c r="B8279" s="35">
        <v>1</v>
      </c>
      <c r="C8279" s="35">
        <v>0</v>
      </c>
      <c r="D8279" s="2">
        <f t="shared" si="129"/>
        <v>1</v>
      </c>
    </row>
    <row r="8280" spans="1:4" x14ac:dyDescent="0.3">
      <c r="A8280" s="34">
        <v>58319</v>
      </c>
      <c r="B8280" s="35">
        <v>1</v>
      </c>
      <c r="C8280" s="35">
        <v>0</v>
      </c>
      <c r="D8280" s="2">
        <f t="shared" si="129"/>
        <v>1</v>
      </c>
    </row>
    <row r="8281" spans="1:4" x14ac:dyDescent="0.3">
      <c r="A8281" s="34">
        <v>58320</v>
      </c>
      <c r="B8281" s="35">
        <v>1</v>
      </c>
      <c r="C8281" s="35">
        <v>0</v>
      </c>
      <c r="D8281" s="2">
        <f t="shared" si="129"/>
        <v>1</v>
      </c>
    </row>
    <row r="8282" spans="1:4" x14ac:dyDescent="0.3">
      <c r="A8282" s="34">
        <v>58324</v>
      </c>
      <c r="B8282" s="35">
        <v>1</v>
      </c>
      <c r="C8282" s="35">
        <v>0</v>
      </c>
      <c r="D8282" s="2">
        <f t="shared" si="129"/>
        <v>1</v>
      </c>
    </row>
    <row r="8283" spans="1:4" x14ac:dyDescent="0.3">
      <c r="A8283" s="34">
        <v>58325</v>
      </c>
      <c r="B8283" s="35">
        <v>1</v>
      </c>
      <c r="C8283" s="35">
        <v>0</v>
      </c>
      <c r="D8283" s="2">
        <f t="shared" si="129"/>
        <v>1</v>
      </c>
    </row>
    <row r="8284" spans="1:4" x14ac:dyDescent="0.3">
      <c r="A8284" s="34">
        <v>58326</v>
      </c>
      <c r="B8284" s="35">
        <v>1</v>
      </c>
      <c r="C8284" s="35">
        <v>1</v>
      </c>
      <c r="D8284" s="2">
        <f t="shared" si="129"/>
        <v>2</v>
      </c>
    </row>
    <row r="8285" spans="1:4" x14ac:dyDescent="0.3">
      <c r="A8285" s="34">
        <v>58327</v>
      </c>
      <c r="B8285" s="35">
        <v>1</v>
      </c>
      <c r="C8285" s="35">
        <v>0</v>
      </c>
      <c r="D8285" s="2">
        <f t="shared" si="129"/>
        <v>1</v>
      </c>
    </row>
    <row r="8286" spans="1:4" x14ac:dyDescent="0.3">
      <c r="A8286" s="34">
        <v>58328</v>
      </c>
      <c r="B8286" s="35">
        <v>1</v>
      </c>
      <c r="C8286" s="35">
        <v>0</v>
      </c>
      <c r="D8286" s="2">
        <f t="shared" si="129"/>
        <v>1</v>
      </c>
    </row>
    <row r="8287" spans="1:4" x14ac:dyDescent="0.3">
      <c r="A8287" s="34">
        <v>58335</v>
      </c>
      <c r="B8287" s="35">
        <v>1</v>
      </c>
      <c r="C8287" s="35">
        <v>0</v>
      </c>
      <c r="D8287" s="2">
        <f t="shared" si="129"/>
        <v>1</v>
      </c>
    </row>
    <row r="8288" spans="1:4" x14ac:dyDescent="0.3">
      <c r="A8288" s="34">
        <v>58336</v>
      </c>
      <c r="B8288" s="35">
        <v>2</v>
      </c>
      <c r="C8288" s="35">
        <v>0</v>
      </c>
      <c r="D8288" s="2">
        <f t="shared" si="129"/>
        <v>2</v>
      </c>
    </row>
    <row r="8289" spans="1:4" x14ac:dyDescent="0.3">
      <c r="A8289" s="34">
        <v>58337</v>
      </c>
      <c r="B8289" s="35">
        <v>1</v>
      </c>
      <c r="C8289" s="35">
        <v>0</v>
      </c>
      <c r="D8289" s="2">
        <f t="shared" si="129"/>
        <v>1</v>
      </c>
    </row>
    <row r="8290" spans="1:4" x14ac:dyDescent="0.3">
      <c r="A8290" s="34">
        <v>58340</v>
      </c>
      <c r="B8290" s="35">
        <v>1</v>
      </c>
      <c r="C8290" s="35">
        <v>0</v>
      </c>
      <c r="D8290" s="2">
        <f t="shared" si="129"/>
        <v>1</v>
      </c>
    </row>
    <row r="8291" spans="1:4" x14ac:dyDescent="0.3">
      <c r="A8291" s="34">
        <v>58343</v>
      </c>
      <c r="B8291" s="35">
        <v>1</v>
      </c>
      <c r="C8291" s="35">
        <v>0</v>
      </c>
      <c r="D8291" s="2">
        <f t="shared" si="129"/>
        <v>1</v>
      </c>
    </row>
    <row r="8292" spans="1:4" x14ac:dyDescent="0.3">
      <c r="A8292" s="34">
        <v>58345</v>
      </c>
      <c r="B8292" s="35">
        <v>1</v>
      </c>
      <c r="C8292" s="35">
        <v>0</v>
      </c>
      <c r="D8292" s="2">
        <f t="shared" si="129"/>
        <v>1</v>
      </c>
    </row>
    <row r="8293" spans="1:4" x14ac:dyDescent="0.3">
      <c r="A8293" s="34">
        <v>58346</v>
      </c>
      <c r="B8293" s="35">
        <v>1</v>
      </c>
      <c r="C8293" s="35">
        <v>0</v>
      </c>
      <c r="D8293" s="2">
        <f t="shared" si="129"/>
        <v>1</v>
      </c>
    </row>
    <row r="8294" spans="1:4" x14ac:dyDescent="0.3">
      <c r="A8294" s="34">
        <v>58347</v>
      </c>
      <c r="B8294" s="35">
        <v>1</v>
      </c>
      <c r="C8294" s="35">
        <v>0</v>
      </c>
      <c r="D8294" s="2">
        <f t="shared" si="129"/>
        <v>1</v>
      </c>
    </row>
    <row r="8295" spans="1:4" x14ac:dyDescent="0.3">
      <c r="A8295" s="34">
        <v>58349</v>
      </c>
      <c r="B8295" s="35">
        <v>1</v>
      </c>
      <c r="C8295" s="35">
        <v>0</v>
      </c>
      <c r="D8295" s="2">
        <f t="shared" si="129"/>
        <v>1</v>
      </c>
    </row>
    <row r="8296" spans="1:4" x14ac:dyDescent="0.3">
      <c r="A8296" s="34">
        <v>58350</v>
      </c>
      <c r="B8296" s="35">
        <v>1</v>
      </c>
      <c r="C8296" s="35">
        <v>0</v>
      </c>
      <c r="D8296" s="2">
        <f t="shared" si="129"/>
        <v>1</v>
      </c>
    </row>
    <row r="8297" spans="1:4" x14ac:dyDescent="0.3">
      <c r="A8297" s="34">
        <v>58354</v>
      </c>
      <c r="B8297" s="35">
        <v>1</v>
      </c>
      <c r="C8297" s="35">
        <v>0</v>
      </c>
      <c r="D8297" s="2">
        <f t="shared" si="129"/>
        <v>1</v>
      </c>
    </row>
    <row r="8298" spans="1:4" x14ac:dyDescent="0.3">
      <c r="A8298" s="34">
        <v>58355</v>
      </c>
      <c r="B8298" s="35">
        <v>1</v>
      </c>
      <c r="C8298" s="35">
        <v>0</v>
      </c>
      <c r="D8298" s="2">
        <f t="shared" si="129"/>
        <v>1</v>
      </c>
    </row>
    <row r="8299" spans="1:4" x14ac:dyDescent="0.3">
      <c r="A8299" s="34">
        <v>58356</v>
      </c>
      <c r="B8299" s="35">
        <v>1</v>
      </c>
      <c r="C8299" s="35">
        <v>0</v>
      </c>
      <c r="D8299" s="2">
        <f t="shared" si="129"/>
        <v>1</v>
      </c>
    </row>
    <row r="8300" spans="1:4" x14ac:dyDescent="0.3">
      <c r="A8300" s="34">
        <v>58358</v>
      </c>
      <c r="B8300" s="35">
        <v>1</v>
      </c>
      <c r="C8300" s="35">
        <v>0</v>
      </c>
      <c r="D8300" s="2">
        <f t="shared" si="129"/>
        <v>1</v>
      </c>
    </row>
    <row r="8301" spans="1:4" x14ac:dyDescent="0.3">
      <c r="A8301" s="34">
        <v>58363</v>
      </c>
      <c r="B8301" s="35">
        <v>1</v>
      </c>
      <c r="C8301" s="35">
        <v>0</v>
      </c>
      <c r="D8301" s="2">
        <f t="shared" si="129"/>
        <v>1</v>
      </c>
    </row>
    <row r="8302" spans="1:4" x14ac:dyDescent="0.3">
      <c r="A8302" s="34">
        <v>58364</v>
      </c>
      <c r="B8302" s="35">
        <v>1</v>
      </c>
      <c r="C8302" s="35">
        <v>0</v>
      </c>
      <c r="D8302" s="2">
        <f t="shared" si="129"/>
        <v>1</v>
      </c>
    </row>
    <row r="8303" spans="1:4" x14ac:dyDescent="0.3">
      <c r="A8303" s="34">
        <v>58369</v>
      </c>
      <c r="B8303" s="35">
        <v>1</v>
      </c>
      <c r="C8303" s="35">
        <v>0</v>
      </c>
      <c r="D8303" s="2">
        <f t="shared" si="129"/>
        <v>1</v>
      </c>
    </row>
    <row r="8304" spans="1:4" x14ac:dyDescent="0.3">
      <c r="A8304" s="34">
        <v>58370</v>
      </c>
      <c r="B8304" s="35">
        <v>1</v>
      </c>
      <c r="C8304" s="35">
        <v>1</v>
      </c>
      <c r="D8304" s="2">
        <f t="shared" si="129"/>
        <v>2</v>
      </c>
    </row>
    <row r="8305" spans="1:4" x14ac:dyDescent="0.3">
      <c r="A8305" s="34">
        <v>58371</v>
      </c>
      <c r="B8305" s="35">
        <v>1</v>
      </c>
      <c r="C8305" s="35">
        <v>0</v>
      </c>
      <c r="D8305" s="2">
        <f t="shared" si="129"/>
        <v>1</v>
      </c>
    </row>
    <row r="8306" spans="1:4" x14ac:dyDescent="0.3">
      <c r="A8306" s="34">
        <v>58373</v>
      </c>
      <c r="B8306" s="35">
        <v>1</v>
      </c>
      <c r="C8306" s="35">
        <v>0</v>
      </c>
      <c r="D8306" s="2">
        <f t="shared" si="129"/>
        <v>1</v>
      </c>
    </row>
    <row r="8307" spans="1:4" x14ac:dyDescent="0.3">
      <c r="A8307" s="34">
        <v>58374</v>
      </c>
      <c r="B8307" s="35">
        <v>1</v>
      </c>
      <c r="C8307" s="35">
        <v>0</v>
      </c>
      <c r="D8307" s="2">
        <f t="shared" si="129"/>
        <v>1</v>
      </c>
    </row>
    <row r="8308" spans="1:4" x14ac:dyDescent="0.3">
      <c r="A8308" s="34">
        <v>58378</v>
      </c>
      <c r="B8308" s="35">
        <v>1</v>
      </c>
      <c r="C8308" s="35">
        <v>0</v>
      </c>
      <c r="D8308" s="2">
        <f t="shared" si="129"/>
        <v>1</v>
      </c>
    </row>
    <row r="8309" spans="1:4" x14ac:dyDescent="0.3">
      <c r="A8309" s="34">
        <v>58381</v>
      </c>
      <c r="B8309" s="35">
        <v>1</v>
      </c>
      <c r="C8309" s="35">
        <v>1</v>
      </c>
      <c r="D8309" s="2">
        <f t="shared" si="129"/>
        <v>2</v>
      </c>
    </row>
    <row r="8310" spans="1:4" x14ac:dyDescent="0.3">
      <c r="A8310" s="34">
        <v>58383</v>
      </c>
      <c r="B8310" s="35">
        <v>1</v>
      </c>
      <c r="C8310" s="35">
        <v>0</v>
      </c>
      <c r="D8310" s="2">
        <f t="shared" si="129"/>
        <v>1</v>
      </c>
    </row>
    <row r="8311" spans="1:4" x14ac:dyDescent="0.3">
      <c r="A8311" s="34">
        <v>58393</v>
      </c>
      <c r="B8311" s="35">
        <v>1</v>
      </c>
      <c r="C8311" s="35">
        <v>0</v>
      </c>
      <c r="D8311" s="2">
        <f t="shared" si="129"/>
        <v>1</v>
      </c>
    </row>
    <row r="8312" spans="1:4" x14ac:dyDescent="0.3">
      <c r="A8312" s="34">
        <v>58395</v>
      </c>
      <c r="B8312" s="35">
        <v>1</v>
      </c>
      <c r="C8312" s="35">
        <v>0</v>
      </c>
      <c r="D8312" s="2">
        <f t="shared" si="129"/>
        <v>1</v>
      </c>
    </row>
    <row r="8313" spans="1:4" x14ac:dyDescent="0.3">
      <c r="A8313" s="34">
        <v>58396</v>
      </c>
      <c r="B8313" s="35">
        <v>1</v>
      </c>
      <c r="C8313" s="35">
        <v>0</v>
      </c>
      <c r="D8313" s="2">
        <f t="shared" si="129"/>
        <v>1</v>
      </c>
    </row>
    <row r="8314" spans="1:4" x14ac:dyDescent="0.3">
      <c r="A8314" s="34">
        <v>58398</v>
      </c>
      <c r="B8314" s="35">
        <v>1</v>
      </c>
      <c r="C8314" s="35">
        <v>0</v>
      </c>
      <c r="D8314" s="2">
        <f t="shared" si="129"/>
        <v>1</v>
      </c>
    </row>
    <row r="8315" spans="1:4" x14ac:dyDescent="0.3">
      <c r="A8315" s="34">
        <v>58399</v>
      </c>
      <c r="B8315" s="35">
        <v>1</v>
      </c>
      <c r="C8315" s="35">
        <v>0</v>
      </c>
      <c r="D8315" s="2">
        <f t="shared" si="129"/>
        <v>1</v>
      </c>
    </row>
    <row r="8316" spans="1:4" x14ac:dyDescent="0.3">
      <c r="A8316" s="34">
        <v>58400</v>
      </c>
      <c r="B8316" s="35">
        <v>1</v>
      </c>
      <c r="C8316" s="35">
        <v>0</v>
      </c>
      <c r="D8316" s="2">
        <f t="shared" si="129"/>
        <v>1</v>
      </c>
    </row>
    <row r="8317" spans="1:4" x14ac:dyDescent="0.3">
      <c r="A8317" s="34">
        <v>58401</v>
      </c>
      <c r="B8317" s="35">
        <v>1</v>
      </c>
      <c r="C8317" s="35">
        <v>0</v>
      </c>
      <c r="D8317" s="2">
        <f t="shared" si="129"/>
        <v>1</v>
      </c>
    </row>
    <row r="8318" spans="1:4" x14ac:dyDescent="0.3">
      <c r="A8318" s="34">
        <v>58402</v>
      </c>
      <c r="B8318" s="35">
        <v>1</v>
      </c>
      <c r="C8318" s="35">
        <v>0</v>
      </c>
      <c r="D8318" s="2">
        <f t="shared" si="129"/>
        <v>1</v>
      </c>
    </row>
    <row r="8319" spans="1:4" x14ac:dyDescent="0.3">
      <c r="A8319" s="34">
        <v>58404</v>
      </c>
      <c r="B8319" s="35">
        <v>1</v>
      </c>
      <c r="C8319" s="35">
        <v>1</v>
      </c>
      <c r="D8319" s="2">
        <f t="shared" si="129"/>
        <v>2</v>
      </c>
    </row>
    <row r="8320" spans="1:4" x14ac:dyDescent="0.3">
      <c r="A8320" s="34">
        <v>58407</v>
      </c>
      <c r="B8320" s="35">
        <v>1</v>
      </c>
      <c r="C8320" s="35">
        <v>0</v>
      </c>
      <c r="D8320" s="2">
        <f t="shared" si="129"/>
        <v>1</v>
      </c>
    </row>
    <row r="8321" spans="1:4" x14ac:dyDescent="0.3">
      <c r="A8321" s="34">
        <v>58408</v>
      </c>
      <c r="B8321" s="35">
        <v>1</v>
      </c>
      <c r="C8321" s="35">
        <v>1</v>
      </c>
      <c r="D8321" s="2">
        <f t="shared" si="129"/>
        <v>2</v>
      </c>
    </row>
    <row r="8322" spans="1:4" x14ac:dyDescent="0.3">
      <c r="A8322" s="34">
        <v>58409</v>
      </c>
      <c r="B8322" s="35">
        <v>1</v>
      </c>
      <c r="C8322" s="35">
        <v>0</v>
      </c>
      <c r="D8322" s="2">
        <f t="shared" si="129"/>
        <v>1</v>
      </c>
    </row>
    <row r="8323" spans="1:4" x14ac:dyDescent="0.3">
      <c r="A8323" s="34">
        <v>58411</v>
      </c>
      <c r="B8323" s="35">
        <v>1</v>
      </c>
      <c r="C8323" s="35">
        <v>0</v>
      </c>
      <c r="D8323" s="2">
        <f t="shared" ref="D8323:D8386" si="130">B8323+C8323</f>
        <v>1</v>
      </c>
    </row>
    <row r="8324" spans="1:4" x14ac:dyDescent="0.3">
      <c r="A8324" s="34">
        <v>58412</v>
      </c>
      <c r="B8324" s="35">
        <v>1</v>
      </c>
      <c r="C8324" s="35">
        <v>0</v>
      </c>
      <c r="D8324" s="2">
        <f t="shared" si="130"/>
        <v>1</v>
      </c>
    </row>
    <row r="8325" spans="1:4" x14ac:dyDescent="0.3">
      <c r="A8325" s="34">
        <v>58413</v>
      </c>
      <c r="B8325" s="35">
        <v>1</v>
      </c>
      <c r="C8325" s="35">
        <v>0</v>
      </c>
      <c r="D8325" s="2">
        <f t="shared" si="130"/>
        <v>1</v>
      </c>
    </row>
    <row r="8326" spans="1:4" x14ac:dyDescent="0.3">
      <c r="A8326" s="34">
        <v>58414</v>
      </c>
      <c r="B8326" s="35">
        <v>1</v>
      </c>
      <c r="C8326" s="35">
        <v>0</v>
      </c>
      <c r="D8326" s="2">
        <f t="shared" si="130"/>
        <v>1</v>
      </c>
    </row>
    <row r="8327" spans="1:4" x14ac:dyDescent="0.3">
      <c r="A8327" s="34">
        <v>58416</v>
      </c>
      <c r="B8327" s="35">
        <v>1</v>
      </c>
      <c r="C8327" s="35">
        <v>0</v>
      </c>
      <c r="D8327" s="2">
        <f t="shared" si="130"/>
        <v>1</v>
      </c>
    </row>
    <row r="8328" spans="1:4" x14ac:dyDescent="0.3">
      <c r="A8328" s="34">
        <v>58423</v>
      </c>
      <c r="B8328" s="35">
        <v>1</v>
      </c>
      <c r="C8328" s="35">
        <v>0</v>
      </c>
      <c r="D8328" s="2">
        <f t="shared" si="130"/>
        <v>1</v>
      </c>
    </row>
    <row r="8329" spans="1:4" x14ac:dyDescent="0.3">
      <c r="A8329" s="34">
        <v>58424</v>
      </c>
      <c r="B8329" s="35">
        <v>1</v>
      </c>
      <c r="C8329" s="35">
        <v>0</v>
      </c>
      <c r="D8329" s="2">
        <f t="shared" si="130"/>
        <v>1</v>
      </c>
    </row>
    <row r="8330" spans="1:4" x14ac:dyDescent="0.3">
      <c r="A8330" s="34">
        <v>58426</v>
      </c>
      <c r="B8330" s="35">
        <v>1</v>
      </c>
      <c r="C8330" s="35">
        <v>0</v>
      </c>
      <c r="D8330" s="2">
        <f t="shared" si="130"/>
        <v>1</v>
      </c>
    </row>
    <row r="8331" spans="1:4" x14ac:dyDescent="0.3">
      <c r="A8331" s="34">
        <v>58427</v>
      </c>
      <c r="B8331" s="35">
        <v>1</v>
      </c>
      <c r="C8331" s="35">
        <v>0</v>
      </c>
      <c r="D8331" s="2">
        <f t="shared" si="130"/>
        <v>1</v>
      </c>
    </row>
    <row r="8332" spans="1:4" x14ac:dyDescent="0.3">
      <c r="A8332" s="34">
        <v>58428</v>
      </c>
      <c r="B8332" s="35">
        <v>1</v>
      </c>
      <c r="C8332" s="35">
        <v>0</v>
      </c>
      <c r="D8332" s="2">
        <f t="shared" si="130"/>
        <v>1</v>
      </c>
    </row>
    <row r="8333" spans="1:4" x14ac:dyDescent="0.3">
      <c r="A8333" s="34">
        <v>58439</v>
      </c>
      <c r="B8333" s="35">
        <v>1</v>
      </c>
      <c r="C8333" s="35">
        <v>0</v>
      </c>
      <c r="D8333" s="2">
        <f t="shared" si="130"/>
        <v>1</v>
      </c>
    </row>
    <row r="8334" spans="1:4" x14ac:dyDescent="0.3">
      <c r="A8334" s="34">
        <v>58464</v>
      </c>
      <c r="B8334" s="35">
        <v>1</v>
      </c>
      <c r="C8334" s="35">
        <v>0</v>
      </c>
      <c r="D8334" s="2">
        <f t="shared" si="130"/>
        <v>1</v>
      </c>
    </row>
    <row r="8335" spans="1:4" x14ac:dyDescent="0.3">
      <c r="A8335" s="34">
        <v>58465</v>
      </c>
      <c r="B8335" s="35">
        <v>1</v>
      </c>
      <c r="C8335" s="35">
        <v>0</v>
      </c>
      <c r="D8335" s="2">
        <f t="shared" si="130"/>
        <v>1</v>
      </c>
    </row>
    <row r="8336" spans="1:4" x14ac:dyDescent="0.3">
      <c r="A8336" s="34">
        <v>58468</v>
      </c>
      <c r="B8336" s="35">
        <v>1</v>
      </c>
      <c r="C8336" s="35">
        <v>1</v>
      </c>
      <c r="D8336" s="2">
        <f t="shared" si="130"/>
        <v>2</v>
      </c>
    </row>
    <row r="8337" spans="1:4" x14ac:dyDescent="0.3">
      <c r="A8337" s="34">
        <v>58469</v>
      </c>
      <c r="B8337" s="35">
        <v>1</v>
      </c>
      <c r="C8337" s="35">
        <v>1</v>
      </c>
      <c r="D8337" s="2">
        <f t="shared" si="130"/>
        <v>2</v>
      </c>
    </row>
    <row r="8338" spans="1:4" x14ac:dyDescent="0.3">
      <c r="A8338" s="34">
        <v>58471</v>
      </c>
      <c r="B8338" s="35">
        <v>3</v>
      </c>
      <c r="C8338" s="35">
        <v>0</v>
      </c>
      <c r="D8338" s="2">
        <f t="shared" si="130"/>
        <v>3</v>
      </c>
    </row>
    <row r="8339" spans="1:4" x14ac:dyDescent="0.3">
      <c r="A8339" s="34">
        <v>58472</v>
      </c>
      <c r="B8339" s="35">
        <v>1</v>
      </c>
      <c r="C8339" s="35">
        <v>0</v>
      </c>
      <c r="D8339" s="2">
        <f t="shared" si="130"/>
        <v>1</v>
      </c>
    </row>
    <row r="8340" spans="1:4" x14ac:dyDescent="0.3">
      <c r="A8340" s="34">
        <v>58476</v>
      </c>
      <c r="B8340" s="35">
        <v>1</v>
      </c>
      <c r="C8340" s="35">
        <v>0</v>
      </c>
      <c r="D8340" s="2">
        <f t="shared" si="130"/>
        <v>1</v>
      </c>
    </row>
    <row r="8341" spans="1:4" x14ac:dyDescent="0.3">
      <c r="A8341" s="34">
        <v>58483</v>
      </c>
      <c r="B8341" s="35">
        <v>1</v>
      </c>
      <c r="C8341" s="35">
        <v>0</v>
      </c>
      <c r="D8341" s="2">
        <f t="shared" si="130"/>
        <v>1</v>
      </c>
    </row>
    <row r="8342" spans="1:4" x14ac:dyDescent="0.3">
      <c r="A8342" s="34">
        <v>58490</v>
      </c>
      <c r="B8342" s="35">
        <v>1</v>
      </c>
      <c r="C8342" s="35">
        <v>0</v>
      </c>
      <c r="D8342" s="2">
        <f t="shared" si="130"/>
        <v>1</v>
      </c>
    </row>
    <row r="8343" spans="1:4" x14ac:dyDescent="0.3">
      <c r="A8343" s="34">
        <v>58492</v>
      </c>
      <c r="B8343" s="35">
        <v>1</v>
      </c>
      <c r="C8343" s="35">
        <v>0</v>
      </c>
      <c r="D8343" s="2">
        <f t="shared" si="130"/>
        <v>1</v>
      </c>
    </row>
    <row r="8344" spans="1:4" x14ac:dyDescent="0.3">
      <c r="A8344" s="34">
        <v>58493</v>
      </c>
      <c r="B8344" s="35">
        <v>1</v>
      </c>
      <c r="C8344" s="35">
        <v>1</v>
      </c>
      <c r="D8344" s="2">
        <f t="shared" si="130"/>
        <v>2</v>
      </c>
    </row>
    <row r="8345" spans="1:4" x14ac:dyDescent="0.3">
      <c r="A8345" s="34">
        <v>58496</v>
      </c>
      <c r="B8345" s="35">
        <v>1</v>
      </c>
      <c r="C8345" s="35">
        <v>0</v>
      </c>
      <c r="D8345" s="2">
        <f t="shared" si="130"/>
        <v>1</v>
      </c>
    </row>
    <row r="8346" spans="1:4" x14ac:dyDescent="0.3">
      <c r="A8346" s="34">
        <v>58499</v>
      </c>
      <c r="B8346" s="35">
        <v>1</v>
      </c>
      <c r="C8346" s="35">
        <v>0</v>
      </c>
      <c r="D8346" s="2">
        <f t="shared" si="130"/>
        <v>1</v>
      </c>
    </row>
    <row r="8347" spans="1:4" x14ac:dyDescent="0.3">
      <c r="A8347" s="34">
        <v>58500</v>
      </c>
      <c r="B8347" s="35">
        <v>1</v>
      </c>
      <c r="C8347" s="35">
        <v>0</v>
      </c>
      <c r="D8347" s="2">
        <f t="shared" si="130"/>
        <v>1</v>
      </c>
    </row>
    <row r="8348" spans="1:4" x14ac:dyDescent="0.3">
      <c r="A8348" s="34">
        <v>58502</v>
      </c>
      <c r="B8348" s="35">
        <v>1</v>
      </c>
      <c r="C8348" s="35">
        <v>0</v>
      </c>
      <c r="D8348" s="2">
        <f t="shared" si="130"/>
        <v>1</v>
      </c>
    </row>
    <row r="8349" spans="1:4" x14ac:dyDescent="0.3">
      <c r="A8349" s="34">
        <v>58504</v>
      </c>
      <c r="B8349" s="35">
        <v>1</v>
      </c>
      <c r="C8349" s="35">
        <v>0</v>
      </c>
      <c r="D8349" s="2">
        <f t="shared" si="130"/>
        <v>1</v>
      </c>
    </row>
    <row r="8350" spans="1:4" x14ac:dyDescent="0.3">
      <c r="A8350" s="34">
        <v>58507</v>
      </c>
      <c r="B8350" s="35">
        <v>1</v>
      </c>
      <c r="C8350" s="35">
        <v>0</v>
      </c>
      <c r="D8350" s="2">
        <f t="shared" si="130"/>
        <v>1</v>
      </c>
    </row>
    <row r="8351" spans="1:4" x14ac:dyDescent="0.3">
      <c r="A8351" s="34">
        <v>58508</v>
      </c>
      <c r="B8351" s="35">
        <v>1</v>
      </c>
      <c r="C8351" s="35">
        <v>0</v>
      </c>
      <c r="D8351" s="2">
        <f t="shared" si="130"/>
        <v>1</v>
      </c>
    </row>
    <row r="8352" spans="1:4" x14ac:dyDescent="0.3">
      <c r="A8352" s="34">
        <v>58510</v>
      </c>
      <c r="B8352" s="35">
        <v>1</v>
      </c>
      <c r="C8352" s="35">
        <v>0</v>
      </c>
      <c r="D8352" s="2">
        <f t="shared" si="130"/>
        <v>1</v>
      </c>
    </row>
    <row r="8353" spans="1:4" x14ac:dyDescent="0.3">
      <c r="A8353" s="34">
        <v>58513</v>
      </c>
      <c r="B8353" s="35">
        <v>1</v>
      </c>
      <c r="C8353" s="35">
        <v>0</v>
      </c>
      <c r="D8353" s="2">
        <f t="shared" si="130"/>
        <v>1</v>
      </c>
    </row>
    <row r="8354" spans="1:4" x14ac:dyDescent="0.3">
      <c r="A8354" s="34">
        <v>58514</v>
      </c>
      <c r="B8354" s="35">
        <v>1</v>
      </c>
      <c r="C8354" s="35">
        <v>0</v>
      </c>
      <c r="D8354" s="2">
        <f t="shared" si="130"/>
        <v>1</v>
      </c>
    </row>
    <row r="8355" spans="1:4" x14ac:dyDescent="0.3">
      <c r="A8355" s="34">
        <v>58517</v>
      </c>
      <c r="B8355" s="35">
        <v>1</v>
      </c>
      <c r="C8355" s="35">
        <v>0</v>
      </c>
      <c r="D8355" s="2">
        <f t="shared" si="130"/>
        <v>1</v>
      </c>
    </row>
    <row r="8356" spans="1:4" x14ac:dyDescent="0.3">
      <c r="A8356" s="34">
        <v>58518</v>
      </c>
      <c r="B8356" s="35">
        <v>1</v>
      </c>
      <c r="C8356" s="35">
        <v>0</v>
      </c>
      <c r="D8356" s="2">
        <f t="shared" si="130"/>
        <v>1</v>
      </c>
    </row>
    <row r="8357" spans="1:4" x14ac:dyDescent="0.3">
      <c r="A8357" s="34">
        <v>58523</v>
      </c>
      <c r="B8357" s="35">
        <v>1</v>
      </c>
      <c r="C8357" s="35">
        <v>0</v>
      </c>
      <c r="D8357" s="2">
        <f t="shared" si="130"/>
        <v>1</v>
      </c>
    </row>
    <row r="8358" spans="1:4" x14ac:dyDescent="0.3">
      <c r="A8358" s="34">
        <v>58528</v>
      </c>
      <c r="B8358" s="35">
        <v>1</v>
      </c>
      <c r="C8358" s="35">
        <v>0</v>
      </c>
      <c r="D8358" s="2">
        <f t="shared" si="130"/>
        <v>1</v>
      </c>
    </row>
    <row r="8359" spans="1:4" x14ac:dyDescent="0.3">
      <c r="A8359" s="34">
        <v>58529</v>
      </c>
      <c r="B8359" s="35">
        <v>1</v>
      </c>
      <c r="C8359" s="35">
        <v>0</v>
      </c>
      <c r="D8359" s="2">
        <f t="shared" si="130"/>
        <v>1</v>
      </c>
    </row>
    <row r="8360" spans="1:4" x14ac:dyDescent="0.3">
      <c r="A8360" s="34">
        <v>58534</v>
      </c>
      <c r="B8360" s="35">
        <v>1</v>
      </c>
      <c r="C8360" s="35">
        <v>0</v>
      </c>
      <c r="D8360" s="2">
        <f t="shared" si="130"/>
        <v>1</v>
      </c>
    </row>
    <row r="8361" spans="1:4" x14ac:dyDescent="0.3">
      <c r="A8361" s="34">
        <v>58536</v>
      </c>
      <c r="B8361" s="35">
        <v>1</v>
      </c>
      <c r="C8361" s="35">
        <v>0</v>
      </c>
      <c r="D8361" s="2">
        <f t="shared" si="130"/>
        <v>1</v>
      </c>
    </row>
    <row r="8362" spans="1:4" x14ac:dyDescent="0.3">
      <c r="A8362" s="34">
        <v>58537</v>
      </c>
      <c r="B8362" s="35">
        <v>1</v>
      </c>
      <c r="C8362" s="35">
        <v>0</v>
      </c>
      <c r="D8362" s="2">
        <f t="shared" si="130"/>
        <v>1</v>
      </c>
    </row>
    <row r="8363" spans="1:4" x14ac:dyDescent="0.3">
      <c r="A8363" s="34">
        <v>58542</v>
      </c>
      <c r="B8363" s="35">
        <v>1</v>
      </c>
      <c r="C8363" s="35">
        <v>0</v>
      </c>
      <c r="D8363" s="2">
        <f t="shared" si="130"/>
        <v>1</v>
      </c>
    </row>
    <row r="8364" spans="1:4" x14ac:dyDescent="0.3">
      <c r="A8364" s="34">
        <v>58544</v>
      </c>
      <c r="B8364" s="35">
        <v>1</v>
      </c>
      <c r="C8364" s="35">
        <v>0</v>
      </c>
      <c r="D8364" s="2">
        <f t="shared" si="130"/>
        <v>1</v>
      </c>
    </row>
    <row r="8365" spans="1:4" x14ac:dyDescent="0.3">
      <c r="A8365" s="34">
        <v>58546</v>
      </c>
      <c r="B8365" s="35">
        <v>1</v>
      </c>
      <c r="C8365" s="35">
        <v>0</v>
      </c>
      <c r="D8365" s="2">
        <f t="shared" si="130"/>
        <v>1</v>
      </c>
    </row>
    <row r="8366" spans="1:4" x14ac:dyDescent="0.3">
      <c r="A8366" s="34">
        <v>58548</v>
      </c>
      <c r="B8366" s="35">
        <v>1</v>
      </c>
      <c r="C8366" s="35">
        <v>0</v>
      </c>
      <c r="D8366" s="2">
        <f t="shared" si="130"/>
        <v>1</v>
      </c>
    </row>
    <row r="8367" spans="1:4" x14ac:dyDescent="0.3">
      <c r="A8367" s="34">
        <v>58552</v>
      </c>
      <c r="B8367" s="35">
        <v>1</v>
      </c>
      <c r="C8367" s="35">
        <v>0</v>
      </c>
      <c r="D8367" s="2">
        <f t="shared" si="130"/>
        <v>1</v>
      </c>
    </row>
    <row r="8368" spans="1:4" x14ac:dyDescent="0.3">
      <c r="A8368" s="34">
        <v>58553</v>
      </c>
      <c r="B8368" s="35">
        <v>1</v>
      </c>
      <c r="C8368" s="35">
        <v>0</v>
      </c>
      <c r="D8368" s="2">
        <f t="shared" si="130"/>
        <v>1</v>
      </c>
    </row>
    <row r="8369" spans="1:4" x14ac:dyDescent="0.3">
      <c r="A8369" s="34">
        <v>58556</v>
      </c>
      <c r="B8369" s="35">
        <v>1</v>
      </c>
      <c r="C8369" s="35">
        <v>0</v>
      </c>
      <c r="D8369" s="2">
        <f t="shared" si="130"/>
        <v>1</v>
      </c>
    </row>
    <row r="8370" spans="1:4" x14ac:dyDescent="0.3">
      <c r="A8370" s="34">
        <v>58557</v>
      </c>
      <c r="B8370" s="35">
        <v>1</v>
      </c>
      <c r="C8370" s="35">
        <v>0</v>
      </c>
      <c r="D8370" s="2">
        <f t="shared" si="130"/>
        <v>1</v>
      </c>
    </row>
    <row r="8371" spans="1:4" x14ac:dyDescent="0.3">
      <c r="A8371" s="34">
        <v>58558</v>
      </c>
      <c r="B8371" s="35">
        <v>2</v>
      </c>
      <c r="C8371" s="35">
        <v>1</v>
      </c>
      <c r="D8371" s="2">
        <f t="shared" si="130"/>
        <v>3</v>
      </c>
    </row>
    <row r="8372" spans="1:4" x14ac:dyDescent="0.3">
      <c r="A8372" s="34">
        <v>58559</v>
      </c>
      <c r="B8372" s="35">
        <v>1</v>
      </c>
      <c r="C8372" s="35">
        <v>0</v>
      </c>
      <c r="D8372" s="2">
        <f t="shared" si="130"/>
        <v>1</v>
      </c>
    </row>
    <row r="8373" spans="1:4" x14ac:dyDescent="0.3">
      <c r="A8373" s="34">
        <v>58561</v>
      </c>
      <c r="B8373" s="35">
        <v>1</v>
      </c>
      <c r="C8373" s="35">
        <v>1</v>
      </c>
      <c r="D8373" s="2">
        <f t="shared" si="130"/>
        <v>2</v>
      </c>
    </row>
    <row r="8374" spans="1:4" x14ac:dyDescent="0.3">
      <c r="A8374" s="34">
        <v>58563</v>
      </c>
      <c r="B8374" s="35">
        <v>1</v>
      </c>
      <c r="C8374" s="35">
        <v>0</v>
      </c>
      <c r="D8374" s="2">
        <f t="shared" si="130"/>
        <v>1</v>
      </c>
    </row>
    <row r="8375" spans="1:4" x14ac:dyDescent="0.3">
      <c r="A8375" s="34">
        <v>58564</v>
      </c>
      <c r="B8375" s="35">
        <v>1</v>
      </c>
      <c r="C8375" s="35">
        <v>0</v>
      </c>
      <c r="D8375" s="2">
        <f t="shared" si="130"/>
        <v>1</v>
      </c>
    </row>
    <row r="8376" spans="1:4" x14ac:dyDescent="0.3">
      <c r="A8376" s="34">
        <v>58566</v>
      </c>
      <c r="B8376" s="35">
        <v>1</v>
      </c>
      <c r="C8376" s="35">
        <v>1</v>
      </c>
      <c r="D8376" s="2">
        <f t="shared" si="130"/>
        <v>2</v>
      </c>
    </row>
    <row r="8377" spans="1:4" x14ac:dyDescent="0.3">
      <c r="A8377" s="34">
        <v>58568</v>
      </c>
      <c r="B8377" s="35">
        <v>2</v>
      </c>
      <c r="C8377" s="35">
        <v>1</v>
      </c>
      <c r="D8377" s="2">
        <f t="shared" si="130"/>
        <v>3</v>
      </c>
    </row>
    <row r="8378" spans="1:4" x14ac:dyDescent="0.3">
      <c r="A8378" s="34">
        <v>58574</v>
      </c>
      <c r="B8378" s="35">
        <v>1</v>
      </c>
      <c r="C8378" s="35">
        <v>0</v>
      </c>
      <c r="D8378" s="2">
        <f t="shared" si="130"/>
        <v>1</v>
      </c>
    </row>
    <row r="8379" spans="1:4" x14ac:dyDescent="0.3">
      <c r="A8379" s="34">
        <v>58579</v>
      </c>
      <c r="B8379" s="35">
        <v>1</v>
      </c>
      <c r="C8379" s="35">
        <v>0</v>
      </c>
      <c r="D8379" s="2">
        <f t="shared" si="130"/>
        <v>1</v>
      </c>
    </row>
    <row r="8380" spans="1:4" x14ac:dyDescent="0.3">
      <c r="A8380" s="34">
        <v>58582</v>
      </c>
      <c r="B8380" s="35">
        <v>1</v>
      </c>
      <c r="C8380" s="35">
        <v>1</v>
      </c>
      <c r="D8380" s="2">
        <f t="shared" si="130"/>
        <v>2</v>
      </c>
    </row>
    <row r="8381" spans="1:4" x14ac:dyDescent="0.3">
      <c r="A8381" s="34">
        <v>58586</v>
      </c>
      <c r="B8381" s="35">
        <v>1</v>
      </c>
      <c r="C8381" s="35">
        <v>0</v>
      </c>
      <c r="D8381" s="2">
        <f t="shared" si="130"/>
        <v>1</v>
      </c>
    </row>
    <row r="8382" spans="1:4" x14ac:dyDescent="0.3">
      <c r="A8382" s="34">
        <v>58587</v>
      </c>
      <c r="B8382" s="35">
        <v>1</v>
      </c>
      <c r="C8382" s="35">
        <v>0</v>
      </c>
      <c r="D8382" s="2">
        <f t="shared" si="130"/>
        <v>1</v>
      </c>
    </row>
    <row r="8383" spans="1:4" x14ac:dyDescent="0.3">
      <c r="A8383" s="34">
        <v>58590</v>
      </c>
      <c r="B8383" s="35">
        <v>1</v>
      </c>
      <c r="C8383" s="35">
        <v>0</v>
      </c>
      <c r="D8383" s="2">
        <f t="shared" si="130"/>
        <v>1</v>
      </c>
    </row>
    <row r="8384" spans="1:4" x14ac:dyDescent="0.3">
      <c r="A8384" s="34">
        <v>58646</v>
      </c>
      <c r="B8384" s="35">
        <v>2</v>
      </c>
      <c r="C8384" s="35">
        <v>1</v>
      </c>
      <c r="D8384" s="2">
        <f t="shared" si="130"/>
        <v>3</v>
      </c>
    </row>
    <row r="8385" spans="1:4" x14ac:dyDescent="0.3">
      <c r="A8385" s="34">
        <v>58647</v>
      </c>
      <c r="B8385" s="35">
        <v>2</v>
      </c>
      <c r="C8385" s="35">
        <v>0</v>
      </c>
      <c r="D8385" s="2">
        <f t="shared" si="130"/>
        <v>2</v>
      </c>
    </row>
    <row r="8386" spans="1:4" x14ac:dyDescent="0.3">
      <c r="A8386" s="34">
        <v>58650</v>
      </c>
      <c r="B8386" s="35">
        <v>1</v>
      </c>
      <c r="C8386" s="35">
        <v>0</v>
      </c>
      <c r="D8386" s="2">
        <f t="shared" si="130"/>
        <v>1</v>
      </c>
    </row>
    <row r="8387" spans="1:4" x14ac:dyDescent="0.3">
      <c r="A8387" s="34">
        <v>58652</v>
      </c>
      <c r="B8387" s="35">
        <v>1</v>
      </c>
      <c r="C8387" s="35">
        <v>0</v>
      </c>
      <c r="D8387" s="2">
        <f t="shared" ref="D8387:D8450" si="131">B8387+C8387</f>
        <v>1</v>
      </c>
    </row>
    <row r="8388" spans="1:4" x14ac:dyDescent="0.3">
      <c r="A8388" s="34">
        <v>58654</v>
      </c>
      <c r="B8388" s="35">
        <v>1</v>
      </c>
      <c r="C8388" s="35">
        <v>0</v>
      </c>
      <c r="D8388" s="2">
        <f t="shared" si="131"/>
        <v>1</v>
      </c>
    </row>
    <row r="8389" spans="1:4" x14ac:dyDescent="0.3">
      <c r="A8389" s="34">
        <v>58658</v>
      </c>
      <c r="B8389" s="35">
        <v>1</v>
      </c>
      <c r="C8389" s="35">
        <v>0</v>
      </c>
      <c r="D8389" s="2">
        <f t="shared" si="131"/>
        <v>1</v>
      </c>
    </row>
    <row r="8390" spans="1:4" x14ac:dyDescent="0.3">
      <c r="A8390" s="34">
        <v>58667</v>
      </c>
      <c r="B8390" s="35">
        <v>1</v>
      </c>
      <c r="C8390" s="35">
        <v>0</v>
      </c>
      <c r="D8390" s="2">
        <f t="shared" si="131"/>
        <v>1</v>
      </c>
    </row>
    <row r="8391" spans="1:4" x14ac:dyDescent="0.3">
      <c r="A8391" s="34">
        <v>58668</v>
      </c>
      <c r="B8391" s="35">
        <v>1</v>
      </c>
      <c r="C8391" s="35">
        <v>1</v>
      </c>
      <c r="D8391" s="2">
        <f t="shared" si="131"/>
        <v>2</v>
      </c>
    </row>
    <row r="8392" spans="1:4" x14ac:dyDescent="0.3">
      <c r="A8392" s="34">
        <v>58669</v>
      </c>
      <c r="B8392" s="35">
        <v>2</v>
      </c>
      <c r="C8392" s="35">
        <v>2</v>
      </c>
      <c r="D8392" s="2">
        <f t="shared" si="131"/>
        <v>4</v>
      </c>
    </row>
    <row r="8393" spans="1:4" x14ac:dyDescent="0.3">
      <c r="A8393" s="34">
        <v>58673</v>
      </c>
      <c r="B8393" s="35">
        <v>1</v>
      </c>
      <c r="C8393" s="35">
        <v>0</v>
      </c>
      <c r="D8393" s="2">
        <f t="shared" si="131"/>
        <v>1</v>
      </c>
    </row>
    <row r="8394" spans="1:4" x14ac:dyDescent="0.3">
      <c r="A8394" s="34">
        <v>58674</v>
      </c>
      <c r="B8394" s="35">
        <v>1</v>
      </c>
      <c r="C8394" s="35">
        <v>0</v>
      </c>
      <c r="D8394" s="2">
        <f t="shared" si="131"/>
        <v>1</v>
      </c>
    </row>
    <row r="8395" spans="1:4" x14ac:dyDescent="0.3">
      <c r="A8395" s="34">
        <v>58675</v>
      </c>
      <c r="B8395" s="35">
        <v>1</v>
      </c>
      <c r="C8395" s="35">
        <v>0</v>
      </c>
      <c r="D8395" s="2">
        <f t="shared" si="131"/>
        <v>1</v>
      </c>
    </row>
    <row r="8396" spans="1:4" x14ac:dyDescent="0.3">
      <c r="A8396" s="34">
        <v>58676</v>
      </c>
      <c r="B8396" s="35">
        <v>1</v>
      </c>
      <c r="C8396" s="35">
        <v>0</v>
      </c>
      <c r="D8396" s="2">
        <f t="shared" si="131"/>
        <v>1</v>
      </c>
    </row>
    <row r="8397" spans="1:4" x14ac:dyDescent="0.3">
      <c r="A8397" s="34">
        <v>58677</v>
      </c>
      <c r="B8397" s="35">
        <v>1</v>
      </c>
      <c r="C8397" s="35">
        <v>0</v>
      </c>
      <c r="D8397" s="2">
        <f t="shared" si="131"/>
        <v>1</v>
      </c>
    </row>
    <row r="8398" spans="1:4" x14ac:dyDescent="0.3">
      <c r="A8398" s="34">
        <v>58678</v>
      </c>
      <c r="B8398" s="35">
        <v>1</v>
      </c>
      <c r="C8398" s="35">
        <v>0</v>
      </c>
      <c r="D8398" s="2">
        <f t="shared" si="131"/>
        <v>1</v>
      </c>
    </row>
    <row r="8399" spans="1:4" x14ac:dyDescent="0.3">
      <c r="A8399" s="34">
        <v>58680</v>
      </c>
      <c r="B8399" s="35">
        <v>3</v>
      </c>
      <c r="C8399" s="35">
        <v>0</v>
      </c>
      <c r="D8399" s="2">
        <f t="shared" si="131"/>
        <v>3</v>
      </c>
    </row>
    <row r="8400" spans="1:4" x14ac:dyDescent="0.3">
      <c r="A8400" s="34">
        <v>58684</v>
      </c>
      <c r="B8400" s="35">
        <v>1</v>
      </c>
      <c r="C8400" s="35">
        <v>0</v>
      </c>
      <c r="D8400" s="2">
        <f t="shared" si="131"/>
        <v>1</v>
      </c>
    </row>
    <row r="8401" spans="1:4" x14ac:dyDescent="0.3">
      <c r="A8401" s="34">
        <v>58685</v>
      </c>
      <c r="B8401" s="35">
        <v>1</v>
      </c>
      <c r="C8401" s="35">
        <v>1</v>
      </c>
      <c r="D8401" s="2">
        <f t="shared" si="131"/>
        <v>2</v>
      </c>
    </row>
    <row r="8402" spans="1:4" x14ac:dyDescent="0.3">
      <c r="A8402" s="34">
        <v>58686</v>
      </c>
      <c r="B8402" s="35">
        <v>1</v>
      </c>
      <c r="C8402" s="35">
        <v>0</v>
      </c>
      <c r="D8402" s="2">
        <f t="shared" si="131"/>
        <v>1</v>
      </c>
    </row>
    <row r="8403" spans="1:4" x14ac:dyDescent="0.3">
      <c r="A8403" s="34">
        <v>58690</v>
      </c>
      <c r="B8403" s="35">
        <v>1</v>
      </c>
      <c r="C8403" s="35">
        <v>0</v>
      </c>
      <c r="D8403" s="2">
        <f t="shared" si="131"/>
        <v>1</v>
      </c>
    </row>
    <row r="8404" spans="1:4" x14ac:dyDescent="0.3">
      <c r="A8404" s="34">
        <v>58699</v>
      </c>
      <c r="B8404" s="35">
        <v>1</v>
      </c>
      <c r="C8404" s="35">
        <v>1</v>
      </c>
      <c r="D8404" s="2">
        <f t="shared" si="131"/>
        <v>2</v>
      </c>
    </row>
    <row r="8405" spans="1:4" x14ac:dyDescent="0.3">
      <c r="A8405" s="34">
        <v>58835</v>
      </c>
      <c r="B8405" s="35">
        <v>1</v>
      </c>
      <c r="C8405" s="35">
        <v>0</v>
      </c>
      <c r="D8405" s="2">
        <f t="shared" si="131"/>
        <v>1</v>
      </c>
    </row>
    <row r="8406" spans="1:4" x14ac:dyDescent="0.3">
      <c r="A8406" s="34">
        <v>58838</v>
      </c>
      <c r="B8406" s="35">
        <v>1</v>
      </c>
      <c r="C8406" s="35">
        <v>0</v>
      </c>
      <c r="D8406" s="2">
        <f t="shared" si="131"/>
        <v>1</v>
      </c>
    </row>
    <row r="8407" spans="1:4" x14ac:dyDescent="0.3">
      <c r="A8407" s="34">
        <v>58840</v>
      </c>
      <c r="B8407" s="35">
        <v>2</v>
      </c>
      <c r="C8407" s="35">
        <v>0</v>
      </c>
      <c r="D8407" s="2">
        <f t="shared" si="131"/>
        <v>2</v>
      </c>
    </row>
    <row r="8408" spans="1:4" x14ac:dyDescent="0.3">
      <c r="A8408" s="34">
        <v>58841</v>
      </c>
      <c r="B8408" s="35">
        <v>1</v>
      </c>
      <c r="C8408" s="35">
        <v>0</v>
      </c>
      <c r="D8408" s="2">
        <f t="shared" si="131"/>
        <v>1</v>
      </c>
    </row>
    <row r="8409" spans="1:4" x14ac:dyDescent="0.3">
      <c r="A8409" s="34">
        <v>58842</v>
      </c>
      <c r="B8409" s="35">
        <v>1</v>
      </c>
      <c r="C8409" s="35">
        <v>0</v>
      </c>
      <c r="D8409" s="2">
        <f t="shared" si="131"/>
        <v>1</v>
      </c>
    </row>
    <row r="8410" spans="1:4" x14ac:dyDescent="0.3">
      <c r="A8410" s="34">
        <v>58847</v>
      </c>
      <c r="B8410" s="35">
        <v>1</v>
      </c>
      <c r="C8410" s="35">
        <v>1</v>
      </c>
      <c r="D8410" s="2">
        <f t="shared" si="131"/>
        <v>2</v>
      </c>
    </row>
    <row r="8411" spans="1:4" x14ac:dyDescent="0.3">
      <c r="A8411" s="34">
        <v>58850</v>
      </c>
      <c r="B8411" s="35">
        <v>1</v>
      </c>
      <c r="C8411" s="35">
        <v>0</v>
      </c>
      <c r="D8411" s="2">
        <f t="shared" si="131"/>
        <v>1</v>
      </c>
    </row>
    <row r="8412" spans="1:4" x14ac:dyDescent="0.3">
      <c r="A8412" s="34">
        <v>58853</v>
      </c>
      <c r="B8412" s="35">
        <v>1</v>
      </c>
      <c r="C8412" s="35">
        <v>0</v>
      </c>
      <c r="D8412" s="2">
        <f t="shared" si="131"/>
        <v>1</v>
      </c>
    </row>
    <row r="8413" spans="1:4" x14ac:dyDescent="0.3">
      <c r="A8413" s="34">
        <v>58854</v>
      </c>
      <c r="B8413" s="35">
        <v>1</v>
      </c>
      <c r="C8413" s="35">
        <v>0</v>
      </c>
      <c r="D8413" s="2">
        <f t="shared" si="131"/>
        <v>1</v>
      </c>
    </row>
    <row r="8414" spans="1:4" x14ac:dyDescent="0.3">
      <c r="A8414" s="34">
        <v>58855</v>
      </c>
      <c r="B8414" s="35">
        <v>1</v>
      </c>
      <c r="C8414" s="35">
        <v>0</v>
      </c>
      <c r="D8414" s="2">
        <f t="shared" si="131"/>
        <v>1</v>
      </c>
    </row>
    <row r="8415" spans="1:4" x14ac:dyDescent="0.3">
      <c r="A8415" s="34">
        <v>58856</v>
      </c>
      <c r="B8415" s="35">
        <v>1</v>
      </c>
      <c r="C8415" s="35">
        <v>0</v>
      </c>
      <c r="D8415" s="2">
        <f t="shared" si="131"/>
        <v>1</v>
      </c>
    </row>
    <row r="8416" spans="1:4" x14ac:dyDescent="0.3">
      <c r="A8416" s="34">
        <v>58859</v>
      </c>
      <c r="B8416" s="35">
        <v>1</v>
      </c>
      <c r="C8416" s="35">
        <v>1</v>
      </c>
      <c r="D8416" s="2">
        <f t="shared" si="131"/>
        <v>2</v>
      </c>
    </row>
    <row r="8417" spans="1:4" x14ac:dyDescent="0.3">
      <c r="A8417" s="34">
        <v>58862</v>
      </c>
      <c r="B8417" s="35">
        <v>1</v>
      </c>
      <c r="C8417" s="35">
        <v>0</v>
      </c>
      <c r="D8417" s="2">
        <f t="shared" si="131"/>
        <v>1</v>
      </c>
    </row>
    <row r="8418" spans="1:4" x14ac:dyDescent="0.3">
      <c r="A8418" s="34">
        <v>58864</v>
      </c>
      <c r="B8418" s="35">
        <v>1</v>
      </c>
      <c r="C8418" s="35">
        <v>0</v>
      </c>
      <c r="D8418" s="2">
        <f t="shared" si="131"/>
        <v>1</v>
      </c>
    </row>
    <row r="8419" spans="1:4" x14ac:dyDescent="0.3">
      <c r="A8419" s="34">
        <v>58866</v>
      </c>
      <c r="B8419" s="35">
        <v>1</v>
      </c>
      <c r="C8419" s="35">
        <v>1</v>
      </c>
      <c r="D8419" s="2">
        <f t="shared" si="131"/>
        <v>2</v>
      </c>
    </row>
    <row r="8420" spans="1:4" x14ac:dyDescent="0.3">
      <c r="A8420" s="34">
        <v>58867</v>
      </c>
      <c r="B8420" s="35">
        <v>1</v>
      </c>
      <c r="C8420" s="35">
        <v>0</v>
      </c>
      <c r="D8420" s="2">
        <f t="shared" si="131"/>
        <v>1</v>
      </c>
    </row>
    <row r="8421" spans="1:4" x14ac:dyDescent="0.3">
      <c r="A8421" s="34">
        <v>58869</v>
      </c>
      <c r="B8421" s="35">
        <v>1</v>
      </c>
      <c r="C8421" s="35">
        <v>0</v>
      </c>
      <c r="D8421" s="2">
        <f t="shared" si="131"/>
        <v>1</v>
      </c>
    </row>
    <row r="8422" spans="1:4" x14ac:dyDescent="0.3">
      <c r="A8422" s="34">
        <v>58870</v>
      </c>
      <c r="B8422" s="35">
        <v>1</v>
      </c>
      <c r="C8422" s="35">
        <v>0</v>
      </c>
      <c r="D8422" s="2">
        <f t="shared" si="131"/>
        <v>1</v>
      </c>
    </row>
    <row r="8423" spans="1:4" x14ac:dyDescent="0.3">
      <c r="A8423" s="34">
        <v>58871</v>
      </c>
      <c r="B8423" s="35">
        <v>1</v>
      </c>
      <c r="C8423" s="35">
        <v>0</v>
      </c>
      <c r="D8423" s="2">
        <f t="shared" si="131"/>
        <v>1</v>
      </c>
    </row>
    <row r="8424" spans="1:4" x14ac:dyDescent="0.3">
      <c r="A8424" s="34">
        <v>58874</v>
      </c>
      <c r="B8424" s="35">
        <v>1</v>
      </c>
      <c r="C8424" s="35">
        <v>0</v>
      </c>
      <c r="D8424" s="2">
        <f t="shared" si="131"/>
        <v>1</v>
      </c>
    </row>
    <row r="8425" spans="1:4" x14ac:dyDescent="0.3">
      <c r="A8425" s="34">
        <v>58875</v>
      </c>
      <c r="B8425" s="35">
        <v>1</v>
      </c>
      <c r="C8425" s="35">
        <v>0</v>
      </c>
      <c r="D8425" s="2">
        <f t="shared" si="131"/>
        <v>1</v>
      </c>
    </row>
    <row r="8426" spans="1:4" x14ac:dyDescent="0.3">
      <c r="A8426" s="34">
        <v>58877</v>
      </c>
      <c r="B8426" s="35">
        <v>1</v>
      </c>
      <c r="C8426" s="35">
        <v>1</v>
      </c>
      <c r="D8426" s="2">
        <f t="shared" si="131"/>
        <v>2</v>
      </c>
    </row>
    <row r="8427" spans="1:4" x14ac:dyDescent="0.3">
      <c r="A8427" s="34">
        <v>58879</v>
      </c>
      <c r="B8427" s="35">
        <v>2</v>
      </c>
      <c r="C8427" s="35">
        <v>1</v>
      </c>
      <c r="D8427" s="2">
        <f t="shared" si="131"/>
        <v>3</v>
      </c>
    </row>
    <row r="8428" spans="1:4" x14ac:dyDescent="0.3">
      <c r="A8428" s="34">
        <v>58880</v>
      </c>
      <c r="B8428" s="35">
        <v>1</v>
      </c>
      <c r="C8428" s="35">
        <v>0</v>
      </c>
      <c r="D8428" s="2">
        <f t="shared" si="131"/>
        <v>1</v>
      </c>
    </row>
    <row r="8429" spans="1:4" x14ac:dyDescent="0.3">
      <c r="A8429" s="34">
        <v>58881</v>
      </c>
      <c r="B8429" s="35">
        <v>1</v>
      </c>
      <c r="C8429" s="35">
        <v>1</v>
      </c>
      <c r="D8429" s="2">
        <f t="shared" si="131"/>
        <v>2</v>
      </c>
    </row>
    <row r="8430" spans="1:4" x14ac:dyDescent="0.3">
      <c r="A8430" s="34">
        <v>58882</v>
      </c>
      <c r="B8430" s="35">
        <v>1</v>
      </c>
      <c r="C8430" s="35">
        <v>0</v>
      </c>
      <c r="D8430" s="2">
        <f t="shared" si="131"/>
        <v>1</v>
      </c>
    </row>
    <row r="8431" spans="1:4" x14ac:dyDescent="0.3">
      <c r="A8431" s="34">
        <v>58893</v>
      </c>
      <c r="B8431" s="35">
        <v>1</v>
      </c>
      <c r="C8431" s="35">
        <v>0</v>
      </c>
      <c r="D8431" s="2">
        <f t="shared" si="131"/>
        <v>1</v>
      </c>
    </row>
    <row r="8432" spans="1:4" x14ac:dyDescent="0.3">
      <c r="A8432" s="34">
        <v>58895</v>
      </c>
      <c r="B8432" s="35">
        <v>1</v>
      </c>
      <c r="C8432" s="35">
        <v>0</v>
      </c>
      <c r="D8432" s="2">
        <f t="shared" si="131"/>
        <v>1</v>
      </c>
    </row>
    <row r="8433" spans="1:4" x14ac:dyDescent="0.3">
      <c r="A8433" s="34">
        <v>58897</v>
      </c>
      <c r="B8433" s="35">
        <v>1</v>
      </c>
      <c r="C8433" s="35">
        <v>0</v>
      </c>
      <c r="D8433" s="2">
        <f t="shared" si="131"/>
        <v>1</v>
      </c>
    </row>
    <row r="8434" spans="1:4" x14ac:dyDescent="0.3">
      <c r="A8434" s="34">
        <v>58898</v>
      </c>
      <c r="B8434" s="35">
        <v>1</v>
      </c>
      <c r="C8434" s="35">
        <v>0</v>
      </c>
      <c r="D8434" s="2">
        <f t="shared" si="131"/>
        <v>1</v>
      </c>
    </row>
    <row r="8435" spans="1:4" x14ac:dyDescent="0.3">
      <c r="A8435" s="34">
        <v>58902</v>
      </c>
      <c r="B8435" s="35">
        <v>1</v>
      </c>
      <c r="C8435" s="35">
        <v>1</v>
      </c>
      <c r="D8435" s="2">
        <f t="shared" si="131"/>
        <v>2</v>
      </c>
    </row>
    <row r="8436" spans="1:4" x14ac:dyDescent="0.3">
      <c r="A8436" s="34">
        <v>58903</v>
      </c>
      <c r="B8436" s="35">
        <v>1</v>
      </c>
      <c r="C8436" s="35">
        <v>1</v>
      </c>
      <c r="D8436" s="2">
        <f t="shared" si="131"/>
        <v>2</v>
      </c>
    </row>
    <row r="8437" spans="1:4" x14ac:dyDescent="0.3">
      <c r="A8437" s="34">
        <v>58904</v>
      </c>
      <c r="B8437" s="35">
        <v>1</v>
      </c>
      <c r="C8437" s="35">
        <v>0</v>
      </c>
      <c r="D8437" s="2">
        <f t="shared" si="131"/>
        <v>1</v>
      </c>
    </row>
    <row r="8438" spans="1:4" x14ac:dyDescent="0.3">
      <c r="A8438" s="34">
        <v>58905</v>
      </c>
      <c r="B8438" s="35">
        <v>1</v>
      </c>
      <c r="C8438" s="35">
        <v>0</v>
      </c>
      <c r="D8438" s="2">
        <f t="shared" si="131"/>
        <v>1</v>
      </c>
    </row>
    <row r="8439" spans="1:4" x14ac:dyDescent="0.3">
      <c r="A8439" s="34">
        <v>58916</v>
      </c>
      <c r="B8439" s="35">
        <v>1</v>
      </c>
      <c r="C8439" s="35">
        <v>0</v>
      </c>
      <c r="D8439" s="2">
        <f t="shared" si="131"/>
        <v>1</v>
      </c>
    </row>
    <row r="8440" spans="1:4" x14ac:dyDescent="0.3">
      <c r="A8440" s="34">
        <v>58917</v>
      </c>
      <c r="B8440" s="35">
        <v>1</v>
      </c>
      <c r="C8440" s="35">
        <v>0</v>
      </c>
      <c r="D8440" s="2">
        <f t="shared" si="131"/>
        <v>1</v>
      </c>
    </row>
    <row r="8441" spans="1:4" x14ac:dyDescent="0.3">
      <c r="A8441" s="34">
        <v>58919</v>
      </c>
      <c r="B8441" s="35">
        <v>1</v>
      </c>
      <c r="C8441" s="35">
        <v>0</v>
      </c>
      <c r="D8441" s="2">
        <f t="shared" si="131"/>
        <v>1</v>
      </c>
    </row>
    <row r="8442" spans="1:4" x14ac:dyDescent="0.3">
      <c r="A8442" s="34">
        <v>58921</v>
      </c>
      <c r="B8442" s="35">
        <v>1</v>
      </c>
      <c r="C8442" s="35">
        <v>0</v>
      </c>
      <c r="D8442" s="2">
        <f t="shared" si="131"/>
        <v>1</v>
      </c>
    </row>
    <row r="8443" spans="1:4" x14ac:dyDescent="0.3">
      <c r="A8443" s="34">
        <v>58922</v>
      </c>
      <c r="B8443" s="35">
        <v>1</v>
      </c>
      <c r="C8443" s="35">
        <v>0</v>
      </c>
      <c r="D8443" s="2">
        <f t="shared" si="131"/>
        <v>1</v>
      </c>
    </row>
    <row r="8444" spans="1:4" x14ac:dyDescent="0.3">
      <c r="A8444" s="34">
        <v>58923</v>
      </c>
      <c r="B8444" s="35">
        <v>1</v>
      </c>
      <c r="C8444" s="35">
        <v>0</v>
      </c>
      <c r="D8444" s="2">
        <f t="shared" si="131"/>
        <v>1</v>
      </c>
    </row>
    <row r="8445" spans="1:4" x14ac:dyDescent="0.3">
      <c r="A8445" s="34">
        <v>58924</v>
      </c>
      <c r="B8445" s="35">
        <v>1</v>
      </c>
      <c r="C8445" s="35">
        <v>0</v>
      </c>
      <c r="D8445" s="2">
        <f t="shared" si="131"/>
        <v>1</v>
      </c>
    </row>
    <row r="8446" spans="1:4" x14ac:dyDescent="0.3">
      <c r="A8446" s="34">
        <v>58925</v>
      </c>
      <c r="B8446" s="35">
        <v>1</v>
      </c>
      <c r="C8446" s="35">
        <v>0</v>
      </c>
      <c r="D8446" s="2">
        <f t="shared" si="131"/>
        <v>1</v>
      </c>
    </row>
    <row r="8447" spans="1:4" x14ac:dyDescent="0.3">
      <c r="A8447" s="34">
        <v>58926</v>
      </c>
      <c r="B8447" s="35">
        <v>1</v>
      </c>
      <c r="C8447" s="35">
        <v>0</v>
      </c>
      <c r="D8447" s="2">
        <f t="shared" si="131"/>
        <v>1</v>
      </c>
    </row>
    <row r="8448" spans="1:4" x14ac:dyDescent="0.3">
      <c r="A8448" s="34">
        <v>58927</v>
      </c>
      <c r="B8448" s="35">
        <v>1</v>
      </c>
      <c r="C8448" s="35">
        <v>0</v>
      </c>
      <c r="D8448" s="2">
        <f t="shared" si="131"/>
        <v>1</v>
      </c>
    </row>
    <row r="8449" spans="1:4" x14ac:dyDescent="0.3">
      <c r="A8449" s="34">
        <v>58929</v>
      </c>
      <c r="B8449" s="35">
        <v>1</v>
      </c>
      <c r="C8449" s="35">
        <v>0</v>
      </c>
      <c r="D8449" s="2">
        <f t="shared" si="131"/>
        <v>1</v>
      </c>
    </row>
    <row r="8450" spans="1:4" x14ac:dyDescent="0.3">
      <c r="A8450" s="34">
        <v>58930</v>
      </c>
      <c r="B8450" s="35">
        <v>1</v>
      </c>
      <c r="C8450" s="35">
        <v>0</v>
      </c>
      <c r="D8450" s="2">
        <f t="shared" si="131"/>
        <v>1</v>
      </c>
    </row>
    <row r="8451" spans="1:4" x14ac:dyDescent="0.3">
      <c r="A8451" s="34">
        <v>58932</v>
      </c>
      <c r="B8451" s="35">
        <v>1</v>
      </c>
      <c r="C8451" s="35">
        <v>1</v>
      </c>
      <c r="D8451" s="2">
        <f t="shared" ref="D8451:D8514" si="132">B8451+C8451</f>
        <v>2</v>
      </c>
    </row>
    <row r="8452" spans="1:4" x14ac:dyDescent="0.3">
      <c r="A8452" s="34">
        <v>58935</v>
      </c>
      <c r="B8452" s="35">
        <v>1</v>
      </c>
      <c r="C8452" s="35">
        <v>1</v>
      </c>
      <c r="D8452" s="2">
        <f t="shared" si="132"/>
        <v>2</v>
      </c>
    </row>
    <row r="8453" spans="1:4" x14ac:dyDescent="0.3">
      <c r="A8453" s="34">
        <v>58940</v>
      </c>
      <c r="B8453" s="35">
        <v>1</v>
      </c>
      <c r="C8453" s="35">
        <v>1</v>
      </c>
      <c r="D8453" s="2">
        <f t="shared" si="132"/>
        <v>2</v>
      </c>
    </row>
    <row r="8454" spans="1:4" x14ac:dyDescent="0.3">
      <c r="A8454" s="34">
        <v>58941</v>
      </c>
      <c r="B8454" s="35">
        <v>1</v>
      </c>
      <c r="C8454" s="35">
        <v>0</v>
      </c>
      <c r="D8454" s="2">
        <f t="shared" si="132"/>
        <v>1</v>
      </c>
    </row>
    <row r="8455" spans="1:4" x14ac:dyDescent="0.3">
      <c r="A8455" s="34">
        <v>58943</v>
      </c>
      <c r="B8455" s="35">
        <v>1</v>
      </c>
      <c r="C8455" s="35">
        <v>0</v>
      </c>
      <c r="D8455" s="2">
        <f t="shared" si="132"/>
        <v>1</v>
      </c>
    </row>
    <row r="8456" spans="1:4" x14ac:dyDescent="0.3">
      <c r="A8456" s="34">
        <v>58945</v>
      </c>
      <c r="B8456" s="35">
        <v>1</v>
      </c>
      <c r="C8456" s="35">
        <v>0</v>
      </c>
      <c r="D8456" s="2">
        <f t="shared" si="132"/>
        <v>1</v>
      </c>
    </row>
    <row r="8457" spans="1:4" x14ac:dyDescent="0.3">
      <c r="A8457" s="34">
        <v>58948</v>
      </c>
      <c r="B8457" s="35">
        <v>1</v>
      </c>
      <c r="C8457" s="35">
        <v>1</v>
      </c>
      <c r="D8457" s="2">
        <f t="shared" si="132"/>
        <v>2</v>
      </c>
    </row>
    <row r="8458" spans="1:4" x14ac:dyDescent="0.3">
      <c r="A8458" s="34">
        <v>58950</v>
      </c>
      <c r="B8458" s="35">
        <v>2</v>
      </c>
      <c r="C8458" s="35">
        <v>0</v>
      </c>
      <c r="D8458" s="2">
        <f t="shared" si="132"/>
        <v>2</v>
      </c>
    </row>
    <row r="8459" spans="1:4" x14ac:dyDescent="0.3">
      <c r="A8459" s="34">
        <v>58951</v>
      </c>
      <c r="B8459" s="35">
        <v>1</v>
      </c>
      <c r="C8459" s="35">
        <v>0</v>
      </c>
      <c r="D8459" s="2">
        <f t="shared" si="132"/>
        <v>1</v>
      </c>
    </row>
    <row r="8460" spans="1:4" x14ac:dyDescent="0.3">
      <c r="A8460" s="34">
        <v>58953</v>
      </c>
      <c r="B8460" s="35">
        <v>2</v>
      </c>
      <c r="C8460" s="35">
        <v>1</v>
      </c>
      <c r="D8460" s="2">
        <f t="shared" si="132"/>
        <v>3</v>
      </c>
    </row>
    <row r="8461" spans="1:4" x14ac:dyDescent="0.3">
      <c r="A8461" s="34">
        <v>58954</v>
      </c>
      <c r="B8461" s="35">
        <v>1</v>
      </c>
      <c r="C8461" s="35">
        <v>0</v>
      </c>
      <c r="D8461" s="2">
        <f t="shared" si="132"/>
        <v>1</v>
      </c>
    </row>
    <row r="8462" spans="1:4" x14ac:dyDescent="0.3">
      <c r="A8462" s="34">
        <v>58956</v>
      </c>
      <c r="B8462" s="35">
        <v>1</v>
      </c>
      <c r="C8462" s="35">
        <v>0</v>
      </c>
      <c r="D8462" s="2">
        <f t="shared" si="132"/>
        <v>1</v>
      </c>
    </row>
    <row r="8463" spans="1:4" x14ac:dyDescent="0.3">
      <c r="A8463" s="34">
        <v>58959</v>
      </c>
      <c r="B8463" s="35">
        <v>1</v>
      </c>
      <c r="C8463" s="35">
        <v>1</v>
      </c>
      <c r="D8463" s="2">
        <f t="shared" si="132"/>
        <v>2</v>
      </c>
    </row>
    <row r="8464" spans="1:4" x14ac:dyDescent="0.3">
      <c r="A8464" s="34">
        <v>58961</v>
      </c>
      <c r="B8464" s="35">
        <v>1</v>
      </c>
      <c r="C8464" s="35">
        <v>0</v>
      </c>
      <c r="D8464" s="2">
        <f t="shared" si="132"/>
        <v>1</v>
      </c>
    </row>
    <row r="8465" spans="1:4" x14ac:dyDescent="0.3">
      <c r="A8465" s="34">
        <v>58965</v>
      </c>
      <c r="B8465" s="35">
        <v>1</v>
      </c>
      <c r="C8465" s="35">
        <v>0</v>
      </c>
      <c r="D8465" s="2">
        <f t="shared" si="132"/>
        <v>1</v>
      </c>
    </row>
    <row r="8466" spans="1:4" x14ac:dyDescent="0.3">
      <c r="A8466" s="34">
        <v>58969</v>
      </c>
      <c r="B8466" s="35">
        <v>1</v>
      </c>
      <c r="C8466" s="35">
        <v>0</v>
      </c>
      <c r="D8466" s="2">
        <f t="shared" si="132"/>
        <v>1</v>
      </c>
    </row>
    <row r="8467" spans="1:4" x14ac:dyDescent="0.3">
      <c r="A8467" s="34">
        <v>58971</v>
      </c>
      <c r="B8467" s="35">
        <v>1</v>
      </c>
      <c r="C8467" s="35">
        <v>0</v>
      </c>
      <c r="D8467" s="2">
        <f t="shared" si="132"/>
        <v>1</v>
      </c>
    </row>
    <row r="8468" spans="1:4" x14ac:dyDescent="0.3">
      <c r="A8468" s="34">
        <v>58972</v>
      </c>
      <c r="B8468" s="35">
        <v>2</v>
      </c>
      <c r="C8468" s="35">
        <v>0</v>
      </c>
      <c r="D8468" s="2">
        <f t="shared" si="132"/>
        <v>2</v>
      </c>
    </row>
    <row r="8469" spans="1:4" x14ac:dyDescent="0.3">
      <c r="A8469" s="34">
        <v>58973</v>
      </c>
      <c r="B8469" s="35">
        <v>1</v>
      </c>
      <c r="C8469" s="35">
        <v>0</v>
      </c>
      <c r="D8469" s="2">
        <f t="shared" si="132"/>
        <v>1</v>
      </c>
    </row>
    <row r="8470" spans="1:4" x14ac:dyDescent="0.3">
      <c r="A8470" s="34">
        <v>58974</v>
      </c>
      <c r="B8470" s="35">
        <v>1</v>
      </c>
      <c r="C8470" s="35">
        <v>1</v>
      </c>
      <c r="D8470" s="2">
        <f t="shared" si="132"/>
        <v>2</v>
      </c>
    </row>
    <row r="8471" spans="1:4" x14ac:dyDescent="0.3">
      <c r="A8471" s="34">
        <v>58978</v>
      </c>
      <c r="B8471" s="35">
        <v>1</v>
      </c>
      <c r="C8471" s="35">
        <v>0</v>
      </c>
      <c r="D8471" s="2">
        <f t="shared" si="132"/>
        <v>1</v>
      </c>
    </row>
    <row r="8472" spans="1:4" x14ac:dyDescent="0.3">
      <c r="A8472" s="34">
        <v>58980</v>
      </c>
      <c r="B8472" s="35">
        <v>1</v>
      </c>
      <c r="C8472" s="35">
        <v>0</v>
      </c>
      <c r="D8472" s="2">
        <f t="shared" si="132"/>
        <v>1</v>
      </c>
    </row>
    <row r="8473" spans="1:4" x14ac:dyDescent="0.3">
      <c r="A8473" s="34">
        <v>58983</v>
      </c>
      <c r="B8473" s="35">
        <v>1</v>
      </c>
      <c r="C8473" s="35">
        <v>0</v>
      </c>
      <c r="D8473" s="2">
        <f t="shared" si="132"/>
        <v>1</v>
      </c>
    </row>
    <row r="8474" spans="1:4" x14ac:dyDescent="0.3">
      <c r="A8474" s="34">
        <v>58986</v>
      </c>
      <c r="B8474" s="35">
        <v>1</v>
      </c>
      <c r="C8474" s="35">
        <v>1</v>
      </c>
      <c r="D8474" s="2">
        <f t="shared" si="132"/>
        <v>2</v>
      </c>
    </row>
    <row r="8475" spans="1:4" x14ac:dyDescent="0.3">
      <c r="A8475" s="34">
        <v>58987</v>
      </c>
      <c r="B8475" s="35">
        <v>1</v>
      </c>
      <c r="C8475" s="35">
        <v>0</v>
      </c>
      <c r="D8475" s="2">
        <f t="shared" si="132"/>
        <v>1</v>
      </c>
    </row>
    <row r="8476" spans="1:4" x14ac:dyDescent="0.3">
      <c r="A8476" s="34">
        <v>59020</v>
      </c>
      <c r="B8476" s="35">
        <v>1</v>
      </c>
      <c r="C8476" s="35">
        <v>0</v>
      </c>
      <c r="D8476" s="2">
        <f t="shared" si="132"/>
        <v>1</v>
      </c>
    </row>
    <row r="8477" spans="1:4" x14ac:dyDescent="0.3">
      <c r="A8477" s="34">
        <v>59022</v>
      </c>
      <c r="B8477" s="35">
        <v>1</v>
      </c>
      <c r="C8477" s="35">
        <v>1</v>
      </c>
      <c r="D8477" s="2">
        <f t="shared" si="132"/>
        <v>2</v>
      </c>
    </row>
    <row r="8478" spans="1:4" x14ac:dyDescent="0.3">
      <c r="A8478" s="34">
        <v>59024</v>
      </c>
      <c r="B8478" s="35">
        <v>1</v>
      </c>
      <c r="C8478" s="35">
        <v>0</v>
      </c>
      <c r="D8478" s="2">
        <f t="shared" si="132"/>
        <v>1</v>
      </c>
    </row>
    <row r="8479" spans="1:4" x14ac:dyDescent="0.3">
      <c r="A8479" s="34">
        <v>59025</v>
      </c>
      <c r="B8479" s="35">
        <v>1</v>
      </c>
      <c r="C8479" s="35">
        <v>0</v>
      </c>
      <c r="D8479" s="2">
        <f t="shared" si="132"/>
        <v>1</v>
      </c>
    </row>
    <row r="8480" spans="1:4" x14ac:dyDescent="0.3">
      <c r="A8480" s="34">
        <v>59031</v>
      </c>
      <c r="B8480" s="35">
        <v>1</v>
      </c>
      <c r="C8480" s="35">
        <v>0</v>
      </c>
      <c r="D8480" s="2">
        <f t="shared" si="132"/>
        <v>1</v>
      </c>
    </row>
    <row r="8481" spans="1:4" x14ac:dyDescent="0.3">
      <c r="A8481" s="34">
        <v>59034</v>
      </c>
      <c r="B8481" s="35">
        <v>1</v>
      </c>
      <c r="C8481" s="35">
        <v>0</v>
      </c>
      <c r="D8481" s="2">
        <f t="shared" si="132"/>
        <v>1</v>
      </c>
    </row>
    <row r="8482" spans="1:4" x14ac:dyDescent="0.3">
      <c r="A8482" s="34">
        <v>59039</v>
      </c>
      <c r="B8482" s="35">
        <v>1</v>
      </c>
      <c r="C8482" s="35">
        <v>0</v>
      </c>
      <c r="D8482" s="2">
        <f t="shared" si="132"/>
        <v>1</v>
      </c>
    </row>
    <row r="8483" spans="1:4" x14ac:dyDescent="0.3">
      <c r="A8483" s="34">
        <v>59048</v>
      </c>
      <c r="B8483" s="35">
        <v>1</v>
      </c>
      <c r="C8483" s="35">
        <v>1</v>
      </c>
      <c r="D8483" s="2">
        <f t="shared" si="132"/>
        <v>2</v>
      </c>
    </row>
    <row r="8484" spans="1:4" x14ac:dyDescent="0.3">
      <c r="A8484" s="34">
        <v>59050</v>
      </c>
      <c r="B8484" s="35">
        <v>1</v>
      </c>
      <c r="C8484" s="35">
        <v>0</v>
      </c>
      <c r="D8484" s="2">
        <f t="shared" si="132"/>
        <v>1</v>
      </c>
    </row>
    <row r="8485" spans="1:4" x14ac:dyDescent="0.3">
      <c r="A8485" s="34">
        <v>59052</v>
      </c>
      <c r="B8485" s="35">
        <v>1</v>
      </c>
      <c r="C8485" s="35">
        <v>0</v>
      </c>
      <c r="D8485" s="2">
        <f t="shared" si="132"/>
        <v>1</v>
      </c>
    </row>
    <row r="8486" spans="1:4" x14ac:dyDescent="0.3">
      <c r="A8486" s="34">
        <v>59054</v>
      </c>
      <c r="B8486" s="35">
        <v>1</v>
      </c>
      <c r="C8486" s="35">
        <v>0</v>
      </c>
      <c r="D8486" s="2">
        <f t="shared" si="132"/>
        <v>1</v>
      </c>
    </row>
    <row r="8487" spans="1:4" x14ac:dyDescent="0.3">
      <c r="A8487" s="34">
        <v>59055</v>
      </c>
      <c r="B8487" s="35">
        <v>1</v>
      </c>
      <c r="C8487" s="35">
        <v>0</v>
      </c>
      <c r="D8487" s="2">
        <f t="shared" si="132"/>
        <v>1</v>
      </c>
    </row>
    <row r="8488" spans="1:4" x14ac:dyDescent="0.3">
      <c r="A8488" s="34">
        <v>59059</v>
      </c>
      <c r="B8488" s="35">
        <v>1</v>
      </c>
      <c r="C8488" s="35">
        <v>0</v>
      </c>
      <c r="D8488" s="2">
        <f t="shared" si="132"/>
        <v>1</v>
      </c>
    </row>
    <row r="8489" spans="1:4" x14ac:dyDescent="0.3">
      <c r="A8489" s="34">
        <v>59061</v>
      </c>
      <c r="B8489" s="35">
        <v>1</v>
      </c>
      <c r="C8489" s="35">
        <v>0</v>
      </c>
      <c r="D8489" s="2">
        <f t="shared" si="132"/>
        <v>1</v>
      </c>
    </row>
    <row r="8490" spans="1:4" x14ac:dyDescent="0.3">
      <c r="A8490" s="34">
        <v>59062</v>
      </c>
      <c r="B8490" s="35">
        <v>1</v>
      </c>
      <c r="C8490" s="35">
        <v>1</v>
      </c>
      <c r="D8490" s="2">
        <f t="shared" si="132"/>
        <v>2</v>
      </c>
    </row>
    <row r="8491" spans="1:4" x14ac:dyDescent="0.3">
      <c r="A8491" s="34">
        <v>59065</v>
      </c>
      <c r="B8491" s="35">
        <v>1</v>
      </c>
      <c r="C8491" s="35">
        <v>0</v>
      </c>
      <c r="D8491" s="2">
        <f t="shared" si="132"/>
        <v>1</v>
      </c>
    </row>
    <row r="8492" spans="1:4" x14ac:dyDescent="0.3">
      <c r="A8492" s="34">
        <v>59066</v>
      </c>
      <c r="B8492" s="35">
        <v>1</v>
      </c>
      <c r="C8492" s="35">
        <v>1</v>
      </c>
      <c r="D8492" s="2">
        <f t="shared" si="132"/>
        <v>2</v>
      </c>
    </row>
    <row r="8493" spans="1:4" x14ac:dyDescent="0.3">
      <c r="A8493" s="34">
        <v>59067</v>
      </c>
      <c r="B8493" s="35">
        <v>1</v>
      </c>
      <c r="C8493" s="35">
        <v>0</v>
      </c>
      <c r="D8493" s="2">
        <f t="shared" si="132"/>
        <v>1</v>
      </c>
    </row>
    <row r="8494" spans="1:4" x14ac:dyDescent="0.3">
      <c r="A8494" s="34">
        <v>59068</v>
      </c>
      <c r="B8494" s="35">
        <v>1</v>
      </c>
      <c r="C8494" s="35">
        <v>0</v>
      </c>
      <c r="D8494" s="2">
        <f t="shared" si="132"/>
        <v>1</v>
      </c>
    </row>
    <row r="8495" spans="1:4" x14ac:dyDescent="0.3">
      <c r="A8495" s="34">
        <v>59069</v>
      </c>
      <c r="B8495" s="35">
        <v>1</v>
      </c>
      <c r="C8495" s="35">
        <v>0</v>
      </c>
      <c r="D8495" s="2">
        <f t="shared" si="132"/>
        <v>1</v>
      </c>
    </row>
    <row r="8496" spans="1:4" x14ac:dyDescent="0.3">
      <c r="A8496" s="34">
        <v>59103</v>
      </c>
      <c r="B8496" s="35">
        <v>1</v>
      </c>
      <c r="C8496" s="35">
        <v>0</v>
      </c>
      <c r="D8496" s="2">
        <f t="shared" si="132"/>
        <v>1</v>
      </c>
    </row>
    <row r="8497" spans="1:4" x14ac:dyDescent="0.3">
      <c r="A8497" s="34">
        <v>59104</v>
      </c>
      <c r="B8497" s="35">
        <v>1</v>
      </c>
      <c r="C8497" s="35">
        <v>1</v>
      </c>
      <c r="D8497" s="2">
        <f t="shared" si="132"/>
        <v>2</v>
      </c>
    </row>
    <row r="8498" spans="1:4" x14ac:dyDescent="0.3">
      <c r="A8498" s="34">
        <v>59105</v>
      </c>
      <c r="B8498" s="35">
        <v>1</v>
      </c>
      <c r="C8498" s="35">
        <v>0</v>
      </c>
      <c r="D8498" s="2">
        <f t="shared" si="132"/>
        <v>1</v>
      </c>
    </row>
    <row r="8499" spans="1:4" x14ac:dyDescent="0.3">
      <c r="A8499" s="34">
        <v>59106</v>
      </c>
      <c r="B8499" s="35">
        <v>1</v>
      </c>
      <c r="C8499" s="35">
        <v>0</v>
      </c>
      <c r="D8499" s="2">
        <f t="shared" si="132"/>
        <v>1</v>
      </c>
    </row>
    <row r="8500" spans="1:4" x14ac:dyDescent="0.3">
      <c r="A8500" s="34">
        <v>59108</v>
      </c>
      <c r="B8500" s="35">
        <v>2</v>
      </c>
      <c r="C8500" s="35">
        <v>1</v>
      </c>
      <c r="D8500" s="2">
        <f t="shared" si="132"/>
        <v>3</v>
      </c>
    </row>
    <row r="8501" spans="1:4" x14ac:dyDescent="0.3">
      <c r="A8501" s="34">
        <v>59109</v>
      </c>
      <c r="B8501" s="35">
        <v>1</v>
      </c>
      <c r="C8501" s="35">
        <v>0</v>
      </c>
      <c r="D8501" s="2">
        <f t="shared" si="132"/>
        <v>1</v>
      </c>
    </row>
    <row r="8502" spans="1:4" x14ac:dyDescent="0.3">
      <c r="A8502" s="34">
        <v>59112</v>
      </c>
      <c r="B8502" s="35">
        <v>1</v>
      </c>
      <c r="C8502" s="35">
        <v>0</v>
      </c>
      <c r="D8502" s="2">
        <f t="shared" si="132"/>
        <v>1</v>
      </c>
    </row>
    <row r="8503" spans="1:4" x14ac:dyDescent="0.3">
      <c r="A8503" s="34">
        <v>59120</v>
      </c>
      <c r="B8503" s="35">
        <v>2</v>
      </c>
      <c r="C8503" s="35">
        <v>0</v>
      </c>
      <c r="D8503" s="2">
        <f t="shared" si="132"/>
        <v>2</v>
      </c>
    </row>
    <row r="8504" spans="1:4" x14ac:dyDescent="0.3">
      <c r="A8504" s="34">
        <v>59121</v>
      </c>
      <c r="B8504" s="35">
        <v>1</v>
      </c>
      <c r="C8504" s="35">
        <v>0</v>
      </c>
      <c r="D8504" s="2">
        <f t="shared" si="132"/>
        <v>1</v>
      </c>
    </row>
    <row r="8505" spans="1:4" x14ac:dyDescent="0.3">
      <c r="A8505" s="34">
        <v>59126</v>
      </c>
      <c r="B8505" s="35">
        <v>1</v>
      </c>
      <c r="C8505" s="35">
        <v>0</v>
      </c>
      <c r="D8505" s="2">
        <f t="shared" si="132"/>
        <v>1</v>
      </c>
    </row>
    <row r="8506" spans="1:4" x14ac:dyDescent="0.3">
      <c r="A8506" s="34">
        <v>59127</v>
      </c>
      <c r="B8506" s="35">
        <v>1</v>
      </c>
      <c r="C8506" s="35">
        <v>0</v>
      </c>
      <c r="D8506" s="2">
        <f t="shared" si="132"/>
        <v>1</v>
      </c>
    </row>
    <row r="8507" spans="1:4" x14ac:dyDescent="0.3">
      <c r="A8507" s="34">
        <v>59132</v>
      </c>
      <c r="B8507" s="35">
        <v>1</v>
      </c>
      <c r="C8507" s="35">
        <v>0</v>
      </c>
      <c r="D8507" s="2">
        <f t="shared" si="132"/>
        <v>1</v>
      </c>
    </row>
    <row r="8508" spans="1:4" x14ac:dyDescent="0.3">
      <c r="A8508" s="34">
        <v>59134</v>
      </c>
      <c r="B8508" s="35">
        <v>1</v>
      </c>
      <c r="C8508" s="35">
        <v>0</v>
      </c>
      <c r="D8508" s="2">
        <f t="shared" si="132"/>
        <v>1</v>
      </c>
    </row>
    <row r="8509" spans="1:4" x14ac:dyDescent="0.3">
      <c r="A8509" s="34">
        <v>59136</v>
      </c>
      <c r="B8509" s="35">
        <v>1</v>
      </c>
      <c r="C8509" s="35">
        <v>0</v>
      </c>
      <c r="D8509" s="2">
        <f t="shared" si="132"/>
        <v>1</v>
      </c>
    </row>
    <row r="8510" spans="1:4" x14ac:dyDescent="0.3">
      <c r="A8510" s="34">
        <v>59137</v>
      </c>
      <c r="B8510" s="35">
        <v>1</v>
      </c>
      <c r="C8510" s="35">
        <v>0</v>
      </c>
      <c r="D8510" s="2">
        <f t="shared" si="132"/>
        <v>1</v>
      </c>
    </row>
    <row r="8511" spans="1:4" x14ac:dyDescent="0.3">
      <c r="A8511" s="34">
        <v>59139</v>
      </c>
      <c r="B8511" s="35">
        <v>2</v>
      </c>
      <c r="C8511" s="35">
        <v>1</v>
      </c>
      <c r="D8511" s="2">
        <f t="shared" si="132"/>
        <v>3</v>
      </c>
    </row>
    <row r="8512" spans="1:4" x14ac:dyDescent="0.3">
      <c r="A8512" s="34">
        <v>59141</v>
      </c>
      <c r="B8512" s="35">
        <v>1</v>
      </c>
      <c r="C8512" s="35">
        <v>1</v>
      </c>
      <c r="D8512" s="2">
        <f t="shared" si="132"/>
        <v>2</v>
      </c>
    </row>
    <row r="8513" spans="1:4" x14ac:dyDescent="0.3">
      <c r="A8513" s="34">
        <v>59142</v>
      </c>
      <c r="B8513" s="35">
        <v>1</v>
      </c>
      <c r="C8513" s="35">
        <v>0</v>
      </c>
      <c r="D8513" s="2">
        <f t="shared" si="132"/>
        <v>1</v>
      </c>
    </row>
    <row r="8514" spans="1:4" x14ac:dyDescent="0.3">
      <c r="A8514" s="34">
        <v>59146</v>
      </c>
      <c r="B8514" s="35">
        <v>1</v>
      </c>
      <c r="C8514" s="35">
        <v>0</v>
      </c>
      <c r="D8514" s="2">
        <f t="shared" si="132"/>
        <v>1</v>
      </c>
    </row>
    <row r="8515" spans="1:4" x14ac:dyDescent="0.3">
      <c r="A8515" s="34">
        <v>59148</v>
      </c>
      <c r="B8515" s="35">
        <v>1</v>
      </c>
      <c r="C8515" s="35">
        <v>0</v>
      </c>
      <c r="D8515" s="2">
        <f t="shared" ref="D8515:D8578" si="133">B8515+C8515</f>
        <v>1</v>
      </c>
    </row>
    <row r="8516" spans="1:4" x14ac:dyDescent="0.3">
      <c r="A8516" s="34">
        <v>59152</v>
      </c>
      <c r="B8516" s="35">
        <v>1</v>
      </c>
      <c r="C8516" s="35">
        <v>0</v>
      </c>
      <c r="D8516" s="2">
        <f t="shared" si="133"/>
        <v>1</v>
      </c>
    </row>
    <row r="8517" spans="1:4" x14ac:dyDescent="0.3">
      <c r="A8517" s="34">
        <v>59153</v>
      </c>
      <c r="B8517" s="35">
        <v>1</v>
      </c>
      <c r="C8517" s="35">
        <v>0</v>
      </c>
      <c r="D8517" s="2">
        <f t="shared" si="133"/>
        <v>1</v>
      </c>
    </row>
    <row r="8518" spans="1:4" x14ac:dyDescent="0.3">
      <c r="A8518" s="34">
        <v>59154</v>
      </c>
      <c r="B8518" s="35">
        <v>1</v>
      </c>
      <c r="C8518" s="35">
        <v>1</v>
      </c>
      <c r="D8518" s="2">
        <f t="shared" si="133"/>
        <v>2</v>
      </c>
    </row>
    <row r="8519" spans="1:4" x14ac:dyDescent="0.3">
      <c r="A8519" s="34">
        <v>59155</v>
      </c>
      <c r="B8519" s="35">
        <v>1</v>
      </c>
      <c r="C8519" s="35">
        <v>0</v>
      </c>
      <c r="D8519" s="2">
        <f t="shared" si="133"/>
        <v>1</v>
      </c>
    </row>
    <row r="8520" spans="1:4" x14ac:dyDescent="0.3">
      <c r="A8520" s="34">
        <v>59159</v>
      </c>
      <c r="B8520" s="35">
        <v>1</v>
      </c>
      <c r="C8520" s="35">
        <v>0</v>
      </c>
      <c r="D8520" s="2">
        <f t="shared" si="133"/>
        <v>1</v>
      </c>
    </row>
    <row r="8521" spans="1:4" x14ac:dyDescent="0.3">
      <c r="A8521" s="34">
        <v>59160</v>
      </c>
      <c r="B8521" s="35">
        <v>1</v>
      </c>
      <c r="C8521" s="35">
        <v>0</v>
      </c>
      <c r="D8521" s="2">
        <f t="shared" si="133"/>
        <v>1</v>
      </c>
    </row>
    <row r="8522" spans="1:4" x14ac:dyDescent="0.3">
      <c r="A8522" s="34">
        <v>59161</v>
      </c>
      <c r="B8522" s="35">
        <v>1</v>
      </c>
      <c r="C8522" s="35">
        <v>0</v>
      </c>
      <c r="D8522" s="2">
        <f t="shared" si="133"/>
        <v>1</v>
      </c>
    </row>
    <row r="8523" spans="1:4" x14ac:dyDescent="0.3">
      <c r="A8523" s="34">
        <v>59163</v>
      </c>
      <c r="B8523" s="35">
        <v>1</v>
      </c>
      <c r="C8523" s="35">
        <v>0</v>
      </c>
      <c r="D8523" s="2">
        <f t="shared" si="133"/>
        <v>1</v>
      </c>
    </row>
    <row r="8524" spans="1:4" x14ac:dyDescent="0.3">
      <c r="A8524" s="34">
        <v>59165</v>
      </c>
      <c r="B8524" s="35">
        <v>1</v>
      </c>
      <c r="C8524" s="35">
        <v>0</v>
      </c>
      <c r="D8524" s="2">
        <f t="shared" si="133"/>
        <v>1</v>
      </c>
    </row>
    <row r="8525" spans="1:4" x14ac:dyDescent="0.3">
      <c r="A8525" s="34">
        <v>59168</v>
      </c>
      <c r="B8525" s="35">
        <v>1</v>
      </c>
      <c r="C8525" s="35">
        <v>0</v>
      </c>
      <c r="D8525" s="2">
        <f t="shared" si="133"/>
        <v>1</v>
      </c>
    </row>
    <row r="8526" spans="1:4" x14ac:dyDescent="0.3">
      <c r="A8526" s="34">
        <v>59170</v>
      </c>
      <c r="B8526" s="35">
        <v>1</v>
      </c>
      <c r="C8526" s="35">
        <v>0</v>
      </c>
      <c r="D8526" s="2">
        <f t="shared" si="133"/>
        <v>1</v>
      </c>
    </row>
    <row r="8527" spans="1:4" x14ac:dyDescent="0.3">
      <c r="A8527" s="34">
        <v>59172</v>
      </c>
      <c r="B8527" s="35">
        <v>1</v>
      </c>
      <c r="C8527" s="35">
        <v>0</v>
      </c>
      <c r="D8527" s="2">
        <f t="shared" si="133"/>
        <v>1</v>
      </c>
    </row>
    <row r="8528" spans="1:4" x14ac:dyDescent="0.3">
      <c r="A8528" s="34">
        <v>59174</v>
      </c>
      <c r="B8528" s="35">
        <v>1</v>
      </c>
      <c r="C8528" s="35">
        <v>0</v>
      </c>
      <c r="D8528" s="2">
        <f t="shared" si="133"/>
        <v>1</v>
      </c>
    </row>
    <row r="8529" spans="1:4" x14ac:dyDescent="0.3">
      <c r="A8529" s="34">
        <v>59175</v>
      </c>
      <c r="B8529" s="35">
        <v>2</v>
      </c>
      <c r="C8529" s="35">
        <v>0</v>
      </c>
      <c r="D8529" s="2">
        <f t="shared" si="133"/>
        <v>2</v>
      </c>
    </row>
    <row r="8530" spans="1:4" x14ac:dyDescent="0.3">
      <c r="A8530" s="34">
        <v>59176</v>
      </c>
      <c r="B8530" s="35">
        <v>1</v>
      </c>
      <c r="C8530" s="35">
        <v>0</v>
      </c>
      <c r="D8530" s="2">
        <f t="shared" si="133"/>
        <v>1</v>
      </c>
    </row>
    <row r="8531" spans="1:4" x14ac:dyDescent="0.3">
      <c r="A8531" s="34">
        <v>59180</v>
      </c>
      <c r="B8531" s="35">
        <v>1</v>
      </c>
      <c r="C8531" s="35">
        <v>0</v>
      </c>
      <c r="D8531" s="2">
        <f t="shared" si="133"/>
        <v>1</v>
      </c>
    </row>
    <row r="8532" spans="1:4" x14ac:dyDescent="0.3">
      <c r="A8532" s="34">
        <v>59182</v>
      </c>
      <c r="B8532" s="35">
        <v>3</v>
      </c>
      <c r="C8532" s="35">
        <v>1</v>
      </c>
      <c r="D8532" s="2">
        <f t="shared" si="133"/>
        <v>4</v>
      </c>
    </row>
    <row r="8533" spans="1:4" x14ac:dyDescent="0.3">
      <c r="A8533" s="34">
        <v>59184</v>
      </c>
      <c r="B8533" s="35">
        <v>1</v>
      </c>
      <c r="C8533" s="35">
        <v>0</v>
      </c>
      <c r="D8533" s="2">
        <f t="shared" si="133"/>
        <v>1</v>
      </c>
    </row>
    <row r="8534" spans="1:4" x14ac:dyDescent="0.3">
      <c r="A8534" s="34">
        <v>59186</v>
      </c>
      <c r="B8534" s="35">
        <v>1</v>
      </c>
      <c r="C8534" s="35">
        <v>0</v>
      </c>
      <c r="D8534" s="2">
        <f t="shared" si="133"/>
        <v>1</v>
      </c>
    </row>
    <row r="8535" spans="1:4" x14ac:dyDescent="0.3">
      <c r="A8535" s="34">
        <v>59232</v>
      </c>
      <c r="B8535" s="35">
        <v>1</v>
      </c>
      <c r="C8535" s="35">
        <v>0</v>
      </c>
      <c r="D8535" s="2">
        <f t="shared" si="133"/>
        <v>1</v>
      </c>
    </row>
    <row r="8536" spans="1:4" x14ac:dyDescent="0.3">
      <c r="A8536" s="34">
        <v>59238</v>
      </c>
      <c r="B8536" s="35">
        <v>1</v>
      </c>
      <c r="C8536" s="35">
        <v>0</v>
      </c>
      <c r="D8536" s="2">
        <f t="shared" si="133"/>
        <v>1</v>
      </c>
    </row>
    <row r="8537" spans="1:4" x14ac:dyDescent="0.3">
      <c r="A8537" s="34">
        <v>59239</v>
      </c>
      <c r="B8537" s="35">
        <v>1</v>
      </c>
      <c r="C8537" s="35">
        <v>0</v>
      </c>
      <c r="D8537" s="2">
        <f t="shared" si="133"/>
        <v>1</v>
      </c>
    </row>
    <row r="8538" spans="1:4" x14ac:dyDescent="0.3">
      <c r="A8538" s="34">
        <v>59240</v>
      </c>
      <c r="B8538" s="35">
        <v>1</v>
      </c>
      <c r="C8538" s="35">
        <v>0</v>
      </c>
      <c r="D8538" s="2">
        <f t="shared" si="133"/>
        <v>1</v>
      </c>
    </row>
    <row r="8539" spans="1:4" x14ac:dyDescent="0.3">
      <c r="A8539" s="34">
        <v>59242</v>
      </c>
      <c r="B8539" s="35">
        <v>1</v>
      </c>
      <c r="C8539" s="35">
        <v>0</v>
      </c>
      <c r="D8539" s="2">
        <f t="shared" si="133"/>
        <v>1</v>
      </c>
    </row>
    <row r="8540" spans="1:4" x14ac:dyDescent="0.3">
      <c r="A8540" s="34">
        <v>59244</v>
      </c>
      <c r="B8540" s="35">
        <v>1</v>
      </c>
      <c r="C8540" s="35">
        <v>0</v>
      </c>
      <c r="D8540" s="2">
        <f t="shared" si="133"/>
        <v>1</v>
      </c>
    </row>
    <row r="8541" spans="1:4" x14ac:dyDescent="0.3">
      <c r="A8541" s="34">
        <v>59245</v>
      </c>
      <c r="B8541" s="35">
        <v>1</v>
      </c>
      <c r="C8541" s="35">
        <v>0</v>
      </c>
      <c r="D8541" s="2">
        <f t="shared" si="133"/>
        <v>1</v>
      </c>
    </row>
    <row r="8542" spans="1:4" x14ac:dyDescent="0.3">
      <c r="A8542" s="34">
        <v>59246</v>
      </c>
      <c r="B8542" s="35">
        <v>1</v>
      </c>
      <c r="C8542" s="35">
        <v>0</v>
      </c>
      <c r="D8542" s="2">
        <f t="shared" si="133"/>
        <v>1</v>
      </c>
    </row>
    <row r="8543" spans="1:4" x14ac:dyDescent="0.3">
      <c r="A8543" s="34">
        <v>59247</v>
      </c>
      <c r="B8543" s="35">
        <v>1</v>
      </c>
      <c r="C8543" s="35">
        <v>0</v>
      </c>
      <c r="D8543" s="2">
        <f t="shared" si="133"/>
        <v>1</v>
      </c>
    </row>
    <row r="8544" spans="1:4" x14ac:dyDescent="0.3">
      <c r="A8544" s="34">
        <v>59248</v>
      </c>
      <c r="B8544" s="35">
        <v>1</v>
      </c>
      <c r="C8544" s="35">
        <v>0</v>
      </c>
      <c r="D8544" s="2">
        <f t="shared" si="133"/>
        <v>1</v>
      </c>
    </row>
    <row r="8545" spans="1:4" x14ac:dyDescent="0.3">
      <c r="A8545" s="34">
        <v>59249</v>
      </c>
      <c r="B8545" s="35">
        <v>1</v>
      </c>
      <c r="C8545" s="35">
        <v>1</v>
      </c>
      <c r="D8545" s="2">
        <f t="shared" si="133"/>
        <v>2</v>
      </c>
    </row>
    <row r="8546" spans="1:4" x14ac:dyDescent="0.3">
      <c r="A8546" s="34">
        <v>59251</v>
      </c>
      <c r="B8546" s="35">
        <v>1</v>
      </c>
      <c r="C8546" s="35">
        <v>0</v>
      </c>
      <c r="D8546" s="2">
        <f t="shared" si="133"/>
        <v>1</v>
      </c>
    </row>
    <row r="8547" spans="1:4" x14ac:dyDescent="0.3">
      <c r="A8547" s="34">
        <v>59258</v>
      </c>
      <c r="B8547" s="35">
        <v>1</v>
      </c>
      <c r="C8547" s="35">
        <v>0</v>
      </c>
      <c r="D8547" s="2">
        <f t="shared" si="133"/>
        <v>1</v>
      </c>
    </row>
    <row r="8548" spans="1:4" x14ac:dyDescent="0.3">
      <c r="A8548" s="34">
        <v>59267</v>
      </c>
      <c r="B8548" s="35">
        <v>1</v>
      </c>
      <c r="C8548" s="35">
        <v>0</v>
      </c>
      <c r="D8548" s="2">
        <f t="shared" si="133"/>
        <v>1</v>
      </c>
    </row>
    <row r="8549" spans="1:4" x14ac:dyDescent="0.3">
      <c r="A8549" s="34">
        <v>59280</v>
      </c>
      <c r="B8549" s="35">
        <v>2</v>
      </c>
      <c r="C8549" s="35">
        <v>2</v>
      </c>
      <c r="D8549" s="2">
        <f t="shared" si="133"/>
        <v>4</v>
      </c>
    </row>
    <row r="8550" spans="1:4" x14ac:dyDescent="0.3">
      <c r="A8550" s="34">
        <v>59281</v>
      </c>
      <c r="B8550" s="35">
        <v>1</v>
      </c>
      <c r="C8550" s="35">
        <v>0</v>
      </c>
      <c r="D8550" s="2">
        <f t="shared" si="133"/>
        <v>1</v>
      </c>
    </row>
    <row r="8551" spans="1:4" x14ac:dyDescent="0.3">
      <c r="A8551" s="34">
        <v>59282</v>
      </c>
      <c r="B8551" s="35">
        <v>1</v>
      </c>
      <c r="C8551" s="35">
        <v>0</v>
      </c>
      <c r="D8551" s="2">
        <f t="shared" si="133"/>
        <v>1</v>
      </c>
    </row>
    <row r="8552" spans="1:4" x14ac:dyDescent="0.3">
      <c r="A8552" s="34">
        <v>59284</v>
      </c>
      <c r="B8552" s="35">
        <v>1</v>
      </c>
      <c r="C8552" s="35">
        <v>1</v>
      </c>
      <c r="D8552" s="2">
        <f t="shared" si="133"/>
        <v>2</v>
      </c>
    </row>
    <row r="8553" spans="1:4" x14ac:dyDescent="0.3">
      <c r="A8553" s="34">
        <v>59285</v>
      </c>
      <c r="B8553" s="35">
        <v>1</v>
      </c>
      <c r="C8553" s="35">
        <v>0</v>
      </c>
      <c r="D8553" s="2">
        <f t="shared" si="133"/>
        <v>1</v>
      </c>
    </row>
    <row r="8554" spans="1:4" x14ac:dyDescent="0.3">
      <c r="A8554" s="34">
        <v>59286</v>
      </c>
      <c r="B8554" s="35">
        <v>1</v>
      </c>
      <c r="C8554" s="35">
        <v>0</v>
      </c>
      <c r="D8554" s="2">
        <f t="shared" si="133"/>
        <v>1</v>
      </c>
    </row>
    <row r="8555" spans="1:4" x14ac:dyDescent="0.3">
      <c r="A8555" s="34">
        <v>59287</v>
      </c>
      <c r="B8555" s="35">
        <v>2</v>
      </c>
      <c r="C8555" s="35">
        <v>0</v>
      </c>
      <c r="D8555" s="2">
        <f t="shared" si="133"/>
        <v>2</v>
      </c>
    </row>
    <row r="8556" spans="1:4" x14ac:dyDescent="0.3">
      <c r="A8556" s="34">
        <v>59288</v>
      </c>
      <c r="B8556" s="35">
        <v>1</v>
      </c>
      <c r="C8556" s="35">
        <v>1</v>
      </c>
      <c r="D8556" s="2">
        <f t="shared" si="133"/>
        <v>2</v>
      </c>
    </row>
    <row r="8557" spans="1:4" x14ac:dyDescent="0.3">
      <c r="A8557" s="34">
        <v>59290</v>
      </c>
      <c r="B8557" s="35">
        <v>1</v>
      </c>
      <c r="C8557" s="35">
        <v>0</v>
      </c>
      <c r="D8557" s="2">
        <f t="shared" si="133"/>
        <v>1</v>
      </c>
    </row>
    <row r="8558" spans="1:4" x14ac:dyDescent="0.3">
      <c r="A8558" s="34">
        <v>59291</v>
      </c>
      <c r="B8558" s="35">
        <v>1</v>
      </c>
      <c r="C8558" s="35">
        <v>0</v>
      </c>
      <c r="D8558" s="2">
        <f t="shared" si="133"/>
        <v>1</v>
      </c>
    </row>
    <row r="8559" spans="1:4" x14ac:dyDescent="0.3">
      <c r="A8559" s="34">
        <v>59292</v>
      </c>
      <c r="B8559" s="35">
        <v>1</v>
      </c>
      <c r="C8559" s="35">
        <v>1</v>
      </c>
      <c r="D8559" s="2">
        <f t="shared" si="133"/>
        <v>2</v>
      </c>
    </row>
    <row r="8560" spans="1:4" x14ac:dyDescent="0.3">
      <c r="A8560" s="34">
        <v>59293</v>
      </c>
      <c r="B8560" s="35">
        <v>1</v>
      </c>
      <c r="C8560" s="35">
        <v>0</v>
      </c>
      <c r="D8560" s="2">
        <f t="shared" si="133"/>
        <v>1</v>
      </c>
    </row>
    <row r="8561" spans="1:4" x14ac:dyDescent="0.3">
      <c r="A8561" s="34">
        <v>59345</v>
      </c>
      <c r="B8561" s="35">
        <v>2</v>
      </c>
      <c r="C8561" s="35">
        <v>0</v>
      </c>
      <c r="D8561" s="2">
        <f t="shared" si="133"/>
        <v>2</v>
      </c>
    </row>
    <row r="8562" spans="1:4" x14ac:dyDescent="0.3">
      <c r="A8562" s="34">
        <v>59346</v>
      </c>
      <c r="B8562" s="35">
        <v>1</v>
      </c>
      <c r="C8562" s="35">
        <v>0</v>
      </c>
      <c r="D8562" s="2">
        <f t="shared" si="133"/>
        <v>1</v>
      </c>
    </row>
    <row r="8563" spans="1:4" x14ac:dyDescent="0.3">
      <c r="A8563" s="34">
        <v>59348</v>
      </c>
      <c r="B8563" s="35">
        <v>1</v>
      </c>
      <c r="C8563" s="35">
        <v>0</v>
      </c>
      <c r="D8563" s="2">
        <f t="shared" si="133"/>
        <v>1</v>
      </c>
    </row>
    <row r="8564" spans="1:4" x14ac:dyDescent="0.3">
      <c r="A8564" s="34">
        <v>59349</v>
      </c>
      <c r="B8564" s="35">
        <v>1</v>
      </c>
      <c r="C8564" s="35">
        <v>0</v>
      </c>
      <c r="D8564" s="2">
        <f t="shared" si="133"/>
        <v>1</v>
      </c>
    </row>
    <row r="8565" spans="1:4" x14ac:dyDescent="0.3">
      <c r="A8565" s="34">
        <v>59350</v>
      </c>
      <c r="B8565" s="35">
        <v>1</v>
      </c>
      <c r="C8565" s="35">
        <v>0</v>
      </c>
      <c r="D8565" s="2">
        <f t="shared" si="133"/>
        <v>1</v>
      </c>
    </row>
    <row r="8566" spans="1:4" x14ac:dyDescent="0.3">
      <c r="A8566" s="34">
        <v>59351</v>
      </c>
      <c r="B8566" s="35">
        <v>1</v>
      </c>
      <c r="C8566" s="35">
        <v>0</v>
      </c>
      <c r="D8566" s="2">
        <f t="shared" si="133"/>
        <v>1</v>
      </c>
    </row>
    <row r="8567" spans="1:4" x14ac:dyDescent="0.3">
      <c r="A8567" s="34">
        <v>59354</v>
      </c>
      <c r="B8567" s="35">
        <v>1</v>
      </c>
      <c r="C8567" s="35">
        <v>0</v>
      </c>
      <c r="D8567" s="2">
        <f t="shared" si="133"/>
        <v>1</v>
      </c>
    </row>
    <row r="8568" spans="1:4" x14ac:dyDescent="0.3">
      <c r="A8568" s="34">
        <v>59355</v>
      </c>
      <c r="B8568" s="35">
        <v>1</v>
      </c>
      <c r="C8568" s="35">
        <v>0</v>
      </c>
      <c r="D8568" s="2">
        <f t="shared" si="133"/>
        <v>1</v>
      </c>
    </row>
    <row r="8569" spans="1:4" x14ac:dyDescent="0.3">
      <c r="A8569" s="34">
        <v>59356</v>
      </c>
      <c r="B8569" s="35">
        <v>1</v>
      </c>
      <c r="C8569" s="35">
        <v>0</v>
      </c>
      <c r="D8569" s="2">
        <f t="shared" si="133"/>
        <v>1</v>
      </c>
    </row>
    <row r="8570" spans="1:4" x14ac:dyDescent="0.3">
      <c r="A8570" s="34">
        <v>59358</v>
      </c>
      <c r="B8570" s="35">
        <v>1</v>
      </c>
      <c r="C8570" s="35">
        <v>0</v>
      </c>
      <c r="D8570" s="2">
        <f t="shared" si="133"/>
        <v>1</v>
      </c>
    </row>
    <row r="8571" spans="1:4" x14ac:dyDescent="0.3">
      <c r="A8571" s="34">
        <v>59360</v>
      </c>
      <c r="B8571" s="35">
        <v>1</v>
      </c>
      <c r="C8571" s="35">
        <v>0</v>
      </c>
      <c r="D8571" s="2">
        <f t="shared" si="133"/>
        <v>1</v>
      </c>
    </row>
    <row r="8572" spans="1:4" x14ac:dyDescent="0.3">
      <c r="A8572" s="34">
        <v>59363</v>
      </c>
      <c r="B8572" s="35">
        <v>1</v>
      </c>
      <c r="C8572" s="35">
        <v>0</v>
      </c>
      <c r="D8572" s="2">
        <f t="shared" si="133"/>
        <v>1</v>
      </c>
    </row>
    <row r="8573" spans="1:4" x14ac:dyDescent="0.3">
      <c r="A8573" s="34">
        <v>59369</v>
      </c>
      <c r="B8573" s="35">
        <v>1</v>
      </c>
      <c r="C8573" s="35">
        <v>0</v>
      </c>
      <c r="D8573" s="2">
        <f t="shared" si="133"/>
        <v>1</v>
      </c>
    </row>
    <row r="8574" spans="1:4" x14ac:dyDescent="0.3">
      <c r="A8574" s="34">
        <v>59370</v>
      </c>
      <c r="B8574" s="35">
        <v>1</v>
      </c>
      <c r="C8574" s="35">
        <v>1</v>
      </c>
      <c r="D8574" s="2">
        <f t="shared" si="133"/>
        <v>2</v>
      </c>
    </row>
    <row r="8575" spans="1:4" x14ac:dyDescent="0.3">
      <c r="A8575" s="34">
        <v>59375</v>
      </c>
      <c r="B8575" s="35">
        <v>1</v>
      </c>
      <c r="C8575" s="35">
        <v>0</v>
      </c>
      <c r="D8575" s="2">
        <f t="shared" si="133"/>
        <v>1</v>
      </c>
    </row>
    <row r="8576" spans="1:4" x14ac:dyDescent="0.3">
      <c r="A8576" s="34">
        <v>59376</v>
      </c>
      <c r="B8576" s="35">
        <v>1</v>
      </c>
      <c r="C8576" s="35">
        <v>0</v>
      </c>
      <c r="D8576" s="2">
        <f t="shared" si="133"/>
        <v>1</v>
      </c>
    </row>
    <row r="8577" spans="1:4" x14ac:dyDescent="0.3">
      <c r="A8577" s="34">
        <v>59380</v>
      </c>
      <c r="B8577" s="35">
        <v>1</v>
      </c>
      <c r="C8577" s="35">
        <v>0</v>
      </c>
      <c r="D8577" s="2">
        <f t="shared" si="133"/>
        <v>1</v>
      </c>
    </row>
    <row r="8578" spans="1:4" x14ac:dyDescent="0.3">
      <c r="A8578" s="34">
        <v>59382</v>
      </c>
      <c r="B8578" s="35">
        <v>1</v>
      </c>
      <c r="C8578" s="35">
        <v>0</v>
      </c>
      <c r="D8578" s="2">
        <f t="shared" si="133"/>
        <v>1</v>
      </c>
    </row>
    <row r="8579" spans="1:4" x14ac:dyDescent="0.3">
      <c r="A8579" s="34">
        <v>59383</v>
      </c>
      <c r="B8579" s="35">
        <v>1</v>
      </c>
      <c r="C8579" s="35">
        <v>0</v>
      </c>
      <c r="D8579" s="2">
        <f t="shared" ref="D8579:D8642" si="134">B8579+C8579</f>
        <v>1</v>
      </c>
    </row>
    <row r="8580" spans="1:4" x14ac:dyDescent="0.3">
      <c r="A8580" s="34">
        <v>59385</v>
      </c>
      <c r="B8580" s="35">
        <v>1</v>
      </c>
      <c r="C8580" s="35">
        <v>0</v>
      </c>
      <c r="D8580" s="2">
        <f t="shared" si="134"/>
        <v>1</v>
      </c>
    </row>
    <row r="8581" spans="1:4" x14ac:dyDescent="0.3">
      <c r="A8581" s="34">
        <v>59386</v>
      </c>
      <c r="B8581" s="35">
        <v>1</v>
      </c>
      <c r="C8581" s="35">
        <v>0</v>
      </c>
      <c r="D8581" s="2">
        <f t="shared" si="134"/>
        <v>1</v>
      </c>
    </row>
    <row r="8582" spans="1:4" x14ac:dyDescent="0.3">
      <c r="A8582" s="34">
        <v>59388</v>
      </c>
      <c r="B8582" s="35">
        <v>1</v>
      </c>
      <c r="C8582" s="35">
        <v>0</v>
      </c>
      <c r="D8582" s="2">
        <f t="shared" si="134"/>
        <v>1</v>
      </c>
    </row>
    <row r="8583" spans="1:4" x14ac:dyDescent="0.3">
      <c r="A8583" s="34">
        <v>59390</v>
      </c>
      <c r="B8583" s="35">
        <v>1</v>
      </c>
      <c r="C8583" s="35">
        <v>0</v>
      </c>
      <c r="D8583" s="2">
        <f t="shared" si="134"/>
        <v>1</v>
      </c>
    </row>
    <row r="8584" spans="1:4" x14ac:dyDescent="0.3">
      <c r="A8584" s="34">
        <v>59392</v>
      </c>
      <c r="B8584" s="35">
        <v>1</v>
      </c>
      <c r="C8584" s="35">
        <v>1</v>
      </c>
      <c r="D8584" s="2">
        <f t="shared" si="134"/>
        <v>2</v>
      </c>
    </row>
    <row r="8585" spans="1:4" x14ac:dyDescent="0.3">
      <c r="A8585" s="34">
        <v>59396</v>
      </c>
      <c r="B8585" s="35">
        <v>1</v>
      </c>
      <c r="C8585" s="35">
        <v>1</v>
      </c>
      <c r="D8585" s="2">
        <f t="shared" si="134"/>
        <v>2</v>
      </c>
    </row>
    <row r="8586" spans="1:4" x14ac:dyDescent="0.3">
      <c r="A8586" s="34">
        <v>59484</v>
      </c>
      <c r="B8586" s="35">
        <v>1</v>
      </c>
      <c r="C8586" s="35">
        <v>1</v>
      </c>
      <c r="D8586" s="2">
        <f t="shared" si="134"/>
        <v>2</v>
      </c>
    </row>
    <row r="8587" spans="1:4" x14ac:dyDescent="0.3">
      <c r="A8587" s="34">
        <v>59485</v>
      </c>
      <c r="B8587" s="35">
        <v>1</v>
      </c>
      <c r="C8587" s="35">
        <v>0</v>
      </c>
      <c r="D8587" s="2">
        <f t="shared" si="134"/>
        <v>1</v>
      </c>
    </row>
    <row r="8588" spans="1:4" x14ac:dyDescent="0.3">
      <c r="A8588" s="34">
        <v>59486</v>
      </c>
      <c r="B8588" s="35">
        <v>1</v>
      </c>
      <c r="C8588" s="35">
        <v>0</v>
      </c>
      <c r="D8588" s="2">
        <f t="shared" si="134"/>
        <v>1</v>
      </c>
    </row>
    <row r="8589" spans="1:4" x14ac:dyDescent="0.3">
      <c r="A8589" s="34">
        <v>59487</v>
      </c>
      <c r="B8589" s="35">
        <v>1</v>
      </c>
      <c r="C8589" s="35">
        <v>0</v>
      </c>
      <c r="D8589" s="2">
        <f t="shared" si="134"/>
        <v>1</v>
      </c>
    </row>
    <row r="8590" spans="1:4" x14ac:dyDescent="0.3">
      <c r="A8590" s="34">
        <v>59489</v>
      </c>
      <c r="B8590" s="35">
        <v>1</v>
      </c>
      <c r="C8590" s="35">
        <v>1</v>
      </c>
      <c r="D8590" s="2">
        <f t="shared" si="134"/>
        <v>2</v>
      </c>
    </row>
    <row r="8591" spans="1:4" x14ac:dyDescent="0.3">
      <c r="A8591" s="34">
        <v>59491</v>
      </c>
      <c r="B8591" s="35">
        <v>1</v>
      </c>
      <c r="C8591" s="35">
        <v>0</v>
      </c>
      <c r="D8591" s="2">
        <f t="shared" si="134"/>
        <v>1</v>
      </c>
    </row>
    <row r="8592" spans="1:4" x14ac:dyDescent="0.3">
      <c r="A8592" s="34">
        <v>59493</v>
      </c>
      <c r="B8592" s="35">
        <v>2</v>
      </c>
      <c r="C8592" s="35">
        <v>0</v>
      </c>
      <c r="D8592" s="2">
        <f t="shared" si="134"/>
        <v>2</v>
      </c>
    </row>
    <row r="8593" spans="1:4" x14ac:dyDescent="0.3">
      <c r="A8593" s="34">
        <v>59495</v>
      </c>
      <c r="B8593" s="35">
        <v>1</v>
      </c>
      <c r="C8593" s="35">
        <v>0</v>
      </c>
      <c r="D8593" s="2">
        <f t="shared" si="134"/>
        <v>1</v>
      </c>
    </row>
    <row r="8594" spans="1:4" x14ac:dyDescent="0.3">
      <c r="A8594" s="34">
        <v>59497</v>
      </c>
      <c r="B8594" s="35">
        <v>1</v>
      </c>
      <c r="C8594" s="35">
        <v>0</v>
      </c>
      <c r="D8594" s="2">
        <f t="shared" si="134"/>
        <v>1</v>
      </c>
    </row>
    <row r="8595" spans="1:4" x14ac:dyDescent="0.3">
      <c r="A8595" s="34">
        <v>59498</v>
      </c>
      <c r="B8595" s="35">
        <v>2</v>
      </c>
      <c r="C8595" s="35">
        <v>0</v>
      </c>
      <c r="D8595" s="2">
        <f t="shared" si="134"/>
        <v>2</v>
      </c>
    </row>
    <row r="8596" spans="1:4" x14ac:dyDescent="0.3">
      <c r="A8596" s="34">
        <v>59500</v>
      </c>
      <c r="B8596" s="35">
        <v>1</v>
      </c>
      <c r="C8596" s="35">
        <v>1</v>
      </c>
      <c r="D8596" s="2">
        <f t="shared" si="134"/>
        <v>2</v>
      </c>
    </row>
    <row r="8597" spans="1:4" x14ac:dyDescent="0.3">
      <c r="A8597" s="34">
        <v>59501</v>
      </c>
      <c r="B8597" s="35">
        <v>1</v>
      </c>
      <c r="C8597" s="35">
        <v>0</v>
      </c>
      <c r="D8597" s="2">
        <f t="shared" si="134"/>
        <v>1</v>
      </c>
    </row>
    <row r="8598" spans="1:4" x14ac:dyDescent="0.3">
      <c r="A8598" s="34">
        <v>59503</v>
      </c>
      <c r="B8598" s="35">
        <v>1</v>
      </c>
      <c r="C8598" s="35">
        <v>0</v>
      </c>
      <c r="D8598" s="2">
        <f t="shared" si="134"/>
        <v>1</v>
      </c>
    </row>
    <row r="8599" spans="1:4" x14ac:dyDescent="0.3">
      <c r="A8599" s="34">
        <v>59504</v>
      </c>
      <c r="B8599" s="35">
        <v>1</v>
      </c>
      <c r="C8599" s="35">
        <v>0</v>
      </c>
      <c r="D8599" s="2">
        <f t="shared" si="134"/>
        <v>1</v>
      </c>
    </row>
    <row r="8600" spans="1:4" x14ac:dyDescent="0.3">
      <c r="A8600" s="34">
        <v>59506</v>
      </c>
      <c r="B8600" s="35">
        <v>1</v>
      </c>
      <c r="C8600" s="35">
        <v>0</v>
      </c>
      <c r="D8600" s="2">
        <f t="shared" si="134"/>
        <v>1</v>
      </c>
    </row>
    <row r="8601" spans="1:4" x14ac:dyDescent="0.3">
      <c r="A8601" s="34">
        <v>59508</v>
      </c>
      <c r="B8601" s="35">
        <v>1</v>
      </c>
      <c r="C8601" s="35">
        <v>0</v>
      </c>
      <c r="D8601" s="2">
        <f t="shared" si="134"/>
        <v>1</v>
      </c>
    </row>
    <row r="8602" spans="1:4" x14ac:dyDescent="0.3">
      <c r="A8602" s="34">
        <v>59511</v>
      </c>
      <c r="B8602" s="35">
        <v>2</v>
      </c>
      <c r="C8602" s="35">
        <v>2</v>
      </c>
      <c r="D8602" s="2">
        <f t="shared" si="134"/>
        <v>4</v>
      </c>
    </row>
    <row r="8603" spans="1:4" x14ac:dyDescent="0.3">
      <c r="A8603" s="34">
        <v>59514</v>
      </c>
      <c r="B8603" s="35">
        <v>1</v>
      </c>
      <c r="C8603" s="35">
        <v>0</v>
      </c>
      <c r="D8603" s="2">
        <f t="shared" si="134"/>
        <v>1</v>
      </c>
    </row>
    <row r="8604" spans="1:4" x14ac:dyDescent="0.3">
      <c r="A8604" s="34">
        <v>59516</v>
      </c>
      <c r="B8604" s="35">
        <v>1</v>
      </c>
      <c r="C8604" s="35">
        <v>0</v>
      </c>
      <c r="D8604" s="2">
        <f t="shared" si="134"/>
        <v>1</v>
      </c>
    </row>
    <row r="8605" spans="1:4" x14ac:dyDescent="0.3">
      <c r="A8605" s="34">
        <v>59517</v>
      </c>
      <c r="B8605" s="35">
        <v>1</v>
      </c>
      <c r="C8605" s="35">
        <v>0</v>
      </c>
      <c r="D8605" s="2">
        <f t="shared" si="134"/>
        <v>1</v>
      </c>
    </row>
    <row r="8606" spans="1:4" x14ac:dyDescent="0.3">
      <c r="A8606" s="34">
        <v>59519</v>
      </c>
      <c r="B8606" s="35">
        <v>1</v>
      </c>
      <c r="C8606" s="35">
        <v>0</v>
      </c>
      <c r="D8606" s="2">
        <f t="shared" si="134"/>
        <v>1</v>
      </c>
    </row>
    <row r="8607" spans="1:4" x14ac:dyDescent="0.3">
      <c r="A8607" s="34">
        <v>59520</v>
      </c>
      <c r="B8607" s="35">
        <v>1</v>
      </c>
      <c r="C8607" s="35">
        <v>0</v>
      </c>
      <c r="D8607" s="2">
        <f t="shared" si="134"/>
        <v>1</v>
      </c>
    </row>
    <row r="8608" spans="1:4" x14ac:dyDescent="0.3">
      <c r="A8608" s="34">
        <v>59521</v>
      </c>
      <c r="B8608" s="35">
        <v>2</v>
      </c>
      <c r="C8608" s="35">
        <v>0</v>
      </c>
      <c r="D8608" s="2">
        <f t="shared" si="134"/>
        <v>2</v>
      </c>
    </row>
    <row r="8609" spans="1:4" x14ac:dyDescent="0.3">
      <c r="A8609" s="34">
        <v>59523</v>
      </c>
      <c r="B8609" s="35">
        <v>1</v>
      </c>
      <c r="C8609" s="35">
        <v>1</v>
      </c>
      <c r="D8609" s="2">
        <f t="shared" si="134"/>
        <v>2</v>
      </c>
    </row>
    <row r="8610" spans="1:4" x14ac:dyDescent="0.3">
      <c r="A8610" s="34">
        <v>59527</v>
      </c>
      <c r="B8610" s="35">
        <v>1</v>
      </c>
      <c r="C8610" s="35">
        <v>0</v>
      </c>
      <c r="D8610" s="2">
        <f t="shared" si="134"/>
        <v>1</v>
      </c>
    </row>
    <row r="8611" spans="1:4" x14ac:dyDescent="0.3">
      <c r="A8611" s="34">
        <v>59529</v>
      </c>
      <c r="B8611" s="35">
        <v>2</v>
      </c>
      <c r="C8611" s="35">
        <v>0</v>
      </c>
      <c r="D8611" s="2">
        <f t="shared" si="134"/>
        <v>2</v>
      </c>
    </row>
    <row r="8612" spans="1:4" x14ac:dyDescent="0.3">
      <c r="A8612" s="34">
        <v>59533</v>
      </c>
      <c r="B8612" s="35">
        <v>1</v>
      </c>
      <c r="C8612" s="35">
        <v>1</v>
      </c>
      <c r="D8612" s="2">
        <f t="shared" si="134"/>
        <v>2</v>
      </c>
    </row>
    <row r="8613" spans="1:4" x14ac:dyDescent="0.3">
      <c r="A8613" s="34">
        <v>59534</v>
      </c>
      <c r="B8613" s="35">
        <v>1</v>
      </c>
      <c r="C8613" s="35">
        <v>0</v>
      </c>
      <c r="D8613" s="2">
        <f t="shared" si="134"/>
        <v>1</v>
      </c>
    </row>
    <row r="8614" spans="1:4" x14ac:dyDescent="0.3">
      <c r="A8614" s="34">
        <v>59536</v>
      </c>
      <c r="B8614" s="35">
        <v>1</v>
      </c>
      <c r="C8614" s="35">
        <v>0</v>
      </c>
      <c r="D8614" s="2">
        <f t="shared" si="134"/>
        <v>1</v>
      </c>
    </row>
    <row r="8615" spans="1:4" x14ac:dyDescent="0.3">
      <c r="A8615" s="34">
        <v>59550</v>
      </c>
      <c r="B8615" s="35">
        <v>1</v>
      </c>
      <c r="C8615" s="35">
        <v>0</v>
      </c>
      <c r="D8615" s="2">
        <f t="shared" si="134"/>
        <v>1</v>
      </c>
    </row>
    <row r="8616" spans="1:4" x14ac:dyDescent="0.3">
      <c r="A8616" s="34">
        <v>59551</v>
      </c>
      <c r="B8616" s="35">
        <v>1</v>
      </c>
      <c r="C8616" s="35">
        <v>0</v>
      </c>
      <c r="D8616" s="2">
        <f t="shared" si="134"/>
        <v>1</v>
      </c>
    </row>
    <row r="8617" spans="1:4" x14ac:dyDescent="0.3">
      <c r="A8617" s="34">
        <v>59554</v>
      </c>
      <c r="B8617" s="35">
        <v>1</v>
      </c>
      <c r="C8617" s="35">
        <v>1</v>
      </c>
      <c r="D8617" s="2">
        <f t="shared" si="134"/>
        <v>2</v>
      </c>
    </row>
    <row r="8618" spans="1:4" x14ac:dyDescent="0.3">
      <c r="A8618" s="34">
        <v>59556</v>
      </c>
      <c r="B8618" s="35">
        <v>1</v>
      </c>
      <c r="C8618" s="35">
        <v>0</v>
      </c>
      <c r="D8618" s="2">
        <f t="shared" si="134"/>
        <v>1</v>
      </c>
    </row>
    <row r="8619" spans="1:4" x14ac:dyDescent="0.3">
      <c r="A8619" s="34">
        <v>59623</v>
      </c>
      <c r="B8619" s="35">
        <v>1</v>
      </c>
      <c r="C8619" s="35">
        <v>0</v>
      </c>
      <c r="D8619" s="2">
        <f t="shared" si="134"/>
        <v>1</v>
      </c>
    </row>
    <row r="8620" spans="1:4" x14ac:dyDescent="0.3">
      <c r="A8620" s="34">
        <v>59627</v>
      </c>
      <c r="B8620" s="35">
        <v>1</v>
      </c>
      <c r="C8620" s="35">
        <v>0</v>
      </c>
      <c r="D8620" s="2">
        <f t="shared" si="134"/>
        <v>1</v>
      </c>
    </row>
    <row r="8621" spans="1:4" x14ac:dyDescent="0.3">
      <c r="A8621" s="34">
        <v>59628</v>
      </c>
      <c r="B8621" s="35">
        <v>2</v>
      </c>
      <c r="C8621" s="35">
        <v>1</v>
      </c>
      <c r="D8621" s="2">
        <f t="shared" si="134"/>
        <v>3</v>
      </c>
    </row>
    <row r="8622" spans="1:4" x14ac:dyDescent="0.3">
      <c r="A8622" s="34">
        <v>59629</v>
      </c>
      <c r="B8622" s="35">
        <v>1</v>
      </c>
      <c r="C8622" s="35">
        <v>0</v>
      </c>
      <c r="D8622" s="2">
        <f t="shared" si="134"/>
        <v>1</v>
      </c>
    </row>
    <row r="8623" spans="1:4" x14ac:dyDescent="0.3">
      <c r="A8623" s="34">
        <v>59634</v>
      </c>
      <c r="B8623" s="35">
        <v>1</v>
      </c>
      <c r="C8623" s="35">
        <v>0</v>
      </c>
      <c r="D8623" s="2">
        <f t="shared" si="134"/>
        <v>1</v>
      </c>
    </row>
    <row r="8624" spans="1:4" x14ac:dyDescent="0.3">
      <c r="A8624" s="34">
        <v>59635</v>
      </c>
      <c r="B8624" s="35">
        <v>2</v>
      </c>
      <c r="C8624" s="35">
        <v>1</v>
      </c>
      <c r="D8624" s="2">
        <f t="shared" si="134"/>
        <v>3</v>
      </c>
    </row>
    <row r="8625" spans="1:4" x14ac:dyDescent="0.3">
      <c r="A8625" s="34">
        <v>59639</v>
      </c>
      <c r="B8625" s="35">
        <v>1</v>
      </c>
      <c r="C8625" s="35">
        <v>0</v>
      </c>
      <c r="D8625" s="2">
        <f t="shared" si="134"/>
        <v>1</v>
      </c>
    </row>
    <row r="8626" spans="1:4" x14ac:dyDescent="0.3">
      <c r="A8626" s="34">
        <v>59641</v>
      </c>
      <c r="B8626" s="35">
        <v>1</v>
      </c>
      <c r="C8626" s="35">
        <v>0</v>
      </c>
      <c r="D8626" s="2">
        <f t="shared" si="134"/>
        <v>1</v>
      </c>
    </row>
    <row r="8627" spans="1:4" x14ac:dyDescent="0.3">
      <c r="A8627" s="34">
        <v>59642</v>
      </c>
      <c r="B8627" s="35">
        <v>1</v>
      </c>
      <c r="C8627" s="35">
        <v>0</v>
      </c>
      <c r="D8627" s="2">
        <f t="shared" si="134"/>
        <v>1</v>
      </c>
    </row>
    <row r="8628" spans="1:4" x14ac:dyDescent="0.3">
      <c r="A8628" s="34">
        <v>59643</v>
      </c>
      <c r="B8628" s="35">
        <v>1</v>
      </c>
      <c r="C8628" s="35">
        <v>0</v>
      </c>
      <c r="D8628" s="2">
        <f t="shared" si="134"/>
        <v>1</v>
      </c>
    </row>
    <row r="8629" spans="1:4" x14ac:dyDescent="0.3">
      <c r="A8629" s="34">
        <v>59644</v>
      </c>
      <c r="B8629" s="35">
        <v>1</v>
      </c>
      <c r="C8629" s="35">
        <v>0</v>
      </c>
      <c r="D8629" s="2">
        <f t="shared" si="134"/>
        <v>1</v>
      </c>
    </row>
    <row r="8630" spans="1:4" x14ac:dyDescent="0.3">
      <c r="A8630" s="34">
        <v>59645</v>
      </c>
      <c r="B8630" s="35">
        <v>1</v>
      </c>
      <c r="C8630" s="35">
        <v>0</v>
      </c>
      <c r="D8630" s="2">
        <f t="shared" si="134"/>
        <v>1</v>
      </c>
    </row>
    <row r="8631" spans="1:4" x14ac:dyDescent="0.3">
      <c r="A8631" s="34">
        <v>59664</v>
      </c>
      <c r="B8631" s="35">
        <v>1</v>
      </c>
      <c r="C8631" s="35">
        <v>0</v>
      </c>
      <c r="D8631" s="2">
        <f t="shared" si="134"/>
        <v>1</v>
      </c>
    </row>
    <row r="8632" spans="1:4" x14ac:dyDescent="0.3">
      <c r="A8632" s="34">
        <v>59665</v>
      </c>
      <c r="B8632" s="35">
        <v>1</v>
      </c>
      <c r="C8632" s="35">
        <v>0</v>
      </c>
      <c r="D8632" s="2">
        <f t="shared" si="134"/>
        <v>1</v>
      </c>
    </row>
    <row r="8633" spans="1:4" x14ac:dyDescent="0.3">
      <c r="A8633" s="34">
        <v>59666</v>
      </c>
      <c r="B8633" s="35">
        <v>1</v>
      </c>
      <c r="C8633" s="35">
        <v>0</v>
      </c>
      <c r="D8633" s="2">
        <f t="shared" si="134"/>
        <v>1</v>
      </c>
    </row>
    <row r="8634" spans="1:4" x14ac:dyDescent="0.3">
      <c r="A8634" s="34">
        <v>59667</v>
      </c>
      <c r="B8634" s="35">
        <v>1</v>
      </c>
      <c r="C8634" s="35">
        <v>1</v>
      </c>
      <c r="D8634" s="2">
        <f t="shared" si="134"/>
        <v>2</v>
      </c>
    </row>
    <row r="8635" spans="1:4" x14ac:dyDescent="0.3">
      <c r="A8635" s="34">
        <v>59668</v>
      </c>
      <c r="B8635" s="35">
        <v>1</v>
      </c>
      <c r="C8635" s="35">
        <v>0</v>
      </c>
      <c r="D8635" s="2">
        <f t="shared" si="134"/>
        <v>1</v>
      </c>
    </row>
    <row r="8636" spans="1:4" x14ac:dyDescent="0.3">
      <c r="A8636" s="34">
        <v>59670</v>
      </c>
      <c r="B8636" s="35">
        <v>2</v>
      </c>
      <c r="C8636" s="35">
        <v>1</v>
      </c>
      <c r="D8636" s="2">
        <f t="shared" si="134"/>
        <v>3</v>
      </c>
    </row>
    <row r="8637" spans="1:4" x14ac:dyDescent="0.3">
      <c r="A8637" s="34">
        <v>59672</v>
      </c>
      <c r="B8637" s="35">
        <v>1</v>
      </c>
      <c r="C8637" s="35">
        <v>0</v>
      </c>
      <c r="D8637" s="2">
        <f t="shared" si="134"/>
        <v>1</v>
      </c>
    </row>
    <row r="8638" spans="1:4" x14ac:dyDescent="0.3">
      <c r="A8638" s="34">
        <v>59676</v>
      </c>
      <c r="B8638" s="35">
        <v>1</v>
      </c>
      <c r="C8638" s="35">
        <v>0</v>
      </c>
      <c r="D8638" s="2">
        <f t="shared" si="134"/>
        <v>1</v>
      </c>
    </row>
    <row r="8639" spans="1:4" x14ac:dyDescent="0.3">
      <c r="A8639" s="34">
        <v>59677</v>
      </c>
      <c r="B8639" s="35">
        <v>1</v>
      </c>
      <c r="C8639" s="35">
        <v>0</v>
      </c>
      <c r="D8639" s="2">
        <f t="shared" si="134"/>
        <v>1</v>
      </c>
    </row>
    <row r="8640" spans="1:4" x14ac:dyDescent="0.3">
      <c r="A8640" s="34">
        <v>59678</v>
      </c>
      <c r="B8640" s="35">
        <v>1</v>
      </c>
      <c r="C8640" s="35">
        <v>0</v>
      </c>
      <c r="D8640" s="2">
        <f t="shared" si="134"/>
        <v>1</v>
      </c>
    </row>
    <row r="8641" spans="1:4" x14ac:dyDescent="0.3">
      <c r="A8641" s="34">
        <v>59679</v>
      </c>
      <c r="B8641" s="35">
        <v>1</v>
      </c>
      <c r="C8641" s="35">
        <v>0</v>
      </c>
      <c r="D8641" s="2">
        <f t="shared" si="134"/>
        <v>1</v>
      </c>
    </row>
    <row r="8642" spans="1:4" x14ac:dyDescent="0.3">
      <c r="A8642" s="34">
        <v>59681</v>
      </c>
      <c r="B8642" s="35">
        <v>1</v>
      </c>
      <c r="C8642" s="35">
        <v>0</v>
      </c>
      <c r="D8642" s="2">
        <f t="shared" si="134"/>
        <v>1</v>
      </c>
    </row>
    <row r="8643" spans="1:4" x14ac:dyDescent="0.3">
      <c r="A8643" s="34">
        <v>59682</v>
      </c>
      <c r="B8643" s="35">
        <v>1</v>
      </c>
      <c r="C8643" s="35">
        <v>0</v>
      </c>
      <c r="D8643" s="2">
        <f t="shared" ref="D8643:D8706" si="135">B8643+C8643</f>
        <v>1</v>
      </c>
    </row>
    <row r="8644" spans="1:4" x14ac:dyDescent="0.3">
      <c r="A8644" s="34">
        <v>59683</v>
      </c>
      <c r="B8644" s="35">
        <v>1</v>
      </c>
      <c r="C8644" s="35">
        <v>0</v>
      </c>
      <c r="D8644" s="2">
        <f t="shared" si="135"/>
        <v>1</v>
      </c>
    </row>
    <row r="8645" spans="1:4" x14ac:dyDescent="0.3">
      <c r="A8645" s="34">
        <v>59684</v>
      </c>
      <c r="B8645" s="35">
        <v>1</v>
      </c>
      <c r="C8645" s="35">
        <v>0</v>
      </c>
      <c r="D8645" s="2">
        <f t="shared" si="135"/>
        <v>1</v>
      </c>
    </row>
    <row r="8646" spans="1:4" x14ac:dyDescent="0.3">
      <c r="A8646" s="34">
        <v>59685</v>
      </c>
      <c r="B8646" s="35">
        <v>1</v>
      </c>
      <c r="C8646" s="35">
        <v>0</v>
      </c>
      <c r="D8646" s="2">
        <f t="shared" si="135"/>
        <v>1</v>
      </c>
    </row>
    <row r="8647" spans="1:4" x14ac:dyDescent="0.3">
      <c r="A8647" s="34">
        <v>59686</v>
      </c>
      <c r="B8647" s="35">
        <v>1</v>
      </c>
      <c r="C8647" s="35">
        <v>0</v>
      </c>
      <c r="D8647" s="2">
        <f t="shared" si="135"/>
        <v>1</v>
      </c>
    </row>
    <row r="8648" spans="1:4" x14ac:dyDescent="0.3">
      <c r="A8648" s="34">
        <v>59688</v>
      </c>
      <c r="B8648" s="35">
        <v>1</v>
      </c>
      <c r="C8648" s="35">
        <v>0</v>
      </c>
      <c r="D8648" s="2">
        <f t="shared" si="135"/>
        <v>1</v>
      </c>
    </row>
    <row r="8649" spans="1:4" x14ac:dyDescent="0.3">
      <c r="A8649" s="34">
        <v>59689</v>
      </c>
      <c r="B8649" s="35">
        <v>1</v>
      </c>
      <c r="C8649" s="35">
        <v>0</v>
      </c>
      <c r="D8649" s="2">
        <f t="shared" si="135"/>
        <v>1</v>
      </c>
    </row>
    <row r="8650" spans="1:4" x14ac:dyDescent="0.3">
      <c r="A8650" s="34">
        <v>59691</v>
      </c>
      <c r="B8650" s="35">
        <v>1</v>
      </c>
      <c r="C8650" s="35">
        <v>0</v>
      </c>
      <c r="D8650" s="2">
        <f t="shared" si="135"/>
        <v>1</v>
      </c>
    </row>
    <row r="8651" spans="1:4" x14ac:dyDescent="0.3">
      <c r="A8651" s="34">
        <v>59693</v>
      </c>
      <c r="B8651" s="35">
        <v>1</v>
      </c>
      <c r="C8651" s="35">
        <v>0</v>
      </c>
      <c r="D8651" s="2">
        <f t="shared" si="135"/>
        <v>1</v>
      </c>
    </row>
    <row r="8652" spans="1:4" x14ac:dyDescent="0.3">
      <c r="A8652" s="34">
        <v>59697</v>
      </c>
      <c r="B8652" s="35">
        <v>1</v>
      </c>
      <c r="C8652" s="35">
        <v>0</v>
      </c>
      <c r="D8652" s="2">
        <f t="shared" si="135"/>
        <v>1</v>
      </c>
    </row>
    <row r="8653" spans="1:4" x14ac:dyDescent="0.3">
      <c r="A8653" s="34">
        <v>59698</v>
      </c>
      <c r="B8653" s="35">
        <v>1</v>
      </c>
      <c r="C8653" s="35">
        <v>0</v>
      </c>
      <c r="D8653" s="2">
        <f t="shared" si="135"/>
        <v>1</v>
      </c>
    </row>
    <row r="8654" spans="1:4" x14ac:dyDescent="0.3">
      <c r="A8654" s="34">
        <v>59699</v>
      </c>
      <c r="B8654" s="35">
        <v>1</v>
      </c>
      <c r="C8654" s="35">
        <v>0</v>
      </c>
      <c r="D8654" s="2">
        <f t="shared" si="135"/>
        <v>1</v>
      </c>
    </row>
    <row r="8655" spans="1:4" x14ac:dyDescent="0.3">
      <c r="A8655" s="34">
        <v>59700</v>
      </c>
      <c r="B8655" s="35">
        <v>1</v>
      </c>
      <c r="C8655" s="35">
        <v>0</v>
      </c>
      <c r="D8655" s="2">
        <f t="shared" si="135"/>
        <v>1</v>
      </c>
    </row>
    <row r="8656" spans="1:4" x14ac:dyDescent="0.3">
      <c r="A8656" s="34">
        <v>59701</v>
      </c>
      <c r="B8656" s="35">
        <v>1</v>
      </c>
      <c r="C8656" s="35">
        <v>0</v>
      </c>
      <c r="D8656" s="2">
        <f t="shared" si="135"/>
        <v>1</v>
      </c>
    </row>
    <row r="8657" spans="1:4" x14ac:dyDescent="0.3">
      <c r="A8657" s="34">
        <v>59704</v>
      </c>
      <c r="B8657" s="35">
        <v>1</v>
      </c>
      <c r="C8657" s="35">
        <v>0</v>
      </c>
      <c r="D8657" s="2">
        <f t="shared" si="135"/>
        <v>1</v>
      </c>
    </row>
    <row r="8658" spans="1:4" x14ac:dyDescent="0.3">
      <c r="A8658" s="34">
        <v>59709</v>
      </c>
      <c r="B8658" s="35">
        <v>1</v>
      </c>
      <c r="C8658" s="35">
        <v>0</v>
      </c>
      <c r="D8658" s="2">
        <f t="shared" si="135"/>
        <v>1</v>
      </c>
    </row>
    <row r="8659" spans="1:4" x14ac:dyDescent="0.3">
      <c r="A8659" s="34">
        <v>59710</v>
      </c>
      <c r="B8659" s="35">
        <v>1</v>
      </c>
      <c r="C8659" s="35">
        <v>0</v>
      </c>
      <c r="D8659" s="2">
        <f t="shared" si="135"/>
        <v>1</v>
      </c>
    </row>
    <row r="8660" spans="1:4" x14ac:dyDescent="0.3">
      <c r="A8660" s="34">
        <v>59711</v>
      </c>
      <c r="B8660" s="35">
        <v>1</v>
      </c>
      <c r="C8660" s="35">
        <v>0</v>
      </c>
      <c r="D8660" s="2">
        <f t="shared" si="135"/>
        <v>1</v>
      </c>
    </row>
    <row r="8661" spans="1:4" x14ac:dyDescent="0.3">
      <c r="A8661" s="34">
        <v>59713</v>
      </c>
      <c r="B8661" s="35">
        <v>1</v>
      </c>
      <c r="C8661" s="35">
        <v>0</v>
      </c>
      <c r="D8661" s="2">
        <f t="shared" si="135"/>
        <v>1</v>
      </c>
    </row>
    <row r="8662" spans="1:4" x14ac:dyDescent="0.3">
      <c r="A8662" s="34">
        <v>59716</v>
      </c>
      <c r="B8662" s="35">
        <v>1</v>
      </c>
      <c r="C8662" s="35">
        <v>1</v>
      </c>
      <c r="D8662" s="2">
        <f t="shared" si="135"/>
        <v>2</v>
      </c>
    </row>
    <row r="8663" spans="1:4" x14ac:dyDescent="0.3">
      <c r="A8663" s="34">
        <v>59719</v>
      </c>
      <c r="B8663" s="35">
        <v>1</v>
      </c>
      <c r="C8663" s="35">
        <v>0</v>
      </c>
      <c r="D8663" s="2">
        <f t="shared" si="135"/>
        <v>1</v>
      </c>
    </row>
    <row r="8664" spans="1:4" x14ac:dyDescent="0.3">
      <c r="A8664" s="34">
        <v>59721</v>
      </c>
      <c r="B8664" s="35">
        <v>1</v>
      </c>
      <c r="C8664" s="35">
        <v>0</v>
      </c>
      <c r="D8664" s="2">
        <f t="shared" si="135"/>
        <v>1</v>
      </c>
    </row>
    <row r="8665" spans="1:4" x14ac:dyDescent="0.3">
      <c r="A8665" s="34">
        <v>59722</v>
      </c>
      <c r="B8665" s="35">
        <v>1</v>
      </c>
      <c r="C8665" s="35">
        <v>0</v>
      </c>
      <c r="D8665" s="2">
        <f t="shared" si="135"/>
        <v>1</v>
      </c>
    </row>
    <row r="8666" spans="1:4" x14ac:dyDescent="0.3">
      <c r="A8666" s="34">
        <v>59723</v>
      </c>
      <c r="B8666" s="35">
        <v>1</v>
      </c>
      <c r="C8666" s="35">
        <v>0</v>
      </c>
      <c r="D8666" s="2">
        <f t="shared" si="135"/>
        <v>1</v>
      </c>
    </row>
    <row r="8667" spans="1:4" x14ac:dyDescent="0.3">
      <c r="A8667" s="34">
        <v>59725</v>
      </c>
      <c r="B8667" s="35">
        <v>4</v>
      </c>
      <c r="C8667" s="35">
        <v>2</v>
      </c>
      <c r="D8667" s="2">
        <f t="shared" si="135"/>
        <v>6</v>
      </c>
    </row>
    <row r="8668" spans="1:4" x14ac:dyDescent="0.3">
      <c r="A8668" s="34">
        <v>59726</v>
      </c>
      <c r="B8668" s="35">
        <v>1</v>
      </c>
      <c r="C8668" s="35">
        <v>1</v>
      </c>
      <c r="D8668" s="2">
        <f t="shared" si="135"/>
        <v>2</v>
      </c>
    </row>
    <row r="8669" spans="1:4" x14ac:dyDescent="0.3">
      <c r="A8669" s="34">
        <v>59730</v>
      </c>
      <c r="B8669" s="35">
        <v>1</v>
      </c>
      <c r="C8669" s="35">
        <v>0</v>
      </c>
      <c r="D8669" s="2">
        <f t="shared" si="135"/>
        <v>1</v>
      </c>
    </row>
    <row r="8670" spans="1:4" x14ac:dyDescent="0.3">
      <c r="A8670" s="34">
        <v>59734</v>
      </c>
      <c r="B8670" s="35">
        <v>1</v>
      </c>
      <c r="C8670" s="35">
        <v>0</v>
      </c>
      <c r="D8670" s="2">
        <f t="shared" si="135"/>
        <v>1</v>
      </c>
    </row>
    <row r="8671" spans="1:4" x14ac:dyDescent="0.3">
      <c r="A8671" s="34">
        <v>59737</v>
      </c>
      <c r="B8671" s="35">
        <v>1</v>
      </c>
      <c r="C8671" s="35">
        <v>0</v>
      </c>
      <c r="D8671" s="2">
        <f t="shared" si="135"/>
        <v>1</v>
      </c>
    </row>
    <row r="8672" spans="1:4" x14ac:dyDescent="0.3">
      <c r="A8672" s="34">
        <v>59738</v>
      </c>
      <c r="B8672" s="35">
        <v>1</v>
      </c>
      <c r="C8672" s="35">
        <v>0</v>
      </c>
      <c r="D8672" s="2">
        <f t="shared" si="135"/>
        <v>1</v>
      </c>
    </row>
    <row r="8673" spans="1:4" x14ac:dyDescent="0.3">
      <c r="A8673" s="34">
        <v>59740</v>
      </c>
      <c r="B8673" s="35">
        <v>1</v>
      </c>
      <c r="C8673" s="35">
        <v>0</v>
      </c>
      <c r="D8673" s="2">
        <f t="shared" si="135"/>
        <v>1</v>
      </c>
    </row>
    <row r="8674" spans="1:4" x14ac:dyDescent="0.3">
      <c r="A8674" s="34">
        <v>59742</v>
      </c>
      <c r="B8674" s="35">
        <v>1</v>
      </c>
      <c r="C8674" s="35">
        <v>0</v>
      </c>
      <c r="D8674" s="2">
        <f t="shared" si="135"/>
        <v>1</v>
      </c>
    </row>
    <row r="8675" spans="1:4" x14ac:dyDescent="0.3">
      <c r="A8675" s="34">
        <v>59743</v>
      </c>
      <c r="B8675" s="35">
        <v>1</v>
      </c>
      <c r="C8675" s="35">
        <v>0</v>
      </c>
      <c r="D8675" s="2">
        <f t="shared" si="135"/>
        <v>1</v>
      </c>
    </row>
    <row r="8676" spans="1:4" x14ac:dyDescent="0.3">
      <c r="A8676" s="34">
        <v>59744</v>
      </c>
      <c r="B8676" s="35">
        <v>1</v>
      </c>
      <c r="C8676" s="35">
        <v>0</v>
      </c>
      <c r="D8676" s="2">
        <f t="shared" si="135"/>
        <v>1</v>
      </c>
    </row>
    <row r="8677" spans="1:4" x14ac:dyDescent="0.3">
      <c r="A8677" s="34">
        <v>59748</v>
      </c>
      <c r="B8677" s="35">
        <v>1</v>
      </c>
      <c r="C8677" s="35">
        <v>1</v>
      </c>
      <c r="D8677" s="2">
        <f t="shared" si="135"/>
        <v>2</v>
      </c>
    </row>
    <row r="8678" spans="1:4" x14ac:dyDescent="0.3">
      <c r="A8678" s="34">
        <v>59750</v>
      </c>
      <c r="B8678" s="35">
        <v>1</v>
      </c>
      <c r="C8678" s="35">
        <v>0</v>
      </c>
      <c r="D8678" s="2">
        <f t="shared" si="135"/>
        <v>1</v>
      </c>
    </row>
    <row r="8679" spans="1:4" x14ac:dyDescent="0.3">
      <c r="A8679" s="34">
        <v>59751</v>
      </c>
      <c r="B8679" s="35">
        <v>1</v>
      </c>
      <c r="C8679" s="35">
        <v>0</v>
      </c>
      <c r="D8679" s="2">
        <f t="shared" si="135"/>
        <v>1</v>
      </c>
    </row>
    <row r="8680" spans="1:4" x14ac:dyDescent="0.3">
      <c r="A8680" s="34">
        <v>59755</v>
      </c>
      <c r="B8680" s="35">
        <v>1</v>
      </c>
      <c r="C8680" s="35">
        <v>1</v>
      </c>
      <c r="D8680" s="2">
        <f t="shared" si="135"/>
        <v>2</v>
      </c>
    </row>
    <row r="8681" spans="1:4" x14ac:dyDescent="0.3">
      <c r="A8681" s="34">
        <v>59756</v>
      </c>
      <c r="B8681" s="35">
        <v>1</v>
      </c>
      <c r="C8681" s="35">
        <v>0</v>
      </c>
      <c r="D8681" s="2">
        <f t="shared" si="135"/>
        <v>1</v>
      </c>
    </row>
    <row r="8682" spans="1:4" x14ac:dyDescent="0.3">
      <c r="A8682" s="34">
        <v>59758</v>
      </c>
      <c r="B8682" s="35">
        <v>1</v>
      </c>
      <c r="C8682" s="35">
        <v>0</v>
      </c>
      <c r="D8682" s="2">
        <f t="shared" si="135"/>
        <v>1</v>
      </c>
    </row>
    <row r="8683" spans="1:4" x14ac:dyDescent="0.3">
      <c r="A8683" s="34">
        <v>59759</v>
      </c>
      <c r="B8683" s="35">
        <v>1</v>
      </c>
      <c r="C8683" s="35">
        <v>0</v>
      </c>
      <c r="D8683" s="2">
        <f t="shared" si="135"/>
        <v>1</v>
      </c>
    </row>
    <row r="8684" spans="1:4" x14ac:dyDescent="0.3">
      <c r="A8684" s="34">
        <v>59760</v>
      </c>
      <c r="B8684" s="35">
        <v>1</v>
      </c>
      <c r="C8684" s="35">
        <v>0</v>
      </c>
      <c r="D8684" s="2">
        <f t="shared" si="135"/>
        <v>1</v>
      </c>
    </row>
    <row r="8685" spans="1:4" x14ac:dyDescent="0.3">
      <c r="A8685" s="34">
        <v>59761</v>
      </c>
      <c r="B8685" s="35">
        <v>1</v>
      </c>
      <c r="C8685" s="35">
        <v>0</v>
      </c>
      <c r="D8685" s="2">
        <f t="shared" si="135"/>
        <v>1</v>
      </c>
    </row>
    <row r="8686" spans="1:4" x14ac:dyDescent="0.3">
      <c r="A8686" s="34">
        <v>59764</v>
      </c>
      <c r="B8686" s="35">
        <v>1</v>
      </c>
      <c r="C8686" s="35">
        <v>0</v>
      </c>
      <c r="D8686" s="2">
        <f t="shared" si="135"/>
        <v>1</v>
      </c>
    </row>
    <row r="8687" spans="1:4" x14ac:dyDescent="0.3">
      <c r="A8687" s="34">
        <v>59810</v>
      </c>
      <c r="B8687" s="35">
        <v>1</v>
      </c>
      <c r="C8687" s="35">
        <v>0</v>
      </c>
      <c r="D8687" s="2">
        <f t="shared" si="135"/>
        <v>1</v>
      </c>
    </row>
    <row r="8688" spans="1:4" x14ac:dyDescent="0.3">
      <c r="A8688" s="34">
        <v>59812</v>
      </c>
      <c r="B8688" s="35">
        <v>1</v>
      </c>
      <c r="C8688" s="35">
        <v>0</v>
      </c>
      <c r="D8688" s="2">
        <f t="shared" si="135"/>
        <v>1</v>
      </c>
    </row>
    <row r="8689" spans="1:4" x14ac:dyDescent="0.3">
      <c r="A8689" s="34">
        <v>59821</v>
      </c>
      <c r="B8689" s="35">
        <v>1</v>
      </c>
      <c r="C8689" s="35">
        <v>0</v>
      </c>
      <c r="D8689" s="2">
        <f t="shared" si="135"/>
        <v>1</v>
      </c>
    </row>
    <row r="8690" spans="1:4" x14ac:dyDescent="0.3">
      <c r="A8690" s="34">
        <v>59822</v>
      </c>
      <c r="B8690" s="35">
        <v>1</v>
      </c>
      <c r="C8690" s="35">
        <v>0</v>
      </c>
      <c r="D8690" s="2">
        <f t="shared" si="135"/>
        <v>1</v>
      </c>
    </row>
    <row r="8691" spans="1:4" x14ac:dyDescent="0.3">
      <c r="A8691" s="34">
        <v>59823</v>
      </c>
      <c r="B8691" s="35">
        <v>1</v>
      </c>
      <c r="C8691" s="35">
        <v>1</v>
      </c>
      <c r="D8691" s="2">
        <f t="shared" si="135"/>
        <v>2</v>
      </c>
    </row>
    <row r="8692" spans="1:4" x14ac:dyDescent="0.3">
      <c r="A8692" s="34">
        <v>59827</v>
      </c>
      <c r="B8692" s="35">
        <v>1</v>
      </c>
      <c r="C8692" s="35">
        <v>0</v>
      </c>
      <c r="D8692" s="2">
        <f t="shared" si="135"/>
        <v>1</v>
      </c>
    </row>
    <row r="8693" spans="1:4" x14ac:dyDescent="0.3">
      <c r="A8693" s="34">
        <v>59833</v>
      </c>
      <c r="B8693" s="35">
        <v>2</v>
      </c>
      <c r="C8693" s="35">
        <v>0</v>
      </c>
      <c r="D8693" s="2">
        <f t="shared" si="135"/>
        <v>2</v>
      </c>
    </row>
    <row r="8694" spans="1:4" x14ac:dyDescent="0.3">
      <c r="A8694" s="34">
        <v>59835</v>
      </c>
      <c r="B8694" s="35">
        <v>1</v>
      </c>
      <c r="C8694" s="35">
        <v>1</v>
      </c>
      <c r="D8694" s="2">
        <f t="shared" si="135"/>
        <v>2</v>
      </c>
    </row>
    <row r="8695" spans="1:4" x14ac:dyDescent="0.3">
      <c r="A8695" s="34">
        <v>59839</v>
      </c>
      <c r="B8695" s="35">
        <v>1</v>
      </c>
      <c r="C8695" s="35">
        <v>0</v>
      </c>
      <c r="D8695" s="2">
        <f t="shared" si="135"/>
        <v>1</v>
      </c>
    </row>
    <row r="8696" spans="1:4" x14ac:dyDescent="0.3">
      <c r="A8696" s="34">
        <v>59846</v>
      </c>
      <c r="B8696" s="35">
        <v>1</v>
      </c>
      <c r="C8696" s="35">
        <v>0</v>
      </c>
      <c r="D8696" s="2">
        <f t="shared" si="135"/>
        <v>1</v>
      </c>
    </row>
    <row r="8697" spans="1:4" x14ac:dyDescent="0.3">
      <c r="A8697" s="34">
        <v>59849</v>
      </c>
      <c r="B8697" s="35">
        <v>1</v>
      </c>
      <c r="C8697" s="35">
        <v>1</v>
      </c>
      <c r="D8697" s="2">
        <f t="shared" si="135"/>
        <v>2</v>
      </c>
    </row>
    <row r="8698" spans="1:4" x14ac:dyDescent="0.3">
      <c r="A8698" s="34">
        <v>59856</v>
      </c>
      <c r="B8698" s="35">
        <v>1</v>
      </c>
      <c r="C8698" s="35">
        <v>0</v>
      </c>
      <c r="D8698" s="2">
        <f t="shared" si="135"/>
        <v>1</v>
      </c>
    </row>
    <row r="8699" spans="1:4" x14ac:dyDescent="0.3">
      <c r="A8699" s="34">
        <v>59857</v>
      </c>
      <c r="B8699" s="35">
        <v>1</v>
      </c>
      <c r="C8699" s="35">
        <v>0</v>
      </c>
      <c r="D8699" s="2">
        <f t="shared" si="135"/>
        <v>1</v>
      </c>
    </row>
    <row r="8700" spans="1:4" x14ac:dyDescent="0.3">
      <c r="A8700" s="34">
        <v>59858</v>
      </c>
      <c r="B8700" s="35">
        <v>1</v>
      </c>
      <c r="C8700" s="35">
        <v>0</v>
      </c>
      <c r="D8700" s="2">
        <f t="shared" si="135"/>
        <v>1</v>
      </c>
    </row>
    <row r="8701" spans="1:4" x14ac:dyDescent="0.3">
      <c r="A8701" s="34">
        <v>59859</v>
      </c>
      <c r="B8701" s="35">
        <v>1</v>
      </c>
      <c r="C8701" s="35">
        <v>0</v>
      </c>
      <c r="D8701" s="2">
        <f t="shared" si="135"/>
        <v>1</v>
      </c>
    </row>
    <row r="8702" spans="1:4" x14ac:dyDescent="0.3">
      <c r="A8702" s="34">
        <v>59860</v>
      </c>
      <c r="B8702" s="35">
        <v>1</v>
      </c>
      <c r="C8702" s="35">
        <v>0</v>
      </c>
      <c r="D8702" s="2">
        <f t="shared" si="135"/>
        <v>1</v>
      </c>
    </row>
    <row r="8703" spans="1:4" x14ac:dyDescent="0.3">
      <c r="A8703" s="34">
        <v>59861</v>
      </c>
      <c r="B8703" s="35">
        <v>1</v>
      </c>
      <c r="C8703" s="35">
        <v>0</v>
      </c>
      <c r="D8703" s="2">
        <f t="shared" si="135"/>
        <v>1</v>
      </c>
    </row>
    <row r="8704" spans="1:4" x14ac:dyDescent="0.3">
      <c r="A8704" s="34">
        <v>59863</v>
      </c>
      <c r="B8704" s="35">
        <v>1</v>
      </c>
      <c r="C8704" s="35">
        <v>0</v>
      </c>
      <c r="D8704" s="2">
        <f t="shared" si="135"/>
        <v>1</v>
      </c>
    </row>
    <row r="8705" spans="1:4" x14ac:dyDescent="0.3">
      <c r="A8705" s="34">
        <v>59864</v>
      </c>
      <c r="B8705" s="35">
        <v>1</v>
      </c>
      <c r="C8705" s="35">
        <v>0</v>
      </c>
      <c r="D8705" s="2">
        <f t="shared" si="135"/>
        <v>1</v>
      </c>
    </row>
    <row r="8706" spans="1:4" x14ac:dyDescent="0.3">
      <c r="A8706" s="34">
        <v>59865</v>
      </c>
      <c r="B8706" s="35">
        <v>1</v>
      </c>
      <c r="C8706" s="35">
        <v>0</v>
      </c>
      <c r="D8706" s="2">
        <f t="shared" si="135"/>
        <v>1</v>
      </c>
    </row>
    <row r="8707" spans="1:4" x14ac:dyDescent="0.3">
      <c r="A8707" s="34">
        <v>59868</v>
      </c>
      <c r="B8707" s="35">
        <v>1</v>
      </c>
      <c r="C8707" s="35">
        <v>0</v>
      </c>
      <c r="D8707" s="2">
        <f t="shared" ref="D8707:D8770" si="136">B8707+C8707</f>
        <v>1</v>
      </c>
    </row>
    <row r="8708" spans="1:4" x14ac:dyDescent="0.3">
      <c r="A8708" s="34">
        <v>59869</v>
      </c>
      <c r="B8708" s="35">
        <v>1</v>
      </c>
      <c r="C8708" s="35">
        <v>0</v>
      </c>
      <c r="D8708" s="2">
        <f t="shared" si="136"/>
        <v>1</v>
      </c>
    </row>
    <row r="8709" spans="1:4" x14ac:dyDescent="0.3">
      <c r="A8709" s="34">
        <v>59874</v>
      </c>
      <c r="B8709" s="35">
        <v>1</v>
      </c>
      <c r="C8709" s="35">
        <v>0</v>
      </c>
      <c r="D8709" s="2">
        <f t="shared" si="136"/>
        <v>1</v>
      </c>
    </row>
    <row r="8710" spans="1:4" x14ac:dyDescent="0.3">
      <c r="A8710" s="34">
        <v>59877</v>
      </c>
      <c r="B8710" s="35">
        <v>1</v>
      </c>
      <c r="C8710" s="35">
        <v>0</v>
      </c>
      <c r="D8710" s="2">
        <f t="shared" si="136"/>
        <v>1</v>
      </c>
    </row>
    <row r="8711" spans="1:4" x14ac:dyDescent="0.3">
      <c r="A8711" s="34">
        <v>59878</v>
      </c>
      <c r="B8711" s="35">
        <v>1</v>
      </c>
      <c r="C8711" s="35">
        <v>0</v>
      </c>
      <c r="D8711" s="2">
        <f t="shared" si="136"/>
        <v>1</v>
      </c>
    </row>
    <row r="8712" spans="1:4" x14ac:dyDescent="0.3">
      <c r="A8712" s="34">
        <v>59881</v>
      </c>
      <c r="B8712" s="35">
        <v>2</v>
      </c>
      <c r="C8712" s="35">
        <v>0</v>
      </c>
      <c r="D8712" s="2">
        <f t="shared" si="136"/>
        <v>2</v>
      </c>
    </row>
    <row r="8713" spans="1:4" x14ac:dyDescent="0.3">
      <c r="A8713" s="34">
        <v>59882</v>
      </c>
      <c r="B8713" s="35">
        <v>2</v>
      </c>
      <c r="C8713" s="35">
        <v>0</v>
      </c>
      <c r="D8713" s="2">
        <f t="shared" si="136"/>
        <v>2</v>
      </c>
    </row>
    <row r="8714" spans="1:4" x14ac:dyDescent="0.3">
      <c r="A8714" s="34">
        <v>59883</v>
      </c>
      <c r="B8714" s="35">
        <v>2</v>
      </c>
      <c r="C8714" s="35">
        <v>1</v>
      </c>
      <c r="D8714" s="2">
        <f t="shared" si="136"/>
        <v>3</v>
      </c>
    </row>
    <row r="8715" spans="1:4" x14ac:dyDescent="0.3">
      <c r="A8715" s="34">
        <v>59886</v>
      </c>
      <c r="B8715" s="35">
        <v>1</v>
      </c>
      <c r="C8715" s="35">
        <v>0</v>
      </c>
      <c r="D8715" s="2">
        <f t="shared" si="136"/>
        <v>1</v>
      </c>
    </row>
    <row r="8716" spans="1:4" x14ac:dyDescent="0.3">
      <c r="A8716" s="34">
        <v>59887</v>
      </c>
      <c r="B8716" s="35">
        <v>1</v>
      </c>
      <c r="C8716" s="35">
        <v>0</v>
      </c>
      <c r="D8716" s="2">
        <f t="shared" si="136"/>
        <v>1</v>
      </c>
    </row>
    <row r="8717" spans="1:4" x14ac:dyDescent="0.3">
      <c r="A8717" s="34">
        <v>59890</v>
      </c>
      <c r="B8717" s="35">
        <v>1</v>
      </c>
      <c r="C8717" s="35">
        <v>0</v>
      </c>
      <c r="D8717" s="2">
        <f t="shared" si="136"/>
        <v>1</v>
      </c>
    </row>
    <row r="8718" spans="1:4" x14ac:dyDescent="0.3">
      <c r="A8718" s="34">
        <v>59894</v>
      </c>
      <c r="B8718" s="35">
        <v>1</v>
      </c>
      <c r="C8718" s="35">
        <v>0</v>
      </c>
      <c r="D8718" s="2">
        <f t="shared" si="136"/>
        <v>1</v>
      </c>
    </row>
    <row r="8719" spans="1:4" x14ac:dyDescent="0.3">
      <c r="A8719" s="34">
        <v>59896</v>
      </c>
      <c r="B8719" s="35">
        <v>1</v>
      </c>
      <c r="C8719" s="35">
        <v>0</v>
      </c>
      <c r="D8719" s="2">
        <f t="shared" si="136"/>
        <v>1</v>
      </c>
    </row>
    <row r="8720" spans="1:4" x14ac:dyDescent="0.3">
      <c r="A8720" s="34">
        <v>59897</v>
      </c>
      <c r="B8720" s="35">
        <v>1</v>
      </c>
      <c r="C8720" s="35">
        <v>0</v>
      </c>
      <c r="D8720" s="2">
        <f t="shared" si="136"/>
        <v>1</v>
      </c>
    </row>
    <row r="8721" spans="1:4" x14ac:dyDescent="0.3">
      <c r="A8721" s="34">
        <v>59900</v>
      </c>
      <c r="B8721" s="35">
        <v>1</v>
      </c>
      <c r="C8721" s="35">
        <v>0</v>
      </c>
      <c r="D8721" s="2">
        <f t="shared" si="136"/>
        <v>1</v>
      </c>
    </row>
    <row r="8722" spans="1:4" x14ac:dyDescent="0.3">
      <c r="A8722" s="34">
        <v>59904</v>
      </c>
      <c r="B8722" s="35">
        <v>1</v>
      </c>
      <c r="C8722" s="35">
        <v>1</v>
      </c>
      <c r="D8722" s="2">
        <f t="shared" si="136"/>
        <v>2</v>
      </c>
    </row>
    <row r="8723" spans="1:4" x14ac:dyDescent="0.3">
      <c r="A8723" s="34">
        <v>59906</v>
      </c>
      <c r="B8723" s="35">
        <v>1</v>
      </c>
      <c r="C8723" s="35">
        <v>1</v>
      </c>
      <c r="D8723" s="2">
        <f t="shared" si="136"/>
        <v>2</v>
      </c>
    </row>
    <row r="8724" spans="1:4" x14ac:dyDescent="0.3">
      <c r="A8724" s="34">
        <v>59908</v>
      </c>
      <c r="B8724" s="35">
        <v>1</v>
      </c>
      <c r="C8724" s="35">
        <v>0</v>
      </c>
      <c r="D8724" s="2">
        <f t="shared" si="136"/>
        <v>1</v>
      </c>
    </row>
    <row r="8725" spans="1:4" x14ac:dyDescent="0.3">
      <c r="A8725" s="34">
        <v>59960</v>
      </c>
      <c r="B8725" s="35">
        <v>1</v>
      </c>
      <c r="C8725" s="35">
        <v>0</v>
      </c>
      <c r="D8725" s="2">
        <f t="shared" si="136"/>
        <v>1</v>
      </c>
    </row>
    <row r="8726" spans="1:4" x14ac:dyDescent="0.3">
      <c r="A8726" s="34">
        <v>59961</v>
      </c>
      <c r="B8726" s="35">
        <v>1</v>
      </c>
      <c r="C8726" s="35">
        <v>0</v>
      </c>
      <c r="D8726" s="2">
        <f t="shared" si="136"/>
        <v>1</v>
      </c>
    </row>
    <row r="8727" spans="1:4" x14ac:dyDescent="0.3">
      <c r="A8727" s="34">
        <v>59962</v>
      </c>
      <c r="B8727" s="35">
        <v>1</v>
      </c>
      <c r="C8727" s="35">
        <v>0</v>
      </c>
      <c r="D8727" s="2">
        <f t="shared" si="136"/>
        <v>1</v>
      </c>
    </row>
    <row r="8728" spans="1:4" x14ac:dyDescent="0.3">
      <c r="A8728" s="34">
        <v>59964</v>
      </c>
      <c r="B8728" s="35">
        <v>1</v>
      </c>
      <c r="C8728" s="35">
        <v>0</v>
      </c>
      <c r="D8728" s="2">
        <f t="shared" si="136"/>
        <v>1</v>
      </c>
    </row>
    <row r="8729" spans="1:4" x14ac:dyDescent="0.3">
      <c r="A8729" s="34">
        <v>59968</v>
      </c>
      <c r="B8729" s="35">
        <v>1</v>
      </c>
      <c r="C8729" s="35">
        <v>0</v>
      </c>
      <c r="D8729" s="2">
        <f t="shared" si="136"/>
        <v>1</v>
      </c>
    </row>
    <row r="8730" spans="1:4" x14ac:dyDescent="0.3">
      <c r="A8730" s="34">
        <v>59971</v>
      </c>
      <c r="B8730" s="35">
        <v>2</v>
      </c>
      <c r="C8730" s="35">
        <v>0</v>
      </c>
      <c r="D8730" s="2">
        <f t="shared" si="136"/>
        <v>2</v>
      </c>
    </row>
    <row r="8731" spans="1:4" x14ac:dyDescent="0.3">
      <c r="A8731" s="34">
        <v>59982</v>
      </c>
      <c r="B8731" s="35">
        <v>1</v>
      </c>
      <c r="C8731" s="35">
        <v>0</v>
      </c>
      <c r="D8731" s="2">
        <f t="shared" si="136"/>
        <v>1</v>
      </c>
    </row>
    <row r="8732" spans="1:4" x14ac:dyDescent="0.3">
      <c r="A8732" s="34">
        <v>59986</v>
      </c>
      <c r="B8732" s="35">
        <v>1</v>
      </c>
      <c r="C8732" s="35">
        <v>0</v>
      </c>
      <c r="D8732" s="2">
        <f t="shared" si="136"/>
        <v>1</v>
      </c>
    </row>
    <row r="8733" spans="1:4" x14ac:dyDescent="0.3">
      <c r="A8733" s="34">
        <v>59987</v>
      </c>
      <c r="B8733" s="35">
        <v>1</v>
      </c>
      <c r="C8733" s="35">
        <v>0</v>
      </c>
      <c r="D8733" s="2">
        <f t="shared" si="136"/>
        <v>1</v>
      </c>
    </row>
    <row r="8734" spans="1:4" x14ac:dyDescent="0.3">
      <c r="A8734" s="34">
        <v>60019</v>
      </c>
      <c r="B8734" s="35">
        <v>1</v>
      </c>
      <c r="C8734" s="35">
        <v>0</v>
      </c>
      <c r="D8734" s="2">
        <f t="shared" si="136"/>
        <v>1</v>
      </c>
    </row>
    <row r="8735" spans="1:4" x14ac:dyDescent="0.3">
      <c r="A8735" s="34">
        <v>60042</v>
      </c>
      <c r="B8735" s="35">
        <v>2</v>
      </c>
      <c r="C8735" s="35">
        <v>0</v>
      </c>
      <c r="D8735" s="2">
        <f t="shared" si="136"/>
        <v>2</v>
      </c>
    </row>
    <row r="8736" spans="1:4" x14ac:dyDescent="0.3">
      <c r="A8736" s="34">
        <v>60043</v>
      </c>
      <c r="B8736" s="35">
        <v>1</v>
      </c>
      <c r="C8736" s="35">
        <v>0</v>
      </c>
      <c r="D8736" s="2">
        <f t="shared" si="136"/>
        <v>1</v>
      </c>
    </row>
    <row r="8737" spans="1:4" x14ac:dyDescent="0.3">
      <c r="A8737" s="34">
        <v>60044</v>
      </c>
      <c r="B8737" s="35">
        <v>1</v>
      </c>
      <c r="C8737" s="35">
        <v>0</v>
      </c>
      <c r="D8737" s="2">
        <f t="shared" si="136"/>
        <v>1</v>
      </c>
    </row>
    <row r="8738" spans="1:4" x14ac:dyDescent="0.3">
      <c r="A8738" s="34">
        <v>60045</v>
      </c>
      <c r="B8738" s="35">
        <v>2</v>
      </c>
      <c r="C8738" s="35">
        <v>1</v>
      </c>
      <c r="D8738" s="2">
        <f t="shared" si="136"/>
        <v>3</v>
      </c>
    </row>
    <row r="8739" spans="1:4" x14ac:dyDescent="0.3">
      <c r="A8739" s="34">
        <v>60046</v>
      </c>
      <c r="B8739" s="35">
        <v>1</v>
      </c>
      <c r="C8739" s="35">
        <v>0</v>
      </c>
      <c r="D8739" s="2">
        <f t="shared" si="136"/>
        <v>1</v>
      </c>
    </row>
    <row r="8740" spans="1:4" x14ac:dyDescent="0.3">
      <c r="A8740" s="34">
        <v>60047</v>
      </c>
      <c r="B8740" s="35">
        <v>1</v>
      </c>
      <c r="C8740" s="35">
        <v>0</v>
      </c>
      <c r="D8740" s="2">
        <f t="shared" si="136"/>
        <v>1</v>
      </c>
    </row>
    <row r="8741" spans="1:4" x14ac:dyDescent="0.3">
      <c r="A8741" s="34">
        <v>60048</v>
      </c>
      <c r="B8741" s="35">
        <v>1</v>
      </c>
      <c r="C8741" s="35">
        <v>0</v>
      </c>
      <c r="D8741" s="2">
        <f t="shared" si="136"/>
        <v>1</v>
      </c>
    </row>
    <row r="8742" spans="1:4" x14ac:dyDescent="0.3">
      <c r="A8742" s="34">
        <v>60049</v>
      </c>
      <c r="B8742" s="35">
        <v>1</v>
      </c>
      <c r="C8742" s="35">
        <v>0</v>
      </c>
      <c r="D8742" s="2">
        <f t="shared" si="136"/>
        <v>1</v>
      </c>
    </row>
    <row r="8743" spans="1:4" x14ac:dyDescent="0.3">
      <c r="A8743" s="34">
        <v>60051</v>
      </c>
      <c r="B8743" s="35">
        <v>1</v>
      </c>
      <c r="C8743" s="35">
        <v>0</v>
      </c>
      <c r="D8743" s="2">
        <f t="shared" si="136"/>
        <v>1</v>
      </c>
    </row>
    <row r="8744" spans="1:4" x14ac:dyDescent="0.3">
      <c r="A8744" s="34">
        <v>60052</v>
      </c>
      <c r="B8744" s="35">
        <v>1</v>
      </c>
      <c r="C8744" s="35">
        <v>0</v>
      </c>
      <c r="D8744" s="2">
        <f t="shared" si="136"/>
        <v>1</v>
      </c>
    </row>
    <row r="8745" spans="1:4" x14ac:dyDescent="0.3">
      <c r="A8745" s="34">
        <v>60054</v>
      </c>
      <c r="B8745" s="35">
        <v>1</v>
      </c>
      <c r="C8745" s="35">
        <v>0</v>
      </c>
      <c r="D8745" s="2">
        <f t="shared" si="136"/>
        <v>1</v>
      </c>
    </row>
    <row r="8746" spans="1:4" x14ac:dyDescent="0.3">
      <c r="A8746" s="34">
        <v>60056</v>
      </c>
      <c r="B8746" s="35">
        <v>1</v>
      </c>
      <c r="C8746" s="35">
        <v>0</v>
      </c>
      <c r="D8746" s="2">
        <f t="shared" si="136"/>
        <v>1</v>
      </c>
    </row>
    <row r="8747" spans="1:4" x14ac:dyDescent="0.3">
      <c r="A8747" s="34">
        <v>60066</v>
      </c>
      <c r="B8747" s="35">
        <v>2</v>
      </c>
      <c r="C8747" s="35">
        <v>1</v>
      </c>
      <c r="D8747" s="2">
        <f t="shared" si="136"/>
        <v>3</v>
      </c>
    </row>
    <row r="8748" spans="1:4" x14ac:dyDescent="0.3">
      <c r="A8748" s="34">
        <v>60069</v>
      </c>
      <c r="B8748" s="35">
        <v>1</v>
      </c>
      <c r="C8748" s="35">
        <v>0</v>
      </c>
      <c r="D8748" s="2">
        <f t="shared" si="136"/>
        <v>1</v>
      </c>
    </row>
    <row r="8749" spans="1:4" x14ac:dyDescent="0.3">
      <c r="A8749" s="34">
        <v>60070</v>
      </c>
      <c r="B8749" s="35">
        <v>1</v>
      </c>
      <c r="C8749" s="35">
        <v>0</v>
      </c>
      <c r="D8749" s="2">
        <f t="shared" si="136"/>
        <v>1</v>
      </c>
    </row>
    <row r="8750" spans="1:4" x14ac:dyDescent="0.3">
      <c r="A8750" s="34">
        <v>60072</v>
      </c>
      <c r="B8750" s="35">
        <v>1</v>
      </c>
      <c r="C8750" s="35">
        <v>1</v>
      </c>
      <c r="D8750" s="2">
        <f t="shared" si="136"/>
        <v>2</v>
      </c>
    </row>
    <row r="8751" spans="1:4" x14ac:dyDescent="0.3">
      <c r="A8751" s="34">
        <v>60074</v>
      </c>
      <c r="B8751" s="35">
        <v>1</v>
      </c>
      <c r="C8751" s="35">
        <v>0</v>
      </c>
      <c r="D8751" s="2">
        <f t="shared" si="136"/>
        <v>1</v>
      </c>
    </row>
    <row r="8752" spans="1:4" x14ac:dyDescent="0.3">
      <c r="A8752" s="34">
        <v>60075</v>
      </c>
      <c r="B8752" s="35">
        <v>1</v>
      </c>
      <c r="C8752" s="35">
        <v>0</v>
      </c>
      <c r="D8752" s="2">
        <f t="shared" si="136"/>
        <v>1</v>
      </c>
    </row>
    <row r="8753" spans="1:4" x14ac:dyDescent="0.3">
      <c r="A8753" s="34">
        <v>60077</v>
      </c>
      <c r="B8753" s="35">
        <v>1</v>
      </c>
      <c r="C8753" s="35">
        <v>1</v>
      </c>
      <c r="D8753" s="2">
        <f t="shared" si="136"/>
        <v>2</v>
      </c>
    </row>
    <row r="8754" spans="1:4" x14ac:dyDescent="0.3">
      <c r="A8754" s="34">
        <v>60083</v>
      </c>
      <c r="B8754" s="35">
        <v>1</v>
      </c>
      <c r="C8754" s="35">
        <v>0</v>
      </c>
      <c r="D8754" s="2">
        <f t="shared" si="136"/>
        <v>1</v>
      </c>
    </row>
    <row r="8755" spans="1:4" x14ac:dyDescent="0.3">
      <c r="A8755" s="34">
        <v>60085</v>
      </c>
      <c r="B8755" s="35">
        <v>1</v>
      </c>
      <c r="C8755" s="35">
        <v>0</v>
      </c>
      <c r="D8755" s="2">
        <f t="shared" si="136"/>
        <v>1</v>
      </c>
    </row>
    <row r="8756" spans="1:4" x14ac:dyDescent="0.3">
      <c r="A8756" s="34">
        <v>60087</v>
      </c>
      <c r="B8756" s="35">
        <v>1</v>
      </c>
      <c r="C8756" s="35">
        <v>1</v>
      </c>
      <c r="D8756" s="2">
        <f t="shared" si="136"/>
        <v>2</v>
      </c>
    </row>
    <row r="8757" spans="1:4" x14ac:dyDescent="0.3">
      <c r="A8757" s="34">
        <v>60089</v>
      </c>
      <c r="B8757" s="35">
        <v>1</v>
      </c>
      <c r="C8757" s="35">
        <v>0</v>
      </c>
      <c r="D8757" s="2">
        <f t="shared" si="136"/>
        <v>1</v>
      </c>
    </row>
    <row r="8758" spans="1:4" x14ac:dyDescent="0.3">
      <c r="A8758" s="34">
        <v>60092</v>
      </c>
      <c r="B8758" s="35">
        <v>1</v>
      </c>
      <c r="C8758" s="35">
        <v>0</v>
      </c>
      <c r="D8758" s="2">
        <f t="shared" si="136"/>
        <v>1</v>
      </c>
    </row>
    <row r="8759" spans="1:4" x14ac:dyDescent="0.3">
      <c r="A8759" s="34">
        <v>60094</v>
      </c>
      <c r="B8759" s="35">
        <v>1</v>
      </c>
      <c r="C8759" s="35">
        <v>0</v>
      </c>
      <c r="D8759" s="2">
        <f t="shared" si="136"/>
        <v>1</v>
      </c>
    </row>
    <row r="8760" spans="1:4" x14ac:dyDescent="0.3">
      <c r="A8760" s="34">
        <v>60095</v>
      </c>
      <c r="B8760" s="35">
        <v>1</v>
      </c>
      <c r="C8760" s="35">
        <v>0</v>
      </c>
      <c r="D8760" s="2">
        <f t="shared" si="136"/>
        <v>1</v>
      </c>
    </row>
    <row r="8761" spans="1:4" x14ac:dyDescent="0.3">
      <c r="A8761" s="34">
        <v>60096</v>
      </c>
      <c r="B8761" s="35">
        <v>1</v>
      </c>
      <c r="C8761" s="35">
        <v>0</v>
      </c>
      <c r="D8761" s="2">
        <f t="shared" si="136"/>
        <v>1</v>
      </c>
    </row>
    <row r="8762" spans="1:4" x14ac:dyDescent="0.3">
      <c r="A8762" s="34">
        <v>60098</v>
      </c>
      <c r="B8762" s="35">
        <v>1</v>
      </c>
      <c r="C8762" s="35">
        <v>0</v>
      </c>
      <c r="D8762" s="2">
        <f t="shared" si="136"/>
        <v>1</v>
      </c>
    </row>
    <row r="8763" spans="1:4" x14ac:dyDescent="0.3">
      <c r="A8763" s="34">
        <v>60100</v>
      </c>
      <c r="B8763" s="35">
        <v>3</v>
      </c>
      <c r="C8763" s="35">
        <v>2</v>
      </c>
      <c r="D8763" s="2">
        <f t="shared" si="136"/>
        <v>5</v>
      </c>
    </row>
    <row r="8764" spans="1:4" x14ac:dyDescent="0.3">
      <c r="A8764" s="34">
        <v>60105</v>
      </c>
      <c r="B8764" s="35">
        <v>1</v>
      </c>
      <c r="C8764" s="35">
        <v>0</v>
      </c>
      <c r="D8764" s="2">
        <f t="shared" si="136"/>
        <v>1</v>
      </c>
    </row>
    <row r="8765" spans="1:4" x14ac:dyDescent="0.3">
      <c r="A8765" s="34">
        <v>60108</v>
      </c>
      <c r="B8765" s="35">
        <v>1</v>
      </c>
      <c r="C8765" s="35">
        <v>0</v>
      </c>
      <c r="D8765" s="2">
        <f t="shared" si="136"/>
        <v>1</v>
      </c>
    </row>
    <row r="8766" spans="1:4" x14ac:dyDescent="0.3">
      <c r="A8766" s="34">
        <v>60112</v>
      </c>
      <c r="B8766" s="35">
        <v>1</v>
      </c>
      <c r="C8766" s="35">
        <v>0</v>
      </c>
      <c r="D8766" s="2">
        <f t="shared" si="136"/>
        <v>1</v>
      </c>
    </row>
    <row r="8767" spans="1:4" x14ac:dyDescent="0.3">
      <c r="A8767" s="34">
        <v>60113</v>
      </c>
      <c r="B8767" s="35">
        <v>1</v>
      </c>
      <c r="C8767" s="35">
        <v>0</v>
      </c>
      <c r="D8767" s="2">
        <f t="shared" si="136"/>
        <v>1</v>
      </c>
    </row>
    <row r="8768" spans="1:4" x14ac:dyDescent="0.3">
      <c r="A8768" s="34">
        <v>60115</v>
      </c>
      <c r="B8768" s="35">
        <v>1</v>
      </c>
      <c r="C8768" s="35">
        <v>0</v>
      </c>
      <c r="D8768" s="2">
        <f t="shared" si="136"/>
        <v>1</v>
      </c>
    </row>
    <row r="8769" spans="1:4" x14ac:dyDescent="0.3">
      <c r="A8769" s="34">
        <v>60118</v>
      </c>
      <c r="B8769" s="35">
        <v>1</v>
      </c>
      <c r="C8769" s="35">
        <v>0</v>
      </c>
      <c r="D8769" s="2">
        <f t="shared" si="136"/>
        <v>1</v>
      </c>
    </row>
    <row r="8770" spans="1:4" x14ac:dyDescent="0.3">
      <c r="A8770" s="34">
        <v>60119</v>
      </c>
      <c r="B8770" s="35">
        <v>1</v>
      </c>
      <c r="C8770" s="35">
        <v>0</v>
      </c>
      <c r="D8770" s="2">
        <f t="shared" si="136"/>
        <v>1</v>
      </c>
    </row>
    <row r="8771" spans="1:4" x14ac:dyDescent="0.3">
      <c r="A8771" s="34">
        <v>60122</v>
      </c>
      <c r="B8771" s="35">
        <v>1</v>
      </c>
      <c r="C8771" s="35">
        <v>0</v>
      </c>
      <c r="D8771" s="2">
        <f t="shared" ref="D8771:D8834" si="137">B8771+C8771</f>
        <v>1</v>
      </c>
    </row>
    <row r="8772" spans="1:4" x14ac:dyDescent="0.3">
      <c r="A8772" s="34">
        <v>60123</v>
      </c>
      <c r="B8772" s="35">
        <v>1</v>
      </c>
      <c r="C8772" s="35">
        <v>1</v>
      </c>
      <c r="D8772" s="2">
        <f t="shared" si="137"/>
        <v>2</v>
      </c>
    </row>
    <row r="8773" spans="1:4" x14ac:dyDescent="0.3">
      <c r="A8773" s="34">
        <v>60126</v>
      </c>
      <c r="B8773" s="35">
        <v>1</v>
      </c>
      <c r="C8773" s="35">
        <v>1</v>
      </c>
      <c r="D8773" s="2">
        <f t="shared" si="137"/>
        <v>2</v>
      </c>
    </row>
    <row r="8774" spans="1:4" x14ac:dyDescent="0.3">
      <c r="A8774" s="34">
        <v>60132</v>
      </c>
      <c r="B8774" s="35">
        <v>1</v>
      </c>
      <c r="C8774" s="35">
        <v>0</v>
      </c>
      <c r="D8774" s="2">
        <f t="shared" si="137"/>
        <v>1</v>
      </c>
    </row>
    <row r="8775" spans="1:4" x14ac:dyDescent="0.3">
      <c r="A8775" s="34">
        <v>60135</v>
      </c>
      <c r="B8775" s="35">
        <v>1</v>
      </c>
      <c r="C8775" s="35">
        <v>0</v>
      </c>
      <c r="D8775" s="2">
        <f t="shared" si="137"/>
        <v>1</v>
      </c>
    </row>
    <row r="8776" spans="1:4" x14ac:dyDescent="0.3">
      <c r="A8776" s="34">
        <v>60136</v>
      </c>
      <c r="B8776" s="35">
        <v>3</v>
      </c>
      <c r="C8776" s="35">
        <v>2</v>
      </c>
      <c r="D8776" s="2">
        <f t="shared" si="137"/>
        <v>5</v>
      </c>
    </row>
    <row r="8777" spans="1:4" x14ac:dyDescent="0.3">
      <c r="A8777" s="34">
        <v>60137</v>
      </c>
      <c r="B8777" s="35">
        <v>1</v>
      </c>
      <c r="C8777" s="35">
        <v>1</v>
      </c>
      <c r="D8777" s="2">
        <f t="shared" si="137"/>
        <v>2</v>
      </c>
    </row>
    <row r="8778" spans="1:4" x14ac:dyDescent="0.3">
      <c r="A8778" s="34">
        <v>60138</v>
      </c>
      <c r="B8778" s="35">
        <v>1</v>
      </c>
      <c r="C8778" s="35">
        <v>0</v>
      </c>
      <c r="D8778" s="2">
        <f t="shared" si="137"/>
        <v>1</v>
      </c>
    </row>
    <row r="8779" spans="1:4" x14ac:dyDescent="0.3">
      <c r="A8779" s="34">
        <v>60139</v>
      </c>
      <c r="B8779" s="35">
        <v>1</v>
      </c>
      <c r="C8779" s="35">
        <v>0</v>
      </c>
      <c r="D8779" s="2">
        <f t="shared" si="137"/>
        <v>1</v>
      </c>
    </row>
    <row r="8780" spans="1:4" x14ac:dyDescent="0.3">
      <c r="A8780" s="34">
        <v>60140</v>
      </c>
      <c r="B8780" s="35">
        <v>1</v>
      </c>
      <c r="C8780" s="35">
        <v>1</v>
      </c>
      <c r="D8780" s="2">
        <f t="shared" si="137"/>
        <v>2</v>
      </c>
    </row>
    <row r="8781" spans="1:4" x14ac:dyDescent="0.3">
      <c r="A8781" s="34">
        <v>60143</v>
      </c>
      <c r="B8781" s="35">
        <v>2</v>
      </c>
      <c r="C8781" s="35">
        <v>0</v>
      </c>
      <c r="D8781" s="2">
        <f t="shared" si="137"/>
        <v>2</v>
      </c>
    </row>
    <row r="8782" spans="1:4" x14ac:dyDescent="0.3">
      <c r="A8782" s="34">
        <v>60144</v>
      </c>
      <c r="B8782" s="35">
        <v>1</v>
      </c>
      <c r="C8782" s="35">
        <v>1</v>
      </c>
      <c r="D8782" s="2">
        <f t="shared" si="137"/>
        <v>2</v>
      </c>
    </row>
    <row r="8783" spans="1:4" x14ac:dyDescent="0.3">
      <c r="A8783" s="34">
        <v>60147</v>
      </c>
      <c r="B8783" s="35">
        <v>1</v>
      </c>
      <c r="C8783" s="35">
        <v>0</v>
      </c>
      <c r="D8783" s="2">
        <f t="shared" si="137"/>
        <v>1</v>
      </c>
    </row>
    <row r="8784" spans="1:4" x14ac:dyDescent="0.3">
      <c r="A8784" s="34">
        <v>60148</v>
      </c>
      <c r="B8784" s="35">
        <v>3</v>
      </c>
      <c r="C8784" s="35">
        <v>1</v>
      </c>
      <c r="D8784" s="2">
        <f t="shared" si="137"/>
        <v>4</v>
      </c>
    </row>
    <row r="8785" spans="1:4" x14ac:dyDescent="0.3">
      <c r="A8785" s="34">
        <v>60149</v>
      </c>
      <c r="B8785" s="35">
        <v>1</v>
      </c>
      <c r="C8785" s="35">
        <v>0</v>
      </c>
      <c r="D8785" s="2">
        <f t="shared" si="137"/>
        <v>1</v>
      </c>
    </row>
    <row r="8786" spans="1:4" x14ac:dyDescent="0.3">
      <c r="A8786" s="34">
        <v>60154</v>
      </c>
      <c r="B8786" s="35">
        <v>1</v>
      </c>
      <c r="C8786" s="35">
        <v>0</v>
      </c>
      <c r="D8786" s="2">
        <f t="shared" si="137"/>
        <v>1</v>
      </c>
    </row>
    <row r="8787" spans="1:4" x14ac:dyDescent="0.3">
      <c r="A8787" s="34">
        <v>60155</v>
      </c>
      <c r="B8787" s="35">
        <v>1</v>
      </c>
      <c r="C8787" s="35">
        <v>0</v>
      </c>
      <c r="D8787" s="2">
        <f t="shared" si="137"/>
        <v>1</v>
      </c>
    </row>
    <row r="8788" spans="1:4" x14ac:dyDescent="0.3">
      <c r="A8788" s="34">
        <v>60157</v>
      </c>
      <c r="B8788" s="35">
        <v>1</v>
      </c>
      <c r="C8788" s="35">
        <v>0</v>
      </c>
      <c r="D8788" s="2">
        <f t="shared" si="137"/>
        <v>1</v>
      </c>
    </row>
    <row r="8789" spans="1:4" x14ac:dyDescent="0.3">
      <c r="A8789" s="34">
        <v>60158</v>
      </c>
      <c r="B8789" s="35">
        <v>1</v>
      </c>
      <c r="C8789" s="35">
        <v>0</v>
      </c>
      <c r="D8789" s="2">
        <f t="shared" si="137"/>
        <v>1</v>
      </c>
    </row>
    <row r="8790" spans="1:4" x14ac:dyDescent="0.3">
      <c r="A8790" s="34">
        <v>60161</v>
      </c>
      <c r="B8790" s="35">
        <v>1</v>
      </c>
      <c r="C8790" s="35">
        <v>0</v>
      </c>
      <c r="D8790" s="2">
        <f t="shared" si="137"/>
        <v>1</v>
      </c>
    </row>
    <row r="8791" spans="1:4" x14ac:dyDescent="0.3">
      <c r="A8791" s="34">
        <v>60166</v>
      </c>
      <c r="B8791" s="35">
        <v>1</v>
      </c>
      <c r="C8791" s="35">
        <v>1</v>
      </c>
      <c r="D8791" s="2">
        <f t="shared" si="137"/>
        <v>2</v>
      </c>
    </row>
    <row r="8792" spans="1:4" x14ac:dyDescent="0.3">
      <c r="A8792" s="34">
        <v>60167</v>
      </c>
      <c r="B8792" s="35">
        <v>2</v>
      </c>
      <c r="C8792" s="35">
        <v>0</v>
      </c>
      <c r="D8792" s="2">
        <f t="shared" si="137"/>
        <v>2</v>
      </c>
    </row>
    <row r="8793" spans="1:4" x14ac:dyDescent="0.3">
      <c r="A8793" s="34">
        <v>60168</v>
      </c>
      <c r="B8793" s="35">
        <v>1</v>
      </c>
      <c r="C8793" s="35">
        <v>0</v>
      </c>
      <c r="D8793" s="2">
        <f t="shared" si="137"/>
        <v>1</v>
      </c>
    </row>
    <row r="8794" spans="1:4" x14ac:dyDescent="0.3">
      <c r="A8794" s="34">
        <v>60169</v>
      </c>
      <c r="B8794" s="35">
        <v>1</v>
      </c>
      <c r="C8794" s="35">
        <v>0</v>
      </c>
      <c r="D8794" s="2">
        <f t="shared" si="137"/>
        <v>1</v>
      </c>
    </row>
    <row r="8795" spans="1:4" x14ac:dyDescent="0.3">
      <c r="A8795" s="34">
        <v>60174</v>
      </c>
      <c r="B8795" s="35">
        <v>2</v>
      </c>
      <c r="C8795" s="35">
        <v>1</v>
      </c>
      <c r="D8795" s="2">
        <f t="shared" si="137"/>
        <v>3</v>
      </c>
    </row>
    <row r="8796" spans="1:4" x14ac:dyDescent="0.3">
      <c r="A8796" s="34">
        <v>60175</v>
      </c>
      <c r="B8796" s="35">
        <v>1</v>
      </c>
      <c r="C8796" s="35">
        <v>0</v>
      </c>
      <c r="D8796" s="2">
        <f t="shared" si="137"/>
        <v>1</v>
      </c>
    </row>
    <row r="8797" spans="1:4" x14ac:dyDescent="0.3">
      <c r="A8797" s="34">
        <v>60184</v>
      </c>
      <c r="B8797" s="35">
        <v>1</v>
      </c>
      <c r="C8797" s="35">
        <v>0</v>
      </c>
      <c r="D8797" s="2">
        <f t="shared" si="137"/>
        <v>1</v>
      </c>
    </row>
    <row r="8798" spans="1:4" x14ac:dyDescent="0.3">
      <c r="A8798" s="34">
        <v>60187</v>
      </c>
      <c r="B8798" s="35">
        <v>1</v>
      </c>
      <c r="C8798" s="35">
        <v>0</v>
      </c>
      <c r="D8798" s="2">
        <f t="shared" si="137"/>
        <v>1</v>
      </c>
    </row>
    <row r="8799" spans="1:4" x14ac:dyDescent="0.3">
      <c r="A8799" s="34">
        <v>60188</v>
      </c>
      <c r="B8799" s="35">
        <v>1</v>
      </c>
      <c r="C8799" s="35">
        <v>0</v>
      </c>
      <c r="D8799" s="2">
        <f t="shared" si="137"/>
        <v>1</v>
      </c>
    </row>
    <row r="8800" spans="1:4" x14ac:dyDescent="0.3">
      <c r="A8800" s="34">
        <v>60190</v>
      </c>
      <c r="B8800" s="35">
        <v>1</v>
      </c>
      <c r="C8800" s="35">
        <v>0</v>
      </c>
      <c r="D8800" s="2">
        <f t="shared" si="137"/>
        <v>1</v>
      </c>
    </row>
    <row r="8801" spans="1:4" x14ac:dyDescent="0.3">
      <c r="A8801" s="34">
        <v>60192</v>
      </c>
      <c r="B8801" s="35">
        <v>1</v>
      </c>
      <c r="C8801" s="35">
        <v>0</v>
      </c>
      <c r="D8801" s="2">
        <f t="shared" si="137"/>
        <v>1</v>
      </c>
    </row>
    <row r="8802" spans="1:4" x14ac:dyDescent="0.3">
      <c r="A8802" s="34">
        <v>60193</v>
      </c>
      <c r="B8802" s="35">
        <v>1</v>
      </c>
      <c r="C8802" s="35">
        <v>0</v>
      </c>
      <c r="D8802" s="2">
        <f t="shared" si="137"/>
        <v>1</v>
      </c>
    </row>
    <row r="8803" spans="1:4" x14ac:dyDescent="0.3">
      <c r="A8803" s="34">
        <v>60194</v>
      </c>
      <c r="B8803" s="35">
        <v>1</v>
      </c>
      <c r="C8803" s="35">
        <v>0</v>
      </c>
      <c r="D8803" s="2">
        <f t="shared" si="137"/>
        <v>1</v>
      </c>
    </row>
    <row r="8804" spans="1:4" x14ac:dyDescent="0.3">
      <c r="A8804" s="34">
        <v>60195</v>
      </c>
      <c r="B8804" s="35">
        <v>1</v>
      </c>
      <c r="C8804" s="35">
        <v>0</v>
      </c>
      <c r="D8804" s="2">
        <f t="shared" si="137"/>
        <v>1</v>
      </c>
    </row>
    <row r="8805" spans="1:4" x14ac:dyDescent="0.3">
      <c r="A8805" s="34">
        <v>60197</v>
      </c>
      <c r="B8805" s="35">
        <v>1</v>
      </c>
      <c r="C8805" s="35">
        <v>0</v>
      </c>
      <c r="D8805" s="2">
        <f t="shared" si="137"/>
        <v>1</v>
      </c>
    </row>
    <row r="8806" spans="1:4" x14ac:dyDescent="0.3">
      <c r="A8806" s="34">
        <v>60199</v>
      </c>
      <c r="B8806" s="35">
        <v>1</v>
      </c>
      <c r="C8806" s="35">
        <v>0</v>
      </c>
      <c r="D8806" s="2">
        <f t="shared" si="137"/>
        <v>1</v>
      </c>
    </row>
    <row r="8807" spans="1:4" x14ac:dyDescent="0.3">
      <c r="A8807" s="34">
        <v>60200</v>
      </c>
      <c r="B8807" s="35">
        <v>1</v>
      </c>
      <c r="C8807" s="35">
        <v>0</v>
      </c>
      <c r="D8807" s="2">
        <f t="shared" si="137"/>
        <v>1</v>
      </c>
    </row>
    <row r="8808" spans="1:4" x14ac:dyDescent="0.3">
      <c r="A8808" s="34">
        <v>60202</v>
      </c>
      <c r="B8808" s="35">
        <v>1</v>
      </c>
      <c r="C8808" s="35">
        <v>0</v>
      </c>
      <c r="D8808" s="2">
        <f t="shared" si="137"/>
        <v>1</v>
      </c>
    </row>
    <row r="8809" spans="1:4" x14ac:dyDescent="0.3">
      <c r="A8809" s="34">
        <v>60203</v>
      </c>
      <c r="B8809" s="35">
        <v>1</v>
      </c>
      <c r="C8809" s="35">
        <v>0</v>
      </c>
      <c r="D8809" s="2">
        <f t="shared" si="137"/>
        <v>1</v>
      </c>
    </row>
    <row r="8810" spans="1:4" x14ac:dyDescent="0.3">
      <c r="A8810" s="34">
        <v>60207</v>
      </c>
      <c r="B8810" s="35">
        <v>1</v>
      </c>
      <c r="C8810" s="35">
        <v>0</v>
      </c>
      <c r="D8810" s="2">
        <f t="shared" si="137"/>
        <v>1</v>
      </c>
    </row>
    <row r="8811" spans="1:4" x14ac:dyDescent="0.3">
      <c r="A8811" s="34">
        <v>60208</v>
      </c>
      <c r="B8811" s="35">
        <v>1</v>
      </c>
      <c r="C8811" s="35">
        <v>0</v>
      </c>
      <c r="D8811" s="2">
        <f t="shared" si="137"/>
        <v>1</v>
      </c>
    </row>
    <row r="8812" spans="1:4" x14ac:dyDescent="0.3">
      <c r="A8812" s="34">
        <v>60210</v>
      </c>
      <c r="B8812" s="35">
        <v>1</v>
      </c>
      <c r="C8812" s="35">
        <v>0</v>
      </c>
      <c r="D8812" s="2">
        <f t="shared" si="137"/>
        <v>1</v>
      </c>
    </row>
    <row r="8813" spans="1:4" x14ac:dyDescent="0.3">
      <c r="A8813" s="34">
        <v>60211</v>
      </c>
      <c r="B8813" s="35">
        <v>1</v>
      </c>
      <c r="C8813" s="35">
        <v>1</v>
      </c>
      <c r="D8813" s="2">
        <f t="shared" si="137"/>
        <v>2</v>
      </c>
    </row>
    <row r="8814" spans="1:4" x14ac:dyDescent="0.3">
      <c r="A8814" s="34">
        <v>60216</v>
      </c>
      <c r="B8814" s="35">
        <v>1</v>
      </c>
      <c r="C8814" s="35">
        <v>0</v>
      </c>
      <c r="D8814" s="2">
        <f t="shared" si="137"/>
        <v>1</v>
      </c>
    </row>
    <row r="8815" spans="1:4" x14ac:dyDescent="0.3">
      <c r="A8815" s="34">
        <v>60221</v>
      </c>
      <c r="B8815" s="35">
        <v>1</v>
      </c>
      <c r="C8815" s="35">
        <v>0</v>
      </c>
      <c r="D8815" s="2">
        <f t="shared" si="137"/>
        <v>1</v>
      </c>
    </row>
    <row r="8816" spans="1:4" x14ac:dyDescent="0.3">
      <c r="A8816" s="34">
        <v>60224</v>
      </c>
      <c r="B8816" s="35">
        <v>1</v>
      </c>
      <c r="C8816" s="35">
        <v>0</v>
      </c>
      <c r="D8816" s="2">
        <f t="shared" si="137"/>
        <v>1</v>
      </c>
    </row>
    <row r="8817" spans="1:4" x14ac:dyDescent="0.3">
      <c r="A8817" s="34">
        <v>60225</v>
      </c>
      <c r="B8817" s="35">
        <v>1</v>
      </c>
      <c r="C8817" s="35">
        <v>0</v>
      </c>
      <c r="D8817" s="2">
        <f t="shared" si="137"/>
        <v>1</v>
      </c>
    </row>
    <row r="8818" spans="1:4" x14ac:dyDescent="0.3">
      <c r="A8818" s="34">
        <v>60237</v>
      </c>
      <c r="B8818" s="35">
        <v>1</v>
      </c>
      <c r="C8818" s="35">
        <v>0</v>
      </c>
      <c r="D8818" s="2">
        <f t="shared" si="137"/>
        <v>1</v>
      </c>
    </row>
    <row r="8819" spans="1:4" x14ac:dyDescent="0.3">
      <c r="A8819" s="34">
        <v>60238</v>
      </c>
      <c r="B8819" s="35">
        <v>1</v>
      </c>
      <c r="C8819" s="35">
        <v>0</v>
      </c>
      <c r="D8819" s="2">
        <f t="shared" si="137"/>
        <v>1</v>
      </c>
    </row>
    <row r="8820" spans="1:4" x14ac:dyDescent="0.3">
      <c r="A8820" s="34">
        <v>60240</v>
      </c>
      <c r="B8820" s="35">
        <v>1</v>
      </c>
      <c r="C8820" s="35">
        <v>1</v>
      </c>
      <c r="D8820" s="2">
        <f t="shared" si="137"/>
        <v>2</v>
      </c>
    </row>
    <row r="8821" spans="1:4" x14ac:dyDescent="0.3">
      <c r="A8821" s="34">
        <v>60242</v>
      </c>
      <c r="B8821" s="35">
        <v>2</v>
      </c>
      <c r="C8821" s="35">
        <v>2</v>
      </c>
      <c r="D8821" s="2">
        <f t="shared" si="137"/>
        <v>4</v>
      </c>
    </row>
    <row r="8822" spans="1:4" x14ac:dyDescent="0.3">
      <c r="A8822" s="34">
        <v>60245</v>
      </c>
      <c r="B8822" s="35">
        <v>1</v>
      </c>
      <c r="C8822" s="35">
        <v>0</v>
      </c>
      <c r="D8822" s="2">
        <f t="shared" si="137"/>
        <v>1</v>
      </c>
    </row>
    <row r="8823" spans="1:4" x14ac:dyDescent="0.3">
      <c r="A8823" s="34">
        <v>60255</v>
      </c>
      <c r="B8823" s="35">
        <v>2</v>
      </c>
      <c r="C8823" s="35">
        <v>0</v>
      </c>
      <c r="D8823" s="2">
        <f t="shared" si="137"/>
        <v>2</v>
      </c>
    </row>
    <row r="8824" spans="1:4" x14ac:dyDescent="0.3">
      <c r="A8824" s="34">
        <v>60256</v>
      </c>
      <c r="B8824" s="35">
        <v>1</v>
      </c>
      <c r="C8824" s="35">
        <v>0</v>
      </c>
      <c r="D8824" s="2">
        <f t="shared" si="137"/>
        <v>1</v>
      </c>
    </row>
    <row r="8825" spans="1:4" x14ac:dyDescent="0.3">
      <c r="A8825" s="34">
        <v>60259</v>
      </c>
      <c r="B8825" s="35">
        <v>1</v>
      </c>
      <c r="C8825" s="35">
        <v>0</v>
      </c>
      <c r="D8825" s="2">
        <f t="shared" si="137"/>
        <v>1</v>
      </c>
    </row>
    <row r="8826" spans="1:4" x14ac:dyDescent="0.3">
      <c r="A8826" s="34">
        <v>60260</v>
      </c>
      <c r="B8826" s="35">
        <v>1</v>
      </c>
      <c r="C8826" s="35">
        <v>0</v>
      </c>
      <c r="D8826" s="2">
        <f t="shared" si="137"/>
        <v>1</v>
      </c>
    </row>
    <row r="8827" spans="1:4" x14ac:dyDescent="0.3">
      <c r="A8827" s="34">
        <v>60261</v>
      </c>
      <c r="B8827" s="35">
        <v>1</v>
      </c>
      <c r="C8827" s="35">
        <v>0</v>
      </c>
      <c r="D8827" s="2">
        <f t="shared" si="137"/>
        <v>1</v>
      </c>
    </row>
    <row r="8828" spans="1:4" x14ac:dyDescent="0.3">
      <c r="A8828" s="34">
        <v>60263</v>
      </c>
      <c r="B8828" s="35">
        <v>1</v>
      </c>
      <c r="C8828" s="35">
        <v>1</v>
      </c>
      <c r="D8828" s="2">
        <f t="shared" si="137"/>
        <v>2</v>
      </c>
    </row>
    <row r="8829" spans="1:4" x14ac:dyDescent="0.3">
      <c r="A8829" s="34">
        <v>60266</v>
      </c>
      <c r="B8829" s="35">
        <v>1</v>
      </c>
      <c r="C8829" s="35">
        <v>1</v>
      </c>
      <c r="D8829" s="2">
        <f t="shared" si="137"/>
        <v>2</v>
      </c>
    </row>
    <row r="8830" spans="1:4" x14ac:dyDescent="0.3">
      <c r="A8830" s="34">
        <v>60268</v>
      </c>
      <c r="B8830" s="35">
        <v>1</v>
      </c>
      <c r="C8830" s="35">
        <v>0</v>
      </c>
      <c r="D8830" s="2">
        <f t="shared" si="137"/>
        <v>1</v>
      </c>
    </row>
    <row r="8831" spans="1:4" x14ac:dyDescent="0.3">
      <c r="A8831" s="34">
        <v>60270</v>
      </c>
      <c r="B8831" s="35">
        <v>2</v>
      </c>
      <c r="C8831" s="35">
        <v>1</v>
      </c>
      <c r="D8831" s="2">
        <f t="shared" si="137"/>
        <v>3</v>
      </c>
    </row>
    <row r="8832" spans="1:4" x14ac:dyDescent="0.3">
      <c r="A8832" s="34">
        <v>60294</v>
      </c>
      <c r="B8832" s="35">
        <v>1</v>
      </c>
      <c r="C8832" s="35">
        <v>0</v>
      </c>
      <c r="D8832" s="2">
        <f t="shared" si="137"/>
        <v>1</v>
      </c>
    </row>
    <row r="8833" spans="1:4" x14ac:dyDescent="0.3">
      <c r="A8833" s="34">
        <v>60299</v>
      </c>
      <c r="B8833" s="35">
        <v>1</v>
      </c>
      <c r="C8833" s="35">
        <v>0</v>
      </c>
      <c r="D8833" s="2">
        <f t="shared" si="137"/>
        <v>1</v>
      </c>
    </row>
    <row r="8834" spans="1:4" x14ac:dyDescent="0.3">
      <c r="A8834" s="34">
        <v>60300</v>
      </c>
      <c r="B8834" s="35">
        <v>1</v>
      </c>
      <c r="C8834" s="35">
        <v>0</v>
      </c>
      <c r="D8834" s="2">
        <f t="shared" si="137"/>
        <v>1</v>
      </c>
    </row>
    <row r="8835" spans="1:4" x14ac:dyDescent="0.3">
      <c r="A8835" s="34">
        <v>60301</v>
      </c>
      <c r="B8835" s="35">
        <v>1</v>
      </c>
      <c r="C8835" s="35">
        <v>1</v>
      </c>
      <c r="D8835" s="2">
        <f t="shared" ref="D8835:D8898" si="138">B8835+C8835</f>
        <v>2</v>
      </c>
    </row>
    <row r="8836" spans="1:4" x14ac:dyDescent="0.3">
      <c r="A8836" s="34">
        <v>60303</v>
      </c>
      <c r="B8836" s="35">
        <v>1</v>
      </c>
      <c r="C8836" s="35">
        <v>0</v>
      </c>
      <c r="D8836" s="2">
        <f t="shared" si="138"/>
        <v>1</v>
      </c>
    </row>
    <row r="8837" spans="1:4" x14ac:dyDescent="0.3">
      <c r="A8837" s="34">
        <v>60304</v>
      </c>
      <c r="B8837" s="35">
        <v>1</v>
      </c>
      <c r="C8837" s="35">
        <v>0</v>
      </c>
      <c r="D8837" s="2">
        <f t="shared" si="138"/>
        <v>1</v>
      </c>
    </row>
    <row r="8838" spans="1:4" x14ac:dyDescent="0.3">
      <c r="A8838" s="34">
        <v>60306</v>
      </c>
      <c r="B8838" s="35">
        <v>1</v>
      </c>
      <c r="C8838" s="35">
        <v>0</v>
      </c>
      <c r="D8838" s="2">
        <f t="shared" si="138"/>
        <v>1</v>
      </c>
    </row>
    <row r="8839" spans="1:4" x14ac:dyDescent="0.3">
      <c r="A8839" s="34">
        <v>60312</v>
      </c>
      <c r="B8839" s="35">
        <v>1</v>
      </c>
      <c r="C8839" s="35">
        <v>0</v>
      </c>
      <c r="D8839" s="2">
        <f t="shared" si="138"/>
        <v>1</v>
      </c>
    </row>
    <row r="8840" spans="1:4" x14ac:dyDescent="0.3">
      <c r="A8840" s="34">
        <v>60315</v>
      </c>
      <c r="B8840" s="35">
        <v>1</v>
      </c>
      <c r="C8840" s="35">
        <v>0</v>
      </c>
      <c r="D8840" s="2">
        <f t="shared" si="138"/>
        <v>1</v>
      </c>
    </row>
    <row r="8841" spans="1:4" x14ac:dyDescent="0.3">
      <c r="A8841" s="34">
        <v>60318</v>
      </c>
      <c r="B8841" s="35">
        <v>2</v>
      </c>
      <c r="C8841" s="35">
        <v>2</v>
      </c>
      <c r="D8841" s="2">
        <f t="shared" si="138"/>
        <v>4</v>
      </c>
    </row>
    <row r="8842" spans="1:4" x14ac:dyDescent="0.3">
      <c r="A8842" s="34">
        <v>60320</v>
      </c>
      <c r="B8842" s="35">
        <v>1</v>
      </c>
      <c r="C8842" s="35">
        <v>0</v>
      </c>
      <c r="D8842" s="2">
        <f t="shared" si="138"/>
        <v>1</v>
      </c>
    </row>
    <row r="8843" spans="1:4" x14ac:dyDescent="0.3">
      <c r="A8843" s="34">
        <v>60322</v>
      </c>
      <c r="B8843" s="35">
        <v>1</v>
      </c>
      <c r="C8843" s="35">
        <v>0</v>
      </c>
      <c r="D8843" s="2">
        <f t="shared" si="138"/>
        <v>1</v>
      </c>
    </row>
    <row r="8844" spans="1:4" x14ac:dyDescent="0.3">
      <c r="A8844" s="34">
        <v>60323</v>
      </c>
      <c r="B8844" s="35">
        <v>1</v>
      </c>
      <c r="C8844" s="35">
        <v>0</v>
      </c>
      <c r="D8844" s="2">
        <f t="shared" si="138"/>
        <v>1</v>
      </c>
    </row>
    <row r="8845" spans="1:4" x14ac:dyDescent="0.3">
      <c r="A8845" s="34">
        <v>60324</v>
      </c>
      <c r="B8845" s="35">
        <v>1</v>
      </c>
      <c r="C8845" s="35">
        <v>1</v>
      </c>
      <c r="D8845" s="2">
        <f t="shared" si="138"/>
        <v>2</v>
      </c>
    </row>
    <row r="8846" spans="1:4" x14ac:dyDescent="0.3">
      <c r="A8846" s="34">
        <v>60325</v>
      </c>
      <c r="B8846" s="35">
        <v>1</v>
      </c>
      <c r="C8846" s="35">
        <v>0</v>
      </c>
      <c r="D8846" s="2">
        <f t="shared" si="138"/>
        <v>1</v>
      </c>
    </row>
    <row r="8847" spans="1:4" x14ac:dyDescent="0.3">
      <c r="A8847" s="34">
        <v>60326</v>
      </c>
      <c r="B8847" s="35">
        <v>1</v>
      </c>
      <c r="C8847" s="35">
        <v>0</v>
      </c>
      <c r="D8847" s="2">
        <f t="shared" si="138"/>
        <v>1</v>
      </c>
    </row>
    <row r="8848" spans="1:4" x14ac:dyDescent="0.3">
      <c r="A8848" s="34">
        <v>60327</v>
      </c>
      <c r="B8848" s="35">
        <v>1</v>
      </c>
      <c r="C8848" s="35">
        <v>1</v>
      </c>
      <c r="D8848" s="2">
        <f t="shared" si="138"/>
        <v>2</v>
      </c>
    </row>
    <row r="8849" spans="1:4" x14ac:dyDescent="0.3">
      <c r="A8849" s="34">
        <v>60330</v>
      </c>
      <c r="B8849" s="35">
        <v>1</v>
      </c>
      <c r="C8849" s="35">
        <v>1</v>
      </c>
      <c r="D8849" s="2">
        <f t="shared" si="138"/>
        <v>2</v>
      </c>
    </row>
    <row r="8850" spans="1:4" x14ac:dyDescent="0.3">
      <c r="A8850" s="34">
        <v>60332</v>
      </c>
      <c r="B8850" s="35">
        <v>1</v>
      </c>
      <c r="C8850" s="35">
        <v>0</v>
      </c>
      <c r="D8850" s="2">
        <f t="shared" si="138"/>
        <v>1</v>
      </c>
    </row>
    <row r="8851" spans="1:4" x14ac:dyDescent="0.3">
      <c r="A8851" s="34">
        <v>60335</v>
      </c>
      <c r="B8851" s="35">
        <v>1</v>
      </c>
      <c r="C8851" s="35">
        <v>0</v>
      </c>
      <c r="D8851" s="2">
        <f t="shared" si="138"/>
        <v>1</v>
      </c>
    </row>
    <row r="8852" spans="1:4" x14ac:dyDescent="0.3">
      <c r="A8852" s="34">
        <v>60336</v>
      </c>
      <c r="B8852" s="35">
        <v>1</v>
      </c>
      <c r="C8852" s="35">
        <v>0</v>
      </c>
      <c r="D8852" s="2">
        <f t="shared" si="138"/>
        <v>1</v>
      </c>
    </row>
    <row r="8853" spans="1:4" x14ac:dyDescent="0.3">
      <c r="A8853" s="34">
        <v>60337</v>
      </c>
      <c r="B8853" s="35">
        <v>1</v>
      </c>
      <c r="C8853" s="35">
        <v>0</v>
      </c>
      <c r="D8853" s="2">
        <f t="shared" si="138"/>
        <v>1</v>
      </c>
    </row>
    <row r="8854" spans="1:4" x14ac:dyDescent="0.3">
      <c r="A8854" s="34">
        <v>60338</v>
      </c>
      <c r="B8854" s="35">
        <v>1</v>
      </c>
      <c r="C8854" s="35">
        <v>0</v>
      </c>
      <c r="D8854" s="2">
        <f t="shared" si="138"/>
        <v>1</v>
      </c>
    </row>
    <row r="8855" spans="1:4" x14ac:dyDescent="0.3">
      <c r="A8855" s="34">
        <v>60340</v>
      </c>
      <c r="B8855" s="35">
        <v>1</v>
      </c>
      <c r="C8855" s="35">
        <v>0</v>
      </c>
      <c r="D8855" s="2">
        <f t="shared" si="138"/>
        <v>1</v>
      </c>
    </row>
    <row r="8856" spans="1:4" x14ac:dyDescent="0.3">
      <c r="A8856" s="34">
        <v>60341</v>
      </c>
      <c r="B8856" s="35">
        <v>1</v>
      </c>
      <c r="C8856" s="35">
        <v>1</v>
      </c>
      <c r="D8856" s="2">
        <f t="shared" si="138"/>
        <v>2</v>
      </c>
    </row>
    <row r="8857" spans="1:4" x14ac:dyDescent="0.3">
      <c r="A8857" s="34">
        <v>60343</v>
      </c>
      <c r="B8857" s="35">
        <v>1</v>
      </c>
      <c r="C8857" s="35">
        <v>0</v>
      </c>
      <c r="D8857" s="2">
        <f t="shared" si="138"/>
        <v>1</v>
      </c>
    </row>
    <row r="8858" spans="1:4" x14ac:dyDescent="0.3">
      <c r="A8858" s="34">
        <v>60344</v>
      </c>
      <c r="B8858" s="35">
        <v>1</v>
      </c>
      <c r="C8858" s="35">
        <v>0</v>
      </c>
      <c r="D8858" s="2">
        <f t="shared" si="138"/>
        <v>1</v>
      </c>
    </row>
    <row r="8859" spans="1:4" x14ac:dyDescent="0.3">
      <c r="A8859" s="34">
        <v>60347</v>
      </c>
      <c r="B8859" s="35">
        <v>1</v>
      </c>
      <c r="C8859" s="35">
        <v>0</v>
      </c>
      <c r="D8859" s="2">
        <f t="shared" si="138"/>
        <v>1</v>
      </c>
    </row>
    <row r="8860" spans="1:4" x14ac:dyDescent="0.3">
      <c r="A8860" s="34">
        <v>60350</v>
      </c>
      <c r="B8860" s="35">
        <v>1</v>
      </c>
      <c r="C8860" s="35">
        <v>0</v>
      </c>
      <c r="D8860" s="2">
        <f t="shared" si="138"/>
        <v>1</v>
      </c>
    </row>
    <row r="8861" spans="1:4" x14ac:dyDescent="0.3">
      <c r="A8861" s="34">
        <v>60351</v>
      </c>
      <c r="B8861" s="35">
        <v>1</v>
      </c>
      <c r="C8861" s="35">
        <v>0</v>
      </c>
      <c r="D8861" s="2">
        <f t="shared" si="138"/>
        <v>1</v>
      </c>
    </row>
    <row r="8862" spans="1:4" x14ac:dyDescent="0.3">
      <c r="A8862" s="34">
        <v>60352</v>
      </c>
      <c r="B8862" s="35">
        <v>1</v>
      </c>
      <c r="C8862" s="35">
        <v>0</v>
      </c>
      <c r="D8862" s="2">
        <f t="shared" si="138"/>
        <v>1</v>
      </c>
    </row>
    <row r="8863" spans="1:4" x14ac:dyDescent="0.3">
      <c r="A8863" s="34">
        <v>60354</v>
      </c>
      <c r="B8863" s="35">
        <v>1</v>
      </c>
      <c r="C8863" s="35">
        <v>0</v>
      </c>
      <c r="D8863" s="2">
        <f t="shared" si="138"/>
        <v>1</v>
      </c>
    </row>
    <row r="8864" spans="1:4" x14ac:dyDescent="0.3">
      <c r="A8864" s="34">
        <v>60355</v>
      </c>
      <c r="B8864" s="35">
        <v>1</v>
      </c>
      <c r="C8864" s="35">
        <v>0</v>
      </c>
      <c r="D8864" s="2">
        <f t="shared" si="138"/>
        <v>1</v>
      </c>
    </row>
    <row r="8865" spans="1:4" x14ac:dyDescent="0.3">
      <c r="A8865" s="34">
        <v>60357</v>
      </c>
      <c r="B8865" s="35">
        <v>1</v>
      </c>
      <c r="C8865" s="35">
        <v>0</v>
      </c>
      <c r="D8865" s="2">
        <f t="shared" si="138"/>
        <v>1</v>
      </c>
    </row>
    <row r="8866" spans="1:4" x14ac:dyDescent="0.3">
      <c r="A8866" s="34">
        <v>60358</v>
      </c>
      <c r="B8866" s="35">
        <v>1</v>
      </c>
      <c r="C8866" s="35">
        <v>0</v>
      </c>
      <c r="D8866" s="2">
        <f t="shared" si="138"/>
        <v>1</v>
      </c>
    </row>
    <row r="8867" spans="1:4" x14ac:dyDescent="0.3">
      <c r="A8867" s="34">
        <v>60361</v>
      </c>
      <c r="B8867" s="35">
        <v>1</v>
      </c>
      <c r="C8867" s="35">
        <v>0</v>
      </c>
      <c r="D8867" s="2">
        <f t="shared" si="138"/>
        <v>1</v>
      </c>
    </row>
    <row r="8868" spans="1:4" x14ac:dyDescent="0.3">
      <c r="A8868" s="34">
        <v>60364</v>
      </c>
      <c r="B8868" s="35">
        <v>1</v>
      </c>
      <c r="C8868" s="35">
        <v>0</v>
      </c>
      <c r="D8868" s="2">
        <f t="shared" si="138"/>
        <v>1</v>
      </c>
    </row>
    <row r="8869" spans="1:4" x14ac:dyDescent="0.3">
      <c r="A8869" s="34">
        <v>60366</v>
      </c>
      <c r="B8869" s="35">
        <v>1</v>
      </c>
      <c r="C8869" s="35">
        <v>0</v>
      </c>
      <c r="D8869" s="2">
        <f t="shared" si="138"/>
        <v>1</v>
      </c>
    </row>
    <row r="8870" spans="1:4" x14ac:dyDescent="0.3">
      <c r="A8870" s="34">
        <v>60367</v>
      </c>
      <c r="B8870" s="35">
        <v>1</v>
      </c>
      <c r="C8870" s="35">
        <v>0</v>
      </c>
      <c r="D8870" s="2">
        <f t="shared" si="138"/>
        <v>1</v>
      </c>
    </row>
    <row r="8871" spans="1:4" x14ac:dyDescent="0.3">
      <c r="A8871" s="34">
        <v>60371</v>
      </c>
      <c r="B8871" s="35">
        <v>1</v>
      </c>
      <c r="C8871" s="35">
        <v>1</v>
      </c>
      <c r="D8871" s="2">
        <f t="shared" si="138"/>
        <v>2</v>
      </c>
    </row>
    <row r="8872" spans="1:4" x14ac:dyDescent="0.3">
      <c r="A8872" s="34">
        <v>60372</v>
      </c>
      <c r="B8872" s="35">
        <v>1</v>
      </c>
      <c r="C8872" s="35">
        <v>0</v>
      </c>
      <c r="D8872" s="2">
        <f t="shared" si="138"/>
        <v>1</v>
      </c>
    </row>
    <row r="8873" spans="1:4" x14ac:dyDescent="0.3">
      <c r="A8873" s="34">
        <v>60374</v>
      </c>
      <c r="B8873" s="35">
        <v>1</v>
      </c>
      <c r="C8873" s="35">
        <v>0</v>
      </c>
      <c r="D8873" s="2">
        <f t="shared" si="138"/>
        <v>1</v>
      </c>
    </row>
    <row r="8874" spans="1:4" x14ac:dyDescent="0.3">
      <c r="A8874" s="34">
        <v>60377</v>
      </c>
      <c r="B8874" s="35">
        <v>1</v>
      </c>
      <c r="C8874" s="35">
        <v>0</v>
      </c>
      <c r="D8874" s="2">
        <f t="shared" si="138"/>
        <v>1</v>
      </c>
    </row>
    <row r="8875" spans="1:4" x14ac:dyDescent="0.3">
      <c r="A8875" s="34">
        <v>60378</v>
      </c>
      <c r="B8875" s="35">
        <v>1</v>
      </c>
      <c r="C8875" s="35">
        <v>0</v>
      </c>
      <c r="D8875" s="2">
        <f t="shared" si="138"/>
        <v>1</v>
      </c>
    </row>
    <row r="8876" spans="1:4" x14ac:dyDescent="0.3">
      <c r="A8876" s="34">
        <v>60379</v>
      </c>
      <c r="B8876" s="35">
        <v>1</v>
      </c>
      <c r="C8876" s="35">
        <v>0</v>
      </c>
      <c r="D8876" s="2">
        <f t="shared" si="138"/>
        <v>1</v>
      </c>
    </row>
    <row r="8877" spans="1:4" x14ac:dyDescent="0.3">
      <c r="A8877" s="34">
        <v>60455</v>
      </c>
      <c r="B8877" s="35">
        <v>2</v>
      </c>
      <c r="C8877" s="35">
        <v>1</v>
      </c>
      <c r="D8877" s="2">
        <f t="shared" si="138"/>
        <v>3</v>
      </c>
    </row>
    <row r="8878" spans="1:4" x14ac:dyDescent="0.3">
      <c r="A8878" s="34">
        <v>60456</v>
      </c>
      <c r="B8878" s="35">
        <v>1</v>
      </c>
      <c r="C8878" s="35">
        <v>0</v>
      </c>
      <c r="D8878" s="2">
        <f t="shared" si="138"/>
        <v>1</v>
      </c>
    </row>
    <row r="8879" spans="1:4" x14ac:dyDescent="0.3">
      <c r="A8879" s="34">
        <v>60457</v>
      </c>
      <c r="B8879" s="35">
        <v>1</v>
      </c>
      <c r="C8879" s="35">
        <v>0</v>
      </c>
      <c r="D8879" s="2">
        <f t="shared" si="138"/>
        <v>1</v>
      </c>
    </row>
    <row r="8880" spans="1:4" x14ac:dyDescent="0.3">
      <c r="A8880" s="34">
        <v>60460</v>
      </c>
      <c r="B8880" s="35">
        <v>1</v>
      </c>
      <c r="C8880" s="35">
        <v>0</v>
      </c>
      <c r="D8880" s="2">
        <f t="shared" si="138"/>
        <v>1</v>
      </c>
    </row>
    <row r="8881" spans="1:4" x14ac:dyDescent="0.3">
      <c r="A8881" s="34">
        <v>60461</v>
      </c>
      <c r="B8881" s="35">
        <v>1</v>
      </c>
      <c r="C8881" s="35">
        <v>1</v>
      </c>
      <c r="D8881" s="2">
        <f t="shared" si="138"/>
        <v>2</v>
      </c>
    </row>
    <row r="8882" spans="1:4" x14ac:dyDescent="0.3">
      <c r="A8882" s="34">
        <v>60462</v>
      </c>
      <c r="B8882" s="35">
        <v>1</v>
      </c>
      <c r="C8882" s="35">
        <v>1</v>
      </c>
      <c r="D8882" s="2">
        <f t="shared" si="138"/>
        <v>2</v>
      </c>
    </row>
    <row r="8883" spans="1:4" x14ac:dyDescent="0.3">
      <c r="A8883" s="34">
        <v>60463</v>
      </c>
      <c r="B8883" s="35">
        <v>1</v>
      </c>
      <c r="C8883" s="35">
        <v>0</v>
      </c>
      <c r="D8883" s="2">
        <f t="shared" si="138"/>
        <v>1</v>
      </c>
    </row>
    <row r="8884" spans="1:4" x14ac:dyDescent="0.3">
      <c r="A8884" s="34">
        <v>60467</v>
      </c>
      <c r="B8884" s="35">
        <v>1</v>
      </c>
      <c r="C8884" s="35">
        <v>1</v>
      </c>
      <c r="D8884" s="2">
        <f t="shared" si="138"/>
        <v>2</v>
      </c>
    </row>
    <row r="8885" spans="1:4" x14ac:dyDescent="0.3">
      <c r="A8885" s="34">
        <v>60468</v>
      </c>
      <c r="B8885" s="35">
        <v>1</v>
      </c>
      <c r="C8885" s="35">
        <v>0</v>
      </c>
      <c r="D8885" s="2">
        <f t="shared" si="138"/>
        <v>1</v>
      </c>
    </row>
    <row r="8886" spans="1:4" x14ac:dyDescent="0.3">
      <c r="A8886" s="34">
        <v>60469</v>
      </c>
      <c r="B8886" s="35">
        <v>1</v>
      </c>
      <c r="C8886" s="35">
        <v>0</v>
      </c>
      <c r="D8886" s="2">
        <f t="shared" si="138"/>
        <v>1</v>
      </c>
    </row>
    <row r="8887" spans="1:4" x14ac:dyDescent="0.3">
      <c r="A8887" s="34">
        <v>60471</v>
      </c>
      <c r="B8887" s="35">
        <v>1</v>
      </c>
      <c r="C8887" s="35">
        <v>0</v>
      </c>
      <c r="D8887" s="2">
        <f t="shared" si="138"/>
        <v>1</v>
      </c>
    </row>
    <row r="8888" spans="1:4" x14ac:dyDescent="0.3">
      <c r="A8888" s="34">
        <v>60472</v>
      </c>
      <c r="B8888" s="35">
        <v>1</v>
      </c>
      <c r="C8888" s="35">
        <v>0</v>
      </c>
      <c r="D8888" s="2">
        <f t="shared" si="138"/>
        <v>1</v>
      </c>
    </row>
    <row r="8889" spans="1:4" x14ac:dyDescent="0.3">
      <c r="A8889" s="34">
        <v>60473</v>
      </c>
      <c r="B8889" s="35">
        <v>1</v>
      </c>
      <c r="C8889" s="35">
        <v>0</v>
      </c>
      <c r="D8889" s="2">
        <f t="shared" si="138"/>
        <v>1</v>
      </c>
    </row>
    <row r="8890" spans="1:4" x14ac:dyDescent="0.3">
      <c r="A8890" s="34">
        <v>60477</v>
      </c>
      <c r="B8890" s="35">
        <v>1</v>
      </c>
      <c r="C8890" s="35">
        <v>1</v>
      </c>
      <c r="D8890" s="2">
        <f t="shared" si="138"/>
        <v>2</v>
      </c>
    </row>
    <row r="8891" spans="1:4" x14ac:dyDescent="0.3">
      <c r="A8891" s="34">
        <v>60478</v>
      </c>
      <c r="B8891" s="35">
        <v>1</v>
      </c>
      <c r="C8891" s="35">
        <v>0</v>
      </c>
      <c r="D8891" s="2">
        <f t="shared" si="138"/>
        <v>1</v>
      </c>
    </row>
    <row r="8892" spans="1:4" x14ac:dyDescent="0.3">
      <c r="A8892" s="34">
        <v>60479</v>
      </c>
      <c r="B8892" s="35">
        <v>1</v>
      </c>
      <c r="C8892" s="35">
        <v>0</v>
      </c>
      <c r="D8892" s="2">
        <f t="shared" si="138"/>
        <v>1</v>
      </c>
    </row>
    <row r="8893" spans="1:4" x14ac:dyDescent="0.3">
      <c r="A8893" s="34">
        <v>60480</v>
      </c>
      <c r="B8893" s="35">
        <v>1</v>
      </c>
      <c r="C8893" s="35">
        <v>0</v>
      </c>
      <c r="D8893" s="2">
        <f t="shared" si="138"/>
        <v>1</v>
      </c>
    </row>
    <row r="8894" spans="1:4" x14ac:dyDescent="0.3">
      <c r="A8894" s="34">
        <v>60481</v>
      </c>
      <c r="B8894" s="35">
        <v>1</v>
      </c>
      <c r="C8894" s="35">
        <v>0</v>
      </c>
      <c r="D8894" s="2">
        <f t="shared" si="138"/>
        <v>1</v>
      </c>
    </row>
    <row r="8895" spans="1:4" x14ac:dyDescent="0.3">
      <c r="A8895" s="34">
        <v>60482</v>
      </c>
      <c r="B8895" s="35">
        <v>1</v>
      </c>
      <c r="C8895" s="35">
        <v>0</v>
      </c>
      <c r="D8895" s="2">
        <f t="shared" si="138"/>
        <v>1</v>
      </c>
    </row>
    <row r="8896" spans="1:4" x14ac:dyDescent="0.3">
      <c r="A8896" s="34">
        <v>60483</v>
      </c>
      <c r="B8896" s="35">
        <v>1</v>
      </c>
      <c r="C8896" s="35">
        <v>0</v>
      </c>
      <c r="D8896" s="2">
        <f t="shared" si="138"/>
        <v>1</v>
      </c>
    </row>
    <row r="8897" spans="1:4" x14ac:dyDescent="0.3">
      <c r="A8897" s="34">
        <v>60484</v>
      </c>
      <c r="B8897" s="35">
        <v>1</v>
      </c>
      <c r="C8897" s="35">
        <v>0</v>
      </c>
      <c r="D8897" s="2">
        <f t="shared" si="138"/>
        <v>1</v>
      </c>
    </row>
    <row r="8898" spans="1:4" x14ac:dyDescent="0.3">
      <c r="A8898" s="34">
        <v>60485</v>
      </c>
      <c r="B8898" s="35">
        <v>1</v>
      </c>
      <c r="C8898" s="35">
        <v>0</v>
      </c>
      <c r="D8898" s="2">
        <f t="shared" si="138"/>
        <v>1</v>
      </c>
    </row>
    <row r="8899" spans="1:4" x14ac:dyDescent="0.3">
      <c r="A8899" s="34">
        <v>60486</v>
      </c>
      <c r="B8899" s="35">
        <v>1</v>
      </c>
      <c r="C8899" s="35">
        <v>0</v>
      </c>
      <c r="D8899" s="2">
        <f t="shared" ref="D8899:D8962" si="139">B8899+C8899</f>
        <v>1</v>
      </c>
    </row>
    <row r="8900" spans="1:4" x14ac:dyDescent="0.3">
      <c r="A8900" s="34">
        <v>60487</v>
      </c>
      <c r="B8900" s="35">
        <v>1</v>
      </c>
      <c r="C8900" s="35">
        <v>0</v>
      </c>
      <c r="D8900" s="2">
        <f t="shared" si="139"/>
        <v>1</v>
      </c>
    </row>
    <row r="8901" spans="1:4" x14ac:dyDescent="0.3">
      <c r="A8901" s="34">
        <v>60488</v>
      </c>
      <c r="B8901" s="35">
        <v>1</v>
      </c>
      <c r="C8901" s="35">
        <v>0</v>
      </c>
      <c r="D8901" s="2">
        <f t="shared" si="139"/>
        <v>1</v>
      </c>
    </row>
    <row r="8902" spans="1:4" x14ac:dyDescent="0.3">
      <c r="A8902" s="34">
        <v>60489</v>
      </c>
      <c r="B8902" s="35">
        <v>1</v>
      </c>
      <c r="C8902" s="35">
        <v>0</v>
      </c>
      <c r="D8902" s="2">
        <f t="shared" si="139"/>
        <v>1</v>
      </c>
    </row>
    <row r="8903" spans="1:4" x14ac:dyDescent="0.3">
      <c r="A8903" s="34">
        <v>60490</v>
      </c>
      <c r="B8903" s="35">
        <v>1</v>
      </c>
      <c r="C8903" s="35">
        <v>0</v>
      </c>
      <c r="D8903" s="2">
        <f t="shared" si="139"/>
        <v>1</v>
      </c>
    </row>
    <row r="8904" spans="1:4" x14ac:dyDescent="0.3">
      <c r="A8904" s="34">
        <v>60491</v>
      </c>
      <c r="B8904" s="35">
        <v>1</v>
      </c>
      <c r="C8904" s="35">
        <v>0</v>
      </c>
      <c r="D8904" s="2">
        <f t="shared" si="139"/>
        <v>1</v>
      </c>
    </row>
    <row r="8905" spans="1:4" x14ac:dyDescent="0.3">
      <c r="A8905" s="34">
        <v>60492</v>
      </c>
      <c r="B8905" s="35">
        <v>1</v>
      </c>
      <c r="C8905" s="35">
        <v>0</v>
      </c>
      <c r="D8905" s="2">
        <f t="shared" si="139"/>
        <v>1</v>
      </c>
    </row>
    <row r="8906" spans="1:4" x14ac:dyDescent="0.3">
      <c r="A8906" s="34">
        <v>60493</v>
      </c>
      <c r="B8906" s="35">
        <v>1</v>
      </c>
      <c r="C8906" s="35">
        <v>0</v>
      </c>
      <c r="D8906" s="2">
        <f t="shared" si="139"/>
        <v>1</v>
      </c>
    </row>
    <row r="8907" spans="1:4" x14ac:dyDescent="0.3">
      <c r="A8907" s="34">
        <v>60494</v>
      </c>
      <c r="B8907" s="35">
        <v>1</v>
      </c>
      <c r="C8907" s="35">
        <v>0</v>
      </c>
      <c r="D8907" s="2">
        <f t="shared" si="139"/>
        <v>1</v>
      </c>
    </row>
    <row r="8908" spans="1:4" x14ac:dyDescent="0.3">
      <c r="A8908" s="34">
        <v>60495</v>
      </c>
      <c r="B8908" s="35">
        <v>1</v>
      </c>
      <c r="C8908" s="35">
        <v>0</v>
      </c>
      <c r="D8908" s="2">
        <f t="shared" si="139"/>
        <v>1</v>
      </c>
    </row>
    <row r="8909" spans="1:4" x14ac:dyDescent="0.3">
      <c r="A8909" s="34">
        <v>60496</v>
      </c>
      <c r="B8909" s="35">
        <v>1</v>
      </c>
      <c r="C8909" s="35">
        <v>0</v>
      </c>
      <c r="D8909" s="2">
        <f t="shared" si="139"/>
        <v>1</v>
      </c>
    </row>
    <row r="8910" spans="1:4" x14ac:dyDescent="0.3">
      <c r="A8910" s="34">
        <v>60497</v>
      </c>
      <c r="B8910" s="35">
        <v>1</v>
      </c>
      <c r="C8910" s="35">
        <v>0</v>
      </c>
      <c r="D8910" s="2">
        <f t="shared" si="139"/>
        <v>1</v>
      </c>
    </row>
    <row r="8911" spans="1:4" x14ac:dyDescent="0.3">
      <c r="A8911" s="34">
        <v>60498</v>
      </c>
      <c r="B8911" s="35">
        <v>1</v>
      </c>
      <c r="C8911" s="35">
        <v>0</v>
      </c>
      <c r="D8911" s="2">
        <f t="shared" si="139"/>
        <v>1</v>
      </c>
    </row>
    <row r="8912" spans="1:4" x14ac:dyDescent="0.3">
      <c r="A8912" s="34">
        <v>60499</v>
      </c>
      <c r="B8912" s="35">
        <v>1</v>
      </c>
      <c r="C8912" s="35">
        <v>0</v>
      </c>
      <c r="D8912" s="2">
        <f t="shared" si="139"/>
        <v>1</v>
      </c>
    </row>
    <row r="8913" spans="1:4" x14ac:dyDescent="0.3">
      <c r="A8913" s="34">
        <v>60500</v>
      </c>
      <c r="B8913" s="35">
        <v>1</v>
      </c>
      <c r="C8913" s="35">
        <v>0</v>
      </c>
      <c r="D8913" s="2">
        <f t="shared" si="139"/>
        <v>1</v>
      </c>
    </row>
    <row r="8914" spans="1:4" x14ac:dyDescent="0.3">
      <c r="A8914" s="34">
        <v>60506</v>
      </c>
      <c r="B8914" s="35">
        <v>1</v>
      </c>
      <c r="C8914" s="35">
        <v>0</v>
      </c>
      <c r="D8914" s="2">
        <f t="shared" si="139"/>
        <v>1</v>
      </c>
    </row>
    <row r="8915" spans="1:4" x14ac:dyDescent="0.3">
      <c r="A8915" s="34">
        <v>60507</v>
      </c>
      <c r="B8915" s="35">
        <v>1</v>
      </c>
      <c r="C8915" s="35">
        <v>1</v>
      </c>
      <c r="D8915" s="2">
        <f t="shared" si="139"/>
        <v>2</v>
      </c>
    </row>
    <row r="8916" spans="1:4" x14ac:dyDescent="0.3">
      <c r="A8916" s="34">
        <v>60536</v>
      </c>
      <c r="B8916" s="35">
        <v>3</v>
      </c>
      <c r="C8916" s="35">
        <v>1</v>
      </c>
      <c r="D8916" s="2">
        <f t="shared" si="139"/>
        <v>4</v>
      </c>
    </row>
    <row r="8917" spans="1:4" x14ac:dyDescent="0.3">
      <c r="A8917" s="34">
        <v>60540</v>
      </c>
      <c r="B8917" s="35">
        <v>1</v>
      </c>
      <c r="C8917" s="35">
        <v>0</v>
      </c>
      <c r="D8917" s="2">
        <f t="shared" si="139"/>
        <v>1</v>
      </c>
    </row>
    <row r="8918" spans="1:4" x14ac:dyDescent="0.3">
      <c r="A8918" s="34">
        <v>60543</v>
      </c>
      <c r="B8918" s="35">
        <v>1</v>
      </c>
      <c r="C8918" s="35">
        <v>1</v>
      </c>
      <c r="D8918" s="2">
        <f t="shared" si="139"/>
        <v>2</v>
      </c>
    </row>
    <row r="8919" spans="1:4" x14ac:dyDescent="0.3">
      <c r="A8919" s="34">
        <v>60545</v>
      </c>
      <c r="B8919" s="35">
        <v>1</v>
      </c>
      <c r="C8919" s="35">
        <v>1</v>
      </c>
      <c r="D8919" s="2">
        <f t="shared" si="139"/>
        <v>2</v>
      </c>
    </row>
    <row r="8920" spans="1:4" x14ac:dyDescent="0.3">
      <c r="A8920" s="34">
        <v>60546</v>
      </c>
      <c r="B8920" s="35">
        <v>1</v>
      </c>
      <c r="C8920" s="35">
        <v>0</v>
      </c>
      <c r="D8920" s="2">
        <f t="shared" si="139"/>
        <v>1</v>
      </c>
    </row>
    <row r="8921" spans="1:4" x14ac:dyDescent="0.3">
      <c r="A8921" s="34">
        <v>60547</v>
      </c>
      <c r="B8921" s="35">
        <v>2</v>
      </c>
      <c r="C8921" s="35">
        <v>0</v>
      </c>
      <c r="D8921" s="2">
        <f t="shared" si="139"/>
        <v>2</v>
      </c>
    </row>
    <row r="8922" spans="1:4" x14ac:dyDescent="0.3">
      <c r="A8922" s="34">
        <v>60548</v>
      </c>
      <c r="B8922" s="35">
        <v>1</v>
      </c>
      <c r="C8922" s="35">
        <v>0</v>
      </c>
      <c r="D8922" s="2">
        <f t="shared" si="139"/>
        <v>1</v>
      </c>
    </row>
    <row r="8923" spans="1:4" x14ac:dyDescent="0.3">
      <c r="A8923" s="34">
        <v>60549</v>
      </c>
      <c r="B8923" s="35">
        <v>1</v>
      </c>
      <c r="C8923" s="35">
        <v>0</v>
      </c>
      <c r="D8923" s="2">
        <f t="shared" si="139"/>
        <v>1</v>
      </c>
    </row>
    <row r="8924" spans="1:4" x14ac:dyDescent="0.3">
      <c r="A8924" s="34">
        <v>60550</v>
      </c>
      <c r="B8924" s="35">
        <v>1</v>
      </c>
      <c r="C8924" s="35">
        <v>0</v>
      </c>
      <c r="D8924" s="2">
        <f t="shared" si="139"/>
        <v>1</v>
      </c>
    </row>
    <row r="8925" spans="1:4" x14ac:dyDescent="0.3">
      <c r="A8925" s="34">
        <v>60551</v>
      </c>
      <c r="B8925" s="35">
        <v>1</v>
      </c>
      <c r="C8925" s="35">
        <v>0</v>
      </c>
      <c r="D8925" s="2">
        <f t="shared" si="139"/>
        <v>1</v>
      </c>
    </row>
    <row r="8926" spans="1:4" x14ac:dyDescent="0.3">
      <c r="A8926" s="34">
        <v>60555</v>
      </c>
      <c r="B8926" s="35">
        <v>1</v>
      </c>
      <c r="C8926" s="35">
        <v>0</v>
      </c>
      <c r="D8926" s="2">
        <f t="shared" si="139"/>
        <v>1</v>
      </c>
    </row>
    <row r="8927" spans="1:4" x14ac:dyDescent="0.3">
      <c r="A8927" s="34">
        <v>60556</v>
      </c>
      <c r="B8927" s="35">
        <v>1</v>
      </c>
      <c r="C8927" s="35">
        <v>0</v>
      </c>
      <c r="D8927" s="2">
        <f t="shared" si="139"/>
        <v>1</v>
      </c>
    </row>
    <row r="8928" spans="1:4" x14ac:dyDescent="0.3">
      <c r="A8928" s="34">
        <v>60558</v>
      </c>
      <c r="B8928" s="35">
        <v>1</v>
      </c>
      <c r="C8928" s="35">
        <v>0</v>
      </c>
      <c r="D8928" s="2">
        <f t="shared" si="139"/>
        <v>1</v>
      </c>
    </row>
    <row r="8929" spans="1:4" x14ac:dyDescent="0.3">
      <c r="A8929" s="34">
        <v>60559</v>
      </c>
      <c r="B8929" s="35">
        <v>1</v>
      </c>
      <c r="C8929" s="35">
        <v>1</v>
      </c>
      <c r="D8929" s="2">
        <f t="shared" si="139"/>
        <v>2</v>
      </c>
    </row>
    <row r="8930" spans="1:4" x14ac:dyDescent="0.3">
      <c r="A8930" s="34">
        <v>60561</v>
      </c>
      <c r="B8930" s="35">
        <v>1</v>
      </c>
      <c r="C8930" s="35">
        <v>0</v>
      </c>
      <c r="D8930" s="2">
        <f t="shared" si="139"/>
        <v>1</v>
      </c>
    </row>
    <row r="8931" spans="1:4" x14ac:dyDescent="0.3">
      <c r="A8931" s="34">
        <v>60563</v>
      </c>
      <c r="B8931" s="35">
        <v>1</v>
      </c>
      <c r="C8931" s="35">
        <v>0</v>
      </c>
      <c r="D8931" s="2">
        <f t="shared" si="139"/>
        <v>1</v>
      </c>
    </row>
    <row r="8932" spans="1:4" x14ac:dyDescent="0.3">
      <c r="A8932" s="34">
        <v>60565</v>
      </c>
      <c r="B8932" s="35">
        <v>1</v>
      </c>
      <c r="C8932" s="35">
        <v>1</v>
      </c>
      <c r="D8932" s="2">
        <f t="shared" si="139"/>
        <v>2</v>
      </c>
    </row>
    <row r="8933" spans="1:4" x14ac:dyDescent="0.3">
      <c r="A8933" s="34">
        <v>60569</v>
      </c>
      <c r="B8933" s="35">
        <v>1</v>
      </c>
      <c r="C8933" s="35">
        <v>0</v>
      </c>
      <c r="D8933" s="2">
        <f t="shared" si="139"/>
        <v>1</v>
      </c>
    </row>
    <row r="8934" spans="1:4" x14ac:dyDescent="0.3">
      <c r="A8934" s="34">
        <v>60570</v>
      </c>
      <c r="B8934" s="35">
        <v>1</v>
      </c>
      <c r="C8934" s="35">
        <v>0</v>
      </c>
      <c r="D8934" s="2">
        <f t="shared" si="139"/>
        <v>1</v>
      </c>
    </row>
    <row r="8935" spans="1:4" x14ac:dyDescent="0.3">
      <c r="A8935" s="34">
        <v>60571</v>
      </c>
      <c r="B8935" s="35">
        <v>1</v>
      </c>
      <c r="C8935" s="35">
        <v>0</v>
      </c>
      <c r="D8935" s="2">
        <f t="shared" si="139"/>
        <v>1</v>
      </c>
    </row>
    <row r="8936" spans="1:4" x14ac:dyDescent="0.3">
      <c r="A8936" s="34">
        <v>60572</v>
      </c>
      <c r="B8936" s="35">
        <v>2</v>
      </c>
      <c r="C8936" s="35">
        <v>2</v>
      </c>
      <c r="D8936" s="2">
        <f t="shared" si="139"/>
        <v>4</v>
      </c>
    </row>
    <row r="8937" spans="1:4" x14ac:dyDescent="0.3">
      <c r="A8937" s="34">
        <v>60576</v>
      </c>
      <c r="B8937" s="35">
        <v>1</v>
      </c>
      <c r="C8937" s="35">
        <v>0</v>
      </c>
      <c r="D8937" s="2">
        <f t="shared" si="139"/>
        <v>1</v>
      </c>
    </row>
    <row r="8938" spans="1:4" x14ac:dyDescent="0.3">
      <c r="A8938" s="34">
        <v>60577</v>
      </c>
      <c r="B8938" s="35">
        <v>1</v>
      </c>
      <c r="C8938" s="35">
        <v>0</v>
      </c>
      <c r="D8938" s="2">
        <f t="shared" si="139"/>
        <v>1</v>
      </c>
    </row>
    <row r="8939" spans="1:4" x14ac:dyDescent="0.3">
      <c r="A8939" s="34">
        <v>60578</v>
      </c>
      <c r="B8939" s="35">
        <v>1</v>
      </c>
      <c r="C8939" s="35">
        <v>0</v>
      </c>
      <c r="D8939" s="2">
        <f t="shared" si="139"/>
        <v>1</v>
      </c>
    </row>
    <row r="8940" spans="1:4" x14ac:dyDescent="0.3">
      <c r="A8940" s="34">
        <v>60580</v>
      </c>
      <c r="B8940" s="35">
        <v>1</v>
      </c>
      <c r="C8940" s="35">
        <v>0</v>
      </c>
      <c r="D8940" s="2">
        <f t="shared" si="139"/>
        <v>1</v>
      </c>
    </row>
    <row r="8941" spans="1:4" x14ac:dyDescent="0.3">
      <c r="A8941" s="34">
        <v>60587</v>
      </c>
      <c r="B8941" s="35">
        <v>1</v>
      </c>
      <c r="C8941" s="35">
        <v>0</v>
      </c>
      <c r="D8941" s="2">
        <f t="shared" si="139"/>
        <v>1</v>
      </c>
    </row>
    <row r="8942" spans="1:4" x14ac:dyDescent="0.3">
      <c r="A8942" s="34">
        <v>60589</v>
      </c>
      <c r="B8942" s="35">
        <v>1</v>
      </c>
      <c r="C8942" s="35">
        <v>0</v>
      </c>
      <c r="D8942" s="2">
        <f t="shared" si="139"/>
        <v>1</v>
      </c>
    </row>
    <row r="8943" spans="1:4" x14ac:dyDescent="0.3">
      <c r="A8943" s="34">
        <v>60590</v>
      </c>
      <c r="B8943" s="35">
        <v>1</v>
      </c>
      <c r="C8943" s="35">
        <v>0</v>
      </c>
      <c r="D8943" s="2">
        <f t="shared" si="139"/>
        <v>1</v>
      </c>
    </row>
    <row r="8944" spans="1:4" x14ac:dyDescent="0.3">
      <c r="A8944" s="34">
        <v>60596</v>
      </c>
      <c r="B8944" s="35">
        <v>1</v>
      </c>
      <c r="C8944" s="35">
        <v>0</v>
      </c>
      <c r="D8944" s="2">
        <f t="shared" si="139"/>
        <v>1</v>
      </c>
    </row>
    <row r="8945" spans="1:4" x14ac:dyDescent="0.3">
      <c r="A8945" s="34">
        <v>60598</v>
      </c>
      <c r="B8945" s="35">
        <v>1</v>
      </c>
      <c r="C8945" s="35">
        <v>0</v>
      </c>
      <c r="D8945" s="2">
        <f t="shared" si="139"/>
        <v>1</v>
      </c>
    </row>
    <row r="8946" spans="1:4" x14ac:dyDescent="0.3">
      <c r="A8946" s="34">
        <v>60601</v>
      </c>
      <c r="B8946" s="35">
        <v>1</v>
      </c>
      <c r="C8946" s="35">
        <v>1</v>
      </c>
      <c r="D8946" s="2">
        <f t="shared" si="139"/>
        <v>2</v>
      </c>
    </row>
    <row r="8947" spans="1:4" x14ac:dyDescent="0.3">
      <c r="A8947" s="34">
        <v>60607</v>
      </c>
      <c r="B8947" s="35">
        <v>1</v>
      </c>
      <c r="C8947" s="35">
        <v>0</v>
      </c>
      <c r="D8947" s="2">
        <f t="shared" si="139"/>
        <v>1</v>
      </c>
    </row>
    <row r="8948" spans="1:4" x14ac:dyDescent="0.3">
      <c r="A8948" s="34">
        <v>60609</v>
      </c>
      <c r="B8948" s="35">
        <v>1</v>
      </c>
      <c r="C8948" s="35">
        <v>0</v>
      </c>
      <c r="D8948" s="2">
        <f t="shared" si="139"/>
        <v>1</v>
      </c>
    </row>
    <row r="8949" spans="1:4" x14ac:dyDescent="0.3">
      <c r="A8949" s="34">
        <v>60612</v>
      </c>
      <c r="B8949" s="35">
        <v>1</v>
      </c>
      <c r="C8949" s="35">
        <v>0</v>
      </c>
      <c r="D8949" s="2">
        <f t="shared" si="139"/>
        <v>1</v>
      </c>
    </row>
    <row r="8950" spans="1:4" x14ac:dyDescent="0.3">
      <c r="A8950" s="34">
        <v>60616</v>
      </c>
      <c r="B8950" s="35">
        <v>1</v>
      </c>
      <c r="C8950" s="35">
        <v>1</v>
      </c>
      <c r="D8950" s="2">
        <f t="shared" si="139"/>
        <v>2</v>
      </c>
    </row>
    <row r="8951" spans="1:4" x14ac:dyDescent="0.3">
      <c r="A8951" s="34">
        <v>60620</v>
      </c>
      <c r="B8951" s="35">
        <v>1</v>
      </c>
      <c r="C8951" s="35">
        <v>0</v>
      </c>
      <c r="D8951" s="2">
        <f t="shared" si="139"/>
        <v>1</v>
      </c>
    </row>
    <row r="8952" spans="1:4" x14ac:dyDescent="0.3">
      <c r="A8952" s="34">
        <v>60622</v>
      </c>
      <c r="B8952" s="35">
        <v>1</v>
      </c>
      <c r="C8952" s="35">
        <v>0</v>
      </c>
      <c r="D8952" s="2">
        <f t="shared" si="139"/>
        <v>1</v>
      </c>
    </row>
    <row r="8953" spans="1:4" x14ac:dyDescent="0.3">
      <c r="A8953" s="34">
        <v>60623</v>
      </c>
      <c r="B8953" s="35">
        <v>1</v>
      </c>
      <c r="C8953" s="35">
        <v>0</v>
      </c>
      <c r="D8953" s="2">
        <f t="shared" si="139"/>
        <v>1</v>
      </c>
    </row>
    <row r="8954" spans="1:4" x14ac:dyDescent="0.3">
      <c r="A8954" s="34">
        <v>60649</v>
      </c>
      <c r="B8954" s="35">
        <v>1</v>
      </c>
      <c r="C8954" s="35">
        <v>0</v>
      </c>
      <c r="D8954" s="2">
        <f t="shared" si="139"/>
        <v>1</v>
      </c>
    </row>
    <row r="8955" spans="1:4" x14ac:dyDescent="0.3">
      <c r="A8955" s="34">
        <v>60650</v>
      </c>
      <c r="B8955" s="35">
        <v>1</v>
      </c>
      <c r="C8955" s="35">
        <v>0</v>
      </c>
      <c r="D8955" s="2">
        <f t="shared" si="139"/>
        <v>1</v>
      </c>
    </row>
    <row r="8956" spans="1:4" x14ac:dyDescent="0.3">
      <c r="A8956" s="34">
        <v>60651</v>
      </c>
      <c r="B8956" s="35">
        <v>1</v>
      </c>
      <c r="C8956" s="35">
        <v>0</v>
      </c>
      <c r="D8956" s="2">
        <f t="shared" si="139"/>
        <v>1</v>
      </c>
    </row>
    <row r="8957" spans="1:4" x14ac:dyDescent="0.3">
      <c r="A8957" s="34">
        <v>60654</v>
      </c>
      <c r="B8957" s="35">
        <v>1</v>
      </c>
      <c r="C8957" s="35">
        <v>0</v>
      </c>
      <c r="D8957" s="2">
        <f t="shared" si="139"/>
        <v>1</v>
      </c>
    </row>
    <row r="8958" spans="1:4" x14ac:dyDescent="0.3">
      <c r="A8958" s="34">
        <v>60655</v>
      </c>
      <c r="B8958" s="35">
        <v>1</v>
      </c>
      <c r="C8958" s="35">
        <v>0</v>
      </c>
      <c r="D8958" s="2">
        <f t="shared" si="139"/>
        <v>1</v>
      </c>
    </row>
    <row r="8959" spans="1:4" x14ac:dyDescent="0.3">
      <c r="A8959" s="34">
        <v>60656</v>
      </c>
      <c r="B8959" s="35">
        <v>1</v>
      </c>
      <c r="C8959" s="35">
        <v>0</v>
      </c>
      <c r="D8959" s="2">
        <f t="shared" si="139"/>
        <v>1</v>
      </c>
    </row>
    <row r="8960" spans="1:4" x14ac:dyDescent="0.3">
      <c r="A8960" s="34">
        <v>60658</v>
      </c>
      <c r="B8960" s="35">
        <v>1</v>
      </c>
      <c r="C8960" s="35">
        <v>0</v>
      </c>
      <c r="D8960" s="2">
        <f t="shared" si="139"/>
        <v>1</v>
      </c>
    </row>
    <row r="8961" spans="1:4" x14ac:dyDescent="0.3">
      <c r="A8961" s="34">
        <v>60662</v>
      </c>
      <c r="B8961" s="35">
        <v>1</v>
      </c>
      <c r="C8961" s="35">
        <v>0</v>
      </c>
      <c r="D8961" s="2">
        <f t="shared" si="139"/>
        <v>1</v>
      </c>
    </row>
    <row r="8962" spans="1:4" x14ac:dyDescent="0.3">
      <c r="A8962" s="34">
        <v>60665</v>
      </c>
      <c r="B8962" s="35">
        <v>1</v>
      </c>
      <c r="C8962" s="35">
        <v>0</v>
      </c>
      <c r="D8962" s="2">
        <f t="shared" si="139"/>
        <v>1</v>
      </c>
    </row>
    <row r="8963" spans="1:4" x14ac:dyDescent="0.3">
      <c r="A8963" s="34">
        <v>60666</v>
      </c>
      <c r="B8963" s="35">
        <v>1</v>
      </c>
      <c r="C8963" s="35">
        <v>0</v>
      </c>
      <c r="D8963" s="2">
        <f t="shared" ref="D8963:D9026" si="140">B8963+C8963</f>
        <v>1</v>
      </c>
    </row>
    <row r="8964" spans="1:4" x14ac:dyDescent="0.3">
      <c r="A8964" s="34">
        <v>60667</v>
      </c>
      <c r="B8964" s="35">
        <v>1</v>
      </c>
      <c r="C8964" s="35">
        <v>0</v>
      </c>
      <c r="D8964" s="2">
        <f t="shared" si="140"/>
        <v>1</v>
      </c>
    </row>
    <row r="8965" spans="1:4" x14ac:dyDescent="0.3">
      <c r="A8965" s="34">
        <v>60669</v>
      </c>
      <c r="B8965" s="35">
        <v>1</v>
      </c>
      <c r="C8965" s="35">
        <v>0</v>
      </c>
      <c r="D8965" s="2">
        <f t="shared" si="140"/>
        <v>1</v>
      </c>
    </row>
    <row r="8966" spans="1:4" x14ac:dyDescent="0.3">
      <c r="A8966" s="34">
        <v>60671</v>
      </c>
      <c r="B8966" s="35">
        <v>1</v>
      </c>
      <c r="C8966" s="35">
        <v>0</v>
      </c>
      <c r="D8966" s="2">
        <f t="shared" si="140"/>
        <v>1</v>
      </c>
    </row>
    <row r="8967" spans="1:4" x14ac:dyDescent="0.3">
      <c r="A8967" s="34">
        <v>60673</v>
      </c>
      <c r="B8967" s="35">
        <v>1</v>
      </c>
      <c r="C8967" s="35">
        <v>0</v>
      </c>
      <c r="D8967" s="2">
        <f t="shared" si="140"/>
        <v>1</v>
      </c>
    </row>
    <row r="8968" spans="1:4" x14ac:dyDescent="0.3">
      <c r="A8968" s="34">
        <v>60676</v>
      </c>
      <c r="B8968" s="35">
        <v>1</v>
      </c>
      <c r="C8968" s="35">
        <v>0</v>
      </c>
      <c r="D8968" s="2">
        <f t="shared" si="140"/>
        <v>1</v>
      </c>
    </row>
    <row r="8969" spans="1:4" x14ac:dyDescent="0.3">
      <c r="A8969" s="34">
        <v>60678</v>
      </c>
      <c r="B8969" s="35">
        <v>1</v>
      </c>
      <c r="C8969" s="35">
        <v>0</v>
      </c>
      <c r="D8969" s="2">
        <f t="shared" si="140"/>
        <v>1</v>
      </c>
    </row>
    <row r="8970" spans="1:4" x14ac:dyDescent="0.3">
      <c r="A8970" s="34">
        <v>60679</v>
      </c>
      <c r="B8970" s="35">
        <v>1</v>
      </c>
      <c r="C8970" s="35">
        <v>0</v>
      </c>
      <c r="D8970" s="2">
        <f t="shared" si="140"/>
        <v>1</v>
      </c>
    </row>
    <row r="8971" spans="1:4" x14ac:dyDescent="0.3">
      <c r="A8971" s="34">
        <v>60681</v>
      </c>
      <c r="B8971" s="35">
        <v>1</v>
      </c>
      <c r="C8971" s="35">
        <v>1</v>
      </c>
      <c r="D8971" s="2">
        <f t="shared" si="140"/>
        <v>2</v>
      </c>
    </row>
    <row r="8972" spans="1:4" x14ac:dyDescent="0.3">
      <c r="A8972" s="34">
        <v>60682</v>
      </c>
      <c r="B8972" s="35">
        <v>1</v>
      </c>
      <c r="C8972" s="35">
        <v>1</v>
      </c>
      <c r="D8972" s="2">
        <f t="shared" si="140"/>
        <v>2</v>
      </c>
    </row>
    <row r="8973" spans="1:4" x14ac:dyDescent="0.3">
      <c r="A8973" s="34">
        <v>60683</v>
      </c>
      <c r="B8973" s="35">
        <v>1</v>
      </c>
      <c r="C8973" s="35">
        <v>0</v>
      </c>
      <c r="D8973" s="2">
        <f t="shared" si="140"/>
        <v>1</v>
      </c>
    </row>
    <row r="8974" spans="1:4" x14ac:dyDescent="0.3">
      <c r="A8974" s="34">
        <v>60684</v>
      </c>
      <c r="B8974" s="35">
        <v>1</v>
      </c>
      <c r="C8974" s="35">
        <v>0</v>
      </c>
      <c r="D8974" s="2">
        <f t="shared" si="140"/>
        <v>1</v>
      </c>
    </row>
    <row r="8975" spans="1:4" x14ac:dyDescent="0.3">
      <c r="A8975" s="34">
        <v>60696</v>
      </c>
      <c r="B8975" s="35">
        <v>1</v>
      </c>
      <c r="C8975" s="35">
        <v>0</v>
      </c>
      <c r="D8975" s="2">
        <f t="shared" si="140"/>
        <v>1</v>
      </c>
    </row>
    <row r="8976" spans="1:4" x14ac:dyDescent="0.3">
      <c r="A8976" s="34">
        <v>60709</v>
      </c>
      <c r="B8976" s="35">
        <v>1</v>
      </c>
      <c r="C8976" s="35">
        <v>0</v>
      </c>
      <c r="D8976" s="2">
        <f t="shared" si="140"/>
        <v>1</v>
      </c>
    </row>
    <row r="8977" spans="1:4" x14ac:dyDescent="0.3">
      <c r="A8977" s="34">
        <v>60710</v>
      </c>
      <c r="B8977" s="35">
        <v>1</v>
      </c>
      <c r="C8977" s="35">
        <v>0</v>
      </c>
      <c r="D8977" s="2">
        <f t="shared" si="140"/>
        <v>1</v>
      </c>
    </row>
    <row r="8978" spans="1:4" x14ac:dyDescent="0.3">
      <c r="A8978" s="34">
        <v>60711</v>
      </c>
      <c r="B8978" s="35">
        <v>1</v>
      </c>
      <c r="C8978" s="35">
        <v>0</v>
      </c>
      <c r="D8978" s="2">
        <f t="shared" si="140"/>
        <v>1</v>
      </c>
    </row>
    <row r="8979" spans="1:4" x14ac:dyDescent="0.3">
      <c r="A8979" s="34">
        <v>60718</v>
      </c>
      <c r="B8979" s="35">
        <v>1</v>
      </c>
      <c r="C8979" s="35">
        <v>0</v>
      </c>
      <c r="D8979" s="2">
        <f t="shared" si="140"/>
        <v>1</v>
      </c>
    </row>
    <row r="8980" spans="1:4" x14ac:dyDescent="0.3">
      <c r="A8980" s="34">
        <v>60719</v>
      </c>
      <c r="B8980" s="35">
        <v>1</v>
      </c>
      <c r="C8980" s="35">
        <v>0</v>
      </c>
      <c r="D8980" s="2">
        <f t="shared" si="140"/>
        <v>1</v>
      </c>
    </row>
    <row r="8981" spans="1:4" x14ac:dyDescent="0.3">
      <c r="A8981" s="34">
        <v>60721</v>
      </c>
      <c r="B8981" s="35">
        <v>1</v>
      </c>
      <c r="C8981" s="35">
        <v>0</v>
      </c>
      <c r="D8981" s="2">
        <f t="shared" si="140"/>
        <v>1</v>
      </c>
    </row>
    <row r="8982" spans="1:4" x14ac:dyDescent="0.3">
      <c r="A8982" s="34">
        <v>60724</v>
      </c>
      <c r="B8982" s="35">
        <v>1</v>
      </c>
      <c r="C8982" s="35">
        <v>0</v>
      </c>
      <c r="D8982" s="2">
        <f t="shared" si="140"/>
        <v>1</v>
      </c>
    </row>
    <row r="8983" spans="1:4" x14ac:dyDescent="0.3">
      <c r="A8983" s="34">
        <v>60725</v>
      </c>
      <c r="B8983" s="35">
        <v>1</v>
      </c>
      <c r="C8983" s="35">
        <v>0</v>
      </c>
      <c r="D8983" s="2">
        <f t="shared" si="140"/>
        <v>1</v>
      </c>
    </row>
    <row r="8984" spans="1:4" x14ac:dyDescent="0.3">
      <c r="A8984" s="34">
        <v>60727</v>
      </c>
      <c r="B8984" s="35">
        <v>1</v>
      </c>
      <c r="C8984" s="35">
        <v>0</v>
      </c>
      <c r="D8984" s="2">
        <f t="shared" si="140"/>
        <v>1</v>
      </c>
    </row>
    <row r="8985" spans="1:4" x14ac:dyDescent="0.3">
      <c r="A8985" s="34">
        <v>60729</v>
      </c>
      <c r="B8985" s="35">
        <v>1</v>
      </c>
      <c r="C8985" s="35">
        <v>0</v>
      </c>
      <c r="D8985" s="2">
        <f t="shared" si="140"/>
        <v>1</v>
      </c>
    </row>
    <row r="8986" spans="1:4" x14ac:dyDescent="0.3">
      <c r="A8986" s="34">
        <v>60732</v>
      </c>
      <c r="B8986" s="35">
        <v>1</v>
      </c>
      <c r="C8986" s="35">
        <v>0</v>
      </c>
      <c r="D8986" s="2">
        <f t="shared" si="140"/>
        <v>1</v>
      </c>
    </row>
    <row r="8987" spans="1:4" x14ac:dyDescent="0.3">
      <c r="A8987" s="34">
        <v>60733</v>
      </c>
      <c r="B8987" s="35">
        <v>1</v>
      </c>
      <c r="C8987" s="35">
        <v>1</v>
      </c>
      <c r="D8987" s="2">
        <f t="shared" si="140"/>
        <v>2</v>
      </c>
    </row>
    <row r="8988" spans="1:4" x14ac:dyDescent="0.3">
      <c r="A8988" s="34">
        <v>60734</v>
      </c>
      <c r="B8988" s="35">
        <v>1</v>
      </c>
      <c r="C8988" s="35">
        <v>0</v>
      </c>
      <c r="D8988" s="2">
        <f t="shared" si="140"/>
        <v>1</v>
      </c>
    </row>
    <row r="8989" spans="1:4" x14ac:dyDescent="0.3">
      <c r="A8989" s="34">
        <v>60735</v>
      </c>
      <c r="B8989" s="35">
        <v>1</v>
      </c>
      <c r="C8989" s="35">
        <v>0</v>
      </c>
      <c r="D8989" s="2">
        <f t="shared" si="140"/>
        <v>1</v>
      </c>
    </row>
    <row r="8990" spans="1:4" x14ac:dyDescent="0.3">
      <c r="A8990" s="34">
        <v>60736</v>
      </c>
      <c r="B8990" s="35">
        <v>1</v>
      </c>
      <c r="C8990" s="35">
        <v>0</v>
      </c>
      <c r="D8990" s="2">
        <f t="shared" si="140"/>
        <v>1</v>
      </c>
    </row>
    <row r="8991" spans="1:4" x14ac:dyDescent="0.3">
      <c r="A8991" s="34">
        <v>60738</v>
      </c>
      <c r="B8991" s="35">
        <v>1</v>
      </c>
      <c r="C8991" s="35">
        <v>0</v>
      </c>
      <c r="D8991" s="2">
        <f t="shared" si="140"/>
        <v>1</v>
      </c>
    </row>
    <row r="8992" spans="1:4" x14ac:dyDescent="0.3">
      <c r="A8992" s="34">
        <v>60739</v>
      </c>
      <c r="B8992" s="35">
        <v>1</v>
      </c>
      <c r="C8992" s="35">
        <v>0</v>
      </c>
      <c r="D8992" s="2">
        <f t="shared" si="140"/>
        <v>1</v>
      </c>
    </row>
    <row r="8993" spans="1:4" x14ac:dyDescent="0.3">
      <c r="A8993" s="34">
        <v>60742</v>
      </c>
      <c r="B8993" s="35">
        <v>1</v>
      </c>
      <c r="C8993" s="35">
        <v>0</v>
      </c>
      <c r="D8993" s="2">
        <f t="shared" si="140"/>
        <v>1</v>
      </c>
    </row>
    <row r="8994" spans="1:4" x14ac:dyDescent="0.3">
      <c r="A8994" s="34">
        <v>60743</v>
      </c>
      <c r="B8994" s="35">
        <v>1</v>
      </c>
      <c r="C8994" s="35">
        <v>0</v>
      </c>
      <c r="D8994" s="2">
        <f t="shared" si="140"/>
        <v>1</v>
      </c>
    </row>
    <row r="8995" spans="1:4" x14ac:dyDescent="0.3">
      <c r="A8995" s="34">
        <v>60784</v>
      </c>
      <c r="B8995" s="35">
        <v>1</v>
      </c>
      <c r="C8995" s="35">
        <v>0</v>
      </c>
      <c r="D8995" s="2">
        <f t="shared" si="140"/>
        <v>1</v>
      </c>
    </row>
    <row r="8996" spans="1:4" x14ac:dyDescent="0.3">
      <c r="A8996" s="34">
        <v>60786</v>
      </c>
      <c r="B8996" s="35">
        <v>1</v>
      </c>
      <c r="C8996" s="35">
        <v>0</v>
      </c>
      <c r="D8996" s="2">
        <f t="shared" si="140"/>
        <v>1</v>
      </c>
    </row>
    <row r="8997" spans="1:4" x14ac:dyDescent="0.3">
      <c r="A8997" s="34">
        <v>60787</v>
      </c>
      <c r="B8997" s="35">
        <v>1</v>
      </c>
      <c r="C8997" s="35">
        <v>0</v>
      </c>
      <c r="D8997" s="2">
        <f t="shared" si="140"/>
        <v>1</v>
      </c>
    </row>
    <row r="8998" spans="1:4" x14ac:dyDescent="0.3">
      <c r="A8998" s="34">
        <v>60796</v>
      </c>
      <c r="B8998" s="35">
        <v>1</v>
      </c>
      <c r="C8998" s="35">
        <v>0</v>
      </c>
      <c r="D8998" s="2">
        <f t="shared" si="140"/>
        <v>1</v>
      </c>
    </row>
    <row r="8999" spans="1:4" x14ac:dyDescent="0.3">
      <c r="A8999" s="34">
        <v>60797</v>
      </c>
      <c r="B8999" s="35">
        <v>1</v>
      </c>
      <c r="C8999" s="35">
        <v>0</v>
      </c>
      <c r="D8999" s="2">
        <f t="shared" si="140"/>
        <v>1</v>
      </c>
    </row>
    <row r="9000" spans="1:4" x14ac:dyDescent="0.3">
      <c r="A9000" s="34">
        <v>60798</v>
      </c>
      <c r="B9000" s="35">
        <v>1</v>
      </c>
      <c r="C9000" s="35">
        <v>0</v>
      </c>
      <c r="D9000" s="2">
        <f t="shared" si="140"/>
        <v>1</v>
      </c>
    </row>
    <row r="9001" spans="1:4" x14ac:dyDescent="0.3">
      <c r="A9001" s="34">
        <v>60801</v>
      </c>
      <c r="B9001" s="35">
        <v>1</v>
      </c>
      <c r="C9001" s="35">
        <v>0</v>
      </c>
      <c r="D9001" s="2">
        <f t="shared" si="140"/>
        <v>1</v>
      </c>
    </row>
    <row r="9002" spans="1:4" x14ac:dyDescent="0.3">
      <c r="A9002" s="34">
        <v>60802</v>
      </c>
      <c r="B9002" s="35">
        <v>1</v>
      </c>
      <c r="C9002" s="35">
        <v>0</v>
      </c>
      <c r="D9002" s="2">
        <f t="shared" si="140"/>
        <v>1</v>
      </c>
    </row>
    <row r="9003" spans="1:4" x14ac:dyDescent="0.3">
      <c r="A9003" s="34">
        <v>60803</v>
      </c>
      <c r="B9003" s="35">
        <v>1</v>
      </c>
      <c r="C9003" s="35">
        <v>1</v>
      </c>
      <c r="D9003" s="2">
        <f t="shared" si="140"/>
        <v>2</v>
      </c>
    </row>
    <row r="9004" spans="1:4" x14ac:dyDescent="0.3">
      <c r="A9004" s="34">
        <v>60810</v>
      </c>
      <c r="B9004" s="35">
        <v>1</v>
      </c>
      <c r="C9004" s="35">
        <v>0</v>
      </c>
      <c r="D9004" s="2">
        <f t="shared" si="140"/>
        <v>1</v>
      </c>
    </row>
    <row r="9005" spans="1:4" x14ac:dyDescent="0.3">
      <c r="A9005" s="34">
        <v>60811</v>
      </c>
      <c r="B9005" s="35">
        <v>1</v>
      </c>
      <c r="C9005" s="35">
        <v>0</v>
      </c>
      <c r="D9005" s="2">
        <f t="shared" si="140"/>
        <v>1</v>
      </c>
    </row>
    <row r="9006" spans="1:4" x14ac:dyDescent="0.3">
      <c r="A9006" s="34">
        <v>60814</v>
      </c>
      <c r="B9006" s="35">
        <v>1</v>
      </c>
      <c r="C9006" s="35">
        <v>0</v>
      </c>
      <c r="D9006" s="2">
        <f t="shared" si="140"/>
        <v>1</v>
      </c>
    </row>
    <row r="9007" spans="1:4" x14ac:dyDescent="0.3">
      <c r="A9007" s="34">
        <v>60815</v>
      </c>
      <c r="B9007" s="35">
        <v>1</v>
      </c>
      <c r="C9007" s="35">
        <v>0</v>
      </c>
      <c r="D9007" s="2">
        <f t="shared" si="140"/>
        <v>1</v>
      </c>
    </row>
    <row r="9008" spans="1:4" x14ac:dyDescent="0.3">
      <c r="A9008" s="34">
        <v>60816</v>
      </c>
      <c r="B9008" s="35">
        <v>1</v>
      </c>
      <c r="C9008" s="35">
        <v>0</v>
      </c>
      <c r="D9008" s="2">
        <f t="shared" si="140"/>
        <v>1</v>
      </c>
    </row>
    <row r="9009" spans="1:4" x14ac:dyDescent="0.3">
      <c r="A9009" s="34">
        <v>60820</v>
      </c>
      <c r="B9009" s="35">
        <v>1</v>
      </c>
      <c r="C9009" s="35">
        <v>0</v>
      </c>
      <c r="D9009" s="2">
        <f t="shared" si="140"/>
        <v>1</v>
      </c>
    </row>
    <row r="9010" spans="1:4" x14ac:dyDescent="0.3">
      <c r="A9010" s="34">
        <v>60822</v>
      </c>
      <c r="B9010" s="35">
        <v>1</v>
      </c>
      <c r="C9010" s="35">
        <v>0</v>
      </c>
      <c r="D9010" s="2">
        <f t="shared" si="140"/>
        <v>1</v>
      </c>
    </row>
    <row r="9011" spans="1:4" x14ac:dyDescent="0.3">
      <c r="A9011" s="34">
        <v>60823</v>
      </c>
      <c r="B9011" s="35">
        <v>1</v>
      </c>
      <c r="C9011" s="35">
        <v>0</v>
      </c>
      <c r="D9011" s="2">
        <f t="shared" si="140"/>
        <v>1</v>
      </c>
    </row>
    <row r="9012" spans="1:4" x14ac:dyDescent="0.3">
      <c r="A9012" s="34">
        <v>60825</v>
      </c>
      <c r="B9012" s="35">
        <v>1</v>
      </c>
      <c r="C9012" s="35">
        <v>1</v>
      </c>
      <c r="D9012" s="2">
        <f t="shared" si="140"/>
        <v>2</v>
      </c>
    </row>
    <row r="9013" spans="1:4" x14ac:dyDescent="0.3">
      <c r="A9013" s="34">
        <v>60826</v>
      </c>
      <c r="B9013" s="35">
        <v>1</v>
      </c>
      <c r="C9013" s="35">
        <v>0</v>
      </c>
      <c r="D9013" s="2">
        <f t="shared" si="140"/>
        <v>1</v>
      </c>
    </row>
    <row r="9014" spans="1:4" x14ac:dyDescent="0.3">
      <c r="A9014" s="34">
        <v>60827</v>
      </c>
      <c r="B9014" s="35">
        <v>1</v>
      </c>
      <c r="C9014" s="35">
        <v>0</v>
      </c>
      <c r="D9014" s="2">
        <f t="shared" si="140"/>
        <v>1</v>
      </c>
    </row>
    <row r="9015" spans="1:4" x14ac:dyDescent="0.3">
      <c r="A9015" s="34">
        <v>60834</v>
      </c>
      <c r="B9015" s="35">
        <v>1</v>
      </c>
      <c r="C9015" s="35">
        <v>0</v>
      </c>
      <c r="D9015" s="2">
        <f t="shared" si="140"/>
        <v>1</v>
      </c>
    </row>
    <row r="9016" spans="1:4" x14ac:dyDescent="0.3">
      <c r="A9016" s="34">
        <v>60835</v>
      </c>
      <c r="B9016" s="35">
        <v>1</v>
      </c>
      <c r="C9016" s="35">
        <v>0</v>
      </c>
      <c r="D9016" s="2">
        <f t="shared" si="140"/>
        <v>1</v>
      </c>
    </row>
    <row r="9017" spans="1:4" x14ac:dyDescent="0.3">
      <c r="A9017" s="34">
        <v>60836</v>
      </c>
      <c r="B9017" s="35">
        <v>1</v>
      </c>
      <c r="C9017" s="35">
        <v>0</v>
      </c>
      <c r="D9017" s="2">
        <f t="shared" si="140"/>
        <v>1</v>
      </c>
    </row>
    <row r="9018" spans="1:4" x14ac:dyDescent="0.3">
      <c r="A9018" s="34">
        <v>60838</v>
      </c>
      <c r="B9018" s="35">
        <v>1</v>
      </c>
      <c r="C9018" s="35">
        <v>0</v>
      </c>
      <c r="D9018" s="2">
        <f t="shared" si="140"/>
        <v>1</v>
      </c>
    </row>
    <row r="9019" spans="1:4" x14ac:dyDescent="0.3">
      <c r="A9019" s="34">
        <v>60839</v>
      </c>
      <c r="B9019" s="35">
        <v>2</v>
      </c>
      <c r="C9019" s="35">
        <v>0</v>
      </c>
      <c r="D9019" s="2">
        <f t="shared" si="140"/>
        <v>2</v>
      </c>
    </row>
    <row r="9020" spans="1:4" x14ac:dyDescent="0.3">
      <c r="A9020" s="34">
        <v>60847</v>
      </c>
      <c r="B9020" s="35">
        <v>1</v>
      </c>
      <c r="C9020" s="35">
        <v>0</v>
      </c>
      <c r="D9020" s="2">
        <f t="shared" si="140"/>
        <v>1</v>
      </c>
    </row>
    <row r="9021" spans="1:4" x14ac:dyDescent="0.3">
      <c r="A9021" s="34">
        <v>60848</v>
      </c>
      <c r="B9021" s="35">
        <v>1</v>
      </c>
      <c r="C9021" s="35">
        <v>0</v>
      </c>
      <c r="D9021" s="2">
        <f t="shared" si="140"/>
        <v>1</v>
      </c>
    </row>
    <row r="9022" spans="1:4" x14ac:dyDescent="0.3">
      <c r="A9022" s="34">
        <v>60852</v>
      </c>
      <c r="B9022" s="35">
        <v>1</v>
      </c>
      <c r="C9022" s="35">
        <v>0</v>
      </c>
      <c r="D9022" s="2">
        <f t="shared" si="140"/>
        <v>1</v>
      </c>
    </row>
    <row r="9023" spans="1:4" x14ac:dyDescent="0.3">
      <c r="A9023" s="34">
        <v>60853</v>
      </c>
      <c r="B9023" s="35">
        <v>1</v>
      </c>
      <c r="C9023" s="35">
        <v>0</v>
      </c>
      <c r="D9023" s="2">
        <f t="shared" si="140"/>
        <v>1</v>
      </c>
    </row>
    <row r="9024" spans="1:4" x14ac:dyDescent="0.3">
      <c r="A9024" s="34">
        <v>60860</v>
      </c>
      <c r="B9024" s="35">
        <v>1</v>
      </c>
      <c r="C9024" s="35">
        <v>0</v>
      </c>
      <c r="D9024" s="2">
        <f t="shared" si="140"/>
        <v>1</v>
      </c>
    </row>
    <row r="9025" spans="1:4" x14ac:dyDescent="0.3">
      <c r="A9025" s="34">
        <v>60862</v>
      </c>
      <c r="B9025" s="35">
        <v>1</v>
      </c>
      <c r="C9025" s="35">
        <v>0</v>
      </c>
      <c r="D9025" s="2">
        <f t="shared" si="140"/>
        <v>1</v>
      </c>
    </row>
    <row r="9026" spans="1:4" x14ac:dyDescent="0.3">
      <c r="A9026" s="34">
        <v>60864</v>
      </c>
      <c r="B9026" s="35">
        <v>1</v>
      </c>
      <c r="C9026" s="35">
        <v>1</v>
      </c>
      <c r="D9026" s="2">
        <f t="shared" si="140"/>
        <v>2</v>
      </c>
    </row>
    <row r="9027" spans="1:4" x14ac:dyDescent="0.3">
      <c r="A9027" s="34">
        <v>60871</v>
      </c>
      <c r="B9027" s="35">
        <v>1</v>
      </c>
      <c r="C9027" s="35">
        <v>1</v>
      </c>
      <c r="D9027" s="2">
        <f t="shared" ref="D9027:D9090" si="141">B9027+C9027</f>
        <v>2</v>
      </c>
    </row>
    <row r="9028" spans="1:4" x14ac:dyDescent="0.3">
      <c r="A9028" s="34">
        <v>60872</v>
      </c>
      <c r="B9028" s="35">
        <v>1</v>
      </c>
      <c r="C9028" s="35">
        <v>0</v>
      </c>
      <c r="D9028" s="2">
        <f t="shared" si="141"/>
        <v>1</v>
      </c>
    </row>
    <row r="9029" spans="1:4" x14ac:dyDescent="0.3">
      <c r="A9029" s="34">
        <v>60873</v>
      </c>
      <c r="B9029" s="35">
        <v>1</v>
      </c>
      <c r="C9029" s="35">
        <v>0</v>
      </c>
      <c r="D9029" s="2">
        <f t="shared" si="141"/>
        <v>1</v>
      </c>
    </row>
    <row r="9030" spans="1:4" x14ac:dyDescent="0.3">
      <c r="A9030" s="34">
        <v>60874</v>
      </c>
      <c r="B9030" s="35">
        <v>1</v>
      </c>
      <c r="C9030" s="35">
        <v>0</v>
      </c>
      <c r="D9030" s="2">
        <f t="shared" si="141"/>
        <v>1</v>
      </c>
    </row>
    <row r="9031" spans="1:4" x14ac:dyDescent="0.3">
      <c r="A9031" s="34">
        <v>60876</v>
      </c>
      <c r="B9031" s="35">
        <v>1</v>
      </c>
      <c r="C9031" s="35">
        <v>0</v>
      </c>
      <c r="D9031" s="2">
        <f t="shared" si="141"/>
        <v>1</v>
      </c>
    </row>
    <row r="9032" spans="1:4" x14ac:dyDescent="0.3">
      <c r="A9032" s="34">
        <v>60879</v>
      </c>
      <c r="B9032" s="35">
        <v>1</v>
      </c>
      <c r="C9032" s="35">
        <v>1</v>
      </c>
      <c r="D9032" s="2">
        <f t="shared" si="141"/>
        <v>2</v>
      </c>
    </row>
    <row r="9033" spans="1:4" x14ac:dyDescent="0.3">
      <c r="A9033" s="34">
        <v>60880</v>
      </c>
      <c r="B9033" s="35">
        <v>1</v>
      </c>
      <c r="C9033" s="35">
        <v>0</v>
      </c>
      <c r="D9033" s="2">
        <f t="shared" si="141"/>
        <v>1</v>
      </c>
    </row>
    <row r="9034" spans="1:4" x14ac:dyDescent="0.3">
      <c r="A9034" s="34">
        <v>60881</v>
      </c>
      <c r="B9034" s="35">
        <v>1</v>
      </c>
      <c r="C9034" s="35">
        <v>1</v>
      </c>
      <c r="D9034" s="2">
        <f t="shared" si="141"/>
        <v>2</v>
      </c>
    </row>
    <row r="9035" spans="1:4" x14ac:dyDescent="0.3">
      <c r="A9035" s="34">
        <v>60882</v>
      </c>
      <c r="B9035" s="35">
        <v>1</v>
      </c>
      <c r="C9035" s="35">
        <v>0</v>
      </c>
      <c r="D9035" s="2">
        <f t="shared" si="141"/>
        <v>1</v>
      </c>
    </row>
    <row r="9036" spans="1:4" x14ac:dyDescent="0.3">
      <c r="A9036" s="34">
        <v>60926</v>
      </c>
      <c r="B9036" s="35">
        <v>1</v>
      </c>
      <c r="C9036" s="35">
        <v>0</v>
      </c>
      <c r="D9036" s="2">
        <f t="shared" si="141"/>
        <v>1</v>
      </c>
    </row>
    <row r="9037" spans="1:4" x14ac:dyDescent="0.3">
      <c r="A9037" s="34">
        <v>60927</v>
      </c>
      <c r="B9037" s="35">
        <v>1</v>
      </c>
      <c r="C9037" s="35">
        <v>0</v>
      </c>
      <c r="D9037" s="2">
        <f t="shared" si="141"/>
        <v>1</v>
      </c>
    </row>
    <row r="9038" spans="1:4" x14ac:dyDescent="0.3">
      <c r="A9038" s="34">
        <v>60932</v>
      </c>
      <c r="B9038" s="35">
        <v>1</v>
      </c>
      <c r="C9038" s="35">
        <v>0</v>
      </c>
      <c r="D9038" s="2">
        <f t="shared" si="141"/>
        <v>1</v>
      </c>
    </row>
    <row r="9039" spans="1:4" x14ac:dyDescent="0.3">
      <c r="A9039" s="34">
        <v>60933</v>
      </c>
      <c r="B9039" s="35">
        <v>1</v>
      </c>
      <c r="C9039" s="35">
        <v>1</v>
      </c>
      <c r="D9039" s="2">
        <f t="shared" si="141"/>
        <v>2</v>
      </c>
    </row>
    <row r="9040" spans="1:4" x14ac:dyDescent="0.3">
      <c r="A9040" s="34">
        <v>60935</v>
      </c>
      <c r="B9040" s="35">
        <v>1</v>
      </c>
      <c r="C9040" s="35">
        <v>0</v>
      </c>
      <c r="D9040" s="2">
        <f t="shared" si="141"/>
        <v>1</v>
      </c>
    </row>
    <row r="9041" spans="1:4" x14ac:dyDescent="0.3">
      <c r="A9041" s="34">
        <v>60944</v>
      </c>
      <c r="B9041" s="35">
        <v>3</v>
      </c>
      <c r="C9041" s="35">
        <v>0</v>
      </c>
      <c r="D9041" s="2">
        <f t="shared" si="141"/>
        <v>3</v>
      </c>
    </row>
    <row r="9042" spans="1:4" x14ac:dyDescent="0.3">
      <c r="A9042" s="34">
        <v>60946</v>
      </c>
      <c r="B9042" s="35">
        <v>1</v>
      </c>
      <c r="C9042" s="35">
        <v>1</v>
      </c>
      <c r="D9042" s="2">
        <f t="shared" si="141"/>
        <v>2</v>
      </c>
    </row>
    <row r="9043" spans="1:4" x14ac:dyDescent="0.3">
      <c r="A9043" s="34">
        <v>60947</v>
      </c>
      <c r="B9043" s="35">
        <v>1</v>
      </c>
      <c r="C9043" s="35">
        <v>0</v>
      </c>
      <c r="D9043" s="2">
        <f t="shared" si="141"/>
        <v>1</v>
      </c>
    </row>
    <row r="9044" spans="1:4" x14ac:dyDescent="0.3">
      <c r="A9044" s="34">
        <v>60950</v>
      </c>
      <c r="B9044" s="35">
        <v>1</v>
      </c>
      <c r="C9044" s="35">
        <v>0</v>
      </c>
      <c r="D9044" s="2">
        <f t="shared" si="141"/>
        <v>1</v>
      </c>
    </row>
    <row r="9045" spans="1:4" x14ac:dyDescent="0.3">
      <c r="A9045" s="34">
        <v>60952</v>
      </c>
      <c r="B9045" s="35">
        <v>1</v>
      </c>
      <c r="C9045" s="35">
        <v>0</v>
      </c>
      <c r="D9045" s="2">
        <f t="shared" si="141"/>
        <v>1</v>
      </c>
    </row>
    <row r="9046" spans="1:4" x14ac:dyDescent="0.3">
      <c r="A9046" s="34">
        <v>60955</v>
      </c>
      <c r="B9046" s="35">
        <v>1</v>
      </c>
      <c r="C9046" s="35">
        <v>0</v>
      </c>
      <c r="D9046" s="2">
        <f t="shared" si="141"/>
        <v>1</v>
      </c>
    </row>
    <row r="9047" spans="1:4" x14ac:dyDescent="0.3">
      <c r="A9047" s="34">
        <v>60956</v>
      </c>
      <c r="B9047" s="35">
        <v>1</v>
      </c>
      <c r="C9047" s="35">
        <v>0</v>
      </c>
      <c r="D9047" s="2">
        <f t="shared" si="141"/>
        <v>1</v>
      </c>
    </row>
    <row r="9048" spans="1:4" x14ac:dyDescent="0.3">
      <c r="A9048" s="34">
        <v>60959</v>
      </c>
      <c r="B9048" s="35">
        <v>1</v>
      </c>
      <c r="C9048" s="35">
        <v>0</v>
      </c>
      <c r="D9048" s="2">
        <f t="shared" si="141"/>
        <v>1</v>
      </c>
    </row>
    <row r="9049" spans="1:4" x14ac:dyDescent="0.3">
      <c r="A9049" s="34">
        <v>60962</v>
      </c>
      <c r="B9049" s="35">
        <v>1</v>
      </c>
      <c r="C9049" s="35">
        <v>0</v>
      </c>
      <c r="D9049" s="2">
        <f t="shared" si="141"/>
        <v>1</v>
      </c>
    </row>
    <row r="9050" spans="1:4" x14ac:dyDescent="0.3">
      <c r="A9050" s="34">
        <v>60977</v>
      </c>
      <c r="B9050" s="35">
        <v>1</v>
      </c>
      <c r="C9050" s="35">
        <v>1</v>
      </c>
      <c r="D9050" s="2">
        <f t="shared" si="141"/>
        <v>2</v>
      </c>
    </row>
    <row r="9051" spans="1:4" x14ac:dyDescent="0.3">
      <c r="A9051" s="34">
        <v>60978</v>
      </c>
      <c r="B9051" s="35">
        <v>1</v>
      </c>
      <c r="C9051" s="35">
        <v>0</v>
      </c>
      <c r="D9051" s="2">
        <f t="shared" si="141"/>
        <v>1</v>
      </c>
    </row>
    <row r="9052" spans="1:4" x14ac:dyDescent="0.3">
      <c r="A9052" s="34">
        <v>60979</v>
      </c>
      <c r="B9052" s="35">
        <v>1</v>
      </c>
      <c r="C9052" s="35">
        <v>0</v>
      </c>
      <c r="D9052" s="2">
        <f t="shared" si="141"/>
        <v>1</v>
      </c>
    </row>
    <row r="9053" spans="1:4" x14ac:dyDescent="0.3">
      <c r="A9053" s="34">
        <v>60980</v>
      </c>
      <c r="B9053" s="35">
        <v>1</v>
      </c>
      <c r="C9053" s="35">
        <v>0</v>
      </c>
      <c r="D9053" s="2">
        <f t="shared" si="141"/>
        <v>1</v>
      </c>
    </row>
    <row r="9054" spans="1:4" x14ac:dyDescent="0.3">
      <c r="A9054" s="34">
        <v>60981</v>
      </c>
      <c r="B9054" s="35">
        <v>1</v>
      </c>
      <c r="C9054" s="35">
        <v>0</v>
      </c>
      <c r="D9054" s="2">
        <f t="shared" si="141"/>
        <v>1</v>
      </c>
    </row>
    <row r="9055" spans="1:4" x14ac:dyDescent="0.3">
      <c r="A9055" s="34">
        <v>60982</v>
      </c>
      <c r="B9055" s="35">
        <v>1</v>
      </c>
      <c r="C9055" s="35">
        <v>0</v>
      </c>
      <c r="D9055" s="2">
        <f t="shared" si="141"/>
        <v>1</v>
      </c>
    </row>
    <row r="9056" spans="1:4" x14ac:dyDescent="0.3">
      <c r="A9056" s="34">
        <v>60984</v>
      </c>
      <c r="B9056" s="35">
        <v>1</v>
      </c>
      <c r="C9056" s="35">
        <v>0</v>
      </c>
      <c r="D9056" s="2">
        <f t="shared" si="141"/>
        <v>1</v>
      </c>
    </row>
    <row r="9057" spans="1:4" x14ac:dyDescent="0.3">
      <c r="A9057" s="34">
        <v>60985</v>
      </c>
      <c r="B9057" s="35">
        <v>1</v>
      </c>
      <c r="C9057" s="35">
        <v>1</v>
      </c>
      <c r="D9057" s="2">
        <f t="shared" si="141"/>
        <v>2</v>
      </c>
    </row>
    <row r="9058" spans="1:4" x14ac:dyDescent="0.3">
      <c r="A9058" s="34">
        <v>60986</v>
      </c>
      <c r="B9058" s="35">
        <v>1</v>
      </c>
      <c r="C9058" s="35">
        <v>0</v>
      </c>
      <c r="D9058" s="2">
        <f t="shared" si="141"/>
        <v>1</v>
      </c>
    </row>
    <row r="9059" spans="1:4" x14ac:dyDescent="0.3">
      <c r="A9059" s="34">
        <v>60988</v>
      </c>
      <c r="B9059" s="35">
        <v>1</v>
      </c>
      <c r="C9059" s="35">
        <v>0</v>
      </c>
      <c r="D9059" s="2">
        <f t="shared" si="141"/>
        <v>1</v>
      </c>
    </row>
    <row r="9060" spans="1:4" x14ac:dyDescent="0.3">
      <c r="A9060" s="34">
        <v>60990</v>
      </c>
      <c r="B9060" s="35">
        <v>1</v>
      </c>
      <c r="C9060" s="35">
        <v>0</v>
      </c>
      <c r="D9060" s="2">
        <f t="shared" si="141"/>
        <v>1</v>
      </c>
    </row>
    <row r="9061" spans="1:4" x14ac:dyDescent="0.3">
      <c r="A9061" s="34">
        <v>60991</v>
      </c>
      <c r="B9061" s="35">
        <v>1</v>
      </c>
      <c r="C9061" s="35">
        <v>1</v>
      </c>
      <c r="D9061" s="2">
        <f t="shared" si="141"/>
        <v>2</v>
      </c>
    </row>
    <row r="9062" spans="1:4" x14ac:dyDescent="0.3">
      <c r="A9062" s="34">
        <v>60994</v>
      </c>
      <c r="B9062" s="35">
        <v>1</v>
      </c>
      <c r="C9062" s="35">
        <v>0</v>
      </c>
      <c r="D9062" s="2">
        <f t="shared" si="141"/>
        <v>1</v>
      </c>
    </row>
    <row r="9063" spans="1:4" x14ac:dyDescent="0.3">
      <c r="A9063" s="34">
        <v>60996</v>
      </c>
      <c r="B9063" s="35">
        <v>1</v>
      </c>
      <c r="C9063" s="35">
        <v>1</v>
      </c>
      <c r="D9063" s="2">
        <f t="shared" si="141"/>
        <v>2</v>
      </c>
    </row>
    <row r="9064" spans="1:4" x14ac:dyDescent="0.3">
      <c r="A9064" s="34">
        <v>61000</v>
      </c>
      <c r="B9064" s="35">
        <v>1</v>
      </c>
      <c r="C9064" s="35">
        <v>0</v>
      </c>
      <c r="D9064" s="2">
        <f t="shared" si="141"/>
        <v>1</v>
      </c>
    </row>
    <row r="9065" spans="1:4" x14ac:dyDescent="0.3">
      <c r="A9065" s="34">
        <v>61001</v>
      </c>
      <c r="B9065" s="35">
        <v>1</v>
      </c>
      <c r="C9065" s="35">
        <v>0</v>
      </c>
      <c r="D9065" s="2">
        <f t="shared" si="141"/>
        <v>1</v>
      </c>
    </row>
    <row r="9066" spans="1:4" x14ac:dyDescent="0.3">
      <c r="A9066" s="34">
        <v>61003</v>
      </c>
      <c r="B9066" s="35">
        <v>3</v>
      </c>
      <c r="C9066" s="35">
        <v>0</v>
      </c>
      <c r="D9066" s="2">
        <f t="shared" si="141"/>
        <v>3</v>
      </c>
    </row>
    <row r="9067" spans="1:4" x14ac:dyDescent="0.3">
      <c r="A9067" s="34">
        <v>61044</v>
      </c>
      <c r="B9067" s="35">
        <v>1</v>
      </c>
      <c r="C9067" s="35">
        <v>0</v>
      </c>
      <c r="D9067" s="2">
        <f t="shared" si="141"/>
        <v>1</v>
      </c>
    </row>
    <row r="9068" spans="1:4" x14ac:dyDescent="0.3">
      <c r="A9068" s="34">
        <v>61045</v>
      </c>
      <c r="B9068" s="35">
        <v>1</v>
      </c>
      <c r="C9068" s="35">
        <v>0</v>
      </c>
      <c r="D9068" s="2">
        <f t="shared" si="141"/>
        <v>1</v>
      </c>
    </row>
    <row r="9069" spans="1:4" x14ac:dyDescent="0.3">
      <c r="A9069" s="34">
        <v>61046</v>
      </c>
      <c r="B9069" s="35">
        <v>1</v>
      </c>
      <c r="C9069" s="35">
        <v>0</v>
      </c>
      <c r="D9069" s="2">
        <f t="shared" si="141"/>
        <v>1</v>
      </c>
    </row>
    <row r="9070" spans="1:4" x14ac:dyDescent="0.3">
      <c r="A9070" s="34">
        <v>61047</v>
      </c>
      <c r="B9070" s="35">
        <v>2</v>
      </c>
      <c r="C9070" s="35">
        <v>2</v>
      </c>
      <c r="D9070" s="2">
        <f t="shared" si="141"/>
        <v>4</v>
      </c>
    </row>
    <row r="9071" spans="1:4" x14ac:dyDescent="0.3">
      <c r="A9071" s="34">
        <v>61049</v>
      </c>
      <c r="B9071" s="35">
        <v>1</v>
      </c>
      <c r="C9071" s="35">
        <v>0</v>
      </c>
      <c r="D9071" s="2">
        <f t="shared" si="141"/>
        <v>1</v>
      </c>
    </row>
    <row r="9072" spans="1:4" x14ac:dyDescent="0.3">
      <c r="A9072" s="34">
        <v>61050</v>
      </c>
      <c r="B9072" s="35">
        <v>1</v>
      </c>
      <c r="C9072" s="35">
        <v>0</v>
      </c>
      <c r="D9072" s="2">
        <f t="shared" si="141"/>
        <v>1</v>
      </c>
    </row>
    <row r="9073" spans="1:4" x14ac:dyDescent="0.3">
      <c r="A9073" s="34">
        <v>61052</v>
      </c>
      <c r="B9073" s="35">
        <v>1</v>
      </c>
      <c r="C9073" s="35">
        <v>0</v>
      </c>
      <c r="D9073" s="2">
        <f t="shared" si="141"/>
        <v>1</v>
      </c>
    </row>
    <row r="9074" spans="1:4" x14ac:dyDescent="0.3">
      <c r="A9074" s="34">
        <v>61055</v>
      </c>
      <c r="B9074" s="35">
        <v>1</v>
      </c>
      <c r="C9074" s="35">
        <v>1</v>
      </c>
      <c r="D9074" s="2">
        <f t="shared" si="141"/>
        <v>2</v>
      </c>
    </row>
    <row r="9075" spans="1:4" x14ac:dyDescent="0.3">
      <c r="A9075" s="34">
        <v>61058</v>
      </c>
      <c r="B9075" s="35">
        <v>1</v>
      </c>
      <c r="C9075" s="35">
        <v>0</v>
      </c>
      <c r="D9075" s="2">
        <f t="shared" si="141"/>
        <v>1</v>
      </c>
    </row>
    <row r="9076" spans="1:4" x14ac:dyDescent="0.3">
      <c r="A9076" s="34">
        <v>61059</v>
      </c>
      <c r="B9076" s="35">
        <v>1</v>
      </c>
      <c r="C9076" s="35">
        <v>0</v>
      </c>
      <c r="D9076" s="2">
        <f t="shared" si="141"/>
        <v>1</v>
      </c>
    </row>
    <row r="9077" spans="1:4" x14ac:dyDescent="0.3">
      <c r="A9077" s="34">
        <v>61061</v>
      </c>
      <c r="B9077" s="35">
        <v>1</v>
      </c>
      <c r="C9077" s="35">
        <v>0</v>
      </c>
      <c r="D9077" s="2">
        <f t="shared" si="141"/>
        <v>1</v>
      </c>
    </row>
    <row r="9078" spans="1:4" x14ac:dyDescent="0.3">
      <c r="A9078" s="34">
        <v>61062</v>
      </c>
      <c r="B9078" s="35">
        <v>1</v>
      </c>
      <c r="C9078" s="35">
        <v>0</v>
      </c>
      <c r="D9078" s="2">
        <f t="shared" si="141"/>
        <v>1</v>
      </c>
    </row>
    <row r="9079" spans="1:4" x14ac:dyDescent="0.3">
      <c r="A9079" s="34">
        <v>61064</v>
      </c>
      <c r="B9079" s="35">
        <v>1</v>
      </c>
      <c r="C9079" s="35">
        <v>1</v>
      </c>
      <c r="D9079" s="2">
        <f t="shared" si="141"/>
        <v>2</v>
      </c>
    </row>
    <row r="9080" spans="1:4" x14ac:dyDescent="0.3">
      <c r="A9080" s="34">
        <v>61067</v>
      </c>
      <c r="B9080" s="35">
        <v>1</v>
      </c>
      <c r="C9080" s="35">
        <v>0</v>
      </c>
      <c r="D9080" s="2">
        <f t="shared" si="141"/>
        <v>1</v>
      </c>
    </row>
    <row r="9081" spans="1:4" x14ac:dyDescent="0.3">
      <c r="A9081" s="34">
        <v>61069</v>
      </c>
      <c r="B9081" s="35">
        <v>3</v>
      </c>
      <c r="C9081" s="35">
        <v>2</v>
      </c>
      <c r="D9081" s="2">
        <f t="shared" si="141"/>
        <v>5</v>
      </c>
    </row>
    <row r="9082" spans="1:4" x14ac:dyDescent="0.3">
      <c r="A9082" s="34">
        <v>61102</v>
      </c>
      <c r="B9082" s="35">
        <v>2</v>
      </c>
      <c r="C9082" s="35">
        <v>0</v>
      </c>
      <c r="D9082" s="2">
        <f t="shared" si="141"/>
        <v>2</v>
      </c>
    </row>
    <row r="9083" spans="1:4" x14ac:dyDescent="0.3">
      <c r="A9083" s="34">
        <v>61109</v>
      </c>
      <c r="B9083" s="35">
        <v>1</v>
      </c>
      <c r="C9083" s="35">
        <v>0</v>
      </c>
      <c r="D9083" s="2">
        <f t="shared" si="141"/>
        <v>1</v>
      </c>
    </row>
    <row r="9084" spans="1:4" x14ac:dyDescent="0.3">
      <c r="A9084" s="34">
        <v>61110</v>
      </c>
      <c r="B9084" s="35">
        <v>1</v>
      </c>
      <c r="C9084" s="35">
        <v>1</v>
      </c>
      <c r="D9084" s="2">
        <f t="shared" si="141"/>
        <v>2</v>
      </c>
    </row>
    <row r="9085" spans="1:4" x14ac:dyDescent="0.3">
      <c r="A9085" s="34">
        <v>61111</v>
      </c>
      <c r="B9085" s="35">
        <v>1</v>
      </c>
      <c r="C9085" s="35">
        <v>0</v>
      </c>
      <c r="D9085" s="2">
        <f t="shared" si="141"/>
        <v>1</v>
      </c>
    </row>
    <row r="9086" spans="1:4" x14ac:dyDescent="0.3">
      <c r="A9086" s="34">
        <v>61113</v>
      </c>
      <c r="B9086" s="35">
        <v>1</v>
      </c>
      <c r="C9086" s="35">
        <v>0</v>
      </c>
      <c r="D9086" s="2">
        <f t="shared" si="141"/>
        <v>1</v>
      </c>
    </row>
    <row r="9087" spans="1:4" x14ac:dyDescent="0.3">
      <c r="A9087" s="34">
        <v>61115</v>
      </c>
      <c r="B9087" s="35">
        <v>1</v>
      </c>
      <c r="C9087" s="35">
        <v>0</v>
      </c>
      <c r="D9087" s="2">
        <f t="shared" si="141"/>
        <v>1</v>
      </c>
    </row>
    <row r="9088" spans="1:4" x14ac:dyDescent="0.3">
      <c r="A9088" s="34">
        <v>61117</v>
      </c>
      <c r="B9088" s="35">
        <v>1</v>
      </c>
      <c r="C9088" s="35">
        <v>0</v>
      </c>
      <c r="D9088" s="2">
        <f t="shared" si="141"/>
        <v>1</v>
      </c>
    </row>
    <row r="9089" spans="1:4" x14ac:dyDescent="0.3">
      <c r="A9089" s="34">
        <v>61121</v>
      </c>
      <c r="B9089" s="35">
        <v>1</v>
      </c>
      <c r="C9089" s="35">
        <v>0</v>
      </c>
      <c r="D9089" s="2">
        <f t="shared" si="141"/>
        <v>1</v>
      </c>
    </row>
    <row r="9090" spans="1:4" x14ac:dyDescent="0.3">
      <c r="A9090" s="34">
        <v>61122</v>
      </c>
      <c r="B9090" s="35">
        <v>1</v>
      </c>
      <c r="C9090" s="35">
        <v>0</v>
      </c>
      <c r="D9090" s="2">
        <f t="shared" si="141"/>
        <v>1</v>
      </c>
    </row>
    <row r="9091" spans="1:4" x14ac:dyDescent="0.3">
      <c r="A9091" s="34">
        <v>61123</v>
      </c>
      <c r="B9091" s="35">
        <v>1</v>
      </c>
      <c r="C9091" s="35">
        <v>0</v>
      </c>
      <c r="D9091" s="2">
        <f t="shared" ref="D9091:D9154" si="142">B9091+C9091</f>
        <v>1</v>
      </c>
    </row>
    <row r="9092" spans="1:4" x14ac:dyDescent="0.3">
      <c r="A9092" s="34">
        <v>61124</v>
      </c>
      <c r="B9092" s="35">
        <v>1</v>
      </c>
      <c r="C9092" s="35">
        <v>0</v>
      </c>
      <c r="D9092" s="2">
        <f t="shared" si="142"/>
        <v>1</v>
      </c>
    </row>
    <row r="9093" spans="1:4" x14ac:dyDescent="0.3">
      <c r="A9093" s="34">
        <v>61125</v>
      </c>
      <c r="B9093" s="35">
        <v>1</v>
      </c>
      <c r="C9093" s="35">
        <v>0</v>
      </c>
      <c r="D9093" s="2">
        <f t="shared" si="142"/>
        <v>1</v>
      </c>
    </row>
    <row r="9094" spans="1:4" x14ac:dyDescent="0.3">
      <c r="A9094" s="34">
        <v>61128</v>
      </c>
      <c r="B9094" s="35">
        <v>1</v>
      </c>
      <c r="C9094" s="35">
        <v>0</v>
      </c>
      <c r="D9094" s="2">
        <f t="shared" si="142"/>
        <v>1</v>
      </c>
    </row>
    <row r="9095" spans="1:4" x14ac:dyDescent="0.3">
      <c r="A9095" s="34">
        <v>61130</v>
      </c>
      <c r="B9095" s="35">
        <v>1</v>
      </c>
      <c r="C9095" s="35">
        <v>0</v>
      </c>
      <c r="D9095" s="2">
        <f t="shared" si="142"/>
        <v>1</v>
      </c>
    </row>
    <row r="9096" spans="1:4" x14ac:dyDescent="0.3">
      <c r="A9096" s="34">
        <v>61133</v>
      </c>
      <c r="B9096" s="35">
        <v>3</v>
      </c>
      <c r="C9096" s="35">
        <v>3</v>
      </c>
      <c r="D9096" s="2">
        <f t="shared" si="142"/>
        <v>6</v>
      </c>
    </row>
    <row r="9097" spans="1:4" x14ac:dyDescent="0.3">
      <c r="A9097" s="34">
        <v>61134</v>
      </c>
      <c r="B9097" s="35">
        <v>1</v>
      </c>
      <c r="C9097" s="35">
        <v>0</v>
      </c>
      <c r="D9097" s="2">
        <f t="shared" si="142"/>
        <v>1</v>
      </c>
    </row>
    <row r="9098" spans="1:4" x14ac:dyDescent="0.3">
      <c r="A9098" s="34">
        <v>61135</v>
      </c>
      <c r="B9098" s="35">
        <v>1</v>
      </c>
      <c r="C9098" s="35">
        <v>0</v>
      </c>
      <c r="D9098" s="2">
        <f t="shared" si="142"/>
        <v>1</v>
      </c>
    </row>
    <row r="9099" spans="1:4" x14ac:dyDescent="0.3">
      <c r="A9099" s="34">
        <v>61136</v>
      </c>
      <c r="B9099" s="35">
        <v>1</v>
      </c>
      <c r="C9099" s="35">
        <v>1</v>
      </c>
      <c r="D9099" s="2">
        <f t="shared" si="142"/>
        <v>2</v>
      </c>
    </row>
    <row r="9100" spans="1:4" x14ac:dyDescent="0.3">
      <c r="A9100" s="34">
        <v>61140</v>
      </c>
      <c r="B9100" s="35">
        <v>2</v>
      </c>
      <c r="C9100" s="35">
        <v>2</v>
      </c>
      <c r="D9100" s="2">
        <f t="shared" si="142"/>
        <v>4</v>
      </c>
    </row>
    <row r="9101" spans="1:4" x14ac:dyDescent="0.3">
      <c r="A9101" s="34">
        <v>61144</v>
      </c>
      <c r="B9101" s="35">
        <v>1</v>
      </c>
      <c r="C9101" s="35">
        <v>0</v>
      </c>
      <c r="D9101" s="2">
        <f t="shared" si="142"/>
        <v>1</v>
      </c>
    </row>
    <row r="9102" spans="1:4" x14ac:dyDescent="0.3">
      <c r="A9102" s="34">
        <v>61148</v>
      </c>
      <c r="B9102" s="35">
        <v>1</v>
      </c>
      <c r="C9102" s="35">
        <v>0</v>
      </c>
      <c r="D9102" s="2">
        <f t="shared" si="142"/>
        <v>1</v>
      </c>
    </row>
    <row r="9103" spans="1:4" x14ac:dyDescent="0.3">
      <c r="A9103" s="34">
        <v>61151</v>
      </c>
      <c r="B9103" s="35">
        <v>1</v>
      </c>
      <c r="C9103" s="35">
        <v>1</v>
      </c>
      <c r="D9103" s="2">
        <f t="shared" si="142"/>
        <v>2</v>
      </c>
    </row>
    <row r="9104" spans="1:4" x14ac:dyDescent="0.3">
      <c r="A9104" s="34">
        <v>61168</v>
      </c>
      <c r="B9104" s="35">
        <v>1</v>
      </c>
      <c r="C9104" s="35">
        <v>1</v>
      </c>
      <c r="D9104" s="2">
        <f t="shared" si="142"/>
        <v>2</v>
      </c>
    </row>
    <row r="9105" spans="1:4" x14ac:dyDescent="0.3">
      <c r="A9105" s="34">
        <v>61169</v>
      </c>
      <c r="B9105" s="35">
        <v>1</v>
      </c>
      <c r="C9105" s="35">
        <v>0</v>
      </c>
      <c r="D9105" s="2">
        <f t="shared" si="142"/>
        <v>1</v>
      </c>
    </row>
    <row r="9106" spans="1:4" x14ac:dyDescent="0.3">
      <c r="A9106" s="34">
        <v>61171</v>
      </c>
      <c r="B9106" s="35">
        <v>1</v>
      </c>
      <c r="C9106" s="35">
        <v>0</v>
      </c>
      <c r="D9106" s="2">
        <f t="shared" si="142"/>
        <v>1</v>
      </c>
    </row>
    <row r="9107" spans="1:4" x14ac:dyDescent="0.3">
      <c r="A9107" s="34">
        <v>61172</v>
      </c>
      <c r="B9107" s="35">
        <v>1</v>
      </c>
      <c r="C9107" s="35">
        <v>0</v>
      </c>
      <c r="D9107" s="2">
        <f t="shared" si="142"/>
        <v>1</v>
      </c>
    </row>
    <row r="9108" spans="1:4" x14ac:dyDescent="0.3">
      <c r="A9108" s="34">
        <v>61175</v>
      </c>
      <c r="B9108" s="35">
        <v>1</v>
      </c>
      <c r="C9108" s="35">
        <v>0</v>
      </c>
      <c r="D9108" s="2">
        <f t="shared" si="142"/>
        <v>1</v>
      </c>
    </row>
    <row r="9109" spans="1:4" x14ac:dyDescent="0.3">
      <c r="A9109" s="34">
        <v>61179</v>
      </c>
      <c r="B9109" s="35">
        <v>1</v>
      </c>
      <c r="C9109" s="35">
        <v>0</v>
      </c>
      <c r="D9109" s="2">
        <f t="shared" si="142"/>
        <v>1</v>
      </c>
    </row>
    <row r="9110" spans="1:4" x14ac:dyDescent="0.3">
      <c r="A9110" s="34">
        <v>61182</v>
      </c>
      <c r="B9110" s="35">
        <v>1</v>
      </c>
      <c r="C9110" s="35">
        <v>0</v>
      </c>
      <c r="D9110" s="2">
        <f t="shared" si="142"/>
        <v>1</v>
      </c>
    </row>
    <row r="9111" spans="1:4" x14ac:dyDescent="0.3">
      <c r="A9111" s="34">
        <v>61186</v>
      </c>
      <c r="B9111" s="35">
        <v>1</v>
      </c>
      <c r="C9111" s="35">
        <v>0</v>
      </c>
      <c r="D9111" s="2">
        <f t="shared" si="142"/>
        <v>1</v>
      </c>
    </row>
    <row r="9112" spans="1:4" x14ac:dyDescent="0.3">
      <c r="A9112" s="34">
        <v>61188</v>
      </c>
      <c r="B9112" s="35">
        <v>1</v>
      </c>
      <c r="C9112" s="35">
        <v>0</v>
      </c>
      <c r="D9112" s="2">
        <f t="shared" si="142"/>
        <v>1</v>
      </c>
    </row>
    <row r="9113" spans="1:4" x14ac:dyDescent="0.3">
      <c r="A9113" s="34">
        <v>61189</v>
      </c>
      <c r="B9113" s="35">
        <v>2</v>
      </c>
      <c r="C9113" s="35">
        <v>1</v>
      </c>
      <c r="D9113" s="2">
        <f t="shared" si="142"/>
        <v>3</v>
      </c>
    </row>
    <row r="9114" spans="1:4" x14ac:dyDescent="0.3">
      <c r="A9114" s="34">
        <v>61190</v>
      </c>
      <c r="B9114" s="35">
        <v>2</v>
      </c>
      <c r="C9114" s="35">
        <v>2</v>
      </c>
      <c r="D9114" s="2">
        <f t="shared" si="142"/>
        <v>4</v>
      </c>
    </row>
    <row r="9115" spans="1:4" x14ac:dyDescent="0.3">
      <c r="A9115" s="34">
        <v>61191</v>
      </c>
      <c r="B9115" s="35">
        <v>1</v>
      </c>
      <c r="C9115" s="35">
        <v>0</v>
      </c>
      <c r="D9115" s="2">
        <f t="shared" si="142"/>
        <v>1</v>
      </c>
    </row>
    <row r="9116" spans="1:4" x14ac:dyDescent="0.3">
      <c r="A9116" s="34">
        <v>61194</v>
      </c>
      <c r="B9116" s="35">
        <v>1</v>
      </c>
      <c r="C9116" s="35">
        <v>0</v>
      </c>
      <c r="D9116" s="2">
        <f t="shared" si="142"/>
        <v>1</v>
      </c>
    </row>
    <row r="9117" spans="1:4" x14ac:dyDescent="0.3">
      <c r="A9117" s="34">
        <v>61195</v>
      </c>
      <c r="B9117" s="35">
        <v>1</v>
      </c>
      <c r="C9117" s="35">
        <v>0</v>
      </c>
      <c r="D9117" s="2">
        <f t="shared" si="142"/>
        <v>1</v>
      </c>
    </row>
    <row r="9118" spans="1:4" x14ac:dyDescent="0.3">
      <c r="A9118" s="34">
        <v>61196</v>
      </c>
      <c r="B9118" s="35">
        <v>1</v>
      </c>
      <c r="C9118" s="35">
        <v>0</v>
      </c>
      <c r="D9118" s="2">
        <f t="shared" si="142"/>
        <v>1</v>
      </c>
    </row>
    <row r="9119" spans="1:4" x14ac:dyDescent="0.3">
      <c r="A9119" s="34">
        <v>61198</v>
      </c>
      <c r="B9119" s="35">
        <v>1</v>
      </c>
      <c r="C9119" s="35">
        <v>0</v>
      </c>
      <c r="D9119" s="2">
        <f t="shared" si="142"/>
        <v>1</v>
      </c>
    </row>
    <row r="9120" spans="1:4" x14ac:dyDescent="0.3">
      <c r="A9120" s="34">
        <v>61199</v>
      </c>
      <c r="B9120" s="35">
        <v>2</v>
      </c>
      <c r="C9120" s="35">
        <v>0</v>
      </c>
      <c r="D9120" s="2">
        <f t="shared" si="142"/>
        <v>2</v>
      </c>
    </row>
    <row r="9121" spans="1:4" x14ac:dyDescent="0.3">
      <c r="A9121" s="34">
        <v>61205</v>
      </c>
      <c r="B9121" s="35">
        <v>1</v>
      </c>
      <c r="C9121" s="35">
        <v>0</v>
      </c>
      <c r="D9121" s="2">
        <f t="shared" si="142"/>
        <v>1</v>
      </c>
    </row>
    <row r="9122" spans="1:4" x14ac:dyDescent="0.3">
      <c r="A9122" s="34">
        <v>61209</v>
      </c>
      <c r="B9122" s="35">
        <v>1</v>
      </c>
      <c r="C9122" s="35">
        <v>0</v>
      </c>
      <c r="D9122" s="2">
        <f t="shared" si="142"/>
        <v>1</v>
      </c>
    </row>
    <row r="9123" spans="1:4" x14ac:dyDescent="0.3">
      <c r="A9123" s="34">
        <v>61214</v>
      </c>
      <c r="B9123" s="35">
        <v>1</v>
      </c>
      <c r="C9123" s="35">
        <v>0</v>
      </c>
      <c r="D9123" s="2">
        <f t="shared" si="142"/>
        <v>1</v>
      </c>
    </row>
    <row r="9124" spans="1:4" x14ac:dyDescent="0.3">
      <c r="A9124" s="34">
        <v>61215</v>
      </c>
      <c r="B9124" s="35">
        <v>1</v>
      </c>
      <c r="C9124" s="35">
        <v>0</v>
      </c>
      <c r="D9124" s="2">
        <f t="shared" si="142"/>
        <v>1</v>
      </c>
    </row>
    <row r="9125" spans="1:4" x14ac:dyDescent="0.3">
      <c r="A9125" s="34">
        <v>61217</v>
      </c>
      <c r="B9125" s="35">
        <v>1</v>
      </c>
      <c r="C9125" s="35">
        <v>0</v>
      </c>
      <c r="D9125" s="2">
        <f t="shared" si="142"/>
        <v>1</v>
      </c>
    </row>
    <row r="9126" spans="1:4" x14ac:dyDescent="0.3">
      <c r="A9126" s="34">
        <v>61220</v>
      </c>
      <c r="B9126" s="35">
        <v>1</v>
      </c>
      <c r="C9126" s="35">
        <v>0</v>
      </c>
      <c r="D9126" s="2">
        <f t="shared" si="142"/>
        <v>1</v>
      </c>
    </row>
    <row r="9127" spans="1:4" x14ac:dyDescent="0.3">
      <c r="A9127" s="34">
        <v>61221</v>
      </c>
      <c r="B9127" s="35">
        <v>1</v>
      </c>
      <c r="C9127" s="35">
        <v>0</v>
      </c>
      <c r="D9127" s="2">
        <f t="shared" si="142"/>
        <v>1</v>
      </c>
    </row>
    <row r="9128" spans="1:4" x14ac:dyDescent="0.3">
      <c r="A9128" s="34">
        <v>61222</v>
      </c>
      <c r="B9128" s="35">
        <v>1</v>
      </c>
      <c r="C9128" s="35">
        <v>0</v>
      </c>
      <c r="D9128" s="2">
        <f t="shared" si="142"/>
        <v>1</v>
      </c>
    </row>
    <row r="9129" spans="1:4" x14ac:dyDescent="0.3">
      <c r="A9129" s="34">
        <v>61224</v>
      </c>
      <c r="B9129" s="35">
        <v>1</v>
      </c>
      <c r="C9129" s="35">
        <v>0</v>
      </c>
      <c r="D9129" s="2">
        <f t="shared" si="142"/>
        <v>1</v>
      </c>
    </row>
    <row r="9130" spans="1:4" x14ac:dyDescent="0.3">
      <c r="A9130" s="34">
        <v>61227</v>
      </c>
      <c r="B9130" s="35">
        <v>1</v>
      </c>
      <c r="C9130" s="35">
        <v>0</v>
      </c>
      <c r="D9130" s="2">
        <f t="shared" si="142"/>
        <v>1</v>
      </c>
    </row>
    <row r="9131" spans="1:4" x14ac:dyDescent="0.3">
      <c r="A9131" s="34">
        <v>61230</v>
      </c>
      <c r="B9131" s="35">
        <v>1</v>
      </c>
      <c r="C9131" s="35">
        <v>0</v>
      </c>
      <c r="D9131" s="2">
        <f t="shared" si="142"/>
        <v>1</v>
      </c>
    </row>
    <row r="9132" spans="1:4" x14ac:dyDescent="0.3">
      <c r="A9132" s="34">
        <v>61234</v>
      </c>
      <c r="B9132" s="35">
        <v>1</v>
      </c>
      <c r="C9132" s="35">
        <v>0</v>
      </c>
      <c r="D9132" s="2">
        <f t="shared" si="142"/>
        <v>1</v>
      </c>
    </row>
    <row r="9133" spans="1:4" x14ac:dyDescent="0.3">
      <c r="A9133" s="34">
        <v>61235</v>
      </c>
      <c r="B9133" s="35">
        <v>1</v>
      </c>
      <c r="C9133" s="35">
        <v>1</v>
      </c>
      <c r="D9133" s="2">
        <f t="shared" si="142"/>
        <v>2</v>
      </c>
    </row>
    <row r="9134" spans="1:4" x14ac:dyDescent="0.3">
      <c r="A9134" s="34">
        <v>61237</v>
      </c>
      <c r="B9134" s="35">
        <v>1</v>
      </c>
      <c r="C9134" s="35">
        <v>0</v>
      </c>
      <c r="D9134" s="2">
        <f t="shared" si="142"/>
        <v>1</v>
      </c>
    </row>
    <row r="9135" spans="1:4" x14ac:dyDescent="0.3">
      <c r="A9135" s="34">
        <v>61239</v>
      </c>
      <c r="B9135" s="35">
        <v>2</v>
      </c>
      <c r="C9135" s="35">
        <v>2</v>
      </c>
      <c r="D9135" s="2">
        <f t="shared" si="142"/>
        <v>4</v>
      </c>
    </row>
    <row r="9136" spans="1:4" x14ac:dyDescent="0.3">
      <c r="A9136" s="34">
        <v>61240</v>
      </c>
      <c r="B9136" s="35">
        <v>1</v>
      </c>
      <c r="C9136" s="35">
        <v>0</v>
      </c>
      <c r="D9136" s="2">
        <f t="shared" si="142"/>
        <v>1</v>
      </c>
    </row>
    <row r="9137" spans="1:4" x14ac:dyDescent="0.3">
      <c r="A9137" s="34">
        <v>61241</v>
      </c>
      <c r="B9137" s="35">
        <v>1</v>
      </c>
      <c r="C9137" s="35">
        <v>1</v>
      </c>
      <c r="D9137" s="2">
        <f t="shared" si="142"/>
        <v>2</v>
      </c>
    </row>
    <row r="9138" spans="1:4" x14ac:dyDescent="0.3">
      <c r="A9138" s="34">
        <v>61243</v>
      </c>
      <c r="B9138" s="35">
        <v>1</v>
      </c>
      <c r="C9138" s="35">
        <v>0</v>
      </c>
      <c r="D9138" s="2">
        <f t="shared" si="142"/>
        <v>1</v>
      </c>
    </row>
    <row r="9139" spans="1:4" x14ac:dyDescent="0.3">
      <c r="A9139" s="34">
        <v>61246</v>
      </c>
      <c r="B9139" s="35">
        <v>1</v>
      </c>
      <c r="C9139" s="35">
        <v>0</v>
      </c>
      <c r="D9139" s="2">
        <f t="shared" si="142"/>
        <v>1</v>
      </c>
    </row>
    <row r="9140" spans="1:4" x14ac:dyDescent="0.3">
      <c r="A9140" s="34">
        <v>61247</v>
      </c>
      <c r="B9140" s="35">
        <v>1</v>
      </c>
      <c r="C9140" s="35">
        <v>0</v>
      </c>
      <c r="D9140" s="2">
        <f t="shared" si="142"/>
        <v>1</v>
      </c>
    </row>
    <row r="9141" spans="1:4" x14ac:dyDescent="0.3">
      <c r="A9141" s="34">
        <v>61248</v>
      </c>
      <c r="B9141" s="35">
        <v>1</v>
      </c>
      <c r="C9141" s="35">
        <v>0</v>
      </c>
      <c r="D9141" s="2">
        <f t="shared" si="142"/>
        <v>1</v>
      </c>
    </row>
    <row r="9142" spans="1:4" x14ac:dyDescent="0.3">
      <c r="A9142" s="34">
        <v>61259</v>
      </c>
      <c r="B9142" s="35">
        <v>1</v>
      </c>
      <c r="C9142" s="35">
        <v>0</v>
      </c>
      <c r="D9142" s="2">
        <f t="shared" si="142"/>
        <v>1</v>
      </c>
    </row>
    <row r="9143" spans="1:4" x14ac:dyDescent="0.3">
      <c r="A9143" s="34">
        <v>61261</v>
      </c>
      <c r="B9143" s="35">
        <v>1</v>
      </c>
      <c r="C9143" s="35">
        <v>0</v>
      </c>
      <c r="D9143" s="2">
        <f t="shared" si="142"/>
        <v>1</v>
      </c>
    </row>
    <row r="9144" spans="1:4" x14ac:dyDescent="0.3">
      <c r="A9144" s="34">
        <v>61262</v>
      </c>
      <c r="B9144" s="35">
        <v>1</v>
      </c>
      <c r="C9144" s="35">
        <v>0</v>
      </c>
      <c r="D9144" s="2">
        <f t="shared" si="142"/>
        <v>1</v>
      </c>
    </row>
    <row r="9145" spans="1:4" x14ac:dyDescent="0.3">
      <c r="A9145" s="34">
        <v>61263</v>
      </c>
      <c r="B9145" s="35">
        <v>1</v>
      </c>
      <c r="C9145" s="35">
        <v>0</v>
      </c>
      <c r="D9145" s="2">
        <f t="shared" si="142"/>
        <v>1</v>
      </c>
    </row>
    <row r="9146" spans="1:4" x14ac:dyDescent="0.3">
      <c r="A9146" s="34">
        <v>61264</v>
      </c>
      <c r="B9146" s="35">
        <v>1</v>
      </c>
      <c r="C9146" s="35">
        <v>0</v>
      </c>
      <c r="D9146" s="2">
        <f t="shared" si="142"/>
        <v>1</v>
      </c>
    </row>
    <row r="9147" spans="1:4" x14ac:dyDescent="0.3">
      <c r="A9147" s="34">
        <v>61266</v>
      </c>
      <c r="B9147" s="35">
        <v>1</v>
      </c>
      <c r="C9147" s="35">
        <v>0</v>
      </c>
      <c r="D9147" s="2">
        <f t="shared" si="142"/>
        <v>1</v>
      </c>
    </row>
    <row r="9148" spans="1:4" x14ac:dyDescent="0.3">
      <c r="A9148" s="34">
        <v>61267</v>
      </c>
      <c r="B9148" s="35">
        <v>2</v>
      </c>
      <c r="C9148" s="35">
        <v>2</v>
      </c>
      <c r="D9148" s="2">
        <f t="shared" si="142"/>
        <v>4</v>
      </c>
    </row>
    <row r="9149" spans="1:4" x14ac:dyDescent="0.3">
      <c r="A9149" s="34">
        <v>61268</v>
      </c>
      <c r="B9149" s="35">
        <v>1</v>
      </c>
      <c r="C9149" s="35">
        <v>0</v>
      </c>
      <c r="D9149" s="2">
        <f t="shared" si="142"/>
        <v>1</v>
      </c>
    </row>
    <row r="9150" spans="1:4" x14ac:dyDescent="0.3">
      <c r="A9150" s="34">
        <v>61269</v>
      </c>
      <c r="B9150" s="35">
        <v>1</v>
      </c>
      <c r="C9150" s="35">
        <v>0</v>
      </c>
      <c r="D9150" s="2">
        <f t="shared" si="142"/>
        <v>1</v>
      </c>
    </row>
    <row r="9151" spans="1:4" x14ac:dyDescent="0.3">
      <c r="A9151" s="34">
        <v>61271</v>
      </c>
      <c r="B9151" s="35">
        <v>1</v>
      </c>
      <c r="C9151" s="35">
        <v>0</v>
      </c>
      <c r="D9151" s="2">
        <f t="shared" si="142"/>
        <v>1</v>
      </c>
    </row>
    <row r="9152" spans="1:4" x14ac:dyDescent="0.3">
      <c r="A9152" s="34">
        <v>61275</v>
      </c>
      <c r="B9152" s="35">
        <v>1</v>
      </c>
      <c r="C9152" s="35">
        <v>0</v>
      </c>
      <c r="D9152" s="2">
        <f t="shared" si="142"/>
        <v>1</v>
      </c>
    </row>
    <row r="9153" spans="1:4" x14ac:dyDescent="0.3">
      <c r="A9153" s="34">
        <v>61277</v>
      </c>
      <c r="B9153" s="35">
        <v>1</v>
      </c>
      <c r="C9153" s="35">
        <v>0</v>
      </c>
      <c r="D9153" s="2">
        <f t="shared" si="142"/>
        <v>1</v>
      </c>
    </row>
    <row r="9154" spans="1:4" x14ac:dyDescent="0.3">
      <c r="A9154" s="34">
        <v>61280</v>
      </c>
      <c r="B9154" s="35">
        <v>1</v>
      </c>
      <c r="C9154" s="35">
        <v>1</v>
      </c>
      <c r="D9154" s="2">
        <f t="shared" si="142"/>
        <v>2</v>
      </c>
    </row>
    <row r="9155" spans="1:4" x14ac:dyDescent="0.3">
      <c r="A9155" s="34">
        <v>61282</v>
      </c>
      <c r="B9155" s="35">
        <v>1</v>
      </c>
      <c r="C9155" s="35">
        <v>0</v>
      </c>
      <c r="D9155" s="2">
        <f t="shared" ref="D9155:D9218" si="143">B9155+C9155</f>
        <v>1</v>
      </c>
    </row>
    <row r="9156" spans="1:4" x14ac:dyDescent="0.3">
      <c r="A9156" s="34">
        <v>61283</v>
      </c>
      <c r="B9156" s="35">
        <v>1</v>
      </c>
      <c r="C9156" s="35">
        <v>0</v>
      </c>
      <c r="D9156" s="2">
        <f t="shared" si="143"/>
        <v>1</v>
      </c>
    </row>
    <row r="9157" spans="1:4" x14ac:dyDescent="0.3">
      <c r="A9157" s="34">
        <v>61285</v>
      </c>
      <c r="B9157" s="35">
        <v>1</v>
      </c>
      <c r="C9157" s="35">
        <v>0</v>
      </c>
      <c r="D9157" s="2">
        <f t="shared" si="143"/>
        <v>1</v>
      </c>
    </row>
    <row r="9158" spans="1:4" x14ac:dyDescent="0.3">
      <c r="A9158" s="34">
        <v>61286</v>
      </c>
      <c r="B9158" s="35">
        <v>1</v>
      </c>
      <c r="C9158" s="35">
        <v>0</v>
      </c>
      <c r="D9158" s="2">
        <f t="shared" si="143"/>
        <v>1</v>
      </c>
    </row>
    <row r="9159" spans="1:4" x14ac:dyDescent="0.3">
      <c r="A9159" s="34">
        <v>61293</v>
      </c>
      <c r="B9159" s="35">
        <v>1</v>
      </c>
      <c r="C9159" s="35">
        <v>1</v>
      </c>
      <c r="D9159" s="2">
        <f t="shared" si="143"/>
        <v>2</v>
      </c>
    </row>
    <row r="9160" spans="1:4" x14ac:dyDescent="0.3">
      <c r="A9160" s="34">
        <v>61294</v>
      </c>
      <c r="B9160" s="35">
        <v>1</v>
      </c>
      <c r="C9160" s="35">
        <v>0</v>
      </c>
      <c r="D9160" s="2">
        <f t="shared" si="143"/>
        <v>1</v>
      </c>
    </row>
    <row r="9161" spans="1:4" x14ac:dyDescent="0.3">
      <c r="A9161" s="34">
        <v>61332</v>
      </c>
      <c r="B9161" s="35">
        <v>1</v>
      </c>
      <c r="C9161" s="35">
        <v>1</v>
      </c>
      <c r="D9161" s="2">
        <f t="shared" si="143"/>
        <v>2</v>
      </c>
    </row>
    <row r="9162" spans="1:4" x14ac:dyDescent="0.3">
      <c r="A9162" s="34">
        <v>61333</v>
      </c>
      <c r="B9162" s="35">
        <v>1</v>
      </c>
      <c r="C9162" s="35">
        <v>0</v>
      </c>
      <c r="D9162" s="2">
        <f t="shared" si="143"/>
        <v>1</v>
      </c>
    </row>
    <row r="9163" spans="1:4" x14ac:dyDescent="0.3">
      <c r="A9163" s="34">
        <v>61334</v>
      </c>
      <c r="B9163" s="35">
        <v>1</v>
      </c>
      <c r="C9163" s="35">
        <v>1</v>
      </c>
      <c r="D9163" s="2">
        <f t="shared" si="143"/>
        <v>2</v>
      </c>
    </row>
    <row r="9164" spans="1:4" x14ac:dyDescent="0.3">
      <c r="A9164" s="34">
        <v>61335</v>
      </c>
      <c r="B9164" s="35">
        <v>1</v>
      </c>
      <c r="C9164" s="35">
        <v>0</v>
      </c>
      <c r="D9164" s="2">
        <f t="shared" si="143"/>
        <v>1</v>
      </c>
    </row>
    <row r="9165" spans="1:4" x14ac:dyDescent="0.3">
      <c r="A9165" s="34">
        <v>61336</v>
      </c>
      <c r="B9165" s="35">
        <v>1</v>
      </c>
      <c r="C9165" s="35">
        <v>1</v>
      </c>
      <c r="D9165" s="2">
        <f t="shared" si="143"/>
        <v>2</v>
      </c>
    </row>
    <row r="9166" spans="1:4" x14ac:dyDescent="0.3">
      <c r="A9166" s="34">
        <v>61338</v>
      </c>
      <c r="B9166" s="35">
        <v>1</v>
      </c>
      <c r="C9166" s="35">
        <v>0</v>
      </c>
      <c r="D9166" s="2">
        <f t="shared" si="143"/>
        <v>1</v>
      </c>
    </row>
    <row r="9167" spans="1:4" x14ac:dyDescent="0.3">
      <c r="A9167" s="34">
        <v>61339</v>
      </c>
      <c r="B9167" s="35">
        <v>1</v>
      </c>
      <c r="C9167" s="35">
        <v>0</v>
      </c>
      <c r="D9167" s="2">
        <f t="shared" si="143"/>
        <v>1</v>
      </c>
    </row>
    <row r="9168" spans="1:4" x14ac:dyDescent="0.3">
      <c r="A9168" s="34">
        <v>61341</v>
      </c>
      <c r="B9168" s="35">
        <v>1</v>
      </c>
      <c r="C9168" s="35">
        <v>0</v>
      </c>
      <c r="D9168" s="2">
        <f t="shared" si="143"/>
        <v>1</v>
      </c>
    </row>
    <row r="9169" spans="1:4" x14ac:dyDescent="0.3">
      <c r="A9169" s="34">
        <v>61342</v>
      </c>
      <c r="B9169" s="35">
        <v>1</v>
      </c>
      <c r="C9169" s="35">
        <v>0</v>
      </c>
      <c r="D9169" s="2">
        <f t="shared" si="143"/>
        <v>1</v>
      </c>
    </row>
    <row r="9170" spans="1:4" x14ac:dyDescent="0.3">
      <c r="A9170" s="34">
        <v>61345</v>
      </c>
      <c r="B9170" s="35">
        <v>1</v>
      </c>
      <c r="C9170" s="35">
        <v>0</v>
      </c>
      <c r="D9170" s="2">
        <f t="shared" si="143"/>
        <v>1</v>
      </c>
    </row>
    <row r="9171" spans="1:4" x14ac:dyDescent="0.3">
      <c r="A9171" s="34">
        <v>61346</v>
      </c>
      <c r="B9171" s="35">
        <v>1</v>
      </c>
      <c r="C9171" s="35">
        <v>1</v>
      </c>
      <c r="D9171" s="2">
        <f t="shared" si="143"/>
        <v>2</v>
      </c>
    </row>
    <row r="9172" spans="1:4" x14ac:dyDescent="0.3">
      <c r="A9172" s="34">
        <v>61347</v>
      </c>
      <c r="B9172" s="35">
        <v>1</v>
      </c>
      <c r="C9172" s="35">
        <v>0</v>
      </c>
      <c r="D9172" s="2">
        <f t="shared" si="143"/>
        <v>1</v>
      </c>
    </row>
    <row r="9173" spans="1:4" x14ac:dyDescent="0.3">
      <c r="A9173" s="34">
        <v>61348</v>
      </c>
      <c r="B9173" s="35">
        <v>1</v>
      </c>
      <c r="C9173" s="35">
        <v>1</v>
      </c>
      <c r="D9173" s="2">
        <f t="shared" si="143"/>
        <v>2</v>
      </c>
    </row>
    <row r="9174" spans="1:4" x14ac:dyDescent="0.3">
      <c r="A9174" s="34">
        <v>61349</v>
      </c>
      <c r="B9174" s="35">
        <v>1</v>
      </c>
      <c r="C9174" s="35">
        <v>0</v>
      </c>
      <c r="D9174" s="2">
        <f t="shared" si="143"/>
        <v>1</v>
      </c>
    </row>
    <row r="9175" spans="1:4" x14ac:dyDescent="0.3">
      <c r="A9175" s="34">
        <v>61350</v>
      </c>
      <c r="B9175" s="35">
        <v>1</v>
      </c>
      <c r="C9175" s="35">
        <v>0</v>
      </c>
      <c r="D9175" s="2">
        <f t="shared" si="143"/>
        <v>1</v>
      </c>
    </row>
    <row r="9176" spans="1:4" x14ac:dyDescent="0.3">
      <c r="A9176" s="34">
        <v>61352</v>
      </c>
      <c r="B9176" s="35">
        <v>1</v>
      </c>
      <c r="C9176" s="35">
        <v>0</v>
      </c>
      <c r="D9176" s="2">
        <f t="shared" si="143"/>
        <v>1</v>
      </c>
    </row>
    <row r="9177" spans="1:4" x14ac:dyDescent="0.3">
      <c r="A9177" s="34">
        <v>61353</v>
      </c>
      <c r="B9177" s="35">
        <v>1</v>
      </c>
      <c r="C9177" s="35">
        <v>0</v>
      </c>
      <c r="D9177" s="2">
        <f t="shared" si="143"/>
        <v>1</v>
      </c>
    </row>
    <row r="9178" spans="1:4" x14ac:dyDescent="0.3">
      <c r="A9178" s="34">
        <v>61356</v>
      </c>
      <c r="B9178" s="35">
        <v>1</v>
      </c>
      <c r="C9178" s="35">
        <v>1</v>
      </c>
      <c r="D9178" s="2">
        <f t="shared" si="143"/>
        <v>2</v>
      </c>
    </row>
    <row r="9179" spans="1:4" x14ac:dyDescent="0.3">
      <c r="A9179" s="34">
        <v>61357</v>
      </c>
      <c r="B9179" s="35">
        <v>1</v>
      </c>
      <c r="C9179" s="35">
        <v>0</v>
      </c>
      <c r="D9179" s="2">
        <f t="shared" si="143"/>
        <v>1</v>
      </c>
    </row>
    <row r="9180" spans="1:4" x14ac:dyDescent="0.3">
      <c r="A9180" s="34">
        <v>61358</v>
      </c>
      <c r="B9180" s="35">
        <v>1</v>
      </c>
      <c r="C9180" s="35">
        <v>1</v>
      </c>
      <c r="D9180" s="2">
        <f t="shared" si="143"/>
        <v>2</v>
      </c>
    </row>
    <row r="9181" spans="1:4" x14ac:dyDescent="0.3">
      <c r="A9181" s="34">
        <v>61359</v>
      </c>
      <c r="B9181" s="35">
        <v>1</v>
      </c>
      <c r="C9181" s="35">
        <v>0</v>
      </c>
      <c r="D9181" s="2">
        <f t="shared" si="143"/>
        <v>1</v>
      </c>
    </row>
    <row r="9182" spans="1:4" x14ac:dyDescent="0.3">
      <c r="A9182" s="34">
        <v>61361</v>
      </c>
      <c r="B9182" s="35">
        <v>1</v>
      </c>
      <c r="C9182" s="35">
        <v>0</v>
      </c>
      <c r="D9182" s="2">
        <f t="shared" si="143"/>
        <v>1</v>
      </c>
    </row>
    <row r="9183" spans="1:4" x14ac:dyDescent="0.3">
      <c r="A9183" s="34">
        <v>61363</v>
      </c>
      <c r="B9183" s="35">
        <v>1</v>
      </c>
      <c r="C9183" s="35">
        <v>1</v>
      </c>
      <c r="D9183" s="2">
        <f t="shared" si="143"/>
        <v>2</v>
      </c>
    </row>
    <row r="9184" spans="1:4" x14ac:dyDescent="0.3">
      <c r="A9184" s="34">
        <v>61364</v>
      </c>
      <c r="B9184" s="35">
        <v>2</v>
      </c>
      <c r="C9184" s="35">
        <v>2</v>
      </c>
      <c r="D9184" s="2">
        <f t="shared" si="143"/>
        <v>4</v>
      </c>
    </row>
    <row r="9185" spans="1:4" x14ac:dyDescent="0.3">
      <c r="A9185" s="34">
        <v>61365</v>
      </c>
      <c r="B9185" s="35">
        <v>1</v>
      </c>
      <c r="C9185" s="35">
        <v>0</v>
      </c>
      <c r="D9185" s="2">
        <f t="shared" si="143"/>
        <v>1</v>
      </c>
    </row>
    <row r="9186" spans="1:4" x14ac:dyDescent="0.3">
      <c r="A9186" s="34">
        <v>61367</v>
      </c>
      <c r="B9186" s="35">
        <v>1</v>
      </c>
      <c r="C9186" s="35">
        <v>0</v>
      </c>
      <c r="D9186" s="2">
        <f t="shared" si="143"/>
        <v>1</v>
      </c>
    </row>
    <row r="9187" spans="1:4" x14ac:dyDescent="0.3">
      <c r="A9187" s="34">
        <v>61370</v>
      </c>
      <c r="B9187" s="35">
        <v>1</v>
      </c>
      <c r="C9187" s="35">
        <v>0</v>
      </c>
      <c r="D9187" s="2">
        <f t="shared" si="143"/>
        <v>1</v>
      </c>
    </row>
    <row r="9188" spans="1:4" x14ac:dyDescent="0.3">
      <c r="A9188" s="34">
        <v>61372</v>
      </c>
      <c r="B9188" s="35">
        <v>1</v>
      </c>
      <c r="C9188" s="35">
        <v>0</v>
      </c>
      <c r="D9188" s="2">
        <f t="shared" si="143"/>
        <v>1</v>
      </c>
    </row>
    <row r="9189" spans="1:4" x14ac:dyDescent="0.3">
      <c r="A9189" s="34">
        <v>61376</v>
      </c>
      <c r="B9189" s="35">
        <v>1</v>
      </c>
      <c r="C9189" s="35">
        <v>0</v>
      </c>
      <c r="D9189" s="2">
        <f t="shared" si="143"/>
        <v>1</v>
      </c>
    </row>
    <row r="9190" spans="1:4" x14ac:dyDescent="0.3">
      <c r="A9190" s="34">
        <v>61379</v>
      </c>
      <c r="B9190" s="35">
        <v>1</v>
      </c>
      <c r="C9190" s="35">
        <v>0</v>
      </c>
      <c r="D9190" s="2">
        <f t="shared" si="143"/>
        <v>1</v>
      </c>
    </row>
    <row r="9191" spans="1:4" x14ac:dyDescent="0.3">
      <c r="A9191" s="34">
        <v>61382</v>
      </c>
      <c r="B9191" s="35">
        <v>1</v>
      </c>
      <c r="C9191" s="35">
        <v>1</v>
      </c>
      <c r="D9191" s="2">
        <f t="shared" si="143"/>
        <v>2</v>
      </c>
    </row>
    <row r="9192" spans="1:4" x14ac:dyDescent="0.3">
      <c r="A9192" s="34">
        <v>61385</v>
      </c>
      <c r="B9192" s="35">
        <v>1</v>
      </c>
      <c r="C9192" s="35">
        <v>0</v>
      </c>
      <c r="D9192" s="2">
        <f t="shared" si="143"/>
        <v>1</v>
      </c>
    </row>
    <row r="9193" spans="1:4" x14ac:dyDescent="0.3">
      <c r="A9193" s="34">
        <v>61386</v>
      </c>
      <c r="B9193" s="35">
        <v>1</v>
      </c>
      <c r="C9193" s="35">
        <v>0</v>
      </c>
      <c r="D9193" s="2">
        <f t="shared" si="143"/>
        <v>1</v>
      </c>
    </row>
    <row r="9194" spans="1:4" x14ac:dyDescent="0.3">
      <c r="A9194" s="34">
        <v>61387</v>
      </c>
      <c r="B9194" s="35">
        <v>1</v>
      </c>
      <c r="C9194" s="35">
        <v>0</v>
      </c>
      <c r="D9194" s="2">
        <f t="shared" si="143"/>
        <v>1</v>
      </c>
    </row>
    <row r="9195" spans="1:4" x14ac:dyDescent="0.3">
      <c r="A9195" s="34">
        <v>61398</v>
      </c>
      <c r="B9195" s="35">
        <v>1</v>
      </c>
      <c r="C9195" s="35">
        <v>0</v>
      </c>
      <c r="D9195" s="2">
        <f t="shared" si="143"/>
        <v>1</v>
      </c>
    </row>
    <row r="9196" spans="1:4" x14ac:dyDescent="0.3">
      <c r="A9196" s="34">
        <v>61399</v>
      </c>
      <c r="B9196" s="35">
        <v>1</v>
      </c>
      <c r="C9196" s="35">
        <v>0</v>
      </c>
      <c r="D9196" s="2">
        <f t="shared" si="143"/>
        <v>1</v>
      </c>
    </row>
    <row r="9197" spans="1:4" x14ac:dyDescent="0.3">
      <c r="A9197" s="34">
        <v>61400</v>
      </c>
      <c r="B9197" s="35">
        <v>1</v>
      </c>
      <c r="C9197" s="35">
        <v>0</v>
      </c>
      <c r="D9197" s="2">
        <f t="shared" si="143"/>
        <v>1</v>
      </c>
    </row>
    <row r="9198" spans="1:4" x14ac:dyDescent="0.3">
      <c r="A9198" s="34">
        <v>61406</v>
      </c>
      <c r="B9198" s="35">
        <v>1</v>
      </c>
      <c r="C9198" s="35">
        <v>0</v>
      </c>
      <c r="D9198" s="2">
        <f t="shared" si="143"/>
        <v>1</v>
      </c>
    </row>
    <row r="9199" spans="1:4" x14ac:dyDescent="0.3">
      <c r="A9199" s="34">
        <v>61410</v>
      </c>
      <c r="B9199" s="35">
        <v>1</v>
      </c>
      <c r="C9199" s="35">
        <v>0</v>
      </c>
      <c r="D9199" s="2">
        <f t="shared" si="143"/>
        <v>1</v>
      </c>
    </row>
    <row r="9200" spans="1:4" x14ac:dyDescent="0.3">
      <c r="A9200" s="34">
        <v>61411</v>
      </c>
      <c r="B9200" s="35">
        <v>1</v>
      </c>
      <c r="C9200" s="35">
        <v>0</v>
      </c>
      <c r="D9200" s="2">
        <f t="shared" si="143"/>
        <v>1</v>
      </c>
    </row>
    <row r="9201" spans="1:4" x14ac:dyDescent="0.3">
      <c r="A9201" s="34">
        <v>61412</v>
      </c>
      <c r="B9201" s="35">
        <v>1</v>
      </c>
      <c r="C9201" s="35">
        <v>0</v>
      </c>
      <c r="D9201" s="2">
        <f t="shared" si="143"/>
        <v>1</v>
      </c>
    </row>
    <row r="9202" spans="1:4" x14ac:dyDescent="0.3">
      <c r="A9202" s="34">
        <v>61415</v>
      </c>
      <c r="B9202" s="35">
        <v>1</v>
      </c>
      <c r="C9202" s="35">
        <v>0</v>
      </c>
      <c r="D9202" s="2">
        <f t="shared" si="143"/>
        <v>1</v>
      </c>
    </row>
    <row r="9203" spans="1:4" x14ac:dyDescent="0.3">
      <c r="A9203" s="34">
        <v>61417</v>
      </c>
      <c r="B9203" s="35">
        <v>1</v>
      </c>
      <c r="C9203" s="35">
        <v>0</v>
      </c>
      <c r="D9203" s="2">
        <f t="shared" si="143"/>
        <v>1</v>
      </c>
    </row>
    <row r="9204" spans="1:4" x14ac:dyDescent="0.3">
      <c r="A9204" s="34">
        <v>61419</v>
      </c>
      <c r="B9204" s="35">
        <v>1</v>
      </c>
      <c r="C9204" s="35">
        <v>0</v>
      </c>
      <c r="D9204" s="2">
        <f t="shared" si="143"/>
        <v>1</v>
      </c>
    </row>
    <row r="9205" spans="1:4" x14ac:dyDescent="0.3">
      <c r="A9205" s="34">
        <v>61423</v>
      </c>
      <c r="B9205" s="35">
        <v>1</v>
      </c>
      <c r="C9205" s="35">
        <v>0</v>
      </c>
      <c r="D9205" s="2">
        <f t="shared" si="143"/>
        <v>1</v>
      </c>
    </row>
    <row r="9206" spans="1:4" x14ac:dyDescent="0.3">
      <c r="A9206" s="34">
        <v>61424</v>
      </c>
      <c r="B9206" s="35">
        <v>1</v>
      </c>
      <c r="C9206" s="35">
        <v>0</v>
      </c>
      <c r="D9206" s="2">
        <f t="shared" si="143"/>
        <v>1</v>
      </c>
    </row>
    <row r="9207" spans="1:4" x14ac:dyDescent="0.3">
      <c r="A9207" s="34">
        <v>61425</v>
      </c>
      <c r="B9207" s="35">
        <v>2</v>
      </c>
      <c r="C9207" s="35">
        <v>1</v>
      </c>
      <c r="D9207" s="2">
        <f t="shared" si="143"/>
        <v>3</v>
      </c>
    </row>
    <row r="9208" spans="1:4" x14ac:dyDescent="0.3">
      <c r="A9208" s="34">
        <v>61426</v>
      </c>
      <c r="B9208" s="35">
        <v>1</v>
      </c>
      <c r="C9208" s="35">
        <v>0</v>
      </c>
      <c r="D9208" s="2">
        <f t="shared" si="143"/>
        <v>1</v>
      </c>
    </row>
    <row r="9209" spans="1:4" x14ac:dyDescent="0.3">
      <c r="A9209" s="34">
        <v>61430</v>
      </c>
      <c r="B9209" s="35">
        <v>1</v>
      </c>
      <c r="C9209" s="35">
        <v>0</v>
      </c>
      <c r="D9209" s="2">
        <f t="shared" si="143"/>
        <v>1</v>
      </c>
    </row>
    <row r="9210" spans="1:4" x14ac:dyDescent="0.3">
      <c r="A9210" s="34">
        <v>61431</v>
      </c>
      <c r="B9210" s="35">
        <v>1</v>
      </c>
      <c r="C9210" s="35">
        <v>0</v>
      </c>
      <c r="D9210" s="2">
        <f t="shared" si="143"/>
        <v>1</v>
      </c>
    </row>
    <row r="9211" spans="1:4" x14ac:dyDescent="0.3">
      <c r="A9211" s="34">
        <v>61434</v>
      </c>
      <c r="B9211" s="35">
        <v>1</v>
      </c>
      <c r="C9211" s="35">
        <v>1</v>
      </c>
      <c r="D9211" s="2">
        <f t="shared" si="143"/>
        <v>2</v>
      </c>
    </row>
    <row r="9212" spans="1:4" x14ac:dyDescent="0.3">
      <c r="A9212" s="34">
        <v>61435</v>
      </c>
      <c r="B9212" s="35">
        <v>1</v>
      </c>
      <c r="C9212" s="35">
        <v>1</v>
      </c>
      <c r="D9212" s="2">
        <f t="shared" si="143"/>
        <v>2</v>
      </c>
    </row>
    <row r="9213" spans="1:4" x14ac:dyDescent="0.3">
      <c r="A9213" s="34">
        <v>61437</v>
      </c>
      <c r="B9213" s="35">
        <v>1</v>
      </c>
      <c r="C9213" s="35">
        <v>0</v>
      </c>
      <c r="D9213" s="2">
        <f t="shared" si="143"/>
        <v>1</v>
      </c>
    </row>
    <row r="9214" spans="1:4" x14ac:dyDescent="0.3">
      <c r="A9214" s="34">
        <v>61439</v>
      </c>
      <c r="B9214" s="35">
        <v>1</v>
      </c>
      <c r="C9214" s="35">
        <v>0</v>
      </c>
      <c r="D9214" s="2">
        <f t="shared" si="143"/>
        <v>1</v>
      </c>
    </row>
    <row r="9215" spans="1:4" x14ac:dyDescent="0.3">
      <c r="A9215" s="34">
        <v>61441</v>
      </c>
      <c r="B9215" s="35">
        <v>1</v>
      </c>
      <c r="C9215" s="35">
        <v>0</v>
      </c>
      <c r="D9215" s="2">
        <f t="shared" si="143"/>
        <v>1</v>
      </c>
    </row>
    <row r="9216" spans="1:4" x14ac:dyDescent="0.3">
      <c r="A9216" s="34">
        <v>61444</v>
      </c>
      <c r="B9216" s="35">
        <v>1</v>
      </c>
      <c r="C9216" s="35">
        <v>0</v>
      </c>
      <c r="D9216" s="2">
        <f t="shared" si="143"/>
        <v>1</v>
      </c>
    </row>
    <row r="9217" spans="1:4" x14ac:dyDescent="0.3">
      <c r="A9217" s="34">
        <v>61446</v>
      </c>
      <c r="B9217" s="35">
        <v>1</v>
      </c>
      <c r="C9217" s="35">
        <v>0</v>
      </c>
      <c r="D9217" s="2">
        <f t="shared" si="143"/>
        <v>1</v>
      </c>
    </row>
    <row r="9218" spans="1:4" x14ac:dyDescent="0.3">
      <c r="A9218" s="34">
        <v>61447</v>
      </c>
      <c r="B9218" s="35">
        <v>1</v>
      </c>
      <c r="C9218" s="35">
        <v>0</v>
      </c>
      <c r="D9218" s="2">
        <f t="shared" si="143"/>
        <v>1</v>
      </c>
    </row>
    <row r="9219" spans="1:4" x14ac:dyDescent="0.3">
      <c r="A9219" s="34">
        <v>61451</v>
      </c>
      <c r="B9219" s="35">
        <v>1</v>
      </c>
      <c r="C9219" s="35">
        <v>1</v>
      </c>
      <c r="D9219" s="2">
        <f t="shared" ref="D9219:D9282" si="144">B9219+C9219</f>
        <v>2</v>
      </c>
    </row>
    <row r="9220" spans="1:4" x14ac:dyDescent="0.3">
      <c r="A9220" s="34">
        <v>61455</v>
      </c>
      <c r="B9220" s="35">
        <v>1</v>
      </c>
      <c r="C9220" s="35">
        <v>1</v>
      </c>
      <c r="D9220" s="2">
        <f t="shared" si="144"/>
        <v>2</v>
      </c>
    </row>
    <row r="9221" spans="1:4" x14ac:dyDescent="0.3">
      <c r="A9221" s="34">
        <v>61458</v>
      </c>
      <c r="B9221" s="35">
        <v>1</v>
      </c>
      <c r="C9221" s="35">
        <v>0</v>
      </c>
      <c r="D9221" s="2">
        <f t="shared" si="144"/>
        <v>1</v>
      </c>
    </row>
    <row r="9222" spans="1:4" x14ac:dyDescent="0.3">
      <c r="A9222" s="34">
        <v>61459</v>
      </c>
      <c r="B9222" s="35">
        <v>1</v>
      </c>
      <c r="C9222" s="35">
        <v>0</v>
      </c>
      <c r="D9222" s="2">
        <f t="shared" si="144"/>
        <v>1</v>
      </c>
    </row>
    <row r="9223" spans="1:4" x14ac:dyDescent="0.3">
      <c r="A9223" s="34">
        <v>61460</v>
      </c>
      <c r="B9223" s="35">
        <v>1</v>
      </c>
      <c r="C9223" s="35">
        <v>0</v>
      </c>
      <c r="D9223" s="2">
        <f t="shared" si="144"/>
        <v>1</v>
      </c>
    </row>
    <row r="9224" spans="1:4" x14ac:dyDescent="0.3">
      <c r="A9224" s="34">
        <v>61461</v>
      </c>
      <c r="B9224" s="35">
        <v>1</v>
      </c>
      <c r="C9224" s="35">
        <v>0</v>
      </c>
      <c r="D9224" s="2">
        <f t="shared" si="144"/>
        <v>1</v>
      </c>
    </row>
    <row r="9225" spans="1:4" x14ac:dyDescent="0.3">
      <c r="A9225" s="34">
        <v>61471</v>
      </c>
      <c r="B9225" s="35">
        <v>1</v>
      </c>
      <c r="C9225" s="35">
        <v>0</v>
      </c>
      <c r="D9225" s="2">
        <f t="shared" si="144"/>
        <v>1</v>
      </c>
    </row>
    <row r="9226" spans="1:4" x14ac:dyDescent="0.3">
      <c r="A9226" s="34">
        <v>61472</v>
      </c>
      <c r="B9226" s="35">
        <v>1</v>
      </c>
      <c r="C9226" s="35">
        <v>1</v>
      </c>
      <c r="D9226" s="2">
        <f t="shared" si="144"/>
        <v>2</v>
      </c>
    </row>
    <row r="9227" spans="1:4" x14ac:dyDescent="0.3">
      <c r="A9227" s="34">
        <v>61473</v>
      </c>
      <c r="B9227" s="35">
        <v>1</v>
      </c>
      <c r="C9227" s="35">
        <v>1</v>
      </c>
      <c r="D9227" s="2">
        <f t="shared" si="144"/>
        <v>2</v>
      </c>
    </row>
    <row r="9228" spans="1:4" x14ac:dyDescent="0.3">
      <c r="A9228" s="34">
        <v>61474</v>
      </c>
      <c r="B9228" s="35">
        <v>1</v>
      </c>
      <c r="C9228" s="35">
        <v>1</v>
      </c>
      <c r="D9228" s="2">
        <f t="shared" si="144"/>
        <v>2</v>
      </c>
    </row>
    <row r="9229" spans="1:4" x14ac:dyDescent="0.3">
      <c r="A9229" s="34">
        <v>61477</v>
      </c>
      <c r="B9229" s="35">
        <v>2</v>
      </c>
      <c r="C9229" s="35">
        <v>1</v>
      </c>
      <c r="D9229" s="2">
        <f t="shared" si="144"/>
        <v>3</v>
      </c>
    </row>
    <row r="9230" spans="1:4" x14ac:dyDescent="0.3">
      <c r="A9230" s="34">
        <v>61483</v>
      </c>
      <c r="B9230" s="35">
        <v>1</v>
      </c>
      <c r="C9230" s="35">
        <v>0</v>
      </c>
      <c r="D9230" s="2">
        <f t="shared" si="144"/>
        <v>1</v>
      </c>
    </row>
    <row r="9231" spans="1:4" x14ac:dyDescent="0.3">
      <c r="A9231" s="34">
        <v>61484</v>
      </c>
      <c r="B9231" s="35">
        <v>1</v>
      </c>
      <c r="C9231" s="35">
        <v>0</v>
      </c>
      <c r="D9231" s="2">
        <f t="shared" si="144"/>
        <v>1</v>
      </c>
    </row>
    <row r="9232" spans="1:4" x14ac:dyDescent="0.3">
      <c r="A9232" s="34">
        <v>61499</v>
      </c>
      <c r="B9232" s="35">
        <v>1</v>
      </c>
      <c r="C9232" s="35">
        <v>0</v>
      </c>
      <c r="D9232" s="2">
        <f t="shared" si="144"/>
        <v>1</v>
      </c>
    </row>
    <row r="9233" spans="1:4" x14ac:dyDescent="0.3">
      <c r="A9233" s="34">
        <v>61502</v>
      </c>
      <c r="B9233" s="35">
        <v>1</v>
      </c>
      <c r="C9233" s="35">
        <v>0</v>
      </c>
      <c r="D9233" s="2">
        <f t="shared" si="144"/>
        <v>1</v>
      </c>
    </row>
    <row r="9234" spans="1:4" x14ac:dyDescent="0.3">
      <c r="A9234" s="34">
        <v>61503</v>
      </c>
      <c r="B9234" s="35">
        <v>1</v>
      </c>
      <c r="C9234" s="35">
        <v>0</v>
      </c>
      <c r="D9234" s="2">
        <f t="shared" si="144"/>
        <v>1</v>
      </c>
    </row>
    <row r="9235" spans="1:4" x14ac:dyDescent="0.3">
      <c r="A9235" s="34">
        <v>61504</v>
      </c>
      <c r="B9235" s="35">
        <v>1</v>
      </c>
      <c r="C9235" s="35">
        <v>0</v>
      </c>
      <c r="D9235" s="2">
        <f t="shared" si="144"/>
        <v>1</v>
      </c>
    </row>
    <row r="9236" spans="1:4" x14ac:dyDescent="0.3">
      <c r="A9236" s="34">
        <v>61506</v>
      </c>
      <c r="B9236" s="35">
        <v>1</v>
      </c>
      <c r="C9236" s="35">
        <v>0</v>
      </c>
      <c r="D9236" s="2">
        <f t="shared" si="144"/>
        <v>1</v>
      </c>
    </row>
    <row r="9237" spans="1:4" x14ac:dyDescent="0.3">
      <c r="A9237" s="34">
        <v>61509</v>
      </c>
      <c r="B9237" s="35">
        <v>1</v>
      </c>
      <c r="C9237" s="35">
        <v>0</v>
      </c>
      <c r="D9237" s="2">
        <f t="shared" si="144"/>
        <v>1</v>
      </c>
    </row>
    <row r="9238" spans="1:4" x14ac:dyDescent="0.3">
      <c r="A9238" s="34">
        <v>61511</v>
      </c>
      <c r="B9238" s="35">
        <v>1</v>
      </c>
      <c r="C9238" s="35">
        <v>0</v>
      </c>
      <c r="D9238" s="2">
        <f t="shared" si="144"/>
        <v>1</v>
      </c>
    </row>
    <row r="9239" spans="1:4" x14ac:dyDescent="0.3">
      <c r="A9239" s="34">
        <v>61515</v>
      </c>
      <c r="B9239" s="35">
        <v>1</v>
      </c>
      <c r="C9239" s="35">
        <v>0</v>
      </c>
      <c r="D9239" s="2">
        <f t="shared" si="144"/>
        <v>1</v>
      </c>
    </row>
    <row r="9240" spans="1:4" x14ac:dyDescent="0.3">
      <c r="A9240" s="34">
        <v>61516</v>
      </c>
      <c r="B9240" s="35">
        <v>1</v>
      </c>
      <c r="C9240" s="35">
        <v>0</v>
      </c>
      <c r="D9240" s="2">
        <f t="shared" si="144"/>
        <v>1</v>
      </c>
    </row>
    <row r="9241" spans="1:4" x14ac:dyDescent="0.3">
      <c r="A9241" s="34">
        <v>61518</v>
      </c>
      <c r="B9241" s="35">
        <v>1</v>
      </c>
      <c r="C9241" s="35">
        <v>0</v>
      </c>
      <c r="D9241" s="2">
        <f t="shared" si="144"/>
        <v>1</v>
      </c>
    </row>
    <row r="9242" spans="1:4" x14ac:dyDescent="0.3">
      <c r="A9242" s="34">
        <v>61519</v>
      </c>
      <c r="B9242" s="35">
        <v>1</v>
      </c>
      <c r="C9242" s="35">
        <v>0</v>
      </c>
      <c r="D9242" s="2">
        <f t="shared" si="144"/>
        <v>1</v>
      </c>
    </row>
    <row r="9243" spans="1:4" x14ac:dyDescent="0.3">
      <c r="A9243" s="34">
        <v>61521</v>
      </c>
      <c r="B9243" s="35">
        <v>1</v>
      </c>
      <c r="C9243" s="35">
        <v>0</v>
      </c>
      <c r="D9243" s="2">
        <f t="shared" si="144"/>
        <v>1</v>
      </c>
    </row>
    <row r="9244" spans="1:4" x14ac:dyDescent="0.3">
      <c r="A9244" s="34">
        <v>61522</v>
      </c>
      <c r="B9244" s="35">
        <v>2</v>
      </c>
      <c r="C9244" s="35">
        <v>0</v>
      </c>
      <c r="D9244" s="2">
        <f t="shared" si="144"/>
        <v>2</v>
      </c>
    </row>
    <row r="9245" spans="1:4" x14ac:dyDescent="0.3">
      <c r="A9245" s="34">
        <v>61523</v>
      </c>
      <c r="B9245" s="35">
        <v>1</v>
      </c>
      <c r="C9245" s="35">
        <v>1</v>
      </c>
      <c r="D9245" s="2">
        <f t="shared" si="144"/>
        <v>2</v>
      </c>
    </row>
    <row r="9246" spans="1:4" x14ac:dyDescent="0.3">
      <c r="A9246" s="34">
        <v>61524</v>
      </c>
      <c r="B9246" s="35">
        <v>2</v>
      </c>
      <c r="C9246" s="35">
        <v>2</v>
      </c>
      <c r="D9246" s="2">
        <f t="shared" si="144"/>
        <v>4</v>
      </c>
    </row>
    <row r="9247" spans="1:4" x14ac:dyDescent="0.3">
      <c r="A9247" s="34">
        <v>61528</v>
      </c>
      <c r="B9247" s="35">
        <v>1</v>
      </c>
      <c r="C9247" s="35">
        <v>0</v>
      </c>
      <c r="D9247" s="2">
        <f t="shared" si="144"/>
        <v>1</v>
      </c>
    </row>
    <row r="9248" spans="1:4" x14ac:dyDescent="0.3">
      <c r="A9248" s="34">
        <v>61553</v>
      </c>
      <c r="B9248" s="35">
        <v>1</v>
      </c>
      <c r="C9248" s="35">
        <v>0</v>
      </c>
      <c r="D9248" s="2">
        <f t="shared" si="144"/>
        <v>1</v>
      </c>
    </row>
    <row r="9249" spans="1:4" x14ac:dyDescent="0.3">
      <c r="A9249" s="34">
        <v>61554</v>
      </c>
      <c r="B9249" s="35">
        <v>1</v>
      </c>
      <c r="C9249" s="35">
        <v>0</v>
      </c>
      <c r="D9249" s="2">
        <f t="shared" si="144"/>
        <v>1</v>
      </c>
    </row>
    <row r="9250" spans="1:4" x14ac:dyDescent="0.3">
      <c r="A9250" s="34">
        <v>61555</v>
      </c>
      <c r="B9250" s="35">
        <v>2</v>
      </c>
      <c r="C9250" s="35">
        <v>2</v>
      </c>
      <c r="D9250" s="2">
        <f t="shared" si="144"/>
        <v>4</v>
      </c>
    </row>
    <row r="9251" spans="1:4" x14ac:dyDescent="0.3">
      <c r="A9251" s="34">
        <v>61559</v>
      </c>
      <c r="B9251" s="35">
        <v>1</v>
      </c>
      <c r="C9251" s="35">
        <v>1</v>
      </c>
      <c r="D9251" s="2">
        <f t="shared" si="144"/>
        <v>2</v>
      </c>
    </row>
    <row r="9252" spans="1:4" x14ac:dyDescent="0.3">
      <c r="A9252" s="34">
        <v>61561</v>
      </c>
      <c r="B9252" s="35">
        <v>1</v>
      </c>
      <c r="C9252" s="35">
        <v>1</v>
      </c>
      <c r="D9252" s="2">
        <f t="shared" si="144"/>
        <v>2</v>
      </c>
    </row>
    <row r="9253" spans="1:4" x14ac:dyDescent="0.3">
      <c r="A9253" s="34">
        <v>61562</v>
      </c>
      <c r="B9253" s="35">
        <v>1</v>
      </c>
      <c r="C9253" s="35">
        <v>0</v>
      </c>
      <c r="D9253" s="2">
        <f t="shared" si="144"/>
        <v>1</v>
      </c>
    </row>
    <row r="9254" spans="1:4" x14ac:dyDescent="0.3">
      <c r="A9254" s="34">
        <v>61566</v>
      </c>
      <c r="B9254" s="35">
        <v>1</v>
      </c>
      <c r="C9254" s="35">
        <v>0</v>
      </c>
      <c r="D9254" s="2">
        <f t="shared" si="144"/>
        <v>1</v>
      </c>
    </row>
    <row r="9255" spans="1:4" x14ac:dyDescent="0.3">
      <c r="A9255" s="34">
        <v>61567</v>
      </c>
      <c r="B9255" s="35">
        <v>1</v>
      </c>
      <c r="C9255" s="35">
        <v>0</v>
      </c>
      <c r="D9255" s="2">
        <f t="shared" si="144"/>
        <v>1</v>
      </c>
    </row>
    <row r="9256" spans="1:4" x14ac:dyDescent="0.3">
      <c r="A9256" s="34">
        <v>61568</v>
      </c>
      <c r="B9256" s="35">
        <v>1</v>
      </c>
      <c r="C9256" s="35">
        <v>0</v>
      </c>
      <c r="D9256" s="2">
        <f t="shared" si="144"/>
        <v>1</v>
      </c>
    </row>
    <row r="9257" spans="1:4" x14ac:dyDescent="0.3">
      <c r="A9257" s="34">
        <v>61569</v>
      </c>
      <c r="B9257" s="35">
        <v>1</v>
      </c>
      <c r="C9257" s="35">
        <v>0</v>
      </c>
      <c r="D9257" s="2">
        <f t="shared" si="144"/>
        <v>1</v>
      </c>
    </row>
    <row r="9258" spans="1:4" x14ac:dyDescent="0.3">
      <c r="A9258" s="34">
        <v>61570</v>
      </c>
      <c r="B9258" s="35">
        <v>1</v>
      </c>
      <c r="C9258" s="35">
        <v>0</v>
      </c>
      <c r="D9258" s="2">
        <f t="shared" si="144"/>
        <v>1</v>
      </c>
    </row>
    <row r="9259" spans="1:4" x14ac:dyDescent="0.3">
      <c r="A9259" s="34">
        <v>61573</v>
      </c>
      <c r="B9259" s="35">
        <v>1</v>
      </c>
      <c r="C9259" s="35">
        <v>0</v>
      </c>
      <c r="D9259" s="2">
        <f t="shared" si="144"/>
        <v>1</v>
      </c>
    </row>
    <row r="9260" spans="1:4" x14ac:dyDescent="0.3">
      <c r="A9260" s="34">
        <v>61574</v>
      </c>
      <c r="B9260" s="35">
        <v>1</v>
      </c>
      <c r="C9260" s="35">
        <v>1</v>
      </c>
      <c r="D9260" s="2">
        <f t="shared" si="144"/>
        <v>2</v>
      </c>
    </row>
    <row r="9261" spans="1:4" x14ac:dyDescent="0.3">
      <c r="A9261" s="34">
        <v>61575</v>
      </c>
      <c r="B9261" s="35">
        <v>1</v>
      </c>
      <c r="C9261" s="35">
        <v>0</v>
      </c>
      <c r="D9261" s="2">
        <f t="shared" si="144"/>
        <v>1</v>
      </c>
    </row>
    <row r="9262" spans="1:4" x14ac:dyDescent="0.3">
      <c r="A9262" s="34">
        <v>61579</v>
      </c>
      <c r="B9262" s="35">
        <v>2</v>
      </c>
      <c r="C9262" s="35">
        <v>0</v>
      </c>
      <c r="D9262" s="2">
        <f t="shared" si="144"/>
        <v>2</v>
      </c>
    </row>
    <row r="9263" spans="1:4" x14ac:dyDescent="0.3">
      <c r="A9263" s="34">
        <v>61581</v>
      </c>
      <c r="B9263" s="35">
        <v>1</v>
      </c>
      <c r="C9263" s="35">
        <v>0</v>
      </c>
      <c r="D9263" s="2">
        <f t="shared" si="144"/>
        <v>1</v>
      </c>
    </row>
    <row r="9264" spans="1:4" x14ac:dyDescent="0.3">
      <c r="A9264" s="34">
        <v>61585</v>
      </c>
      <c r="B9264" s="35">
        <v>1</v>
      </c>
      <c r="C9264" s="35">
        <v>0</v>
      </c>
      <c r="D9264" s="2">
        <f t="shared" si="144"/>
        <v>1</v>
      </c>
    </row>
    <row r="9265" spans="1:4" x14ac:dyDescent="0.3">
      <c r="A9265" s="34">
        <v>61588</v>
      </c>
      <c r="B9265" s="35">
        <v>1</v>
      </c>
      <c r="C9265" s="35">
        <v>0</v>
      </c>
      <c r="D9265" s="2">
        <f t="shared" si="144"/>
        <v>1</v>
      </c>
    </row>
    <row r="9266" spans="1:4" x14ac:dyDescent="0.3">
      <c r="A9266" s="34">
        <v>61589</v>
      </c>
      <c r="B9266" s="35">
        <v>1</v>
      </c>
      <c r="C9266" s="35">
        <v>0</v>
      </c>
      <c r="D9266" s="2">
        <f t="shared" si="144"/>
        <v>1</v>
      </c>
    </row>
    <row r="9267" spans="1:4" x14ac:dyDescent="0.3">
      <c r="A9267" s="34">
        <v>61591</v>
      </c>
      <c r="B9267" s="35">
        <v>1</v>
      </c>
      <c r="C9267" s="35">
        <v>1</v>
      </c>
      <c r="D9267" s="2">
        <f t="shared" si="144"/>
        <v>2</v>
      </c>
    </row>
    <row r="9268" spans="1:4" x14ac:dyDescent="0.3">
      <c r="A9268" s="34">
        <v>61592</v>
      </c>
      <c r="B9268" s="35">
        <v>1</v>
      </c>
      <c r="C9268" s="35">
        <v>0</v>
      </c>
      <c r="D9268" s="2">
        <f t="shared" si="144"/>
        <v>1</v>
      </c>
    </row>
    <row r="9269" spans="1:4" x14ac:dyDescent="0.3">
      <c r="A9269" s="34">
        <v>61593</v>
      </c>
      <c r="B9269" s="35">
        <v>1</v>
      </c>
      <c r="C9269" s="35">
        <v>0</v>
      </c>
      <c r="D9269" s="2">
        <f t="shared" si="144"/>
        <v>1</v>
      </c>
    </row>
    <row r="9270" spans="1:4" x14ac:dyDescent="0.3">
      <c r="A9270" s="34">
        <v>61595</v>
      </c>
      <c r="B9270" s="35">
        <v>1</v>
      </c>
      <c r="C9270" s="35">
        <v>0</v>
      </c>
      <c r="D9270" s="2">
        <f t="shared" si="144"/>
        <v>1</v>
      </c>
    </row>
    <row r="9271" spans="1:4" x14ac:dyDescent="0.3">
      <c r="A9271" s="34">
        <v>61597</v>
      </c>
      <c r="B9271" s="35">
        <v>1</v>
      </c>
      <c r="C9271" s="35">
        <v>0</v>
      </c>
      <c r="D9271" s="2">
        <f t="shared" si="144"/>
        <v>1</v>
      </c>
    </row>
    <row r="9272" spans="1:4" x14ac:dyDescent="0.3">
      <c r="A9272" s="34">
        <v>61598</v>
      </c>
      <c r="B9272" s="35">
        <v>1</v>
      </c>
      <c r="C9272" s="35">
        <v>0</v>
      </c>
      <c r="D9272" s="2">
        <f t="shared" si="144"/>
        <v>1</v>
      </c>
    </row>
    <row r="9273" spans="1:4" x14ac:dyDescent="0.3">
      <c r="A9273" s="34">
        <v>61603</v>
      </c>
      <c r="B9273" s="35">
        <v>1</v>
      </c>
      <c r="C9273" s="35">
        <v>0</v>
      </c>
      <c r="D9273" s="2">
        <f t="shared" si="144"/>
        <v>1</v>
      </c>
    </row>
    <row r="9274" spans="1:4" x14ac:dyDescent="0.3">
      <c r="A9274" s="34">
        <v>61605</v>
      </c>
      <c r="B9274" s="35">
        <v>1</v>
      </c>
      <c r="C9274" s="35">
        <v>1</v>
      </c>
      <c r="D9274" s="2">
        <f t="shared" si="144"/>
        <v>2</v>
      </c>
    </row>
    <row r="9275" spans="1:4" x14ac:dyDescent="0.3">
      <c r="A9275" s="34">
        <v>61606</v>
      </c>
      <c r="B9275" s="35">
        <v>1</v>
      </c>
      <c r="C9275" s="35">
        <v>1</v>
      </c>
      <c r="D9275" s="2">
        <f t="shared" si="144"/>
        <v>2</v>
      </c>
    </row>
    <row r="9276" spans="1:4" x14ac:dyDescent="0.3">
      <c r="A9276" s="34">
        <v>61646</v>
      </c>
      <c r="B9276" s="35">
        <v>1</v>
      </c>
      <c r="C9276" s="35">
        <v>0</v>
      </c>
      <c r="D9276" s="2">
        <f t="shared" si="144"/>
        <v>1</v>
      </c>
    </row>
    <row r="9277" spans="1:4" x14ac:dyDescent="0.3">
      <c r="A9277" s="34">
        <v>61648</v>
      </c>
      <c r="B9277" s="35">
        <v>1</v>
      </c>
      <c r="C9277" s="35">
        <v>0</v>
      </c>
      <c r="D9277" s="2">
        <f t="shared" si="144"/>
        <v>1</v>
      </c>
    </row>
    <row r="9278" spans="1:4" x14ac:dyDescent="0.3">
      <c r="A9278" s="34">
        <v>61665</v>
      </c>
      <c r="B9278" s="35">
        <v>1</v>
      </c>
      <c r="C9278" s="35">
        <v>0</v>
      </c>
      <c r="D9278" s="2">
        <f t="shared" si="144"/>
        <v>1</v>
      </c>
    </row>
    <row r="9279" spans="1:4" x14ac:dyDescent="0.3">
      <c r="A9279" s="34">
        <v>61670</v>
      </c>
      <c r="B9279" s="35">
        <v>1</v>
      </c>
      <c r="C9279" s="35">
        <v>1</v>
      </c>
      <c r="D9279" s="2">
        <f t="shared" si="144"/>
        <v>2</v>
      </c>
    </row>
    <row r="9280" spans="1:4" x14ac:dyDescent="0.3">
      <c r="A9280" s="34">
        <v>61673</v>
      </c>
      <c r="B9280" s="35">
        <v>1</v>
      </c>
      <c r="C9280" s="35">
        <v>0</v>
      </c>
      <c r="D9280" s="2">
        <f t="shared" si="144"/>
        <v>1</v>
      </c>
    </row>
    <row r="9281" spans="1:4" x14ac:dyDescent="0.3">
      <c r="A9281" s="34">
        <v>61674</v>
      </c>
      <c r="B9281" s="35">
        <v>1</v>
      </c>
      <c r="C9281" s="35">
        <v>0</v>
      </c>
      <c r="D9281" s="2">
        <f t="shared" si="144"/>
        <v>1</v>
      </c>
    </row>
    <row r="9282" spans="1:4" x14ac:dyDescent="0.3">
      <c r="A9282" s="34">
        <v>61677</v>
      </c>
      <c r="B9282" s="35">
        <v>1</v>
      </c>
      <c r="C9282" s="35">
        <v>0</v>
      </c>
      <c r="D9282" s="2">
        <f t="shared" si="144"/>
        <v>1</v>
      </c>
    </row>
    <row r="9283" spans="1:4" x14ac:dyDescent="0.3">
      <c r="A9283" s="34">
        <v>61682</v>
      </c>
      <c r="B9283" s="35">
        <v>1</v>
      </c>
      <c r="C9283" s="35">
        <v>0</v>
      </c>
      <c r="D9283" s="2">
        <f t="shared" ref="D9283:D9346" si="145">B9283+C9283</f>
        <v>1</v>
      </c>
    </row>
    <row r="9284" spans="1:4" x14ac:dyDescent="0.3">
      <c r="A9284" s="34">
        <v>61684</v>
      </c>
      <c r="B9284" s="35">
        <v>1</v>
      </c>
      <c r="C9284" s="35">
        <v>0</v>
      </c>
      <c r="D9284" s="2">
        <f t="shared" si="145"/>
        <v>1</v>
      </c>
    </row>
    <row r="9285" spans="1:4" x14ac:dyDescent="0.3">
      <c r="A9285" s="34">
        <v>61687</v>
      </c>
      <c r="B9285" s="35">
        <v>1</v>
      </c>
      <c r="C9285" s="35">
        <v>0</v>
      </c>
      <c r="D9285" s="2">
        <f t="shared" si="145"/>
        <v>1</v>
      </c>
    </row>
    <row r="9286" spans="1:4" x14ac:dyDescent="0.3">
      <c r="A9286" s="34">
        <v>61688</v>
      </c>
      <c r="B9286" s="35">
        <v>1</v>
      </c>
      <c r="C9286" s="35">
        <v>0</v>
      </c>
      <c r="D9286" s="2">
        <f t="shared" si="145"/>
        <v>1</v>
      </c>
    </row>
    <row r="9287" spans="1:4" x14ac:dyDescent="0.3">
      <c r="A9287" s="34">
        <v>61689</v>
      </c>
      <c r="B9287" s="35">
        <v>1</v>
      </c>
      <c r="C9287" s="35">
        <v>0</v>
      </c>
      <c r="D9287" s="2">
        <f t="shared" si="145"/>
        <v>1</v>
      </c>
    </row>
    <row r="9288" spans="1:4" x14ac:dyDescent="0.3">
      <c r="A9288" s="34">
        <v>61691</v>
      </c>
      <c r="B9288" s="35">
        <v>1</v>
      </c>
      <c r="C9288" s="35">
        <v>0</v>
      </c>
      <c r="D9288" s="2">
        <f t="shared" si="145"/>
        <v>1</v>
      </c>
    </row>
    <row r="9289" spans="1:4" x14ac:dyDescent="0.3">
      <c r="A9289" s="34">
        <v>61693</v>
      </c>
      <c r="B9289" s="35">
        <v>1</v>
      </c>
      <c r="C9289" s="35">
        <v>0</v>
      </c>
      <c r="D9289" s="2">
        <f t="shared" si="145"/>
        <v>1</v>
      </c>
    </row>
    <row r="9290" spans="1:4" x14ac:dyDescent="0.3">
      <c r="A9290" s="34">
        <v>61694</v>
      </c>
      <c r="B9290" s="35">
        <v>1</v>
      </c>
      <c r="C9290" s="35">
        <v>1</v>
      </c>
      <c r="D9290" s="2">
        <f t="shared" si="145"/>
        <v>2</v>
      </c>
    </row>
    <row r="9291" spans="1:4" x14ac:dyDescent="0.3">
      <c r="A9291" s="34">
        <v>61771</v>
      </c>
      <c r="B9291" s="35">
        <v>1</v>
      </c>
      <c r="C9291" s="35">
        <v>0</v>
      </c>
      <c r="D9291" s="2">
        <f t="shared" si="145"/>
        <v>1</v>
      </c>
    </row>
    <row r="9292" spans="1:4" x14ac:dyDescent="0.3">
      <c r="A9292" s="34">
        <v>61788</v>
      </c>
      <c r="B9292" s="35">
        <v>1</v>
      </c>
      <c r="C9292" s="35">
        <v>1</v>
      </c>
      <c r="D9292" s="2">
        <f t="shared" si="145"/>
        <v>2</v>
      </c>
    </row>
    <row r="9293" spans="1:4" x14ac:dyDescent="0.3">
      <c r="A9293" s="34">
        <v>61790</v>
      </c>
      <c r="B9293" s="35">
        <v>2</v>
      </c>
      <c r="C9293" s="35">
        <v>2</v>
      </c>
      <c r="D9293" s="2">
        <f t="shared" si="145"/>
        <v>4</v>
      </c>
    </row>
    <row r="9294" spans="1:4" x14ac:dyDescent="0.3">
      <c r="A9294" s="34">
        <v>61792</v>
      </c>
      <c r="B9294" s="35">
        <v>1</v>
      </c>
      <c r="C9294" s="35">
        <v>0</v>
      </c>
      <c r="D9294" s="2">
        <f t="shared" si="145"/>
        <v>1</v>
      </c>
    </row>
    <row r="9295" spans="1:4" x14ac:dyDescent="0.3">
      <c r="A9295" s="34">
        <v>61793</v>
      </c>
      <c r="B9295" s="35">
        <v>1</v>
      </c>
      <c r="C9295" s="35">
        <v>0</v>
      </c>
      <c r="D9295" s="2">
        <f t="shared" si="145"/>
        <v>1</v>
      </c>
    </row>
    <row r="9296" spans="1:4" x14ac:dyDescent="0.3">
      <c r="A9296" s="34">
        <v>61802</v>
      </c>
      <c r="B9296" s="35">
        <v>3</v>
      </c>
      <c r="C9296" s="35">
        <v>0</v>
      </c>
      <c r="D9296" s="2">
        <f t="shared" si="145"/>
        <v>3</v>
      </c>
    </row>
    <row r="9297" spans="1:4" x14ac:dyDescent="0.3">
      <c r="A9297" s="34">
        <v>61804</v>
      </c>
      <c r="B9297" s="35">
        <v>1</v>
      </c>
      <c r="C9297" s="35">
        <v>0</v>
      </c>
      <c r="D9297" s="2">
        <f t="shared" si="145"/>
        <v>1</v>
      </c>
    </row>
    <row r="9298" spans="1:4" x14ac:dyDescent="0.3">
      <c r="A9298" s="34">
        <v>61807</v>
      </c>
      <c r="B9298" s="35">
        <v>1</v>
      </c>
      <c r="C9298" s="35">
        <v>0</v>
      </c>
      <c r="D9298" s="2">
        <f t="shared" si="145"/>
        <v>1</v>
      </c>
    </row>
    <row r="9299" spans="1:4" x14ac:dyDescent="0.3">
      <c r="A9299" s="34">
        <v>61809</v>
      </c>
      <c r="B9299" s="35">
        <v>1</v>
      </c>
      <c r="C9299" s="35">
        <v>0</v>
      </c>
      <c r="D9299" s="2">
        <f t="shared" si="145"/>
        <v>1</v>
      </c>
    </row>
    <row r="9300" spans="1:4" x14ac:dyDescent="0.3">
      <c r="A9300" s="34">
        <v>61811</v>
      </c>
      <c r="B9300" s="35">
        <v>1</v>
      </c>
      <c r="C9300" s="35">
        <v>0</v>
      </c>
      <c r="D9300" s="2">
        <f t="shared" si="145"/>
        <v>1</v>
      </c>
    </row>
    <row r="9301" spans="1:4" x14ac:dyDescent="0.3">
      <c r="A9301" s="34">
        <v>61812</v>
      </c>
      <c r="B9301" s="35">
        <v>1</v>
      </c>
      <c r="C9301" s="35">
        <v>0</v>
      </c>
      <c r="D9301" s="2">
        <f t="shared" si="145"/>
        <v>1</v>
      </c>
    </row>
    <row r="9302" spans="1:4" x14ac:dyDescent="0.3">
      <c r="A9302" s="34">
        <v>61814</v>
      </c>
      <c r="B9302" s="35">
        <v>1</v>
      </c>
      <c r="C9302" s="35">
        <v>0</v>
      </c>
      <c r="D9302" s="2">
        <f t="shared" si="145"/>
        <v>1</v>
      </c>
    </row>
    <row r="9303" spans="1:4" x14ac:dyDescent="0.3">
      <c r="A9303" s="34">
        <v>61816</v>
      </c>
      <c r="B9303" s="35">
        <v>1</v>
      </c>
      <c r="C9303" s="35">
        <v>0</v>
      </c>
      <c r="D9303" s="2">
        <f t="shared" si="145"/>
        <v>1</v>
      </c>
    </row>
    <row r="9304" spans="1:4" x14ac:dyDescent="0.3">
      <c r="A9304" s="34">
        <v>61817</v>
      </c>
      <c r="B9304" s="35">
        <v>1</v>
      </c>
      <c r="C9304" s="35">
        <v>0</v>
      </c>
      <c r="D9304" s="2">
        <f t="shared" si="145"/>
        <v>1</v>
      </c>
    </row>
    <row r="9305" spans="1:4" x14ac:dyDescent="0.3">
      <c r="A9305" s="34">
        <v>61819</v>
      </c>
      <c r="B9305" s="35">
        <v>1</v>
      </c>
      <c r="C9305" s="35">
        <v>0</v>
      </c>
      <c r="D9305" s="2">
        <f t="shared" si="145"/>
        <v>1</v>
      </c>
    </row>
    <row r="9306" spans="1:4" x14ac:dyDescent="0.3">
      <c r="A9306" s="34">
        <v>61820</v>
      </c>
      <c r="B9306" s="35">
        <v>1</v>
      </c>
      <c r="C9306" s="35">
        <v>0</v>
      </c>
      <c r="D9306" s="2">
        <f t="shared" si="145"/>
        <v>1</v>
      </c>
    </row>
    <row r="9307" spans="1:4" x14ac:dyDescent="0.3">
      <c r="A9307" s="34">
        <v>61822</v>
      </c>
      <c r="B9307" s="35">
        <v>1</v>
      </c>
      <c r="C9307" s="35">
        <v>0</v>
      </c>
      <c r="D9307" s="2">
        <f t="shared" si="145"/>
        <v>1</v>
      </c>
    </row>
    <row r="9308" spans="1:4" x14ac:dyDescent="0.3">
      <c r="A9308" s="34">
        <v>61825</v>
      </c>
      <c r="B9308" s="35">
        <v>1</v>
      </c>
      <c r="C9308" s="35">
        <v>0</v>
      </c>
      <c r="D9308" s="2">
        <f t="shared" si="145"/>
        <v>1</v>
      </c>
    </row>
    <row r="9309" spans="1:4" x14ac:dyDescent="0.3">
      <c r="A9309" s="34">
        <v>61827</v>
      </c>
      <c r="B9309" s="35">
        <v>1</v>
      </c>
      <c r="C9309" s="35">
        <v>0</v>
      </c>
      <c r="D9309" s="2">
        <f t="shared" si="145"/>
        <v>1</v>
      </c>
    </row>
    <row r="9310" spans="1:4" x14ac:dyDescent="0.3">
      <c r="A9310" s="34">
        <v>61829</v>
      </c>
      <c r="B9310" s="35">
        <v>1</v>
      </c>
      <c r="C9310" s="35">
        <v>0</v>
      </c>
      <c r="D9310" s="2">
        <f t="shared" si="145"/>
        <v>1</v>
      </c>
    </row>
    <row r="9311" spans="1:4" x14ac:dyDescent="0.3">
      <c r="A9311" s="34">
        <v>61830</v>
      </c>
      <c r="B9311" s="35">
        <v>1</v>
      </c>
      <c r="C9311" s="35">
        <v>1</v>
      </c>
      <c r="D9311" s="2">
        <f t="shared" si="145"/>
        <v>2</v>
      </c>
    </row>
    <row r="9312" spans="1:4" x14ac:dyDescent="0.3">
      <c r="A9312" s="34">
        <v>61831</v>
      </c>
      <c r="B9312" s="35">
        <v>1</v>
      </c>
      <c r="C9312" s="35">
        <v>0</v>
      </c>
      <c r="D9312" s="2">
        <f t="shared" si="145"/>
        <v>1</v>
      </c>
    </row>
    <row r="9313" spans="1:4" x14ac:dyDescent="0.3">
      <c r="A9313" s="34">
        <v>61832</v>
      </c>
      <c r="B9313" s="35">
        <v>1</v>
      </c>
      <c r="C9313" s="35">
        <v>0</v>
      </c>
      <c r="D9313" s="2">
        <f t="shared" si="145"/>
        <v>1</v>
      </c>
    </row>
    <row r="9314" spans="1:4" x14ac:dyDescent="0.3">
      <c r="A9314" s="34">
        <v>61835</v>
      </c>
      <c r="B9314" s="35">
        <v>1</v>
      </c>
      <c r="C9314" s="35">
        <v>0</v>
      </c>
      <c r="D9314" s="2">
        <f t="shared" si="145"/>
        <v>1</v>
      </c>
    </row>
    <row r="9315" spans="1:4" x14ac:dyDescent="0.3">
      <c r="A9315" s="34">
        <v>61836</v>
      </c>
      <c r="B9315" s="35">
        <v>1</v>
      </c>
      <c r="C9315" s="35">
        <v>0</v>
      </c>
      <c r="D9315" s="2">
        <f t="shared" si="145"/>
        <v>1</v>
      </c>
    </row>
    <row r="9316" spans="1:4" x14ac:dyDescent="0.3">
      <c r="A9316" s="34">
        <v>61837</v>
      </c>
      <c r="B9316" s="35">
        <v>2</v>
      </c>
      <c r="C9316" s="35">
        <v>1</v>
      </c>
      <c r="D9316" s="2">
        <f t="shared" si="145"/>
        <v>3</v>
      </c>
    </row>
    <row r="9317" spans="1:4" x14ac:dyDescent="0.3">
      <c r="A9317" s="34">
        <v>61839</v>
      </c>
      <c r="B9317" s="35">
        <v>1</v>
      </c>
      <c r="C9317" s="35">
        <v>0</v>
      </c>
      <c r="D9317" s="2">
        <f t="shared" si="145"/>
        <v>1</v>
      </c>
    </row>
    <row r="9318" spans="1:4" x14ac:dyDescent="0.3">
      <c r="A9318" s="34">
        <v>61841</v>
      </c>
      <c r="B9318" s="35">
        <v>1</v>
      </c>
      <c r="C9318" s="35">
        <v>0</v>
      </c>
      <c r="D9318" s="2">
        <f t="shared" si="145"/>
        <v>1</v>
      </c>
    </row>
    <row r="9319" spans="1:4" x14ac:dyDescent="0.3">
      <c r="A9319" s="34">
        <v>61842</v>
      </c>
      <c r="B9319" s="35">
        <v>1</v>
      </c>
      <c r="C9319" s="35">
        <v>0</v>
      </c>
      <c r="D9319" s="2">
        <f t="shared" si="145"/>
        <v>1</v>
      </c>
    </row>
    <row r="9320" spans="1:4" x14ac:dyDescent="0.3">
      <c r="A9320" s="34">
        <v>61843</v>
      </c>
      <c r="B9320" s="35">
        <v>1</v>
      </c>
      <c r="C9320" s="35">
        <v>0</v>
      </c>
      <c r="D9320" s="2">
        <f t="shared" si="145"/>
        <v>1</v>
      </c>
    </row>
    <row r="9321" spans="1:4" x14ac:dyDescent="0.3">
      <c r="A9321" s="34">
        <v>61844</v>
      </c>
      <c r="B9321" s="35">
        <v>1</v>
      </c>
      <c r="C9321" s="35">
        <v>0</v>
      </c>
      <c r="D9321" s="2">
        <f t="shared" si="145"/>
        <v>1</v>
      </c>
    </row>
    <row r="9322" spans="1:4" x14ac:dyDescent="0.3">
      <c r="A9322" s="34">
        <v>61847</v>
      </c>
      <c r="B9322" s="35">
        <v>1</v>
      </c>
      <c r="C9322" s="35">
        <v>1</v>
      </c>
      <c r="D9322" s="2">
        <f t="shared" si="145"/>
        <v>2</v>
      </c>
    </row>
    <row r="9323" spans="1:4" x14ac:dyDescent="0.3">
      <c r="A9323" s="34">
        <v>61850</v>
      </c>
      <c r="B9323" s="35">
        <v>1</v>
      </c>
      <c r="C9323" s="35">
        <v>0</v>
      </c>
      <c r="D9323" s="2">
        <f t="shared" si="145"/>
        <v>1</v>
      </c>
    </row>
    <row r="9324" spans="1:4" x14ac:dyDescent="0.3">
      <c r="A9324" s="34">
        <v>61862</v>
      </c>
      <c r="B9324" s="35">
        <v>1</v>
      </c>
      <c r="C9324" s="35">
        <v>0</v>
      </c>
      <c r="D9324" s="2">
        <f t="shared" si="145"/>
        <v>1</v>
      </c>
    </row>
    <row r="9325" spans="1:4" x14ac:dyDescent="0.3">
      <c r="A9325" s="34">
        <v>61866</v>
      </c>
      <c r="B9325" s="35">
        <v>1</v>
      </c>
      <c r="C9325" s="35">
        <v>0</v>
      </c>
      <c r="D9325" s="2">
        <f t="shared" si="145"/>
        <v>1</v>
      </c>
    </row>
    <row r="9326" spans="1:4" x14ac:dyDescent="0.3">
      <c r="A9326" s="34">
        <v>61867</v>
      </c>
      <c r="B9326" s="35">
        <v>1</v>
      </c>
      <c r="C9326" s="35">
        <v>0</v>
      </c>
      <c r="D9326" s="2">
        <f t="shared" si="145"/>
        <v>1</v>
      </c>
    </row>
    <row r="9327" spans="1:4" x14ac:dyDescent="0.3">
      <c r="A9327" s="34">
        <v>61869</v>
      </c>
      <c r="B9327" s="35">
        <v>1</v>
      </c>
      <c r="C9327" s="35">
        <v>0</v>
      </c>
      <c r="D9327" s="2">
        <f t="shared" si="145"/>
        <v>1</v>
      </c>
    </row>
    <row r="9328" spans="1:4" x14ac:dyDescent="0.3">
      <c r="A9328" s="34">
        <v>61870</v>
      </c>
      <c r="B9328" s="35">
        <v>1</v>
      </c>
      <c r="C9328" s="35">
        <v>0</v>
      </c>
      <c r="D9328" s="2">
        <f t="shared" si="145"/>
        <v>1</v>
      </c>
    </row>
    <row r="9329" spans="1:4" x14ac:dyDescent="0.3">
      <c r="A9329" s="34">
        <v>61872</v>
      </c>
      <c r="B9329" s="35">
        <v>1</v>
      </c>
      <c r="C9329" s="35">
        <v>0</v>
      </c>
      <c r="D9329" s="2">
        <f t="shared" si="145"/>
        <v>1</v>
      </c>
    </row>
    <row r="9330" spans="1:4" x14ac:dyDescent="0.3">
      <c r="A9330" s="34">
        <v>61873</v>
      </c>
      <c r="B9330" s="35">
        <v>1</v>
      </c>
      <c r="C9330" s="35">
        <v>0</v>
      </c>
      <c r="D9330" s="2">
        <f t="shared" si="145"/>
        <v>1</v>
      </c>
    </row>
    <row r="9331" spans="1:4" x14ac:dyDescent="0.3">
      <c r="A9331" s="34">
        <v>61874</v>
      </c>
      <c r="B9331" s="35">
        <v>1</v>
      </c>
      <c r="C9331" s="35">
        <v>0</v>
      </c>
      <c r="D9331" s="2">
        <f t="shared" si="145"/>
        <v>1</v>
      </c>
    </row>
    <row r="9332" spans="1:4" x14ac:dyDescent="0.3">
      <c r="A9332" s="34">
        <v>61875</v>
      </c>
      <c r="B9332" s="35">
        <v>1</v>
      </c>
      <c r="C9332" s="35">
        <v>0</v>
      </c>
      <c r="D9332" s="2">
        <f t="shared" si="145"/>
        <v>1</v>
      </c>
    </row>
    <row r="9333" spans="1:4" x14ac:dyDescent="0.3">
      <c r="A9333" s="34">
        <v>61877</v>
      </c>
      <c r="B9333" s="35">
        <v>1</v>
      </c>
      <c r="C9333" s="35">
        <v>0</v>
      </c>
      <c r="D9333" s="2">
        <f t="shared" si="145"/>
        <v>1</v>
      </c>
    </row>
    <row r="9334" spans="1:4" x14ac:dyDescent="0.3">
      <c r="A9334" s="34">
        <v>61878</v>
      </c>
      <c r="B9334" s="35">
        <v>1</v>
      </c>
      <c r="C9334" s="35">
        <v>0</v>
      </c>
      <c r="D9334" s="2">
        <f t="shared" si="145"/>
        <v>1</v>
      </c>
    </row>
    <row r="9335" spans="1:4" x14ac:dyDescent="0.3">
      <c r="A9335" s="34">
        <v>61881</v>
      </c>
      <c r="B9335" s="35">
        <v>1</v>
      </c>
      <c r="C9335" s="35">
        <v>0</v>
      </c>
      <c r="D9335" s="2">
        <f t="shared" si="145"/>
        <v>1</v>
      </c>
    </row>
    <row r="9336" spans="1:4" x14ac:dyDescent="0.3">
      <c r="A9336" s="34">
        <v>61882</v>
      </c>
      <c r="B9336" s="35">
        <v>1</v>
      </c>
      <c r="C9336" s="35">
        <v>0</v>
      </c>
      <c r="D9336" s="2">
        <f t="shared" si="145"/>
        <v>1</v>
      </c>
    </row>
    <row r="9337" spans="1:4" x14ac:dyDescent="0.3">
      <c r="A9337" s="34">
        <v>61889</v>
      </c>
      <c r="B9337" s="35">
        <v>1</v>
      </c>
      <c r="C9337" s="35">
        <v>0</v>
      </c>
      <c r="D9337" s="2">
        <f t="shared" si="145"/>
        <v>1</v>
      </c>
    </row>
    <row r="9338" spans="1:4" x14ac:dyDescent="0.3">
      <c r="A9338" s="34">
        <v>61895</v>
      </c>
      <c r="B9338" s="35">
        <v>1</v>
      </c>
      <c r="C9338" s="35">
        <v>1</v>
      </c>
      <c r="D9338" s="2">
        <f t="shared" si="145"/>
        <v>2</v>
      </c>
    </row>
    <row r="9339" spans="1:4" x14ac:dyDescent="0.3">
      <c r="A9339" s="34">
        <v>61896</v>
      </c>
      <c r="B9339" s="35">
        <v>1</v>
      </c>
      <c r="C9339" s="35">
        <v>0</v>
      </c>
      <c r="D9339" s="2">
        <f t="shared" si="145"/>
        <v>1</v>
      </c>
    </row>
    <row r="9340" spans="1:4" x14ac:dyDescent="0.3">
      <c r="A9340" s="34">
        <v>61898</v>
      </c>
      <c r="B9340" s="35">
        <v>1</v>
      </c>
      <c r="C9340" s="35">
        <v>0</v>
      </c>
      <c r="D9340" s="2">
        <f t="shared" si="145"/>
        <v>1</v>
      </c>
    </row>
    <row r="9341" spans="1:4" x14ac:dyDescent="0.3">
      <c r="A9341" s="34">
        <v>61899</v>
      </c>
      <c r="B9341" s="35">
        <v>1</v>
      </c>
      <c r="C9341" s="35">
        <v>0</v>
      </c>
      <c r="D9341" s="2">
        <f t="shared" si="145"/>
        <v>1</v>
      </c>
    </row>
    <row r="9342" spans="1:4" x14ac:dyDescent="0.3">
      <c r="A9342" s="34">
        <v>61904</v>
      </c>
      <c r="B9342" s="35">
        <v>1</v>
      </c>
      <c r="C9342" s="35">
        <v>0</v>
      </c>
      <c r="D9342" s="2">
        <f t="shared" si="145"/>
        <v>1</v>
      </c>
    </row>
    <row r="9343" spans="1:4" x14ac:dyDescent="0.3">
      <c r="A9343" s="34">
        <v>61905</v>
      </c>
      <c r="B9343" s="35">
        <v>1</v>
      </c>
      <c r="C9343" s="35">
        <v>0</v>
      </c>
      <c r="D9343" s="2">
        <f t="shared" si="145"/>
        <v>1</v>
      </c>
    </row>
    <row r="9344" spans="1:4" x14ac:dyDescent="0.3">
      <c r="A9344" s="34">
        <v>61908</v>
      </c>
      <c r="B9344" s="35">
        <v>1</v>
      </c>
      <c r="C9344" s="35">
        <v>0</v>
      </c>
      <c r="D9344" s="2">
        <f t="shared" si="145"/>
        <v>1</v>
      </c>
    </row>
    <row r="9345" spans="1:4" x14ac:dyDescent="0.3">
      <c r="A9345" s="34">
        <v>61909</v>
      </c>
      <c r="B9345" s="35">
        <v>1</v>
      </c>
      <c r="C9345" s="35">
        <v>0</v>
      </c>
      <c r="D9345" s="2">
        <f t="shared" si="145"/>
        <v>1</v>
      </c>
    </row>
    <row r="9346" spans="1:4" x14ac:dyDescent="0.3">
      <c r="A9346" s="34">
        <v>61912</v>
      </c>
      <c r="B9346" s="35">
        <v>1</v>
      </c>
      <c r="C9346" s="35">
        <v>0</v>
      </c>
      <c r="D9346" s="2">
        <f t="shared" si="145"/>
        <v>1</v>
      </c>
    </row>
    <row r="9347" spans="1:4" x14ac:dyDescent="0.3">
      <c r="A9347" s="34">
        <v>61914</v>
      </c>
      <c r="B9347" s="35">
        <v>1</v>
      </c>
      <c r="C9347" s="35">
        <v>0</v>
      </c>
      <c r="D9347" s="2">
        <f t="shared" ref="D9347:D9410" si="146">B9347+C9347</f>
        <v>1</v>
      </c>
    </row>
    <row r="9348" spans="1:4" x14ac:dyDescent="0.3">
      <c r="A9348" s="34">
        <v>61916</v>
      </c>
      <c r="B9348" s="35">
        <v>1</v>
      </c>
      <c r="C9348" s="35">
        <v>0</v>
      </c>
      <c r="D9348" s="2">
        <f t="shared" si="146"/>
        <v>1</v>
      </c>
    </row>
    <row r="9349" spans="1:4" x14ac:dyDescent="0.3">
      <c r="A9349" s="34">
        <v>61917</v>
      </c>
      <c r="B9349" s="35">
        <v>1</v>
      </c>
      <c r="C9349" s="35">
        <v>0</v>
      </c>
      <c r="D9349" s="2">
        <f t="shared" si="146"/>
        <v>1</v>
      </c>
    </row>
    <row r="9350" spans="1:4" x14ac:dyDescent="0.3">
      <c r="A9350" s="34">
        <v>61918</v>
      </c>
      <c r="B9350" s="35">
        <v>1</v>
      </c>
      <c r="C9350" s="35">
        <v>0</v>
      </c>
      <c r="D9350" s="2">
        <f t="shared" si="146"/>
        <v>1</v>
      </c>
    </row>
    <row r="9351" spans="1:4" x14ac:dyDescent="0.3">
      <c r="A9351" s="34">
        <v>61920</v>
      </c>
      <c r="B9351" s="35">
        <v>1</v>
      </c>
      <c r="C9351" s="35">
        <v>0</v>
      </c>
      <c r="D9351" s="2">
        <f t="shared" si="146"/>
        <v>1</v>
      </c>
    </row>
    <row r="9352" spans="1:4" x14ac:dyDescent="0.3">
      <c r="A9352" s="34">
        <v>61927</v>
      </c>
      <c r="B9352" s="35">
        <v>1</v>
      </c>
      <c r="C9352" s="35">
        <v>0</v>
      </c>
      <c r="D9352" s="2">
        <f t="shared" si="146"/>
        <v>1</v>
      </c>
    </row>
    <row r="9353" spans="1:4" x14ac:dyDescent="0.3">
      <c r="A9353" s="34">
        <v>61928</v>
      </c>
      <c r="B9353" s="35">
        <v>1</v>
      </c>
      <c r="C9353" s="35">
        <v>0</v>
      </c>
      <c r="D9353" s="2">
        <f t="shared" si="146"/>
        <v>1</v>
      </c>
    </row>
    <row r="9354" spans="1:4" x14ac:dyDescent="0.3">
      <c r="A9354" s="34">
        <v>61944</v>
      </c>
      <c r="B9354" s="35">
        <v>1</v>
      </c>
      <c r="C9354" s="35">
        <v>1</v>
      </c>
      <c r="D9354" s="2">
        <f t="shared" si="146"/>
        <v>2</v>
      </c>
    </row>
    <row r="9355" spans="1:4" x14ac:dyDescent="0.3">
      <c r="A9355" s="34">
        <v>61945</v>
      </c>
      <c r="B9355" s="35">
        <v>1</v>
      </c>
      <c r="C9355" s="35">
        <v>0</v>
      </c>
      <c r="D9355" s="2">
        <f t="shared" si="146"/>
        <v>1</v>
      </c>
    </row>
    <row r="9356" spans="1:4" x14ac:dyDescent="0.3">
      <c r="A9356" s="34">
        <v>61946</v>
      </c>
      <c r="B9356" s="35">
        <v>1</v>
      </c>
      <c r="C9356" s="35">
        <v>0</v>
      </c>
      <c r="D9356" s="2">
        <f t="shared" si="146"/>
        <v>1</v>
      </c>
    </row>
    <row r="9357" spans="1:4" x14ac:dyDescent="0.3">
      <c r="A9357" s="34">
        <v>61949</v>
      </c>
      <c r="B9357" s="35">
        <v>1</v>
      </c>
      <c r="C9357" s="35">
        <v>0</v>
      </c>
      <c r="D9357" s="2">
        <f t="shared" si="146"/>
        <v>1</v>
      </c>
    </row>
    <row r="9358" spans="1:4" x14ac:dyDescent="0.3">
      <c r="A9358" s="34">
        <v>61951</v>
      </c>
      <c r="B9358" s="35">
        <v>1</v>
      </c>
      <c r="C9358" s="35">
        <v>0</v>
      </c>
      <c r="D9358" s="2">
        <f t="shared" si="146"/>
        <v>1</v>
      </c>
    </row>
    <row r="9359" spans="1:4" x14ac:dyDescent="0.3">
      <c r="A9359" s="34">
        <v>61952</v>
      </c>
      <c r="B9359" s="35">
        <v>1</v>
      </c>
      <c r="C9359" s="35">
        <v>0</v>
      </c>
      <c r="D9359" s="2">
        <f t="shared" si="146"/>
        <v>1</v>
      </c>
    </row>
    <row r="9360" spans="1:4" x14ac:dyDescent="0.3">
      <c r="A9360" s="34">
        <v>61953</v>
      </c>
      <c r="B9360" s="35">
        <v>1</v>
      </c>
      <c r="C9360" s="35">
        <v>0</v>
      </c>
      <c r="D9360" s="2">
        <f t="shared" si="146"/>
        <v>1</v>
      </c>
    </row>
    <row r="9361" spans="1:4" x14ac:dyDescent="0.3">
      <c r="A9361" s="34">
        <v>61956</v>
      </c>
      <c r="B9361" s="35">
        <v>2</v>
      </c>
      <c r="C9361" s="35">
        <v>0</v>
      </c>
      <c r="D9361" s="2">
        <f t="shared" si="146"/>
        <v>2</v>
      </c>
    </row>
    <row r="9362" spans="1:4" x14ac:dyDescent="0.3">
      <c r="A9362" s="34">
        <v>61957</v>
      </c>
      <c r="B9362" s="35">
        <v>2</v>
      </c>
      <c r="C9362" s="35">
        <v>1</v>
      </c>
      <c r="D9362" s="2">
        <f t="shared" si="146"/>
        <v>3</v>
      </c>
    </row>
    <row r="9363" spans="1:4" x14ac:dyDescent="0.3">
      <c r="A9363" s="34">
        <v>61958</v>
      </c>
      <c r="B9363" s="35">
        <v>1</v>
      </c>
      <c r="C9363" s="35">
        <v>0</v>
      </c>
      <c r="D9363" s="2">
        <f t="shared" si="146"/>
        <v>1</v>
      </c>
    </row>
    <row r="9364" spans="1:4" x14ac:dyDescent="0.3">
      <c r="A9364" s="34">
        <v>61965</v>
      </c>
      <c r="B9364" s="35">
        <v>1</v>
      </c>
      <c r="C9364" s="35">
        <v>0</v>
      </c>
      <c r="D9364" s="2">
        <f t="shared" si="146"/>
        <v>1</v>
      </c>
    </row>
    <row r="9365" spans="1:4" x14ac:dyDescent="0.3">
      <c r="A9365" s="34">
        <v>61966</v>
      </c>
      <c r="B9365" s="35">
        <v>1</v>
      </c>
      <c r="C9365" s="35">
        <v>0</v>
      </c>
      <c r="D9365" s="2">
        <f t="shared" si="146"/>
        <v>1</v>
      </c>
    </row>
    <row r="9366" spans="1:4" x14ac:dyDescent="0.3">
      <c r="A9366" s="34">
        <v>61968</v>
      </c>
      <c r="B9366" s="35">
        <v>1</v>
      </c>
      <c r="C9366" s="35">
        <v>0</v>
      </c>
      <c r="D9366" s="2">
        <f t="shared" si="146"/>
        <v>1</v>
      </c>
    </row>
    <row r="9367" spans="1:4" x14ac:dyDescent="0.3">
      <c r="A9367" s="34">
        <v>61969</v>
      </c>
      <c r="B9367" s="35">
        <v>1</v>
      </c>
      <c r="C9367" s="35">
        <v>0</v>
      </c>
      <c r="D9367" s="2">
        <f t="shared" si="146"/>
        <v>1</v>
      </c>
    </row>
    <row r="9368" spans="1:4" x14ac:dyDescent="0.3">
      <c r="A9368" s="34">
        <v>61971</v>
      </c>
      <c r="B9368" s="35">
        <v>1</v>
      </c>
      <c r="C9368" s="35">
        <v>0</v>
      </c>
      <c r="D9368" s="2">
        <f t="shared" si="146"/>
        <v>1</v>
      </c>
    </row>
    <row r="9369" spans="1:4" x14ac:dyDescent="0.3">
      <c r="A9369" s="34">
        <v>61972</v>
      </c>
      <c r="B9369" s="35">
        <v>1</v>
      </c>
      <c r="C9369" s="35">
        <v>0</v>
      </c>
      <c r="D9369" s="2">
        <f t="shared" si="146"/>
        <v>1</v>
      </c>
    </row>
    <row r="9370" spans="1:4" x14ac:dyDescent="0.3">
      <c r="A9370" s="34">
        <v>61974</v>
      </c>
      <c r="B9370" s="35">
        <v>1</v>
      </c>
      <c r="C9370" s="35">
        <v>1</v>
      </c>
      <c r="D9370" s="2">
        <f t="shared" si="146"/>
        <v>2</v>
      </c>
    </row>
    <row r="9371" spans="1:4" x14ac:dyDescent="0.3">
      <c r="A9371" s="34">
        <v>61978</v>
      </c>
      <c r="B9371" s="35">
        <v>1</v>
      </c>
      <c r="C9371" s="35">
        <v>0</v>
      </c>
      <c r="D9371" s="2">
        <f t="shared" si="146"/>
        <v>1</v>
      </c>
    </row>
    <row r="9372" spans="1:4" x14ac:dyDescent="0.3">
      <c r="A9372" s="34">
        <v>61979</v>
      </c>
      <c r="B9372" s="35">
        <v>1</v>
      </c>
      <c r="C9372" s="35">
        <v>0</v>
      </c>
      <c r="D9372" s="2">
        <f t="shared" si="146"/>
        <v>1</v>
      </c>
    </row>
    <row r="9373" spans="1:4" x14ac:dyDescent="0.3">
      <c r="A9373" s="34">
        <v>61983</v>
      </c>
      <c r="B9373" s="35">
        <v>1</v>
      </c>
      <c r="C9373" s="35">
        <v>0</v>
      </c>
      <c r="D9373" s="2">
        <f t="shared" si="146"/>
        <v>1</v>
      </c>
    </row>
    <row r="9374" spans="1:4" x14ac:dyDescent="0.3">
      <c r="A9374" s="34">
        <v>61990</v>
      </c>
      <c r="B9374" s="35">
        <v>1</v>
      </c>
      <c r="C9374" s="35">
        <v>0</v>
      </c>
      <c r="D9374" s="2">
        <f t="shared" si="146"/>
        <v>1</v>
      </c>
    </row>
    <row r="9375" spans="1:4" x14ac:dyDescent="0.3">
      <c r="A9375" s="34">
        <v>61992</v>
      </c>
      <c r="B9375" s="35">
        <v>1</v>
      </c>
      <c r="C9375" s="35">
        <v>0</v>
      </c>
      <c r="D9375" s="2">
        <f t="shared" si="146"/>
        <v>1</v>
      </c>
    </row>
    <row r="9376" spans="1:4" x14ac:dyDescent="0.3">
      <c r="A9376" s="34">
        <v>61993</v>
      </c>
      <c r="B9376" s="35">
        <v>1</v>
      </c>
      <c r="C9376" s="35">
        <v>1</v>
      </c>
      <c r="D9376" s="2">
        <f t="shared" si="146"/>
        <v>2</v>
      </c>
    </row>
    <row r="9377" spans="1:4" x14ac:dyDescent="0.3">
      <c r="A9377" s="34">
        <v>61997</v>
      </c>
      <c r="B9377" s="35">
        <v>1</v>
      </c>
      <c r="C9377" s="35">
        <v>0</v>
      </c>
      <c r="D9377" s="2">
        <f t="shared" si="146"/>
        <v>1</v>
      </c>
    </row>
    <row r="9378" spans="1:4" x14ac:dyDescent="0.3">
      <c r="A9378" s="34">
        <v>61999</v>
      </c>
      <c r="B9378" s="35">
        <v>1</v>
      </c>
      <c r="C9378" s="35">
        <v>0</v>
      </c>
      <c r="D9378" s="2">
        <f t="shared" si="146"/>
        <v>1</v>
      </c>
    </row>
    <row r="9379" spans="1:4" x14ac:dyDescent="0.3">
      <c r="A9379" s="34">
        <v>62000</v>
      </c>
      <c r="B9379" s="35">
        <v>1</v>
      </c>
      <c r="C9379" s="35">
        <v>0</v>
      </c>
      <c r="D9379" s="2">
        <f t="shared" si="146"/>
        <v>1</v>
      </c>
    </row>
    <row r="9380" spans="1:4" x14ac:dyDescent="0.3">
      <c r="A9380" s="34">
        <v>62002</v>
      </c>
      <c r="B9380" s="35">
        <v>1</v>
      </c>
      <c r="C9380" s="35">
        <v>0</v>
      </c>
      <c r="D9380" s="2">
        <f t="shared" si="146"/>
        <v>1</v>
      </c>
    </row>
    <row r="9381" spans="1:4" x14ac:dyDescent="0.3">
      <c r="A9381" s="34">
        <v>62004</v>
      </c>
      <c r="B9381" s="35">
        <v>1</v>
      </c>
      <c r="C9381" s="35">
        <v>0</v>
      </c>
      <c r="D9381" s="2">
        <f t="shared" si="146"/>
        <v>1</v>
      </c>
    </row>
    <row r="9382" spans="1:4" x14ac:dyDescent="0.3">
      <c r="A9382" s="34">
        <v>62006</v>
      </c>
      <c r="B9382" s="35">
        <v>2</v>
      </c>
      <c r="C9382" s="35">
        <v>1</v>
      </c>
      <c r="D9382" s="2">
        <f t="shared" si="146"/>
        <v>3</v>
      </c>
    </row>
    <row r="9383" spans="1:4" x14ac:dyDescent="0.3">
      <c r="A9383" s="34">
        <v>62033</v>
      </c>
      <c r="B9383" s="35">
        <v>1</v>
      </c>
      <c r="C9383" s="35">
        <v>0</v>
      </c>
      <c r="D9383" s="2">
        <f t="shared" si="146"/>
        <v>1</v>
      </c>
    </row>
    <row r="9384" spans="1:4" x14ac:dyDescent="0.3">
      <c r="A9384" s="34">
        <v>62035</v>
      </c>
      <c r="B9384" s="35">
        <v>1</v>
      </c>
      <c r="C9384" s="35">
        <v>0</v>
      </c>
      <c r="D9384" s="2">
        <f t="shared" si="146"/>
        <v>1</v>
      </c>
    </row>
    <row r="9385" spans="1:4" x14ac:dyDescent="0.3">
      <c r="A9385" s="34">
        <v>62037</v>
      </c>
      <c r="B9385" s="35">
        <v>1</v>
      </c>
      <c r="C9385" s="35">
        <v>1</v>
      </c>
      <c r="D9385" s="2">
        <f t="shared" si="146"/>
        <v>2</v>
      </c>
    </row>
    <row r="9386" spans="1:4" x14ac:dyDescent="0.3">
      <c r="A9386" s="34">
        <v>62042</v>
      </c>
      <c r="B9386" s="35">
        <v>1</v>
      </c>
      <c r="C9386" s="35">
        <v>0</v>
      </c>
      <c r="D9386" s="2">
        <f t="shared" si="146"/>
        <v>1</v>
      </c>
    </row>
    <row r="9387" spans="1:4" x14ac:dyDescent="0.3">
      <c r="A9387" s="34">
        <v>62049</v>
      </c>
      <c r="B9387" s="35">
        <v>1</v>
      </c>
      <c r="C9387" s="35">
        <v>0</v>
      </c>
      <c r="D9387" s="2">
        <f t="shared" si="146"/>
        <v>1</v>
      </c>
    </row>
    <row r="9388" spans="1:4" x14ac:dyDescent="0.3">
      <c r="A9388" s="34">
        <v>62050</v>
      </c>
      <c r="B9388" s="35">
        <v>1</v>
      </c>
      <c r="C9388" s="35">
        <v>0</v>
      </c>
      <c r="D9388" s="2">
        <f t="shared" si="146"/>
        <v>1</v>
      </c>
    </row>
    <row r="9389" spans="1:4" x14ac:dyDescent="0.3">
      <c r="A9389" s="34">
        <v>62051</v>
      </c>
      <c r="B9389" s="35">
        <v>1</v>
      </c>
      <c r="C9389" s="35">
        <v>0</v>
      </c>
      <c r="D9389" s="2">
        <f t="shared" si="146"/>
        <v>1</v>
      </c>
    </row>
    <row r="9390" spans="1:4" x14ac:dyDescent="0.3">
      <c r="A9390" s="34">
        <v>62076</v>
      </c>
      <c r="B9390" s="35">
        <v>1</v>
      </c>
      <c r="C9390" s="35">
        <v>0</v>
      </c>
      <c r="D9390" s="2">
        <f t="shared" si="146"/>
        <v>1</v>
      </c>
    </row>
    <row r="9391" spans="1:4" x14ac:dyDescent="0.3">
      <c r="A9391" s="34">
        <v>62077</v>
      </c>
      <c r="B9391" s="35">
        <v>1</v>
      </c>
      <c r="C9391" s="35">
        <v>0</v>
      </c>
      <c r="D9391" s="2">
        <f t="shared" si="146"/>
        <v>1</v>
      </c>
    </row>
    <row r="9392" spans="1:4" x14ac:dyDescent="0.3">
      <c r="A9392" s="34">
        <v>62079</v>
      </c>
      <c r="B9392" s="35">
        <v>1</v>
      </c>
      <c r="C9392" s="35">
        <v>0</v>
      </c>
      <c r="D9392" s="2">
        <f t="shared" si="146"/>
        <v>1</v>
      </c>
    </row>
    <row r="9393" spans="1:4" x14ac:dyDescent="0.3">
      <c r="A9393" s="34">
        <v>62082</v>
      </c>
      <c r="B9393" s="35">
        <v>1</v>
      </c>
      <c r="C9393" s="35">
        <v>1</v>
      </c>
      <c r="D9393" s="2">
        <f t="shared" si="146"/>
        <v>2</v>
      </c>
    </row>
    <row r="9394" spans="1:4" x14ac:dyDescent="0.3">
      <c r="A9394" s="34">
        <v>62083</v>
      </c>
      <c r="B9394" s="35">
        <v>1</v>
      </c>
      <c r="C9394" s="35">
        <v>1</v>
      </c>
      <c r="D9394" s="2">
        <f t="shared" si="146"/>
        <v>2</v>
      </c>
    </row>
    <row r="9395" spans="1:4" x14ac:dyDescent="0.3">
      <c r="A9395" s="34">
        <v>62085</v>
      </c>
      <c r="B9395" s="35">
        <v>1</v>
      </c>
      <c r="C9395" s="35">
        <v>0</v>
      </c>
      <c r="D9395" s="2">
        <f t="shared" si="146"/>
        <v>1</v>
      </c>
    </row>
    <row r="9396" spans="1:4" x14ac:dyDescent="0.3">
      <c r="A9396" s="34">
        <v>62087</v>
      </c>
      <c r="B9396" s="35">
        <v>1</v>
      </c>
      <c r="C9396" s="35">
        <v>0</v>
      </c>
      <c r="D9396" s="2">
        <f t="shared" si="146"/>
        <v>1</v>
      </c>
    </row>
    <row r="9397" spans="1:4" x14ac:dyDescent="0.3">
      <c r="A9397" s="34">
        <v>62088</v>
      </c>
      <c r="B9397" s="35">
        <v>1</v>
      </c>
      <c r="C9397" s="35">
        <v>0</v>
      </c>
      <c r="D9397" s="2">
        <f t="shared" si="146"/>
        <v>1</v>
      </c>
    </row>
    <row r="9398" spans="1:4" x14ac:dyDescent="0.3">
      <c r="A9398" s="34">
        <v>62090</v>
      </c>
      <c r="B9398" s="35">
        <v>1</v>
      </c>
      <c r="C9398" s="35">
        <v>0</v>
      </c>
      <c r="D9398" s="2">
        <f t="shared" si="146"/>
        <v>1</v>
      </c>
    </row>
    <row r="9399" spans="1:4" x14ac:dyDescent="0.3">
      <c r="A9399" s="34">
        <v>62093</v>
      </c>
      <c r="B9399" s="35">
        <v>1</v>
      </c>
      <c r="C9399" s="35">
        <v>0</v>
      </c>
      <c r="D9399" s="2">
        <f t="shared" si="146"/>
        <v>1</v>
      </c>
    </row>
    <row r="9400" spans="1:4" x14ac:dyDescent="0.3">
      <c r="A9400" s="34">
        <v>62095</v>
      </c>
      <c r="B9400" s="35">
        <v>1</v>
      </c>
      <c r="C9400" s="35">
        <v>0</v>
      </c>
      <c r="D9400" s="2">
        <f t="shared" si="146"/>
        <v>1</v>
      </c>
    </row>
    <row r="9401" spans="1:4" x14ac:dyDescent="0.3">
      <c r="A9401" s="34">
        <v>62099</v>
      </c>
      <c r="B9401" s="35">
        <v>1</v>
      </c>
      <c r="C9401" s="35">
        <v>0</v>
      </c>
      <c r="D9401" s="2">
        <f t="shared" si="146"/>
        <v>1</v>
      </c>
    </row>
    <row r="9402" spans="1:4" x14ac:dyDescent="0.3">
      <c r="A9402" s="34">
        <v>62102</v>
      </c>
      <c r="B9402" s="35">
        <v>1</v>
      </c>
      <c r="C9402" s="35">
        <v>0</v>
      </c>
      <c r="D9402" s="2">
        <f t="shared" si="146"/>
        <v>1</v>
      </c>
    </row>
    <row r="9403" spans="1:4" x14ac:dyDescent="0.3">
      <c r="A9403" s="34">
        <v>62103</v>
      </c>
      <c r="B9403" s="35">
        <v>1</v>
      </c>
      <c r="C9403" s="35">
        <v>0</v>
      </c>
      <c r="D9403" s="2">
        <f t="shared" si="146"/>
        <v>1</v>
      </c>
    </row>
    <row r="9404" spans="1:4" x14ac:dyDescent="0.3">
      <c r="A9404" s="34">
        <v>62105</v>
      </c>
      <c r="B9404" s="35">
        <v>1</v>
      </c>
      <c r="C9404" s="35">
        <v>0</v>
      </c>
      <c r="D9404" s="2">
        <f t="shared" si="146"/>
        <v>1</v>
      </c>
    </row>
    <row r="9405" spans="1:4" x14ac:dyDescent="0.3">
      <c r="A9405" s="34">
        <v>62106</v>
      </c>
      <c r="B9405" s="35">
        <v>1</v>
      </c>
      <c r="C9405" s="35">
        <v>0</v>
      </c>
      <c r="D9405" s="2">
        <f t="shared" si="146"/>
        <v>1</v>
      </c>
    </row>
    <row r="9406" spans="1:4" x14ac:dyDescent="0.3">
      <c r="A9406" s="34">
        <v>62107</v>
      </c>
      <c r="B9406" s="35">
        <v>1</v>
      </c>
      <c r="C9406" s="35">
        <v>0</v>
      </c>
      <c r="D9406" s="2">
        <f t="shared" si="146"/>
        <v>1</v>
      </c>
    </row>
    <row r="9407" spans="1:4" x14ac:dyDescent="0.3">
      <c r="A9407" s="34">
        <v>62108</v>
      </c>
      <c r="B9407" s="35">
        <v>1</v>
      </c>
      <c r="C9407" s="35">
        <v>1</v>
      </c>
      <c r="D9407" s="2">
        <f t="shared" si="146"/>
        <v>2</v>
      </c>
    </row>
    <row r="9408" spans="1:4" x14ac:dyDescent="0.3">
      <c r="A9408" s="34">
        <v>62109</v>
      </c>
      <c r="B9408" s="35">
        <v>1</v>
      </c>
      <c r="C9408" s="35">
        <v>0</v>
      </c>
      <c r="D9408" s="2">
        <f t="shared" si="146"/>
        <v>1</v>
      </c>
    </row>
    <row r="9409" spans="1:4" x14ac:dyDescent="0.3">
      <c r="A9409" s="34">
        <v>62110</v>
      </c>
      <c r="B9409" s="35">
        <v>1</v>
      </c>
      <c r="C9409" s="35">
        <v>0</v>
      </c>
      <c r="D9409" s="2">
        <f t="shared" si="146"/>
        <v>1</v>
      </c>
    </row>
    <row r="9410" spans="1:4" x14ac:dyDescent="0.3">
      <c r="A9410" s="34">
        <v>62112</v>
      </c>
      <c r="B9410" s="35">
        <v>1</v>
      </c>
      <c r="C9410" s="35">
        <v>0</v>
      </c>
      <c r="D9410" s="2">
        <f t="shared" si="146"/>
        <v>1</v>
      </c>
    </row>
    <row r="9411" spans="1:4" x14ac:dyDescent="0.3">
      <c r="A9411" s="34">
        <v>62113</v>
      </c>
      <c r="B9411" s="35">
        <v>1</v>
      </c>
      <c r="C9411" s="35">
        <v>0</v>
      </c>
      <c r="D9411" s="2">
        <f t="shared" ref="D9411:D9474" si="147">B9411+C9411</f>
        <v>1</v>
      </c>
    </row>
    <row r="9412" spans="1:4" x14ac:dyDescent="0.3">
      <c r="A9412" s="34">
        <v>62114</v>
      </c>
      <c r="B9412" s="35">
        <v>1</v>
      </c>
      <c r="C9412" s="35">
        <v>0</v>
      </c>
      <c r="D9412" s="2">
        <f t="shared" si="147"/>
        <v>1</v>
      </c>
    </row>
    <row r="9413" spans="1:4" x14ac:dyDescent="0.3">
      <c r="A9413" s="34">
        <v>62115</v>
      </c>
      <c r="B9413" s="35">
        <v>1</v>
      </c>
      <c r="C9413" s="35">
        <v>0</v>
      </c>
      <c r="D9413" s="2">
        <f t="shared" si="147"/>
        <v>1</v>
      </c>
    </row>
    <row r="9414" spans="1:4" x14ac:dyDescent="0.3">
      <c r="A9414" s="34">
        <v>62117</v>
      </c>
      <c r="B9414" s="35">
        <v>1</v>
      </c>
      <c r="C9414" s="35">
        <v>0</v>
      </c>
      <c r="D9414" s="2">
        <f t="shared" si="147"/>
        <v>1</v>
      </c>
    </row>
    <row r="9415" spans="1:4" x14ac:dyDescent="0.3">
      <c r="A9415" s="34">
        <v>62120</v>
      </c>
      <c r="B9415" s="35">
        <v>1</v>
      </c>
      <c r="C9415" s="35">
        <v>0</v>
      </c>
      <c r="D9415" s="2">
        <f t="shared" si="147"/>
        <v>1</v>
      </c>
    </row>
    <row r="9416" spans="1:4" x14ac:dyDescent="0.3">
      <c r="A9416" s="34">
        <v>62121</v>
      </c>
      <c r="B9416" s="35">
        <v>1</v>
      </c>
      <c r="C9416" s="35">
        <v>0</v>
      </c>
      <c r="D9416" s="2">
        <f t="shared" si="147"/>
        <v>1</v>
      </c>
    </row>
    <row r="9417" spans="1:4" x14ac:dyDescent="0.3">
      <c r="A9417" s="34">
        <v>62122</v>
      </c>
      <c r="B9417" s="35">
        <v>1</v>
      </c>
      <c r="C9417" s="35">
        <v>0</v>
      </c>
      <c r="D9417" s="2">
        <f t="shared" si="147"/>
        <v>1</v>
      </c>
    </row>
    <row r="9418" spans="1:4" x14ac:dyDescent="0.3">
      <c r="A9418" s="34">
        <v>62123</v>
      </c>
      <c r="B9418" s="35">
        <v>1</v>
      </c>
      <c r="C9418" s="35">
        <v>0</v>
      </c>
      <c r="D9418" s="2">
        <f t="shared" si="147"/>
        <v>1</v>
      </c>
    </row>
    <row r="9419" spans="1:4" x14ac:dyDescent="0.3">
      <c r="A9419" s="34">
        <v>62128</v>
      </c>
      <c r="B9419" s="35">
        <v>1</v>
      </c>
      <c r="C9419" s="35">
        <v>0</v>
      </c>
      <c r="D9419" s="2">
        <f t="shared" si="147"/>
        <v>1</v>
      </c>
    </row>
    <row r="9420" spans="1:4" x14ac:dyDescent="0.3">
      <c r="A9420" s="34">
        <v>62129</v>
      </c>
      <c r="B9420" s="35">
        <v>1</v>
      </c>
      <c r="C9420" s="35">
        <v>0</v>
      </c>
      <c r="D9420" s="2">
        <f t="shared" si="147"/>
        <v>1</v>
      </c>
    </row>
    <row r="9421" spans="1:4" x14ac:dyDescent="0.3">
      <c r="A9421" s="34">
        <v>62132</v>
      </c>
      <c r="B9421" s="35">
        <v>1</v>
      </c>
      <c r="C9421" s="35">
        <v>0</v>
      </c>
      <c r="D9421" s="2">
        <f t="shared" si="147"/>
        <v>1</v>
      </c>
    </row>
    <row r="9422" spans="1:4" x14ac:dyDescent="0.3">
      <c r="A9422" s="34">
        <v>62134</v>
      </c>
      <c r="B9422" s="35">
        <v>2</v>
      </c>
      <c r="C9422" s="35">
        <v>1</v>
      </c>
      <c r="D9422" s="2">
        <f t="shared" si="147"/>
        <v>3</v>
      </c>
    </row>
    <row r="9423" spans="1:4" x14ac:dyDescent="0.3">
      <c r="A9423" s="34">
        <v>62136</v>
      </c>
      <c r="B9423" s="35">
        <v>1</v>
      </c>
      <c r="C9423" s="35">
        <v>0</v>
      </c>
      <c r="D9423" s="2">
        <f t="shared" si="147"/>
        <v>1</v>
      </c>
    </row>
    <row r="9424" spans="1:4" x14ac:dyDescent="0.3">
      <c r="A9424" s="34">
        <v>62138</v>
      </c>
      <c r="B9424" s="35">
        <v>1</v>
      </c>
      <c r="C9424" s="35">
        <v>0</v>
      </c>
      <c r="D9424" s="2">
        <f t="shared" si="147"/>
        <v>1</v>
      </c>
    </row>
    <row r="9425" spans="1:4" x14ac:dyDescent="0.3">
      <c r="A9425" s="34">
        <v>62139</v>
      </c>
      <c r="B9425" s="35">
        <v>3</v>
      </c>
      <c r="C9425" s="35">
        <v>3</v>
      </c>
      <c r="D9425" s="2">
        <f t="shared" si="147"/>
        <v>6</v>
      </c>
    </row>
    <row r="9426" spans="1:4" x14ac:dyDescent="0.3">
      <c r="A9426" s="34">
        <v>62142</v>
      </c>
      <c r="B9426" s="35">
        <v>1</v>
      </c>
      <c r="C9426" s="35">
        <v>0</v>
      </c>
      <c r="D9426" s="2">
        <f t="shared" si="147"/>
        <v>1</v>
      </c>
    </row>
    <row r="9427" spans="1:4" x14ac:dyDescent="0.3">
      <c r="A9427" s="34">
        <v>62143</v>
      </c>
      <c r="B9427" s="35">
        <v>1</v>
      </c>
      <c r="C9427" s="35">
        <v>0</v>
      </c>
      <c r="D9427" s="2">
        <f t="shared" si="147"/>
        <v>1</v>
      </c>
    </row>
    <row r="9428" spans="1:4" x14ac:dyDescent="0.3">
      <c r="A9428" s="34">
        <v>62146</v>
      </c>
      <c r="B9428" s="35">
        <v>1</v>
      </c>
      <c r="C9428" s="35">
        <v>0</v>
      </c>
      <c r="D9428" s="2">
        <f t="shared" si="147"/>
        <v>1</v>
      </c>
    </row>
    <row r="9429" spans="1:4" x14ac:dyDescent="0.3">
      <c r="A9429" s="34">
        <v>62147</v>
      </c>
      <c r="B9429" s="35">
        <v>1</v>
      </c>
      <c r="C9429" s="35">
        <v>0</v>
      </c>
      <c r="D9429" s="2">
        <f t="shared" si="147"/>
        <v>1</v>
      </c>
    </row>
    <row r="9430" spans="1:4" x14ac:dyDescent="0.3">
      <c r="A9430" s="34">
        <v>62148</v>
      </c>
      <c r="B9430" s="35">
        <v>1</v>
      </c>
      <c r="C9430" s="35">
        <v>1</v>
      </c>
      <c r="D9430" s="2">
        <f t="shared" si="147"/>
        <v>2</v>
      </c>
    </row>
    <row r="9431" spans="1:4" x14ac:dyDescent="0.3">
      <c r="A9431" s="34">
        <v>62154</v>
      </c>
      <c r="B9431" s="35">
        <v>1</v>
      </c>
      <c r="C9431" s="35">
        <v>0</v>
      </c>
      <c r="D9431" s="2">
        <f t="shared" si="147"/>
        <v>1</v>
      </c>
    </row>
    <row r="9432" spans="1:4" x14ac:dyDescent="0.3">
      <c r="A9432" s="34">
        <v>62155</v>
      </c>
      <c r="B9432" s="35">
        <v>1</v>
      </c>
      <c r="C9432" s="35">
        <v>0</v>
      </c>
      <c r="D9432" s="2">
        <f t="shared" si="147"/>
        <v>1</v>
      </c>
    </row>
    <row r="9433" spans="1:4" x14ac:dyDescent="0.3">
      <c r="A9433" s="34">
        <v>62160</v>
      </c>
      <c r="B9433" s="35">
        <v>1</v>
      </c>
      <c r="C9433" s="35">
        <v>0</v>
      </c>
      <c r="D9433" s="2">
        <f t="shared" si="147"/>
        <v>1</v>
      </c>
    </row>
    <row r="9434" spans="1:4" x14ac:dyDescent="0.3">
      <c r="A9434" s="34">
        <v>62165</v>
      </c>
      <c r="B9434" s="35">
        <v>1</v>
      </c>
      <c r="C9434" s="35">
        <v>1</v>
      </c>
      <c r="D9434" s="2">
        <f t="shared" si="147"/>
        <v>2</v>
      </c>
    </row>
    <row r="9435" spans="1:4" x14ac:dyDescent="0.3">
      <c r="A9435" s="34">
        <v>62167</v>
      </c>
      <c r="B9435" s="35">
        <v>1</v>
      </c>
      <c r="C9435" s="35">
        <v>0</v>
      </c>
      <c r="D9435" s="2">
        <f t="shared" si="147"/>
        <v>1</v>
      </c>
    </row>
    <row r="9436" spans="1:4" x14ac:dyDescent="0.3">
      <c r="A9436" s="34">
        <v>62168</v>
      </c>
      <c r="B9436" s="35">
        <v>1</v>
      </c>
      <c r="C9436" s="35">
        <v>0</v>
      </c>
      <c r="D9436" s="2">
        <f t="shared" si="147"/>
        <v>1</v>
      </c>
    </row>
    <row r="9437" spans="1:4" x14ac:dyDescent="0.3">
      <c r="A9437" s="34">
        <v>62169</v>
      </c>
      <c r="B9437" s="35">
        <v>1</v>
      </c>
      <c r="C9437" s="35">
        <v>0</v>
      </c>
      <c r="D9437" s="2">
        <f t="shared" si="147"/>
        <v>1</v>
      </c>
    </row>
    <row r="9438" spans="1:4" x14ac:dyDescent="0.3">
      <c r="A9438" s="34">
        <v>62172</v>
      </c>
      <c r="B9438" s="35">
        <v>1</v>
      </c>
      <c r="C9438" s="35">
        <v>0</v>
      </c>
      <c r="D9438" s="2">
        <f t="shared" si="147"/>
        <v>1</v>
      </c>
    </row>
    <row r="9439" spans="1:4" x14ac:dyDescent="0.3">
      <c r="A9439" s="34">
        <v>62176</v>
      </c>
      <c r="B9439" s="35">
        <v>1</v>
      </c>
      <c r="C9439" s="35">
        <v>1</v>
      </c>
      <c r="D9439" s="2">
        <f t="shared" si="147"/>
        <v>2</v>
      </c>
    </row>
    <row r="9440" spans="1:4" x14ac:dyDescent="0.3">
      <c r="A9440" s="34">
        <v>62181</v>
      </c>
      <c r="B9440" s="35">
        <v>1</v>
      </c>
      <c r="C9440" s="35">
        <v>0</v>
      </c>
      <c r="D9440" s="2">
        <f t="shared" si="147"/>
        <v>1</v>
      </c>
    </row>
    <row r="9441" spans="1:4" x14ac:dyDescent="0.3">
      <c r="A9441" s="34">
        <v>62183</v>
      </c>
      <c r="B9441" s="35">
        <v>1</v>
      </c>
      <c r="C9441" s="35">
        <v>0</v>
      </c>
      <c r="D9441" s="2">
        <f t="shared" si="147"/>
        <v>1</v>
      </c>
    </row>
    <row r="9442" spans="1:4" x14ac:dyDescent="0.3">
      <c r="A9442" s="34">
        <v>62185</v>
      </c>
      <c r="B9442" s="35">
        <v>1</v>
      </c>
      <c r="C9442" s="35">
        <v>0</v>
      </c>
      <c r="D9442" s="2">
        <f t="shared" si="147"/>
        <v>1</v>
      </c>
    </row>
    <row r="9443" spans="1:4" x14ac:dyDescent="0.3">
      <c r="A9443" s="34">
        <v>62187</v>
      </c>
      <c r="B9443" s="35">
        <v>1</v>
      </c>
      <c r="C9443" s="35">
        <v>0</v>
      </c>
      <c r="D9443" s="2">
        <f t="shared" si="147"/>
        <v>1</v>
      </c>
    </row>
    <row r="9444" spans="1:4" x14ac:dyDescent="0.3">
      <c r="A9444" s="34">
        <v>62188</v>
      </c>
      <c r="B9444" s="35">
        <v>1</v>
      </c>
      <c r="C9444" s="35">
        <v>0</v>
      </c>
      <c r="D9444" s="2">
        <f t="shared" si="147"/>
        <v>1</v>
      </c>
    </row>
    <row r="9445" spans="1:4" x14ac:dyDescent="0.3">
      <c r="A9445" s="34">
        <v>62196</v>
      </c>
      <c r="B9445" s="35">
        <v>1</v>
      </c>
      <c r="C9445" s="35">
        <v>0</v>
      </c>
      <c r="D9445" s="2">
        <f t="shared" si="147"/>
        <v>1</v>
      </c>
    </row>
    <row r="9446" spans="1:4" x14ac:dyDescent="0.3">
      <c r="A9446" s="34">
        <v>62203</v>
      </c>
      <c r="B9446" s="35">
        <v>1</v>
      </c>
      <c r="C9446" s="35">
        <v>0</v>
      </c>
      <c r="D9446" s="2">
        <f t="shared" si="147"/>
        <v>1</v>
      </c>
    </row>
    <row r="9447" spans="1:4" x14ac:dyDescent="0.3">
      <c r="A9447" s="34">
        <v>62204</v>
      </c>
      <c r="B9447" s="35">
        <v>1</v>
      </c>
      <c r="C9447" s="35">
        <v>0</v>
      </c>
      <c r="D9447" s="2">
        <f t="shared" si="147"/>
        <v>1</v>
      </c>
    </row>
    <row r="9448" spans="1:4" x14ac:dyDescent="0.3">
      <c r="A9448" s="34">
        <v>62205</v>
      </c>
      <c r="B9448" s="35">
        <v>1</v>
      </c>
      <c r="C9448" s="35">
        <v>0</v>
      </c>
      <c r="D9448" s="2">
        <f t="shared" si="147"/>
        <v>1</v>
      </c>
    </row>
    <row r="9449" spans="1:4" x14ac:dyDescent="0.3">
      <c r="A9449" s="34">
        <v>62209</v>
      </c>
      <c r="B9449" s="35">
        <v>1</v>
      </c>
      <c r="C9449" s="35">
        <v>0</v>
      </c>
      <c r="D9449" s="2">
        <f t="shared" si="147"/>
        <v>1</v>
      </c>
    </row>
    <row r="9450" spans="1:4" x14ac:dyDescent="0.3">
      <c r="A9450" s="34">
        <v>62210</v>
      </c>
      <c r="B9450" s="35">
        <v>1</v>
      </c>
      <c r="C9450" s="35">
        <v>1</v>
      </c>
      <c r="D9450" s="2">
        <f t="shared" si="147"/>
        <v>2</v>
      </c>
    </row>
    <row r="9451" spans="1:4" x14ac:dyDescent="0.3">
      <c r="A9451" s="34">
        <v>62211</v>
      </c>
      <c r="B9451" s="35">
        <v>1</v>
      </c>
      <c r="C9451" s="35">
        <v>1</v>
      </c>
      <c r="D9451" s="2">
        <f t="shared" si="147"/>
        <v>2</v>
      </c>
    </row>
    <row r="9452" spans="1:4" x14ac:dyDescent="0.3">
      <c r="A9452" s="34">
        <v>62213</v>
      </c>
      <c r="B9452" s="35">
        <v>1</v>
      </c>
      <c r="C9452" s="35">
        <v>0</v>
      </c>
      <c r="D9452" s="2">
        <f t="shared" si="147"/>
        <v>1</v>
      </c>
    </row>
    <row r="9453" spans="1:4" x14ac:dyDescent="0.3">
      <c r="A9453" s="34">
        <v>62214</v>
      </c>
      <c r="B9453" s="35">
        <v>1</v>
      </c>
      <c r="C9453" s="35">
        <v>0</v>
      </c>
      <c r="D9453" s="2">
        <f t="shared" si="147"/>
        <v>1</v>
      </c>
    </row>
    <row r="9454" spans="1:4" x14ac:dyDescent="0.3">
      <c r="A9454" s="34">
        <v>62218</v>
      </c>
      <c r="B9454" s="35">
        <v>1</v>
      </c>
      <c r="C9454" s="35">
        <v>0</v>
      </c>
      <c r="D9454" s="2">
        <f t="shared" si="147"/>
        <v>1</v>
      </c>
    </row>
    <row r="9455" spans="1:4" x14ac:dyDescent="0.3">
      <c r="A9455" s="34">
        <v>62219</v>
      </c>
      <c r="B9455" s="35">
        <v>1</v>
      </c>
      <c r="C9455" s="35">
        <v>1</v>
      </c>
      <c r="D9455" s="2">
        <f t="shared" si="147"/>
        <v>2</v>
      </c>
    </row>
    <row r="9456" spans="1:4" x14ac:dyDescent="0.3">
      <c r="A9456" s="34">
        <v>62220</v>
      </c>
      <c r="B9456" s="35">
        <v>1</v>
      </c>
      <c r="C9456" s="35">
        <v>1</v>
      </c>
      <c r="D9456" s="2">
        <f t="shared" si="147"/>
        <v>2</v>
      </c>
    </row>
    <row r="9457" spans="1:4" x14ac:dyDescent="0.3">
      <c r="A9457" s="34">
        <v>62221</v>
      </c>
      <c r="B9457" s="35">
        <v>1</v>
      </c>
      <c r="C9457" s="35">
        <v>1</v>
      </c>
      <c r="D9457" s="2">
        <f t="shared" si="147"/>
        <v>2</v>
      </c>
    </row>
    <row r="9458" spans="1:4" x14ac:dyDescent="0.3">
      <c r="A9458" s="34">
        <v>62250</v>
      </c>
      <c r="B9458" s="35">
        <v>1</v>
      </c>
      <c r="C9458" s="35">
        <v>0</v>
      </c>
      <c r="D9458" s="2">
        <f t="shared" si="147"/>
        <v>1</v>
      </c>
    </row>
    <row r="9459" spans="1:4" x14ac:dyDescent="0.3">
      <c r="A9459" s="34">
        <v>62252</v>
      </c>
      <c r="B9459" s="35">
        <v>2</v>
      </c>
      <c r="C9459" s="35">
        <v>0</v>
      </c>
      <c r="D9459" s="2">
        <f t="shared" si="147"/>
        <v>2</v>
      </c>
    </row>
    <row r="9460" spans="1:4" x14ac:dyDescent="0.3">
      <c r="A9460" s="34">
        <v>62253</v>
      </c>
      <c r="B9460" s="35">
        <v>1</v>
      </c>
      <c r="C9460" s="35">
        <v>1</v>
      </c>
      <c r="D9460" s="2">
        <f t="shared" si="147"/>
        <v>2</v>
      </c>
    </row>
    <row r="9461" spans="1:4" x14ac:dyDescent="0.3">
      <c r="A9461" s="34">
        <v>62254</v>
      </c>
      <c r="B9461" s="35">
        <v>1</v>
      </c>
      <c r="C9461" s="35">
        <v>0</v>
      </c>
      <c r="D9461" s="2">
        <f t="shared" si="147"/>
        <v>1</v>
      </c>
    </row>
    <row r="9462" spans="1:4" x14ac:dyDescent="0.3">
      <c r="A9462" s="34">
        <v>62255</v>
      </c>
      <c r="B9462" s="35">
        <v>1</v>
      </c>
      <c r="C9462" s="35">
        <v>0</v>
      </c>
      <c r="D9462" s="2">
        <f t="shared" si="147"/>
        <v>1</v>
      </c>
    </row>
    <row r="9463" spans="1:4" x14ac:dyDescent="0.3">
      <c r="A9463" s="34">
        <v>62257</v>
      </c>
      <c r="B9463" s="35">
        <v>1</v>
      </c>
      <c r="C9463" s="35">
        <v>0</v>
      </c>
      <c r="D9463" s="2">
        <f t="shared" si="147"/>
        <v>1</v>
      </c>
    </row>
    <row r="9464" spans="1:4" x14ac:dyDescent="0.3">
      <c r="A9464" s="34">
        <v>62260</v>
      </c>
      <c r="B9464" s="35">
        <v>1</v>
      </c>
      <c r="C9464" s="35">
        <v>0</v>
      </c>
      <c r="D9464" s="2">
        <f t="shared" si="147"/>
        <v>1</v>
      </c>
    </row>
    <row r="9465" spans="1:4" x14ac:dyDescent="0.3">
      <c r="A9465" s="34">
        <v>62262</v>
      </c>
      <c r="B9465" s="35">
        <v>1</v>
      </c>
      <c r="C9465" s="35">
        <v>1</v>
      </c>
      <c r="D9465" s="2">
        <f t="shared" si="147"/>
        <v>2</v>
      </c>
    </row>
    <row r="9466" spans="1:4" x14ac:dyDescent="0.3">
      <c r="A9466" s="34">
        <v>62263</v>
      </c>
      <c r="B9466" s="35">
        <v>2</v>
      </c>
      <c r="C9466" s="35">
        <v>1</v>
      </c>
      <c r="D9466" s="2">
        <f t="shared" si="147"/>
        <v>3</v>
      </c>
    </row>
    <row r="9467" spans="1:4" x14ac:dyDescent="0.3">
      <c r="A9467" s="34">
        <v>62264</v>
      </c>
      <c r="B9467" s="35">
        <v>1</v>
      </c>
      <c r="C9467" s="35">
        <v>0</v>
      </c>
      <c r="D9467" s="2">
        <f t="shared" si="147"/>
        <v>1</v>
      </c>
    </row>
    <row r="9468" spans="1:4" x14ac:dyDescent="0.3">
      <c r="A9468" s="34">
        <v>62265</v>
      </c>
      <c r="B9468" s="35">
        <v>1</v>
      </c>
      <c r="C9468" s="35">
        <v>0</v>
      </c>
      <c r="D9468" s="2">
        <f t="shared" si="147"/>
        <v>1</v>
      </c>
    </row>
    <row r="9469" spans="1:4" x14ac:dyDescent="0.3">
      <c r="A9469" s="34">
        <v>62267</v>
      </c>
      <c r="B9469" s="35">
        <v>1</v>
      </c>
      <c r="C9469" s="35">
        <v>0</v>
      </c>
      <c r="D9469" s="2">
        <f t="shared" si="147"/>
        <v>1</v>
      </c>
    </row>
    <row r="9470" spans="1:4" x14ac:dyDescent="0.3">
      <c r="A9470" s="34">
        <v>62268</v>
      </c>
      <c r="B9470" s="35">
        <v>1</v>
      </c>
      <c r="C9470" s="35">
        <v>0</v>
      </c>
      <c r="D9470" s="2">
        <f t="shared" si="147"/>
        <v>1</v>
      </c>
    </row>
    <row r="9471" spans="1:4" x14ac:dyDescent="0.3">
      <c r="A9471" s="34">
        <v>62269</v>
      </c>
      <c r="B9471" s="35">
        <v>2</v>
      </c>
      <c r="C9471" s="35">
        <v>1</v>
      </c>
      <c r="D9471" s="2">
        <f t="shared" si="147"/>
        <v>3</v>
      </c>
    </row>
    <row r="9472" spans="1:4" x14ac:dyDescent="0.3">
      <c r="A9472" s="34">
        <v>62297</v>
      </c>
      <c r="B9472" s="35">
        <v>1</v>
      </c>
      <c r="C9472" s="35">
        <v>0</v>
      </c>
      <c r="D9472" s="2">
        <f t="shared" si="147"/>
        <v>1</v>
      </c>
    </row>
    <row r="9473" spans="1:4" x14ac:dyDescent="0.3">
      <c r="A9473" s="34">
        <v>62299</v>
      </c>
      <c r="B9473" s="35">
        <v>1</v>
      </c>
      <c r="C9473" s="35">
        <v>0</v>
      </c>
      <c r="D9473" s="2">
        <f t="shared" si="147"/>
        <v>1</v>
      </c>
    </row>
    <row r="9474" spans="1:4" x14ac:dyDescent="0.3">
      <c r="A9474" s="34">
        <v>62301</v>
      </c>
      <c r="B9474" s="35">
        <v>2</v>
      </c>
      <c r="C9474" s="35">
        <v>0</v>
      </c>
      <c r="D9474" s="2">
        <f t="shared" si="147"/>
        <v>2</v>
      </c>
    </row>
    <row r="9475" spans="1:4" x14ac:dyDescent="0.3">
      <c r="A9475" s="34">
        <v>62304</v>
      </c>
      <c r="B9475" s="35">
        <v>1</v>
      </c>
      <c r="C9475" s="35">
        <v>0</v>
      </c>
      <c r="D9475" s="2">
        <f t="shared" ref="D9475:D9538" si="148">B9475+C9475</f>
        <v>1</v>
      </c>
    </row>
    <row r="9476" spans="1:4" x14ac:dyDescent="0.3">
      <c r="A9476" s="34">
        <v>62305</v>
      </c>
      <c r="B9476" s="35">
        <v>1</v>
      </c>
      <c r="C9476" s="35">
        <v>0</v>
      </c>
      <c r="D9476" s="2">
        <f t="shared" si="148"/>
        <v>1</v>
      </c>
    </row>
    <row r="9477" spans="1:4" x14ac:dyDescent="0.3">
      <c r="A9477" s="34">
        <v>62306</v>
      </c>
      <c r="B9477" s="35">
        <v>1</v>
      </c>
      <c r="C9477" s="35">
        <v>1</v>
      </c>
      <c r="D9477" s="2">
        <f t="shared" si="148"/>
        <v>2</v>
      </c>
    </row>
    <row r="9478" spans="1:4" x14ac:dyDescent="0.3">
      <c r="A9478" s="34">
        <v>62308</v>
      </c>
      <c r="B9478" s="35">
        <v>1</v>
      </c>
      <c r="C9478" s="35">
        <v>0</v>
      </c>
      <c r="D9478" s="2">
        <f t="shared" si="148"/>
        <v>1</v>
      </c>
    </row>
    <row r="9479" spans="1:4" x14ac:dyDescent="0.3">
      <c r="A9479" s="34">
        <v>62311</v>
      </c>
      <c r="B9479" s="35">
        <v>1</v>
      </c>
      <c r="C9479" s="35">
        <v>0</v>
      </c>
      <c r="D9479" s="2">
        <f t="shared" si="148"/>
        <v>1</v>
      </c>
    </row>
    <row r="9480" spans="1:4" x14ac:dyDescent="0.3">
      <c r="A9480" s="34">
        <v>62321</v>
      </c>
      <c r="B9480" s="35">
        <v>1</v>
      </c>
      <c r="C9480" s="35">
        <v>0</v>
      </c>
      <c r="D9480" s="2">
        <f t="shared" si="148"/>
        <v>1</v>
      </c>
    </row>
    <row r="9481" spans="1:4" x14ac:dyDescent="0.3">
      <c r="A9481" s="34">
        <v>62323</v>
      </c>
      <c r="B9481" s="35">
        <v>1</v>
      </c>
      <c r="C9481" s="35">
        <v>0</v>
      </c>
      <c r="D9481" s="2">
        <f t="shared" si="148"/>
        <v>1</v>
      </c>
    </row>
    <row r="9482" spans="1:4" x14ac:dyDescent="0.3">
      <c r="A9482" s="34">
        <v>62324</v>
      </c>
      <c r="B9482" s="35">
        <v>1</v>
      </c>
      <c r="C9482" s="35">
        <v>0</v>
      </c>
      <c r="D9482" s="2">
        <f t="shared" si="148"/>
        <v>1</v>
      </c>
    </row>
    <row r="9483" spans="1:4" x14ac:dyDescent="0.3">
      <c r="A9483" s="34">
        <v>62327</v>
      </c>
      <c r="B9483" s="35">
        <v>1</v>
      </c>
      <c r="C9483" s="35">
        <v>0</v>
      </c>
      <c r="D9483" s="2">
        <f t="shared" si="148"/>
        <v>1</v>
      </c>
    </row>
    <row r="9484" spans="1:4" x14ac:dyDescent="0.3">
      <c r="A9484" s="34">
        <v>62330</v>
      </c>
      <c r="B9484" s="35">
        <v>1</v>
      </c>
      <c r="C9484" s="35">
        <v>0</v>
      </c>
      <c r="D9484" s="2">
        <f t="shared" si="148"/>
        <v>1</v>
      </c>
    </row>
    <row r="9485" spans="1:4" x14ac:dyDescent="0.3">
      <c r="A9485" s="34">
        <v>62335</v>
      </c>
      <c r="B9485" s="35">
        <v>1</v>
      </c>
      <c r="C9485" s="35">
        <v>1</v>
      </c>
      <c r="D9485" s="2">
        <f t="shared" si="148"/>
        <v>2</v>
      </c>
    </row>
    <row r="9486" spans="1:4" x14ac:dyDescent="0.3">
      <c r="A9486" s="34">
        <v>62336</v>
      </c>
      <c r="B9486" s="35">
        <v>1</v>
      </c>
      <c r="C9486" s="35">
        <v>1</v>
      </c>
      <c r="D9486" s="2">
        <f t="shared" si="148"/>
        <v>2</v>
      </c>
    </row>
    <row r="9487" spans="1:4" x14ac:dyDescent="0.3">
      <c r="A9487" s="34">
        <v>62337</v>
      </c>
      <c r="B9487" s="35">
        <v>1</v>
      </c>
      <c r="C9487" s="35">
        <v>0</v>
      </c>
      <c r="D9487" s="2">
        <f t="shared" si="148"/>
        <v>1</v>
      </c>
    </row>
    <row r="9488" spans="1:4" x14ac:dyDescent="0.3">
      <c r="A9488" s="34">
        <v>62340</v>
      </c>
      <c r="B9488" s="35">
        <v>1</v>
      </c>
      <c r="C9488" s="35">
        <v>0</v>
      </c>
      <c r="D9488" s="2">
        <f t="shared" si="148"/>
        <v>1</v>
      </c>
    </row>
    <row r="9489" spans="1:4" x14ac:dyDescent="0.3">
      <c r="A9489" s="34">
        <v>62341</v>
      </c>
      <c r="B9489" s="35">
        <v>1</v>
      </c>
      <c r="C9489" s="35">
        <v>0</v>
      </c>
      <c r="D9489" s="2">
        <f t="shared" si="148"/>
        <v>1</v>
      </c>
    </row>
    <row r="9490" spans="1:4" x14ac:dyDescent="0.3">
      <c r="A9490" s="34">
        <v>62345</v>
      </c>
      <c r="B9490" s="35">
        <v>1</v>
      </c>
      <c r="C9490" s="35">
        <v>0</v>
      </c>
      <c r="D9490" s="2">
        <f t="shared" si="148"/>
        <v>1</v>
      </c>
    </row>
    <row r="9491" spans="1:4" x14ac:dyDescent="0.3">
      <c r="A9491" s="34">
        <v>62346</v>
      </c>
      <c r="B9491" s="35">
        <v>1</v>
      </c>
      <c r="C9491" s="35">
        <v>0</v>
      </c>
      <c r="D9491" s="2">
        <f t="shared" si="148"/>
        <v>1</v>
      </c>
    </row>
    <row r="9492" spans="1:4" x14ac:dyDescent="0.3">
      <c r="A9492" s="34">
        <v>62347</v>
      </c>
      <c r="B9492" s="35">
        <v>1</v>
      </c>
      <c r="C9492" s="35">
        <v>1</v>
      </c>
      <c r="D9492" s="2">
        <f t="shared" si="148"/>
        <v>2</v>
      </c>
    </row>
    <row r="9493" spans="1:4" x14ac:dyDescent="0.3">
      <c r="A9493" s="34">
        <v>62348</v>
      </c>
      <c r="B9493" s="35">
        <v>1</v>
      </c>
      <c r="C9493" s="35">
        <v>0</v>
      </c>
      <c r="D9493" s="2">
        <f t="shared" si="148"/>
        <v>1</v>
      </c>
    </row>
    <row r="9494" spans="1:4" x14ac:dyDescent="0.3">
      <c r="A9494" s="34">
        <v>62349</v>
      </c>
      <c r="B9494" s="35">
        <v>1</v>
      </c>
      <c r="C9494" s="35">
        <v>0</v>
      </c>
      <c r="D9494" s="2">
        <f t="shared" si="148"/>
        <v>1</v>
      </c>
    </row>
    <row r="9495" spans="1:4" x14ac:dyDescent="0.3">
      <c r="A9495" s="34">
        <v>62350</v>
      </c>
      <c r="B9495" s="35">
        <v>1</v>
      </c>
      <c r="C9495" s="35">
        <v>0</v>
      </c>
      <c r="D9495" s="2">
        <f t="shared" si="148"/>
        <v>1</v>
      </c>
    </row>
    <row r="9496" spans="1:4" x14ac:dyDescent="0.3">
      <c r="A9496" s="34">
        <v>62351</v>
      </c>
      <c r="B9496" s="35">
        <v>1</v>
      </c>
      <c r="C9496" s="35">
        <v>1</v>
      </c>
      <c r="D9496" s="2">
        <f t="shared" si="148"/>
        <v>2</v>
      </c>
    </row>
    <row r="9497" spans="1:4" x14ac:dyDescent="0.3">
      <c r="A9497" s="34">
        <v>62352</v>
      </c>
      <c r="B9497" s="35">
        <v>1</v>
      </c>
      <c r="C9497" s="35">
        <v>0</v>
      </c>
      <c r="D9497" s="2">
        <f t="shared" si="148"/>
        <v>1</v>
      </c>
    </row>
    <row r="9498" spans="1:4" x14ac:dyDescent="0.3">
      <c r="A9498" s="34">
        <v>62353</v>
      </c>
      <c r="B9498" s="35">
        <v>1</v>
      </c>
      <c r="C9498" s="35">
        <v>0</v>
      </c>
      <c r="D9498" s="2">
        <f t="shared" si="148"/>
        <v>1</v>
      </c>
    </row>
    <row r="9499" spans="1:4" x14ac:dyDescent="0.3">
      <c r="A9499" s="34">
        <v>62354</v>
      </c>
      <c r="B9499" s="35">
        <v>2</v>
      </c>
      <c r="C9499" s="35">
        <v>2</v>
      </c>
      <c r="D9499" s="2">
        <f t="shared" si="148"/>
        <v>4</v>
      </c>
    </row>
    <row r="9500" spans="1:4" x14ac:dyDescent="0.3">
      <c r="A9500" s="34">
        <v>62357</v>
      </c>
      <c r="B9500" s="35">
        <v>1</v>
      </c>
      <c r="C9500" s="35">
        <v>1</v>
      </c>
      <c r="D9500" s="2">
        <f t="shared" si="148"/>
        <v>2</v>
      </c>
    </row>
    <row r="9501" spans="1:4" x14ac:dyDescent="0.3">
      <c r="A9501" s="34">
        <v>62358</v>
      </c>
      <c r="B9501" s="35">
        <v>2</v>
      </c>
      <c r="C9501" s="35">
        <v>2</v>
      </c>
      <c r="D9501" s="2">
        <f t="shared" si="148"/>
        <v>4</v>
      </c>
    </row>
    <row r="9502" spans="1:4" x14ac:dyDescent="0.3">
      <c r="A9502" s="34">
        <v>62364</v>
      </c>
      <c r="B9502" s="35">
        <v>1</v>
      </c>
      <c r="C9502" s="35">
        <v>1</v>
      </c>
      <c r="D9502" s="2">
        <f t="shared" si="148"/>
        <v>2</v>
      </c>
    </row>
    <row r="9503" spans="1:4" x14ac:dyDescent="0.3">
      <c r="A9503" s="34">
        <v>62371</v>
      </c>
      <c r="B9503" s="35">
        <v>1</v>
      </c>
      <c r="C9503" s="35">
        <v>0</v>
      </c>
      <c r="D9503" s="2">
        <f t="shared" si="148"/>
        <v>1</v>
      </c>
    </row>
    <row r="9504" spans="1:4" x14ac:dyDescent="0.3">
      <c r="A9504" s="34">
        <v>62372</v>
      </c>
      <c r="B9504" s="35">
        <v>1</v>
      </c>
      <c r="C9504" s="35">
        <v>0</v>
      </c>
      <c r="D9504" s="2">
        <f t="shared" si="148"/>
        <v>1</v>
      </c>
    </row>
    <row r="9505" spans="1:4" x14ac:dyDescent="0.3">
      <c r="A9505" s="34">
        <v>62373</v>
      </c>
      <c r="B9505" s="35">
        <v>1</v>
      </c>
      <c r="C9505" s="35">
        <v>0</v>
      </c>
      <c r="D9505" s="2">
        <f t="shared" si="148"/>
        <v>1</v>
      </c>
    </row>
    <row r="9506" spans="1:4" x14ac:dyDescent="0.3">
      <c r="A9506" s="34">
        <v>62374</v>
      </c>
      <c r="B9506" s="35">
        <v>1</v>
      </c>
      <c r="C9506" s="35">
        <v>0</v>
      </c>
      <c r="D9506" s="2">
        <f t="shared" si="148"/>
        <v>1</v>
      </c>
    </row>
    <row r="9507" spans="1:4" x14ac:dyDescent="0.3">
      <c r="A9507" s="34">
        <v>62375</v>
      </c>
      <c r="B9507" s="35">
        <v>1</v>
      </c>
      <c r="C9507" s="35">
        <v>1</v>
      </c>
      <c r="D9507" s="2">
        <f t="shared" si="148"/>
        <v>2</v>
      </c>
    </row>
    <row r="9508" spans="1:4" x14ac:dyDescent="0.3">
      <c r="A9508" s="34">
        <v>62379</v>
      </c>
      <c r="B9508" s="35">
        <v>1</v>
      </c>
      <c r="C9508" s="35">
        <v>0</v>
      </c>
      <c r="D9508" s="2">
        <f t="shared" si="148"/>
        <v>1</v>
      </c>
    </row>
    <row r="9509" spans="1:4" x14ac:dyDescent="0.3">
      <c r="A9509" s="34">
        <v>62380</v>
      </c>
      <c r="B9509" s="35">
        <v>1</v>
      </c>
      <c r="C9509" s="35">
        <v>0</v>
      </c>
      <c r="D9509" s="2">
        <f t="shared" si="148"/>
        <v>1</v>
      </c>
    </row>
    <row r="9510" spans="1:4" x14ac:dyDescent="0.3">
      <c r="A9510" s="34">
        <v>62388</v>
      </c>
      <c r="B9510" s="35">
        <v>1</v>
      </c>
      <c r="C9510" s="35">
        <v>0</v>
      </c>
      <c r="D9510" s="2">
        <f t="shared" si="148"/>
        <v>1</v>
      </c>
    </row>
    <row r="9511" spans="1:4" x14ac:dyDescent="0.3">
      <c r="A9511" s="34">
        <v>62389</v>
      </c>
      <c r="B9511" s="35">
        <v>1</v>
      </c>
      <c r="C9511" s="35">
        <v>0</v>
      </c>
      <c r="D9511" s="2">
        <f t="shared" si="148"/>
        <v>1</v>
      </c>
    </row>
    <row r="9512" spans="1:4" x14ac:dyDescent="0.3">
      <c r="A9512" s="34">
        <v>62393</v>
      </c>
      <c r="B9512" s="35">
        <v>1</v>
      </c>
      <c r="C9512" s="35">
        <v>1</v>
      </c>
      <c r="D9512" s="2">
        <f t="shared" si="148"/>
        <v>2</v>
      </c>
    </row>
    <row r="9513" spans="1:4" x14ac:dyDescent="0.3">
      <c r="A9513" s="34">
        <v>62395</v>
      </c>
      <c r="B9513" s="35">
        <v>1</v>
      </c>
      <c r="C9513" s="35">
        <v>1</v>
      </c>
      <c r="D9513" s="2">
        <f t="shared" si="148"/>
        <v>2</v>
      </c>
    </row>
    <row r="9514" spans="1:4" x14ac:dyDescent="0.3">
      <c r="A9514" s="34">
        <v>62398</v>
      </c>
      <c r="B9514" s="35">
        <v>1</v>
      </c>
      <c r="C9514" s="35">
        <v>1</v>
      </c>
      <c r="D9514" s="2">
        <f t="shared" si="148"/>
        <v>2</v>
      </c>
    </row>
    <row r="9515" spans="1:4" x14ac:dyDescent="0.3">
      <c r="A9515" s="34">
        <v>62404</v>
      </c>
      <c r="B9515" s="35">
        <v>1</v>
      </c>
      <c r="C9515" s="35">
        <v>0</v>
      </c>
      <c r="D9515" s="2">
        <f t="shared" si="148"/>
        <v>1</v>
      </c>
    </row>
    <row r="9516" spans="1:4" x14ac:dyDescent="0.3">
      <c r="A9516" s="34">
        <v>62407</v>
      </c>
      <c r="B9516" s="35">
        <v>1</v>
      </c>
      <c r="C9516" s="35">
        <v>0</v>
      </c>
      <c r="D9516" s="2">
        <f t="shared" si="148"/>
        <v>1</v>
      </c>
    </row>
    <row r="9517" spans="1:4" x14ac:dyDescent="0.3">
      <c r="A9517" s="34">
        <v>62408</v>
      </c>
      <c r="B9517" s="35">
        <v>1</v>
      </c>
      <c r="C9517" s="35">
        <v>0</v>
      </c>
      <c r="D9517" s="2">
        <f t="shared" si="148"/>
        <v>1</v>
      </c>
    </row>
    <row r="9518" spans="1:4" x14ac:dyDescent="0.3">
      <c r="A9518" s="34">
        <v>62409</v>
      </c>
      <c r="B9518" s="35">
        <v>1</v>
      </c>
      <c r="C9518" s="35">
        <v>0</v>
      </c>
      <c r="D9518" s="2">
        <f t="shared" si="148"/>
        <v>1</v>
      </c>
    </row>
    <row r="9519" spans="1:4" x14ac:dyDescent="0.3">
      <c r="A9519" s="34">
        <v>62411</v>
      </c>
      <c r="B9519" s="35">
        <v>2</v>
      </c>
      <c r="C9519" s="35">
        <v>1</v>
      </c>
      <c r="D9519" s="2">
        <f t="shared" si="148"/>
        <v>3</v>
      </c>
    </row>
    <row r="9520" spans="1:4" x14ac:dyDescent="0.3">
      <c r="A9520" s="34">
        <v>62413</v>
      </c>
      <c r="B9520" s="35">
        <v>1</v>
      </c>
      <c r="C9520" s="35">
        <v>0</v>
      </c>
      <c r="D9520" s="2">
        <f t="shared" si="148"/>
        <v>1</v>
      </c>
    </row>
    <row r="9521" spans="1:4" x14ac:dyDescent="0.3">
      <c r="A9521" s="34">
        <v>62414</v>
      </c>
      <c r="B9521" s="35">
        <v>1</v>
      </c>
      <c r="C9521" s="35">
        <v>0</v>
      </c>
      <c r="D9521" s="2">
        <f t="shared" si="148"/>
        <v>1</v>
      </c>
    </row>
    <row r="9522" spans="1:4" x14ac:dyDescent="0.3">
      <c r="A9522" s="34">
        <v>62415</v>
      </c>
      <c r="B9522" s="35">
        <v>1</v>
      </c>
      <c r="C9522" s="35">
        <v>0</v>
      </c>
      <c r="D9522" s="2">
        <f t="shared" si="148"/>
        <v>1</v>
      </c>
    </row>
    <row r="9523" spans="1:4" x14ac:dyDescent="0.3">
      <c r="A9523" s="34">
        <v>62417</v>
      </c>
      <c r="B9523" s="35">
        <v>1</v>
      </c>
      <c r="C9523" s="35">
        <v>1</v>
      </c>
      <c r="D9523" s="2">
        <f t="shared" si="148"/>
        <v>2</v>
      </c>
    </row>
    <row r="9524" spans="1:4" x14ac:dyDescent="0.3">
      <c r="A9524" s="34">
        <v>62418</v>
      </c>
      <c r="B9524" s="35">
        <v>1</v>
      </c>
      <c r="C9524" s="35">
        <v>0</v>
      </c>
      <c r="D9524" s="2">
        <f t="shared" si="148"/>
        <v>1</v>
      </c>
    </row>
    <row r="9525" spans="1:4" x14ac:dyDescent="0.3">
      <c r="A9525" s="34">
        <v>62419</v>
      </c>
      <c r="B9525" s="35">
        <v>1</v>
      </c>
      <c r="C9525" s="35">
        <v>0</v>
      </c>
      <c r="D9525" s="2">
        <f t="shared" si="148"/>
        <v>1</v>
      </c>
    </row>
    <row r="9526" spans="1:4" x14ac:dyDescent="0.3">
      <c r="A9526" s="34">
        <v>62444</v>
      </c>
      <c r="B9526" s="35">
        <v>1</v>
      </c>
      <c r="C9526" s="35">
        <v>0</v>
      </c>
      <c r="D9526" s="2">
        <f t="shared" si="148"/>
        <v>1</v>
      </c>
    </row>
    <row r="9527" spans="1:4" x14ac:dyDescent="0.3">
      <c r="A9527" s="34">
        <v>62447</v>
      </c>
      <c r="B9527" s="35">
        <v>1</v>
      </c>
      <c r="C9527" s="35">
        <v>0</v>
      </c>
      <c r="D9527" s="2">
        <f t="shared" si="148"/>
        <v>1</v>
      </c>
    </row>
    <row r="9528" spans="1:4" x14ac:dyDescent="0.3">
      <c r="A9528" s="34">
        <v>62449</v>
      </c>
      <c r="B9528" s="35">
        <v>1</v>
      </c>
      <c r="C9528" s="35">
        <v>0</v>
      </c>
      <c r="D9528" s="2">
        <f t="shared" si="148"/>
        <v>1</v>
      </c>
    </row>
    <row r="9529" spans="1:4" x14ac:dyDescent="0.3">
      <c r="A9529" s="34">
        <v>62450</v>
      </c>
      <c r="B9529" s="35">
        <v>1</v>
      </c>
      <c r="C9529" s="35">
        <v>0</v>
      </c>
      <c r="D9529" s="2">
        <f t="shared" si="148"/>
        <v>1</v>
      </c>
    </row>
    <row r="9530" spans="1:4" x14ac:dyDescent="0.3">
      <c r="A9530" s="34">
        <v>62451</v>
      </c>
      <c r="B9530" s="35">
        <v>1</v>
      </c>
      <c r="C9530" s="35">
        <v>1</v>
      </c>
      <c r="D9530" s="2">
        <f t="shared" si="148"/>
        <v>2</v>
      </c>
    </row>
    <row r="9531" spans="1:4" x14ac:dyDescent="0.3">
      <c r="A9531" s="34">
        <v>62460</v>
      </c>
      <c r="B9531" s="35">
        <v>1</v>
      </c>
      <c r="C9531" s="35">
        <v>0</v>
      </c>
      <c r="D9531" s="2">
        <f t="shared" si="148"/>
        <v>1</v>
      </c>
    </row>
    <row r="9532" spans="1:4" x14ac:dyDescent="0.3">
      <c r="A9532" s="34">
        <v>62462</v>
      </c>
      <c r="B9532" s="35">
        <v>1</v>
      </c>
      <c r="C9532" s="35">
        <v>0</v>
      </c>
      <c r="D9532" s="2">
        <f t="shared" si="148"/>
        <v>1</v>
      </c>
    </row>
    <row r="9533" spans="1:4" x14ac:dyDescent="0.3">
      <c r="A9533" s="34">
        <v>62464</v>
      </c>
      <c r="B9533" s="35">
        <v>1</v>
      </c>
      <c r="C9533" s="35">
        <v>0</v>
      </c>
      <c r="D9533" s="2">
        <f t="shared" si="148"/>
        <v>1</v>
      </c>
    </row>
    <row r="9534" spans="1:4" x14ac:dyDescent="0.3">
      <c r="A9534" s="34">
        <v>62467</v>
      </c>
      <c r="B9534" s="35">
        <v>1</v>
      </c>
      <c r="C9534" s="35">
        <v>0</v>
      </c>
      <c r="D9534" s="2">
        <f t="shared" si="148"/>
        <v>1</v>
      </c>
    </row>
    <row r="9535" spans="1:4" x14ac:dyDescent="0.3">
      <c r="A9535" s="34">
        <v>62469</v>
      </c>
      <c r="B9535" s="35">
        <v>1</v>
      </c>
      <c r="C9535" s="35">
        <v>0</v>
      </c>
      <c r="D9535" s="2">
        <f t="shared" si="148"/>
        <v>1</v>
      </c>
    </row>
    <row r="9536" spans="1:4" x14ac:dyDescent="0.3">
      <c r="A9536" s="34">
        <v>62470</v>
      </c>
      <c r="B9536" s="35">
        <v>1</v>
      </c>
      <c r="C9536" s="35">
        <v>1</v>
      </c>
      <c r="D9536" s="2">
        <f t="shared" si="148"/>
        <v>2</v>
      </c>
    </row>
    <row r="9537" spans="1:4" x14ac:dyDescent="0.3">
      <c r="A9537" s="34">
        <v>62513</v>
      </c>
      <c r="B9537" s="35">
        <v>1</v>
      </c>
      <c r="C9537" s="35">
        <v>0</v>
      </c>
      <c r="D9537" s="2">
        <f t="shared" si="148"/>
        <v>1</v>
      </c>
    </row>
    <row r="9538" spans="1:4" x14ac:dyDescent="0.3">
      <c r="A9538" s="34">
        <v>62515</v>
      </c>
      <c r="B9538" s="35">
        <v>1</v>
      </c>
      <c r="C9538" s="35">
        <v>0</v>
      </c>
      <c r="D9538" s="2">
        <f t="shared" si="148"/>
        <v>1</v>
      </c>
    </row>
    <row r="9539" spans="1:4" x14ac:dyDescent="0.3">
      <c r="A9539" s="34">
        <v>62517</v>
      </c>
      <c r="B9539" s="35">
        <v>1</v>
      </c>
      <c r="C9539" s="35">
        <v>0</v>
      </c>
      <c r="D9539" s="2">
        <f t="shared" ref="D9539:D9602" si="149">B9539+C9539</f>
        <v>1</v>
      </c>
    </row>
    <row r="9540" spans="1:4" x14ac:dyDescent="0.3">
      <c r="A9540" s="34">
        <v>62522</v>
      </c>
      <c r="B9540" s="35">
        <v>1</v>
      </c>
      <c r="C9540" s="35">
        <v>1</v>
      </c>
      <c r="D9540" s="2">
        <f t="shared" si="149"/>
        <v>2</v>
      </c>
    </row>
    <row r="9541" spans="1:4" x14ac:dyDescent="0.3">
      <c r="A9541" s="34">
        <v>62525</v>
      </c>
      <c r="B9541" s="35">
        <v>1</v>
      </c>
      <c r="C9541" s="35">
        <v>0</v>
      </c>
      <c r="D9541" s="2">
        <f t="shared" si="149"/>
        <v>1</v>
      </c>
    </row>
    <row r="9542" spans="1:4" x14ac:dyDescent="0.3">
      <c r="A9542" s="34">
        <v>62534</v>
      </c>
      <c r="B9542" s="35">
        <v>1</v>
      </c>
      <c r="C9542" s="35">
        <v>0</v>
      </c>
      <c r="D9542" s="2">
        <f t="shared" si="149"/>
        <v>1</v>
      </c>
    </row>
    <row r="9543" spans="1:4" x14ac:dyDescent="0.3">
      <c r="A9543" s="34">
        <v>62541</v>
      </c>
      <c r="B9543" s="35">
        <v>1</v>
      </c>
      <c r="C9543" s="35">
        <v>0</v>
      </c>
      <c r="D9543" s="2">
        <f t="shared" si="149"/>
        <v>1</v>
      </c>
    </row>
    <row r="9544" spans="1:4" x14ac:dyDescent="0.3">
      <c r="A9544" s="34">
        <v>62590</v>
      </c>
      <c r="B9544" s="35">
        <v>1</v>
      </c>
      <c r="C9544" s="35">
        <v>0</v>
      </c>
      <c r="D9544" s="2">
        <f t="shared" si="149"/>
        <v>1</v>
      </c>
    </row>
    <row r="9545" spans="1:4" x14ac:dyDescent="0.3">
      <c r="A9545" s="34">
        <v>62591</v>
      </c>
      <c r="B9545" s="35">
        <v>1</v>
      </c>
      <c r="C9545" s="35">
        <v>0</v>
      </c>
      <c r="D9545" s="2">
        <f t="shared" si="149"/>
        <v>1</v>
      </c>
    </row>
    <row r="9546" spans="1:4" x14ac:dyDescent="0.3">
      <c r="A9546" s="34">
        <v>62596</v>
      </c>
      <c r="B9546" s="35">
        <v>1</v>
      </c>
      <c r="C9546" s="35">
        <v>0</v>
      </c>
      <c r="D9546" s="2">
        <f t="shared" si="149"/>
        <v>1</v>
      </c>
    </row>
    <row r="9547" spans="1:4" x14ac:dyDescent="0.3">
      <c r="A9547" s="34">
        <v>62597</v>
      </c>
      <c r="B9547" s="35">
        <v>1</v>
      </c>
      <c r="C9547" s="35">
        <v>1</v>
      </c>
      <c r="D9547" s="2">
        <f t="shared" si="149"/>
        <v>2</v>
      </c>
    </row>
    <row r="9548" spans="1:4" x14ac:dyDescent="0.3">
      <c r="A9548" s="34">
        <v>62599</v>
      </c>
      <c r="B9548" s="35">
        <v>1</v>
      </c>
      <c r="C9548" s="35">
        <v>0</v>
      </c>
      <c r="D9548" s="2">
        <f t="shared" si="149"/>
        <v>1</v>
      </c>
    </row>
    <row r="9549" spans="1:4" x14ac:dyDescent="0.3">
      <c r="A9549" s="34">
        <v>62600</v>
      </c>
      <c r="B9549" s="35">
        <v>1</v>
      </c>
      <c r="C9549" s="35">
        <v>0</v>
      </c>
      <c r="D9549" s="2">
        <f t="shared" si="149"/>
        <v>1</v>
      </c>
    </row>
    <row r="9550" spans="1:4" x14ac:dyDescent="0.3">
      <c r="A9550" s="34">
        <v>62602</v>
      </c>
      <c r="B9550" s="35">
        <v>1</v>
      </c>
      <c r="C9550" s="35">
        <v>0</v>
      </c>
      <c r="D9550" s="2">
        <f t="shared" si="149"/>
        <v>1</v>
      </c>
    </row>
    <row r="9551" spans="1:4" x14ac:dyDescent="0.3">
      <c r="A9551" s="34">
        <v>62604</v>
      </c>
      <c r="B9551" s="35">
        <v>1</v>
      </c>
      <c r="C9551" s="35">
        <v>0</v>
      </c>
      <c r="D9551" s="2">
        <f t="shared" si="149"/>
        <v>1</v>
      </c>
    </row>
    <row r="9552" spans="1:4" x14ac:dyDescent="0.3">
      <c r="A9552" s="34">
        <v>62610</v>
      </c>
      <c r="B9552" s="35">
        <v>1</v>
      </c>
      <c r="C9552" s="35">
        <v>0</v>
      </c>
      <c r="D9552" s="2">
        <f t="shared" si="149"/>
        <v>1</v>
      </c>
    </row>
    <row r="9553" spans="1:4" x14ac:dyDescent="0.3">
      <c r="A9553" s="34">
        <v>62612</v>
      </c>
      <c r="B9553" s="35">
        <v>1</v>
      </c>
      <c r="C9553" s="35">
        <v>0</v>
      </c>
      <c r="D9553" s="2">
        <f t="shared" si="149"/>
        <v>1</v>
      </c>
    </row>
    <row r="9554" spans="1:4" x14ac:dyDescent="0.3">
      <c r="A9554" s="34">
        <v>62613</v>
      </c>
      <c r="B9554" s="35">
        <v>1</v>
      </c>
      <c r="C9554" s="35">
        <v>0</v>
      </c>
      <c r="D9554" s="2">
        <f t="shared" si="149"/>
        <v>1</v>
      </c>
    </row>
    <row r="9555" spans="1:4" x14ac:dyDescent="0.3">
      <c r="A9555" s="34">
        <v>62614</v>
      </c>
      <c r="B9555" s="35">
        <v>1</v>
      </c>
      <c r="C9555" s="35">
        <v>0</v>
      </c>
      <c r="D9555" s="2">
        <f t="shared" si="149"/>
        <v>1</v>
      </c>
    </row>
    <row r="9556" spans="1:4" x14ac:dyDescent="0.3">
      <c r="A9556" s="34">
        <v>62619</v>
      </c>
      <c r="B9556" s="35">
        <v>1</v>
      </c>
      <c r="C9556" s="35">
        <v>0</v>
      </c>
      <c r="D9556" s="2">
        <f t="shared" si="149"/>
        <v>1</v>
      </c>
    </row>
    <row r="9557" spans="1:4" x14ac:dyDescent="0.3">
      <c r="A9557" s="34">
        <v>62622</v>
      </c>
      <c r="B9557" s="35">
        <v>1</v>
      </c>
      <c r="C9557" s="35">
        <v>0</v>
      </c>
      <c r="D9557" s="2">
        <f t="shared" si="149"/>
        <v>1</v>
      </c>
    </row>
    <row r="9558" spans="1:4" x14ac:dyDescent="0.3">
      <c r="A9558" s="34">
        <v>62624</v>
      </c>
      <c r="B9558" s="35">
        <v>1</v>
      </c>
      <c r="C9558" s="35">
        <v>0</v>
      </c>
      <c r="D9558" s="2">
        <f t="shared" si="149"/>
        <v>1</v>
      </c>
    </row>
    <row r="9559" spans="1:4" x14ac:dyDescent="0.3">
      <c r="A9559" s="34">
        <v>62661</v>
      </c>
      <c r="B9559" s="35">
        <v>2</v>
      </c>
      <c r="C9559" s="35">
        <v>0</v>
      </c>
      <c r="D9559" s="2">
        <f t="shared" si="149"/>
        <v>2</v>
      </c>
    </row>
    <row r="9560" spans="1:4" x14ac:dyDescent="0.3">
      <c r="A9560" s="34">
        <v>62662</v>
      </c>
      <c r="B9560" s="35">
        <v>1</v>
      </c>
      <c r="C9560" s="35">
        <v>0</v>
      </c>
      <c r="D9560" s="2">
        <f t="shared" si="149"/>
        <v>1</v>
      </c>
    </row>
    <row r="9561" spans="1:4" x14ac:dyDescent="0.3">
      <c r="A9561" s="34">
        <v>62664</v>
      </c>
      <c r="B9561" s="35">
        <v>1</v>
      </c>
      <c r="C9561" s="35">
        <v>0</v>
      </c>
      <c r="D9561" s="2">
        <f t="shared" si="149"/>
        <v>1</v>
      </c>
    </row>
    <row r="9562" spans="1:4" x14ac:dyDescent="0.3">
      <c r="A9562" s="34">
        <v>62667</v>
      </c>
      <c r="B9562" s="35">
        <v>1</v>
      </c>
      <c r="C9562" s="35">
        <v>0</v>
      </c>
      <c r="D9562" s="2">
        <f t="shared" si="149"/>
        <v>1</v>
      </c>
    </row>
    <row r="9563" spans="1:4" x14ac:dyDescent="0.3">
      <c r="A9563" s="34">
        <v>62670</v>
      </c>
      <c r="B9563" s="35">
        <v>1</v>
      </c>
      <c r="C9563" s="35">
        <v>0</v>
      </c>
      <c r="D9563" s="2">
        <f t="shared" si="149"/>
        <v>1</v>
      </c>
    </row>
    <row r="9564" spans="1:4" x14ac:dyDescent="0.3">
      <c r="A9564" s="34">
        <v>62672</v>
      </c>
      <c r="B9564" s="35">
        <v>1</v>
      </c>
      <c r="C9564" s="35">
        <v>1</v>
      </c>
      <c r="D9564" s="2">
        <f t="shared" si="149"/>
        <v>2</v>
      </c>
    </row>
    <row r="9565" spans="1:4" x14ac:dyDescent="0.3">
      <c r="A9565" s="34">
        <v>62674</v>
      </c>
      <c r="B9565" s="35">
        <v>1</v>
      </c>
      <c r="C9565" s="35">
        <v>0</v>
      </c>
      <c r="D9565" s="2">
        <f t="shared" si="149"/>
        <v>1</v>
      </c>
    </row>
    <row r="9566" spans="1:4" x14ac:dyDescent="0.3">
      <c r="A9566" s="34">
        <v>62675</v>
      </c>
      <c r="B9566" s="35">
        <v>1</v>
      </c>
      <c r="C9566" s="35">
        <v>0</v>
      </c>
      <c r="D9566" s="2">
        <f t="shared" si="149"/>
        <v>1</v>
      </c>
    </row>
    <row r="9567" spans="1:4" x14ac:dyDescent="0.3">
      <c r="A9567" s="34">
        <v>62677</v>
      </c>
      <c r="B9567" s="35">
        <v>1</v>
      </c>
      <c r="C9567" s="35">
        <v>0</v>
      </c>
      <c r="D9567" s="2">
        <f t="shared" si="149"/>
        <v>1</v>
      </c>
    </row>
    <row r="9568" spans="1:4" x14ac:dyDescent="0.3">
      <c r="A9568" s="34">
        <v>62678</v>
      </c>
      <c r="B9568" s="35">
        <v>1</v>
      </c>
      <c r="C9568" s="35">
        <v>0</v>
      </c>
      <c r="D9568" s="2">
        <f t="shared" si="149"/>
        <v>1</v>
      </c>
    </row>
    <row r="9569" spans="1:4" x14ac:dyDescent="0.3">
      <c r="A9569" s="34">
        <v>62683</v>
      </c>
      <c r="B9569" s="35">
        <v>2</v>
      </c>
      <c r="C9569" s="35">
        <v>0</v>
      </c>
      <c r="D9569" s="2">
        <f t="shared" si="149"/>
        <v>2</v>
      </c>
    </row>
    <row r="9570" spans="1:4" x14ac:dyDescent="0.3">
      <c r="A9570" s="34">
        <v>62687</v>
      </c>
      <c r="B9570" s="35">
        <v>1</v>
      </c>
      <c r="C9570" s="35">
        <v>0</v>
      </c>
      <c r="D9570" s="2">
        <f t="shared" si="149"/>
        <v>1</v>
      </c>
    </row>
    <row r="9571" spans="1:4" x14ac:dyDescent="0.3">
      <c r="A9571" s="34">
        <v>62689</v>
      </c>
      <c r="B9571" s="35">
        <v>1</v>
      </c>
      <c r="C9571" s="35">
        <v>0</v>
      </c>
      <c r="D9571" s="2">
        <f t="shared" si="149"/>
        <v>1</v>
      </c>
    </row>
    <row r="9572" spans="1:4" x14ac:dyDescent="0.3">
      <c r="A9572" s="34">
        <v>62692</v>
      </c>
      <c r="B9572" s="35">
        <v>1</v>
      </c>
      <c r="C9572" s="35">
        <v>0</v>
      </c>
      <c r="D9572" s="2">
        <f t="shared" si="149"/>
        <v>1</v>
      </c>
    </row>
    <row r="9573" spans="1:4" x14ac:dyDescent="0.3">
      <c r="A9573" s="34">
        <v>62696</v>
      </c>
      <c r="B9573" s="35">
        <v>1</v>
      </c>
      <c r="C9573" s="35">
        <v>0</v>
      </c>
      <c r="D9573" s="2">
        <f t="shared" si="149"/>
        <v>1</v>
      </c>
    </row>
    <row r="9574" spans="1:4" x14ac:dyDescent="0.3">
      <c r="A9574" s="34">
        <v>62697</v>
      </c>
      <c r="B9574" s="35">
        <v>1</v>
      </c>
      <c r="C9574" s="35">
        <v>0</v>
      </c>
      <c r="D9574" s="2">
        <f t="shared" si="149"/>
        <v>1</v>
      </c>
    </row>
    <row r="9575" spans="1:4" x14ac:dyDescent="0.3">
      <c r="A9575" s="34">
        <v>62698</v>
      </c>
      <c r="B9575" s="35">
        <v>1</v>
      </c>
      <c r="C9575" s="35">
        <v>0</v>
      </c>
      <c r="D9575" s="2">
        <f t="shared" si="149"/>
        <v>1</v>
      </c>
    </row>
    <row r="9576" spans="1:4" x14ac:dyDescent="0.3">
      <c r="A9576" s="34">
        <v>62699</v>
      </c>
      <c r="B9576" s="35">
        <v>1</v>
      </c>
      <c r="C9576" s="35">
        <v>0</v>
      </c>
      <c r="D9576" s="2">
        <f t="shared" si="149"/>
        <v>1</v>
      </c>
    </row>
    <row r="9577" spans="1:4" x14ac:dyDescent="0.3">
      <c r="A9577" s="34">
        <v>62709</v>
      </c>
      <c r="B9577" s="35">
        <v>1</v>
      </c>
      <c r="C9577" s="35">
        <v>0</v>
      </c>
      <c r="D9577" s="2">
        <f t="shared" si="149"/>
        <v>1</v>
      </c>
    </row>
    <row r="9578" spans="1:4" x14ac:dyDescent="0.3">
      <c r="A9578" s="34">
        <v>62710</v>
      </c>
      <c r="B9578" s="35">
        <v>1</v>
      </c>
      <c r="C9578" s="35">
        <v>1</v>
      </c>
      <c r="D9578" s="2">
        <f t="shared" si="149"/>
        <v>2</v>
      </c>
    </row>
    <row r="9579" spans="1:4" x14ac:dyDescent="0.3">
      <c r="A9579" s="34">
        <v>62713</v>
      </c>
      <c r="B9579" s="35">
        <v>1</v>
      </c>
      <c r="C9579" s="35">
        <v>0</v>
      </c>
      <c r="D9579" s="2">
        <f t="shared" si="149"/>
        <v>1</v>
      </c>
    </row>
    <row r="9580" spans="1:4" x14ac:dyDescent="0.3">
      <c r="A9580" s="34">
        <v>62715</v>
      </c>
      <c r="B9580" s="35">
        <v>1</v>
      </c>
      <c r="C9580" s="35">
        <v>1</v>
      </c>
      <c r="D9580" s="2">
        <f t="shared" si="149"/>
        <v>2</v>
      </c>
    </row>
    <row r="9581" spans="1:4" x14ac:dyDescent="0.3">
      <c r="A9581" s="34">
        <v>62716</v>
      </c>
      <c r="B9581" s="35">
        <v>1</v>
      </c>
      <c r="C9581" s="35">
        <v>0</v>
      </c>
      <c r="D9581" s="2">
        <f t="shared" si="149"/>
        <v>1</v>
      </c>
    </row>
    <row r="9582" spans="1:4" x14ac:dyDescent="0.3">
      <c r="A9582" s="34">
        <v>62735</v>
      </c>
      <c r="B9582" s="35">
        <v>1</v>
      </c>
      <c r="C9582" s="35">
        <v>0</v>
      </c>
      <c r="D9582" s="2">
        <f t="shared" si="149"/>
        <v>1</v>
      </c>
    </row>
    <row r="9583" spans="1:4" x14ac:dyDescent="0.3">
      <c r="A9583" s="34">
        <v>62738</v>
      </c>
      <c r="B9583" s="35">
        <v>1</v>
      </c>
      <c r="C9583" s="35">
        <v>1</v>
      </c>
      <c r="D9583" s="2">
        <f t="shared" si="149"/>
        <v>2</v>
      </c>
    </row>
    <row r="9584" spans="1:4" x14ac:dyDescent="0.3">
      <c r="A9584" s="34">
        <v>62739</v>
      </c>
      <c r="B9584" s="35">
        <v>1</v>
      </c>
      <c r="C9584" s="35">
        <v>0</v>
      </c>
      <c r="D9584" s="2">
        <f t="shared" si="149"/>
        <v>1</v>
      </c>
    </row>
    <row r="9585" spans="1:4" x14ac:dyDescent="0.3">
      <c r="A9585" s="34">
        <v>62740</v>
      </c>
      <c r="B9585" s="35">
        <v>2</v>
      </c>
      <c r="C9585" s="35">
        <v>1</v>
      </c>
      <c r="D9585" s="2">
        <f t="shared" si="149"/>
        <v>3</v>
      </c>
    </row>
    <row r="9586" spans="1:4" x14ac:dyDescent="0.3">
      <c r="A9586" s="34">
        <v>62741</v>
      </c>
      <c r="B9586" s="35">
        <v>1</v>
      </c>
      <c r="C9586" s="35">
        <v>0</v>
      </c>
      <c r="D9586" s="2">
        <f t="shared" si="149"/>
        <v>1</v>
      </c>
    </row>
    <row r="9587" spans="1:4" x14ac:dyDescent="0.3">
      <c r="A9587" s="34">
        <v>62742</v>
      </c>
      <c r="B9587" s="35">
        <v>1</v>
      </c>
      <c r="C9587" s="35">
        <v>0</v>
      </c>
      <c r="D9587" s="2">
        <f t="shared" si="149"/>
        <v>1</v>
      </c>
    </row>
    <row r="9588" spans="1:4" x14ac:dyDescent="0.3">
      <c r="A9588" s="34">
        <v>62745</v>
      </c>
      <c r="B9588" s="35">
        <v>1</v>
      </c>
      <c r="C9588" s="35">
        <v>1</v>
      </c>
      <c r="D9588" s="2">
        <f t="shared" si="149"/>
        <v>2</v>
      </c>
    </row>
    <row r="9589" spans="1:4" x14ac:dyDescent="0.3">
      <c r="A9589" s="34">
        <v>62746</v>
      </c>
      <c r="B9589" s="35">
        <v>1</v>
      </c>
      <c r="C9589" s="35">
        <v>0</v>
      </c>
      <c r="D9589" s="2">
        <f t="shared" si="149"/>
        <v>1</v>
      </c>
    </row>
    <row r="9590" spans="1:4" x14ac:dyDescent="0.3">
      <c r="A9590" s="34">
        <v>62748</v>
      </c>
      <c r="B9590" s="35">
        <v>1</v>
      </c>
      <c r="C9590" s="35">
        <v>0</v>
      </c>
      <c r="D9590" s="2">
        <f t="shared" si="149"/>
        <v>1</v>
      </c>
    </row>
    <row r="9591" spans="1:4" x14ac:dyDescent="0.3">
      <c r="A9591" s="34">
        <v>62751</v>
      </c>
      <c r="B9591" s="35">
        <v>1</v>
      </c>
      <c r="C9591" s="35">
        <v>1</v>
      </c>
      <c r="D9591" s="2">
        <f t="shared" si="149"/>
        <v>2</v>
      </c>
    </row>
    <row r="9592" spans="1:4" x14ac:dyDescent="0.3">
      <c r="A9592" s="34">
        <v>62753</v>
      </c>
      <c r="B9592" s="35">
        <v>1</v>
      </c>
      <c r="C9592" s="35">
        <v>0</v>
      </c>
      <c r="D9592" s="2">
        <f t="shared" si="149"/>
        <v>1</v>
      </c>
    </row>
    <row r="9593" spans="1:4" x14ac:dyDescent="0.3">
      <c r="A9593" s="34">
        <v>62754</v>
      </c>
      <c r="B9593" s="35">
        <v>1</v>
      </c>
      <c r="C9593" s="35">
        <v>0</v>
      </c>
      <c r="D9593" s="2">
        <f t="shared" si="149"/>
        <v>1</v>
      </c>
    </row>
    <row r="9594" spans="1:4" x14ac:dyDescent="0.3">
      <c r="A9594" s="34">
        <v>62756</v>
      </c>
      <c r="B9594" s="35">
        <v>1</v>
      </c>
      <c r="C9594" s="35">
        <v>0</v>
      </c>
      <c r="D9594" s="2">
        <f t="shared" si="149"/>
        <v>1</v>
      </c>
    </row>
    <row r="9595" spans="1:4" x14ac:dyDescent="0.3">
      <c r="A9595" s="34">
        <v>62757</v>
      </c>
      <c r="B9595" s="35">
        <v>1</v>
      </c>
      <c r="C9595" s="35">
        <v>0</v>
      </c>
      <c r="D9595" s="2">
        <f t="shared" si="149"/>
        <v>1</v>
      </c>
    </row>
    <row r="9596" spans="1:4" x14ac:dyDescent="0.3">
      <c r="A9596" s="34">
        <v>62758</v>
      </c>
      <c r="B9596" s="35">
        <v>1</v>
      </c>
      <c r="C9596" s="35">
        <v>0</v>
      </c>
      <c r="D9596" s="2">
        <f t="shared" si="149"/>
        <v>1</v>
      </c>
    </row>
    <row r="9597" spans="1:4" x14ac:dyDescent="0.3">
      <c r="A9597" s="34">
        <v>62760</v>
      </c>
      <c r="B9597" s="35">
        <v>1</v>
      </c>
      <c r="C9597" s="35">
        <v>0</v>
      </c>
      <c r="D9597" s="2">
        <f t="shared" si="149"/>
        <v>1</v>
      </c>
    </row>
    <row r="9598" spans="1:4" x14ac:dyDescent="0.3">
      <c r="A9598" s="34">
        <v>62762</v>
      </c>
      <c r="B9598" s="35">
        <v>1</v>
      </c>
      <c r="C9598" s="35">
        <v>0</v>
      </c>
      <c r="D9598" s="2">
        <f t="shared" si="149"/>
        <v>1</v>
      </c>
    </row>
    <row r="9599" spans="1:4" x14ac:dyDescent="0.3">
      <c r="A9599" s="34">
        <v>62763</v>
      </c>
      <c r="B9599" s="35">
        <v>1</v>
      </c>
      <c r="C9599" s="35">
        <v>1</v>
      </c>
      <c r="D9599" s="2">
        <f t="shared" si="149"/>
        <v>2</v>
      </c>
    </row>
    <row r="9600" spans="1:4" x14ac:dyDescent="0.3">
      <c r="A9600" s="34">
        <v>62764</v>
      </c>
      <c r="B9600" s="35">
        <v>1</v>
      </c>
      <c r="C9600" s="35">
        <v>1</v>
      </c>
      <c r="D9600" s="2">
        <f t="shared" si="149"/>
        <v>2</v>
      </c>
    </row>
    <row r="9601" spans="1:4" x14ac:dyDescent="0.3">
      <c r="A9601" s="34">
        <v>62765</v>
      </c>
      <c r="B9601" s="35">
        <v>1</v>
      </c>
      <c r="C9601" s="35">
        <v>0</v>
      </c>
      <c r="D9601" s="2">
        <f t="shared" si="149"/>
        <v>1</v>
      </c>
    </row>
    <row r="9602" spans="1:4" x14ac:dyDescent="0.3">
      <c r="A9602" s="34">
        <v>62766</v>
      </c>
      <c r="B9602" s="35">
        <v>1</v>
      </c>
      <c r="C9602" s="35">
        <v>0</v>
      </c>
      <c r="D9602" s="2">
        <f t="shared" si="149"/>
        <v>1</v>
      </c>
    </row>
    <row r="9603" spans="1:4" x14ac:dyDescent="0.3">
      <c r="A9603" s="34">
        <v>62767</v>
      </c>
      <c r="B9603" s="35">
        <v>1</v>
      </c>
      <c r="C9603" s="35">
        <v>0</v>
      </c>
      <c r="D9603" s="2">
        <f t="shared" ref="D9603:D9666" si="150">B9603+C9603</f>
        <v>1</v>
      </c>
    </row>
    <row r="9604" spans="1:4" x14ac:dyDescent="0.3">
      <c r="A9604" s="34">
        <v>62768</v>
      </c>
      <c r="B9604" s="35">
        <v>1</v>
      </c>
      <c r="C9604" s="35">
        <v>0</v>
      </c>
      <c r="D9604" s="2">
        <f t="shared" si="150"/>
        <v>1</v>
      </c>
    </row>
    <row r="9605" spans="1:4" x14ac:dyDescent="0.3">
      <c r="A9605" s="34">
        <v>62770</v>
      </c>
      <c r="B9605" s="35">
        <v>1</v>
      </c>
      <c r="C9605" s="35">
        <v>0</v>
      </c>
      <c r="D9605" s="2">
        <f t="shared" si="150"/>
        <v>1</v>
      </c>
    </row>
    <row r="9606" spans="1:4" x14ac:dyDescent="0.3">
      <c r="A9606" s="34">
        <v>62773</v>
      </c>
      <c r="B9606" s="35">
        <v>1</v>
      </c>
      <c r="C9606" s="35">
        <v>0</v>
      </c>
      <c r="D9606" s="2">
        <f t="shared" si="150"/>
        <v>1</v>
      </c>
    </row>
    <row r="9607" spans="1:4" x14ac:dyDescent="0.3">
      <c r="A9607" s="34">
        <v>62774</v>
      </c>
      <c r="B9607" s="35">
        <v>1</v>
      </c>
      <c r="C9607" s="35">
        <v>0</v>
      </c>
      <c r="D9607" s="2">
        <f t="shared" si="150"/>
        <v>1</v>
      </c>
    </row>
    <row r="9608" spans="1:4" x14ac:dyDescent="0.3">
      <c r="A9608" s="34">
        <v>62775</v>
      </c>
      <c r="B9608" s="35">
        <v>1</v>
      </c>
      <c r="C9608" s="35">
        <v>0</v>
      </c>
      <c r="D9608" s="2">
        <f t="shared" si="150"/>
        <v>1</v>
      </c>
    </row>
    <row r="9609" spans="1:4" x14ac:dyDescent="0.3">
      <c r="A9609" s="34">
        <v>62776</v>
      </c>
      <c r="B9609" s="35">
        <v>2</v>
      </c>
      <c r="C9609" s="35">
        <v>1</v>
      </c>
      <c r="D9609" s="2">
        <f t="shared" si="150"/>
        <v>3</v>
      </c>
    </row>
    <row r="9610" spans="1:4" x14ac:dyDescent="0.3">
      <c r="A9610" s="34">
        <v>62780</v>
      </c>
      <c r="B9610" s="35">
        <v>1</v>
      </c>
      <c r="C9610" s="35">
        <v>0</v>
      </c>
      <c r="D9610" s="2">
        <f t="shared" si="150"/>
        <v>1</v>
      </c>
    </row>
    <row r="9611" spans="1:4" x14ac:dyDescent="0.3">
      <c r="A9611" s="34">
        <v>62787</v>
      </c>
      <c r="B9611" s="35">
        <v>2</v>
      </c>
      <c r="C9611" s="35">
        <v>0</v>
      </c>
      <c r="D9611" s="2">
        <f t="shared" si="150"/>
        <v>2</v>
      </c>
    </row>
    <row r="9612" spans="1:4" x14ac:dyDescent="0.3">
      <c r="A9612" s="34">
        <v>62788</v>
      </c>
      <c r="B9612" s="35">
        <v>1</v>
      </c>
      <c r="C9612" s="35">
        <v>0</v>
      </c>
      <c r="D9612" s="2">
        <f t="shared" si="150"/>
        <v>1</v>
      </c>
    </row>
    <row r="9613" spans="1:4" x14ac:dyDescent="0.3">
      <c r="A9613" s="34">
        <v>62789</v>
      </c>
      <c r="B9613" s="35">
        <v>1</v>
      </c>
      <c r="C9613" s="35">
        <v>0</v>
      </c>
      <c r="D9613" s="2">
        <f t="shared" si="150"/>
        <v>1</v>
      </c>
    </row>
    <row r="9614" spans="1:4" x14ac:dyDescent="0.3">
      <c r="A9614" s="34">
        <v>62790</v>
      </c>
      <c r="B9614" s="35">
        <v>1</v>
      </c>
      <c r="C9614" s="35">
        <v>0</v>
      </c>
      <c r="D9614" s="2">
        <f t="shared" si="150"/>
        <v>1</v>
      </c>
    </row>
    <row r="9615" spans="1:4" x14ac:dyDescent="0.3">
      <c r="A9615" s="34">
        <v>62794</v>
      </c>
      <c r="B9615" s="35">
        <v>1</v>
      </c>
      <c r="C9615" s="35">
        <v>0</v>
      </c>
      <c r="D9615" s="2">
        <f t="shared" si="150"/>
        <v>1</v>
      </c>
    </row>
    <row r="9616" spans="1:4" x14ac:dyDescent="0.3">
      <c r="A9616" s="34">
        <v>62819</v>
      </c>
      <c r="B9616" s="35">
        <v>1</v>
      </c>
      <c r="C9616" s="35">
        <v>0</v>
      </c>
      <c r="D9616" s="2">
        <f t="shared" si="150"/>
        <v>1</v>
      </c>
    </row>
    <row r="9617" spans="1:4" x14ac:dyDescent="0.3">
      <c r="A9617" s="34">
        <v>62820</v>
      </c>
      <c r="B9617" s="35">
        <v>1</v>
      </c>
      <c r="C9617" s="35">
        <v>1</v>
      </c>
      <c r="D9617" s="2">
        <f t="shared" si="150"/>
        <v>2</v>
      </c>
    </row>
    <row r="9618" spans="1:4" x14ac:dyDescent="0.3">
      <c r="A9618" s="34">
        <v>62822</v>
      </c>
      <c r="B9618" s="35">
        <v>1</v>
      </c>
      <c r="C9618" s="35">
        <v>0</v>
      </c>
      <c r="D9618" s="2">
        <f t="shared" si="150"/>
        <v>1</v>
      </c>
    </row>
    <row r="9619" spans="1:4" x14ac:dyDescent="0.3">
      <c r="A9619" s="34">
        <v>62823</v>
      </c>
      <c r="B9619" s="35">
        <v>1</v>
      </c>
      <c r="C9619" s="35">
        <v>0</v>
      </c>
      <c r="D9619" s="2">
        <f t="shared" si="150"/>
        <v>1</v>
      </c>
    </row>
    <row r="9620" spans="1:4" x14ac:dyDescent="0.3">
      <c r="A9620" s="34">
        <v>62825</v>
      </c>
      <c r="B9620" s="35">
        <v>1</v>
      </c>
      <c r="C9620" s="35">
        <v>0</v>
      </c>
      <c r="D9620" s="2">
        <f t="shared" si="150"/>
        <v>1</v>
      </c>
    </row>
    <row r="9621" spans="1:4" x14ac:dyDescent="0.3">
      <c r="A9621" s="34">
        <v>62827</v>
      </c>
      <c r="B9621" s="35">
        <v>1</v>
      </c>
      <c r="C9621" s="35">
        <v>0</v>
      </c>
      <c r="D9621" s="2">
        <f t="shared" si="150"/>
        <v>1</v>
      </c>
    </row>
    <row r="9622" spans="1:4" x14ac:dyDescent="0.3">
      <c r="A9622" s="34">
        <v>62828</v>
      </c>
      <c r="B9622" s="35">
        <v>1</v>
      </c>
      <c r="C9622" s="35">
        <v>0</v>
      </c>
      <c r="D9622" s="2">
        <f t="shared" si="150"/>
        <v>1</v>
      </c>
    </row>
    <row r="9623" spans="1:4" x14ac:dyDescent="0.3">
      <c r="A9623" s="34">
        <v>62830</v>
      </c>
      <c r="B9623" s="35">
        <v>1</v>
      </c>
      <c r="C9623" s="35">
        <v>0</v>
      </c>
      <c r="D9623" s="2">
        <f t="shared" si="150"/>
        <v>1</v>
      </c>
    </row>
    <row r="9624" spans="1:4" x14ac:dyDescent="0.3">
      <c r="A9624" s="34">
        <v>62837</v>
      </c>
      <c r="B9624" s="35">
        <v>1</v>
      </c>
      <c r="C9624" s="35">
        <v>0</v>
      </c>
      <c r="D9624" s="2">
        <f t="shared" si="150"/>
        <v>1</v>
      </c>
    </row>
    <row r="9625" spans="1:4" x14ac:dyDescent="0.3">
      <c r="A9625" s="34">
        <v>62838</v>
      </c>
      <c r="B9625" s="35">
        <v>1</v>
      </c>
      <c r="C9625" s="35">
        <v>1</v>
      </c>
      <c r="D9625" s="2">
        <f t="shared" si="150"/>
        <v>2</v>
      </c>
    </row>
    <row r="9626" spans="1:4" x14ac:dyDescent="0.3">
      <c r="A9626" s="34">
        <v>62841</v>
      </c>
      <c r="B9626" s="35">
        <v>1</v>
      </c>
      <c r="C9626" s="35">
        <v>0</v>
      </c>
      <c r="D9626" s="2">
        <f t="shared" si="150"/>
        <v>1</v>
      </c>
    </row>
    <row r="9627" spans="1:4" x14ac:dyDescent="0.3">
      <c r="A9627" s="34">
        <v>62842</v>
      </c>
      <c r="B9627" s="35">
        <v>1</v>
      </c>
      <c r="C9627" s="35">
        <v>0</v>
      </c>
      <c r="D9627" s="2">
        <f t="shared" si="150"/>
        <v>1</v>
      </c>
    </row>
    <row r="9628" spans="1:4" x14ac:dyDescent="0.3">
      <c r="A9628" s="34">
        <v>62843</v>
      </c>
      <c r="B9628" s="35">
        <v>1</v>
      </c>
      <c r="C9628" s="35">
        <v>0</v>
      </c>
      <c r="D9628" s="2">
        <f t="shared" si="150"/>
        <v>1</v>
      </c>
    </row>
    <row r="9629" spans="1:4" x14ac:dyDescent="0.3">
      <c r="A9629" s="34">
        <v>62844</v>
      </c>
      <c r="B9629" s="35">
        <v>1</v>
      </c>
      <c r="C9629" s="35">
        <v>0</v>
      </c>
      <c r="D9629" s="2">
        <f t="shared" si="150"/>
        <v>1</v>
      </c>
    </row>
    <row r="9630" spans="1:4" x14ac:dyDescent="0.3">
      <c r="A9630" s="34">
        <v>62845</v>
      </c>
      <c r="B9630" s="35">
        <v>1</v>
      </c>
      <c r="C9630" s="35">
        <v>1</v>
      </c>
      <c r="D9630" s="2">
        <f t="shared" si="150"/>
        <v>2</v>
      </c>
    </row>
    <row r="9631" spans="1:4" x14ac:dyDescent="0.3">
      <c r="A9631" s="34">
        <v>62853</v>
      </c>
      <c r="B9631" s="35">
        <v>1</v>
      </c>
      <c r="C9631" s="35">
        <v>0</v>
      </c>
      <c r="D9631" s="2">
        <f t="shared" si="150"/>
        <v>1</v>
      </c>
    </row>
    <row r="9632" spans="1:4" x14ac:dyDescent="0.3">
      <c r="A9632" s="34">
        <v>62855</v>
      </c>
      <c r="B9632" s="35">
        <v>1</v>
      </c>
      <c r="C9632" s="35">
        <v>0</v>
      </c>
      <c r="D9632" s="2">
        <f t="shared" si="150"/>
        <v>1</v>
      </c>
    </row>
    <row r="9633" spans="1:4" x14ac:dyDescent="0.3">
      <c r="A9633" s="34">
        <v>62873</v>
      </c>
      <c r="B9633" s="35">
        <v>1</v>
      </c>
      <c r="C9633" s="35">
        <v>0</v>
      </c>
      <c r="D9633" s="2">
        <f t="shared" si="150"/>
        <v>1</v>
      </c>
    </row>
    <row r="9634" spans="1:4" x14ac:dyDescent="0.3">
      <c r="A9634" s="34">
        <v>62876</v>
      </c>
      <c r="B9634" s="35">
        <v>1</v>
      </c>
      <c r="C9634" s="35">
        <v>0</v>
      </c>
      <c r="D9634" s="2">
        <f t="shared" si="150"/>
        <v>1</v>
      </c>
    </row>
    <row r="9635" spans="1:4" x14ac:dyDescent="0.3">
      <c r="A9635" s="34">
        <v>62877</v>
      </c>
      <c r="B9635" s="35">
        <v>1</v>
      </c>
      <c r="C9635" s="35">
        <v>1</v>
      </c>
      <c r="D9635" s="2">
        <f t="shared" si="150"/>
        <v>2</v>
      </c>
    </row>
    <row r="9636" spans="1:4" x14ac:dyDescent="0.3">
      <c r="A9636" s="34">
        <v>62878</v>
      </c>
      <c r="B9636" s="35">
        <v>1</v>
      </c>
      <c r="C9636" s="35">
        <v>0</v>
      </c>
      <c r="D9636" s="2">
        <f t="shared" si="150"/>
        <v>1</v>
      </c>
    </row>
    <row r="9637" spans="1:4" x14ac:dyDescent="0.3">
      <c r="A9637" s="34">
        <v>62882</v>
      </c>
      <c r="B9637" s="35">
        <v>1</v>
      </c>
      <c r="C9637" s="35">
        <v>0</v>
      </c>
      <c r="D9637" s="2">
        <f t="shared" si="150"/>
        <v>1</v>
      </c>
    </row>
    <row r="9638" spans="1:4" x14ac:dyDescent="0.3">
      <c r="A9638" s="34">
        <v>62883</v>
      </c>
      <c r="B9638" s="35">
        <v>1</v>
      </c>
      <c r="C9638" s="35">
        <v>0</v>
      </c>
      <c r="D9638" s="2">
        <f t="shared" si="150"/>
        <v>1</v>
      </c>
    </row>
    <row r="9639" spans="1:4" x14ac:dyDescent="0.3">
      <c r="A9639" s="34">
        <v>62887</v>
      </c>
      <c r="B9639" s="35">
        <v>1</v>
      </c>
      <c r="C9639" s="35">
        <v>0</v>
      </c>
      <c r="D9639" s="2">
        <f t="shared" si="150"/>
        <v>1</v>
      </c>
    </row>
    <row r="9640" spans="1:4" x14ac:dyDescent="0.3">
      <c r="A9640" s="34">
        <v>62889</v>
      </c>
      <c r="B9640" s="35">
        <v>1</v>
      </c>
      <c r="C9640" s="35">
        <v>0</v>
      </c>
      <c r="D9640" s="2">
        <f t="shared" si="150"/>
        <v>1</v>
      </c>
    </row>
    <row r="9641" spans="1:4" x14ac:dyDescent="0.3">
      <c r="A9641" s="34">
        <v>62890</v>
      </c>
      <c r="B9641" s="35">
        <v>1</v>
      </c>
      <c r="C9641" s="35">
        <v>1</v>
      </c>
      <c r="D9641" s="2">
        <f t="shared" si="150"/>
        <v>2</v>
      </c>
    </row>
    <row r="9642" spans="1:4" x14ac:dyDescent="0.3">
      <c r="A9642" s="34">
        <v>62891</v>
      </c>
      <c r="B9642" s="35">
        <v>1</v>
      </c>
      <c r="C9642" s="35">
        <v>0</v>
      </c>
      <c r="D9642" s="2">
        <f t="shared" si="150"/>
        <v>1</v>
      </c>
    </row>
    <row r="9643" spans="1:4" x14ac:dyDescent="0.3">
      <c r="A9643" s="34">
        <v>62892</v>
      </c>
      <c r="B9643" s="35">
        <v>1</v>
      </c>
      <c r="C9643" s="35">
        <v>0</v>
      </c>
      <c r="D9643" s="2">
        <f t="shared" si="150"/>
        <v>1</v>
      </c>
    </row>
    <row r="9644" spans="1:4" x14ac:dyDescent="0.3">
      <c r="A9644" s="34">
        <v>62893</v>
      </c>
      <c r="B9644" s="35">
        <v>1</v>
      </c>
      <c r="C9644" s="35">
        <v>0</v>
      </c>
      <c r="D9644" s="2">
        <f t="shared" si="150"/>
        <v>1</v>
      </c>
    </row>
    <row r="9645" spans="1:4" x14ac:dyDescent="0.3">
      <c r="A9645" s="34">
        <v>62894</v>
      </c>
      <c r="B9645" s="35">
        <v>1</v>
      </c>
      <c r="C9645" s="35">
        <v>0</v>
      </c>
      <c r="D9645" s="2">
        <f t="shared" si="150"/>
        <v>1</v>
      </c>
    </row>
    <row r="9646" spans="1:4" x14ac:dyDescent="0.3">
      <c r="A9646" s="34">
        <v>62895</v>
      </c>
      <c r="B9646" s="35">
        <v>1</v>
      </c>
      <c r="C9646" s="35">
        <v>0</v>
      </c>
      <c r="D9646" s="2">
        <f t="shared" si="150"/>
        <v>1</v>
      </c>
    </row>
    <row r="9647" spans="1:4" x14ac:dyDescent="0.3">
      <c r="A9647" s="34">
        <v>62896</v>
      </c>
      <c r="B9647" s="35">
        <v>1</v>
      </c>
      <c r="C9647" s="35">
        <v>0</v>
      </c>
      <c r="D9647" s="2">
        <f t="shared" si="150"/>
        <v>1</v>
      </c>
    </row>
    <row r="9648" spans="1:4" x14ac:dyDescent="0.3">
      <c r="A9648" s="34">
        <v>62904</v>
      </c>
      <c r="B9648" s="35">
        <v>1</v>
      </c>
      <c r="C9648" s="35">
        <v>0</v>
      </c>
      <c r="D9648" s="2">
        <f t="shared" si="150"/>
        <v>1</v>
      </c>
    </row>
    <row r="9649" spans="1:4" x14ac:dyDescent="0.3">
      <c r="A9649" s="34">
        <v>62911</v>
      </c>
      <c r="B9649" s="35">
        <v>1</v>
      </c>
      <c r="C9649" s="35">
        <v>0</v>
      </c>
      <c r="D9649" s="2">
        <f t="shared" si="150"/>
        <v>1</v>
      </c>
    </row>
    <row r="9650" spans="1:4" x14ac:dyDescent="0.3">
      <c r="A9650" s="34">
        <v>62914</v>
      </c>
      <c r="B9650" s="35">
        <v>1</v>
      </c>
      <c r="C9650" s="35">
        <v>0</v>
      </c>
      <c r="D9650" s="2">
        <f t="shared" si="150"/>
        <v>1</v>
      </c>
    </row>
    <row r="9651" spans="1:4" x14ac:dyDescent="0.3">
      <c r="A9651" s="34">
        <v>62915</v>
      </c>
      <c r="B9651" s="35">
        <v>1</v>
      </c>
      <c r="C9651" s="35">
        <v>0</v>
      </c>
      <c r="D9651" s="2">
        <f t="shared" si="150"/>
        <v>1</v>
      </c>
    </row>
    <row r="9652" spans="1:4" x14ac:dyDescent="0.3">
      <c r="A9652" s="34">
        <v>62916</v>
      </c>
      <c r="B9652" s="35">
        <v>1</v>
      </c>
      <c r="C9652" s="35">
        <v>0</v>
      </c>
      <c r="D9652" s="2">
        <f t="shared" si="150"/>
        <v>1</v>
      </c>
    </row>
    <row r="9653" spans="1:4" x14ac:dyDescent="0.3">
      <c r="A9653" s="34">
        <v>62918</v>
      </c>
      <c r="B9653" s="35">
        <v>1</v>
      </c>
      <c r="C9653" s="35">
        <v>0</v>
      </c>
      <c r="D9653" s="2">
        <f t="shared" si="150"/>
        <v>1</v>
      </c>
    </row>
    <row r="9654" spans="1:4" x14ac:dyDescent="0.3">
      <c r="A9654" s="34">
        <v>62919</v>
      </c>
      <c r="B9654" s="35">
        <v>1</v>
      </c>
      <c r="C9654" s="35">
        <v>0</v>
      </c>
      <c r="D9654" s="2">
        <f t="shared" si="150"/>
        <v>1</v>
      </c>
    </row>
    <row r="9655" spans="1:4" x14ac:dyDescent="0.3">
      <c r="A9655" s="34">
        <v>62938</v>
      </c>
      <c r="B9655" s="35">
        <v>1</v>
      </c>
      <c r="C9655" s="35">
        <v>0</v>
      </c>
      <c r="D9655" s="2">
        <f t="shared" si="150"/>
        <v>1</v>
      </c>
    </row>
    <row r="9656" spans="1:4" x14ac:dyDescent="0.3">
      <c r="A9656" s="34">
        <v>62940</v>
      </c>
      <c r="B9656" s="35">
        <v>1</v>
      </c>
      <c r="C9656" s="35">
        <v>0</v>
      </c>
      <c r="D9656" s="2">
        <f t="shared" si="150"/>
        <v>1</v>
      </c>
    </row>
    <row r="9657" spans="1:4" x14ac:dyDescent="0.3">
      <c r="A9657" s="34">
        <v>62941</v>
      </c>
      <c r="B9657" s="35">
        <v>1</v>
      </c>
      <c r="C9657" s="35">
        <v>0</v>
      </c>
      <c r="D9657" s="2">
        <f t="shared" si="150"/>
        <v>1</v>
      </c>
    </row>
    <row r="9658" spans="1:4" x14ac:dyDescent="0.3">
      <c r="A9658" s="34">
        <v>62944</v>
      </c>
      <c r="B9658" s="35">
        <v>1</v>
      </c>
      <c r="C9658" s="35">
        <v>0</v>
      </c>
      <c r="D9658" s="2">
        <f t="shared" si="150"/>
        <v>1</v>
      </c>
    </row>
    <row r="9659" spans="1:4" x14ac:dyDescent="0.3">
      <c r="A9659" s="34">
        <v>62950</v>
      </c>
      <c r="B9659" s="35">
        <v>1</v>
      </c>
      <c r="C9659" s="35">
        <v>0</v>
      </c>
      <c r="D9659" s="2">
        <f t="shared" si="150"/>
        <v>1</v>
      </c>
    </row>
    <row r="9660" spans="1:4" x14ac:dyDescent="0.3">
      <c r="A9660" s="34">
        <v>62952</v>
      </c>
      <c r="B9660" s="35">
        <v>1</v>
      </c>
      <c r="C9660" s="35">
        <v>0</v>
      </c>
      <c r="D9660" s="2">
        <f t="shared" si="150"/>
        <v>1</v>
      </c>
    </row>
    <row r="9661" spans="1:4" x14ac:dyDescent="0.3">
      <c r="A9661" s="34">
        <v>62953</v>
      </c>
      <c r="B9661" s="35">
        <v>1</v>
      </c>
      <c r="C9661" s="35">
        <v>0</v>
      </c>
      <c r="D9661" s="2">
        <f t="shared" si="150"/>
        <v>1</v>
      </c>
    </row>
    <row r="9662" spans="1:4" x14ac:dyDescent="0.3">
      <c r="A9662" s="34">
        <v>62954</v>
      </c>
      <c r="B9662" s="35">
        <v>1</v>
      </c>
      <c r="C9662" s="35">
        <v>0</v>
      </c>
      <c r="D9662" s="2">
        <f t="shared" si="150"/>
        <v>1</v>
      </c>
    </row>
    <row r="9663" spans="1:4" x14ac:dyDescent="0.3">
      <c r="A9663" s="34">
        <v>62963</v>
      </c>
      <c r="B9663" s="35">
        <v>1</v>
      </c>
      <c r="C9663" s="35">
        <v>1</v>
      </c>
      <c r="D9663" s="2">
        <f t="shared" si="150"/>
        <v>2</v>
      </c>
    </row>
    <row r="9664" spans="1:4" x14ac:dyDescent="0.3">
      <c r="A9664" s="34">
        <v>62964</v>
      </c>
      <c r="B9664" s="35">
        <v>1</v>
      </c>
      <c r="C9664" s="35">
        <v>1</v>
      </c>
      <c r="D9664" s="2">
        <f t="shared" si="150"/>
        <v>2</v>
      </c>
    </row>
    <row r="9665" spans="1:4" x14ac:dyDescent="0.3">
      <c r="A9665" s="34">
        <v>62965</v>
      </c>
      <c r="B9665" s="35">
        <v>1</v>
      </c>
      <c r="C9665" s="35">
        <v>0</v>
      </c>
      <c r="D9665" s="2">
        <f t="shared" si="150"/>
        <v>1</v>
      </c>
    </row>
    <row r="9666" spans="1:4" x14ac:dyDescent="0.3">
      <c r="A9666" s="34">
        <v>62978</v>
      </c>
      <c r="B9666" s="35">
        <v>1</v>
      </c>
      <c r="C9666" s="35">
        <v>0</v>
      </c>
      <c r="D9666" s="2">
        <f t="shared" si="150"/>
        <v>1</v>
      </c>
    </row>
    <row r="9667" spans="1:4" x14ac:dyDescent="0.3">
      <c r="A9667" s="34">
        <v>62980</v>
      </c>
      <c r="B9667" s="35">
        <v>1</v>
      </c>
      <c r="C9667" s="35">
        <v>1</v>
      </c>
      <c r="D9667" s="2">
        <f t="shared" ref="D9667:D9730" si="151">B9667+C9667</f>
        <v>2</v>
      </c>
    </row>
    <row r="9668" spans="1:4" x14ac:dyDescent="0.3">
      <c r="A9668" s="34">
        <v>62982</v>
      </c>
      <c r="B9668" s="35">
        <v>1</v>
      </c>
      <c r="C9668" s="35">
        <v>0</v>
      </c>
      <c r="D9668" s="2">
        <f t="shared" si="151"/>
        <v>1</v>
      </c>
    </row>
    <row r="9669" spans="1:4" x14ac:dyDescent="0.3">
      <c r="A9669" s="34">
        <v>62984</v>
      </c>
      <c r="B9669" s="35">
        <v>1</v>
      </c>
      <c r="C9669" s="35">
        <v>0</v>
      </c>
      <c r="D9669" s="2">
        <f t="shared" si="151"/>
        <v>1</v>
      </c>
    </row>
    <row r="9670" spans="1:4" x14ac:dyDescent="0.3">
      <c r="A9670" s="34">
        <v>62986</v>
      </c>
      <c r="B9670" s="35">
        <v>1</v>
      </c>
      <c r="C9670" s="35">
        <v>0</v>
      </c>
      <c r="D9670" s="2">
        <f t="shared" si="151"/>
        <v>1</v>
      </c>
    </row>
    <row r="9671" spans="1:4" x14ac:dyDescent="0.3">
      <c r="A9671" s="34">
        <v>62987</v>
      </c>
      <c r="B9671" s="35">
        <v>1</v>
      </c>
      <c r="C9671" s="35">
        <v>0</v>
      </c>
      <c r="D9671" s="2">
        <f t="shared" si="151"/>
        <v>1</v>
      </c>
    </row>
    <row r="9672" spans="1:4" x14ac:dyDescent="0.3">
      <c r="A9672" s="34">
        <v>62988</v>
      </c>
      <c r="B9672" s="35">
        <v>1</v>
      </c>
      <c r="C9672" s="35">
        <v>0</v>
      </c>
      <c r="D9672" s="2">
        <f t="shared" si="151"/>
        <v>1</v>
      </c>
    </row>
    <row r="9673" spans="1:4" x14ac:dyDescent="0.3">
      <c r="A9673" s="34">
        <v>62989</v>
      </c>
      <c r="B9673" s="35">
        <v>1</v>
      </c>
      <c r="C9673" s="35">
        <v>0</v>
      </c>
      <c r="D9673" s="2">
        <f t="shared" si="151"/>
        <v>1</v>
      </c>
    </row>
    <row r="9674" spans="1:4" x14ac:dyDescent="0.3">
      <c r="A9674" s="34">
        <v>62990</v>
      </c>
      <c r="B9674" s="35">
        <v>1</v>
      </c>
      <c r="C9674" s="35">
        <v>0</v>
      </c>
      <c r="D9674" s="2">
        <f t="shared" si="151"/>
        <v>1</v>
      </c>
    </row>
    <row r="9675" spans="1:4" x14ac:dyDescent="0.3">
      <c r="A9675" s="34">
        <v>62998</v>
      </c>
      <c r="B9675" s="35">
        <v>1</v>
      </c>
      <c r="C9675" s="35">
        <v>1</v>
      </c>
      <c r="D9675" s="2">
        <f t="shared" si="151"/>
        <v>2</v>
      </c>
    </row>
    <row r="9676" spans="1:4" x14ac:dyDescent="0.3">
      <c r="A9676" s="34">
        <v>63000</v>
      </c>
      <c r="B9676" s="35">
        <v>1</v>
      </c>
      <c r="C9676" s="35">
        <v>0</v>
      </c>
      <c r="D9676" s="2">
        <f t="shared" si="151"/>
        <v>1</v>
      </c>
    </row>
    <row r="9677" spans="1:4" x14ac:dyDescent="0.3">
      <c r="A9677" s="34">
        <v>63001</v>
      </c>
      <c r="B9677" s="35">
        <v>1</v>
      </c>
      <c r="C9677" s="35">
        <v>0</v>
      </c>
      <c r="D9677" s="2">
        <f t="shared" si="151"/>
        <v>1</v>
      </c>
    </row>
    <row r="9678" spans="1:4" x14ac:dyDescent="0.3">
      <c r="A9678" s="34">
        <v>63002</v>
      </c>
      <c r="B9678" s="35">
        <v>1</v>
      </c>
      <c r="C9678" s="35">
        <v>0</v>
      </c>
      <c r="D9678" s="2">
        <f t="shared" si="151"/>
        <v>1</v>
      </c>
    </row>
    <row r="9679" spans="1:4" x14ac:dyDescent="0.3">
      <c r="A9679" s="34">
        <v>63003</v>
      </c>
      <c r="B9679" s="35">
        <v>3</v>
      </c>
      <c r="C9679" s="35">
        <v>0</v>
      </c>
      <c r="D9679" s="2">
        <f t="shared" si="151"/>
        <v>3</v>
      </c>
    </row>
    <row r="9680" spans="1:4" x14ac:dyDescent="0.3">
      <c r="A9680" s="34">
        <v>63006</v>
      </c>
      <c r="B9680" s="35">
        <v>1</v>
      </c>
      <c r="C9680" s="35">
        <v>0</v>
      </c>
      <c r="D9680" s="2">
        <f t="shared" si="151"/>
        <v>1</v>
      </c>
    </row>
    <row r="9681" spans="1:4" x14ac:dyDescent="0.3">
      <c r="A9681" s="34">
        <v>63009</v>
      </c>
      <c r="B9681" s="35">
        <v>1</v>
      </c>
      <c r="C9681" s="35">
        <v>0</v>
      </c>
      <c r="D9681" s="2">
        <f t="shared" si="151"/>
        <v>1</v>
      </c>
    </row>
    <row r="9682" spans="1:4" x14ac:dyDescent="0.3">
      <c r="A9682" s="34">
        <v>63013</v>
      </c>
      <c r="B9682" s="35">
        <v>1</v>
      </c>
      <c r="C9682" s="35">
        <v>0</v>
      </c>
      <c r="D9682" s="2">
        <f t="shared" si="151"/>
        <v>1</v>
      </c>
    </row>
    <row r="9683" spans="1:4" x14ac:dyDescent="0.3">
      <c r="A9683" s="34">
        <v>63014</v>
      </c>
      <c r="B9683" s="35">
        <v>1</v>
      </c>
      <c r="C9683" s="35">
        <v>1</v>
      </c>
      <c r="D9683" s="2">
        <f t="shared" si="151"/>
        <v>2</v>
      </c>
    </row>
    <row r="9684" spans="1:4" x14ac:dyDescent="0.3">
      <c r="A9684" s="34">
        <v>63015</v>
      </c>
      <c r="B9684" s="35">
        <v>1</v>
      </c>
      <c r="C9684" s="35">
        <v>0</v>
      </c>
      <c r="D9684" s="2">
        <f t="shared" si="151"/>
        <v>1</v>
      </c>
    </row>
    <row r="9685" spans="1:4" x14ac:dyDescent="0.3">
      <c r="A9685" s="34">
        <v>63016</v>
      </c>
      <c r="B9685" s="35">
        <v>1</v>
      </c>
      <c r="C9685" s="35">
        <v>1</v>
      </c>
      <c r="D9685" s="2">
        <f t="shared" si="151"/>
        <v>2</v>
      </c>
    </row>
    <row r="9686" spans="1:4" x14ac:dyDescent="0.3">
      <c r="A9686" s="34">
        <v>63019</v>
      </c>
      <c r="B9686" s="35">
        <v>1</v>
      </c>
      <c r="C9686" s="35">
        <v>0</v>
      </c>
      <c r="D9686" s="2">
        <f t="shared" si="151"/>
        <v>1</v>
      </c>
    </row>
    <row r="9687" spans="1:4" x14ac:dyDescent="0.3">
      <c r="A9687" s="34">
        <v>63022</v>
      </c>
      <c r="B9687" s="35">
        <v>1</v>
      </c>
      <c r="C9687" s="35">
        <v>0</v>
      </c>
      <c r="D9687" s="2">
        <f t="shared" si="151"/>
        <v>1</v>
      </c>
    </row>
    <row r="9688" spans="1:4" x14ac:dyDescent="0.3">
      <c r="A9688" s="34">
        <v>63023</v>
      </c>
      <c r="B9688" s="35">
        <v>4</v>
      </c>
      <c r="C9688" s="35">
        <v>3</v>
      </c>
      <c r="D9688" s="2">
        <f t="shared" si="151"/>
        <v>7</v>
      </c>
    </row>
    <row r="9689" spans="1:4" x14ac:dyDescent="0.3">
      <c r="A9689" s="34">
        <v>63024</v>
      </c>
      <c r="B9689" s="35">
        <v>1</v>
      </c>
      <c r="C9689" s="35">
        <v>1</v>
      </c>
      <c r="D9689" s="2">
        <f t="shared" si="151"/>
        <v>2</v>
      </c>
    </row>
    <row r="9690" spans="1:4" x14ac:dyDescent="0.3">
      <c r="A9690" s="34">
        <v>63025</v>
      </c>
      <c r="B9690" s="35">
        <v>1</v>
      </c>
      <c r="C9690" s="35">
        <v>0</v>
      </c>
      <c r="D9690" s="2">
        <f t="shared" si="151"/>
        <v>1</v>
      </c>
    </row>
    <row r="9691" spans="1:4" x14ac:dyDescent="0.3">
      <c r="A9691" s="34">
        <v>63028</v>
      </c>
      <c r="B9691" s="35">
        <v>1</v>
      </c>
      <c r="C9691" s="35">
        <v>0</v>
      </c>
      <c r="D9691" s="2">
        <f t="shared" si="151"/>
        <v>1</v>
      </c>
    </row>
    <row r="9692" spans="1:4" x14ac:dyDescent="0.3">
      <c r="A9692" s="34">
        <v>63031</v>
      </c>
      <c r="B9692" s="35">
        <v>1</v>
      </c>
      <c r="C9692" s="35">
        <v>0</v>
      </c>
      <c r="D9692" s="2">
        <f t="shared" si="151"/>
        <v>1</v>
      </c>
    </row>
    <row r="9693" spans="1:4" x14ac:dyDescent="0.3">
      <c r="A9693" s="34">
        <v>63032</v>
      </c>
      <c r="B9693" s="35">
        <v>1</v>
      </c>
      <c r="C9693" s="35">
        <v>0</v>
      </c>
      <c r="D9693" s="2">
        <f t="shared" si="151"/>
        <v>1</v>
      </c>
    </row>
    <row r="9694" spans="1:4" x14ac:dyDescent="0.3">
      <c r="A9694" s="34">
        <v>63039</v>
      </c>
      <c r="B9694" s="35">
        <v>1</v>
      </c>
      <c r="C9694" s="35">
        <v>0</v>
      </c>
      <c r="D9694" s="2">
        <f t="shared" si="151"/>
        <v>1</v>
      </c>
    </row>
    <row r="9695" spans="1:4" x14ac:dyDescent="0.3">
      <c r="A9695" s="34">
        <v>63040</v>
      </c>
      <c r="B9695" s="35">
        <v>1</v>
      </c>
      <c r="C9695" s="35">
        <v>0</v>
      </c>
      <c r="D9695" s="2">
        <f t="shared" si="151"/>
        <v>1</v>
      </c>
    </row>
    <row r="9696" spans="1:4" x14ac:dyDescent="0.3">
      <c r="A9696" s="34">
        <v>63047</v>
      </c>
      <c r="B9696" s="35">
        <v>1</v>
      </c>
      <c r="C9696" s="35">
        <v>1</v>
      </c>
      <c r="D9696" s="2">
        <f t="shared" si="151"/>
        <v>2</v>
      </c>
    </row>
    <row r="9697" spans="1:4" x14ac:dyDescent="0.3">
      <c r="A9697" s="34">
        <v>63048</v>
      </c>
      <c r="B9697" s="35">
        <v>1</v>
      </c>
      <c r="C9697" s="35">
        <v>0</v>
      </c>
      <c r="D9697" s="2">
        <f t="shared" si="151"/>
        <v>1</v>
      </c>
    </row>
    <row r="9698" spans="1:4" x14ac:dyDescent="0.3">
      <c r="A9698" s="34">
        <v>63050</v>
      </c>
      <c r="B9698" s="35">
        <v>1</v>
      </c>
      <c r="C9698" s="35">
        <v>1</v>
      </c>
      <c r="D9698" s="2">
        <f t="shared" si="151"/>
        <v>2</v>
      </c>
    </row>
    <row r="9699" spans="1:4" x14ac:dyDescent="0.3">
      <c r="A9699" s="34">
        <v>63052</v>
      </c>
      <c r="B9699" s="35">
        <v>1</v>
      </c>
      <c r="C9699" s="35">
        <v>0</v>
      </c>
      <c r="D9699" s="2">
        <f t="shared" si="151"/>
        <v>1</v>
      </c>
    </row>
    <row r="9700" spans="1:4" x14ac:dyDescent="0.3">
      <c r="A9700" s="34">
        <v>63053</v>
      </c>
      <c r="B9700" s="35">
        <v>1</v>
      </c>
      <c r="C9700" s="35">
        <v>0</v>
      </c>
      <c r="D9700" s="2">
        <f t="shared" si="151"/>
        <v>1</v>
      </c>
    </row>
    <row r="9701" spans="1:4" x14ac:dyDescent="0.3">
      <c r="A9701" s="34">
        <v>63061</v>
      </c>
      <c r="B9701" s="35">
        <v>1</v>
      </c>
      <c r="C9701" s="35">
        <v>0</v>
      </c>
      <c r="D9701" s="2">
        <f t="shared" si="151"/>
        <v>1</v>
      </c>
    </row>
    <row r="9702" spans="1:4" x14ac:dyDescent="0.3">
      <c r="A9702" s="34">
        <v>63073</v>
      </c>
      <c r="B9702" s="35">
        <v>2</v>
      </c>
      <c r="C9702" s="35">
        <v>2</v>
      </c>
      <c r="D9702" s="2">
        <f t="shared" si="151"/>
        <v>4</v>
      </c>
    </row>
    <row r="9703" spans="1:4" x14ac:dyDescent="0.3">
      <c r="A9703" s="34">
        <v>63074</v>
      </c>
      <c r="B9703" s="35">
        <v>1</v>
      </c>
      <c r="C9703" s="35">
        <v>0</v>
      </c>
      <c r="D9703" s="2">
        <f t="shared" si="151"/>
        <v>1</v>
      </c>
    </row>
    <row r="9704" spans="1:4" x14ac:dyDescent="0.3">
      <c r="A9704" s="34">
        <v>63075</v>
      </c>
      <c r="B9704" s="35">
        <v>1</v>
      </c>
      <c r="C9704" s="35">
        <v>0</v>
      </c>
      <c r="D9704" s="2">
        <f t="shared" si="151"/>
        <v>1</v>
      </c>
    </row>
    <row r="9705" spans="1:4" x14ac:dyDescent="0.3">
      <c r="A9705" s="34">
        <v>63076</v>
      </c>
      <c r="B9705" s="35">
        <v>1</v>
      </c>
      <c r="C9705" s="35">
        <v>0</v>
      </c>
      <c r="D9705" s="2">
        <f t="shared" si="151"/>
        <v>1</v>
      </c>
    </row>
    <row r="9706" spans="1:4" x14ac:dyDescent="0.3">
      <c r="A9706" s="34">
        <v>63078</v>
      </c>
      <c r="B9706" s="35">
        <v>1</v>
      </c>
      <c r="C9706" s="35">
        <v>0</v>
      </c>
      <c r="D9706" s="2">
        <f t="shared" si="151"/>
        <v>1</v>
      </c>
    </row>
    <row r="9707" spans="1:4" x14ac:dyDescent="0.3">
      <c r="A9707" s="34">
        <v>63081</v>
      </c>
      <c r="B9707" s="35">
        <v>1</v>
      </c>
      <c r="C9707" s="35">
        <v>0</v>
      </c>
      <c r="D9707" s="2">
        <f t="shared" si="151"/>
        <v>1</v>
      </c>
    </row>
    <row r="9708" spans="1:4" x14ac:dyDescent="0.3">
      <c r="A9708" s="34">
        <v>63088</v>
      </c>
      <c r="B9708" s="35">
        <v>1</v>
      </c>
      <c r="C9708" s="35">
        <v>0</v>
      </c>
      <c r="D9708" s="2">
        <f t="shared" si="151"/>
        <v>1</v>
      </c>
    </row>
    <row r="9709" spans="1:4" x14ac:dyDescent="0.3">
      <c r="A9709" s="34">
        <v>63089</v>
      </c>
      <c r="B9709" s="35">
        <v>1</v>
      </c>
      <c r="C9709" s="35">
        <v>0</v>
      </c>
      <c r="D9709" s="2">
        <f t="shared" si="151"/>
        <v>1</v>
      </c>
    </row>
    <row r="9710" spans="1:4" x14ac:dyDescent="0.3">
      <c r="A9710" s="34">
        <v>63097</v>
      </c>
      <c r="B9710" s="35">
        <v>1</v>
      </c>
      <c r="C9710" s="35">
        <v>0</v>
      </c>
      <c r="D9710" s="2">
        <f t="shared" si="151"/>
        <v>1</v>
      </c>
    </row>
    <row r="9711" spans="1:4" x14ac:dyDescent="0.3">
      <c r="A9711" s="34">
        <v>63100</v>
      </c>
      <c r="B9711" s="35">
        <v>1</v>
      </c>
      <c r="C9711" s="35">
        <v>0</v>
      </c>
      <c r="D9711" s="2">
        <f t="shared" si="151"/>
        <v>1</v>
      </c>
    </row>
    <row r="9712" spans="1:4" x14ac:dyDescent="0.3">
      <c r="A9712" s="34">
        <v>63102</v>
      </c>
      <c r="B9712" s="35">
        <v>2</v>
      </c>
      <c r="C9712" s="35">
        <v>0</v>
      </c>
      <c r="D9712" s="2">
        <f t="shared" si="151"/>
        <v>2</v>
      </c>
    </row>
    <row r="9713" spans="1:4" x14ac:dyDescent="0.3">
      <c r="A9713" s="34">
        <v>63103</v>
      </c>
      <c r="B9713" s="35">
        <v>1</v>
      </c>
      <c r="C9713" s="35">
        <v>0</v>
      </c>
      <c r="D9713" s="2">
        <f t="shared" si="151"/>
        <v>1</v>
      </c>
    </row>
    <row r="9714" spans="1:4" x14ac:dyDescent="0.3">
      <c r="A9714" s="34">
        <v>63104</v>
      </c>
      <c r="B9714" s="35">
        <v>1</v>
      </c>
      <c r="C9714" s="35">
        <v>0</v>
      </c>
      <c r="D9714" s="2">
        <f t="shared" si="151"/>
        <v>1</v>
      </c>
    </row>
    <row r="9715" spans="1:4" x14ac:dyDescent="0.3">
      <c r="A9715" s="34">
        <v>63105</v>
      </c>
      <c r="B9715" s="35">
        <v>1</v>
      </c>
      <c r="C9715" s="35">
        <v>0</v>
      </c>
      <c r="D9715" s="2">
        <f t="shared" si="151"/>
        <v>1</v>
      </c>
    </row>
    <row r="9716" spans="1:4" x14ac:dyDescent="0.3">
      <c r="A9716" s="34">
        <v>63106</v>
      </c>
      <c r="B9716" s="35">
        <v>1</v>
      </c>
      <c r="C9716" s="35">
        <v>0</v>
      </c>
      <c r="D9716" s="2">
        <f t="shared" si="151"/>
        <v>1</v>
      </c>
    </row>
    <row r="9717" spans="1:4" x14ac:dyDescent="0.3">
      <c r="A9717" s="34">
        <v>63107</v>
      </c>
      <c r="B9717" s="35">
        <v>1</v>
      </c>
      <c r="C9717" s="35">
        <v>1</v>
      </c>
      <c r="D9717" s="2">
        <f t="shared" si="151"/>
        <v>2</v>
      </c>
    </row>
    <row r="9718" spans="1:4" x14ac:dyDescent="0.3">
      <c r="A9718" s="34">
        <v>63108</v>
      </c>
      <c r="B9718" s="35">
        <v>1</v>
      </c>
      <c r="C9718" s="35">
        <v>0</v>
      </c>
      <c r="D9718" s="2">
        <f t="shared" si="151"/>
        <v>1</v>
      </c>
    </row>
    <row r="9719" spans="1:4" x14ac:dyDescent="0.3">
      <c r="A9719" s="34">
        <v>63121</v>
      </c>
      <c r="B9719" s="35">
        <v>1</v>
      </c>
      <c r="C9719" s="35">
        <v>0</v>
      </c>
      <c r="D9719" s="2">
        <f t="shared" si="151"/>
        <v>1</v>
      </c>
    </row>
    <row r="9720" spans="1:4" x14ac:dyDescent="0.3">
      <c r="A9720" s="34">
        <v>63122</v>
      </c>
      <c r="B9720" s="35">
        <v>1</v>
      </c>
      <c r="C9720" s="35">
        <v>0</v>
      </c>
      <c r="D9720" s="2">
        <f t="shared" si="151"/>
        <v>1</v>
      </c>
    </row>
    <row r="9721" spans="1:4" x14ac:dyDescent="0.3">
      <c r="A9721" s="34">
        <v>63128</v>
      </c>
      <c r="B9721" s="35">
        <v>1</v>
      </c>
      <c r="C9721" s="35">
        <v>1</v>
      </c>
      <c r="D9721" s="2">
        <f t="shared" si="151"/>
        <v>2</v>
      </c>
    </row>
    <row r="9722" spans="1:4" x14ac:dyDescent="0.3">
      <c r="A9722" s="34">
        <v>63130</v>
      </c>
      <c r="B9722" s="35">
        <v>1</v>
      </c>
      <c r="C9722" s="35">
        <v>0</v>
      </c>
      <c r="D9722" s="2">
        <f t="shared" si="151"/>
        <v>1</v>
      </c>
    </row>
    <row r="9723" spans="1:4" x14ac:dyDescent="0.3">
      <c r="A9723" s="34">
        <v>63132</v>
      </c>
      <c r="B9723" s="35">
        <v>1</v>
      </c>
      <c r="C9723" s="35">
        <v>0</v>
      </c>
      <c r="D9723" s="2">
        <f t="shared" si="151"/>
        <v>1</v>
      </c>
    </row>
    <row r="9724" spans="1:4" x14ac:dyDescent="0.3">
      <c r="A9724" s="34">
        <v>63133</v>
      </c>
      <c r="B9724" s="35">
        <v>1</v>
      </c>
      <c r="C9724" s="35">
        <v>0</v>
      </c>
      <c r="D9724" s="2">
        <f t="shared" si="151"/>
        <v>1</v>
      </c>
    </row>
    <row r="9725" spans="1:4" x14ac:dyDescent="0.3">
      <c r="A9725" s="34">
        <v>63136</v>
      </c>
      <c r="B9725" s="35">
        <v>1</v>
      </c>
      <c r="C9725" s="35">
        <v>0</v>
      </c>
      <c r="D9725" s="2">
        <f t="shared" si="151"/>
        <v>1</v>
      </c>
    </row>
    <row r="9726" spans="1:4" x14ac:dyDescent="0.3">
      <c r="A9726" s="34">
        <v>63138</v>
      </c>
      <c r="B9726" s="35">
        <v>1</v>
      </c>
      <c r="C9726" s="35">
        <v>1</v>
      </c>
      <c r="D9726" s="2">
        <f t="shared" si="151"/>
        <v>2</v>
      </c>
    </row>
    <row r="9727" spans="1:4" x14ac:dyDescent="0.3">
      <c r="A9727" s="34">
        <v>63139</v>
      </c>
      <c r="B9727" s="35">
        <v>1</v>
      </c>
      <c r="C9727" s="35">
        <v>0</v>
      </c>
      <c r="D9727" s="2">
        <f t="shared" si="151"/>
        <v>1</v>
      </c>
    </row>
    <row r="9728" spans="1:4" x14ac:dyDescent="0.3">
      <c r="A9728" s="34">
        <v>63148</v>
      </c>
      <c r="B9728" s="35">
        <v>1</v>
      </c>
      <c r="C9728" s="35">
        <v>1</v>
      </c>
      <c r="D9728" s="2">
        <f t="shared" si="151"/>
        <v>2</v>
      </c>
    </row>
    <row r="9729" spans="1:4" x14ac:dyDescent="0.3">
      <c r="A9729" s="34">
        <v>63151</v>
      </c>
      <c r="B9729" s="35">
        <v>1</v>
      </c>
      <c r="C9729" s="35">
        <v>0</v>
      </c>
      <c r="D9729" s="2">
        <f t="shared" si="151"/>
        <v>1</v>
      </c>
    </row>
    <row r="9730" spans="1:4" x14ac:dyDescent="0.3">
      <c r="A9730" s="34">
        <v>63152</v>
      </c>
      <c r="B9730" s="35">
        <v>1</v>
      </c>
      <c r="C9730" s="35">
        <v>0</v>
      </c>
      <c r="D9730" s="2">
        <f t="shared" si="151"/>
        <v>1</v>
      </c>
    </row>
    <row r="9731" spans="1:4" x14ac:dyDescent="0.3">
      <c r="A9731" s="34">
        <v>63153</v>
      </c>
      <c r="B9731" s="35">
        <v>1</v>
      </c>
      <c r="C9731" s="35">
        <v>0</v>
      </c>
      <c r="D9731" s="2">
        <f t="shared" ref="D9731:D9794" si="152">B9731+C9731</f>
        <v>1</v>
      </c>
    </row>
    <row r="9732" spans="1:4" x14ac:dyDescent="0.3">
      <c r="A9732" s="34">
        <v>63154</v>
      </c>
      <c r="B9732" s="35">
        <v>1</v>
      </c>
      <c r="C9732" s="35">
        <v>0</v>
      </c>
      <c r="D9732" s="2">
        <f t="shared" si="152"/>
        <v>1</v>
      </c>
    </row>
    <row r="9733" spans="1:4" x14ac:dyDescent="0.3">
      <c r="A9733" s="34">
        <v>63155</v>
      </c>
      <c r="B9733" s="35">
        <v>1</v>
      </c>
      <c r="C9733" s="35">
        <v>0</v>
      </c>
      <c r="D9733" s="2">
        <f t="shared" si="152"/>
        <v>1</v>
      </c>
    </row>
    <row r="9734" spans="1:4" x14ac:dyDescent="0.3">
      <c r="A9734" s="34">
        <v>63157</v>
      </c>
      <c r="B9734" s="35">
        <v>1</v>
      </c>
      <c r="C9734" s="35">
        <v>0</v>
      </c>
      <c r="D9734" s="2">
        <f t="shared" si="152"/>
        <v>1</v>
      </c>
    </row>
    <row r="9735" spans="1:4" x14ac:dyDescent="0.3">
      <c r="A9735" s="34">
        <v>63158</v>
      </c>
      <c r="B9735" s="35">
        <v>1</v>
      </c>
      <c r="C9735" s="35">
        <v>0</v>
      </c>
      <c r="D9735" s="2">
        <f t="shared" si="152"/>
        <v>1</v>
      </c>
    </row>
    <row r="9736" spans="1:4" x14ac:dyDescent="0.3">
      <c r="A9736" s="34">
        <v>63160</v>
      </c>
      <c r="B9736" s="35">
        <v>1</v>
      </c>
      <c r="C9736" s="35">
        <v>0</v>
      </c>
      <c r="D9736" s="2">
        <f t="shared" si="152"/>
        <v>1</v>
      </c>
    </row>
    <row r="9737" spans="1:4" x14ac:dyDescent="0.3">
      <c r="A9737" s="34">
        <v>63161</v>
      </c>
      <c r="B9737" s="35">
        <v>1</v>
      </c>
      <c r="C9737" s="35">
        <v>1</v>
      </c>
      <c r="D9737" s="2">
        <f t="shared" si="152"/>
        <v>2</v>
      </c>
    </row>
    <row r="9738" spans="1:4" x14ac:dyDescent="0.3">
      <c r="A9738" s="34">
        <v>63162</v>
      </c>
      <c r="B9738" s="35">
        <v>1</v>
      </c>
      <c r="C9738" s="35">
        <v>0</v>
      </c>
      <c r="D9738" s="2">
        <f t="shared" si="152"/>
        <v>1</v>
      </c>
    </row>
    <row r="9739" spans="1:4" x14ac:dyDescent="0.3">
      <c r="A9739" s="34">
        <v>63164</v>
      </c>
      <c r="B9739" s="35">
        <v>1</v>
      </c>
      <c r="C9739" s="35">
        <v>0</v>
      </c>
      <c r="D9739" s="2">
        <f t="shared" si="152"/>
        <v>1</v>
      </c>
    </row>
    <row r="9740" spans="1:4" x14ac:dyDescent="0.3">
      <c r="A9740" s="34">
        <v>63168</v>
      </c>
      <c r="B9740" s="35">
        <v>1</v>
      </c>
      <c r="C9740" s="35">
        <v>0</v>
      </c>
      <c r="D9740" s="2">
        <f t="shared" si="152"/>
        <v>1</v>
      </c>
    </row>
    <row r="9741" spans="1:4" x14ac:dyDescent="0.3">
      <c r="A9741" s="34">
        <v>63170</v>
      </c>
      <c r="B9741" s="35">
        <v>1</v>
      </c>
      <c r="C9741" s="35">
        <v>0</v>
      </c>
      <c r="D9741" s="2">
        <f t="shared" si="152"/>
        <v>1</v>
      </c>
    </row>
    <row r="9742" spans="1:4" x14ac:dyDescent="0.3">
      <c r="A9742" s="34">
        <v>63172</v>
      </c>
      <c r="B9742" s="35">
        <v>1</v>
      </c>
      <c r="C9742" s="35">
        <v>0</v>
      </c>
      <c r="D9742" s="2">
        <f t="shared" si="152"/>
        <v>1</v>
      </c>
    </row>
    <row r="9743" spans="1:4" x14ac:dyDescent="0.3">
      <c r="A9743" s="34">
        <v>63174</v>
      </c>
      <c r="B9743" s="35">
        <v>1</v>
      </c>
      <c r="C9743" s="35">
        <v>0</v>
      </c>
      <c r="D9743" s="2">
        <f t="shared" si="152"/>
        <v>1</v>
      </c>
    </row>
    <row r="9744" spans="1:4" x14ac:dyDescent="0.3">
      <c r="A9744" s="34">
        <v>63175</v>
      </c>
      <c r="B9744" s="35">
        <v>1</v>
      </c>
      <c r="C9744" s="35">
        <v>0</v>
      </c>
      <c r="D9744" s="2">
        <f t="shared" si="152"/>
        <v>1</v>
      </c>
    </row>
    <row r="9745" spans="1:4" x14ac:dyDescent="0.3">
      <c r="A9745" s="34">
        <v>63251</v>
      </c>
      <c r="B9745" s="35">
        <v>1</v>
      </c>
      <c r="C9745" s="35">
        <v>0</v>
      </c>
      <c r="D9745" s="2">
        <f t="shared" si="152"/>
        <v>1</v>
      </c>
    </row>
    <row r="9746" spans="1:4" x14ac:dyDescent="0.3">
      <c r="A9746" s="34">
        <v>63252</v>
      </c>
      <c r="B9746" s="35">
        <v>1</v>
      </c>
      <c r="C9746" s="35">
        <v>0</v>
      </c>
      <c r="D9746" s="2">
        <f t="shared" si="152"/>
        <v>1</v>
      </c>
    </row>
    <row r="9747" spans="1:4" x14ac:dyDescent="0.3">
      <c r="A9747" s="34">
        <v>63253</v>
      </c>
      <c r="B9747" s="35">
        <v>1</v>
      </c>
      <c r="C9747" s="35">
        <v>0</v>
      </c>
      <c r="D9747" s="2">
        <f t="shared" si="152"/>
        <v>1</v>
      </c>
    </row>
    <row r="9748" spans="1:4" x14ac:dyDescent="0.3">
      <c r="A9748" s="34">
        <v>63254</v>
      </c>
      <c r="B9748" s="35">
        <v>1</v>
      </c>
      <c r="C9748" s="35">
        <v>0</v>
      </c>
      <c r="D9748" s="2">
        <f t="shared" si="152"/>
        <v>1</v>
      </c>
    </row>
    <row r="9749" spans="1:4" x14ac:dyDescent="0.3">
      <c r="A9749" s="34">
        <v>63256</v>
      </c>
      <c r="B9749" s="35">
        <v>1</v>
      </c>
      <c r="C9749" s="35">
        <v>0</v>
      </c>
      <c r="D9749" s="2">
        <f t="shared" si="152"/>
        <v>1</v>
      </c>
    </row>
    <row r="9750" spans="1:4" x14ac:dyDescent="0.3">
      <c r="A9750" s="34">
        <v>63260</v>
      </c>
      <c r="B9750" s="35">
        <v>1</v>
      </c>
      <c r="C9750" s="35">
        <v>0</v>
      </c>
      <c r="D9750" s="2">
        <f t="shared" si="152"/>
        <v>1</v>
      </c>
    </row>
    <row r="9751" spans="1:4" x14ac:dyDescent="0.3">
      <c r="A9751" s="34">
        <v>63263</v>
      </c>
      <c r="B9751" s="35">
        <v>1</v>
      </c>
      <c r="C9751" s="35">
        <v>0</v>
      </c>
      <c r="D9751" s="2">
        <f t="shared" si="152"/>
        <v>1</v>
      </c>
    </row>
    <row r="9752" spans="1:4" x14ac:dyDescent="0.3">
      <c r="A9752" s="34">
        <v>63265</v>
      </c>
      <c r="B9752" s="35">
        <v>1</v>
      </c>
      <c r="C9752" s="35">
        <v>0</v>
      </c>
      <c r="D9752" s="2">
        <f t="shared" si="152"/>
        <v>1</v>
      </c>
    </row>
    <row r="9753" spans="1:4" x14ac:dyDescent="0.3">
      <c r="A9753" s="34">
        <v>63266</v>
      </c>
      <c r="B9753" s="35">
        <v>1</v>
      </c>
      <c r="C9753" s="35">
        <v>1</v>
      </c>
      <c r="D9753" s="2">
        <f t="shared" si="152"/>
        <v>2</v>
      </c>
    </row>
    <row r="9754" spans="1:4" x14ac:dyDescent="0.3">
      <c r="A9754" s="34">
        <v>63268</v>
      </c>
      <c r="B9754" s="35">
        <v>1</v>
      </c>
      <c r="C9754" s="35">
        <v>0</v>
      </c>
      <c r="D9754" s="2">
        <f t="shared" si="152"/>
        <v>1</v>
      </c>
    </row>
    <row r="9755" spans="1:4" x14ac:dyDescent="0.3">
      <c r="A9755" s="34">
        <v>63270</v>
      </c>
      <c r="B9755" s="35">
        <v>1</v>
      </c>
      <c r="C9755" s="35">
        <v>0</v>
      </c>
      <c r="D9755" s="2">
        <f t="shared" si="152"/>
        <v>1</v>
      </c>
    </row>
    <row r="9756" spans="1:4" x14ac:dyDescent="0.3">
      <c r="A9756" s="34">
        <v>63274</v>
      </c>
      <c r="B9756" s="35">
        <v>1</v>
      </c>
      <c r="C9756" s="35">
        <v>0</v>
      </c>
      <c r="D9756" s="2">
        <f t="shared" si="152"/>
        <v>1</v>
      </c>
    </row>
    <row r="9757" spans="1:4" x14ac:dyDescent="0.3">
      <c r="A9757" s="34">
        <v>63278</v>
      </c>
      <c r="B9757" s="35">
        <v>1</v>
      </c>
      <c r="C9757" s="35">
        <v>0</v>
      </c>
      <c r="D9757" s="2">
        <f t="shared" si="152"/>
        <v>1</v>
      </c>
    </row>
    <row r="9758" spans="1:4" x14ac:dyDescent="0.3">
      <c r="A9758" s="34">
        <v>63279</v>
      </c>
      <c r="B9758" s="35">
        <v>1</v>
      </c>
      <c r="C9758" s="35">
        <v>0</v>
      </c>
      <c r="D9758" s="2">
        <f t="shared" si="152"/>
        <v>1</v>
      </c>
    </row>
    <row r="9759" spans="1:4" x14ac:dyDescent="0.3">
      <c r="A9759" s="34">
        <v>63280</v>
      </c>
      <c r="B9759" s="35">
        <v>1</v>
      </c>
      <c r="C9759" s="35">
        <v>0</v>
      </c>
      <c r="D9759" s="2">
        <f t="shared" si="152"/>
        <v>1</v>
      </c>
    </row>
    <row r="9760" spans="1:4" x14ac:dyDescent="0.3">
      <c r="A9760" s="34">
        <v>63281</v>
      </c>
      <c r="B9760" s="35">
        <v>1</v>
      </c>
      <c r="C9760" s="35">
        <v>0</v>
      </c>
      <c r="D9760" s="2">
        <f t="shared" si="152"/>
        <v>1</v>
      </c>
    </row>
    <row r="9761" spans="1:4" x14ac:dyDescent="0.3">
      <c r="A9761" s="34">
        <v>63284</v>
      </c>
      <c r="B9761" s="35">
        <v>1</v>
      </c>
      <c r="C9761" s="35">
        <v>1</v>
      </c>
      <c r="D9761" s="2">
        <f t="shared" si="152"/>
        <v>2</v>
      </c>
    </row>
    <row r="9762" spans="1:4" x14ac:dyDescent="0.3">
      <c r="A9762" s="34">
        <v>63287</v>
      </c>
      <c r="B9762" s="35">
        <v>1</v>
      </c>
      <c r="C9762" s="35">
        <v>0</v>
      </c>
      <c r="D9762" s="2">
        <f t="shared" si="152"/>
        <v>1</v>
      </c>
    </row>
    <row r="9763" spans="1:4" x14ac:dyDescent="0.3">
      <c r="A9763" s="34">
        <v>63288</v>
      </c>
      <c r="B9763" s="35">
        <v>1</v>
      </c>
      <c r="C9763" s="35">
        <v>0</v>
      </c>
      <c r="D9763" s="2">
        <f t="shared" si="152"/>
        <v>1</v>
      </c>
    </row>
    <row r="9764" spans="1:4" x14ac:dyDescent="0.3">
      <c r="A9764" s="34">
        <v>63289</v>
      </c>
      <c r="B9764" s="35">
        <v>1</v>
      </c>
      <c r="C9764" s="35">
        <v>0</v>
      </c>
      <c r="D9764" s="2">
        <f t="shared" si="152"/>
        <v>1</v>
      </c>
    </row>
    <row r="9765" spans="1:4" x14ac:dyDescent="0.3">
      <c r="A9765" s="34">
        <v>63293</v>
      </c>
      <c r="B9765" s="35">
        <v>1</v>
      </c>
      <c r="C9765" s="35">
        <v>0</v>
      </c>
      <c r="D9765" s="2">
        <f t="shared" si="152"/>
        <v>1</v>
      </c>
    </row>
    <row r="9766" spans="1:4" x14ac:dyDescent="0.3">
      <c r="A9766" s="34">
        <v>63294</v>
      </c>
      <c r="B9766" s="35">
        <v>1</v>
      </c>
      <c r="C9766" s="35">
        <v>0</v>
      </c>
      <c r="D9766" s="2">
        <f t="shared" si="152"/>
        <v>1</v>
      </c>
    </row>
    <row r="9767" spans="1:4" x14ac:dyDescent="0.3">
      <c r="A9767" s="34">
        <v>63296</v>
      </c>
      <c r="B9767" s="35">
        <v>1</v>
      </c>
      <c r="C9767" s="35">
        <v>0</v>
      </c>
      <c r="D9767" s="2">
        <f t="shared" si="152"/>
        <v>1</v>
      </c>
    </row>
    <row r="9768" spans="1:4" x14ac:dyDescent="0.3">
      <c r="A9768" s="34">
        <v>63297</v>
      </c>
      <c r="B9768" s="35">
        <v>1</v>
      </c>
      <c r="C9768" s="35">
        <v>1</v>
      </c>
      <c r="D9768" s="2">
        <f t="shared" si="152"/>
        <v>2</v>
      </c>
    </row>
    <row r="9769" spans="1:4" x14ac:dyDescent="0.3">
      <c r="A9769" s="34">
        <v>63300</v>
      </c>
      <c r="B9769" s="35">
        <v>1</v>
      </c>
      <c r="C9769" s="35">
        <v>0</v>
      </c>
      <c r="D9769" s="2">
        <f t="shared" si="152"/>
        <v>1</v>
      </c>
    </row>
    <row r="9770" spans="1:4" x14ac:dyDescent="0.3">
      <c r="A9770" s="34">
        <v>63303</v>
      </c>
      <c r="B9770" s="35">
        <v>1</v>
      </c>
      <c r="C9770" s="35">
        <v>0</v>
      </c>
      <c r="D9770" s="2">
        <f t="shared" si="152"/>
        <v>1</v>
      </c>
    </row>
    <row r="9771" spans="1:4" x14ac:dyDescent="0.3">
      <c r="A9771" s="34">
        <v>63304</v>
      </c>
      <c r="B9771" s="35">
        <v>1</v>
      </c>
      <c r="C9771" s="35">
        <v>0</v>
      </c>
      <c r="D9771" s="2">
        <f t="shared" si="152"/>
        <v>1</v>
      </c>
    </row>
    <row r="9772" spans="1:4" x14ac:dyDescent="0.3">
      <c r="A9772" s="34">
        <v>63308</v>
      </c>
      <c r="B9772" s="35">
        <v>1</v>
      </c>
      <c r="C9772" s="35">
        <v>0</v>
      </c>
      <c r="D9772" s="2">
        <f t="shared" si="152"/>
        <v>1</v>
      </c>
    </row>
    <row r="9773" spans="1:4" x14ac:dyDescent="0.3">
      <c r="A9773" s="34">
        <v>63309</v>
      </c>
      <c r="B9773" s="35">
        <v>1</v>
      </c>
      <c r="C9773" s="35">
        <v>0</v>
      </c>
      <c r="D9773" s="2">
        <f t="shared" si="152"/>
        <v>1</v>
      </c>
    </row>
    <row r="9774" spans="1:4" x14ac:dyDescent="0.3">
      <c r="A9774" s="34">
        <v>63311</v>
      </c>
      <c r="B9774" s="35">
        <v>1</v>
      </c>
      <c r="C9774" s="35">
        <v>0</v>
      </c>
      <c r="D9774" s="2">
        <f t="shared" si="152"/>
        <v>1</v>
      </c>
    </row>
    <row r="9775" spans="1:4" x14ac:dyDescent="0.3">
      <c r="A9775" s="34">
        <v>63313</v>
      </c>
      <c r="B9775" s="35">
        <v>1</v>
      </c>
      <c r="C9775" s="35">
        <v>0</v>
      </c>
      <c r="D9775" s="2">
        <f t="shared" si="152"/>
        <v>1</v>
      </c>
    </row>
    <row r="9776" spans="1:4" x14ac:dyDescent="0.3">
      <c r="A9776" s="34">
        <v>63343</v>
      </c>
      <c r="B9776" s="35">
        <v>1</v>
      </c>
      <c r="C9776" s="35">
        <v>0</v>
      </c>
      <c r="D9776" s="2">
        <f t="shared" si="152"/>
        <v>1</v>
      </c>
    </row>
    <row r="9777" spans="1:4" x14ac:dyDescent="0.3">
      <c r="A9777" s="34">
        <v>63344</v>
      </c>
      <c r="B9777" s="35">
        <v>1</v>
      </c>
      <c r="C9777" s="35">
        <v>0</v>
      </c>
      <c r="D9777" s="2">
        <f t="shared" si="152"/>
        <v>1</v>
      </c>
    </row>
    <row r="9778" spans="1:4" x14ac:dyDescent="0.3">
      <c r="A9778" s="34">
        <v>63346</v>
      </c>
      <c r="B9778" s="35">
        <v>1</v>
      </c>
      <c r="C9778" s="35">
        <v>0</v>
      </c>
      <c r="D9778" s="2">
        <f t="shared" si="152"/>
        <v>1</v>
      </c>
    </row>
    <row r="9779" spans="1:4" x14ac:dyDescent="0.3">
      <c r="A9779" s="34">
        <v>63348</v>
      </c>
      <c r="B9779" s="35">
        <v>1</v>
      </c>
      <c r="C9779" s="35">
        <v>1</v>
      </c>
      <c r="D9779" s="2">
        <f t="shared" si="152"/>
        <v>2</v>
      </c>
    </row>
    <row r="9780" spans="1:4" x14ac:dyDescent="0.3">
      <c r="A9780" s="34">
        <v>63349</v>
      </c>
      <c r="B9780" s="35">
        <v>2</v>
      </c>
      <c r="C9780" s="35">
        <v>0</v>
      </c>
      <c r="D9780" s="2">
        <f t="shared" si="152"/>
        <v>2</v>
      </c>
    </row>
    <row r="9781" spans="1:4" x14ac:dyDescent="0.3">
      <c r="A9781" s="34">
        <v>63356</v>
      </c>
      <c r="B9781" s="35">
        <v>1</v>
      </c>
      <c r="C9781" s="35">
        <v>0</v>
      </c>
      <c r="D9781" s="2">
        <f t="shared" si="152"/>
        <v>1</v>
      </c>
    </row>
    <row r="9782" spans="1:4" x14ac:dyDescent="0.3">
      <c r="A9782" s="34">
        <v>63357</v>
      </c>
      <c r="B9782" s="35">
        <v>2</v>
      </c>
      <c r="C9782" s="35">
        <v>0</v>
      </c>
      <c r="D9782" s="2">
        <f t="shared" si="152"/>
        <v>2</v>
      </c>
    </row>
    <row r="9783" spans="1:4" x14ac:dyDescent="0.3">
      <c r="A9783" s="34">
        <v>63358</v>
      </c>
      <c r="B9783" s="35">
        <v>1</v>
      </c>
      <c r="C9783" s="35">
        <v>0</v>
      </c>
      <c r="D9783" s="2">
        <f t="shared" si="152"/>
        <v>1</v>
      </c>
    </row>
    <row r="9784" spans="1:4" x14ac:dyDescent="0.3">
      <c r="A9784" s="34">
        <v>63361</v>
      </c>
      <c r="B9784" s="35">
        <v>1</v>
      </c>
      <c r="C9784" s="35">
        <v>0</v>
      </c>
      <c r="D9784" s="2">
        <f t="shared" si="152"/>
        <v>1</v>
      </c>
    </row>
    <row r="9785" spans="1:4" x14ac:dyDescent="0.3">
      <c r="A9785" s="34">
        <v>63363</v>
      </c>
      <c r="B9785" s="35">
        <v>1</v>
      </c>
      <c r="C9785" s="35">
        <v>0</v>
      </c>
      <c r="D9785" s="2">
        <f t="shared" si="152"/>
        <v>1</v>
      </c>
    </row>
    <row r="9786" spans="1:4" x14ac:dyDescent="0.3">
      <c r="A9786" s="34">
        <v>63364</v>
      </c>
      <c r="B9786" s="35">
        <v>1</v>
      </c>
      <c r="C9786" s="35">
        <v>0</v>
      </c>
      <c r="D9786" s="2">
        <f t="shared" si="152"/>
        <v>1</v>
      </c>
    </row>
    <row r="9787" spans="1:4" x14ac:dyDescent="0.3">
      <c r="A9787" s="34">
        <v>63366</v>
      </c>
      <c r="B9787" s="35">
        <v>1</v>
      </c>
      <c r="C9787" s="35">
        <v>0</v>
      </c>
      <c r="D9787" s="2">
        <f t="shared" si="152"/>
        <v>1</v>
      </c>
    </row>
    <row r="9788" spans="1:4" x14ac:dyDescent="0.3">
      <c r="A9788" s="34">
        <v>63367</v>
      </c>
      <c r="B9788" s="35">
        <v>1</v>
      </c>
      <c r="C9788" s="35">
        <v>0</v>
      </c>
      <c r="D9788" s="2">
        <f t="shared" si="152"/>
        <v>1</v>
      </c>
    </row>
    <row r="9789" spans="1:4" x14ac:dyDescent="0.3">
      <c r="A9789" s="34">
        <v>63368</v>
      </c>
      <c r="B9789" s="35">
        <v>1</v>
      </c>
      <c r="C9789" s="35">
        <v>0</v>
      </c>
      <c r="D9789" s="2">
        <f t="shared" si="152"/>
        <v>1</v>
      </c>
    </row>
    <row r="9790" spans="1:4" x14ac:dyDescent="0.3">
      <c r="A9790" s="34">
        <v>63371</v>
      </c>
      <c r="B9790" s="35">
        <v>1</v>
      </c>
      <c r="C9790" s="35">
        <v>1</v>
      </c>
      <c r="D9790" s="2">
        <f t="shared" si="152"/>
        <v>2</v>
      </c>
    </row>
    <row r="9791" spans="1:4" x14ac:dyDescent="0.3">
      <c r="A9791" s="34">
        <v>63373</v>
      </c>
      <c r="B9791" s="35">
        <v>1</v>
      </c>
      <c r="C9791" s="35">
        <v>0</v>
      </c>
      <c r="D9791" s="2">
        <f t="shared" si="152"/>
        <v>1</v>
      </c>
    </row>
    <row r="9792" spans="1:4" x14ac:dyDescent="0.3">
      <c r="A9792" s="34">
        <v>63378</v>
      </c>
      <c r="B9792" s="35">
        <v>1</v>
      </c>
      <c r="C9792" s="35">
        <v>0</v>
      </c>
      <c r="D9792" s="2">
        <f t="shared" si="152"/>
        <v>1</v>
      </c>
    </row>
    <row r="9793" spans="1:4" x14ac:dyDescent="0.3">
      <c r="A9793" s="34">
        <v>63380</v>
      </c>
      <c r="B9793" s="35">
        <v>1</v>
      </c>
      <c r="C9793" s="35">
        <v>0</v>
      </c>
      <c r="D9793" s="2">
        <f t="shared" si="152"/>
        <v>1</v>
      </c>
    </row>
    <row r="9794" spans="1:4" x14ac:dyDescent="0.3">
      <c r="A9794" s="34">
        <v>63385</v>
      </c>
      <c r="B9794" s="35">
        <v>1</v>
      </c>
      <c r="C9794" s="35">
        <v>0</v>
      </c>
      <c r="D9794" s="2">
        <f t="shared" si="152"/>
        <v>1</v>
      </c>
    </row>
    <row r="9795" spans="1:4" x14ac:dyDescent="0.3">
      <c r="A9795" s="34">
        <v>63386</v>
      </c>
      <c r="B9795" s="35">
        <v>1</v>
      </c>
      <c r="C9795" s="35">
        <v>0</v>
      </c>
      <c r="D9795" s="2">
        <f t="shared" ref="D9795:D9858" si="153">B9795+C9795</f>
        <v>1</v>
      </c>
    </row>
    <row r="9796" spans="1:4" x14ac:dyDescent="0.3">
      <c r="A9796" s="34">
        <v>63393</v>
      </c>
      <c r="B9796" s="35">
        <v>1</v>
      </c>
      <c r="C9796" s="35">
        <v>0</v>
      </c>
      <c r="D9796" s="2">
        <f t="shared" si="153"/>
        <v>1</v>
      </c>
    </row>
    <row r="9797" spans="1:4" x14ac:dyDescent="0.3">
      <c r="A9797" s="34">
        <v>63425</v>
      </c>
      <c r="B9797" s="35">
        <v>1</v>
      </c>
      <c r="C9797" s="35">
        <v>0</v>
      </c>
      <c r="D9797" s="2">
        <f t="shared" si="153"/>
        <v>1</v>
      </c>
    </row>
    <row r="9798" spans="1:4" x14ac:dyDescent="0.3">
      <c r="A9798" s="34">
        <v>63427</v>
      </c>
      <c r="B9798" s="35">
        <v>1</v>
      </c>
      <c r="C9798" s="35">
        <v>0</v>
      </c>
      <c r="D9798" s="2">
        <f t="shared" si="153"/>
        <v>1</v>
      </c>
    </row>
    <row r="9799" spans="1:4" x14ac:dyDescent="0.3">
      <c r="A9799" s="34">
        <v>63429</v>
      </c>
      <c r="B9799" s="35">
        <v>1</v>
      </c>
      <c r="C9799" s="35">
        <v>0</v>
      </c>
      <c r="D9799" s="2">
        <f t="shared" si="153"/>
        <v>1</v>
      </c>
    </row>
    <row r="9800" spans="1:4" x14ac:dyDescent="0.3">
      <c r="A9800" s="34">
        <v>63430</v>
      </c>
      <c r="B9800" s="35">
        <v>1</v>
      </c>
      <c r="C9800" s="35">
        <v>0</v>
      </c>
      <c r="D9800" s="2">
        <f t="shared" si="153"/>
        <v>1</v>
      </c>
    </row>
    <row r="9801" spans="1:4" x14ac:dyDescent="0.3">
      <c r="A9801" s="34">
        <v>63432</v>
      </c>
      <c r="B9801" s="35">
        <v>1</v>
      </c>
      <c r="C9801" s="35">
        <v>0</v>
      </c>
      <c r="D9801" s="2">
        <f t="shared" si="153"/>
        <v>1</v>
      </c>
    </row>
    <row r="9802" spans="1:4" x14ac:dyDescent="0.3">
      <c r="A9802" s="34">
        <v>63433</v>
      </c>
      <c r="B9802" s="35">
        <v>1</v>
      </c>
      <c r="C9802" s="35">
        <v>0</v>
      </c>
      <c r="D9802" s="2">
        <f t="shared" si="153"/>
        <v>1</v>
      </c>
    </row>
    <row r="9803" spans="1:4" x14ac:dyDescent="0.3">
      <c r="A9803" s="34">
        <v>63438</v>
      </c>
      <c r="B9803" s="35">
        <v>1</v>
      </c>
      <c r="C9803" s="35">
        <v>0</v>
      </c>
      <c r="D9803" s="2">
        <f t="shared" si="153"/>
        <v>1</v>
      </c>
    </row>
    <row r="9804" spans="1:4" x14ac:dyDescent="0.3">
      <c r="A9804" s="34">
        <v>63440</v>
      </c>
      <c r="B9804" s="35">
        <v>1</v>
      </c>
      <c r="C9804" s="35">
        <v>0</v>
      </c>
      <c r="D9804" s="2">
        <f t="shared" si="153"/>
        <v>1</v>
      </c>
    </row>
    <row r="9805" spans="1:4" x14ac:dyDescent="0.3">
      <c r="A9805" s="34">
        <v>63441</v>
      </c>
      <c r="B9805" s="35">
        <v>1</v>
      </c>
      <c r="C9805" s="35">
        <v>0</v>
      </c>
      <c r="D9805" s="2">
        <f t="shared" si="153"/>
        <v>1</v>
      </c>
    </row>
    <row r="9806" spans="1:4" x14ac:dyDescent="0.3">
      <c r="A9806" s="34">
        <v>63446</v>
      </c>
      <c r="B9806" s="35">
        <v>1</v>
      </c>
      <c r="C9806" s="35">
        <v>0</v>
      </c>
      <c r="D9806" s="2">
        <f t="shared" si="153"/>
        <v>1</v>
      </c>
    </row>
    <row r="9807" spans="1:4" x14ac:dyDescent="0.3">
      <c r="A9807" s="34">
        <v>63453</v>
      </c>
      <c r="B9807" s="35">
        <v>1</v>
      </c>
      <c r="C9807" s="35">
        <v>0</v>
      </c>
      <c r="D9807" s="2">
        <f t="shared" si="153"/>
        <v>1</v>
      </c>
    </row>
    <row r="9808" spans="1:4" x14ac:dyDescent="0.3">
      <c r="A9808" s="34">
        <v>63455</v>
      </c>
      <c r="B9808" s="35">
        <v>1</v>
      </c>
      <c r="C9808" s="35">
        <v>0</v>
      </c>
      <c r="D9808" s="2">
        <f t="shared" si="153"/>
        <v>1</v>
      </c>
    </row>
    <row r="9809" spans="1:4" x14ac:dyDescent="0.3">
      <c r="A9809" s="34">
        <v>63456</v>
      </c>
      <c r="B9809" s="35">
        <v>1</v>
      </c>
      <c r="C9809" s="35">
        <v>0</v>
      </c>
      <c r="D9809" s="2">
        <f t="shared" si="153"/>
        <v>1</v>
      </c>
    </row>
    <row r="9810" spans="1:4" x14ac:dyDescent="0.3">
      <c r="A9810" s="34">
        <v>63457</v>
      </c>
      <c r="B9810" s="35">
        <v>1</v>
      </c>
      <c r="C9810" s="35">
        <v>0</v>
      </c>
      <c r="D9810" s="2">
        <f t="shared" si="153"/>
        <v>1</v>
      </c>
    </row>
    <row r="9811" spans="1:4" x14ac:dyDescent="0.3">
      <c r="A9811" s="34">
        <v>63458</v>
      </c>
      <c r="B9811" s="35">
        <v>2</v>
      </c>
      <c r="C9811" s="35">
        <v>2</v>
      </c>
      <c r="D9811" s="2">
        <f t="shared" si="153"/>
        <v>4</v>
      </c>
    </row>
    <row r="9812" spans="1:4" x14ac:dyDescent="0.3">
      <c r="A9812" s="34">
        <v>63459</v>
      </c>
      <c r="B9812" s="35">
        <v>1</v>
      </c>
      <c r="C9812" s="35">
        <v>1</v>
      </c>
      <c r="D9812" s="2">
        <f t="shared" si="153"/>
        <v>2</v>
      </c>
    </row>
    <row r="9813" spans="1:4" x14ac:dyDescent="0.3">
      <c r="A9813" s="34">
        <v>63460</v>
      </c>
      <c r="B9813" s="35">
        <v>1</v>
      </c>
      <c r="C9813" s="35">
        <v>0</v>
      </c>
      <c r="D9813" s="2">
        <f t="shared" si="153"/>
        <v>1</v>
      </c>
    </row>
    <row r="9814" spans="1:4" x14ac:dyDescent="0.3">
      <c r="A9814" s="34">
        <v>63463</v>
      </c>
      <c r="B9814" s="35">
        <v>1</v>
      </c>
      <c r="C9814" s="35">
        <v>0</v>
      </c>
      <c r="D9814" s="2">
        <f t="shared" si="153"/>
        <v>1</v>
      </c>
    </row>
    <row r="9815" spans="1:4" x14ac:dyDescent="0.3">
      <c r="A9815" s="34">
        <v>63466</v>
      </c>
      <c r="B9815" s="35">
        <v>1</v>
      </c>
      <c r="C9815" s="35">
        <v>0</v>
      </c>
      <c r="D9815" s="2">
        <f t="shared" si="153"/>
        <v>1</v>
      </c>
    </row>
    <row r="9816" spans="1:4" x14ac:dyDescent="0.3">
      <c r="A9816" s="34">
        <v>63472</v>
      </c>
      <c r="B9816" s="35">
        <v>1</v>
      </c>
      <c r="C9816" s="35">
        <v>0</v>
      </c>
      <c r="D9816" s="2">
        <f t="shared" si="153"/>
        <v>1</v>
      </c>
    </row>
    <row r="9817" spans="1:4" x14ac:dyDescent="0.3">
      <c r="A9817" s="34">
        <v>63474</v>
      </c>
      <c r="B9817" s="35">
        <v>1</v>
      </c>
      <c r="C9817" s="35">
        <v>1</v>
      </c>
      <c r="D9817" s="2">
        <f t="shared" si="153"/>
        <v>2</v>
      </c>
    </row>
    <row r="9818" spans="1:4" x14ac:dyDescent="0.3">
      <c r="A9818" s="34">
        <v>63478</v>
      </c>
      <c r="B9818" s="35">
        <v>1</v>
      </c>
      <c r="C9818" s="35">
        <v>1</v>
      </c>
      <c r="D9818" s="2">
        <f t="shared" si="153"/>
        <v>2</v>
      </c>
    </row>
    <row r="9819" spans="1:4" x14ac:dyDescent="0.3">
      <c r="A9819" s="34">
        <v>63479</v>
      </c>
      <c r="B9819" s="35">
        <v>1</v>
      </c>
      <c r="C9819" s="35">
        <v>0</v>
      </c>
      <c r="D9819" s="2">
        <f t="shared" si="153"/>
        <v>1</v>
      </c>
    </row>
    <row r="9820" spans="1:4" x14ac:dyDescent="0.3">
      <c r="A9820" s="34">
        <v>63481</v>
      </c>
      <c r="B9820" s="35">
        <v>1</v>
      </c>
      <c r="C9820" s="35">
        <v>1</v>
      </c>
      <c r="D9820" s="2">
        <f t="shared" si="153"/>
        <v>2</v>
      </c>
    </row>
    <row r="9821" spans="1:4" x14ac:dyDescent="0.3">
      <c r="A9821" s="34">
        <v>63485</v>
      </c>
      <c r="B9821" s="35">
        <v>2</v>
      </c>
      <c r="C9821" s="35">
        <v>0</v>
      </c>
      <c r="D9821" s="2">
        <f t="shared" si="153"/>
        <v>2</v>
      </c>
    </row>
    <row r="9822" spans="1:4" x14ac:dyDescent="0.3">
      <c r="A9822" s="34">
        <v>63543</v>
      </c>
      <c r="B9822" s="35">
        <v>1</v>
      </c>
      <c r="C9822" s="35">
        <v>0</v>
      </c>
      <c r="D9822" s="2">
        <f t="shared" si="153"/>
        <v>1</v>
      </c>
    </row>
    <row r="9823" spans="1:4" x14ac:dyDescent="0.3">
      <c r="A9823" s="34">
        <v>63550</v>
      </c>
      <c r="B9823" s="35">
        <v>1</v>
      </c>
      <c r="C9823" s="35">
        <v>0</v>
      </c>
      <c r="D9823" s="2">
        <f t="shared" si="153"/>
        <v>1</v>
      </c>
    </row>
    <row r="9824" spans="1:4" x14ac:dyDescent="0.3">
      <c r="A9824" s="34">
        <v>63551</v>
      </c>
      <c r="B9824" s="35">
        <v>1</v>
      </c>
      <c r="C9824" s="35">
        <v>1</v>
      </c>
      <c r="D9824" s="2">
        <f t="shared" si="153"/>
        <v>2</v>
      </c>
    </row>
    <row r="9825" spans="1:4" x14ac:dyDescent="0.3">
      <c r="A9825" s="34">
        <v>63552</v>
      </c>
      <c r="B9825" s="35">
        <v>1</v>
      </c>
      <c r="C9825" s="35">
        <v>0</v>
      </c>
      <c r="D9825" s="2">
        <f t="shared" si="153"/>
        <v>1</v>
      </c>
    </row>
    <row r="9826" spans="1:4" x14ac:dyDescent="0.3">
      <c r="A9826" s="34">
        <v>63554</v>
      </c>
      <c r="B9826" s="35">
        <v>1</v>
      </c>
      <c r="C9826" s="35">
        <v>0</v>
      </c>
      <c r="D9826" s="2">
        <f t="shared" si="153"/>
        <v>1</v>
      </c>
    </row>
    <row r="9827" spans="1:4" x14ac:dyDescent="0.3">
      <c r="A9827" s="34">
        <v>63555</v>
      </c>
      <c r="B9827" s="35">
        <v>1</v>
      </c>
      <c r="C9827" s="35">
        <v>0</v>
      </c>
      <c r="D9827" s="2">
        <f t="shared" si="153"/>
        <v>1</v>
      </c>
    </row>
    <row r="9828" spans="1:4" x14ac:dyDescent="0.3">
      <c r="A9828" s="34">
        <v>63557</v>
      </c>
      <c r="B9828" s="35">
        <v>1</v>
      </c>
      <c r="C9828" s="35">
        <v>0</v>
      </c>
      <c r="D9828" s="2">
        <f t="shared" si="153"/>
        <v>1</v>
      </c>
    </row>
    <row r="9829" spans="1:4" x14ac:dyDescent="0.3">
      <c r="A9829" s="34">
        <v>63559</v>
      </c>
      <c r="B9829" s="35">
        <v>1</v>
      </c>
      <c r="C9829" s="35">
        <v>0</v>
      </c>
      <c r="D9829" s="2">
        <f t="shared" si="153"/>
        <v>1</v>
      </c>
    </row>
    <row r="9830" spans="1:4" x14ac:dyDescent="0.3">
      <c r="A9830" s="34">
        <v>63561</v>
      </c>
      <c r="B9830" s="35">
        <v>1</v>
      </c>
      <c r="C9830" s="35">
        <v>0</v>
      </c>
      <c r="D9830" s="2">
        <f t="shared" si="153"/>
        <v>1</v>
      </c>
    </row>
    <row r="9831" spans="1:4" x14ac:dyDescent="0.3">
      <c r="A9831" s="34">
        <v>63563</v>
      </c>
      <c r="B9831" s="35">
        <v>1</v>
      </c>
      <c r="C9831" s="35">
        <v>0</v>
      </c>
      <c r="D9831" s="2">
        <f t="shared" si="153"/>
        <v>1</v>
      </c>
    </row>
    <row r="9832" spans="1:4" x14ac:dyDescent="0.3">
      <c r="A9832" s="34">
        <v>63564</v>
      </c>
      <c r="B9832" s="35">
        <v>1</v>
      </c>
      <c r="C9832" s="35">
        <v>0</v>
      </c>
      <c r="D9832" s="2">
        <f t="shared" si="153"/>
        <v>1</v>
      </c>
    </row>
    <row r="9833" spans="1:4" x14ac:dyDescent="0.3">
      <c r="A9833" s="34">
        <v>63569</v>
      </c>
      <c r="B9833" s="35">
        <v>1</v>
      </c>
      <c r="C9833" s="35">
        <v>1</v>
      </c>
      <c r="D9833" s="2">
        <f t="shared" si="153"/>
        <v>2</v>
      </c>
    </row>
    <row r="9834" spans="1:4" x14ac:dyDescent="0.3">
      <c r="A9834" s="34">
        <v>63571</v>
      </c>
      <c r="B9834" s="35">
        <v>1</v>
      </c>
      <c r="C9834" s="35">
        <v>0</v>
      </c>
      <c r="D9834" s="2">
        <f t="shared" si="153"/>
        <v>1</v>
      </c>
    </row>
    <row r="9835" spans="1:4" x14ac:dyDescent="0.3">
      <c r="A9835" s="34">
        <v>63572</v>
      </c>
      <c r="B9835" s="35">
        <v>1</v>
      </c>
      <c r="C9835" s="35">
        <v>0</v>
      </c>
      <c r="D9835" s="2">
        <f t="shared" si="153"/>
        <v>1</v>
      </c>
    </row>
    <row r="9836" spans="1:4" x14ac:dyDescent="0.3">
      <c r="A9836" s="34">
        <v>63573</v>
      </c>
      <c r="B9836" s="35">
        <v>1</v>
      </c>
      <c r="C9836" s="35">
        <v>0</v>
      </c>
      <c r="D9836" s="2">
        <f t="shared" si="153"/>
        <v>1</v>
      </c>
    </row>
    <row r="9837" spans="1:4" x14ac:dyDescent="0.3">
      <c r="A9837" s="34">
        <v>63574</v>
      </c>
      <c r="B9837" s="35">
        <v>1</v>
      </c>
      <c r="C9837" s="35">
        <v>1</v>
      </c>
      <c r="D9837" s="2">
        <f t="shared" si="153"/>
        <v>2</v>
      </c>
    </row>
    <row r="9838" spans="1:4" x14ac:dyDescent="0.3">
      <c r="A9838" s="34">
        <v>63575</v>
      </c>
      <c r="B9838" s="35">
        <v>1</v>
      </c>
      <c r="C9838" s="35">
        <v>1</v>
      </c>
      <c r="D9838" s="2">
        <f t="shared" si="153"/>
        <v>2</v>
      </c>
    </row>
    <row r="9839" spans="1:4" x14ac:dyDescent="0.3">
      <c r="A9839" s="34">
        <v>63727</v>
      </c>
      <c r="B9839" s="35">
        <v>1</v>
      </c>
      <c r="C9839" s="35">
        <v>0</v>
      </c>
      <c r="D9839" s="2">
        <f t="shared" si="153"/>
        <v>1</v>
      </c>
    </row>
    <row r="9840" spans="1:4" x14ac:dyDescent="0.3">
      <c r="A9840" s="34">
        <v>63728</v>
      </c>
      <c r="B9840" s="35">
        <v>2</v>
      </c>
      <c r="C9840" s="35">
        <v>1</v>
      </c>
      <c r="D9840" s="2">
        <f t="shared" si="153"/>
        <v>3</v>
      </c>
    </row>
    <row r="9841" spans="1:4" x14ac:dyDescent="0.3">
      <c r="A9841" s="34">
        <v>63729</v>
      </c>
      <c r="B9841" s="35">
        <v>1</v>
      </c>
      <c r="C9841" s="35">
        <v>0</v>
      </c>
      <c r="D9841" s="2">
        <f t="shared" si="153"/>
        <v>1</v>
      </c>
    </row>
    <row r="9842" spans="1:4" x14ac:dyDescent="0.3">
      <c r="A9842" s="34">
        <v>63732</v>
      </c>
      <c r="B9842" s="35">
        <v>1</v>
      </c>
      <c r="C9842" s="35">
        <v>0</v>
      </c>
      <c r="D9842" s="2">
        <f t="shared" si="153"/>
        <v>1</v>
      </c>
    </row>
    <row r="9843" spans="1:4" x14ac:dyDescent="0.3">
      <c r="A9843" s="34">
        <v>63733</v>
      </c>
      <c r="B9843" s="35">
        <v>1</v>
      </c>
      <c r="C9843" s="35">
        <v>0</v>
      </c>
      <c r="D9843" s="2">
        <f t="shared" si="153"/>
        <v>1</v>
      </c>
    </row>
    <row r="9844" spans="1:4" x14ac:dyDescent="0.3">
      <c r="A9844" s="34">
        <v>63735</v>
      </c>
      <c r="B9844" s="35">
        <v>1</v>
      </c>
      <c r="C9844" s="35">
        <v>0</v>
      </c>
      <c r="D9844" s="2">
        <f t="shared" si="153"/>
        <v>1</v>
      </c>
    </row>
    <row r="9845" spans="1:4" x14ac:dyDescent="0.3">
      <c r="A9845" s="34">
        <v>63738</v>
      </c>
      <c r="B9845" s="35">
        <v>1</v>
      </c>
      <c r="C9845" s="35">
        <v>1</v>
      </c>
      <c r="D9845" s="2">
        <f t="shared" si="153"/>
        <v>2</v>
      </c>
    </row>
    <row r="9846" spans="1:4" x14ac:dyDescent="0.3">
      <c r="A9846" s="34">
        <v>63739</v>
      </c>
      <c r="B9846" s="35">
        <v>1</v>
      </c>
      <c r="C9846" s="35">
        <v>0</v>
      </c>
      <c r="D9846" s="2">
        <f t="shared" si="153"/>
        <v>1</v>
      </c>
    </row>
    <row r="9847" spans="1:4" x14ac:dyDescent="0.3">
      <c r="A9847" s="34">
        <v>63740</v>
      </c>
      <c r="B9847" s="35">
        <v>1</v>
      </c>
      <c r="C9847" s="35">
        <v>0</v>
      </c>
      <c r="D9847" s="2">
        <f t="shared" si="153"/>
        <v>1</v>
      </c>
    </row>
    <row r="9848" spans="1:4" x14ac:dyDescent="0.3">
      <c r="A9848" s="34">
        <v>63741</v>
      </c>
      <c r="B9848" s="35">
        <v>1</v>
      </c>
      <c r="C9848" s="35">
        <v>0</v>
      </c>
      <c r="D9848" s="2">
        <f t="shared" si="153"/>
        <v>1</v>
      </c>
    </row>
    <row r="9849" spans="1:4" x14ac:dyDescent="0.3">
      <c r="A9849" s="34">
        <v>63742</v>
      </c>
      <c r="B9849" s="35">
        <v>1</v>
      </c>
      <c r="C9849" s="35">
        <v>0</v>
      </c>
      <c r="D9849" s="2">
        <f t="shared" si="153"/>
        <v>1</v>
      </c>
    </row>
    <row r="9850" spans="1:4" x14ac:dyDescent="0.3">
      <c r="A9850" s="34">
        <v>63744</v>
      </c>
      <c r="B9850" s="35">
        <v>1</v>
      </c>
      <c r="C9850" s="35">
        <v>0</v>
      </c>
      <c r="D9850" s="2">
        <f t="shared" si="153"/>
        <v>1</v>
      </c>
    </row>
    <row r="9851" spans="1:4" x14ac:dyDescent="0.3">
      <c r="A9851" s="34">
        <v>63746</v>
      </c>
      <c r="B9851" s="35">
        <v>1</v>
      </c>
      <c r="C9851" s="35">
        <v>0</v>
      </c>
      <c r="D9851" s="2">
        <f t="shared" si="153"/>
        <v>1</v>
      </c>
    </row>
    <row r="9852" spans="1:4" x14ac:dyDescent="0.3">
      <c r="A9852" s="34">
        <v>63747</v>
      </c>
      <c r="B9852" s="35">
        <v>1</v>
      </c>
      <c r="C9852" s="35">
        <v>0</v>
      </c>
      <c r="D9852" s="2">
        <f t="shared" si="153"/>
        <v>1</v>
      </c>
    </row>
    <row r="9853" spans="1:4" x14ac:dyDescent="0.3">
      <c r="A9853" s="34">
        <v>63753</v>
      </c>
      <c r="B9853" s="35">
        <v>1</v>
      </c>
      <c r="C9853" s="35">
        <v>0</v>
      </c>
      <c r="D9853" s="2">
        <f t="shared" si="153"/>
        <v>1</v>
      </c>
    </row>
    <row r="9854" spans="1:4" x14ac:dyDescent="0.3">
      <c r="A9854" s="34">
        <v>63755</v>
      </c>
      <c r="B9854" s="35">
        <v>1</v>
      </c>
      <c r="C9854" s="35">
        <v>0</v>
      </c>
      <c r="D9854" s="2">
        <f t="shared" si="153"/>
        <v>1</v>
      </c>
    </row>
    <row r="9855" spans="1:4" x14ac:dyDescent="0.3">
      <c r="A9855" s="34">
        <v>63756</v>
      </c>
      <c r="B9855" s="35">
        <v>1</v>
      </c>
      <c r="C9855" s="35">
        <v>0</v>
      </c>
      <c r="D9855" s="2">
        <f t="shared" si="153"/>
        <v>1</v>
      </c>
    </row>
    <row r="9856" spans="1:4" x14ac:dyDescent="0.3">
      <c r="A9856" s="34">
        <v>63758</v>
      </c>
      <c r="B9856" s="35">
        <v>1</v>
      </c>
      <c r="C9856" s="35">
        <v>0</v>
      </c>
      <c r="D9856" s="2">
        <f t="shared" si="153"/>
        <v>1</v>
      </c>
    </row>
    <row r="9857" spans="1:4" x14ac:dyDescent="0.3">
      <c r="A9857" s="34">
        <v>63761</v>
      </c>
      <c r="B9857" s="35">
        <v>1</v>
      </c>
      <c r="C9857" s="35">
        <v>0</v>
      </c>
      <c r="D9857" s="2">
        <f t="shared" si="153"/>
        <v>1</v>
      </c>
    </row>
    <row r="9858" spans="1:4" x14ac:dyDescent="0.3">
      <c r="A9858" s="34">
        <v>63762</v>
      </c>
      <c r="B9858" s="35">
        <v>1</v>
      </c>
      <c r="C9858" s="35">
        <v>0</v>
      </c>
      <c r="D9858" s="2">
        <f t="shared" si="153"/>
        <v>1</v>
      </c>
    </row>
    <row r="9859" spans="1:4" x14ac:dyDescent="0.3">
      <c r="A9859" s="34">
        <v>63764</v>
      </c>
      <c r="B9859" s="35">
        <v>1</v>
      </c>
      <c r="C9859" s="35">
        <v>0</v>
      </c>
      <c r="D9859" s="2">
        <f t="shared" ref="D9859:D9922" si="154">B9859+C9859</f>
        <v>1</v>
      </c>
    </row>
    <row r="9860" spans="1:4" x14ac:dyDescent="0.3">
      <c r="A9860" s="34">
        <v>63766</v>
      </c>
      <c r="B9860" s="35">
        <v>1</v>
      </c>
      <c r="C9860" s="35">
        <v>0</v>
      </c>
      <c r="D9860" s="2">
        <f t="shared" si="154"/>
        <v>1</v>
      </c>
    </row>
    <row r="9861" spans="1:4" x14ac:dyDescent="0.3">
      <c r="A9861" s="34">
        <v>63767</v>
      </c>
      <c r="B9861" s="35">
        <v>1</v>
      </c>
      <c r="C9861" s="35">
        <v>1</v>
      </c>
      <c r="D9861" s="2">
        <f t="shared" si="154"/>
        <v>2</v>
      </c>
    </row>
    <row r="9862" spans="1:4" x14ac:dyDescent="0.3">
      <c r="A9862" s="34">
        <v>63772</v>
      </c>
      <c r="B9862" s="35">
        <v>1</v>
      </c>
      <c r="C9862" s="35">
        <v>0</v>
      </c>
      <c r="D9862" s="2">
        <f t="shared" si="154"/>
        <v>1</v>
      </c>
    </row>
    <row r="9863" spans="1:4" x14ac:dyDescent="0.3">
      <c r="A9863" s="34">
        <v>63773</v>
      </c>
      <c r="B9863" s="35">
        <v>1</v>
      </c>
      <c r="C9863" s="35">
        <v>0</v>
      </c>
      <c r="D9863" s="2">
        <f t="shared" si="154"/>
        <v>1</v>
      </c>
    </row>
    <row r="9864" spans="1:4" x14ac:dyDescent="0.3">
      <c r="A9864" s="34">
        <v>63774</v>
      </c>
      <c r="B9864" s="35">
        <v>1</v>
      </c>
      <c r="C9864" s="35">
        <v>0</v>
      </c>
      <c r="D9864" s="2">
        <f t="shared" si="154"/>
        <v>1</v>
      </c>
    </row>
    <row r="9865" spans="1:4" x14ac:dyDescent="0.3">
      <c r="A9865" s="34">
        <v>63776</v>
      </c>
      <c r="B9865" s="35">
        <v>1</v>
      </c>
      <c r="C9865" s="35">
        <v>0</v>
      </c>
      <c r="D9865" s="2">
        <f t="shared" si="154"/>
        <v>1</v>
      </c>
    </row>
    <row r="9866" spans="1:4" x14ac:dyDescent="0.3">
      <c r="A9866" s="34">
        <v>63777</v>
      </c>
      <c r="B9866" s="35">
        <v>1</v>
      </c>
      <c r="C9866" s="35">
        <v>0</v>
      </c>
      <c r="D9866" s="2">
        <f t="shared" si="154"/>
        <v>1</v>
      </c>
    </row>
    <row r="9867" spans="1:4" x14ac:dyDescent="0.3">
      <c r="A9867" s="34">
        <v>63779</v>
      </c>
      <c r="B9867" s="35">
        <v>1</v>
      </c>
      <c r="C9867" s="35">
        <v>0</v>
      </c>
      <c r="D9867" s="2">
        <f t="shared" si="154"/>
        <v>1</v>
      </c>
    </row>
    <row r="9868" spans="1:4" x14ac:dyDescent="0.3">
      <c r="A9868" s="34">
        <v>63788</v>
      </c>
      <c r="B9868" s="35">
        <v>1</v>
      </c>
      <c r="C9868" s="35">
        <v>0</v>
      </c>
      <c r="D9868" s="2">
        <f t="shared" si="154"/>
        <v>1</v>
      </c>
    </row>
    <row r="9869" spans="1:4" x14ac:dyDescent="0.3">
      <c r="A9869" s="34">
        <v>63789</v>
      </c>
      <c r="B9869" s="35">
        <v>1</v>
      </c>
      <c r="C9869" s="35">
        <v>0</v>
      </c>
      <c r="D9869" s="2">
        <f t="shared" si="154"/>
        <v>1</v>
      </c>
    </row>
    <row r="9870" spans="1:4" x14ac:dyDescent="0.3">
      <c r="A9870" s="34">
        <v>63790</v>
      </c>
      <c r="B9870" s="35">
        <v>1</v>
      </c>
      <c r="C9870" s="35">
        <v>0</v>
      </c>
      <c r="D9870" s="2">
        <f t="shared" si="154"/>
        <v>1</v>
      </c>
    </row>
    <row r="9871" spans="1:4" x14ac:dyDescent="0.3">
      <c r="A9871" s="34">
        <v>63791</v>
      </c>
      <c r="B9871" s="35">
        <v>1</v>
      </c>
      <c r="C9871" s="35">
        <v>0</v>
      </c>
      <c r="D9871" s="2">
        <f t="shared" si="154"/>
        <v>1</v>
      </c>
    </row>
    <row r="9872" spans="1:4" x14ac:dyDescent="0.3">
      <c r="A9872" s="34">
        <v>63795</v>
      </c>
      <c r="B9872" s="35">
        <v>1</v>
      </c>
      <c r="C9872" s="35">
        <v>0</v>
      </c>
      <c r="D9872" s="2">
        <f t="shared" si="154"/>
        <v>1</v>
      </c>
    </row>
    <row r="9873" spans="1:4" x14ac:dyDescent="0.3">
      <c r="A9873" s="34">
        <v>63796</v>
      </c>
      <c r="B9873" s="35">
        <v>1</v>
      </c>
      <c r="C9873" s="35">
        <v>0</v>
      </c>
      <c r="D9873" s="2">
        <f t="shared" si="154"/>
        <v>1</v>
      </c>
    </row>
    <row r="9874" spans="1:4" x14ac:dyDescent="0.3">
      <c r="A9874" s="34">
        <v>63797</v>
      </c>
      <c r="B9874" s="35">
        <v>1</v>
      </c>
      <c r="C9874" s="35">
        <v>0</v>
      </c>
      <c r="D9874" s="2">
        <f t="shared" si="154"/>
        <v>1</v>
      </c>
    </row>
    <row r="9875" spans="1:4" x14ac:dyDescent="0.3">
      <c r="A9875" s="34">
        <v>63798</v>
      </c>
      <c r="B9875" s="35">
        <v>1</v>
      </c>
      <c r="C9875" s="35">
        <v>0</v>
      </c>
      <c r="D9875" s="2">
        <f t="shared" si="154"/>
        <v>1</v>
      </c>
    </row>
    <row r="9876" spans="1:4" x14ac:dyDescent="0.3">
      <c r="A9876" s="34">
        <v>63800</v>
      </c>
      <c r="B9876" s="35">
        <v>1</v>
      </c>
      <c r="C9876" s="35">
        <v>0</v>
      </c>
      <c r="D9876" s="2">
        <f t="shared" si="154"/>
        <v>1</v>
      </c>
    </row>
    <row r="9877" spans="1:4" x14ac:dyDescent="0.3">
      <c r="A9877" s="34">
        <v>63801</v>
      </c>
      <c r="B9877" s="35">
        <v>1</v>
      </c>
      <c r="C9877" s="35">
        <v>0</v>
      </c>
      <c r="D9877" s="2">
        <f t="shared" si="154"/>
        <v>1</v>
      </c>
    </row>
    <row r="9878" spans="1:4" x14ac:dyDescent="0.3">
      <c r="A9878" s="34">
        <v>63802</v>
      </c>
      <c r="B9878" s="35">
        <v>1</v>
      </c>
      <c r="C9878" s="35">
        <v>0</v>
      </c>
      <c r="D9878" s="2">
        <f t="shared" si="154"/>
        <v>1</v>
      </c>
    </row>
    <row r="9879" spans="1:4" x14ac:dyDescent="0.3">
      <c r="A9879" s="34">
        <v>63803</v>
      </c>
      <c r="B9879" s="35">
        <v>1</v>
      </c>
      <c r="C9879" s="35">
        <v>0</v>
      </c>
      <c r="D9879" s="2">
        <f t="shared" si="154"/>
        <v>1</v>
      </c>
    </row>
    <row r="9880" spans="1:4" x14ac:dyDescent="0.3">
      <c r="A9880" s="34">
        <v>63804</v>
      </c>
      <c r="B9880" s="35">
        <v>1</v>
      </c>
      <c r="C9880" s="35">
        <v>0</v>
      </c>
      <c r="D9880" s="2">
        <f t="shared" si="154"/>
        <v>1</v>
      </c>
    </row>
    <row r="9881" spans="1:4" x14ac:dyDescent="0.3">
      <c r="A9881" s="34">
        <v>63805</v>
      </c>
      <c r="B9881" s="35">
        <v>1</v>
      </c>
      <c r="C9881" s="35">
        <v>0</v>
      </c>
      <c r="D9881" s="2">
        <f t="shared" si="154"/>
        <v>1</v>
      </c>
    </row>
    <row r="9882" spans="1:4" x14ac:dyDescent="0.3">
      <c r="A9882" s="34">
        <v>63807</v>
      </c>
      <c r="B9882" s="35">
        <v>1</v>
      </c>
      <c r="C9882" s="35">
        <v>0</v>
      </c>
      <c r="D9882" s="2">
        <f t="shared" si="154"/>
        <v>1</v>
      </c>
    </row>
    <row r="9883" spans="1:4" x14ac:dyDescent="0.3">
      <c r="A9883" s="34">
        <v>63808</v>
      </c>
      <c r="B9883" s="35">
        <v>1</v>
      </c>
      <c r="C9883" s="35">
        <v>0</v>
      </c>
      <c r="D9883" s="2">
        <f t="shared" si="154"/>
        <v>1</v>
      </c>
    </row>
    <row r="9884" spans="1:4" x14ac:dyDescent="0.3">
      <c r="A9884" s="34">
        <v>63810</v>
      </c>
      <c r="B9884" s="35">
        <v>1</v>
      </c>
      <c r="C9884" s="35">
        <v>0</v>
      </c>
      <c r="D9884" s="2">
        <f t="shared" si="154"/>
        <v>1</v>
      </c>
    </row>
    <row r="9885" spans="1:4" x14ac:dyDescent="0.3">
      <c r="A9885" s="34">
        <v>63812</v>
      </c>
      <c r="B9885" s="35">
        <v>1</v>
      </c>
      <c r="C9885" s="35">
        <v>0</v>
      </c>
      <c r="D9885" s="2">
        <f t="shared" si="154"/>
        <v>1</v>
      </c>
    </row>
    <row r="9886" spans="1:4" x14ac:dyDescent="0.3">
      <c r="A9886" s="34">
        <v>63814</v>
      </c>
      <c r="B9886" s="35">
        <v>1</v>
      </c>
      <c r="C9886" s="35">
        <v>0</v>
      </c>
      <c r="D9886" s="2">
        <f t="shared" si="154"/>
        <v>1</v>
      </c>
    </row>
    <row r="9887" spans="1:4" x14ac:dyDescent="0.3">
      <c r="A9887" s="34">
        <v>63816</v>
      </c>
      <c r="B9887" s="35">
        <v>3</v>
      </c>
      <c r="C9887" s="35">
        <v>1</v>
      </c>
      <c r="D9887" s="2">
        <f t="shared" si="154"/>
        <v>4</v>
      </c>
    </row>
    <row r="9888" spans="1:4" x14ac:dyDescent="0.3">
      <c r="A9888" s="34">
        <v>63819</v>
      </c>
      <c r="B9888" s="35">
        <v>1</v>
      </c>
      <c r="C9888" s="35">
        <v>0</v>
      </c>
      <c r="D9888" s="2">
        <f t="shared" si="154"/>
        <v>1</v>
      </c>
    </row>
    <row r="9889" spans="1:4" x14ac:dyDescent="0.3">
      <c r="A9889" s="34">
        <v>63820</v>
      </c>
      <c r="B9889" s="35">
        <v>1</v>
      </c>
      <c r="C9889" s="35">
        <v>1</v>
      </c>
      <c r="D9889" s="2">
        <f t="shared" si="154"/>
        <v>2</v>
      </c>
    </row>
    <row r="9890" spans="1:4" x14ac:dyDescent="0.3">
      <c r="A9890" s="34">
        <v>63822</v>
      </c>
      <c r="B9890" s="35">
        <v>1</v>
      </c>
      <c r="C9890" s="35">
        <v>0</v>
      </c>
      <c r="D9890" s="2">
        <f t="shared" si="154"/>
        <v>1</v>
      </c>
    </row>
    <row r="9891" spans="1:4" x14ac:dyDescent="0.3">
      <c r="A9891" s="34">
        <v>63826</v>
      </c>
      <c r="B9891" s="35">
        <v>1</v>
      </c>
      <c r="C9891" s="35">
        <v>0</v>
      </c>
      <c r="D9891" s="2">
        <f t="shared" si="154"/>
        <v>1</v>
      </c>
    </row>
    <row r="9892" spans="1:4" x14ac:dyDescent="0.3">
      <c r="A9892" s="34">
        <v>63827</v>
      </c>
      <c r="B9892" s="35">
        <v>1</v>
      </c>
      <c r="C9892" s="35">
        <v>1</v>
      </c>
      <c r="D9892" s="2">
        <f t="shared" si="154"/>
        <v>2</v>
      </c>
    </row>
    <row r="9893" spans="1:4" x14ac:dyDescent="0.3">
      <c r="A9893" s="34">
        <v>63828</v>
      </c>
      <c r="B9893" s="35">
        <v>1</v>
      </c>
      <c r="C9893" s="35">
        <v>0</v>
      </c>
      <c r="D9893" s="2">
        <f t="shared" si="154"/>
        <v>1</v>
      </c>
    </row>
    <row r="9894" spans="1:4" x14ac:dyDescent="0.3">
      <c r="A9894" s="34">
        <v>63831</v>
      </c>
      <c r="B9894" s="35">
        <v>1</v>
      </c>
      <c r="C9894" s="35">
        <v>0</v>
      </c>
      <c r="D9894" s="2">
        <f t="shared" si="154"/>
        <v>1</v>
      </c>
    </row>
    <row r="9895" spans="1:4" x14ac:dyDescent="0.3">
      <c r="A9895" s="34">
        <v>63841</v>
      </c>
      <c r="B9895" s="35">
        <v>1</v>
      </c>
      <c r="C9895" s="35">
        <v>0</v>
      </c>
      <c r="D9895" s="2">
        <f t="shared" si="154"/>
        <v>1</v>
      </c>
    </row>
    <row r="9896" spans="1:4" x14ac:dyDescent="0.3">
      <c r="A9896" s="34">
        <v>63843</v>
      </c>
      <c r="B9896" s="35">
        <v>1</v>
      </c>
      <c r="C9896" s="35">
        <v>0</v>
      </c>
      <c r="D9896" s="2">
        <f t="shared" si="154"/>
        <v>1</v>
      </c>
    </row>
    <row r="9897" spans="1:4" x14ac:dyDescent="0.3">
      <c r="A9897" s="34">
        <v>63844</v>
      </c>
      <c r="B9897" s="35">
        <v>1</v>
      </c>
      <c r="C9897" s="35">
        <v>0</v>
      </c>
      <c r="D9897" s="2">
        <f t="shared" si="154"/>
        <v>1</v>
      </c>
    </row>
    <row r="9898" spans="1:4" x14ac:dyDescent="0.3">
      <c r="A9898" s="34">
        <v>63845</v>
      </c>
      <c r="B9898" s="35">
        <v>1</v>
      </c>
      <c r="C9898" s="35">
        <v>1</v>
      </c>
      <c r="D9898" s="2">
        <f t="shared" si="154"/>
        <v>2</v>
      </c>
    </row>
    <row r="9899" spans="1:4" x14ac:dyDescent="0.3">
      <c r="A9899" s="34">
        <v>63846</v>
      </c>
      <c r="B9899" s="35">
        <v>2</v>
      </c>
      <c r="C9899" s="35">
        <v>1</v>
      </c>
      <c r="D9899" s="2">
        <f t="shared" si="154"/>
        <v>3</v>
      </c>
    </row>
    <row r="9900" spans="1:4" x14ac:dyDescent="0.3">
      <c r="A9900" s="34">
        <v>63848</v>
      </c>
      <c r="B9900" s="35">
        <v>1</v>
      </c>
      <c r="C9900" s="35">
        <v>0</v>
      </c>
      <c r="D9900" s="2">
        <f t="shared" si="154"/>
        <v>1</v>
      </c>
    </row>
    <row r="9901" spans="1:4" x14ac:dyDescent="0.3">
      <c r="A9901" s="34">
        <v>63865</v>
      </c>
      <c r="B9901" s="35">
        <v>1</v>
      </c>
      <c r="C9901" s="35">
        <v>0</v>
      </c>
      <c r="D9901" s="2">
        <f t="shared" si="154"/>
        <v>1</v>
      </c>
    </row>
    <row r="9902" spans="1:4" x14ac:dyDescent="0.3">
      <c r="A9902" s="34">
        <v>63876</v>
      </c>
      <c r="B9902" s="35">
        <v>1</v>
      </c>
      <c r="C9902" s="35">
        <v>0</v>
      </c>
      <c r="D9902" s="2">
        <f t="shared" si="154"/>
        <v>1</v>
      </c>
    </row>
    <row r="9903" spans="1:4" x14ac:dyDescent="0.3">
      <c r="A9903" s="34">
        <v>63877</v>
      </c>
      <c r="B9903" s="35">
        <v>1</v>
      </c>
      <c r="C9903" s="35">
        <v>1</v>
      </c>
      <c r="D9903" s="2">
        <f t="shared" si="154"/>
        <v>2</v>
      </c>
    </row>
    <row r="9904" spans="1:4" x14ac:dyDescent="0.3">
      <c r="A9904" s="34">
        <v>63880</v>
      </c>
      <c r="B9904" s="35">
        <v>1</v>
      </c>
      <c r="C9904" s="35">
        <v>0</v>
      </c>
      <c r="D9904" s="2">
        <f t="shared" si="154"/>
        <v>1</v>
      </c>
    </row>
    <row r="9905" spans="1:4" x14ac:dyDescent="0.3">
      <c r="A9905" s="34">
        <v>63884</v>
      </c>
      <c r="B9905" s="35">
        <v>1</v>
      </c>
      <c r="C9905" s="35">
        <v>1</v>
      </c>
      <c r="D9905" s="2">
        <f t="shared" si="154"/>
        <v>2</v>
      </c>
    </row>
    <row r="9906" spans="1:4" x14ac:dyDescent="0.3">
      <c r="A9906" s="34">
        <v>63886</v>
      </c>
      <c r="B9906" s="35">
        <v>1</v>
      </c>
      <c r="C9906" s="35">
        <v>0</v>
      </c>
      <c r="D9906" s="2">
        <f t="shared" si="154"/>
        <v>1</v>
      </c>
    </row>
    <row r="9907" spans="1:4" x14ac:dyDescent="0.3">
      <c r="A9907" s="34">
        <v>63889</v>
      </c>
      <c r="B9907" s="35">
        <v>1</v>
      </c>
      <c r="C9907" s="35">
        <v>0</v>
      </c>
      <c r="D9907" s="2">
        <f t="shared" si="154"/>
        <v>1</v>
      </c>
    </row>
    <row r="9908" spans="1:4" x14ac:dyDescent="0.3">
      <c r="A9908" s="34">
        <v>63891</v>
      </c>
      <c r="B9908" s="35">
        <v>1</v>
      </c>
      <c r="C9908" s="35">
        <v>0</v>
      </c>
      <c r="D9908" s="2">
        <f t="shared" si="154"/>
        <v>1</v>
      </c>
    </row>
    <row r="9909" spans="1:4" x14ac:dyDescent="0.3">
      <c r="A9909" s="34">
        <v>63897</v>
      </c>
      <c r="B9909" s="35">
        <v>1</v>
      </c>
      <c r="C9909" s="35">
        <v>0</v>
      </c>
      <c r="D9909" s="2">
        <f t="shared" si="154"/>
        <v>1</v>
      </c>
    </row>
    <row r="9910" spans="1:4" x14ac:dyDescent="0.3">
      <c r="A9910" s="34">
        <v>63899</v>
      </c>
      <c r="B9910" s="35">
        <v>1</v>
      </c>
      <c r="C9910" s="35">
        <v>0</v>
      </c>
      <c r="D9910" s="2">
        <f t="shared" si="154"/>
        <v>1</v>
      </c>
    </row>
    <row r="9911" spans="1:4" x14ac:dyDescent="0.3">
      <c r="A9911" s="34">
        <v>63902</v>
      </c>
      <c r="B9911" s="35">
        <v>1</v>
      </c>
      <c r="C9911" s="35">
        <v>0</v>
      </c>
      <c r="D9911" s="2">
        <f t="shared" si="154"/>
        <v>1</v>
      </c>
    </row>
    <row r="9912" spans="1:4" x14ac:dyDescent="0.3">
      <c r="A9912" s="34">
        <v>63905</v>
      </c>
      <c r="B9912" s="35">
        <v>1</v>
      </c>
      <c r="C9912" s="35">
        <v>0</v>
      </c>
      <c r="D9912" s="2">
        <f t="shared" si="154"/>
        <v>1</v>
      </c>
    </row>
    <row r="9913" spans="1:4" x14ac:dyDescent="0.3">
      <c r="A9913" s="34">
        <v>63910</v>
      </c>
      <c r="B9913" s="35">
        <v>1</v>
      </c>
      <c r="C9913" s="35">
        <v>0</v>
      </c>
      <c r="D9913" s="2">
        <f t="shared" si="154"/>
        <v>1</v>
      </c>
    </row>
    <row r="9914" spans="1:4" x14ac:dyDescent="0.3">
      <c r="A9914" s="34">
        <v>63912</v>
      </c>
      <c r="B9914" s="35">
        <v>1</v>
      </c>
      <c r="C9914" s="35">
        <v>0</v>
      </c>
      <c r="D9914" s="2">
        <f t="shared" si="154"/>
        <v>1</v>
      </c>
    </row>
    <row r="9915" spans="1:4" x14ac:dyDescent="0.3">
      <c r="A9915" s="34">
        <v>63913</v>
      </c>
      <c r="B9915" s="35">
        <v>1</v>
      </c>
      <c r="C9915" s="35">
        <v>0</v>
      </c>
      <c r="D9915" s="2">
        <f t="shared" si="154"/>
        <v>1</v>
      </c>
    </row>
    <row r="9916" spans="1:4" x14ac:dyDescent="0.3">
      <c r="A9916" s="34">
        <v>63915</v>
      </c>
      <c r="B9916" s="35">
        <v>1</v>
      </c>
      <c r="C9916" s="35">
        <v>0</v>
      </c>
      <c r="D9916" s="2">
        <f t="shared" si="154"/>
        <v>1</v>
      </c>
    </row>
    <row r="9917" spans="1:4" x14ac:dyDescent="0.3">
      <c r="A9917" s="34">
        <v>63916</v>
      </c>
      <c r="B9917" s="35">
        <v>1</v>
      </c>
      <c r="C9917" s="35">
        <v>0</v>
      </c>
      <c r="D9917" s="2">
        <f t="shared" si="154"/>
        <v>1</v>
      </c>
    </row>
    <row r="9918" spans="1:4" x14ac:dyDescent="0.3">
      <c r="A9918" s="34">
        <v>63920</v>
      </c>
      <c r="B9918" s="35">
        <v>1</v>
      </c>
      <c r="C9918" s="35">
        <v>0</v>
      </c>
      <c r="D9918" s="2">
        <f t="shared" si="154"/>
        <v>1</v>
      </c>
    </row>
    <row r="9919" spans="1:4" x14ac:dyDescent="0.3">
      <c r="A9919" s="34">
        <v>63922</v>
      </c>
      <c r="B9919" s="35">
        <v>1</v>
      </c>
      <c r="C9919" s="35">
        <v>0</v>
      </c>
      <c r="D9919" s="2">
        <f t="shared" si="154"/>
        <v>1</v>
      </c>
    </row>
    <row r="9920" spans="1:4" x14ac:dyDescent="0.3">
      <c r="A9920" s="34">
        <v>63926</v>
      </c>
      <c r="B9920" s="35">
        <v>1</v>
      </c>
      <c r="C9920" s="35">
        <v>0</v>
      </c>
      <c r="D9920" s="2">
        <f t="shared" si="154"/>
        <v>1</v>
      </c>
    </row>
    <row r="9921" spans="1:4" x14ac:dyDescent="0.3">
      <c r="A9921" s="34">
        <v>63930</v>
      </c>
      <c r="B9921" s="35">
        <v>1</v>
      </c>
      <c r="C9921" s="35">
        <v>1</v>
      </c>
      <c r="D9921" s="2">
        <f t="shared" si="154"/>
        <v>2</v>
      </c>
    </row>
    <row r="9922" spans="1:4" x14ac:dyDescent="0.3">
      <c r="A9922" s="34">
        <v>63931</v>
      </c>
      <c r="B9922" s="35">
        <v>1</v>
      </c>
      <c r="C9922" s="35">
        <v>0</v>
      </c>
      <c r="D9922" s="2">
        <f t="shared" si="154"/>
        <v>1</v>
      </c>
    </row>
    <row r="9923" spans="1:4" x14ac:dyDescent="0.3">
      <c r="A9923" s="34">
        <v>63933</v>
      </c>
      <c r="B9923" s="35">
        <v>2</v>
      </c>
      <c r="C9923" s="35">
        <v>1</v>
      </c>
      <c r="D9923" s="2">
        <f t="shared" ref="D9923:D9986" si="155">B9923+C9923</f>
        <v>3</v>
      </c>
    </row>
    <row r="9924" spans="1:4" x14ac:dyDescent="0.3">
      <c r="A9924" s="34">
        <v>63935</v>
      </c>
      <c r="B9924" s="35">
        <v>1</v>
      </c>
      <c r="C9924" s="35">
        <v>0</v>
      </c>
      <c r="D9924" s="2">
        <f t="shared" si="155"/>
        <v>1</v>
      </c>
    </row>
    <row r="9925" spans="1:4" x14ac:dyDescent="0.3">
      <c r="A9925" s="34">
        <v>63939</v>
      </c>
      <c r="B9925" s="35">
        <v>1</v>
      </c>
      <c r="C9925" s="35">
        <v>0</v>
      </c>
      <c r="D9925" s="2">
        <f t="shared" si="155"/>
        <v>1</v>
      </c>
    </row>
    <row r="9926" spans="1:4" x14ac:dyDescent="0.3">
      <c r="A9926" s="34">
        <v>63940</v>
      </c>
      <c r="B9926" s="35">
        <v>1</v>
      </c>
      <c r="C9926" s="35">
        <v>0</v>
      </c>
      <c r="D9926" s="2">
        <f t="shared" si="155"/>
        <v>1</v>
      </c>
    </row>
    <row r="9927" spans="1:4" x14ac:dyDescent="0.3">
      <c r="A9927" s="34">
        <v>63941</v>
      </c>
      <c r="B9927" s="35">
        <v>1</v>
      </c>
      <c r="C9927" s="35">
        <v>0</v>
      </c>
      <c r="D9927" s="2">
        <f t="shared" si="155"/>
        <v>1</v>
      </c>
    </row>
    <row r="9928" spans="1:4" x14ac:dyDescent="0.3">
      <c r="A9928" s="34">
        <v>63942</v>
      </c>
      <c r="B9928" s="35">
        <v>1</v>
      </c>
      <c r="C9928" s="35">
        <v>0</v>
      </c>
      <c r="D9928" s="2">
        <f t="shared" si="155"/>
        <v>1</v>
      </c>
    </row>
    <row r="9929" spans="1:4" x14ac:dyDescent="0.3">
      <c r="A9929" s="34">
        <v>63944</v>
      </c>
      <c r="B9929" s="35">
        <v>1</v>
      </c>
      <c r="C9929" s="35">
        <v>0</v>
      </c>
      <c r="D9929" s="2">
        <f t="shared" si="155"/>
        <v>1</v>
      </c>
    </row>
    <row r="9930" spans="1:4" x14ac:dyDescent="0.3">
      <c r="A9930" s="34">
        <v>63952</v>
      </c>
      <c r="B9930" s="35">
        <v>1</v>
      </c>
      <c r="C9930" s="35">
        <v>0</v>
      </c>
      <c r="D9930" s="2">
        <f t="shared" si="155"/>
        <v>1</v>
      </c>
    </row>
    <row r="9931" spans="1:4" x14ac:dyDescent="0.3">
      <c r="A9931" s="34">
        <v>63957</v>
      </c>
      <c r="B9931" s="35">
        <v>1</v>
      </c>
      <c r="C9931" s="35">
        <v>0</v>
      </c>
      <c r="D9931" s="2">
        <f t="shared" si="155"/>
        <v>1</v>
      </c>
    </row>
    <row r="9932" spans="1:4" x14ac:dyDescent="0.3">
      <c r="A9932" s="34">
        <v>63958</v>
      </c>
      <c r="B9932" s="35">
        <v>1</v>
      </c>
      <c r="C9932" s="35">
        <v>0</v>
      </c>
      <c r="D9932" s="2">
        <f t="shared" si="155"/>
        <v>1</v>
      </c>
    </row>
    <row r="9933" spans="1:4" x14ac:dyDescent="0.3">
      <c r="A9933" s="34">
        <v>63970</v>
      </c>
      <c r="B9933" s="35">
        <v>1</v>
      </c>
      <c r="C9933" s="35">
        <v>1</v>
      </c>
      <c r="D9933" s="2">
        <f t="shared" si="155"/>
        <v>2</v>
      </c>
    </row>
    <row r="9934" spans="1:4" x14ac:dyDescent="0.3">
      <c r="A9934" s="34">
        <v>63971</v>
      </c>
      <c r="B9934" s="35">
        <v>1</v>
      </c>
      <c r="C9934" s="35">
        <v>0</v>
      </c>
      <c r="D9934" s="2">
        <f t="shared" si="155"/>
        <v>1</v>
      </c>
    </row>
    <row r="9935" spans="1:4" x14ac:dyDescent="0.3">
      <c r="A9935" s="34">
        <v>63977</v>
      </c>
      <c r="B9935" s="35">
        <v>1</v>
      </c>
      <c r="C9935" s="35">
        <v>0</v>
      </c>
      <c r="D9935" s="2">
        <f t="shared" si="155"/>
        <v>1</v>
      </c>
    </row>
    <row r="9936" spans="1:4" x14ac:dyDescent="0.3">
      <c r="A9936" s="34">
        <v>63978</v>
      </c>
      <c r="B9936" s="35">
        <v>1</v>
      </c>
      <c r="C9936" s="35">
        <v>0</v>
      </c>
      <c r="D9936" s="2">
        <f t="shared" si="155"/>
        <v>1</v>
      </c>
    </row>
    <row r="9937" spans="1:4" x14ac:dyDescent="0.3">
      <c r="A9937" s="34">
        <v>63980</v>
      </c>
      <c r="B9937" s="35">
        <v>1</v>
      </c>
      <c r="C9937" s="35">
        <v>0</v>
      </c>
      <c r="D9937" s="2">
        <f t="shared" si="155"/>
        <v>1</v>
      </c>
    </row>
    <row r="9938" spans="1:4" x14ac:dyDescent="0.3">
      <c r="A9938" s="34">
        <v>63981</v>
      </c>
      <c r="B9938" s="35">
        <v>1</v>
      </c>
      <c r="C9938" s="35">
        <v>0</v>
      </c>
      <c r="D9938" s="2">
        <f t="shared" si="155"/>
        <v>1</v>
      </c>
    </row>
    <row r="9939" spans="1:4" x14ac:dyDescent="0.3">
      <c r="A9939" s="34">
        <v>63982</v>
      </c>
      <c r="B9939" s="35">
        <v>1</v>
      </c>
      <c r="C9939" s="35">
        <v>0</v>
      </c>
      <c r="D9939" s="2">
        <f t="shared" si="155"/>
        <v>1</v>
      </c>
    </row>
    <row r="9940" spans="1:4" x14ac:dyDescent="0.3">
      <c r="A9940" s="34">
        <v>63984</v>
      </c>
      <c r="B9940" s="35">
        <v>1</v>
      </c>
      <c r="C9940" s="35">
        <v>0</v>
      </c>
      <c r="D9940" s="2">
        <f t="shared" si="155"/>
        <v>1</v>
      </c>
    </row>
    <row r="9941" spans="1:4" x14ac:dyDescent="0.3">
      <c r="A9941" s="34">
        <v>63986</v>
      </c>
      <c r="B9941" s="35">
        <v>1</v>
      </c>
      <c r="C9941" s="35">
        <v>0</v>
      </c>
      <c r="D9941" s="2">
        <f t="shared" si="155"/>
        <v>1</v>
      </c>
    </row>
    <row r="9942" spans="1:4" x14ac:dyDescent="0.3">
      <c r="A9942" s="34">
        <v>63987</v>
      </c>
      <c r="B9942" s="35">
        <v>4</v>
      </c>
      <c r="C9942" s="35">
        <v>2</v>
      </c>
      <c r="D9942" s="2">
        <f t="shared" si="155"/>
        <v>6</v>
      </c>
    </row>
    <row r="9943" spans="1:4" x14ac:dyDescent="0.3">
      <c r="A9943" s="34">
        <v>63988</v>
      </c>
      <c r="B9943" s="35">
        <v>1</v>
      </c>
      <c r="C9943" s="35">
        <v>0</v>
      </c>
      <c r="D9943" s="2">
        <f t="shared" si="155"/>
        <v>1</v>
      </c>
    </row>
    <row r="9944" spans="1:4" x14ac:dyDescent="0.3">
      <c r="A9944" s="34">
        <v>63989</v>
      </c>
      <c r="B9944" s="35">
        <v>1</v>
      </c>
      <c r="C9944" s="35">
        <v>0</v>
      </c>
      <c r="D9944" s="2">
        <f t="shared" si="155"/>
        <v>1</v>
      </c>
    </row>
    <row r="9945" spans="1:4" x14ac:dyDescent="0.3">
      <c r="A9945" s="34">
        <v>63991</v>
      </c>
      <c r="B9945" s="35">
        <v>1</v>
      </c>
      <c r="C9945" s="35">
        <v>1</v>
      </c>
      <c r="D9945" s="2">
        <f t="shared" si="155"/>
        <v>2</v>
      </c>
    </row>
    <row r="9946" spans="1:4" x14ac:dyDescent="0.3">
      <c r="A9946" s="34">
        <v>63994</v>
      </c>
      <c r="B9946" s="35">
        <v>1</v>
      </c>
      <c r="C9946" s="35">
        <v>0</v>
      </c>
      <c r="D9946" s="2">
        <f t="shared" si="155"/>
        <v>1</v>
      </c>
    </row>
    <row r="9947" spans="1:4" x14ac:dyDescent="0.3">
      <c r="A9947" s="34">
        <v>63997</v>
      </c>
      <c r="B9947" s="35">
        <v>1</v>
      </c>
      <c r="C9947" s="35">
        <v>0</v>
      </c>
      <c r="D9947" s="2">
        <f t="shared" si="155"/>
        <v>1</v>
      </c>
    </row>
    <row r="9948" spans="1:4" x14ac:dyDescent="0.3">
      <c r="A9948" s="34">
        <v>63998</v>
      </c>
      <c r="B9948" s="35">
        <v>1</v>
      </c>
      <c r="C9948" s="35">
        <v>0</v>
      </c>
      <c r="D9948" s="2">
        <f t="shared" si="155"/>
        <v>1</v>
      </c>
    </row>
    <row r="9949" spans="1:4" x14ac:dyDescent="0.3">
      <c r="A9949" s="34">
        <v>63999</v>
      </c>
      <c r="B9949" s="35">
        <v>1</v>
      </c>
      <c r="C9949" s="35">
        <v>1</v>
      </c>
      <c r="D9949" s="2">
        <f t="shared" si="155"/>
        <v>2</v>
      </c>
    </row>
    <row r="9950" spans="1:4" x14ac:dyDescent="0.3">
      <c r="A9950" s="34">
        <v>64000</v>
      </c>
      <c r="B9950" s="35">
        <v>1</v>
      </c>
      <c r="C9950" s="35">
        <v>0</v>
      </c>
      <c r="D9950" s="2">
        <f t="shared" si="155"/>
        <v>1</v>
      </c>
    </row>
    <row r="9951" spans="1:4" x14ac:dyDescent="0.3">
      <c r="A9951" s="34">
        <v>64002</v>
      </c>
      <c r="B9951" s="35">
        <v>1</v>
      </c>
      <c r="C9951" s="35">
        <v>0</v>
      </c>
      <c r="D9951" s="2">
        <f t="shared" si="155"/>
        <v>1</v>
      </c>
    </row>
    <row r="9952" spans="1:4" x14ac:dyDescent="0.3">
      <c r="A9952" s="34">
        <v>64004</v>
      </c>
      <c r="B9952" s="35">
        <v>2</v>
      </c>
      <c r="C9952" s="35">
        <v>1</v>
      </c>
      <c r="D9952" s="2">
        <f t="shared" si="155"/>
        <v>3</v>
      </c>
    </row>
    <row r="9953" spans="1:4" x14ac:dyDescent="0.3">
      <c r="A9953" s="34">
        <v>64005</v>
      </c>
      <c r="B9953" s="35">
        <v>1</v>
      </c>
      <c r="C9953" s="35">
        <v>0</v>
      </c>
      <c r="D9953" s="2">
        <f t="shared" si="155"/>
        <v>1</v>
      </c>
    </row>
    <row r="9954" spans="1:4" x14ac:dyDescent="0.3">
      <c r="A9954" s="34">
        <v>64016</v>
      </c>
      <c r="B9954" s="35">
        <v>1</v>
      </c>
      <c r="C9954" s="35">
        <v>1</v>
      </c>
      <c r="D9954" s="2">
        <f t="shared" si="155"/>
        <v>2</v>
      </c>
    </row>
    <row r="9955" spans="1:4" x14ac:dyDescent="0.3">
      <c r="A9955" s="34">
        <v>64017</v>
      </c>
      <c r="B9955" s="35">
        <v>1</v>
      </c>
      <c r="C9955" s="35">
        <v>0</v>
      </c>
      <c r="D9955" s="2">
        <f t="shared" si="155"/>
        <v>1</v>
      </c>
    </row>
    <row r="9956" spans="1:4" x14ac:dyDescent="0.3">
      <c r="A9956" s="34">
        <v>64018</v>
      </c>
      <c r="B9956" s="35">
        <v>1</v>
      </c>
      <c r="C9956" s="35">
        <v>0</v>
      </c>
      <c r="D9956" s="2">
        <f t="shared" si="155"/>
        <v>1</v>
      </c>
    </row>
    <row r="9957" spans="1:4" x14ac:dyDescent="0.3">
      <c r="A9957" s="34">
        <v>64020</v>
      </c>
      <c r="B9957" s="35">
        <v>1</v>
      </c>
      <c r="C9957" s="35">
        <v>0</v>
      </c>
      <c r="D9957" s="2">
        <f t="shared" si="155"/>
        <v>1</v>
      </c>
    </row>
    <row r="9958" spans="1:4" x14ac:dyDescent="0.3">
      <c r="A9958" s="34">
        <v>64022</v>
      </c>
      <c r="B9958" s="35">
        <v>1</v>
      </c>
      <c r="C9958" s="35">
        <v>0</v>
      </c>
      <c r="D9958" s="2">
        <f t="shared" si="155"/>
        <v>1</v>
      </c>
    </row>
    <row r="9959" spans="1:4" x14ac:dyDescent="0.3">
      <c r="A9959" s="34">
        <v>64024</v>
      </c>
      <c r="B9959" s="35">
        <v>1</v>
      </c>
      <c r="C9959" s="35">
        <v>0</v>
      </c>
      <c r="D9959" s="2">
        <f t="shared" si="155"/>
        <v>1</v>
      </c>
    </row>
    <row r="9960" spans="1:4" x14ac:dyDescent="0.3">
      <c r="A9960" s="34">
        <v>64026</v>
      </c>
      <c r="B9960" s="35">
        <v>2</v>
      </c>
      <c r="C9960" s="35">
        <v>2</v>
      </c>
      <c r="D9960" s="2">
        <f t="shared" si="155"/>
        <v>4</v>
      </c>
    </row>
    <row r="9961" spans="1:4" x14ac:dyDescent="0.3">
      <c r="A9961" s="34">
        <v>64031</v>
      </c>
      <c r="B9961" s="35">
        <v>1</v>
      </c>
      <c r="C9961" s="35">
        <v>0</v>
      </c>
      <c r="D9961" s="2">
        <f t="shared" si="155"/>
        <v>1</v>
      </c>
    </row>
    <row r="9962" spans="1:4" x14ac:dyDescent="0.3">
      <c r="A9962" s="34">
        <v>64033</v>
      </c>
      <c r="B9962" s="35">
        <v>1</v>
      </c>
      <c r="C9962" s="35">
        <v>0</v>
      </c>
      <c r="D9962" s="2">
        <f t="shared" si="155"/>
        <v>1</v>
      </c>
    </row>
    <row r="9963" spans="1:4" x14ac:dyDescent="0.3">
      <c r="A9963" s="34">
        <v>64062</v>
      </c>
      <c r="B9963" s="35">
        <v>1</v>
      </c>
      <c r="C9963" s="35">
        <v>0</v>
      </c>
      <c r="D9963" s="2">
        <f t="shared" si="155"/>
        <v>1</v>
      </c>
    </row>
    <row r="9964" spans="1:4" x14ac:dyDescent="0.3">
      <c r="A9964" s="34">
        <v>64063</v>
      </c>
      <c r="B9964" s="35">
        <v>1</v>
      </c>
      <c r="C9964" s="35">
        <v>1</v>
      </c>
      <c r="D9964" s="2">
        <f t="shared" si="155"/>
        <v>2</v>
      </c>
    </row>
    <row r="9965" spans="1:4" x14ac:dyDescent="0.3">
      <c r="A9965" s="34">
        <v>64065</v>
      </c>
      <c r="B9965" s="35">
        <v>1</v>
      </c>
      <c r="C9965" s="35">
        <v>0</v>
      </c>
      <c r="D9965" s="2">
        <f t="shared" si="155"/>
        <v>1</v>
      </c>
    </row>
    <row r="9966" spans="1:4" x14ac:dyDescent="0.3">
      <c r="A9966" s="34">
        <v>64067</v>
      </c>
      <c r="B9966" s="35">
        <v>1</v>
      </c>
      <c r="C9966" s="35">
        <v>0</v>
      </c>
      <c r="D9966" s="2">
        <f t="shared" si="155"/>
        <v>1</v>
      </c>
    </row>
    <row r="9967" spans="1:4" x14ac:dyDescent="0.3">
      <c r="A9967" s="34">
        <v>64068</v>
      </c>
      <c r="B9967" s="35">
        <v>2</v>
      </c>
      <c r="C9967" s="35">
        <v>0</v>
      </c>
      <c r="D9967" s="2">
        <f t="shared" si="155"/>
        <v>2</v>
      </c>
    </row>
    <row r="9968" spans="1:4" x14ac:dyDescent="0.3">
      <c r="A9968" s="34">
        <v>64072</v>
      </c>
      <c r="B9968" s="35">
        <v>1</v>
      </c>
      <c r="C9968" s="35">
        <v>0</v>
      </c>
      <c r="D9968" s="2">
        <f t="shared" si="155"/>
        <v>1</v>
      </c>
    </row>
    <row r="9969" spans="1:4" x14ac:dyDescent="0.3">
      <c r="A9969" s="34">
        <v>64074</v>
      </c>
      <c r="B9969" s="35">
        <v>1</v>
      </c>
      <c r="C9969" s="35">
        <v>0</v>
      </c>
      <c r="D9969" s="2">
        <f t="shared" si="155"/>
        <v>1</v>
      </c>
    </row>
    <row r="9970" spans="1:4" x14ac:dyDescent="0.3">
      <c r="A9970" s="34">
        <v>64076</v>
      </c>
      <c r="B9970" s="35">
        <v>1</v>
      </c>
      <c r="C9970" s="35">
        <v>0</v>
      </c>
      <c r="D9970" s="2">
        <f t="shared" si="155"/>
        <v>1</v>
      </c>
    </row>
    <row r="9971" spans="1:4" x14ac:dyDescent="0.3">
      <c r="A9971" s="34">
        <v>64082</v>
      </c>
      <c r="B9971" s="35">
        <v>1</v>
      </c>
      <c r="C9971" s="35">
        <v>0</v>
      </c>
      <c r="D9971" s="2">
        <f t="shared" si="155"/>
        <v>1</v>
      </c>
    </row>
    <row r="9972" spans="1:4" x14ac:dyDescent="0.3">
      <c r="A9972" s="34">
        <v>64084</v>
      </c>
      <c r="B9972" s="35">
        <v>1</v>
      </c>
      <c r="C9972" s="35">
        <v>0</v>
      </c>
      <c r="D9972" s="2">
        <f t="shared" si="155"/>
        <v>1</v>
      </c>
    </row>
    <row r="9973" spans="1:4" x14ac:dyDescent="0.3">
      <c r="A9973" s="34">
        <v>64086</v>
      </c>
      <c r="B9973" s="35">
        <v>1</v>
      </c>
      <c r="C9973" s="35">
        <v>0</v>
      </c>
      <c r="D9973" s="2">
        <f t="shared" si="155"/>
        <v>1</v>
      </c>
    </row>
    <row r="9974" spans="1:4" x14ac:dyDescent="0.3">
      <c r="A9974" s="34">
        <v>64088</v>
      </c>
      <c r="B9974" s="35">
        <v>1</v>
      </c>
      <c r="C9974" s="35">
        <v>0</v>
      </c>
      <c r="D9974" s="2">
        <f t="shared" si="155"/>
        <v>1</v>
      </c>
    </row>
    <row r="9975" spans="1:4" x14ac:dyDescent="0.3">
      <c r="A9975" s="34">
        <v>64092</v>
      </c>
      <c r="B9975" s="35">
        <v>1</v>
      </c>
      <c r="C9975" s="35">
        <v>0</v>
      </c>
      <c r="D9975" s="2">
        <f t="shared" si="155"/>
        <v>1</v>
      </c>
    </row>
    <row r="9976" spans="1:4" x14ac:dyDescent="0.3">
      <c r="A9976" s="34">
        <v>64093</v>
      </c>
      <c r="B9976" s="35">
        <v>1</v>
      </c>
      <c r="C9976" s="35">
        <v>0</v>
      </c>
      <c r="D9976" s="2">
        <f t="shared" si="155"/>
        <v>1</v>
      </c>
    </row>
    <row r="9977" spans="1:4" x14ac:dyDescent="0.3">
      <c r="A9977" s="34">
        <v>64094</v>
      </c>
      <c r="B9977" s="35">
        <v>1</v>
      </c>
      <c r="C9977" s="35">
        <v>0</v>
      </c>
      <c r="D9977" s="2">
        <f t="shared" si="155"/>
        <v>1</v>
      </c>
    </row>
    <row r="9978" spans="1:4" x14ac:dyDescent="0.3">
      <c r="A9978" s="34">
        <v>64102</v>
      </c>
      <c r="B9978" s="35">
        <v>1</v>
      </c>
      <c r="C9978" s="35">
        <v>0</v>
      </c>
      <c r="D9978" s="2">
        <f t="shared" si="155"/>
        <v>1</v>
      </c>
    </row>
    <row r="9979" spans="1:4" x14ac:dyDescent="0.3">
      <c r="A9979" s="34">
        <v>64106</v>
      </c>
      <c r="B9979" s="35">
        <v>1</v>
      </c>
      <c r="C9979" s="35">
        <v>0</v>
      </c>
      <c r="D9979" s="2">
        <f t="shared" si="155"/>
        <v>1</v>
      </c>
    </row>
    <row r="9980" spans="1:4" x14ac:dyDescent="0.3">
      <c r="A9980" s="34">
        <v>64107</v>
      </c>
      <c r="B9980" s="35">
        <v>1</v>
      </c>
      <c r="C9980" s="35">
        <v>0</v>
      </c>
      <c r="D9980" s="2">
        <f t="shared" si="155"/>
        <v>1</v>
      </c>
    </row>
    <row r="9981" spans="1:4" x14ac:dyDescent="0.3">
      <c r="A9981" s="34">
        <v>64111</v>
      </c>
      <c r="B9981" s="35">
        <v>1</v>
      </c>
      <c r="C9981" s="35">
        <v>0</v>
      </c>
      <c r="D9981" s="2">
        <f t="shared" si="155"/>
        <v>1</v>
      </c>
    </row>
    <row r="9982" spans="1:4" x14ac:dyDescent="0.3">
      <c r="A9982" s="34">
        <v>64112</v>
      </c>
      <c r="B9982" s="35">
        <v>1</v>
      </c>
      <c r="C9982" s="35">
        <v>1</v>
      </c>
      <c r="D9982" s="2">
        <f t="shared" si="155"/>
        <v>2</v>
      </c>
    </row>
    <row r="9983" spans="1:4" x14ac:dyDescent="0.3">
      <c r="A9983" s="34">
        <v>64113</v>
      </c>
      <c r="B9983" s="35">
        <v>1</v>
      </c>
      <c r="C9983" s="35">
        <v>0</v>
      </c>
      <c r="D9983" s="2">
        <f t="shared" si="155"/>
        <v>1</v>
      </c>
    </row>
    <row r="9984" spans="1:4" x14ac:dyDescent="0.3">
      <c r="A9984" s="34">
        <v>64115</v>
      </c>
      <c r="B9984" s="35">
        <v>1</v>
      </c>
      <c r="C9984" s="35">
        <v>0</v>
      </c>
      <c r="D9984" s="2">
        <f t="shared" si="155"/>
        <v>1</v>
      </c>
    </row>
    <row r="9985" spans="1:4" x14ac:dyDescent="0.3">
      <c r="A9985" s="34">
        <v>64116</v>
      </c>
      <c r="B9985" s="35">
        <v>1</v>
      </c>
      <c r="C9985" s="35">
        <v>0</v>
      </c>
      <c r="D9985" s="2">
        <f t="shared" si="155"/>
        <v>1</v>
      </c>
    </row>
    <row r="9986" spans="1:4" x14ac:dyDescent="0.3">
      <c r="A9986" s="34">
        <v>64118</v>
      </c>
      <c r="B9986" s="35">
        <v>1</v>
      </c>
      <c r="C9986" s="35">
        <v>0</v>
      </c>
      <c r="D9986" s="2">
        <f t="shared" si="155"/>
        <v>1</v>
      </c>
    </row>
    <row r="9987" spans="1:4" x14ac:dyDescent="0.3">
      <c r="A9987" s="34">
        <v>64122</v>
      </c>
      <c r="B9987" s="35">
        <v>1</v>
      </c>
      <c r="C9987" s="35">
        <v>0</v>
      </c>
      <c r="D9987" s="2">
        <f t="shared" ref="D9987:D10050" si="156">B9987+C9987</f>
        <v>1</v>
      </c>
    </row>
    <row r="9988" spans="1:4" x14ac:dyDescent="0.3">
      <c r="A9988" s="34">
        <v>64131</v>
      </c>
      <c r="B9988" s="35">
        <v>1</v>
      </c>
      <c r="C9988" s="35">
        <v>0</v>
      </c>
      <c r="D9988" s="2">
        <f t="shared" si="156"/>
        <v>1</v>
      </c>
    </row>
    <row r="9989" spans="1:4" x14ac:dyDescent="0.3">
      <c r="A9989" s="34">
        <v>64132</v>
      </c>
      <c r="B9989" s="35">
        <v>1</v>
      </c>
      <c r="C9989" s="35">
        <v>0</v>
      </c>
      <c r="D9989" s="2">
        <f t="shared" si="156"/>
        <v>1</v>
      </c>
    </row>
    <row r="9990" spans="1:4" x14ac:dyDescent="0.3">
      <c r="A9990" s="34">
        <v>64142</v>
      </c>
      <c r="B9990" s="35">
        <v>1</v>
      </c>
      <c r="C9990" s="35">
        <v>0</v>
      </c>
      <c r="D9990" s="2">
        <f t="shared" si="156"/>
        <v>1</v>
      </c>
    </row>
    <row r="9991" spans="1:4" x14ac:dyDescent="0.3">
      <c r="A9991" s="34">
        <v>64143</v>
      </c>
      <c r="B9991" s="35">
        <v>2</v>
      </c>
      <c r="C9991" s="35">
        <v>1</v>
      </c>
      <c r="D9991" s="2">
        <f t="shared" si="156"/>
        <v>3</v>
      </c>
    </row>
    <row r="9992" spans="1:4" x14ac:dyDescent="0.3">
      <c r="A9992" s="34">
        <v>64144</v>
      </c>
      <c r="B9992" s="35">
        <v>1</v>
      </c>
      <c r="C9992" s="35">
        <v>0</v>
      </c>
      <c r="D9992" s="2">
        <f t="shared" si="156"/>
        <v>1</v>
      </c>
    </row>
    <row r="9993" spans="1:4" x14ac:dyDescent="0.3">
      <c r="A9993" s="34">
        <v>64145</v>
      </c>
      <c r="B9993" s="35">
        <v>1</v>
      </c>
      <c r="C9993" s="35">
        <v>0</v>
      </c>
      <c r="D9993" s="2">
        <f t="shared" si="156"/>
        <v>1</v>
      </c>
    </row>
    <row r="9994" spans="1:4" x14ac:dyDescent="0.3">
      <c r="A9994" s="34">
        <v>64148</v>
      </c>
      <c r="B9994" s="35">
        <v>1</v>
      </c>
      <c r="C9994" s="35">
        <v>0</v>
      </c>
      <c r="D9994" s="2">
        <f t="shared" si="156"/>
        <v>1</v>
      </c>
    </row>
    <row r="9995" spans="1:4" x14ac:dyDescent="0.3">
      <c r="A9995" s="34">
        <v>64152</v>
      </c>
      <c r="B9995" s="35">
        <v>1</v>
      </c>
      <c r="C9995" s="35">
        <v>1</v>
      </c>
      <c r="D9995" s="2">
        <f t="shared" si="156"/>
        <v>2</v>
      </c>
    </row>
    <row r="9996" spans="1:4" x14ac:dyDescent="0.3">
      <c r="A9996" s="34">
        <v>64158</v>
      </c>
      <c r="B9996" s="35">
        <v>1</v>
      </c>
      <c r="C9996" s="35">
        <v>0</v>
      </c>
      <c r="D9996" s="2">
        <f t="shared" si="156"/>
        <v>1</v>
      </c>
    </row>
    <row r="9997" spans="1:4" x14ac:dyDescent="0.3">
      <c r="A9997" s="34">
        <v>64159</v>
      </c>
      <c r="B9997" s="35">
        <v>1</v>
      </c>
      <c r="C9997" s="35">
        <v>0</v>
      </c>
      <c r="D9997" s="2">
        <f t="shared" si="156"/>
        <v>1</v>
      </c>
    </row>
    <row r="9998" spans="1:4" x14ac:dyDescent="0.3">
      <c r="A9998" s="34">
        <v>64163</v>
      </c>
      <c r="B9998" s="35">
        <v>1</v>
      </c>
      <c r="C9998" s="35">
        <v>0</v>
      </c>
      <c r="D9998" s="2">
        <f t="shared" si="156"/>
        <v>1</v>
      </c>
    </row>
    <row r="9999" spans="1:4" x14ac:dyDescent="0.3">
      <c r="A9999" s="34">
        <v>64165</v>
      </c>
      <c r="B9999" s="35">
        <v>1</v>
      </c>
      <c r="C9999" s="35">
        <v>0</v>
      </c>
      <c r="D9999" s="2">
        <f t="shared" si="156"/>
        <v>1</v>
      </c>
    </row>
    <row r="10000" spans="1:4" x14ac:dyDescent="0.3">
      <c r="A10000" s="34">
        <v>64167</v>
      </c>
      <c r="B10000" s="35">
        <v>1</v>
      </c>
      <c r="C10000" s="35">
        <v>0</v>
      </c>
      <c r="D10000" s="2">
        <f t="shared" si="156"/>
        <v>1</v>
      </c>
    </row>
    <row r="10001" spans="1:4" x14ac:dyDescent="0.3">
      <c r="A10001" s="34">
        <v>64169</v>
      </c>
      <c r="B10001" s="35">
        <v>1</v>
      </c>
      <c r="C10001" s="35">
        <v>0</v>
      </c>
      <c r="D10001" s="2">
        <f t="shared" si="156"/>
        <v>1</v>
      </c>
    </row>
    <row r="10002" spans="1:4" x14ac:dyDescent="0.3">
      <c r="A10002" s="34">
        <v>64170</v>
      </c>
      <c r="B10002" s="35">
        <v>1</v>
      </c>
      <c r="C10002" s="35">
        <v>0</v>
      </c>
      <c r="D10002" s="2">
        <f t="shared" si="156"/>
        <v>1</v>
      </c>
    </row>
    <row r="10003" spans="1:4" x14ac:dyDescent="0.3">
      <c r="A10003" s="34">
        <v>64171</v>
      </c>
      <c r="B10003" s="35">
        <v>1</v>
      </c>
      <c r="C10003" s="35">
        <v>0</v>
      </c>
      <c r="D10003" s="2">
        <f t="shared" si="156"/>
        <v>1</v>
      </c>
    </row>
    <row r="10004" spans="1:4" x14ac:dyDescent="0.3">
      <c r="A10004" s="34">
        <v>64173</v>
      </c>
      <c r="B10004" s="35">
        <v>1</v>
      </c>
      <c r="C10004" s="35">
        <v>0</v>
      </c>
      <c r="D10004" s="2">
        <f t="shared" si="156"/>
        <v>1</v>
      </c>
    </row>
    <row r="10005" spans="1:4" x14ac:dyDescent="0.3">
      <c r="A10005" s="34">
        <v>64174</v>
      </c>
      <c r="B10005" s="35">
        <v>1</v>
      </c>
      <c r="C10005" s="35">
        <v>0</v>
      </c>
      <c r="D10005" s="2">
        <f t="shared" si="156"/>
        <v>1</v>
      </c>
    </row>
    <row r="10006" spans="1:4" x14ac:dyDescent="0.3">
      <c r="A10006" s="34">
        <v>64175</v>
      </c>
      <c r="B10006" s="35">
        <v>1</v>
      </c>
      <c r="C10006" s="35">
        <v>1</v>
      </c>
      <c r="D10006" s="2">
        <f t="shared" si="156"/>
        <v>2</v>
      </c>
    </row>
    <row r="10007" spans="1:4" x14ac:dyDescent="0.3">
      <c r="A10007" s="34">
        <v>64176</v>
      </c>
      <c r="B10007" s="35">
        <v>1</v>
      </c>
      <c r="C10007" s="35">
        <v>0</v>
      </c>
      <c r="D10007" s="2">
        <f t="shared" si="156"/>
        <v>1</v>
      </c>
    </row>
    <row r="10008" spans="1:4" x14ac:dyDescent="0.3">
      <c r="A10008" s="34">
        <v>64179</v>
      </c>
      <c r="B10008" s="35">
        <v>1</v>
      </c>
      <c r="C10008" s="35">
        <v>0</v>
      </c>
      <c r="D10008" s="2">
        <f t="shared" si="156"/>
        <v>1</v>
      </c>
    </row>
    <row r="10009" spans="1:4" x14ac:dyDescent="0.3">
      <c r="A10009" s="34">
        <v>64180</v>
      </c>
      <c r="B10009" s="35">
        <v>1</v>
      </c>
      <c r="C10009" s="35">
        <v>0</v>
      </c>
      <c r="D10009" s="2">
        <f t="shared" si="156"/>
        <v>1</v>
      </c>
    </row>
    <row r="10010" spans="1:4" x14ac:dyDescent="0.3">
      <c r="A10010" s="34">
        <v>64183</v>
      </c>
      <c r="B10010" s="35">
        <v>1</v>
      </c>
      <c r="C10010" s="35">
        <v>1</v>
      </c>
      <c r="D10010" s="2">
        <f t="shared" si="156"/>
        <v>2</v>
      </c>
    </row>
    <row r="10011" spans="1:4" x14ac:dyDescent="0.3">
      <c r="A10011" s="34">
        <v>64187</v>
      </c>
      <c r="B10011" s="35">
        <v>2</v>
      </c>
      <c r="C10011" s="35">
        <v>2</v>
      </c>
      <c r="D10011" s="2">
        <f t="shared" si="156"/>
        <v>4</v>
      </c>
    </row>
    <row r="10012" spans="1:4" x14ac:dyDescent="0.3">
      <c r="A10012" s="34">
        <v>64252</v>
      </c>
      <c r="B10012" s="35">
        <v>1</v>
      </c>
      <c r="C10012" s="35">
        <v>0</v>
      </c>
      <c r="D10012" s="2">
        <f t="shared" si="156"/>
        <v>1</v>
      </c>
    </row>
    <row r="10013" spans="1:4" x14ac:dyDescent="0.3">
      <c r="A10013" s="34">
        <v>64253</v>
      </c>
      <c r="B10013" s="35">
        <v>1</v>
      </c>
      <c r="C10013" s="35">
        <v>0</v>
      </c>
      <c r="D10013" s="2">
        <f t="shared" si="156"/>
        <v>1</v>
      </c>
    </row>
    <row r="10014" spans="1:4" x14ac:dyDescent="0.3">
      <c r="A10014" s="34">
        <v>64258</v>
      </c>
      <c r="B10014" s="35">
        <v>1</v>
      </c>
      <c r="C10014" s="35">
        <v>0</v>
      </c>
      <c r="D10014" s="2">
        <f t="shared" si="156"/>
        <v>1</v>
      </c>
    </row>
    <row r="10015" spans="1:4" x14ac:dyDescent="0.3">
      <c r="A10015" s="34">
        <v>64265</v>
      </c>
      <c r="B10015" s="35">
        <v>2</v>
      </c>
      <c r="C10015" s="35">
        <v>0</v>
      </c>
      <c r="D10015" s="2">
        <f t="shared" si="156"/>
        <v>2</v>
      </c>
    </row>
    <row r="10016" spans="1:4" x14ac:dyDescent="0.3">
      <c r="A10016" s="34">
        <v>64270</v>
      </c>
      <c r="B10016" s="35">
        <v>1</v>
      </c>
      <c r="C10016" s="35">
        <v>0</v>
      </c>
      <c r="D10016" s="2">
        <f t="shared" si="156"/>
        <v>1</v>
      </c>
    </row>
    <row r="10017" spans="1:4" x14ac:dyDescent="0.3">
      <c r="A10017" s="34">
        <v>64272</v>
      </c>
      <c r="B10017" s="35">
        <v>1</v>
      </c>
      <c r="C10017" s="35">
        <v>0</v>
      </c>
      <c r="D10017" s="2">
        <f t="shared" si="156"/>
        <v>1</v>
      </c>
    </row>
    <row r="10018" spans="1:4" x14ac:dyDescent="0.3">
      <c r="A10018" s="34">
        <v>64273</v>
      </c>
      <c r="B10018" s="35">
        <v>1</v>
      </c>
      <c r="C10018" s="35">
        <v>1</v>
      </c>
      <c r="D10018" s="2">
        <f t="shared" si="156"/>
        <v>2</v>
      </c>
    </row>
    <row r="10019" spans="1:4" x14ac:dyDescent="0.3">
      <c r="A10019" s="34">
        <v>64277</v>
      </c>
      <c r="B10019" s="35">
        <v>2</v>
      </c>
      <c r="C10019" s="35">
        <v>2</v>
      </c>
      <c r="D10019" s="2">
        <f t="shared" si="156"/>
        <v>4</v>
      </c>
    </row>
    <row r="10020" spans="1:4" x14ac:dyDescent="0.3">
      <c r="A10020" s="34">
        <v>64278</v>
      </c>
      <c r="B10020" s="35">
        <v>1</v>
      </c>
      <c r="C10020" s="35">
        <v>0</v>
      </c>
      <c r="D10020" s="2">
        <f t="shared" si="156"/>
        <v>1</v>
      </c>
    </row>
    <row r="10021" spans="1:4" x14ac:dyDescent="0.3">
      <c r="A10021" s="34">
        <v>64279</v>
      </c>
      <c r="B10021" s="35">
        <v>1</v>
      </c>
      <c r="C10021" s="35">
        <v>0</v>
      </c>
      <c r="D10021" s="2">
        <f t="shared" si="156"/>
        <v>1</v>
      </c>
    </row>
    <row r="10022" spans="1:4" x14ac:dyDescent="0.3">
      <c r="A10022" s="34">
        <v>64280</v>
      </c>
      <c r="B10022" s="35">
        <v>1</v>
      </c>
      <c r="C10022" s="35">
        <v>0</v>
      </c>
      <c r="D10022" s="2">
        <f t="shared" si="156"/>
        <v>1</v>
      </c>
    </row>
    <row r="10023" spans="1:4" x14ac:dyDescent="0.3">
      <c r="A10023" s="34">
        <v>64281</v>
      </c>
      <c r="B10023" s="35">
        <v>1</v>
      </c>
      <c r="C10023" s="35">
        <v>0</v>
      </c>
      <c r="D10023" s="2">
        <f t="shared" si="156"/>
        <v>1</v>
      </c>
    </row>
    <row r="10024" spans="1:4" x14ac:dyDescent="0.3">
      <c r="A10024" s="34">
        <v>64282</v>
      </c>
      <c r="B10024" s="35">
        <v>1</v>
      </c>
      <c r="C10024" s="35">
        <v>0</v>
      </c>
      <c r="D10024" s="2">
        <f t="shared" si="156"/>
        <v>1</v>
      </c>
    </row>
    <row r="10025" spans="1:4" x14ac:dyDescent="0.3">
      <c r="A10025" s="34">
        <v>64283</v>
      </c>
      <c r="B10025" s="35">
        <v>1</v>
      </c>
      <c r="C10025" s="35">
        <v>1</v>
      </c>
      <c r="D10025" s="2">
        <f t="shared" si="156"/>
        <v>2</v>
      </c>
    </row>
    <row r="10026" spans="1:4" x14ac:dyDescent="0.3">
      <c r="A10026" s="34">
        <v>64286</v>
      </c>
      <c r="B10026" s="35">
        <v>1</v>
      </c>
      <c r="C10026" s="35">
        <v>0</v>
      </c>
      <c r="D10026" s="2">
        <f t="shared" si="156"/>
        <v>1</v>
      </c>
    </row>
    <row r="10027" spans="1:4" x14ac:dyDescent="0.3">
      <c r="A10027" s="34">
        <v>64289</v>
      </c>
      <c r="B10027" s="35">
        <v>1</v>
      </c>
      <c r="C10027" s="35">
        <v>1</v>
      </c>
      <c r="D10027" s="2">
        <f t="shared" si="156"/>
        <v>2</v>
      </c>
    </row>
    <row r="10028" spans="1:4" x14ac:dyDescent="0.3">
      <c r="A10028" s="34">
        <v>64290</v>
      </c>
      <c r="B10028" s="35">
        <v>1</v>
      </c>
      <c r="C10028" s="35">
        <v>0</v>
      </c>
      <c r="D10028" s="2">
        <f t="shared" si="156"/>
        <v>1</v>
      </c>
    </row>
    <row r="10029" spans="1:4" x14ac:dyDescent="0.3">
      <c r="A10029" s="34">
        <v>64291</v>
      </c>
      <c r="B10029" s="35">
        <v>1</v>
      </c>
      <c r="C10029" s="35">
        <v>0</v>
      </c>
      <c r="D10029" s="2">
        <f t="shared" si="156"/>
        <v>1</v>
      </c>
    </row>
    <row r="10030" spans="1:4" x14ac:dyDescent="0.3">
      <c r="A10030" s="34">
        <v>64293</v>
      </c>
      <c r="B10030" s="35">
        <v>1</v>
      </c>
      <c r="C10030" s="35">
        <v>0</v>
      </c>
      <c r="D10030" s="2">
        <f t="shared" si="156"/>
        <v>1</v>
      </c>
    </row>
    <row r="10031" spans="1:4" x14ac:dyDescent="0.3">
      <c r="A10031" s="34">
        <v>64294</v>
      </c>
      <c r="B10031" s="35">
        <v>1</v>
      </c>
      <c r="C10031" s="35">
        <v>1</v>
      </c>
      <c r="D10031" s="2">
        <f t="shared" si="156"/>
        <v>2</v>
      </c>
    </row>
    <row r="10032" spans="1:4" x14ac:dyDescent="0.3">
      <c r="A10032" s="34">
        <v>64295</v>
      </c>
      <c r="B10032" s="35">
        <v>1</v>
      </c>
      <c r="C10032" s="35">
        <v>0</v>
      </c>
      <c r="D10032" s="2">
        <f t="shared" si="156"/>
        <v>1</v>
      </c>
    </row>
    <row r="10033" spans="1:4" x14ac:dyDescent="0.3">
      <c r="A10033" s="34">
        <v>64296</v>
      </c>
      <c r="B10033" s="35">
        <v>1</v>
      </c>
      <c r="C10033" s="35">
        <v>0</v>
      </c>
      <c r="D10033" s="2">
        <f t="shared" si="156"/>
        <v>1</v>
      </c>
    </row>
    <row r="10034" spans="1:4" x14ac:dyDescent="0.3">
      <c r="A10034" s="34">
        <v>64299</v>
      </c>
      <c r="B10034" s="35">
        <v>1</v>
      </c>
      <c r="C10034" s="35">
        <v>1</v>
      </c>
      <c r="D10034" s="2">
        <f t="shared" si="156"/>
        <v>2</v>
      </c>
    </row>
    <row r="10035" spans="1:4" x14ac:dyDescent="0.3">
      <c r="A10035" s="34">
        <v>64300</v>
      </c>
      <c r="B10035" s="35">
        <v>1</v>
      </c>
      <c r="C10035" s="35">
        <v>0</v>
      </c>
      <c r="D10035" s="2">
        <f t="shared" si="156"/>
        <v>1</v>
      </c>
    </row>
    <row r="10036" spans="1:4" x14ac:dyDescent="0.3">
      <c r="A10036" s="34">
        <v>64301</v>
      </c>
      <c r="B10036" s="35">
        <v>1</v>
      </c>
      <c r="C10036" s="35">
        <v>0</v>
      </c>
      <c r="D10036" s="2">
        <f t="shared" si="156"/>
        <v>1</v>
      </c>
    </row>
    <row r="10037" spans="1:4" x14ac:dyDescent="0.3">
      <c r="A10037" s="34">
        <v>64302</v>
      </c>
      <c r="B10037" s="35">
        <v>1</v>
      </c>
      <c r="C10037" s="35">
        <v>0</v>
      </c>
      <c r="D10037" s="2">
        <f t="shared" si="156"/>
        <v>1</v>
      </c>
    </row>
    <row r="10038" spans="1:4" x14ac:dyDescent="0.3">
      <c r="A10038" s="34">
        <v>64303</v>
      </c>
      <c r="B10038" s="35">
        <v>1</v>
      </c>
      <c r="C10038" s="35">
        <v>0</v>
      </c>
      <c r="D10038" s="2">
        <f t="shared" si="156"/>
        <v>1</v>
      </c>
    </row>
    <row r="10039" spans="1:4" x14ac:dyDescent="0.3">
      <c r="A10039" s="34">
        <v>64305</v>
      </c>
      <c r="B10039" s="35">
        <v>1</v>
      </c>
      <c r="C10039" s="35">
        <v>0</v>
      </c>
      <c r="D10039" s="2">
        <f t="shared" si="156"/>
        <v>1</v>
      </c>
    </row>
    <row r="10040" spans="1:4" x14ac:dyDescent="0.3">
      <c r="A10040" s="34">
        <v>64310</v>
      </c>
      <c r="B10040" s="35">
        <v>1</v>
      </c>
      <c r="C10040" s="35">
        <v>0</v>
      </c>
      <c r="D10040" s="2">
        <f t="shared" si="156"/>
        <v>1</v>
      </c>
    </row>
    <row r="10041" spans="1:4" x14ac:dyDescent="0.3">
      <c r="A10041" s="34">
        <v>64312</v>
      </c>
      <c r="B10041" s="35">
        <v>1</v>
      </c>
      <c r="C10041" s="35">
        <v>0</v>
      </c>
      <c r="D10041" s="2">
        <f t="shared" si="156"/>
        <v>1</v>
      </c>
    </row>
    <row r="10042" spans="1:4" x14ac:dyDescent="0.3">
      <c r="A10042" s="34">
        <v>64314</v>
      </c>
      <c r="B10042" s="35">
        <v>1</v>
      </c>
      <c r="C10042" s="35">
        <v>0</v>
      </c>
      <c r="D10042" s="2">
        <f t="shared" si="156"/>
        <v>1</v>
      </c>
    </row>
    <row r="10043" spans="1:4" x14ac:dyDescent="0.3">
      <c r="A10043" s="34">
        <v>64315</v>
      </c>
      <c r="B10043" s="35">
        <v>1</v>
      </c>
      <c r="C10043" s="35">
        <v>0</v>
      </c>
      <c r="D10043" s="2">
        <f t="shared" si="156"/>
        <v>1</v>
      </c>
    </row>
    <row r="10044" spans="1:4" x14ac:dyDescent="0.3">
      <c r="A10044" s="34">
        <v>64318</v>
      </c>
      <c r="B10044" s="35">
        <v>1</v>
      </c>
      <c r="C10044" s="35">
        <v>0</v>
      </c>
      <c r="D10044" s="2">
        <f t="shared" si="156"/>
        <v>1</v>
      </c>
    </row>
    <row r="10045" spans="1:4" x14ac:dyDescent="0.3">
      <c r="A10045" s="34">
        <v>64320</v>
      </c>
      <c r="B10045" s="35">
        <v>1</v>
      </c>
      <c r="C10045" s="35">
        <v>0</v>
      </c>
      <c r="D10045" s="2">
        <f t="shared" si="156"/>
        <v>1</v>
      </c>
    </row>
    <row r="10046" spans="1:4" x14ac:dyDescent="0.3">
      <c r="A10046" s="34">
        <v>64322</v>
      </c>
      <c r="B10046" s="35">
        <v>1</v>
      </c>
      <c r="C10046" s="35">
        <v>0</v>
      </c>
      <c r="D10046" s="2">
        <f t="shared" si="156"/>
        <v>1</v>
      </c>
    </row>
    <row r="10047" spans="1:4" x14ac:dyDescent="0.3">
      <c r="A10047" s="34">
        <v>64327</v>
      </c>
      <c r="B10047" s="35">
        <v>1</v>
      </c>
      <c r="C10047" s="35">
        <v>0</v>
      </c>
      <c r="D10047" s="2">
        <f t="shared" si="156"/>
        <v>1</v>
      </c>
    </row>
    <row r="10048" spans="1:4" x14ac:dyDescent="0.3">
      <c r="A10048" s="34">
        <v>64328</v>
      </c>
      <c r="B10048" s="35">
        <v>1</v>
      </c>
      <c r="C10048" s="35">
        <v>0</v>
      </c>
      <c r="D10048" s="2">
        <f t="shared" si="156"/>
        <v>1</v>
      </c>
    </row>
    <row r="10049" spans="1:4" x14ac:dyDescent="0.3">
      <c r="A10049" s="34">
        <v>64332</v>
      </c>
      <c r="B10049" s="35">
        <v>1</v>
      </c>
      <c r="C10049" s="35">
        <v>0</v>
      </c>
      <c r="D10049" s="2">
        <f t="shared" si="156"/>
        <v>1</v>
      </c>
    </row>
    <row r="10050" spans="1:4" x14ac:dyDescent="0.3">
      <c r="A10050" s="34">
        <v>64336</v>
      </c>
      <c r="B10050" s="35">
        <v>1</v>
      </c>
      <c r="C10050" s="35">
        <v>1</v>
      </c>
      <c r="D10050" s="2">
        <f t="shared" si="156"/>
        <v>2</v>
      </c>
    </row>
    <row r="10051" spans="1:4" x14ac:dyDescent="0.3">
      <c r="A10051" s="34">
        <v>64337</v>
      </c>
      <c r="B10051" s="35">
        <v>1</v>
      </c>
      <c r="C10051" s="35">
        <v>0</v>
      </c>
      <c r="D10051" s="2">
        <f t="shared" ref="D10051:D10114" si="157">B10051+C10051</f>
        <v>1</v>
      </c>
    </row>
    <row r="10052" spans="1:4" x14ac:dyDescent="0.3">
      <c r="A10052" s="34">
        <v>64340</v>
      </c>
      <c r="B10052" s="35">
        <v>1</v>
      </c>
      <c r="C10052" s="35">
        <v>0</v>
      </c>
      <c r="D10052" s="2">
        <f t="shared" si="157"/>
        <v>1</v>
      </c>
    </row>
    <row r="10053" spans="1:4" x14ac:dyDescent="0.3">
      <c r="A10053" s="34">
        <v>64343</v>
      </c>
      <c r="B10053" s="35">
        <v>1</v>
      </c>
      <c r="C10053" s="35">
        <v>0</v>
      </c>
      <c r="D10053" s="2">
        <f t="shared" si="157"/>
        <v>1</v>
      </c>
    </row>
    <row r="10054" spans="1:4" x14ac:dyDescent="0.3">
      <c r="A10054" s="34">
        <v>64344</v>
      </c>
      <c r="B10054" s="35">
        <v>1</v>
      </c>
      <c r="C10054" s="35">
        <v>0</v>
      </c>
      <c r="D10054" s="2">
        <f t="shared" si="157"/>
        <v>1</v>
      </c>
    </row>
    <row r="10055" spans="1:4" x14ac:dyDescent="0.3">
      <c r="A10055" s="34">
        <v>64346</v>
      </c>
      <c r="B10055" s="35">
        <v>1</v>
      </c>
      <c r="C10055" s="35">
        <v>1</v>
      </c>
      <c r="D10055" s="2">
        <f t="shared" si="157"/>
        <v>2</v>
      </c>
    </row>
    <row r="10056" spans="1:4" x14ac:dyDescent="0.3">
      <c r="A10056" s="34">
        <v>64347</v>
      </c>
      <c r="B10056" s="35">
        <v>1</v>
      </c>
      <c r="C10056" s="35">
        <v>0</v>
      </c>
      <c r="D10056" s="2">
        <f t="shared" si="157"/>
        <v>1</v>
      </c>
    </row>
    <row r="10057" spans="1:4" x14ac:dyDescent="0.3">
      <c r="A10057" s="34">
        <v>64350</v>
      </c>
      <c r="B10057" s="35">
        <v>1</v>
      </c>
      <c r="C10057" s="35">
        <v>0</v>
      </c>
      <c r="D10057" s="2">
        <f t="shared" si="157"/>
        <v>1</v>
      </c>
    </row>
    <row r="10058" spans="1:4" x14ac:dyDescent="0.3">
      <c r="A10058" s="34">
        <v>64351</v>
      </c>
      <c r="B10058" s="35">
        <v>1</v>
      </c>
      <c r="C10058" s="35">
        <v>0</v>
      </c>
      <c r="D10058" s="2">
        <f t="shared" si="157"/>
        <v>1</v>
      </c>
    </row>
    <row r="10059" spans="1:4" x14ac:dyDescent="0.3">
      <c r="A10059" s="34">
        <v>64352</v>
      </c>
      <c r="B10059" s="35">
        <v>1</v>
      </c>
      <c r="C10059" s="35">
        <v>0</v>
      </c>
      <c r="D10059" s="2">
        <f t="shared" si="157"/>
        <v>1</v>
      </c>
    </row>
    <row r="10060" spans="1:4" x14ac:dyDescent="0.3">
      <c r="A10060" s="34">
        <v>64354</v>
      </c>
      <c r="B10060" s="35">
        <v>1</v>
      </c>
      <c r="C10060" s="35">
        <v>0</v>
      </c>
      <c r="D10060" s="2">
        <f t="shared" si="157"/>
        <v>1</v>
      </c>
    </row>
    <row r="10061" spans="1:4" x14ac:dyDescent="0.3">
      <c r="A10061" s="34">
        <v>64355</v>
      </c>
      <c r="B10061" s="35">
        <v>1</v>
      </c>
      <c r="C10061" s="35">
        <v>0</v>
      </c>
      <c r="D10061" s="2">
        <f t="shared" si="157"/>
        <v>1</v>
      </c>
    </row>
    <row r="10062" spans="1:4" x14ac:dyDescent="0.3">
      <c r="A10062" s="34">
        <v>64398</v>
      </c>
      <c r="B10062" s="35">
        <v>1</v>
      </c>
      <c r="C10062" s="35">
        <v>1</v>
      </c>
      <c r="D10062" s="2">
        <f t="shared" si="157"/>
        <v>2</v>
      </c>
    </row>
    <row r="10063" spans="1:4" x14ac:dyDescent="0.3">
      <c r="A10063" s="34">
        <v>64402</v>
      </c>
      <c r="B10063" s="35">
        <v>3</v>
      </c>
      <c r="C10063" s="35">
        <v>2</v>
      </c>
      <c r="D10063" s="2">
        <f t="shared" si="157"/>
        <v>5</v>
      </c>
    </row>
    <row r="10064" spans="1:4" x14ac:dyDescent="0.3">
      <c r="A10064" s="34">
        <v>64403</v>
      </c>
      <c r="B10064" s="35">
        <v>1</v>
      </c>
      <c r="C10064" s="35">
        <v>0</v>
      </c>
      <c r="D10064" s="2">
        <f t="shared" si="157"/>
        <v>1</v>
      </c>
    </row>
    <row r="10065" spans="1:4" x14ac:dyDescent="0.3">
      <c r="A10065" s="34">
        <v>64404</v>
      </c>
      <c r="B10065" s="35">
        <v>2</v>
      </c>
      <c r="C10065" s="35">
        <v>1</v>
      </c>
      <c r="D10065" s="2">
        <f t="shared" si="157"/>
        <v>3</v>
      </c>
    </row>
    <row r="10066" spans="1:4" x14ac:dyDescent="0.3">
      <c r="A10066" s="34">
        <v>64409</v>
      </c>
      <c r="B10066" s="35">
        <v>1</v>
      </c>
      <c r="C10066" s="35">
        <v>0</v>
      </c>
      <c r="D10066" s="2">
        <f t="shared" si="157"/>
        <v>1</v>
      </c>
    </row>
    <row r="10067" spans="1:4" x14ac:dyDescent="0.3">
      <c r="A10067" s="34">
        <v>64410</v>
      </c>
      <c r="B10067" s="35">
        <v>1</v>
      </c>
      <c r="C10067" s="35">
        <v>0</v>
      </c>
      <c r="D10067" s="2">
        <f t="shared" si="157"/>
        <v>1</v>
      </c>
    </row>
    <row r="10068" spans="1:4" x14ac:dyDescent="0.3">
      <c r="A10068" s="34">
        <v>64412</v>
      </c>
      <c r="B10068" s="35">
        <v>1</v>
      </c>
      <c r="C10068" s="35">
        <v>0</v>
      </c>
      <c r="D10068" s="2">
        <f t="shared" si="157"/>
        <v>1</v>
      </c>
    </row>
    <row r="10069" spans="1:4" x14ac:dyDescent="0.3">
      <c r="A10069" s="34">
        <v>64413</v>
      </c>
      <c r="B10069" s="35">
        <v>1</v>
      </c>
      <c r="C10069" s="35">
        <v>0</v>
      </c>
      <c r="D10069" s="2">
        <f t="shared" si="157"/>
        <v>1</v>
      </c>
    </row>
    <row r="10070" spans="1:4" x14ac:dyDescent="0.3">
      <c r="A10070" s="34">
        <v>64414</v>
      </c>
      <c r="B10070" s="35">
        <v>1</v>
      </c>
      <c r="C10070" s="35">
        <v>0</v>
      </c>
      <c r="D10070" s="2">
        <f t="shared" si="157"/>
        <v>1</v>
      </c>
    </row>
    <row r="10071" spans="1:4" x14ac:dyDescent="0.3">
      <c r="A10071" s="34">
        <v>64416</v>
      </c>
      <c r="B10071" s="35">
        <v>1</v>
      </c>
      <c r="C10071" s="35">
        <v>0</v>
      </c>
      <c r="D10071" s="2">
        <f t="shared" si="157"/>
        <v>1</v>
      </c>
    </row>
    <row r="10072" spans="1:4" x14ac:dyDescent="0.3">
      <c r="A10072" s="34">
        <v>64417</v>
      </c>
      <c r="B10072" s="35">
        <v>1</v>
      </c>
      <c r="C10072" s="35">
        <v>0</v>
      </c>
      <c r="D10072" s="2">
        <f t="shared" si="157"/>
        <v>1</v>
      </c>
    </row>
    <row r="10073" spans="1:4" x14ac:dyDescent="0.3">
      <c r="A10073" s="34">
        <v>64418</v>
      </c>
      <c r="B10073" s="35">
        <v>1</v>
      </c>
      <c r="C10073" s="35">
        <v>0</v>
      </c>
      <c r="D10073" s="2">
        <f t="shared" si="157"/>
        <v>1</v>
      </c>
    </row>
    <row r="10074" spans="1:4" x14ac:dyDescent="0.3">
      <c r="A10074" s="34">
        <v>64419</v>
      </c>
      <c r="B10074" s="35">
        <v>1</v>
      </c>
      <c r="C10074" s="35">
        <v>0</v>
      </c>
      <c r="D10074" s="2">
        <f t="shared" si="157"/>
        <v>1</v>
      </c>
    </row>
    <row r="10075" spans="1:4" x14ac:dyDescent="0.3">
      <c r="A10075" s="34">
        <v>64422</v>
      </c>
      <c r="B10075" s="35">
        <v>2</v>
      </c>
      <c r="C10075" s="35">
        <v>0</v>
      </c>
      <c r="D10075" s="2">
        <f t="shared" si="157"/>
        <v>2</v>
      </c>
    </row>
    <row r="10076" spans="1:4" x14ac:dyDescent="0.3">
      <c r="A10076" s="34">
        <v>64424</v>
      </c>
      <c r="B10076" s="35">
        <v>1</v>
      </c>
      <c r="C10076" s="35">
        <v>0</v>
      </c>
      <c r="D10076" s="2">
        <f t="shared" si="157"/>
        <v>1</v>
      </c>
    </row>
    <row r="10077" spans="1:4" x14ac:dyDescent="0.3">
      <c r="A10077" s="34">
        <v>64425</v>
      </c>
      <c r="B10077" s="35">
        <v>1</v>
      </c>
      <c r="C10077" s="35">
        <v>0</v>
      </c>
      <c r="D10077" s="2">
        <f t="shared" si="157"/>
        <v>1</v>
      </c>
    </row>
    <row r="10078" spans="1:4" x14ac:dyDescent="0.3">
      <c r="A10078" s="34">
        <v>64426</v>
      </c>
      <c r="B10078" s="35">
        <v>1</v>
      </c>
      <c r="C10078" s="35">
        <v>0</v>
      </c>
      <c r="D10078" s="2">
        <f t="shared" si="157"/>
        <v>1</v>
      </c>
    </row>
    <row r="10079" spans="1:4" x14ac:dyDescent="0.3">
      <c r="A10079" s="34">
        <v>64427</v>
      </c>
      <c r="B10079" s="35">
        <v>1</v>
      </c>
      <c r="C10079" s="35">
        <v>0</v>
      </c>
      <c r="D10079" s="2">
        <f t="shared" si="157"/>
        <v>1</v>
      </c>
    </row>
    <row r="10080" spans="1:4" x14ac:dyDescent="0.3">
      <c r="A10080" s="34">
        <v>64428</v>
      </c>
      <c r="B10080" s="35">
        <v>1</v>
      </c>
      <c r="C10080" s="35">
        <v>0</v>
      </c>
      <c r="D10080" s="2">
        <f t="shared" si="157"/>
        <v>1</v>
      </c>
    </row>
    <row r="10081" spans="1:4" x14ac:dyDescent="0.3">
      <c r="A10081" s="34">
        <v>64431</v>
      </c>
      <c r="B10081" s="35">
        <v>1</v>
      </c>
      <c r="C10081" s="35">
        <v>0</v>
      </c>
      <c r="D10081" s="2">
        <f t="shared" si="157"/>
        <v>1</v>
      </c>
    </row>
    <row r="10082" spans="1:4" x14ac:dyDescent="0.3">
      <c r="A10082" s="34">
        <v>64432</v>
      </c>
      <c r="B10082" s="35">
        <v>1</v>
      </c>
      <c r="C10082" s="35">
        <v>0</v>
      </c>
      <c r="D10082" s="2">
        <f t="shared" si="157"/>
        <v>1</v>
      </c>
    </row>
    <row r="10083" spans="1:4" x14ac:dyDescent="0.3">
      <c r="A10083" s="34">
        <v>64433</v>
      </c>
      <c r="B10083" s="35">
        <v>1</v>
      </c>
      <c r="C10083" s="35">
        <v>0</v>
      </c>
      <c r="D10083" s="2">
        <f t="shared" si="157"/>
        <v>1</v>
      </c>
    </row>
    <row r="10084" spans="1:4" x14ac:dyDescent="0.3">
      <c r="A10084" s="34">
        <v>64435</v>
      </c>
      <c r="B10084" s="35">
        <v>1</v>
      </c>
      <c r="C10084" s="35">
        <v>0</v>
      </c>
      <c r="D10084" s="2">
        <f t="shared" si="157"/>
        <v>1</v>
      </c>
    </row>
    <row r="10085" spans="1:4" x14ac:dyDescent="0.3">
      <c r="A10085" s="34">
        <v>64436</v>
      </c>
      <c r="B10085" s="35">
        <v>1</v>
      </c>
      <c r="C10085" s="35">
        <v>0</v>
      </c>
      <c r="D10085" s="2">
        <f t="shared" si="157"/>
        <v>1</v>
      </c>
    </row>
    <row r="10086" spans="1:4" x14ac:dyDescent="0.3">
      <c r="A10086" s="34">
        <v>64437</v>
      </c>
      <c r="B10086" s="35">
        <v>1</v>
      </c>
      <c r="C10086" s="35">
        <v>0</v>
      </c>
      <c r="D10086" s="2">
        <f t="shared" si="157"/>
        <v>1</v>
      </c>
    </row>
    <row r="10087" spans="1:4" x14ac:dyDescent="0.3">
      <c r="A10087" s="34">
        <v>64438</v>
      </c>
      <c r="B10087" s="35">
        <v>1</v>
      </c>
      <c r="C10087" s="35">
        <v>0</v>
      </c>
      <c r="D10087" s="2">
        <f t="shared" si="157"/>
        <v>1</v>
      </c>
    </row>
    <row r="10088" spans="1:4" x14ac:dyDescent="0.3">
      <c r="A10088" s="34">
        <v>64439</v>
      </c>
      <c r="B10088" s="35">
        <v>1</v>
      </c>
      <c r="C10088" s="35">
        <v>0</v>
      </c>
      <c r="D10088" s="2">
        <f t="shared" si="157"/>
        <v>1</v>
      </c>
    </row>
    <row r="10089" spans="1:4" x14ac:dyDescent="0.3">
      <c r="A10089" s="34">
        <v>64445</v>
      </c>
      <c r="B10089" s="35">
        <v>1</v>
      </c>
      <c r="C10089" s="35">
        <v>0</v>
      </c>
      <c r="D10089" s="2">
        <f t="shared" si="157"/>
        <v>1</v>
      </c>
    </row>
    <row r="10090" spans="1:4" x14ac:dyDescent="0.3">
      <c r="A10090" s="34">
        <v>64446</v>
      </c>
      <c r="B10090" s="35">
        <v>1</v>
      </c>
      <c r="C10090" s="35">
        <v>0</v>
      </c>
      <c r="D10090" s="2">
        <f t="shared" si="157"/>
        <v>1</v>
      </c>
    </row>
    <row r="10091" spans="1:4" x14ac:dyDescent="0.3">
      <c r="A10091" s="34">
        <v>64447</v>
      </c>
      <c r="B10091" s="35">
        <v>1</v>
      </c>
      <c r="C10091" s="35">
        <v>0</v>
      </c>
      <c r="D10091" s="2">
        <f t="shared" si="157"/>
        <v>1</v>
      </c>
    </row>
    <row r="10092" spans="1:4" x14ac:dyDescent="0.3">
      <c r="A10092" s="34">
        <v>64451</v>
      </c>
      <c r="B10092" s="35">
        <v>1</v>
      </c>
      <c r="C10092" s="35">
        <v>0</v>
      </c>
      <c r="D10092" s="2">
        <f t="shared" si="157"/>
        <v>1</v>
      </c>
    </row>
    <row r="10093" spans="1:4" x14ac:dyDescent="0.3">
      <c r="A10093" s="34">
        <v>64454</v>
      </c>
      <c r="B10093" s="35">
        <v>2</v>
      </c>
      <c r="C10093" s="35">
        <v>0</v>
      </c>
      <c r="D10093" s="2">
        <f t="shared" si="157"/>
        <v>2</v>
      </c>
    </row>
    <row r="10094" spans="1:4" x14ac:dyDescent="0.3">
      <c r="A10094" s="34">
        <v>64456</v>
      </c>
      <c r="B10094" s="35">
        <v>1</v>
      </c>
      <c r="C10094" s="35">
        <v>0</v>
      </c>
      <c r="D10094" s="2">
        <f t="shared" si="157"/>
        <v>1</v>
      </c>
    </row>
    <row r="10095" spans="1:4" x14ac:dyDescent="0.3">
      <c r="A10095" s="34">
        <v>64459</v>
      </c>
      <c r="B10095" s="35">
        <v>1</v>
      </c>
      <c r="C10095" s="35">
        <v>0</v>
      </c>
      <c r="D10095" s="2">
        <f t="shared" si="157"/>
        <v>1</v>
      </c>
    </row>
    <row r="10096" spans="1:4" x14ac:dyDescent="0.3">
      <c r="A10096" s="34">
        <v>64460</v>
      </c>
      <c r="B10096" s="35">
        <v>1</v>
      </c>
      <c r="C10096" s="35">
        <v>0</v>
      </c>
      <c r="D10096" s="2">
        <f t="shared" si="157"/>
        <v>1</v>
      </c>
    </row>
    <row r="10097" spans="1:4" x14ac:dyDescent="0.3">
      <c r="A10097" s="34">
        <v>64461</v>
      </c>
      <c r="B10097" s="35">
        <v>1</v>
      </c>
      <c r="C10097" s="35">
        <v>0</v>
      </c>
      <c r="D10097" s="2">
        <f t="shared" si="157"/>
        <v>1</v>
      </c>
    </row>
    <row r="10098" spans="1:4" x14ac:dyDescent="0.3">
      <c r="A10098" s="34">
        <v>64462</v>
      </c>
      <c r="B10098" s="35">
        <v>1</v>
      </c>
      <c r="C10098" s="35">
        <v>0</v>
      </c>
      <c r="D10098" s="2">
        <f t="shared" si="157"/>
        <v>1</v>
      </c>
    </row>
    <row r="10099" spans="1:4" x14ac:dyDescent="0.3">
      <c r="A10099" s="34">
        <v>64463</v>
      </c>
      <c r="B10099" s="35">
        <v>1</v>
      </c>
      <c r="C10099" s="35">
        <v>1</v>
      </c>
      <c r="D10099" s="2">
        <f t="shared" si="157"/>
        <v>2</v>
      </c>
    </row>
    <row r="10100" spans="1:4" x14ac:dyDescent="0.3">
      <c r="A10100" s="34">
        <v>64464</v>
      </c>
      <c r="B10100" s="35">
        <v>1</v>
      </c>
      <c r="C10100" s="35">
        <v>1</v>
      </c>
      <c r="D10100" s="2">
        <f t="shared" si="157"/>
        <v>2</v>
      </c>
    </row>
    <row r="10101" spans="1:4" x14ac:dyDescent="0.3">
      <c r="A10101" s="34">
        <v>64465</v>
      </c>
      <c r="B10101" s="35">
        <v>1</v>
      </c>
      <c r="C10101" s="35">
        <v>1</v>
      </c>
      <c r="D10101" s="2">
        <f t="shared" si="157"/>
        <v>2</v>
      </c>
    </row>
    <row r="10102" spans="1:4" x14ac:dyDescent="0.3">
      <c r="A10102" s="34">
        <v>64467</v>
      </c>
      <c r="B10102" s="35">
        <v>1</v>
      </c>
      <c r="C10102" s="35">
        <v>0</v>
      </c>
      <c r="D10102" s="2">
        <f t="shared" si="157"/>
        <v>1</v>
      </c>
    </row>
    <row r="10103" spans="1:4" x14ac:dyDescent="0.3">
      <c r="A10103" s="34">
        <v>64471</v>
      </c>
      <c r="B10103" s="35">
        <v>1</v>
      </c>
      <c r="C10103" s="35">
        <v>0</v>
      </c>
      <c r="D10103" s="2">
        <f t="shared" si="157"/>
        <v>1</v>
      </c>
    </row>
    <row r="10104" spans="1:4" x14ac:dyDescent="0.3">
      <c r="A10104" s="34">
        <v>64472</v>
      </c>
      <c r="B10104" s="35">
        <v>1</v>
      </c>
      <c r="C10104" s="35">
        <v>1</v>
      </c>
      <c r="D10104" s="2">
        <f t="shared" si="157"/>
        <v>2</v>
      </c>
    </row>
    <row r="10105" spans="1:4" x14ac:dyDescent="0.3">
      <c r="A10105" s="34">
        <v>64474</v>
      </c>
      <c r="B10105" s="35">
        <v>1</v>
      </c>
      <c r="C10105" s="35">
        <v>0</v>
      </c>
      <c r="D10105" s="2">
        <f t="shared" si="157"/>
        <v>1</v>
      </c>
    </row>
    <row r="10106" spans="1:4" x14ac:dyDescent="0.3">
      <c r="A10106" s="34">
        <v>64477</v>
      </c>
      <c r="B10106" s="35">
        <v>1</v>
      </c>
      <c r="C10106" s="35">
        <v>0</v>
      </c>
      <c r="D10106" s="2">
        <f t="shared" si="157"/>
        <v>1</v>
      </c>
    </row>
    <row r="10107" spans="1:4" x14ac:dyDescent="0.3">
      <c r="A10107" s="34">
        <v>64478</v>
      </c>
      <c r="B10107" s="35">
        <v>1</v>
      </c>
      <c r="C10107" s="35">
        <v>0</v>
      </c>
      <c r="D10107" s="2">
        <f t="shared" si="157"/>
        <v>1</v>
      </c>
    </row>
    <row r="10108" spans="1:4" x14ac:dyDescent="0.3">
      <c r="A10108" s="34">
        <v>64480</v>
      </c>
      <c r="B10108" s="35">
        <v>1</v>
      </c>
      <c r="C10108" s="35">
        <v>0</v>
      </c>
      <c r="D10108" s="2">
        <f t="shared" si="157"/>
        <v>1</v>
      </c>
    </row>
    <row r="10109" spans="1:4" x14ac:dyDescent="0.3">
      <c r="A10109" s="34">
        <v>64481</v>
      </c>
      <c r="B10109" s="35">
        <v>1</v>
      </c>
      <c r="C10109" s="35">
        <v>0</v>
      </c>
      <c r="D10109" s="2">
        <f t="shared" si="157"/>
        <v>1</v>
      </c>
    </row>
    <row r="10110" spans="1:4" x14ac:dyDescent="0.3">
      <c r="A10110" s="34">
        <v>64483</v>
      </c>
      <c r="B10110" s="35">
        <v>1</v>
      </c>
      <c r="C10110" s="35">
        <v>0</v>
      </c>
      <c r="D10110" s="2">
        <f t="shared" si="157"/>
        <v>1</v>
      </c>
    </row>
    <row r="10111" spans="1:4" x14ac:dyDescent="0.3">
      <c r="A10111" s="34">
        <v>64485</v>
      </c>
      <c r="B10111" s="35">
        <v>1</v>
      </c>
      <c r="C10111" s="35">
        <v>0</v>
      </c>
      <c r="D10111" s="2">
        <f t="shared" si="157"/>
        <v>1</v>
      </c>
    </row>
    <row r="10112" spans="1:4" x14ac:dyDescent="0.3">
      <c r="A10112" s="34">
        <v>64487</v>
      </c>
      <c r="B10112" s="35">
        <v>1</v>
      </c>
      <c r="C10112" s="35">
        <v>0</v>
      </c>
      <c r="D10112" s="2">
        <f t="shared" si="157"/>
        <v>1</v>
      </c>
    </row>
    <row r="10113" spans="1:4" x14ac:dyDescent="0.3">
      <c r="A10113" s="34">
        <v>64488</v>
      </c>
      <c r="B10113" s="35">
        <v>1</v>
      </c>
      <c r="C10113" s="35">
        <v>0</v>
      </c>
      <c r="D10113" s="2">
        <f t="shared" si="157"/>
        <v>1</v>
      </c>
    </row>
    <row r="10114" spans="1:4" x14ac:dyDescent="0.3">
      <c r="A10114" s="34">
        <v>64510</v>
      </c>
      <c r="B10114" s="35">
        <v>1</v>
      </c>
      <c r="C10114" s="35">
        <v>0</v>
      </c>
      <c r="D10114" s="2">
        <f t="shared" si="157"/>
        <v>1</v>
      </c>
    </row>
    <row r="10115" spans="1:4" x14ac:dyDescent="0.3">
      <c r="A10115" s="34">
        <v>64512</v>
      </c>
      <c r="B10115" s="35">
        <v>1</v>
      </c>
      <c r="C10115" s="35">
        <v>0</v>
      </c>
      <c r="D10115" s="2">
        <f t="shared" ref="D10115:D10178" si="158">B10115+C10115</f>
        <v>1</v>
      </c>
    </row>
    <row r="10116" spans="1:4" x14ac:dyDescent="0.3">
      <c r="A10116" s="34">
        <v>64515</v>
      </c>
      <c r="B10116" s="35">
        <v>1</v>
      </c>
      <c r="C10116" s="35">
        <v>0</v>
      </c>
      <c r="D10116" s="2">
        <f t="shared" si="158"/>
        <v>1</v>
      </c>
    </row>
    <row r="10117" spans="1:4" x14ac:dyDescent="0.3">
      <c r="A10117" s="34">
        <v>64517</v>
      </c>
      <c r="B10117" s="35">
        <v>1</v>
      </c>
      <c r="C10117" s="35">
        <v>0</v>
      </c>
      <c r="D10117" s="2">
        <f t="shared" si="158"/>
        <v>1</v>
      </c>
    </row>
    <row r="10118" spans="1:4" x14ac:dyDescent="0.3">
      <c r="A10118" s="34">
        <v>64519</v>
      </c>
      <c r="B10118" s="35">
        <v>1</v>
      </c>
      <c r="C10118" s="35">
        <v>0</v>
      </c>
      <c r="D10118" s="2">
        <f t="shared" si="158"/>
        <v>1</v>
      </c>
    </row>
    <row r="10119" spans="1:4" x14ac:dyDescent="0.3">
      <c r="A10119" s="34">
        <v>64520</v>
      </c>
      <c r="B10119" s="35">
        <v>1</v>
      </c>
      <c r="C10119" s="35">
        <v>0</v>
      </c>
      <c r="D10119" s="2">
        <f t="shared" si="158"/>
        <v>1</v>
      </c>
    </row>
    <row r="10120" spans="1:4" x14ac:dyDescent="0.3">
      <c r="A10120" s="34">
        <v>64521</v>
      </c>
      <c r="B10120" s="35">
        <v>1</v>
      </c>
      <c r="C10120" s="35">
        <v>0</v>
      </c>
      <c r="D10120" s="2">
        <f t="shared" si="158"/>
        <v>1</v>
      </c>
    </row>
    <row r="10121" spans="1:4" x14ac:dyDescent="0.3">
      <c r="A10121" s="34">
        <v>64523</v>
      </c>
      <c r="B10121" s="35">
        <v>2</v>
      </c>
      <c r="C10121" s="35">
        <v>1</v>
      </c>
      <c r="D10121" s="2">
        <f t="shared" si="158"/>
        <v>3</v>
      </c>
    </row>
    <row r="10122" spans="1:4" x14ac:dyDescent="0.3">
      <c r="A10122" s="34">
        <v>64524</v>
      </c>
      <c r="B10122" s="35">
        <v>1</v>
      </c>
      <c r="C10122" s="35">
        <v>1</v>
      </c>
      <c r="D10122" s="2">
        <f t="shared" si="158"/>
        <v>2</v>
      </c>
    </row>
    <row r="10123" spans="1:4" x14ac:dyDescent="0.3">
      <c r="A10123" s="34">
        <v>64526</v>
      </c>
      <c r="B10123" s="35">
        <v>1</v>
      </c>
      <c r="C10123" s="35">
        <v>0</v>
      </c>
      <c r="D10123" s="2">
        <f t="shared" si="158"/>
        <v>1</v>
      </c>
    </row>
    <row r="10124" spans="1:4" x14ac:dyDescent="0.3">
      <c r="A10124" s="34">
        <v>64527</v>
      </c>
      <c r="B10124" s="35">
        <v>2</v>
      </c>
      <c r="C10124" s="35">
        <v>1</v>
      </c>
      <c r="D10124" s="2">
        <f t="shared" si="158"/>
        <v>3</v>
      </c>
    </row>
    <row r="10125" spans="1:4" x14ac:dyDescent="0.3">
      <c r="A10125" s="34">
        <v>64530</v>
      </c>
      <c r="B10125" s="35">
        <v>1</v>
      </c>
      <c r="C10125" s="35">
        <v>0</v>
      </c>
      <c r="D10125" s="2">
        <f t="shared" si="158"/>
        <v>1</v>
      </c>
    </row>
    <row r="10126" spans="1:4" x14ac:dyDescent="0.3">
      <c r="A10126" s="34">
        <v>64537</v>
      </c>
      <c r="B10126" s="35">
        <v>1</v>
      </c>
      <c r="C10126" s="35">
        <v>0</v>
      </c>
      <c r="D10126" s="2">
        <f t="shared" si="158"/>
        <v>1</v>
      </c>
    </row>
    <row r="10127" spans="1:4" x14ac:dyDescent="0.3">
      <c r="A10127" s="34">
        <v>64540</v>
      </c>
      <c r="B10127" s="35">
        <v>1</v>
      </c>
      <c r="C10127" s="35">
        <v>0</v>
      </c>
      <c r="D10127" s="2">
        <f t="shared" si="158"/>
        <v>1</v>
      </c>
    </row>
    <row r="10128" spans="1:4" x14ac:dyDescent="0.3">
      <c r="A10128" s="34">
        <v>64542</v>
      </c>
      <c r="B10128" s="35">
        <v>1</v>
      </c>
      <c r="C10128" s="35">
        <v>0</v>
      </c>
      <c r="D10128" s="2">
        <f t="shared" si="158"/>
        <v>1</v>
      </c>
    </row>
    <row r="10129" spans="1:4" x14ac:dyDescent="0.3">
      <c r="A10129" s="34">
        <v>64543</v>
      </c>
      <c r="B10129" s="35">
        <v>1</v>
      </c>
      <c r="C10129" s="35">
        <v>0</v>
      </c>
      <c r="D10129" s="2">
        <f t="shared" si="158"/>
        <v>1</v>
      </c>
    </row>
    <row r="10130" spans="1:4" x14ac:dyDescent="0.3">
      <c r="A10130" s="34">
        <v>64546</v>
      </c>
      <c r="B10130" s="35">
        <v>1</v>
      </c>
      <c r="C10130" s="35">
        <v>0</v>
      </c>
      <c r="D10130" s="2">
        <f t="shared" si="158"/>
        <v>1</v>
      </c>
    </row>
    <row r="10131" spans="1:4" x14ac:dyDescent="0.3">
      <c r="A10131" s="34">
        <v>64547</v>
      </c>
      <c r="B10131" s="35">
        <v>1</v>
      </c>
      <c r="C10131" s="35">
        <v>1</v>
      </c>
      <c r="D10131" s="2">
        <f t="shared" si="158"/>
        <v>2</v>
      </c>
    </row>
    <row r="10132" spans="1:4" x14ac:dyDescent="0.3">
      <c r="A10132" s="34">
        <v>64548</v>
      </c>
      <c r="B10132" s="35">
        <v>1</v>
      </c>
      <c r="C10132" s="35">
        <v>0</v>
      </c>
      <c r="D10132" s="2">
        <f t="shared" si="158"/>
        <v>1</v>
      </c>
    </row>
    <row r="10133" spans="1:4" x14ac:dyDescent="0.3">
      <c r="A10133" s="34">
        <v>64549</v>
      </c>
      <c r="B10133" s="35">
        <v>1</v>
      </c>
      <c r="C10133" s="35">
        <v>0</v>
      </c>
      <c r="D10133" s="2">
        <f t="shared" si="158"/>
        <v>1</v>
      </c>
    </row>
    <row r="10134" spans="1:4" x14ac:dyDescent="0.3">
      <c r="A10134" s="34">
        <v>64550</v>
      </c>
      <c r="B10134" s="35">
        <v>1</v>
      </c>
      <c r="C10134" s="35">
        <v>0</v>
      </c>
      <c r="D10134" s="2">
        <f t="shared" si="158"/>
        <v>1</v>
      </c>
    </row>
    <row r="10135" spans="1:4" x14ac:dyDescent="0.3">
      <c r="A10135" s="34">
        <v>64553</v>
      </c>
      <c r="B10135" s="35">
        <v>1</v>
      </c>
      <c r="C10135" s="35">
        <v>0</v>
      </c>
      <c r="D10135" s="2">
        <f t="shared" si="158"/>
        <v>1</v>
      </c>
    </row>
    <row r="10136" spans="1:4" x14ac:dyDescent="0.3">
      <c r="A10136" s="34">
        <v>64555</v>
      </c>
      <c r="B10136" s="35">
        <v>1</v>
      </c>
      <c r="C10136" s="35">
        <v>0</v>
      </c>
      <c r="D10136" s="2">
        <f t="shared" si="158"/>
        <v>1</v>
      </c>
    </row>
    <row r="10137" spans="1:4" x14ac:dyDescent="0.3">
      <c r="A10137" s="34">
        <v>64556</v>
      </c>
      <c r="B10137" s="35">
        <v>1</v>
      </c>
      <c r="C10137" s="35">
        <v>0</v>
      </c>
      <c r="D10137" s="2">
        <f t="shared" si="158"/>
        <v>1</v>
      </c>
    </row>
    <row r="10138" spans="1:4" x14ac:dyDescent="0.3">
      <c r="A10138" s="34">
        <v>64560</v>
      </c>
      <c r="B10138" s="35">
        <v>1</v>
      </c>
      <c r="C10138" s="35">
        <v>0</v>
      </c>
      <c r="D10138" s="2">
        <f t="shared" si="158"/>
        <v>1</v>
      </c>
    </row>
    <row r="10139" spans="1:4" x14ac:dyDescent="0.3">
      <c r="A10139" s="34">
        <v>64565</v>
      </c>
      <c r="B10139" s="35">
        <v>1</v>
      </c>
      <c r="C10139" s="35">
        <v>0</v>
      </c>
      <c r="D10139" s="2">
        <f t="shared" si="158"/>
        <v>1</v>
      </c>
    </row>
    <row r="10140" spans="1:4" x14ac:dyDescent="0.3">
      <c r="A10140" s="34">
        <v>64567</v>
      </c>
      <c r="B10140" s="35">
        <v>1</v>
      </c>
      <c r="C10140" s="35">
        <v>0</v>
      </c>
      <c r="D10140" s="2">
        <f t="shared" si="158"/>
        <v>1</v>
      </c>
    </row>
    <row r="10141" spans="1:4" x14ac:dyDescent="0.3">
      <c r="A10141" s="34">
        <v>64568</v>
      </c>
      <c r="B10141" s="35">
        <v>1</v>
      </c>
      <c r="C10141" s="35">
        <v>0</v>
      </c>
      <c r="D10141" s="2">
        <f t="shared" si="158"/>
        <v>1</v>
      </c>
    </row>
    <row r="10142" spans="1:4" x14ac:dyDescent="0.3">
      <c r="A10142" s="34">
        <v>64570</v>
      </c>
      <c r="B10142" s="35">
        <v>1</v>
      </c>
      <c r="C10142" s="35">
        <v>0</v>
      </c>
      <c r="D10142" s="2">
        <f t="shared" si="158"/>
        <v>1</v>
      </c>
    </row>
    <row r="10143" spans="1:4" x14ac:dyDescent="0.3">
      <c r="A10143" s="34">
        <v>64571</v>
      </c>
      <c r="B10143" s="35">
        <v>1</v>
      </c>
      <c r="C10143" s="35">
        <v>0</v>
      </c>
      <c r="D10143" s="2">
        <f t="shared" si="158"/>
        <v>1</v>
      </c>
    </row>
    <row r="10144" spans="1:4" x14ac:dyDescent="0.3">
      <c r="A10144" s="34">
        <v>64572</v>
      </c>
      <c r="B10144" s="35">
        <v>1</v>
      </c>
      <c r="C10144" s="35">
        <v>0</v>
      </c>
      <c r="D10144" s="2">
        <f t="shared" si="158"/>
        <v>1</v>
      </c>
    </row>
    <row r="10145" spans="1:4" x14ac:dyDescent="0.3">
      <c r="A10145" s="34">
        <v>64574</v>
      </c>
      <c r="B10145" s="35">
        <v>1</v>
      </c>
      <c r="C10145" s="35">
        <v>0</v>
      </c>
      <c r="D10145" s="2">
        <f t="shared" si="158"/>
        <v>1</v>
      </c>
    </row>
    <row r="10146" spans="1:4" x14ac:dyDescent="0.3">
      <c r="A10146" s="34">
        <v>64575</v>
      </c>
      <c r="B10146" s="35">
        <v>1</v>
      </c>
      <c r="C10146" s="35">
        <v>0</v>
      </c>
      <c r="D10146" s="2">
        <f t="shared" si="158"/>
        <v>1</v>
      </c>
    </row>
    <row r="10147" spans="1:4" x14ac:dyDescent="0.3">
      <c r="A10147" s="34">
        <v>64576</v>
      </c>
      <c r="B10147" s="35">
        <v>1</v>
      </c>
      <c r="C10147" s="35">
        <v>0</v>
      </c>
      <c r="D10147" s="2">
        <f t="shared" si="158"/>
        <v>1</v>
      </c>
    </row>
    <row r="10148" spans="1:4" x14ac:dyDescent="0.3">
      <c r="A10148" s="34">
        <v>64577</v>
      </c>
      <c r="B10148" s="35">
        <v>1</v>
      </c>
      <c r="C10148" s="35">
        <v>0</v>
      </c>
      <c r="D10148" s="2">
        <f t="shared" si="158"/>
        <v>1</v>
      </c>
    </row>
    <row r="10149" spans="1:4" x14ac:dyDescent="0.3">
      <c r="A10149" s="34">
        <v>64579</v>
      </c>
      <c r="B10149" s="35">
        <v>1</v>
      </c>
      <c r="C10149" s="35">
        <v>0</v>
      </c>
      <c r="D10149" s="2">
        <f t="shared" si="158"/>
        <v>1</v>
      </c>
    </row>
    <row r="10150" spans="1:4" x14ac:dyDescent="0.3">
      <c r="A10150" s="34">
        <v>64580</v>
      </c>
      <c r="B10150" s="35">
        <v>1</v>
      </c>
      <c r="C10150" s="35">
        <v>0</v>
      </c>
      <c r="D10150" s="2">
        <f t="shared" si="158"/>
        <v>1</v>
      </c>
    </row>
    <row r="10151" spans="1:4" x14ac:dyDescent="0.3">
      <c r="A10151" s="34">
        <v>64582</v>
      </c>
      <c r="B10151" s="35">
        <v>1</v>
      </c>
      <c r="C10151" s="35">
        <v>0</v>
      </c>
      <c r="D10151" s="2">
        <f t="shared" si="158"/>
        <v>1</v>
      </c>
    </row>
    <row r="10152" spans="1:4" x14ac:dyDescent="0.3">
      <c r="A10152" s="34">
        <v>64583</v>
      </c>
      <c r="B10152" s="35">
        <v>1</v>
      </c>
      <c r="C10152" s="35">
        <v>1</v>
      </c>
      <c r="D10152" s="2">
        <f t="shared" si="158"/>
        <v>2</v>
      </c>
    </row>
    <row r="10153" spans="1:4" x14ac:dyDescent="0.3">
      <c r="A10153" s="34">
        <v>64585</v>
      </c>
      <c r="B10153" s="35">
        <v>1</v>
      </c>
      <c r="C10153" s="35">
        <v>0</v>
      </c>
      <c r="D10153" s="2">
        <f t="shared" si="158"/>
        <v>1</v>
      </c>
    </row>
    <row r="10154" spans="1:4" x14ac:dyDescent="0.3">
      <c r="A10154" s="34">
        <v>64586</v>
      </c>
      <c r="B10154" s="35">
        <v>2</v>
      </c>
      <c r="C10154" s="35">
        <v>0</v>
      </c>
      <c r="D10154" s="2">
        <f t="shared" si="158"/>
        <v>2</v>
      </c>
    </row>
    <row r="10155" spans="1:4" x14ac:dyDescent="0.3">
      <c r="A10155" s="34">
        <v>64587</v>
      </c>
      <c r="B10155" s="35">
        <v>1</v>
      </c>
      <c r="C10155" s="35">
        <v>0</v>
      </c>
      <c r="D10155" s="2">
        <f t="shared" si="158"/>
        <v>1</v>
      </c>
    </row>
    <row r="10156" spans="1:4" x14ac:dyDescent="0.3">
      <c r="A10156" s="34">
        <v>64588</v>
      </c>
      <c r="B10156" s="35">
        <v>1</v>
      </c>
      <c r="C10156" s="35">
        <v>0</v>
      </c>
      <c r="D10156" s="2">
        <f t="shared" si="158"/>
        <v>1</v>
      </c>
    </row>
    <row r="10157" spans="1:4" x14ac:dyDescent="0.3">
      <c r="A10157" s="34">
        <v>64589</v>
      </c>
      <c r="B10157" s="35">
        <v>1</v>
      </c>
      <c r="C10157" s="35">
        <v>0</v>
      </c>
      <c r="D10157" s="2">
        <f t="shared" si="158"/>
        <v>1</v>
      </c>
    </row>
    <row r="10158" spans="1:4" x14ac:dyDescent="0.3">
      <c r="A10158" s="34">
        <v>64591</v>
      </c>
      <c r="B10158" s="35">
        <v>1</v>
      </c>
      <c r="C10158" s="35">
        <v>0</v>
      </c>
      <c r="D10158" s="2">
        <f t="shared" si="158"/>
        <v>1</v>
      </c>
    </row>
    <row r="10159" spans="1:4" x14ac:dyDescent="0.3">
      <c r="A10159" s="34">
        <v>64596</v>
      </c>
      <c r="B10159" s="35">
        <v>2</v>
      </c>
      <c r="C10159" s="35">
        <v>2</v>
      </c>
      <c r="D10159" s="2">
        <f t="shared" si="158"/>
        <v>4</v>
      </c>
    </row>
    <row r="10160" spans="1:4" x14ac:dyDescent="0.3">
      <c r="A10160" s="34">
        <v>64597</v>
      </c>
      <c r="B10160" s="35">
        <v>1</v>
      </c>
      <c r="C10160" s="35">
        <v>0</v>
      </c>
      <c r="D10160" s="2">
        <f t="shared" si="158"/>
        <v>1</v>
      </c>
    </row>
    <row r="10161" spans="1:4" x14ac:dyDescent="0.3">
      <c r="A10161" s="34">
        <v>64599</v>
      </c>
      <c r="B10161" s="35">
        <v>1</v>
      </c>
      <c r="C10161" s="35">
        <v>0</v>
      </c>
      <c r="D10161" s="2">
        <f t="shared" si="158"/>
        <v>1</v>
      </c>
    </row>
    <row r="10162" spans="1:4" x14ac:dyDescent="0.3">
      <c r="A10162" s="34">
        <v>64600</v>
      </c>
      <c r="B10162" s="35">
        <v>1</v>
      </c>
      <c r="C10162" s="35">
        <v>1</v>
      </c>
      <c r="D10162" s="2">
        <f t="shared" si="158"/>
        <v>2</v>
      </c>
    </row>
    <row r="10163" spans="1:4" x14ac:dyDescent="0.3">
      <c r="A10163" s="34">
        <v>64601</v>
      </c>
      <c r="B10163" s="35">
        <v>1</v>
      </c>
      <c r="C10163" s="35">
        <v>1</v>
      </c>
      <c r="D10163" s="2">
        <f t="shared" si="158"/>
        <v>2</v>
      </c>
    </row>
    <row r="10164" spans="1:4" x14ac:dyDescent="0.3">
      <c r="A10164" s="34">
        <v>64604</v>
      </c>
      <c r="B10164" s="35">
        <v>1</v>
      </c>
      <c r="C10164" s="35">
        <v>0</v>
      </c>
      <c r="D10164" s="2">
        <f t="shared" si="158"/>
        <v>1</v>
      </c>
    </row>
    <row r="10165" spans="1:4" x14ac:dyDescent="0.3">
      <c r="A10165" s="34">
        <v>64606</v>
      </c>
      <c r="B10165" s="35">
        <v>1</v>
      </c>
      <c r="C10165" s="35">
        <v>0</v>
      </c>
      <c r="D10165" s="2">
        <f t="shared" si="158"/>
        <v>1</v>
      </c>
    </row>
    <row r="10166" spans="1:4" x14ac:dyDescent="0.3">
      <c r="A10166" s="34">
        <v>64618</v>
      </c>
      <c r="B10166" s="35">
        <v>1</v>
      </c>
      <c r="C10166" s="35">
        <v>0</v>
      </c>
      <c r="D10166" s="2">
        <f t="shared" si="158"/>
        <v>1</v>
      </c>
    </row>
    <row r="10167" spans="1:4" x14ac:dyDescent="0.3">
      <c r="A10167" s="34">
        <v>64620</v>
      </c>
      <c r="B10167" s="35">
        <v>1</v>
      </c>
      <c r="C10167" s="35">
        <v>0</v>
      </c>
      <c r="D10167" s="2">
        <f t="shared" si="158"/>
        <v>1</v>
      </c>
    </row>
    <row r="10168" spans="1:4" x14ac:dyDescent="0.3">
      <c r="A10168" s="34">
        <v>64622</v>
      </c>
      <c r="B10168" s="35">
        <v>1</v>
      </c>
      <c r="C10168" s="35">
        <v>0</v>
      </c>
      <c r="D10168" s="2">
        <f t="shared" si="158"/>
        <v>1</v>
      </c>
    </row>
    <row r="10169" spans="1:4" x14ac:dyDescent="0.3">
      <c r="A10169" s="34">
        <v>64625</v>
      </c>
      <c r="B10169" s="35">
        <v>1</v>
      </c>
      <c r="C10169" s="35">
        <v>0</v>
      </c>
      <c r="D10169" s="2">
        <f t="shared" si="158"/>
        <v>1</v>
      </c>
    </row>
    <row r="10170" spans="1:4" x14ac:dyDescent="0.3">
      <c r="A10170" s="34">
        <v>64629</v>
      </c>
      <c r="B10170" s="35">
        <v>1</v>
      </c>
      <c r="C10170" s="35">
        <v>0</v>
      </c>
      <c r="D10170" s="2">
        <f t="shared" si="158"/>
        <v>1</v>
      </c>
    </row>
    <row r="10171" spans="1:4" x14ac:dyDescent="0.3">
      <c r="A10171" s="34">
        <v>64631</v>
      </c>
      <c r="B10171" s="35">
        <v>1</v>
      </c>
      <c r="C10171" s="35">
        <v>0</v>
      </c>
      <c r="D10171" s="2">
        <f t="shared" si="158"/>
        <v>1</v>
      </c>
    </row>
    <row r="10172" spans="1:4" x14ac:dyDescent="0.3">
      <c r="A10172" s="34">
        <v>64635</v>
      </c>
      <c r="B10172" s="35">
        <v>1</v>
      </c>
      <c r="C10172" s="35">
        <v>0</v>
      </c>
      <c r="D10172" s="2">
        <f t="shared" si="158"/>
        <v>1</v>
      </c>
    </row>
    <row r="10173" spans="1:4" x14ac:dyDescent="0.3">
      <c r="A10173" s="34">
        <v>64725</v>
      </c>
      <c r="B10173" s="35">
        <v>1</v>
      </c>
      <c r="C10173" s="35">
        <v>0</v>
      </c>
      <c r="D10173" s="2">
        <f t="shared" si="158"/>
        <v>1</v>
      </c>
    </row>
    <row r="10174" spans="1:4" x14ac:dyDescent="0.3">
      <c r="A10174" s="34">
        <v>64726</v>
      </c>
      <c r="B10174" s="35">
        <v>1</v>
      </c>
      <c r="C10174" s="35">
        <v>0</v>
      </c>
      <c r="D10174" s="2">
        <f t="shared" si="158"/>
        <v>1</v>
      </c>
    </row>
    <row r="10175" spans="1:4" x14ac:dyDescent="0.3">
      <c r="A10175" s="34">
        <v>64727</v>
      </c>
      <c r="B10175" s="35">
        <v>1</v>
      </c>
      <c r="C10175" s="35">
        <v>1</v>
      </c>
      <c r="D10175" s="2">
        <f t="shared" si="158"/>
        <v>2</v>
      </c>
    </row>
    <row r="10176" spans="1:4" x14ac:dyDescent="0.3">
      <c r="A10176" s="34">
        <v>64728</v>
      </c>
      <c r="B10176" s="35">
        <v>1</v>
      </c>
      <c r="C10176" s="35">
        <v>1</v>
      </c>
      <c r="D10176" s="2">
        <f t="shared" si="158"/>
        <v>2</v>
      </c>
    </row>
    <row r="10177" spans="1:4" x14ac:dyDescent="0.3">
      <c r="A10177" s="34">
        <v>64729</v>
      </c>
      <c r="B10177" s="35">
        <v>1</v>
      </c>
      <c r="C10177" s="35">
        <v>0</v>
      </c>
      <c r="D10177" s="2">
        <f t="shared" si="158"/>
        <v>1</v>
      </c>
    </row>
    <row r="10178" spans="1:4" x14ac:dyDescent="0.3">
      <c r="A10178" s="34">
        <v>64730</v>
      </c>
      <c r="B10178" s="35">
        <v>1</v>
      </c>
      <c r="C10178" s="35">
        <v>0</v>
      </c>
      <c r="D10178" s="2">
        <f t="shared" si="158"/>
        <v>1</v>
      </c>
    </row>
    <row r="10179" spans="1:4" x14ac:dyDescent="0.3">
      <c r="A10179" s="34">
        <v>64731</v>
      </c>
      <c r="B10179" s="35">
        <v>1</v>
      </c>
      <c r="C10179" s="35">
        <v>0</v>
      </c>
      <c r="D10179" s="2">
        <f t="shared" ref="D10179:D10242" si="159">B10179+C10179</f>
        <v>1</v>
      </c>
    </row>
    <row r="10180" spans="1:4" x14ac:dyDescent="0.3">
      <c r="A10180" s="34">
        <v>64732</v>
      </c>
      <c r="B10180" s="35">
        <v>1</v>
      </c>
      <c r="C10180" s="35">
        <v>0</v>
      </c>
      <c r="D10180" s="2">
        <f t="shared" si="159"/>
        <v>1</v>
      </c>
    </row>
    <row r="10181" spans="1:4" x14ac:dyDescent="0.3">
      <c r="A10181" s="34">
        <v>64733</v>
      </c>
      <c r="B10181" s="35">
        <v>1</v>
      </c>
      <c r="C10181" s="35">
        <v>0</v>
      </c>
      <c r="D10181" s="2">
        <f t="shared" si="159"/>
        <v>1</v>
      </c>
    </row>
    <row r="10182" spans="1:4" x14ac:dyDescent="0.3">
      <c r="A10182" s="34">
        <v>64735</v>
      </c>
      <c r="B10182" s="35">
        <v>1</v>
      </c>
      <c r="C10182" s="35">
        <v>1</v>
      </c>
      <c r="D10182" s="2">
        <f t="shared" si="159"/>
        <v>2</v>
      </c>
    </row>
    <row r="10183" spans="1:4" x14ac:dyDescent="0.3">
      <c r="A10183" s="34">
        <v>64737</v>
      </c>
      <c r="B10183" s="35">
        <v>1</v>
      </c>
      <c r="C10183" s="35">
        <v>0</v>
      </c>
      <c r="D10183" s="2">
        <f t="shared" si="159"/>
        <v>1</v>
      </c>
    </row>
    <row r="10184" spans="1:4" x14ac:dyDescent="0.3">
      <c r="A10184" s="34">
        <v>64739</v>
      </c>
      <c r="B10184" s="35">
        <v>1</v>
      </c>
      <c r="C10184" s="35">
        <v>1</v>
      </c>
      <c r="D10184" s="2">
        <f t="shared" si="159"/>
        <v>2</v>
      </c>
    </row>
    <row r="10185" spans="1:4" x14ac:dyDescent="0.3">
      <c r="A10185" s="34">
        <v>64742</v>
      </c>
      <c r="B10185" s="35">
        <v>1</v>
      </c>
      <c r="C10185" s="35">
        <v>0</v>
      </c>
      <c r="D10185" s="2">
        <f t="shared" si="159"/>
        <v>1</v>
      </c>
    </row>
    <row r="10186" spans="1:4" x14ac:dyDescent="0.3">
      <c r="A10186" s="34">
        <v>64744</v>
      </c>
      <c r="B10186" s="35">
        <v>1</v>
      </c>
      <c r="C10186" s="35">
        <v>0</v>
      </c>
      <c r="D10186" s="2">
        <f t="shared" si="159"/>
        <v>1</v>
      </c>
    </row>
    <row r="10187" spans="1:4" x14ac:dyDescent="0.3">
      <c r="A10187" s="34">
        <v>64746</v>
      </c>
      <c r="B10187" s="35">
        <v>1</v>
      </c>
      <c r="C10187" s="35">
        <v>0</v>
      </c>
      <c r="D10187" s="2">
        <f t="shared" si="159"/>
        <v>1</v>
      </c>
    </row>
    <row r="10188" spans="1:4" x14ac:dyDescent="0.3">
      <c r="A10188" s="34">
        <v>64749</v>
      </c>
      <c r="B10188" s="35">
        <v>1</v>
      </c>
      <c r="C10188" s="35">
        <v>0</v>
      </c>
      <c r="D10188" s="2">
        <f t="shared" si="159"/>
        <v>1</v>
      </c>
    </row>
    <row r="10189" spans="1:4" x14ac:dyDescent="0.3">
      <c r="A10189" s="34">
        <v>64750</v>
      </c>
      <c r="B10189" s="35">
        <v>1</v>
      </c>
      <c r="C10189" s="35">
        <v>0</v>
      </c>
      <c r="D10189" s="2">
        <f t="shared" si="159"/>
        <v>1</v>
      </c>
    </row>
    <row r="10190" spans="1:4" x14ac:dyDescent="0.3">
      <c r="A10190" s="34">
        <v>64751</v>
      </c>
      <c r="B10190" s="35">
        <v>1</v>
      </c>
      <c r="C10190" s="35">
        <v>0</v>
      </c>
      <c r="D10190" s="2">
        <f t="shared" si="159"/>
        <v>1</v>
      </c>
    </row>
    <row r="10191" spans="1:4" x14ac:dyDescent="0.3">
      <c r="A10191" s="34">
        <v>64753</v>
      </c>
      <c r="B10191" s="35">
        <v>1</v>
      </c>
      <c r="C10191" s="35">
        <v>0</v>
      </c>
      <c r="D10191" s="2">
        <f t="shared" si="159"/>
        <v>1</v>
      </c>
    </row>
    <row r="10192" spans="1:4" x14ac:dyDescent="0.3">
      <c r="A10192" s="34">
        <v>64755</v>
      </c>
      <c r="B10192" s="35">
        <v>1</v>
      </c>
      <c r="C10192" s="35">
        <v>0</v>
      </c>
      <c r="D10192" s="2">
        <f t="shared" si="159"/>
        <v>1</v>
      </c>
    </row>
    <row r="10193" spans="1:4" x14ac:dyDescent="0.3">
      <c r="A10193" s="34">
        <v>64759</v>
      </c>
      <c r="B10193" s="35">
        <v>1</v>
      </c>
      <c r="C10193" s="35">
        <v>0</v>
      </c>
      <c r="D10193" s="2">
        <f t="shared" si="159"/>
        <v>1</v>
      </c>
    </row>
    <row r="10194" spans="1:4" x14ac:dyDescent="0.3">
      <c r="A10194" s="34">
        <v>64761</v>
      </c>
      <c r="B10194" s="35">
        <v>1</v>
      </c>
      <c r="C10194" s="35">
        <v>0</v>
      </c>
      <c r="D10194" s="2">
        <f t="shared" si="159"/>
        <v>1</v>
      </c>
    </row>
    <row r="10195" spans="1:4" x14ac:dyDescent="0.3">
      <c r="A10195" s="34">
        <v>64762</v>
      </c>
      <c r="B10195" s="35">
        <v>1</v>
      </c>
      <c r="C10195" s="35">
        <v>0</v>
      </c>
      <c r="D10195" s="2">
        <f t="shared" si="159"/>
        <v>1</v>
      </c>
    </row>
    <row r="10196" spans="1:4" x14ac:dyDescent="0.3">
      <c r="A10196" s="34">
        <v>64763</v>
      </c>
      <c r="B10196" s="35">
        <v>1</v>
      </c>
      <c r="C10196" s="35">
        <v>0</v>
      </c>
      <c r="D10196" s="2">
        <f t="shared" si="159"/>
        <v>1</v>
      </c>
    </row>
    <row r="10197" spans="1:4" x14ac:dyDescent="0.3">
      <c r="A10197" s="34">
        <v>64764</v>
      </c>
      <c r="B10197" s="35">
        <v>1</v>
      </c>
      <c r="C10197" s="35">
        <v>0</v>
      </c>
      <c r="D10197" s="2">
        <f t="shared" si="159"/>
        <v>1</v>
      </c>
    </row>
    <row r="10198" spans="1:4" x14ac:dyDescent="0.3">
      <c r="A10198" s="34">
        <v>64766</v>
      </c>
      <c r="B10198" s="35">
        <v>1</v>
      </c>
      <c r="C10198" s="35">
        <v>0</v>
      </c>
      <c r="D10198" s="2">
        <f t="shared" si="159"/>
        <v>1</v>
      </c>
    </row>
    <row r="10199" spans="1:4" x14ac:dyDescent="0.3">
      <c r="A10199" s="34">
        <v>64770</v>
      </c>
      <c r="B10199" s="35">
        <v>1</v>
      </c>
      <c r="C10199" s="35">
        <v>0</v>
      </c>
      <c r="D10199" s="2">
        <f t="shared" si="159"/>
        <v>1</v>
      </c>
    </row>
    <row r="10200" spans="1:4" x14ac:dyDescent="0.3">
      <c r="A10200" s="34">
        <v>64771</v>
      </c>
      <c r="B10200" s="35">
        <v>1</v>
      </c>
      <c r="C10200" s="35">
        <v>0</v>
      </c>
      <c r="D10200" s="2">
        <f t="shared" si="159"/>
        <v>1</v>
      </c>
    </row>
    <row r="10201" spans="1:4" x14ac:dyDescent="0.3">
      <c r="A10201" s="34">
        <v>64772</v>
      </c>
      <c r="B10201" s="35">
        <v>1</v>
      </c>
      <c r="C10201" s="35">
        <v>0</v>
      </c>
      <c r="D10201" s="2">
        <f t="shared" si="159"/>
        <v>1</v>
      </c>
    </row>
    <row r="10202" spans="1:4" x14ac:dyDescent="0.3">
      <c r="A10202" s="34">
        <v>64776</v>
      </c>
      <c r="B10202" s="35">
        <v>1</v>
      </c>
      <c r="C10202" s="35">
        <v>0</v>
      </c>
      <c r="D10202" s="2">
        <f t="shared" si="159"/>
        <v>1</v>
      </c>
    </row>
    <row r="10203" spans="1:4" x14ac:dyDescent="0.3">
      <c r="A10203" s="34">
        <v>64780</v>
      </c>
      <c r="B10203" s="35">
        <v>1</v>
      </c>
      <c r="C10203" s="35">
        <v>0</v>
      </c>
      <c r="D10203" s="2">
        <f t="shared" si="159"/>
        <v>1</v>
      </c>
    </row>
    <row r="10204" spans="1:4" x14ac:dyDescent="0.3">
      <c r="A10204" s="34">
        <v>64783</v>
      </c>
      <c r="B10204" s="35">
        <v>1</v>
      </c>
      <c r="C10204" s="35">
        <v>0</v>
      </c>
      <c r="D10204" s="2">
        <f t="shared" si="159"/>
        <v>1</v>
      </c>
    </row>
    <row r="10205" spans="1:4" x14ac:dyDescent="0.3">
      <c r="A10205" s="34">
        <v>64784</v>
      </c>
      <c r="B10205" s="35">
        <v>1</v>
      </c>
      <c r="C10205" s="35">
        <v>0</v>
      </c>
      <c r="D10205" s="2">
        <f t="shared" si="159"/>
        <v>1</v>
      </c>
    </row>
    <row r="10206" spans="1:4" x14ac:dyDescent="0.3">
      <c r="A10206" s="34">
        <v>64785</v>
      </c>
      <c r="B10206" s="35">
        <v>1</v>
      </c>
      <c r="C10206" s="35">
        <v>0</v>
      </c>
      <c r="D10206" s="2">
        <f t="shared" si="159"/>
        <v>1</v>
      </c>
    </row>
    <row r="10207" spans="1:4" x14ac:dyDescent="0.3">
      <c r="A10207" s="34">
        <v>64787</v>
      </c>
      <c r="B10207" s="35">
        <v>1</v>
      </c>
      <c r="C10207" s="35">
        <v>0</v>
      </c>
      <c r="D10207" s="2">
        <f t="shared" si="159"/>
        <v>1</v>
      </c>
    </row>
    <row r="10208" spans="1:4" x14ac:dyDescent="0.3">
      <c r="A10208" s="34">
        <v>64791</v>
      </c>
      <c r="B10208" s="35">
        <v>1</v>
      </c>
      <c r="C10208" s="35">
        <v>0</v>
      </c>
      <c r="D10208" s="2">
        <f t="shared" si="159"/>
        <v>1</v>
      </c>
    </row>
    <row r="10209" spans="1:4" x14ac:dyDescent="0.3">
      <c r="A10209" s="34">
        <v>64795</v>
      </c>
      <c r="B10209" s="35">
        <v>1</v>
      </c>
      <c r="C10209" s="35">
        <v>0</v>
      </c>
      <c r="D10209" s="2">
        <f t="shared" si="159"/>
        <v>1</v>
      </c>
    </row>
    <row r="10210" spans="1:4" x14ac:dyDescent="0.3">
      <c r="A10210" s="34">
        <v>64796</v>
      </c>
      <c r="B10210" s="35">
        <v>1</v>
      </c>
      <c r="C10210" s="35">
        <v>0</v>
      </c>
      <c r="D10210" s="2">
        <f t="shared" si="159"/>
        <v>1</v>
      </c>
    </row>
    <row r="10211" spans="1:4" x14ac:dyDescent="0.3">
      <c r="A10211" s="34">
        <v>64798</v>
      </c>
      <c r="B10211" s="35">
        <v>1</v>
      </c>
      <c r="C10211" s="35">
        <v>0</v>
      </c>
      <c r="D10211" s="2">
        <f t="shared" si="159"/>
        <v>1</v>
      </c>
    </row>
    <row r="10212" spans="1:4" x14ac:dyDescent="0.3">
      <c r="A10212" s="34">
        <v>64799</v>
      </c>
      <c r="B10212" s="35">
        <v>1</v>
      </c>
      <c r="C10212" s="35">
        <v>0</v>
      </c>
      <c r="D10212" s="2">
        <f t="shared" si="159"/>
        <v>1</v>
      </c>
    </row>
    <row r="10213" spans="1:4" x14ac:dyDescent="0.3">
      <c r="A10213" s="34">
        <v>64801</v>
      </c>
      <c r="B10213" s="35">
        <v>1</v>
      </c>
      <c r="C10213" s="35">
        <v>0</v>
      </c>
      <c r="D10213" s="2">
        <f t="shared" si="159"/>
        <v>1</v>
      </c>
    </row>
    <row r="10214" spans="1:4" x14ac:dyDescent="0.3">
      <c r="A10214" s="34">
        <v>64802</v>
      </c>
      <c r="B10214" s="35">
        <v>1</v>
      </c>
      <c r="C10214" s="35">
        <v>0</v>
      </c>
      <c r="D10214" s="2">
        <f t="shared" si="159"/>
        <v>1</v>
      </c>
    </row>
    <row r="10215" spans="1:4" x14ac:dyDescent="0.3">
      <c r="A10215" s="34">
        <v>64803</v>
      </c>
      <c r="B10215" s="35">
        <v>1</v>
      </c>
      <c r="C10215" s="35">
        <v>1</v>
      </c>
      <c r="D10215" s="2">
        <f t="shared" si="159"/>
        <v>2</v>
      </c>
    </row>
    <row r="10216" spans="1:4" x14ac:dyDescent="0.3">
      <c r="A10216" s="34">
        <v>64806</v>
      </c>
      <c r="B10216" s="35">
        <v>1</v>
      </c>
      <c r="C10216" s="35">
        <v>0</v>
      </c>
      <c r="D10216" s="2">
        <f t="shared" si="159"/>
        <v>1</v>
      </c>
    </row>
    <row r="10217" spans="1:4" x14ac:dyDescent="0.3">
      <c r="A10217" s="34">
        <v>64808</v>
      </c>
      <c r="B10217" s="35">
        <v>1</v>
      </c>
      <c r="C10217" s="35">
        <v>0</v>
      </c>
      <c r="D10217" s="2">
        <f t="shared" si="159"/>
        <v>1</v>
      </c>
    </row>
    <row r="10218" spans="1:4" x14ac:dyDescent="0.3">
      <c r="A10218" s="34">
        <v>64810</v>
      </c>
      <c r="B10218" s="35">
        <v>1</v>
      </c>
      <c r="C10218" s="35">
        <v>0</v>
      </c>
      <c r="D10218" s="2">
        <f t="shared" si="159"/>
        <v>1</v>
      </c>
    </row>
    <row r="10219" spans="1:4" x14ac:dyDescent="0.3">
      <c r="A10219" s="34">
        <v>64811</v>
      </c>
      <c r="B10219" s="35">
        <v>1</v>
      </c>
      <c r="C10219" s="35">
        <v>0</v>
      </c>
      <c r="D10219" s="2">
        <f t="shared" si="159"/>
        <v>1</v>
      </c>
    </row>
    <row r="10220" spans="1:4" x14ac:dyDescent="0.3">
      <c r="A10220" s="34">
        <v>64813</v>
      </c>
      <c r="B10220" s="35">
        <v>1</v>
      </c>
      <c r="C10220" s="35">
        <v>0</v>
      </c>
      <c r="D10220" s="2">
        <f t="shared" si="159"/>
        <v>1</v>
      </c>
    </row>
    <row r="10221" spans="1:4" x14ac:dyDescent="0.3">
      <c r="A10221" s="34">
        <v>64816</v>
      </c>
      <c r="B10221" s="35">
        <v>1</v>
      </c>
      <c r="C10221" s="35">
        <v>0</v>
      </c>
      <c r="D10221" s="2">
        <f t="shared" si="159"/>
        <v>1</v>
      </c>
    </row>
    <row r="10222" spans="1:4" x14ac:dyDescent="0.3">
      <c r="A10222" s="34">
        <v>64819</v>
      </c>
      <c r="B10222" s="35">
        <v>1</v>
      </c>
      <c r="C10222" s="35">
        <v>0</v>
      </c>
      <c r="D10222" s="2">
        <f t="shared" si="159"/>
        <v>1</v>
      </c>
    </row>
    <row r="10223" spans="1:4" x14ac:dyDescent="0.3">
      <c r="A10223" s="34">
        <v>64821</v>
      </c>
      <c r="B10223" s="35">
        <v>1</v>
      </c>
      <c r="C10223" s="35">
        <v>0</v>
      </c>
      <c r="D10223" s="2">
        <f t="shared" si="159"/>
        <v>1</v>
      </c>
    </row>
    <row r="10224" spans="1:4" x14ac:dyDescent="0.3">
      <c r="A10224" s="34">
        <v>64823</v>
      </c>
      <c r="B10224" s="35">
        <v>1</v>
      </c>
      <c r="C10224" s="35">
        <v>0</v>
      </c>
      <c r="D10224" s="2">
        <f t="shared" si="159"/>
        <v>1</v>
      </c>
    </row>
    <row r="10225" spans="1:4" x14ac:dyDescent="0.3">
      <c r="A10225" s="34">
        <v>64834</v>
      </c>
      <c r="B10225" s="35">
        <v>1</v>
      </c>
      <c r="C10225" s="35">
        <v>0</v>
      </c>
      <c r="D10225" s="2">
        <f t="shared" si="159"/>
        <v>1</v>
      </c>
    </row>
    <row r="10226" spans="1:4" x14ac:dyDescent="0.3">
      <c r="A10226" s="34">
        <v>64838</v>
      </c>
      <c r="B10226" s="35">
        <v>1</v>
      </c>
      <c r="C10226" s="35">
        <v>0</v>
      </c>
      <c r="D10226" s="2">
        <f t="shared" si="159"/>
        <v>1</v>
      </c>
    </row>
    <row r="10227" spans="1:4" x14ac:dyDescent="0.3">
      <c r="A10227" s="34">
        <v>64840</v>
      </c>
      <c r="B10227" s="35">
        <v>1</v>
      </c>
      <c r="C10227" s="35">
        <v>0</v>
      </c>
      <c r="D10227" s="2">
        <f t="shared" si="159"/>
        <v>1</v>
      </c>
    </row>
    <row r="10228" spans="1:4" x14ac:dyDescent="0.3">
      <c r="A10228" s="34">
        <v>64841</v>
      </c>
      <c r="B10228" s="35">
        <v>1</v>
      </c>
      <c r="C10228" s="35">
        <v>0</v>
      </c>
      <c r="D10228" s="2">
        <f t="shared" si="159"/>
        <v>1</v>
      </c>
    </row>
    <row r="10229" spans="1:4" x14ac:dyDescent="0.3">
      <c r="A10229" s="34">
        <v>64846</v>
      </c>
      <c r="B10229" s="35">
        <v>1</v>
      </c>
      <c r="C10229" s="35">
        <v>0</v>
      </c>
      <c r="D10229" s="2">
        <f t="shared" si="159"/>
        <v>1</v>
      </c>
    </row>
    <row r="10230" spans="1:4" x14ac:dyDescent="0.3">
      <c r="A10230" s="34">
        <v>64847</v>
      </c>
      <c r="B10230" s="35">
        <v>1</v>
      </c>
      <c r="C10230" s="35">
        <v>0</v>
      </c>
      <c r="D10230" s="2">
        <f t="shared" si="159"/>
        <v>1</v>
      </c>
    </row>
    <row r="10231" spans="1:4" x14ac:dyDescent="0.3">
      <c r="A10231" s="34">
        <v>64855</v>
      </c>
      <c r="B10231" s="35">
        <v>1</v>
      </c>
      <c r="C10231" s="35">
        <v>0</v>
      </c>
      <c r="D10231" s="2">
        <f t="shared" si="159"/>
        <v>1</v>
      </c>
    </row>
    <row r="10232" spans="1:4" x14ac:dyDescent="0.3">
      <c r="A10232" s="34">
        <v>64856</v>
      </c>
      <c r="B10232" s="35">
        <v>1</v>
      </c>
      <c r="C10232" s="35">
        <v>0</v>
      </c>
      <c r="D10232" s="2">
        <f t="shared" si="159"/>
        <v>1</v>
      </c>
    </row>
    <row r="10233" spans="1:4" x14ac:dyDescent="0.3">
      <c r="A10233" s="34">
        <v>64858</v>
      </c>
      <c r="B10233" s="35">
        <v>1</v>
      </c>
      <c r="C10233" s="35">
        <v>0</v>
      </c>
      <c r="D10233" s="2">
        <f t="shared" si="159"/>
        <v>1</v>
      </c>
    </row>
    <row r="10234" spans="1:4" x14ac:dyDescent="0.3">
      <c r="A10234" s="34">
        <v>64887</v>
      </c>
      <c r="B10234" s="35">
        <v>1</v>
      </c>
      <c r="C10234" s="35">
        <v>1</v>
      </c>
      <c r="D10234" s="2">
        <f t="shared" si="159"/>
        <v>2</v>
      </c>
    </row>
    <row r="10235" spans="1:4" x14ac:dyDescent="0.3">
      <c r="A10235" s="34">
        <v>64888</v>
      </c>
      <c r="B10235" s="35">
        <v>1</v>
      </c>
      <c r="C10235" s="35">
        <v>0</v>
      </c>
      <c r="D10235" s="2">
        <f t="shared" si="159"/>
        <v>1</v>
      </c>
    </row>
    <row r="10236" spans="1:4" x14ac:dyDescent="0.3">
      <c r="A10236" s="34">
        <v>64890</v>
      </c>
      <c r="B10236" s="35">
        <v>1</v>
      </c>
      <c r="C10236" s="35">
        <v>1</v>
      </c>
      <c r="D10236" s="2">
        <f t="shared" si="159"/>
        <v>2</v>
      </c>
    </row>
    <row r="10237" spans="1:4" x14ac:dyDescent="0.3">
      <c r="A10237" s="34">
        <v>64891</v>
      </c>
      <c r="B10237" s="35">
        <v>1</v>
      </c>
      <c r="C10237" s="35">
        <v>0</v>
      </c>
      <c r="D10237" s="2">
        <f t="shared" si="159"/>
        <v>1</v>
      </c>
    </row>
    <row r="10238" spans="1:4" x14ac:dyDescent="0.3">
      <c r="A10238" s="34">
        <v>64892</v>
      </c>
      <c r="B10238" s="35">
        <v>1</v>
      </c>
      <c r="C10238" s="35">
        <v>0</v>
      </c>
      <c r="D10238" s="2">
        <f t="shared" si="159"/>
        <v>1</v>
      </c>
    </row>
    <row r="10239" spans="1:4" x14ac:dyDescent="0.3">
      <c r="A10239" s="34">
        <v>64899</v>
      </c>
      <c r="B10239" s="35">
        <v>1</v>
      </c>
      <c r="C10239" s="35">
        <v>0</v>
      </c>
      <c r="D10239" s="2">
        <f t="shared" si="159"/>
        <v>1</v>
      </c>
    </row>
    <row r="10240" spans="1:4" x14ac:dyDescent="0.3">
      <c r="A10240" s="34">
        <v>64901</v>
      </c>
      <c r="B10240" s="35">
        <v>1</v>
      </c>
      <c r="C10240" s="35">
        <v>0</v>
      </c>
      <c r="D10240" s="2">
        <f t="shared" si="159"/>
        <v>1</v>
      </c>
    </row>
    <row r="10241" spans="1:4" x14ac:dyDescent="0.3">
      <c r="A10241" s="34">
        <v>64902</v>
      </c>
      <c r="B10241" s="35">
        <v>2</v>
      </c>
      <c r="C10241" s="35">
        <v>0</v>
      </c>
      <c r="D10241" s="2">
        <f t="shared" si="159"/>
        <v>2</v>
      </c>
    </row>
    <row r="10242" spans="1:4" x14ac:dyDescent="0.3">
      <c r="A10242" s="34">
        <v>64903</v>
      </c>
      <c r="B10242" s="35">
        <v>1</v>
      </c>
      <c r="C10242" s="35">
        <v>0</v>
      </c>
      <c r="D10242" s="2">
        <f t="shared" si="159"/>
        <v>1</v>
      </c>
    </row>
    <row r="10243" spans="1:4" x14ac:dyDescent="0.3">
      <c r="A10243" s="34">
        <v>64904</v>
      </c>
      <c r="B10243" s="35">
        <v>1</v>
      </c>
      <c r="C10243" s="35">
        <v>1</v>
      </c>
      <c r="D10243" s="2">
        <f t="shared" ref="D10243:D10306" si="160">B10243+C10243</f>
        <v>2</v>
      </c>
    </row>
    <row r="10244" spans="1:4" x14ac:dyDescent="0.3">
      <c r="A10244" s="34">
        <v>64905</v>
      </c>
      <c r="B10244" s="35">
        <v>1</v>
      </c>
      <c r="C10244" s="35">
        <v>0</v>
      </c>
      <c r="D10244" s="2">
        <f t="shared" si="160"/>
        <v>1</v>
      </c>
    </row>
    <row r="10245" spans="1:4" x14ac:dyDescent="0.3">
      <c r="A10245" s="34">
        <v>64906</v>
      </c>
      <c r="B10245" s="35">
        <v>1</v>
      </c>
      <c r="C10245" s="35">
        <v>0</v>
      </c>
      <c r="D10245" s="2">
        <f t="shared" si="160"/>
        <v>1</v>
      </c>
    </row>
    <row r="10246" spans="1:4" x14ac:dyDescent="0.3">
      <c r="A10246" s="34">
        <v>64907</v>
      </c>
      <c r="B10246" s="35">
        <v>1</v>
      </c>
      <c r="C10246" s="35">
        <v>0</v>
      </c>
      <c r="D10246" s="2">
        <f t="shared" si="160"/>
        <v>1</v>
      </c>
    </row>
    <row r="10247" spans="1:4" x14ac:dyDescent="0.3">
      <c r="A10247" s="34">
        <v>64908</v>
      </c>
      <c r="B10247" s="35">
        <v>1</v>
      </c>
      <c r="C10247" s="35">
        <v>0</v>
      </c>
      <c r="D10247" s="2">
        <f t="shared" si="160"/>
        <v>1</v>
      </c>
    </row>
    <row r="10248" spans="1:4" x14ac:dyDescent="0.3">
      <c r="A10248" s="34">
        <v>64910</v>
      </c>
      <c r="B10248" s="35">
        <v>2</v>
      </c>
      <c r="C10248" s="35">
        <v>0</v>
      </c>
      <c r="D10248" s="2">
        <f t="shared" si="160"/>
        <v>2</v>
      </c>
    </row>
    <row r="10249" spans="1:4" x14ac:dyDescent="0.3">
      <c r="A10249" s="34">
        <v>64911</v>
      </c>
      <c r="B10249" s="35">
        <v>1</v>
      </c>
      <c r="C10249" s="35">
        <v>0</v>
      </c>
      <c r="D10249" s="2">
        <f t="shared" si="160"/>
        <v>1</v>
      </c>
    </row>
    <row r="10250" spans="1:4" x14ac:dyDescent="0.3">
      <c r="A10250" s="34">
        <v>64912</v>
      </c>
      <c r="B10250" s="35">
        <v>1</v>
      </c>
      <c r="C10250" s="35">
        <v>0</v>
      </c>
      <c r="D10250" s="2">
        <f t="shared" si="160"/>
        <v>1</v>
      </c>
    </row>
    <row r="10251" spans="1:4" x14ac:dyDescent="0.3">
      <c r="A10251" s="34">
        <v>64915</v>
      </c>
      <c r="B10251" s="35">
        <v>1</v>
      </c>
      <c r="C10251" s="35">
        <v>1</v>
      </c>
      <c r="D10251" s="2">
        <f t="shared" si="160"/>
        <v>2</v>
      </c>
    </row>
    <row r="10252" spans="1:4" x14ac:dyDescent="0.3">
      <c r="A10252" s="34">
        <v>64953</v>
      </c>
      <c r="B10252" s="35">
        <v>1</v>
      </c>
      <c r="C10252" s="35">
        <v>0</v>
      </c>
      <c r="D10252" s="2">
        <f t="shared" si="160"/>
        <v>1</v>
      </c>
    </row>
    <row r="10253" spans="1:4" x14ac:dyDescent="0.3">
      <c r="A10253" s="34">
        <v>64956</v>
      </c>
      <c r="B10253" s="35">
        <v>1</v>
      </c>
      <c r="C10253" s="35">
        <v>0</v>
      </c>
      <c r="D10253" s="2">
        <f t="shared" si="160"/>
        <v>1</v>
      </c>
    </row>
    <row r="10254" spans="1:4" x14ac:dyDescent="0.3">
      <c r="A10254" s="34">
        <v>64962</v>
      </c>
      <c r="B10254" s="35">
        <v>1</v>
      </c>
      <c r="C10254" s="35">
        <v>1</v>
      </c>
      <c r="D10254" s="2">
        <f t="shared" si="160"/>
        <v>2</v>
      </c>
    </row>
    <row r="10255" spans="1:4" x14ac:dyDescent="0.3">
      <c r="A10255" s="34">
        <v>64966</v>
      </c>
      <c r="B10255" s="35">
        <v>1</v>
      </c>
      <c r="C10255" s="35">
        <v>1</v>
      </c>
      <c r="D10255" s="2">
        <f t="shared" si="160"/>
        <v>2</v>
      </c>
    </row>
    <row r="10256" spans="1:4" x14ac:dyDescent="0.3">
      <c r="A10256" s="34">
        <v>64967</v>
      </c>
      <c r="B10256" s="35">
        <v>1</v>
      </c>
      <c r="C10256" s="35">
        <v>0</v>
      </c>
      <c r="D10256" s="2">
        <f t="shared" si="160"/>
        <v>1</v>
      </c>
    </row>
    <row r="10257" spans="1:4" x14ac:dyDescent="0.3">
      <c r="A10257" s="34">
        <v>64968</v>
      </c>
      <c r="B10257" s="35">
        <v>1</v>
      </c>
      <c r="C10257" s="35">
        <v>0</v>
      </c>
      <c r="D10257" s="2">
        <f t="shared" si="160"/>
        <v>1</v>
      </c>
    </row>
    <row r="10258" spans="1:4" x14ac:dyDescent="0.3">
      <c r="A10258" s="34">
        <v>64969</v>
      </c>
      <c r="B10258" s="35">
        <v>1</v>
      </c>
      <c r="C10258" s="35">
        <v>0</v>
      </c>
      <c r="D10258" s="2">
        <f t="shared" si="160"/>
        <v>1</v>
      </c>
    </row>
    <row r="10259" spans="1:4" x14ac:dyDescent="0.3">
      <c r="A10259" s="34">
        <v>64971</v>
      </c>
      <c r="B10259" s="35">
        <v>1</v>
      </c>
      <c r="C10259" s="35">
        <v>0</v>
      </c>
      <c r="D10259" s="2">
        <f t="shared" si="160"/>
        <v>1</v>
      </c>
    </row>
    <row r="10260" spans="1:4" x14ac:dyDescent="0.3">
      <c r="A10260" s="34">
        <v>64972</v>
      </c>
      <c r="B10260" s="35">
        <v>1</v>
      </c>
      <c r="C10260" s="35">
        <v>0</v>
      </c>
      <c r="D10260" s="2">
        <f t="shared" si="160"/>
        <v>1</v>
      </c>
    </row>
    <row r="10261" spans="1:4" x14ac:dyDescent="0.3">
      <c r="A10261" s="34">
        <v>64973</v>
      </c>
      <c r="B10261" s="35">
        <v>1</v>
      </c>
      <c r="C10261" s="35">
        <v>0</v>
      </c>
      <c r="D10261" s="2">
        <f t="shared" si="160"/>
        <v>1</v>
      </c>
    </row>
    <row r="10262" spans="1:4" x14ac:dyDescent="0.3">
      <c r="A10262" s="34">
        <v>64976</v>
      </c>
      <c r="B10262" s="35">
        <v>1</v>
      </c>
      <c r="C10262" s="35">
        <v>0</v>
      </c>
      <c r="D10262" s="2">
        <f t="shared" si="160"/>
        <v>1</v>
      </c>
    </row>
    <row r="10263" spans="1:4" x14ac:dyDescent="0.3">
      <c r="A10263" s="34">
        <v>64990</v>
      </c>
      <c r="B10263" s="35">
        <v>1</v>
      </c>
      <c r="C10263" s="35">
        <v>0</v>
      </c>
      <c r="D10263" s="2">
        <f t="shared" si="160"/>
        <v>1</v>
      </c>
    </row>
    <row r="10264" spans="1:4" x14ac:dyDescent="0.3">
      <c r="A10264" s="34">
        <v>64995</v>
      </c>
      <c r="B10264" s="35">
        <v>1</v>
      </c>
      <c r="C10264" s="35">
        <v>0</v>
      </c>
      <c r="D10264" s="2">
        <f t="shared" si="160"/>
        <v>1</v>
      </c>
    </row>
    <row r="10265" spans="1:4" x14ac:dyDescent="0.3">
      <c r="A10265" s="34">
        <v>65001</v>
      </c>
      <c r="B10265" s="35">
        <v>1</v>
      </c>
      <c r="C10265" s="35">
        <v>0</v>
      </c>
      <c r="D10265" s="2">
        <f t="shared" si="160"/>
        <v>1</v>
      </c>
    </row>
    <row r="10266" spans="1:4" x14ac:dyDescent="0.3">
      <c r="A10266" s="34">
        <v>65002</v>
      </c>
      <c r="B10266" s="35">
        <v>1</v>
      </c>
      <c r="C10266" s="35">
        <v>0</v>
      </c>
      <c r="D10266" s="2">
        <f t="shared" si="160"/>
        <v>1</v>
      </c>
    </row>
    <row r="10267" spans="1:4" x14ac:dyDescent="0.3">
      <c r="A10267" s="34">
        <v>65044</v>
      </c>
      <c r="B10267" s="35">
        <v>1</v>
      </c>
      <c r="C10267" s="35">
        <v>0</v>
      </c>
      <c r="D10267" s="2">
        <f t="shared" si="160"/>
        <v>1</v>
      </c>
    </row>
    <row r="10268" spans="1:4" x14ac:dyDescent="0.3">
      <c r="A10268" s="34">
        <v>65045</v>
      </c>
      <c r="B10268" s="35">
        <v>1</v>
      </c>
      <c r="C10268" s="35">
        <v>0</v>
      </c>
      <c r="D10268" s="2">
        <f t="shared" si="160"/>
        <v>1</v>
      </c>
    </row>
    <row r="10269" spans="1:4" x14ac:dyDescent="0.3">
      <c r="A10269" s="34">
        <v>65048</v>
      </c>
      <c r="B10269" s="35">
        <v>1</v>
      </c>
      <c r="C10269" s="35">
        <v>0</v>
      </c>
      <c r="D10269" s="2">
        <f t="shared" si="160"/>
        <v>1</v>
      </c>
    </row>
    <row r="10270" spans="1:4" x14ac:dyDescent="0.3">
      <c r="A10270" s="34">
        <v>65049</v>
      </c>
      <c r="B10270" s="35">
        <v>2</v>
      </c>
      <c r="C10270" s="35">
        <v>1</v>
      </c>
      <c r="D10270" s="2">
        <f t="shared" si="160"/>
        <v>3</v>
      </c>
    </row>
    <row r="10271" spans="1:4" x14ac:dyDescent="0.3">
      <c r="A10271" s="34">
        <v>65050</v>
      </c>
      <c r="B10271" s="35">
        <v>1</v>
      </c>
      <c r="C10271" s="35">
        <v>0</v>
      </c>
      <c r="D10271" s="2">
        <f t="shared" si="160"/>
        <v>1</v>
      </c>
    </row>
    <row r="10272" spans="1:4" x14ac:dyDescent="0.3">
      <c r="A10272" s="34">
        <v>65053</v>
      </c>
      <c r="B10272" s="35">
        <v>1</v>
      </c>
      <c r="C10272" s="35">
        <v>0</v>
      </c>
      <c r="D10272" s="2">
        <f t="shared" si="160"/>
        <v>1</v>
      </c>
    </row>
    <row r="10273" spans="1:4" x14ac:dyDescent="0.3">
      <c r="A10273" s="34">
        <v>65057</v>
      </c>
      <c r="B10273" s="35">
        <v>1</v>
      </c>
      <c r="C10273" s="35">
        <v>0</v>
      </c>
      <c r="D10273" s="2">
        <f t="shared" si="160"/>
        <v>1</v>
      </c>
    </row>
    <row r="10274" spans="1:4" x14ac:dyDescent="0.3">
      <c r="A10274" s="34">
        <v>65058</v>
      </c>
      <c r="B10274" s="35">
        <v>1</v>
      </c>
      <c r="C10274" s="35">
        <v>0</v>
      </c>
      <c r="D10274" s="2">
        <f t="shared" si="160"/>
        <v>1</v>
      </c>
    </row>
    <row r="10275" spans="1:4" x14ac:dyDescent="0.3">
      <c r="A10275" s="34">
        <v>65060</v>
      </c>
      <c r="B10275" s="35">
        <v>1</v>
      </c>
      <c r="C10275" s="35">
        <v>0</v>
      </c>
      <c r="D10275" s="2">
        <f t="shared" si="160"/>
        <v>1</v>
      </c>
    </row>
    <row r="10276" spans="1:4" x14ac:dyDescent="0.3">
      <c r="A10276" s="34">
        <v>65062</v>
      </c>
      <c r="B10276" s="35">
        <v>1</v>
      </c>
      <c r="C10276" s="35">
        <v>0</v>
      </c>
      <c r="D10276" s="2">
        <f t="shared" si="160"/>
        <v>1</v>
      </c>
    </row>
    <row r="10277" spans="1:4" x14ac:dyDescent="0.3">
      <c r="A10277" s="34">
        <v>65068</v>
      </c>
      <c r="B10277" s="35">
        <v>1</v>
      </c>
      <c r="C10277" s="35">
        <v>0</v>
      </c>
      <c r="D10277" s="2">
        <f t="shared" si="160"/>
        <v>1</v>
      </c>
    </row>
    <row r="10278" spans="1:4" x14ac:dyDescent="0.3">
      <c r="A10278" s="34">
        <v>65069</v>
      </c>
      <c r="B10278" s="35">
        <v>1</v>
      </c>
      <c r="C10278" s="35">
        <v>0</v>
      </c>
      <c r="D10278" s="2">
        <f t="shared" si="160"/>
        <v>1</v>
      </c>
    </row>
    <row r="10279" spans="1:4" x14ac:dyDescent="0.3">
      <c r="A10279" s="34">
        <v>65072</v>
      </c>
      <c r="B10279" s="35">
        <v>1</v>
      </c>
      <c r="C10279" s="35">
        <v>0</v>
      </c>
      <c r="D10279" s="2">
        <f t="shared" si="160"/>
        <v>1</v>
      </c>
    </row>
    <row r="10280" spans="1:4" x14ac:dyDescent="0.3">
      <c r="A10280" s="34">
        <v>65074</v>
      </c>
      <c r="B10280" s="35">
        <v>1</v>
      </c>
      <c r="C10280" s="35">
        <v>0</v>
      </c>
      <c r="D10280" s="2">
        <f t="shared" si="160"/>
        <v>1</v>
      </c>
    </row>
    <row r="10281" spans="1:4" x14ac:dyDescent="0.3">
      <c r="A10281" s="34">
        <v>65075</v>
      </c>
      <c r="B10281" s="35">
        <v>1</v>
      </c>
      <c r="C10281" s="35">
        <v>0</v>
      </c>
      <c r="D10281" s="2">
        <f t="shared" si="160"/>
        <v>1</v>
      </c>
    </row>
    <row r="10282" spans="1:4" x14ac:dyDescent="0.3">
      <c r="A10282" s="34">
        <v>65077</v>
      </c>
      <c r="B10282" s="35">
        <v>1</v>
      </c>
      <c r="C10282" s="35">
        <v>0</v>
      </c>
      <c r="D10282" s="2">
        <f t="shared" si="160"/>
        <v>1</v>
      </c>
    </row>
    <row r="10283" spans="1:4" x14ac:dyDescent="0.3">
      <c r="A10283" s="34">
        <v>65078</v>
      </c>
      <c r="B10283" s="35">
        <v>1</v>
      </c>
      <c r="C10283" s="35">
        <v>0</v>
      </c>
      <c r="D10283" s="2">
        <f t="shared" si="160"/>
        <v>1</v>
      </c>
    </row>
    <row r="10284" spans="1:4" x14ac:dyDescent="0.3">
      <c r="A10284" s="34">
        <v>65080</v>
      </c>
      <c r="B10284" s="35">
        <v>1</v>
      </c>
      <c r="C10284" s="35">
        <v>1</v>
      </c>
      <c r="D10284" s="2">
        <f t="shared" si="160"/>
        <v>2</v>
      </c>
    </row>
    <row r="10285" spans="1:4" x14ac:dyDescent="0.3">
      <c r="A10285" s="34">
        <v>65127</v>
      </c>
      <c r="B10285" s="35">
        <v>1</v>
      </c>
      <c r="C10285" s="35">
        <v>0</v>
      </c>
      <c r="D10285" s="2">
        <f t="shared" si="160"/>
        <v>1</v>
      </c>
    </row>
    <row r="10286" spans="1:4" x14ac:dyDescent="0.3">
      <c r="A10286" s="34">
        <v>65128</v>
      </c>
      <c r="B10286" s="35">
        <v>1</v>
      </c>
      <c r="C10286" s="35">
        <v>0</v>
      </c>
      <c r="D10286" s="2">
        <f t="shared" si="160"/>
        <v>1</v>
      </c>
    </row>
    <row r="10287" spans="1:4" x14ac:dyDescent="0.3">
      <c r="A10287" s="34">
        <v>65131</v>
      </c>
      <c r="B10287" s="35">
        <v>1</v>
      </c>
      <c r="C10287" s="35">
        <v>1</v>
      </c>
      <c r="D10287" s="2">
        <f t="shared" si="160"/>
        <v>2</v>
      </c>
    </row>
    <row r="10288" spans="1:4" x14ac:dyDescent="0.3">
      <c r="A10288" s="34">
        <v>65134</v>
      </c>
      <c r="B10288" s="35">
        <v>1</v>
      </c>
      <c r="C10288" s="35">
        <v>0</v>
      </c>
      <c r="D10288" s="2">
        <f t="shared" si="160"/>
        <v>1</v>
      </c>
    </row>
    <row r="10289" spans="1:4" x14ac:dyDescent="0.3">
      <c r="A10289" s="34">
        <v>65135</v>
      </c>
      <c r="B10289" s="35">
        <v>2</v>
      </c>
      <c r="C10289" s="35">
        <v>1</v>
      </c>
      <c r="D10289" s="2">
        <f t="shared" si="160"/>
        <v>3</v>
      </c>
    </row>
    <row r="10290" spans="1:4" x14ac:dyDescent="0.3">
      <c r="A10290" s="34">
        <v>65136</v>
      </c>
      <c r="B10290" s="35">
        <v>2</v>
      </c>
      <c r="C10290" s="35">
        <v>1</v>
      </c>
      <c r="D10290" s="2">
        <f t="shared" si="160"/>
        <v>3</v>
      </c>
    </row>
    <row r="10291" spans="1:4" x14ac:dyDescent="0.3">
      <c r="A10291" s="34">
        <v>65141</v>
      </c>
      <c r="B10291" s="35">
        <v>1</v>
      </c>
      <c r="C10291" s="35">
        <v>1</v>
      </c>
      <c r="D10291" s="2">
        <f t="shared" si="160"/>
        <v>2</v>
      </c>
    </row>
    <row r="10292" spans="1:4" x14ac:dyDescent="0.3">
      <c r="A10292" s="34">
        <v>65145</v>
      </c>
      <c r="B10292" s="35">
        <v>1</v>
      </c>
      <c r="C10292" s="35">
        <v>0</v>
      </c>
      <c r="D10292" s="2">
        <f t="shared" si="160"/>
        <v>1</v>
      </c>
    </row>
    <row r="10293" spans="1:4" x14ac:dyDescent="0.3">
      <c r="A10293" s="34">
        <v>65150</v>
      </c>
      <c r="B10293" s="35">
        <v>2</v>
      </c>
      <c r="C10293" s="35">
        <v>1</v>
      </c>
      <c r="D10293" s="2">
        <f t="shared" si="160"/>
        <v>3</v>
      </c>
    </row>
    <row r="10294" spans="1:4" x14ac:dyDescent="0.3">
      <c r="A10294" s="34">
        <v>65169</v>
      </c>
      <c r="B10294" s="35">
        <v>1</v>
      </c>
      <c r="C10294" s="35">
        <v>0</v>
      </c>
      <c r="D10294" s="2">
        <f t="shared" si="160"/>
        <v>1</v>
      </c>
    </row>
    <row r="10295" spans="1:4" x14ac:dyDescent="0.3">
      <c r="A10295" s="34">
        <v>65201</v>
      </c>
      <c r="B10295" s="35">
        <v>1</v>
      </c>
      <c r="C10295" s="35">
        <v>1</v>
      </c>
      <c r="D10295" s="2">
        <f t="shared" si="160"/>
        <v>2</v>
      </c>
    </row>
    <row r="10296" spans="1:4" x14ac:dyDescent="0.3">
      <c r="A10296" s="34">
        <v>65202</v>
      </c>
      <c r="B10296" s="35">
        <v>1</v>
      </c>
      <c r="C10296" s="35">
        <v>0</v>
      </c>
      <c r="D10296" s="2">
        <f t="shared" si="160"/>
        <v>1</v>
      </c>
    </row>
    <row r="10297" spans="1:4" x14ac:dyDescent="0.3">
      <c r="A10297" s="34">
        <v>65203</v>
      </c>
      <c r="B10297" s="35">
        <v>1</v>
      </c>
      <c r="C10297" s="35">
        <v>0</v>
      </c>
      <c r="D10297" s="2">
        <f t="shared" si="160"/>
        <v>1</v>
      </c>
    </row>
    <row r="10298" spans="1:4" x14ac:dyDescent="0.3">
      <c r="A10298" s="34">
        <v>65204</v>
      </c>
      <c r="B10298" s="35">
        <v>1</v>
      </c>
      <c r="C10298" s="35">
        <v>0</v>
      </c>
      <c r="D10298" s="2">
        <f t="shared" si="160"/>
        <v>1</v>
      </c>
    </row>
    <row r="10299" spans="1:4" x14ac:dyDescent="0.3">
      <c r="A10299" s="34">
        <v>65207</v>
      </c>
      <c r="B10299" s="35">
        <v>1</v>
      </c>
      <c r="C10299" s="35">
        <v>1</v>
      </c>
      <c r="D10299" s="2">
        <f t="shared" si="160"/>
        <v>2</v>
      </c>
    </row>
    <row r="10300" spans="1:4" x14ac:dyDescent="0.3">
      <c r="A10300" s="34">
        <v>65210</v>
      </c>
      <c r="B10300" s="35">
        <v>1</v>
      </c>
      <c r="C10300" s="35">
        <v>0</v>
      </c>
      <c r="D10300" s="2">
        <f t="shared" si="160"/>
        <v>1</v>
      </c>
    </row>
    <row r="10301" spans="1:4" x14ac:dyDescent="0.3">
      <c r="A10301" s="34">
        <v>65212</v>
      </c>
      <c r="B10301" s="35">
        <v>1</v>
      </c>
      <c r="C10301" s="35">
        <v>0</v>
      </c>
      <c r="D10301" s="2">
        <f t="shared" si="160"/>
        <v>1</v>
      </c>
    </row>
    <row r="10302" spans="1:4" x14ac:dyDescent="0.3">
      <c r="A10302" s="34">
        <v>65213</v>
      </c>
      <c r="B10302" s="35">
        <v>1</v>
      </c>
      <c r="C10302" s="35">
        <v>0</v>
      </c>
      <c r="D10302" s="2">
        <f t="shared" si="160"/>
        <v>1</v>
      </c>
    </row>
    <row r="10303" spans="1:4" x14ac:dyDescent="0.3">
      <c r="A10303" s="34">
        <v>65214</v>
      </c>
      <c r="B10303" s="35">
        <v>1</v>
      </c>
      <c r="C10303" s="35">
        <v>0</v>
      </c>
      <c r="D10303" s="2">
        <f t="shared" si="160"/>
        <v>1</v>
      </c>
    </row>
    <row r="10304" spans="1:4" x14ac:dyDescent="0.3">
      <c r="A10304" s="34">
        <v>65218</v>
      </c>
      <c r="B10304" s="35">
        <v>1</v>
      </c>
      <c r="C10304" s="35">
        <v>0</v>
      </c>
      <c r="D10304" s="2">
        <f t="shared" si="160"/>
        <v>1</v>
      </c>
    </row>
    <row r="10305" spans="1:4" x14ac:dyDescent="0.3">
      <c r="A10305" s="34">
        <v>65219</v>
      </c>
      <c r="B10305" s="35">
        <v>1</v>
      </c>
      <c r="C10305" s="35">
        <v>0</v>
      </c>
      <c r="D10305" s="2">
        <f t="shared" si="160"/>
        <v>1</v>
      </c>
    </row>
    <row r="10306" spans="1:4" x14ac:dyDescent="0.3">
      <c r="A10306" s="34">
        <v>65228</v>
      </c>
      <c r="B10306" s="35">
        <v>1</v>
      </c>
      <c r="C10306" s="35">
        <v>0</v>
      </c>
      <c r="D10306" s="2">
        <f t="shared" si="160"/>
        <v>1</v>
      </c>
    </row>
    <row r="10307" spans="1:4" x14ac:dyDescent="0.3">
      <c r="A10307" s="34">
        <v>65230</v>
      </c>
      <c r="B10307" s="35">
        <v>1</v>
      </c>
      <c r="C10307" s="35">
        <v>0</v>
      </c>
      <c r="D10307" s="2">
        <f t="shared" ref="D10307:D10370" si="161">B10307+C10307</f>
        <v>1</v>
      </c>
    </row>
    <row r="10308" spans="1:4" x14ac:dyDescent="0.3">
      <c r="A10308" s="34">
        <v>65231</v>
      </c>
      <c r="B10308" s="35">
        <v>1</v>
      </c>
      <c r="C10308" s="35">
        <v>1</v>
      </c>
      <c r="D10308" s="2">
        <f t="shared" si="161"/>
        <v>2</v>
      </c>
    </row>
    <row r="10309" spans="1:4" x14ac:dyDescent="0.3">
      <c r="A10309" s="34">
        <v>65232</v>
      </c>
      <c r="B10309" s="35">
        <v>1</v>
      </c>
      <c r="C10309" s="35">
        <v>0</v>
      </c>
      <c r="D10309" s="2">
        <f t="shared" si="161"/>
        <v>1</v>
      </c>
    </row>
    <row r="10310" spans="1:4" x14ac:dyDescent="0.3">
      <c r="A10310" s="34">
        <v>65234</v>
      </c>
      <c r="B10310" s="35">
        <v>1</v>
      </c>
      <c r="C10310" s="35">
        <v>0</v>
      </c>
      <c r="D10310" s="2">
        <f t="shared" si="161"/>
        <v>1</v>
      </c>
    </row>
    <row r="10311" spans="1:4" x14ac:dyDescent="0.3">
      <c r="A10311" s="34">
        <v>65235</v>
      </c>
      <c r="B10311" s="35">
        <v>1</v>
      </c>
      <c r="C10311" s="35">
        <v>0</v>
      </c>
      <c r="D10311" s="2">
        <f t="shared" si="161"/>
        <v>1</v>
      </c>
    </row>
    <row r="10312" spans="1:4" x14ac:dyDescent="0.3">
      <c r="A10312" s="34">
        <v>65236</v>
      </c>
      <c r="B10312" s="35">
        <v>1</v>
      </c>
      <c r="C10312" s="35">
        <v>0</v>
      </c>
      <c r="D10312" s="2">
        <f t="shared" si="161"/>
        <v>1</v>
      </c>
    </row>
    <row r="10313" spans="1:4" x14ac:dyDescent="0.3">
      <c r="A10313" s="34">
        <v>65241</v>
      </c>
      <c r="B10313" s="35">
        <v>2</v>
      </c>
      <c r="C10313" s="35">
        <v>1</v>
      </c>
      <c r="D10313" s="2">
        <f t="shared" si="161"/>
        <v>3</v>
      </c>
    </row>
    <row r="10314" spans="1:4" x14ac:dyDescent="0.3">
      <c r="A10314" s="34">
        <v>65243</v>
      </c>
      <c r="B10314" s="35">
        <v>1</v>
      </c>
      <c r="C10314" s="35">
        <v>0</v>
      </c>
      <c r="D10314" s="2">
        <f t="shared" si="161"/>
        <v>1</v>
      </c>
    </row>
    <row r="10315" spans="1:4" x14ac:dyDescent="0.3">
      <c r="A10315" s="34">
        <v>65244</v>
      </c>
      <c r="B10315" s="35">
        <v>1</v>
      </c>
      <c r="C10315" s="35">
        <v>0</v>
      </c>
      <c r="D10315" s="2">
        <f t="shared" si="161"/>
        <v>1</v>
      </c>
    </row>
    <row r="10316" spans="1:4" x14ac:dyDescent="0.3">
      <c r="A10316" s="34">
        <v>65249</v>
      </c>
      <c r="B10316" s="35">
        <v>1</v>
      </c>
      <c r="C10316" s="35">
        <v>0</v>
      </c>
      <c r="D10316" s="2">
        <f t="shared" si="161"/>
        <v>1</v>
      </c>
    </row>
    <row r="10317" spans="1:4" x14ac:dyDescent="0.3">
      <c r="A10317" s="34">
        <v>65250</v>
      </c>
      <c r="B10317" s="35">
        <v>1</v>
      </c>
      <c r="C10317" s="35">
        <v>0</v>
      </c>
      <c r="D10317" s="2">
        <f t="shared" si="161"/>
        <v>1</v>
      </c>
    </row>
    <row r="10318" spans="1:4" x14ac:dyDescent="0.3">
      <c r="A10318" s="34">
        <v>65251</v>
      </c>
      <c r="B10318" s="35">
        <v>1</v>
      </c>
      <c r="C10318" s="35">
        <v>0</v>
      </c>
      <c r="D10318" s="2">
        <f t="shared" si="161"/>
        <v>1</v>
      </c>
    </row>
    <row r="10319" spans="1:4" x14ac:dyDescent="0.3">
      <c r="A10319" s="34">
        <v>65253</v>
      </c>
      <c r="B10319" s="35">
        <v>1</v>
      </c>
      <c r="C10319" s="35">
        <v>0</v>
      </c>
      <c r="D10319" s="2">
        <f t="shared" si="161"/>
        <v>1</v>
      </c>
    </row>
    <row r="10320" spans="1:4" x14ac:dyDescent="0.3">
      <c r="A10320" s="34">
        <v>65254</v>
      </c>
      <c r="B10320" s="35">
        <v>1</v>
      </c>
      <c r="C10320" s="35">
        <v>0</v>
      </c>
      <c r="D10320" s="2">
        <f t="shared" si="161"/>
        <v>1</v>
      </c>
    </row>
    <row r="10321" spans="1:4" x14ac:dyDescent="0.3">
      <c r="A10321" s="34">
        <v>65258</v>
      </c>
      <c r="B10321" s="35">
        <v>1</v>
      </c>
      <c r="C10321" s="35">
        <v>0</v>
      </c>
      <c r="D10321" s="2">
        <f t="shared" si="161"/>
        <v>1</v>
      </c>
    </row>
    <row r="10322" spans="1:4" x14ac:dyDescent="0.3">
      <c r="A10322" s="34">
        <v>65259</v>
      </c>
      <c r="B10322" s="35">
        <v>1</v>
      </c>
      <c r="C10322" s="35">
        <v>0</v>
      </c>
      <c r="D10322" s="2">
        <f t="shared" si="161"/>
        <v>1</v>
      </c>
    </row>
    <row r="10323" spans="1:4" x14ac:dyDescent="0.3">
      <c r="A10323" s="34">
        <v>65262</v>
      </c>
      <c r="B10323" s="35">
        <v>1</v>
      </c>
      <c r="C10323" s="35">
        <v>0</v>
      </c>
      <c r="D10323" s="2">
        <f t="shared" si="161"/>
        <v>1</v>
      </c>
    </row>
    <row r="10324" spans="1:4" x14ac:dyDescent="0.3">
      <c r="A10324" s="34">
        <v>65263</v>
      </c>
      <c r="B10324" s="35">
        <v>1</v>
      </c>
      <c r="C10324" s="35">
        <v>0</v>
      </c>
      <c r="D10324" s="2">
        <f t="shared" si="161"/>
        <v>1</v>
      </c>
    </row>
    <row r="10325" spans="1:4" x14ac:dyDescent="0.3">
      <c r="A10325" s="34">
        <v>65264</v>
      </c>
      <c r="B10325" s="35">
        <v>1</v>
      </c>
      <c r="C10325" s="35">
        <v>0</v>
      </c>
      <c r="D10325" s="2">
        <f t="shared" si="161"/>
        <v>1</v>
      </c>
    </row>
    <row r="10326" spans="1:4" x14ac:dyDescent="0.3">
      <c r="A10326" s="34">
        <v>65265</v>
      </c>
      <c r="B10326" s="35">
        <v>1</v>
      </c>
      <c r="C10326" s="35">
        <v>0</v>
      </c>
      <c r="D10326" s="2">
        <f t="shared" si="161"/>
        <v>1</v>
      </c>
    </row>
    <row r="10327" spans="1:4" x14ac:dyDescent="0.3">
      <c r="A10327" s="34">
        <v>65266</v>
      </c>
      <c r="B10327" s="35">
        <v>1</v>
      </c>
      <c r="C10327" s="35">
        <v>0</v>
      </c>
      <c r="D10327" s="2">
        <f t="shared" si="161"/>
        <v>1</v>
      </c>
    </row>
    <row r="10328" spans="1:4" x14ac:dyDescent="0.3">
      <c r="A10328" s="34">
        <v>65267</v>
      </c>
      <c r="B10328" s="35">
        <v>2</v>
      </c>
      <c r="C10328" s="35">
        <v>0</v>
      </c>
      <c r="D10328" s="2">
        <f t="shared" si="161"/>
        <v>2</v>
      </c>
    </row>
    <row r="10329" spans="1:4" x14ac:dyDescent="0.3">
      <c r="A10329" s="34">
        <v>65268</v>
      </c>
      <c r="B10329" s="35">
        <v>1</v>
      </c>
      <c r="C10329" s="35">
        <v>0</v>
      </c>
      <c r="D10329" s="2">
        <f t="shared" si="161"/>
        <v>1</v>
      </c>
    </row>
    <row r="10330" spans="1:4" x14ac:dyDescent="0.3">
      <c r="A10330" s="34">
        <v>65269</v>
      </c>
      <c r="B10330" s="35">
        <v>1</v>
      </c>
      <c r="C10330" s="35">
        <v>1</v>
      </c>
      <c r="D10330" s="2">
        <f t="shared" si="161"/>
        <v>2</v>
      </c>
    </row>
    <row r="10331" spans="1:4" x14ac:dyDescent="0.3">
      <c r="A10331" s="34">
        <v>65273</v>
      </c>
      <c r="B10331" s="35">
        <v>1</v>
      </c>
      <c r="C10331" s="35">
        <v>0</v>
      </c>
      <c r="D10331" s="2">
        <f t="shared" si="161"/>
        <v>1</v>
      </c>
    </row>
    <row r="10332" spans="1:4" x14ac:dyDescent="0.3">
      <c r="A10332" s="34">
        <v>65275</v>
      </c>
      <c r="B10332" s="35">
        <v>1</v>
      </c>
      <c r="C10332" s="35">
        <v>0</v>
      </c>
      <c r="D10332" s="2">
        <f t="shared" si="161"/>
        <v>1</v>
      </c>
    </row>
    <row r="10333" spans="1:4" x14ac:dyDescent="0.3">
      <c r="A10333" s="34">
        <v>65277</v>
      </c>
      <c r="B10333" s="35">
        <v>1</v>
      </c>
      <c r="C10333" s="35">
        <v>0</v>
      </c>
      <c r="D10333" s="2">
        <f t="shared" si="161"/>
        <v>1</v>
      </c>
    </row>
    <row r="10334" spans="1:4" x14ac:dyDescent="0.3">
      <c r="A10334" s="34">
        <v>65278</v>
      </c>
      <c r="B10334" s="35">
        <v>1</v>
      </c>
      <c r="C10334" s="35">
        <v>0</v>
      </c>
      <c r="D10334" s="2">
        <f t="shared" si="161"/>
        <v>1</v>
      </c>
    </row>
    <row r="10335" spans="1:4" x14ac:dyDescent="0.3">
      <c r="A10335" s="34">
        <v>65284</v>
      </c>
      <c r="B10335" s="35">
        <v>2</v>
      </c>
      <c r="C10335" s="35">
        <v>1</v>
      </c>
      <c r="D10335" s="2">
        <f t="shared" si="161"/>
        <v>3</v>
      </c>
    </row>
    <row r="10336" spans="1:4" x14ac:dyDescent="0.3">
      <c r="A10336" s="34">
        <v>65287</v>
      </c>
      <c r="B10336" s="35">
        <v>1</v>
      </c>
      <c r="C10336" s="35">
        <v>1</v>
      </c>
      <c r="D10336" s="2">
        <f t="shared" si="161"/>
        <v>2</v>
      </c>
    </row>
    <row r="10337" spans="1:4" x14ac:dyDescent="0.3">
      <c r="A10337" s="34">
        <v>65292</v>
      </c>
      <c r="B10337" s="35">
        <v>1</v>
      </c>
      <c r="C10337" s="35">
        <v>0</v>
      </c>
      <c r="D10337" s="2">
        <f t="shared" si="161"/>
        <v>1</v>
      </c>
    </row>
    <row r="10338" spans="1:4" x14ac:dyDescent="0.3">
      <c r="A10338" s="34">
        <v>65295</v>
      </c>
      <c r="B10338" s="35">
        <v>1</v>
      </c>
      <c r="C10338" s="35">
        <v>0</v>
      </c>
      <c r="D10338" s="2">
        <f t="shared" si="161"/>
        <v>1</v>
      </c>
    </row>
    <row r="10339" spans="1:4" x14ac:dyDescent="0.3">
      <c r="A10339" s="34">
        <v>65299</v>
      </c>
      <c r="B10339" s="35">
        <v>1</v>
      </c>
      <c r="C10339" s="35">
        <v>0</v>
      </c>
      <c r="D10339" s="2">
        <f t="shared" si="161"/>
        <v>1</v>
      </c>
    </row>
    <row r="10340" spans="1:4" x14ac:dyDescent="0.3">
      <c r="A10340" s="34">
        <v>65300</v>
      </c>
      <c r="B10340" s="35">
        <v>1</v>
      </c>
      <c r="C10340" s="35">
        <v>0</v>
      </c>
      <c r="D10340" s="2">
        <f t="shared" si="161"/>
        <v>1</v>
      </c>
    </row>
    <row r="10341" spans="1:4" x14ac:dyDescent="0.3">
      <c r="A10341" s="34">
        <v>65302</v>
      </c>
      <c r="B10341" s="35">
        <v>1</v>
      </c>
      <c r="C10341" s="35">
        <v>0</v>
      </c>
      <c r="D10341" s="2">
        <f t="shared" si="161"/>
        <v>1</v>
      </c>
    </row>
    <row r="10342" spans="1:4" x14ac:dyDescent="0.3">
      <c r="A10342" s="34">
        <v>65303</v>
      </c>
      <c r="B10342" s="35">
        <v>1</v>
      </c>
      <c r="C10342" s="35">
        <v>0</v>
      </c>
      <c r="D10342" s="2">
        <f t="shared" si="161"/>
        <v>1</v>
      </c>
    </row>
    <row r="10343" spans="1:4" x14ac:dyDescent="0.3">
      <c r="A10343" s="34">
        <v>65306</v>
      </c>
      <c r="B10343" s="35">
        <v>1</v>
      </c>
      <c r="C10343" s="35">
        <v>0</v>
      </c>
      <c r="D10343" s="2">
        <f t="shared" si="161"/>
        <v>1</v>
      </c>
    </row>
    <row r="10344" spans="1:4" x14ac:dyDescent="0.3">
      <c r="A10344" s="34">
        <v>65307</v>
      </c>
      <c r="B10344" s="35">
        <v>1</v>
      </c>
      <c r="C10344" s="35">
        <v>0</v>
      </c>
      <c r="D10344" s="2">
        <f t="shared" si="161"/>
        <v>1</v>
      </c>
    </row>
    <row r="10345" spans="1:4" x14ac:dyDescent="0.3">
      <c r="A10345" s="34">
        <v>65308</v>
      </c>
      <c r="B10345" s="35">
        <v>1</v>
      </c>
      <c r="C10345" s="35">
        <v>0</v>
      </c>
      <c r="D10345" s="2">
        <f t="shared" si="161"/>
        <v>1</v>
      </c>
    </row>
    <row r="10346" spans="1:4" x14ac:dyDescent="0.3">
      <c r="A10346" s="34">
        <v>65311</v>
      </c>
      <c r="B10346" s="35">
        <v>1</v>
      </c>
      <c r="C10346" s="35">
        <v>1</v>
      </c>
      <c r="D10346" s="2">
        <f t="shared" si="161"/>
        <v>2</v>
      </c>
    </row>
    <row r="10347" spans="1:4" x14ac:dyDescent="0.3">
      <c r="A10347" s="34">
        <v>65313</v>
      </c>
      <c r="B10347" s="35">
        <v>1</v>
      </c>
      <c r="C10347" s="35">
        <v>1</v>
      </c>
      <c r="D10347" s="2">
        <f t="shared" si="161"/>
        <v>2</v>
      </c>
    </row>
    <row r="10348" spans="1:4" x14ac:dyDescent="0.3">
      <c r="A10348" s="34">
        <v>65316</v>
      </c>
      <c r="B10348" s="35">
        <v>1</v>
      </c>
      <c r="C10348" s="35">
        <v>1</v>
      </c>
      <c r="D10348" s="2">
        <f t="shared" si="161"/>
        <v>2</v>
      </c>
    </row>
    <row r="10349" spans="1:4" x14ac:dyDescent="0.3">
      <c r="A10349" s="34">
        <v>65317</v>
      </c>
      <c r="B10349" s="35">
        <v>1</v>
      </c>
      <c r="C10349" s="35">
        <v>0</v>
      </c>
      <c r="D10349" s="2">
        <f t="shared" si="161"/>
        <v>1</v>
      </c>
    </row>
    <row r="10350" spans="1:4" x14ac:dyDescent="0.3">
      <c r="A10350" s="34">
        <v>65319</v>
      </c>
      <c r="B10350" s="35">
        <v>1</v>
      </c>
      <c r="C10350" s="35">
        <v>0</v>
      </c>
      <c r="D10350" s="2">
        <f t="shared" si="161"/>
        <v>1</v>
      </c>
    </row>
    <row r="10351" spans="1:4" x14ac:dyDescent="0.3">
      <c r="A10351" s="34">
        <v>65321</v>
      </c>
      <c r="B10351" s="35">
        <v>1</v>
      </c>
      <c r="C10351" s="35">
        <v>0</v>
      </c>
      <c r="D10351" s="2">
        <f t="shared" si="161"/>
        <v>1</v>
      </c>
    </row>
    <row r="10352" spans="1:4" x14ac:dyDescent="0.3">
      <c r="A10352" s="34">
        <v>65322</v>
      </c>
      <c r="B10352" s="35">
        <v>1</v>
      </c>
      <c r="C10352" s="35">
        <v>0</v>
      </c>
      <c r="D10352" s="2">
        <f t="shared" si="161"/>
        <v>1</v>
      </c>
    </row>
    <row r="10353" spans="1:4" x14ac:dyDescent="0.3">
      <c r="A10353" s="34">
        <v>65323</v>
      </c>
      <c r="B10353" s="35">
        <v>1</v>
      </c>
      <c r="C10353" s="35">
        <v>0</v>
      </c>
      <c r="D10353" s="2">
        <f t="shared" si="161"/>
        <v>1</v>
      </c>
    </row>
    <row r="10354" spans="1:4" x14ac:dyDescent="0.3">
      <c r="A10354" s="34">
        <v>65327</v>
      </c>
      <c r="B10354" s="35">
        <v>1</v>
      </c>
      <c r="C10354" s="35">
        <v>0</v>
      </c>
      <c r="D10354" s="2">
        <f t="shared" si="161"/>
        <v>1</v>
      </c>
    </row>
    <row r="10355" spans="1:4" x14ac:dyDescent="0.3">
      <c r="A10355" s="34">
        <v>65328</v>
      </c>
      <c r="B10355" s="35">
        <v>1</v>
      </c>
      <c r="C10355" s="35">
        <v>0</v>
      </c>
      <c r="D10355" s="2">
        <f t="shared" si="161"/>
        <v>1</v>
      </c>
    </row>
    <row r="10356" spans="1:4" x14ac:dyDescent="0.3">
      <c r="A10356" s="34">
        <v>65331</v>
      </c>
      <c r="B10356" s="35">
        <v>1</v>
      </c>
      <c r="C10356" s="35">
        <v>1</v>
      </c>
      <c r="D10356" s="2">
        <f t="shared" si="161"/>
        <v>2</v>
      </c>
    </row>
    <row r="10357" spans="1:4" x14ac:dyDescent="0.3">
      <c r="A10357" s="34">
        <v>65332</v>
      </c>
      <c r="B10357" s="35">
        <v>1</v>
      </c>
      <c r="C10357" s="35">
        <v>0</v>
      </c>
      <c r="D10357" s="2">
        <f t="shared" si="161"/>
        <v>1</v>
      </c>
    </row>
    <row r="10358" spans="1:4" x14ac:dyDescent="0.3">
      <c r="A10358" s="34">
        <v>65353</v>
      </c>
      <c r="B10358" s="35">
        <v>1</v>
      </c>
      <c r="C10358" s="35">
        <v>0</v>
      </c>
      <c r="D10358" s="2">
        <f t="shared" si="161"/>
        <v>1</v>
      </c>
    </row>
    <row r="10359" spans="1:4" x14ac:dyDescent="0.3">
      <c r="A10359" s="34">
        <v>65354</v>
      </c>
      <c r="B10359" s="35">
        <v>1</v>
      </c>
      <c r="C10359" s="35">
        <v>0</v>
      </c>
      <c r="D10359" s="2">
        <f t="shared" si="161"/>
        <v>1</v>
      </c>
    </row>
    <row r="10360" spans="1:4" x14ac:dyDescent="0.3">
      <c r="A10360" s="34">
        <v>65361</v>
      </c>
      <c r="B10360" s="35">
        <v>2</v>
      </c>
      <c r="C10360" s="35">
        <v>1</v>
      </c>
      <c r="D10360" s="2">
        <f t="shared" si="161"/>
        <v>3</v>
      </c>
    </row>
    <row r="10361" spans="1:4" x14ac:dyDescent="0.3">
      <c r="A10361" s="34">
        <v>65363</v>
      </c>
      <c r="B10361" s="35">
        <v>1</v>
      </c>
      <c r="C10361" s="35">
        <v>1</v>
      </c>
      <c r="D10361" s="2">
        <f t="shared" si="161"/>
        <v>2</v>
      </c>
    </row>
    <row r="10362" spans="1:4" x14ac:dyDescent="0.3">
      <c r="A10362" s="34">
        <v>65368</v>
      </c>
      <c r="B10362" s="35">
        <v>1</v>
      </c>
      <c r="C10362" s="35">
        <v>1</v>
      </c>
      <c r="D10362" s="2">
        <f t="shared" si="161"/>
        <v>2</v>
      </c>
    </row>
    <row r="10363" spans="1:4" x14ac:dyDescent="0.3">
      <c r="A10363" s="34">
        <v>65372</v>
      </c>
      <c r="B10363" s="35">
        <v>1</v>
      </c>
      <c r="C10363" s="35">
        <v>0</v>
      </c>
      <c r="D10363" s="2">
        <f t="shared" si="161"/>
        <v>1</v>
      </c>
    </row>
    <row r="10364" spans="1:4" x14ac:dyDescent="0.3">
      <c r="A10364" s="34">
        <v>65374</v>
      </c>
      <c r="B10364" s="35">
        <v>1</v>
      </c>
      <c r="C10364" s="35">
        <v>0</v>
      </c>
      <c r="D10364" s="2">
        <f t="shared" si="161"/>
        <v>1</v>
      </c>
    </row>
    <row r="10365" spans="1:4" x14ac:dyDescent="0.3">
      <c r="A10365" s="34">
        <v>65375</v>
      </c>
      <c r="B10365" s="35">
        <v>1</v>
      </c>
      <c r="C10365" s="35">
        <v>1</v>
      </c>
      <c r="D10365" s="2">
        <f t="shared" si="161"/>
        <v>2</v>
      </c>
    </row>
    <row r="10366" spans="1:4" x14ac:dyDescent="0.3">
      <c r="A10366" s="34">
        <v>65377</v>
      </c>
      <c r="B10366" s="35">
        <v>1</v>
      </c>
      <c r="C10366" s="35">
        <v>0</v>
      </c>
      <c r="D10366" s="2">
        <f t="shared" si="161"/>
        <v>1</v>
      </c>
    </row>
    <row r="10367" spans="1:4" x14ac:dyDescent="0.3">
      <c r="A10367" s="34">
        <v>65378</v>
      </c>
      <c r="B10367" s="35">
        <v>1</v>
      </c>
      <c r="C10367" s="35">
        <v>0</v>
      </c>
      <c r="D10367" s="2">
        <f t="shared" si="161"/>
        <v>1</v>
      </c>
    </row>
    <row r="10368" spans="1:4" x14ac:dyDescent="0.3">
      <c r="A10368" s="34">
        <v>65381</v>
      </c>
      <c r="B10368" s="35">
        <v>1</v>
      </c>
      <c r="C10368" s="35">
        <v>0</v>
      </c>
      <c r="D10368" s="2">
        <f t="shared" si="161"/>
        <v>1</v>
      </c>
    </row>
    <row r="10369" spans="1:4" x14ac:dyDescent="0.3">
      <c r="A10369" s="34">
        <v>65382</v>
      </c>
      <c r="B10369" s="35">
        <v>1</v>
      </c>
      <c r="C10369" s="35">
        <v>0</v>
      </c>
      <c r="D10369" s="2">
        <f t="shared" si="161"/>
        <v>1</v>
      </c>
    </row>
    <row r="10370" spans="1:4" x14ac:dyDescent="0.3">
      <c r="A10370" s="34">
        <v>65384</v>
      </c>
      <c r="B10370" s="35">
        <v>1</v>
      </c>
      <c r="C10370" s="35">
        <v>0</v>
      </c>
      <c r="D10370" s="2">
        <f t="shared" si="161"/>
        <v>1</v>
      </c>
    </row>
    <row r="10371" spans="1:4" x14ac:dyDescent="0.3">
      <c r="A10371" s="34">
        <v>65386</v>
      </c>
      <c r="B10371" s="35">
        <v>1</v>
      </c>
      <c r="C10371" s="35">
        <v>0</v>
      </c>
      <c r="D10371" s="2">
        <f t="shared" ref="D10371:D10434" si="162">B10371+C10371</f>
        <v>1</v>
      </c>
    </row>
    <row r="10372" spans="1:4" x14ac:dyDescent="0.3">
      <c r="A10372" s="34">
        <v>65387</v>
      </c>
      <c r="B10372" s="35">
        <v>1</v>
      </c>
      <c r="C10372" s="35">
        <v>0</v>
      </c>
      <c r="D10372" s="2">
        <f t="shared" si="162"/>
        <v>1</v>
      </c>
    </row>
    <row r="10373" spans="1:4" x14ac:dyDescent="0.3">
      <c r="A10373" s="34">
        <v>65391</v>
      </c>
      <c r="B10373" s="35">
        <v>1</v>
      </c>
      <c r="C10373" s="35">
        <v>0</v>
      </c>
      <c r="D10373" s="2">
        <f t="shared" si="162"/>
        <v>1</v>
      </c>
    </row>
    <row r="10374" spans="1:4" x14ac:dyDescent="0.3">
      <c r="A10374" s="34">
        <v>65393</v>
      </c>
      <c r="B10374" s="35">
        <v>1</v>
      </c>
      <c r="C10374" s="35">
        <v>0</v>
      </c>
      <c r="D10374" s="2">
        <f t="shared" si="162"/>
        <v>1</v>
      </c>
    </row>
    <row r="10375" spans="1:4" x14ac:dyDescent="0.3">
      <c r="A10375" s="34">
        <v>65394</v>
      </c>
      <c r="B10375" s="35">
        <v>1</v>
      </c>
      <c r="C10375" s="35">
        <v>0</v>
      </c>
      <c r="D10375" s="2">
        <f t="shared" si="162"/>
        <v>1</v>
      </c>
    </row>
    <row r="10376" spans="1:4" x14ac:dyDescent="0.3">
      <c r="A10376" s="34">
        <v>65396</v>
      </c>
      <c r="B10376" s="35">
        <v>1</v>
      </c>
      <c r="C10376" s="35">
        <v>0</v>
      </c>
      <c r="D10376" s="2">
        <f t="shared" si="162"/>
        <v>1</v>
      </c>
    </row>
    <row r="10377" spans="1:4" x14ac:dyDescent="0.3">
      <c r="A10377" s="34">
        <v>65398</v>
      </c>
      <c r="B10377" s="35">
        <v>1</v>
      </c>
      <c r="C10377" s="35">
        <v>0</v>
      </c>
      <c r="D10377" s="2">
        <f t="shared" si="162"/>
        <v>1</v>
      </c>
    </row>
    <row r="10378" spans="1:4" x14ac:dyDescent="0.3">
      <c r="A10378" s="34">
        <v>65423</v>
      </c>
      <c r="B10378" s="35">
        <v>1</v>
      </c>
      <c r="C10378" s="35">
        <v>0</v>
      </c>
      <c r="D10378" s="2">
        <f t="shared" si="162"/>
        <v>1</v>
      </c>
    </row>
    <row r="10379" spans="1:4" x14ac:dyDescent="0.3">
      <c r="A10379" s="34">
        <v>65424</v>
      </c>
      <c r="B10379" s="35">
        <v>2</v>
      </c>
      <c r="C10379" s="35">
        <v>0</v>
      </c>
      <c r="D10379" s="2">
        <f t="shared" si="162"/>
        <v>2</v>
      </c>
    </row>
    <row r="10380" spans="1:4" x14ac:dyDescent="0.3">
      <c r="A10380" s="34">
        <v>65425</v>
      </c>
      <c r="B10380" s="35">
        <v>1</v>
      </c>
      <c r="C10380" s="35">
        <v>0</v>
      </c>
      <c r="D10380" s="2">
        <f t="shared" si="162"/>
        <v>1</v>
      </c>
    </row>
    <row r="10381" spans="1:4" x14ac:dyDescent="0.3">
      <c r="A10381" s="34">
        <v>65426</v>
      </c>
      <c r="B10381" s="35">
        <v>1</v>
      </c>
      <c r="C10381" s="35">
        <v>0</v>
      </c>
      <c r="D10381" s="2">
        <f t="shared" si="162"/>
        <v>1</v>
      </c>
    </row>
    <row r="10382" spans="1:4" x14ac:dyDescent="0.3">
      <c r="A10382" s="34">
        <v>65428</v>
      </c>
      <c r="B10382" s="35">
        <v>1</v>
      </c>
      <c r="C10382" s="35">
        <v>0</v>
      </c>
      <c r="D10382" s="2">
        <f t="shared" si="162"/>
        <v>1</v>
      </c>
    </row>
    <row r="10383" spans="1:4" x14ac:dyDescent="0.3">
      <c r="A10383" s="34">
        <v>65429</v>
      </c>
      <c r="B10383" s="35">
        <v>1</v>
      </c>
      <c r="C10383" s="35">
        <v>0</v>
      </c>
      <c r="D10383" s="2">
        <f t="shared" si="162"/>
        <v>1</v>
      </c>
    </row>
    <row r="10384" spans="1:4" x14ac:dyDescent="0.3">
      <c r="A10384" s="34">
        <v>65430</v>
      </c>
      <c r="B10384" s="35">
        <v>1</v>
      </c>
      <c r="C10384" s="35">
        <v>0</v>
      </c>
      <c r="D10384" s="2">
        <f t="shared" si="162"/>
        <v>1</v>
      </c>
    </row>
    <row r="10385" spans="1:4" x14ac:dyDescent="0.3">
      <c r="A10385" s="34">
        <v>65432</v>
      </c>
      <c r="B10385" s="35">
        <v>1</v>
      </c>
      <c r="C10385" s="35">
        <v>0</v>
      </c>
      <c r="D10385" s="2">
        <f t="shared" si="162"/>
        <v>1</v>
      </c>
    </row>
    <row r="10386" spans="1:4" x14ac:dyDescent="0.3">
      <c r="A10386" s="34">
        <v>65433</v>
      </c>
      <c r="B10386" s="35">
        <v>1</v>
      </c>
      <c r="C10386" s="35">
        <v>0</v>
      </c>
      <c r="D10386" s="2">
        <f t="shared" si="162"/>
        <v>1</v>
      </c>
    </row>
    <row r="10387" spans="1:4" x14ac:dyDescent="0.3">
      <c r="A10387" s="34">
        <v>65434</v>
      </c>
      <c r="B10387" s="35">
        <v>1</v>
      </c>
      <c r="C10387" s="35">
        <v>0</v>
      </c>
      <c r="D10387" s="2">
        <f t="shared" si="162"/>
        <v>1</v>
      </c>
    </row>
    <row r="10388" spans="1:4" x14ac:dyDescent="0.3">
      <c r="A10388" s="34">
        <v>65435</v>
      </c>
      <c r="B10388" s="35">
        <v>1</v>
      </c>
      <c r="C10388" s="35">
        <v>0</v>
      </c>
      <c r="D10388" s="2">
        <f t="shared" si="162"/>
        <v>1</v>
      </c>
    </row>
    <row r="10389" spans="1:4" x14ac:dyDescent="0.3">
      <c r="A10389" s="34">
        <v>65439</v>
      </c>
      <c r="B10389" s="35">
        <v>1</v>
      </c>
      <c r="C10389" s="35">
        <v>0</v>
      </c>
      <c r="D10389" s="2">
        <f t="shared" si="162"/>
        <v>1</v>
      </c>
    </row>
    <row r="10390" spans="1:4" x14ac:dyDescent="0.3">
      <c r="A10390" s="34">
        <v>65440</v>
      </c>
      <c r="B10390" s="35">
        <v>1</v>
      </c>
      <c r="C10390" s="35">
        <v>0</v>
      </c>
      <c r="D10390" s="2">
        <f t="shared" si="162"/>
        <v>1</v>
      </c>
    </row>
    <row r="10391" spans="1:4" x14ac:dyDescent="0.3">
      <c r="A10391" s="34">
        <v>65443</v>
      </c>
      <c r="B10391" s="35">
        <v>1</v>
      </c>
      <c r="C10391" s="35">
        <v>0</v>
      </c>
      <c r="D10391" s="2">
        <f t="shared" si="162"/>
        <v>1</v>
      </c>
    </row>
    <row r="10392" spans="1:4" x14ac:dyDescent="0.3">
      <c r="A10392" s="34">
        <v>65445</v>
      </c>
      <c r="B10392" s="35">
        <v>1</v>
      </c>
      <c r="C10392" s="35">
        <v>0</v>
      </c>
      <c r="D10392" s="2">
        <f t="shared" si="162"/>
        <v>1</v>
      </c>
    </row>
    <row r="10393" spans="1:4" x14ac:dyDescent="0.3">
      <c r="A10393" s="34">
        <v>65459</v>
      </c>
      <c r="B10393" s="35">
        <v>1</v>
      </c>
      <c r="C10393" s="35">
        <v>0</v>
      </c>
      <c r="D10393" s="2">
        <f t="shared" si="162"/>
        <v>1</v>
      </c>
    </row>
    <row r="10394" spans="1:4" x14ac:dyDescent="0.3">
      <c r="A10394" s="34">
        <v>65460</v>
      </c>
      <c r="B10394" s="35">
        <v>1</v>
      </c>
      <c r="C10394" s="35">
        <v>0</v>
      </c>
      <c r="D10394" s="2">
        <f t="shared" si="162"/>
        <v>1</v>
      </c>
    </row>
    <row r="10395" spans="1:4" x14ac:dyDescent="0.3">
      <c r="A10395" s="34">
        <v>65462</v>
      </c>
      <c r="B10395" s="35">
        <v>1</v>
      </c>
      <c r="C10395" s="35">
        <v>0</v>
      </c>
      <c r="D10395" s="2">
        <f t="shared" si="162"/>
        <v>1</v>
      </c>
    </row>
    <row r="10396" spans="1:4" x14ac:dyDescent="0.3">
      <c r="A10396" s="34">
        <v>65463</v>
      </c>
      <c r="B10396" s="35">
        <v>1</v>
      </c>
      <c r="C10396" s="35">
        <v>0</v>
      </c>
      <c r="D10396" s="2">
        <f t="shared" si="162"/>
        <v>1</v>
      </c>
    </row>
    <row r="10397" spans="1:4" x14ac:dyDescent="0.3">
      <c r="A10397" s="34">
        <v>65465</v>
      </c>
      <c r="B10397" s="35">
        <v>1</v>
      </c>
      <c r="C10397" s="35">
        <v>0</v>
      </c>
      <c r="D10397" s="2">
        <f t="shared" si="162"/>
        <v>1</v>
      </c>
    </row>
    <row r="10398" spans="1:4" x14ac:dyDescent="0.3">
      <c r="A10398" s="34">
        <v>65466</v>
      </c>
      <c r="B10398" s="35">
        <v>1</v>
      </c>
      <c r="C10398" s="35">
        <v>0</v>
      </c>
      <c r="D10398" s="2">
        <f t="shared" si="162"/>
        <v>1</v>
      </c>
    </row>
    <row r="10399" spans="1:4" x14ac:dyDescent="0.3">
      <c r="A10399" s="34">
        <v>65468</v>
      </c>
      <c r="B10399" s="35">
        <v>1</v>
      </c>
      <c r="C10399" s="35">
        <v>0</v>
      </c>
      <c r="D10399" s="2">
        <f t="shared" si="162"/>
        <v>1</v>
      </c>
    </row>
    <row r="10400" spans="1:4" x14ac:dyDescent="0.3">
      <c r="A10400" s="34">
        <v>65470</v>
      </c>
      <c r="B10400" s="35">
        <v>1</v>
      </c>
      <c r="C10400" s="35">
        <v>1</v>
      </c>
      <c r="D10400" s="2">
        <f t="shared" si="162"/>
        <v>2</v>
      </c>
    </row>
    <row r="10401" spans="1:4" x14ac:dyDescent="0.3">
      <c r="A10401" s="34">
        <v>65471</v>
      </c>
      <c r="B10401" s="35">
        <v>2</v>
      </c>
      <c r="C10401" s="35">
        <v>1</v>
      </c>
      <c r="D10401" s="2">
        <f t="shared" si="162"/>
        <v>3</v>
      </c>
    </row>
    <row r="10402" spans="1:4" x14ac:dyDescent="0.3">
      <c r="A10402" s="34">
        <v>65474</v>
      </c>
      <c r="B10402" s="35">
        <v>1</v>
      </c>
      <c r="C10402" s="35">
        <v>0</v>
      </c>
      <c r="D10402" s="2">
        <f t="shared" si="162"/>
        <v>1</v>
      </c>
    </row>
    <row r="10403" spans="1:4" x14ac:dyDescent="0.3">
      <c r="A10403" s="34">
        <v>65490</v>
      </c>
      <c r="B10403" s="35">
        <v>1</v>
      </c>
      <c r="C10403" s="35">
        <v>0</v>
      </c>
      <c r="D10403" s="2">
        <f t="shared" si="162"/>
        <v>1</v>
      </c>
    </row>
    <row r="10404" spans="1:4" x14ac:dyDescent="0.3">
      <c r="A10404" s="34">
        <v>65491</v>
      </c>
      <c r="B10404" s="35">
        <v>1</v>
      </c>
      <c r="C10404" s="35">
        <v>0</v>
      </c>
      <c r="D10404" s="2">
        <f t="shared" si="162"/>
        <v>1</v>
      </c>
    </row>
    <row r="10405" spans="1:4" x14ac:dyDescent="0.3">
      <c r="A10405" s="34">
        <v>65492</v>
      </c>
      <c r="B10405" s="35">
        <v>1</v>
      </c>
      <c r="C10405" s="35">
        <v>0</v>
      </c>
      <c r="D10405" s="2">
        <f t="shared" si="162"/>
        <v>1</v>
      </c>
    </row>
    <row r="10406" spans="1:4" x14ac:dyDescent="0.3">
      <c r="A10406" s="34">
        <v>65493</v>
      </c>
      <c r="B10406" s="35">
        <v>1</v>
      </c>
      <c r="C10406" s="35">
        <v>0</v>
      </c>
      <c r="D10406" s="2">
        <f t="shared" si="162"/>
        <v>1</v>
      </c>
    </row>
    <row r="10407" spans="1:4" x14ac:dyDescent="0.3">
      <c r="A10407" s="34">
        <v>65494</v>
      </c>
      <c r="B10407" s="35">
        <v>1</v>
      </c>
      <c r="C10407" s="35">
        <v>0</v>
      </c>
      <c r="D10407" s="2">
        <f t="shared" si="162"/>
        <v>1</v>
      </c>
    </row>
    <row r="10408" spans="1:4" x14ac:dyDescent="0.3">
      <c r="A10408" s="34">
        <v>65496</v>
      </c>
      <c r="B10408" s="35">
        <v>1</v>
      </c>
      <c r="C10408" s="35">
        <v>0</v>
      </c>
      <c r="D10408" s="2">
        <f t="shared" si="162"/>
        <v>1</v>
      </c>
    </row>
    <row r="10409" spans="1:4" x14ac:dyDescent="0.3">
      <c r="A10409" s="34">
        <v>65497</v>
      </c>
      <c r="B10409" s="35">
        <v>1</v>
      </c>
      <c r="C10409" s="35">
        <v>0</v>
      </c>
      <c r="D10409" s="2">
        <f t="shared" si="162"/>
        <v>1</v>
      </c>
    </row>
    <row r="10410" spans="1:4" x14ac:dyDescent="0.3">
      <c r="A10410" s="34">
        <v>65498</v>
      </c>
      <c r="B10410" s="35">
        <v>1</v>
      </c>
      <c r="C10410" s="35">
        <v>0</v>
      </c>
      <c r="D10410" s="2">
        <f t="shared" si="162"/>
        <v>1</v>
      </c>
    </row>
    <row r="10411" spans="1:4" x14ac:dyDescent="0.3">
      <c r="A10411" s="34">
        <v>65499</v>
      </c>
      <c r="B10411" s="35">
        <v>1</v>
      </c>
      <c r="C10411" s="35">
        <v>0</v>
      </c>
      <c r="D10411" s="2">
        <f t="shared" si="162"/>
        <v>1</v>
      </c>
    </row>
    <row r="10412" spans="1:4" x14ac:dyDescent="0.3">
      <c r="A10412" s="34">
        <v>65500</v>
      </c>
      <c r="B10412" s="35">
        <v>1</v>
      </c>
      <c r="C10412" s="35">
        <v>0</v>
      </c>
      <c r="D10412" s="2">
        <f t="shared" si="162"/>
        <v>1</v>
      </c>
    </row>
    <row r="10413" spans="1:4" x14ac:dyDescent="0.3">
      <c r="A10413" s="34">
        <v>65505</v>
      </c>
      <c r="B10413" s="35">
        <v>1</v>
      </c>
      <c r="C10413" s="35">
        <v>0</v>
      </c>
      <c r="D10413" s="2">
        <f t="shared" si="162"/>
        <v>1</v>
      </c>
    </row>
    <row r="10414" spans="1:4" x14ac:dyDescent="0.3">
      <c r="A10414" s="34">
        <v>65506</v>
      </c>
      <c r="B10414" s="35">
        <v>1</v>
      </c>
      <c r="C10414" s="35">
        <v>0</v>
      </c>
      <c r="D10414" s="2">
        <f t="shared" si="162"/>
        <v>1</v>
      </c>
    </row>
    <row r="10415" spans="1:4" x14ac:dyDescent="0.3">
      <c r="A10415" s="34">
        <v>65507</v>
      </c>
      <c r="B10415" s="35">
        <v>1</v>
      </c>
      <c r="C10415" s="35">
        <v>0</v>
      </c>
      <c r="D10415" s="2">
        <f t="shared" si="162"/>
        <v>1</v>
      </c>
    </row>
    <row r="10416" spans="1:4" x14ac:dyDescent="0.3">
      <c r="A10416" s="34">
        <v>65509</v>
      </c>
      <c r="B10416" s="35">
        <v>1</v>
      </c>
      <c r="C10416" s="35">
        <v>0</v>
      </c>
      <c r="D10416" s="2">
        <f t="shared" si="162"/>
        <v>1</v>
      </c>
    </row>
    <row r="10417" spans="1:4" x14ac:dyDescent="0.3">
      <c r="A10417" s="34">
        <v>65511</v>
      </c>
      <c r="B10417" s="35">
        <v>1</v>
      </c>
      <c r="C10417" s="35">
        <v>0</v>
      </c>
      <c r="D10417" s="2">
        <f t="shared" si="162"/>
        <v>1</v>
      </c>
    </row>
    <row r="10418" spans="1:4" x14ac:dyDescent="0.3">
      <c r="A10418" s="34">
        <v>65512</v>
      </c>
      <c r="B10418" s="35">
        <v>1</v>
      </c>
      <c r="C10418" s="35">
        <v>1</v>
      </c>
      <c r="D10418" s="2">
        <f t="shared" si="162"/>
        <v>2</v>
      </c>
    </row>
    <row r="10419" spans="1:4" x14ac:dyDescent="0.3">
      <c r="A10419" s="34">
        <v>65513</v>
      </c>
      <c r="B10419" s="35">
        <v>1</v>
      </c>
      <c r="C10419" s="35">
        <v>0</v>
      </c>
      <c r="D10419" s="2">
        <f t="shared" si="162"/>
        <v>1</v>
      </c>
    </row>
    <row r="10420" spans="1:4" x14ac:dyDescent="0.3">
      <c r="A10420" s="34">
        <v>65516</v>
      </c>
      <c r="B10420" s="35">
        <v>1</v>
      </c>
      <c r="C10420" s="35">
        <v>0</v>
      </c>
      <c r="D10420" s="2">
        <f t="shared" si="162"/>
        <v>1</v>
      </c>
    </row>
    <row r="10421" spans="1:4" x14ac:dyDescent="0.3">
      <c r="A10421" s="34">
        <v>65518</v>
      </c>
      <c r="B10421" s="35">
        <v>1</v>
      </c>
      <c r="C10421" s="35">
        <v>0</v>
      </c>
      <c r="D10421" s="2">
        <f t="shared" si="162"/>
        <v>1</v>
      </c>
    </row>
    <row r="10422" spans="1:4" x14ac:dyDescent="0.3">
      <c r="A10422" s="34">
        <v>65542</v>
      </c>
      <c r="B10422" s="35">
        <v>1</v>
      </c>
      <c r="C10422" s="35">
        <v>0</v>
      </c>
      <c r="D10422" s="2">
        <f t="shared" si="162"/>
        <v>1</v>
      </c>
    </row>
    <row r="10423" spans="1:4" x14ac:dyDescent="0.3">
      <c r="A10423" s="34">
        <v>65543</v>
      </c>
      <c r="B10423" s="35">
        <v>1</v>
      </c>
      <c r="C10423" s="35">
        <v>0</v>
      </c>
      <c r="D10423" s="2">
        <f t="shared" si="162"/>
        <v>1</v>
      </c>
    </row>
    <row r="10424" spans="1:4" x14ac:dyDescent="0.3">
      <c r="A10424" s="34">
        <v>65544</v>
      </c>
      <c r="B10424" s="35">
        <v>2</v>
      </c>
      <c r="C10424" s="35">
        <v>0</v>
      </c>
      <c r="D10424" s="2">
        <f t="shared" si="162"/>
        <v>2</v>
      </c>
    </row>
    <row r="10425" spans="1:4" x14ac:dyDescent="0.3">
      <c r="A10425" s="34">
        <v>65547</v>
      </c>
      <c r="B10425" s="35">
        <v>1</v>
      </c>
      <c r="C10425" s="35">
        <v>0</v>
      </c>
      <c r="D10425" s="2">
        <f t="shared" si="162"/>
        <v>1</v>
      </c>
    </row>
    <row r="10426" spans="1:4" x14ac:dyDescent="0.3">
      <c r="A10426" s="34">
        <v>65548</v>
      </c>
      <c r="B10426" s="35">
        <v>1</v>
      </c>
      <c r="C10426" s="35">
        <v>0</v>
      </c>
      <c r="D10426" s="2">
        <f t="shared" si="162"/>
        <v>1</v>
      </c>
    </row>
    <row r="10427" spans="1:4" x14ac:dyDescent="0.3">
      <c r="A10427" s="34">
        <v>65549</v>
      </c>
      <c r="B10427" s="35">
        <v>1</v>
      </c>
      <c r="C10427" s="35">
        <v>0</v>
      </c>
      <c r="D10427" s="2">
        <f t="shared" si="162"/>
        <v>1</v>
      </c>
    </row>
    <row r="10428" spans="1:4" x14ac:dyDescent="0.3">
      <c r="A10428" s="34">
        <v>65554</v>
      </c>
      <c r="B10428" s="35">
        <v>1</v>
      </c>
      <c r="C10428" s="35">
        <v>0</v>
      </c>
      <c r="D10428" s="2">
        <f t="shared" si="162"/>
        <v>1</v>
      </c>
    </row>
    <row r="10429" spans="1:4" x14ac:dyDescent="0.3">
      <c r="A10429" s="34">
        <v>65556</v>
      </c>
      <c r="B10429" s="35">
        <v>1</v>
      </c>
      <c r="C10429" s="35">
        <v>0</v>
      </c>
      <c r="D10429" s="2">
        <f t="shared" si="162"/>
        <v>1</v>
      </c>
    </row>
    <row r="10430" spans="1:4" x14ac:dyDescent="0.3">
      <c r="A10430" s="34">
        <v>65558</v>
      </c>
      <c r="B10430" s="35">
        <v>1</v>
      </c>
      <c r="C10430" s="35">
        <v>0</v>
      </c>
      <c r="D10430" s="2">
        <f t="shared" si="162"/>
        <v>1</v>
      </c>
    </row>
    <row r="10431" spans="1:4" x14ac:dyDescent="0.3">
      <c r="A10431" s="34">
        <v>65559</v>
      </c>
      <c r="B10431" s="35">
        <v>1</v>
      </c>
      <c r="C10431" s="35">
        <v>0</v>
      </c>
      <c r="D10431" s="2">
        <f t="shared" si="162"/>
        <v>1</v>
      </c>
    </row>
    <row r="10432" spans="1:4" x14ac:dyDescent="0.3">
      <c r="A10432" s="34">
        <v>65560</v>
      </c>
      <c r="B10432" s="35">
        <v>1</v>
      </c>
      <c r="C10432" s="35">
        <v>0</v>
      </c>
      <c r="D10432" s="2">
        <f t="shared" si="162"/>
        <v>1</v>
      </c>
    </row>
    <row r="10433" spans="1:4" x14ac:dyDescent="0.3">
      <c r="A10433" s="34">
        <v>65567</v>
      </c>
      <c r="B10433" s="35">
        <v>3</v>
      </c>
      <c r="C10433" s="35">
        <v>2</v>
      </c>
      <c r="D10433" s="2">
        <f t="shared" si="162"/>
        <v>5</v>
      </c>
    </row>
    <row r="10434" spans="1:4" x14ac:dyDescent="0.3">
      <c r="A10434" s="34">
        <v>65568</v>
      </c>
      <c r="B10434" s="35">
        <v>1</v>
      </c>
      <c r="C10434" s="35">
        <v>0</v>
      </c>
      <c r="D10434" s="2">
        <f t="shared" si="162"/>
        <v>1</v>
      </c>
    </row>
    <row r="10435" spans="1:4" x14ac:dyDescent="0.3">
      <c r="A10435" s="34">
        <v>65569</v>
      </c>
      <c r="B10435" s="35">
        <v>1</v>
      </c>
      <c r="C10435" s="35">
        <v>0</v>
      </c>
      <c r="D10435" s="2">
        <f t="shared" ref="D10435:D10498" si="163">B10435+C10435</f>
        <v>1</v>
      </c>
    </row>
    <row r="10436" spans="1:4" x14ac:dyDescent="0.3">
      <c r="A10436" s="34">
        <v>65570</v>
      </c>
      <c r="B10436" s="35">
        <v>1</v>
      </c>
      <c r="C10436" s="35">
        <v>0</v>
      </c>
      <c r="D10436" s="2">
        <f t="shared" si="163"/>
        <v>1</v>
      </c>
    </row>
    <row r="10437" spans="1:4" x14ac:dyDescent="0.3">
      <c r="A10437" s="34">
        <v>65572</v>
      </c>
      <c r="B10437" s="35">
        <v>1</v>
      </c>
      <c r="C10437" s="35">
        <v>0</v>
      </c>
      <c r="D10437" s="2">
        <f t="shared" si="163"/>
        <v>1</v>
      </c>
    </row>
    <row r="10438" spans="1:4" x14ac:dyDescent="0.3">
      <c r="A10438" s="34">
        <v>65595</v>
      </c>
      <c r="B10438" s="35">
        <v>1</v>
      </c>
      <c r="C10438" s="35">
        <v>0</v>
      </c>
      <c r="D10438" s="2">
        <f t="shared" si="163"/>
        <v>1</v>
      </c>
    </row>
    <row r="10439" spans="1:4" x14ac:dyDescent="0.3">
      <c r="A10439" s="34">
        <v>65596</v>
      </c>
      <c r="B10439" s="35">
        <v>2</v>
      </c>
      <c r="C10439" s="35">
        <v>0</v>
      </c>
      <c r="D10439" s="2">
        <f t="shared" si="163"/>
        <v>2</v>
      </c>
    </row>
    <row r="10440" spans="1:4" x14ac:dyDescent="0.3">
      <c r="A10440" s="34">
        <v>65597</v>
      </c>
      <c r="B10440" s="35">
        <v>1</v>
      </c>
      <c r="C10440" s="35">
        <v>0</v>
      </c>
      <c r="D10440" s="2">
        <f t="shared" si="163"/>
        <v>1</v>
      </c>
    </row>
    <row r="10441" spans="1:4" x14ac:dyDescent="0.3">
      <c r="A10441" s="34">
        <v>65598</v>
      </c>
      <c r="B10441" s="35">
        <v>1</v>
      </c>
      <c r="C10441" s="35">
        <v>0</v>
      </c>
      <c r="D10441" s="2">
        <f t="shared" si="163"/>
        <v>1</v>
      </c>
    </row>
    <row r="10442" spans="1:4" x14ac:dyDescent="0.3">
      <c r="A10442" s="34">
        <v>65601</v>
      </c>
      <c r="B10442" s="35">
        <v>1</v>
      </c>
      <c r="C10442" s="35">
        <v>0</v>
      </c>
      <c r="D10442" s="2">
        <f t="shared" si="163"/>
        <v>1</v>
      </c>
    </row>
    <row r="10443" spans="1:4" x14ac:dyDescent="0.3">
      <c r="A10443" s="34">
        <v>65602</v>
      </c>
      <c r="B10443" s="35">
        <v>1</v>
      </c>
      <c r="C10443" s="35">
        <v>0</v>
      </c>
      <c r="D10443" s="2">
        <f t="shared" si="163"/>
        <v>1</v>
      </c>
    </row>
    <row r="10444" spans="1:4" x14ac:dyDescent="0.3">
      <c r="A10444" s="34">
        <v>65606</v>
      </c>
      <c r="B10444" s="35">
        <v>1</v>
      </c>
      <c r="C10444" s="35">
        <v>0</v>
      </c>
      <c r="D10444" s="2">
        <f t="shared" si="163"/>
        <v>1</v>
      </c>
    </row>
    <row r="10445" spans="1:4" x14ac:dyDescent="0.3">
      <c r="A10445" s="34">
        <v>65607</v>
      </c>
      <c r="B10445" s="35">
        <v>1</v>
      </c>
      <c r="C10445" s="35">
        <v>0</v>
      </c>
      <c r="D10445" s="2">
        <f t="shared" si="163"/>
        <v>1</v>
      </c>
    </row>
    <row r="10446" spans="1:4" x14ac:dyDescent="0.3">
      <c r="A10446" s="34">
        <v>65608</v>
      </c>
      <c r="B10446" s="35">
        <v>1</v>
      </c>
      <c r="C10446" s="35">
        <v>0</v>
      </c>
      <c r="D10446" s="2">
        <f t="shared" si="163"/>
        <v>1</v>
      </c>
    </row>
    <row r="10447" spans="1:4" x14ac:dyDescent="0.3">
      <c r="A10447" s="34">
        <v>65609</v>
      </c>
      <c r="B10447" s="35">
        <v>1</v>
      </c>
      <c r="C10447" s="35">
        <v>0</v>
      </c>
      <c r="D10447" s="2">
        <f t="shared" si="163"/>
        <v>1</v>
      </c>
    </row>
    <row r="10448" spans="1:4" x14ac:dyDescent="0.3">
      <c r="A10448" s="34">
        <v>65610</v>
      </c>
      <c r="B10448" s="35">
        <v>1</v>
      </c>
      <c r="C10448" s="35">
        <v>0</v>
      </c>
      <c r="D10448" s="2">
        <f t="shared" si="163"/>
        <v>1</v>
      </c>
    </row>
    <row r="10449" spans="1:4" x14ac:dyDescent="0.3">
      <c r="A10449" s="34">
        <v>65611</v>
      </c>
      <c r="B10449" s="35">
        <v>1</v>
      </c>
      <c r="C10449" s="35">
        <v>0</v>
      </c>
      <c r="D10449" s="2">
        <f t="shared" si="163"/>
        <v>1</v>
      </c>
    </row>
    <row r="10450" spans="1:4" x14ac:dyDescent="0.3">
      <c r="A10450" s="34">
        <v>65612</v>
      </c>
      <c r="B10450" s="35">
        <v>1</v>
      </c>
      <c r="C10450" s="35">
        <v>0</v>
      </c>
      <c r="D10450" s="2">
        <f t="shared" si="163"/>
        <v>1</v>
      </c>
    </row>
    <row r="10451" spans="1:4" x14ac:dyDescent="0.3">
      <c r="A10451" s="34">
        <v>65616</v>
      </c>
      <c r="B10451" s="35">
        <v>1</v>
      </c>
      <c r="C10451" s="35">
        <v>0</v>
      </c>
      <c r="D10451" s="2">
        <f t="shared" si="163"/>
        <v>1</v>
      </c>
    </row>
    <row r="10452" spans="1:4" x14ac:dyDescent="0.3">
      <c r="A10452" s="34">
        <v>65617</v>
      </c>
      <c r="B10452" s="35">
        <v>1</v>
      </c>
      <c r="C10452" s="35">
        <v>0</v>
      </c>
      <c r="D10452" s="2">
        <f t="shared" si="163"/>
        <v>1</v>
      </c>
    </row>
    <row r="10453" spans="1:4" x14ac:dyDescent="0.3">
      <c r="A10453" s="34">
        <v>65618</v>
      </c>
      <c r="B10453" s="35">
        <v>1</v>
      </c>
      <c r="C10453" s="35">
        <v>0</v>
      </c>
      <c r="D10453" s="2">
        <f t="shared" si="163"/>
        <v>1</v>
      </c>
    </row>
    <row r="10454" spans="1:4" x14ac:dyDescent="0.3">
      <c r="A10454" s="34">
        <v>65623</v>
      </c>
      <c r="B10454" s="35">
        <v>1</v>
      </c>
      <c r="C10454" s="35">
        <v>0</v>
      </c>
      <c r="D10454" s="2">
        <f t="shared" si="163"/>
        <v>1</v>
      </c>
    </row>
    <row r="10455" spans="1:4" x14ac:dyDescent="0.3">
      <c r="A10455" s="34">
        <v>65624</v>
      </c>
      <c r="B10455" s="35">
        <v>1</v>
      </c>
      <c r="C10455" s="35">
        <v>0</v>
      </c>
      <c r="D10455" s="2">
        <f t="shared" si="163"/>
        <v>1</v>
      </c>
    </row>
    <row r="10456" spans="1:4" x14ac:dyDescent="0.3">
      <c r="A10456" s="34">
        <v>65625</v>
      </c>
      <c r="B10456" s="35">
        <v>1</v>
      </c>
      <c r="C10456" s="35">
        <v>0</v>
      </c>
      <c r="D10456" s="2">
        <f t="shared" si="163"/>
        <v>1</v>
      </c>
    </row>
    <row r="10457" spans="1:4" x14ac:dyDescent="0.3">
      <c r="A10457" s="34">
        <v>65631</v>
      </c>
      <c r="B10457" s="35">
        <v>1</v>
      </c>
      <c r="C10457" s="35">
        <v>0</v>
      </c>
      <c r="D10457" s="2">
        <f t="shared" si="163"/>
        <v>1</v>
      </c>
    </row>
    <row r="10458" spans="1:4" x14ac:dyDescent="0.3">
      <c r="A10458" s="34">
        <v>65632</v>
      </c>
      <c r="B10458" s="35">
        <v>2</v>
      </c>
      <c r="C10458" s="35">
        <v>1</v>
      </c>
      <c r="D10458" s="2">
        <f t="shared" si="163"/>
        <v>3</v>
      </c>
    </row>
    <row r="10459" spans="1:4" x14ac:dyDescent="0.3">
      <c r="A10459" s="34">
        <v>65634</v>
      </c>
      <c r="B10459" s="35">
        <v>1</v>
      </c>
      <c r="C10459" s="35">
        <v>0</v>
      </c>
      <c r="D10459" s="2">
        <f t="shared" si="163"/>
        <v>1</v>
      </c>
    </row>
    <row r="10460" spans="1:4" x14ac:dyDescent="0.3">
      <c r="A10460" s="34">
        <v>65635</v>
      </c>
      <c r="B10460" s="35">
        <v>1</v>
      </c>
      <c r="C10460" s="35">
        <v>0</v>
      </c>
      <c r="D10460" s="2">
        <f t="shared" si="163"/>
        <v>1</v>
      </c>
    </row>
    <row r="10461" spans="1:4" x14ac:dyDescent="0.3">
      <c r="A10461" s="34">
        <v>65637</v>
      </c>
      <c r="B10461" s="35">
        <v>1</v>
      </c>
      <c r="C10461" s="35">
        <v>0</v>
      </c>
      <c r="D10461" s="2">
        <f t="shared" si="163"/>
        <v>1</v>
      </c>
    </row>
    <row r="10462" spans="1:4" x14ac:dyDescent="0.3">
      <c r="A10462" s="34">
        <v>65640</v>
      </c>
      <c r="B10462" s="35">
        <v>1</v>
      </c>
      <c r="C10462" s="35">
        <v>0</v>
      </c>
      <c r="D10462" s="2">
        <f t="shared" si="163"/>
        <v>1</v>
      </c>
    </row>
    <row r="10463" spans="1:4" x14ac:dyDescent="0.3">
      <c r="A10463" s="34">
        <v>65642</v>
      </c>
      <c r="B10463" s="35">
        <v>1</v>
      </c>
      <c r="C10463" s="35">
        <v>0</v>
      </c>
      <c r="D10463" s="2">
        <f t="shared" si="163"/>
        <v>1</v>
      </c>
    </row>
    <row r="10464" spans="1:4" x14ac:dyDescent="0.3">
      <c r="A10464" s="34">
        <v>65645</v>
      </c>
      <c r="B10464" s="35">
        <v>1</v>
      </c>
      <c r="C10464" s="35">
        <v>0</v>
      </c>
      <c r="D10464" s="2">
        <f t="shared" si="163"/>
        <v>1</v>
      </c>
    </row>
    <row r="10465" spans="1:4" x14ac:dyDescent="0.3">
      <c r="A10465" s="34">
        <v>65648</v>
      </c>
      <c r="B10465" s="35">
        <v>1</v>
      </c>
      <c r="C10465" s="35">
        <v>0</v>
      </c>
      <c r="D10465" s="2">
        <f t="shared" si="163"/>
        <v>1</v>
      </c>
    </row>
    <row r="10466" spans="1:4" x14ac:dyDescent="0.3">
      <c r="A10466" s="34">
        <v>65649</v>
      </c>
      <c r="B10466" s="35">
        <v>3</v>
      </c>
      <c r="C10466" s="35">
        <v>0</v>
      </c>
      <c r="D10466" s="2">
        <f t="shared" si="163"/>
        <v>3</v>
      </c>
    </row>
    <row r="10467" spans="1:4" x14ac:dyDescent="0.3">
      <c r="A10467" s="34">
        <v>65674</v>
      </c>
      <c r="B10467" s="35">
        <v>1</v>
      </c>
      <c r="C10467" s="35">
        <v>0</v>
      </c>
      <c r="D10467" s="2">
        <f t="shared" si="163"/>
        <v>1</v>
      </c>
    </row>
    <row r="10468" spans="1:4" x14ac:dyDescent="0.3">
      <c r="A10468" s="34">
        <v>65675</v>
      </c>
      <c r="B10468" s="35">
        <v>1</v>
      </c>
      <c r="C10468" s="35">
        <v>1</v>
      </c>
      <c r="D10468" s="2">
        <f t="shared" si="163"/>
        <v>2</v>
      </c>
    </row>
    <row r="10469" spans="1:4" x14ac:dyDescent="0.3">
      <c r="A10469" s="34">
        <v>65680</v>
      </c>
      <c r="B10469" s="35">
        <v>1</v>
      </c>
      <c r="C10469" s="35">
        <v>1</v>
      </c>
      <c r="D10469" s="2">
        <f t="shared" si="163"/>
        <v>2</v>
      </c>
    </row>
    <row r="10470" spans="1:4" x14ac:dyDescent="0.3">
      <c r="A10470" s="34">
        <v>65685</v>
      </c>
      <c r="B10470" s="35">
        <v>1</v>
      </c>
      <c r="C10470" s="35">
        <v>0</v>
      </c>
      <c r="D10470" s="2">
        <f t="shared" si="163"/>
        <v>1</v>
      </c>
    </row>
    <row r="10471" spans="1:4" x14ac:dyDescent="0.3">
      <c r="A10471" s="34">
        <v>65688</v>
      </c>
      <c r="B10471" s="35">
        <v>1</v>
      </c>
      <c r="C10471" s="35">
        <v>0</v>
      </c>
      <c r="D10471" s="2">
        <f t="shared" si="163"/>
        <v>1</v>
      </c>
    </row>
    <row r="10472" spans="1:4" x14ac:dyDescent="0.3">
      <c r="A10472" s="34">
        <v>65689</v>
      </c>
      <c r="B10472" s="35">
        <v>1</v>
      </c>
      <c r="C10472" s="35">
        <v>0</v>
      </c>
      <c r="D10472" s="2">
        <f t="shared" si="163"/>
        <v>1</v>
      </c>
    </row>
    <row r="10473" spans="1:4" x14ac:dyDescent="0.3">
      <c r="A10473" s="34">
        <v>65690</v>
      </c>
      <c r="B10473" s="35">
        <v>1</v>
      </c>
      <c r="C10473" s="35">
        <v>1</v>
      </c>
      <c r="D10473" s="2">
        <f t="shared" si="163"/>
        <v>2</v>
      </c>
    </row>
    <row r="10474" spans="1:4" x14ac:dyDescent="0.3">
      <c r="A10474" s="34">
        <v>65691</v>
      </c>
      <c r="B10474" s="35">
        <v>1</v>
      </c>
      <c r="C10474" s="35">
        <v>0</v>
      </c>
      <c r="D10474" s="2">
        <f t="shared" si="163"/>
        <v>1</v>
      </c>
    </row>
    <row r="10475" spans="1:4" x14ac:dyDescent="0.3">
      <c r="A10475" s="34">
        <v>65693</v>
      </c>
      <c r="B10475" s="35">
        <v>1</v>
      </c>
      <c r="C10475" s="35">
        <v>0</v>
      </c>
      <c r="D10475" s="2">
        <f t="shared" si="163"/>
        <v>1</v>
      </c>
    </row>
    <row r="10476" spans="1:4" x14ac:dyDescent="0.3">
      <c r="A10476" s="34">
        <v>65694</v>
      </c>
      <c r="B10476" s="35">
        <v>1</v>
      </c>
      <c r="C10476" s="35">
        <v>0</v>
      </c>
      <c r="D10476" s="2">
        <f t="shared" si="163"/>
        <v>1</v>
      </c>
    </row>
    <row r="10477" spans="1:4" x14ac:dyDescent="0.3">
      <c r="A10477" s="34">
        <v>65695</v>
      </c>
      <c r="B10477" s="35">
        <v>1</v>
      </c>
      <c r="C10477" s="35">
        <v>0</v>
      </c>
      <c r="D10477" s="2">
        <f t="shared" si="163"/>
        <v>1</v>
      </c>
    </row>
    <row r="10478" spans="1:4" x14ac:dyDescent="0.3">
      <c r="A10478" s="34">
        <v>65696</v>
      </c>
      <c r="B10478" s="35">
        <v>1</v>
      </c>
      <c r="C10478" s="35">
        <v>0</v>
      </c>
      <c r="D10478" s="2">
        <f t="shared" si="163"/>
        <v>1</v>
      </c>
    </row>
    <row r="10479" spans="1:4" x14ac:dyDescent="0.3">
      <c r="A10479" s="34">
        <v>65699</v>
      </c>
      <c r="B10479" s="35">
        <v>1</v>
      </c>
      <c r="C10479" s="35">
        <v>0</v>
      </c>
      <c r="D10479" s="2">
        <f t="shared" si="163"/>
        <v>1</v>
      </c>
    </row>
    <row r="10480" spans="1:4" x14ac:dyDescent="0.3">
      <c r="A10480" s="34">
        <v>65700</v>
      </c>
      <c r="B10480" s="35">
        <v>1</v>
      </c>
      <c r="C10480" s="35">
        <v>0</v>
      </c>
      <c r="D10480" s="2">
        <f t="shared" si="163"/>
        <v>1</v>
      </c>
    </row>
    <row r="10481" spans="1:4" x14ac:dyDescent="0.3">
      <c r="A10481" s="34">
        <v>65725</v>
      </c>
      <c r="B10481" s="35">
        <v>1</v>
      </c>
      <c r="C10481" s="35">
        <v>0</v>
      </c>
      <c r="D10481" s="2">
        <f t="shared" si="163"/>
        <v>1</v>
      </c>
    </row>
    <row r="10482" spans="1:4" x14ac:dyDescent="0.3">
      <c r="A10482" s="34">
        <v>65726</v>
      </c>
      <c r="B10482" s="35">
        <v>1</v>
      </c>
      <c r="C10482" s="35">
        <v>0</v>
      </c>
      <c r="D10482" s="2">
        <f t="shared" si="163"/>
        <v>1</v>
      </c>
    </row>
    <row r="10483" spans="1:4" x14ac:dyDescent="0.3">
      <c r="A10483" s="34">
        <v>65731</v>
      </c>
      <c r="B10483" s="35">
        <v>1</v>
      </c>
      <c r="C10483" s="35">
        <v>1</v>
      </c>
      <c r="D10483" s="2">
        <f t="shared" si="163"/>
        <v>2</v>
      </c>
    </row>
    <row r="10484" spans="1:4" x14ac:dyDescent="0.3">
      <c r="A10484" s="34">
        <v>65732</v>
      </c>
      <c r="B10484" s="35">
        <v>1</v>
      </c>
      <c r="C10484" s="35">
        <v>0</v>
      </c>
      <c r="D10484" s="2">
        <f t="shared" si="163"/>
        <v>1</v>
      </c>
    </row>
    <row r="10485" spans="1:4" x14ac:dyDescent="0.3">
      <c r="A10485" s="34">
        <v>65736</v>
      </c>
      <c r="B10485" s="35">
        <v>1</v>
      </c>
      <c r="C10485" s="35">
        <v>0</v>
      </c>
      <c r="D10485" s="2">
        <f t="shared" si="163"/>
        <v>1</v>
      </c>
    </row>
    <row r="10486" spans="1:4" x14ac:dyDescent="0.3">
      <c r="A10486" s="34">
        <v>65741</v>
      </c>
      <c r="B10486" s="35">
        <v>1</v>
      </c>
      <c r="C10486" s="35">
        <v>0</v>
      </c>
      <c r="D10486" s="2">
        <f t="shared" si="163"/>
        <v>1</v>
      </c>
    </row>
    <row r="10487" spans="1:4" x14ac:dyDescent="0.3">
      <c r="A10487" s="34">
        <v>65742</v>
      </c>
      <c r="B10487" s="35">
        <v>1</v>
      </c>
      <c r="C10487" s="35">
        <v>0</v>
      </c>
      <c r="D10487" s="2">
        <f t="shared" si="163"/>
        <v>1</v>
      </c>
    </row>
    <row r="10488" spans="1:4" x14ac:dyDescent="0.3">
      <c r="A10488" s="34">
        <v>65743</v>
      </c>
      <c r="B10488" s="35">
        <v>1</v>
      </c>
      <c r="C10488" s="35">
        <v>0</v>
      </c>
      <c r="D10488" s="2">
        <f t="shared" si="163"/>
        <v>1</v>
      </c>
    </row>
    <row r="10489" spans="1:4" x14ac:dyDescent="0.3">
      <c r="A10489" s="34">
        <v>65745</v>
      </c>
      <c r="B10489" s="35">
        <v>1</v>
      </c>
      <c r="C10489" s="35">
        <v>0</v>
      </c>
      <c r="D10489" s="2">
        <f t="shared" si="163"/>
        <v>1</v>
      </c>
    </row>
    <row r="10490" spans="1:4" x14ac:dyDescent="0.3">
      <c r="A10490" s="34">
        <v>65746</v>
      </c>
      <c r="B10490" s="35">
        <v>1</v>
      </c>
      <c r="C10490" s="35">
        <v>0</v>
      </c>
      <c r="D10490" s="2">
        <f t="shared" si="163"/>
        <v>1</v>
      </c>
    </row>
    <row r="10491" spans="1:4" x14ac:dyDescent="0.3">
      <c r="A10491" s="34">
        <v>65749</v>
      </c>
      <c r="B10491" s="35">
        <v>1</v>
      </c>
      <c r="C10491" s="35">
        <v>0</v>
      </c>
      <c r="D10491" s="2">
        <f t="shared" si="163"/>
        <v>1</v>
      </c>
    </row>
    <row r="10492" spans="1:4" x14ac:dyDescent="0.3">
      <c r="A10492" s="34">
        <v>65750</v>
      </c>
      <c r="B10492" s="35">
        <v>1</v>
      </c>
      <c r="C10492" s="35">
        <v>0</v>
      </c>
      <c r="D10492" s="2">
        <f t="shared" si="163"/>
        <v>1</v>
      </c>
    </row>
    <row r="10493" spans="1:4" x14ac:dyDescent="0.3">
      <c r="A10493" s="34">
        <v>65752</v>
      </c>
      <c r="B10493" s="35">
        <v>1</v>
      </c>
      <c r="C10493" s="35">
        <v>0</v>
      </c>
      <c r="D10493" s="2">
        <f t="shared" si="163"/>
        <v>1</v>
      </c>
    </row>
    <row r="10494" spans="1:4" x14ac:dyDescent="0.3">
      <c r="A10494" s="34">
        <v>65753</v>
      </c>
      <c r="B10494" s="35">
        <v>1</v>
      </c>
      <c r="C10494" s="35">
        <v>0</v>
      </c>
      <c r="D10494" s="2">
        <f t="shared" si="163"/>
        <v>1</v>
      </c>
    </row>
    <row r="10495" spans="1:4" x14ac:dyDescent="0.3">
      <c r="A10495" s="34">
        <v>65754</v>
      </c>
      <c r="B10495" s="35">
        <v>1</v>
      </c>
      <c r="C10495" s="35">
        <v>0</v>
      </c>
      <c r="D10495" s="2">
        <f t="shared" si="163"/>
        <v>1</v>
      </c>
    </row>
    <row r="10496" spans="1:4" x14ac:dyDescent="0.3">
      <c r="A10496" s="34">
        <v>65756</v>
      </c>
      <c r="B10496" s="35">
        <v>1</v>
      </c>
      <c r="C10496" s="35">
        <v>0</v>
      </c>
      <c r="D10496" s="2">
        <f t="shared" si="163"/>
        <v>1</v>
      </c>
    </row>
    <row r="10497" spans="1:4" x14ac:dyDescent="0.3">
      <c r="A10497" s="34">
        <v>65758</v>
      </c>
      <c r="B10497" s="35">
        <v>1</v>
      </c>
      <c r="C10497" s="35">
        <v>1</v>
      </c>
      <c r="D10497" s="2">
        <f t="shared" si="163"/>
        <v>2</v>
      </c>
    </row>
    <row r="10498" spans="1:4" x14ac:dyDescent="0.3">
      <c r="A10498" s="34">
        <v>65761</v>
      </c>
      <c r="B10498" s="35">
        <v>1</v>
      </c>
      <c r="C10498" s="35">
        <v>0</v>
      </c>
      <c r="D10498" s="2">
        <f t="shared" si="163"/>
        <v>1</v>
      </c>
    </row>
    <row r="10499" spans="1:4" x14ac:dyDescent="0.3">
      <c r="A10499" s="34">
        <v>65763</v>
      </c>
      <c r="B10499" s="35">
        <v>1</v>
      </c>
      <c r="C10499" s="35">
        <v>0</v>
      </c>
      <c r="D10499" s="2">
        <f t="shared" ref="D10499:D10562" si="164">B10499+C10499</f>
        <v>1</v>
      </c>
    </row>
    <row r="10500" spans="1:4" x14ac:dyDescent="0.3">
      <c r="A10500" s="34">
        <v>65764</v>
      </c>
      <c r="B10500" s="35">
        <v>1</v>
      </c>
      <c r="C10500" s="35">
        <v>0</v>
      </c>
      <c r="D10500" s="2">
        <f t="shared" si="164"/>
        <v>1</v>
      </c>
    </row>
    <row r="10501" spans="1:4" x14ac:dyDescent="0.3">
      <c r="A10501" s="34">
        <v>65765</v>
      </c>
      <c r="B10501" s="35">
        <v>1</v>
      </c>
      <c r="C10501" s="35">
        <v>1</v>
      </c>
      <c r="D10501" s="2">
        <f t="shared" si="164"/>
        <v>2</v>
      </c>
    </row>
    <row r="10502" spans="1:4" x14ac:dyDescent="0.3">
      <c r="A10502" s="34">
        <v>65767</v>
      </c>
      <c r="B10502" s="35">
        <v>1</v>
      </c>
      <c r="C10502" s="35">
        <v>0</v>
      </c>
      <c r="D10502" s="2">
        <f t="shared" si="164"/>
        <v>1</v>
      </c>
    </row>
    <row r="10503" spans="1:4" x14ac:dyDescent="0.3">
      <c r="A10503" s="34">
        <v>65769</v>
      </c>
      <c r="B10503" s="35">
        <v>1</v>
      </c>
      <c r="C10503" s="35">
        <v>0</v>
      </c>
      <c r="D10503" s="2">
        <f t="shared" si="164"/>
        <v>1</v>
      </c>
    </row>
    <row r="10504" spans="1:4" x14ac:dyDescent="0.3">
      <c r="A10504" s="34">
        <v>65771</v>
      </c>
      <c r="B10504" s="35">
        <v>1</v>
      </c>
      <c r="C10504" s="35">
        <v>1</v>
      </c>
      <c r="D10504" s="2">
        <f t="shared" si="164"/>
        <v>2</v>
      </c>
    </row>
    <row r="10505" spans="1:4" x14ac:dyDescent="0.3">
      <c r="A10505" s="34">
        <v>65773</v>
      </c>
      <c r="B10505" s="35">
        <v>1</v>
      </c>
      <c r="C10505" s="35">
        <v>0</v>
      </c>
      <c r="D10505" s="2">
        <f t="shared" si="164"/>
        <v>1</v>
      </c>
    </row>
    <row r="10506" spans="1:4" x14ac:dyDescent="0.3">
      <c r="A10506" s="34">
        <v>65774</v>
      </c>
      <c r="B10506" s="35">
        <v>1</v>
      </c>
      <c r="C10506" s="35">
        <v>1</v>
      </c>
      <c r="D10506" s="2">
        <f t="shared" si="164"/>
        <v>2</v>
      </c>
    </row>
    <row r="10507" spans="1:4" x14ac:dyDescent="0.3">
      <c r="A10507" s="34">
        <v>65775</v>
      </c>
      <c r="B10507" s="35">
        <v>1</v>
      </c>
      <c r="C10507" s="35">
        <v>0</v>
      </c>
      <c r="D10507" s="2">
        <f t="shared" si="164"/>
        <v>1</v>
      </c>
    </row>
    <row r="10508" spans="1:4" x14ac:dyDescent="0.3">
      <c r="A10508" s="34">
        <v>65778</v>
      </c>
      <c r="B10508" s="35">
        <v>1</v>
      </c>
      <c r="C10508" s="35">
        <v>1</v>
      </c>
      <c r="D10508" s="2">
        <f t="shared" si="164"/>
        <v>2</v>
      </c>
    </row>
    <row r="10509" spans="1:4" x14ac:dyDescent="0.3">
      <c r="A10509" s="34">
        <v>65780</v>
      </c>
      <c r="B10509" s="35">
        <v>1</v>
      </c>
      <c r="C10509" s="35">
        <v>0</v>
      </c>
      <c r="D10509" s="2">
        <f t="shared" si="164"/>
        <v>1</v>
      </c>
    </row>
    <row r="10510" spans="1:4" x14ac:dyDescent="0.3">
      <c r="A10510" s="34">
        <v>65782</v>
      </c>
      <c r="B10510" s="35">
        <v>1</v>
      </c>
      <c r="C10510" s="35">
        <v>0</v>
      </c>
      <c r="D10510" s="2">
        <f t="shared" si="164"/>
        <v>1</v>
      </c>
    </row>
    <row r="10511" spans="1:4" x14ac:dyDescent="0.3">
      <c r="A10511" s="34">
        <v>65783</v>
      </c>
      <c r="B10511" s="35">
        <v>1</v>
      </c>
      <c r="C10511" s="35">
        <v>0</v>
      </c>
      <c r="D10511" s="2">
        <f t="shared" si="164"/>
        <v>1</v>
      </c>
    </row>
    <row r="10512" spans="1:4" x14ac:dyDescent="0.3">
      <c r="A10512" s="34">
        <v>65786</v>
      </c>
      <c r="B10512" s="35">
        <v>1</v>
      </c>
      <c r="C10512" s="35">
        <v>0</v>
      </c>
      <c r="D10512" s="2">
        <f t="shared" si="164"/>
        <v>1</v>
      </c>
    </row>
    <row r="10513" spans="1:4" x14ac:dyDescent="0.3">
      <c r="A10513" s="34">
        <v>65790</v>
      </c>
      <c r="B10513" s="35">
        <v>1</v>
      </c>
      <c r="C10513" s="35">
        <v>0</v>
      </c>
      <c r="D10513" s="2">
        <f t="shared" si="164"/>
        <v>1</v>
      </c>
    </row>
    <row r="10514" spans="1:4" x14ac:dyDescent="0.3">
      <c r="A10514" s="34">
        <v>65791</v>
      </c>
      <c r="B10514" s="35">
        <v>1</v>
      </c>
      <c r="C10514" s="35">
        <v>0</v>
      </c>
      <c r="D10514" s="2">
        <f t="shared" si="164"/>
        <v>1</v>
      </c>
    </row>
    <row r="10515" spans="1:4" x14ac:dyDescent="0.3">
      <c r="A10515" s="34">
        <v>65792</v>
      </c>
      <c r="B10515" s="35">
        <v>1</v>
      </c>
      <c r="C10515" s="35">
        <v>1</v>
      </c>
      <c r="D10515" s="2">
        <f t="shared" si="164"/>
        <v>2</v>
      </c>
    </row>
    <row r="10516" spans="1:4" x14ac:dyDescent="0.3">
      <c r="A10516" s="34">
        <v>65793</v>
      </c>
      <c r="B10516" s="35">
        <v>1</v>
      </c>
      <c r="C10516" s="35">
        <v>0</v>
      </c>
      <c r="D10516" s="2">
        <f t="shared" si="164"/>
        <v>1</v>
      </c>
    </row>
    <row r="10517" spans="1:4" x14ac:dyDescent="0.3">
      <c r="A10517" s="34">
        <v>65797</v>
      </c>
      <c r="B10517" s="35">
        <v>1</v>
      </c>
      <c r="C10517" s="35">
        <v>0</v>
      </c>
      <c r="D10517" s="2">
        <f t="shared" si="164"/>
        <v>1</v>
      </c>
    </row>
    <row r="10518" spans="1:4" x14ac:dyDescent="0.3">
      <c r="A10518" s="34">
        <v>65799</v>
      </c>
      <c r="B10518" s="35">
        <v>1</v>
      </c>
      <c r="C10518" s="35">
        <v>0</v>
      </c>
      <c r="D10518" s="2">
        <f t="shared" si="164"/>
        <v>1</v>
      </c>
    </row>
    <row r="10519" spans="1:4" x14ac:dyDescent="0.3">
      <c r="A10519" s="34">
        <v>65801</v>
      </c>
      <c r="B10519" s="35">
        <v>1</v>
      </c>
      <c r="C10519" s="35">
        <v>0</v>
      </c>
      <c r="D10519" s="2">
        <f t="shared" si="164"/>
        <v>1</v>
      </c>
    </row>
    <row r="10520" spans="1:4" x14ac:dyDescent="0.3">
      <c r="A10520" s="34">
        <v>65802</v>
      </c>
      <c r="B10520" s="35">
        <v>1</v>
      </c>
      <c r="C10520" s="35">
        <v>0</v>
      </c>
      <c r="D10520" s="2">
        <f t="shared" si="164"/>
        <v>1</v>
      </c>
    </row>
    <row r="10521" spans="1:4" x14ac:dyDescent="0.3">
      <c r="A10521" s="34">
        <v>65804</v>
      </c>
      <c r="B10521" s="35">
        <v>1</v>
      </c>
      <c r="C10521" s="35">
        <v>0</v>
      </c>
      <c r="D10521" s="2">
        <f t="shared" si="164"/>
        <v>1</v>
      </c>
    </row>
    <row r="10522" spans="1:4" x14ac:dyDescent="0.3">
      <c r="A10522" s="34">
        <v>65806</v>
      </c>
      <c r="B10522" s="35">
        <v>1</v>
      </c>
      <c r="C10522" s="35">
        <v>0</v>
      </c>
      <c r="D10522" s="2">
        <f t="shared" si="164"/>
        <v>1</v>
      </c>
    </row>
    <row r="10523" spans="1:4" x14ac:dyDescent="0.3">
      <c r="A10523" s="34">
        <v>65807</v>
      </c>
      <c r="B10523" s="35">
        <v>1</v>
      </c>
      <c r="C10523" s="35">
        <v>0</v>
      </c>
      <c r="D10523" s="2">
        <f t="shared" si="164"/>
        <v>1</v>
      </c>
    </row>
    <row r="10524" spans="1:4" x14ac:dyDescent="0.3">
      <c r="A10524" s="34">
        <v>65856</v>
      </c>
      <c r="B10524" s="35">
        <v>1</v>
      </c>
      <c r="C10524" s="35">
        <v>0</v>
      </c>
      <c r="D10524" s="2">
        <f t="shared" si="164"/>
        <v>1</v>
      </c>
    </row>
    <row r="10525" spans="1:4" x14ac:dyDescent="0.3">
      <c r="A10525" s="34">
        <v>65861</v>
      </c>
      <c r="B10525" s="35">
        <v>2</v>
      </c>
      <c r="C10525" s="35">
        <v>0</v>
      </c>
      <c r="D10525" s="2">
        <f t="shared" si="164"/>
        <v>2</v>
      </c>
    </row>
    <row r="10526" spans="1:4" x14ac:dyDescent="0.3">
      <c r="A10526" s="34">
        <v>65862</v>
      </c>
      <c r="B10526" s="35">
        <v>1</v>
      </c>
      <c r="C10526" s="35">
        <v>0</v>
      </c>
      <c r="D10526" s="2">
        <f t="shared" si="164"/>
        <v>1</v>
      </c>
    </row>
    <row r="10527" spans="1:4" x14ac:dyDescent="0.3">
      <c r="A10527" s="34">
        <v>65863</v>
      </c>
      <c r="B10527" s="35">
        <v>1</v>
      </c>
      <c r="C10527" s="35">
        <v>0</v>
      </c>
      <c r="D10527" s="2">
        <f t="shared" si="164"/>
        <v>1</v>
      </c>
    </row>
    <row r="10528" spans="1:4" x14ac:dyDescent="0.3">
      <c r="A10528" s="34">
        <v>65865</v>
      </c>
      <c r="B10528" s="35">
        <v>1</v>
      </c>
      <c r="C10528" s="35">
        <v>0</v>
      </c>
      <c r="D10528" s="2">
        <f t="shared" si="164"/>
        <v>1</v>
      </c>
    </row>
    <row r="10529" spans="1:4" x14ac:dyDescent="0.3">
      <c r="A10529" s="34">
        <v>65866</v>
      </c>
      <c r="B10529" s="35">
        <v>1</v>
      </c>
      <c r="C10529" s="35">
        <v>0</v>
      </c>
      <c r="D10529" s="2">
        <f t="shared" si="164"/>
        <v>1</v>
      </c>
    </row>
    <row r="10530" spans="1:4" x14ac:dyDescent="0.3">
      <c r="A10530" s="34">
        <v>65867</v>
      </c>
      <c r="B10530" s="35">
        <v>1</v>
      </c>
      <c r="C10530" s="35">
        <v>0</v>
      </c>
      <c r="D10530" s="2">
        <f t="shared" si="164"/>
        <v>1</v>
      </c>
    </row>
    <row r="10531" spans="1:4" x14ac:dyDescent="0.3">
      <c r="A10531" s="34">
        <v>65869</v>
      </c>
      <c r="B10531" s="35">
        <v>1</v>
      </c>
      <c r="C10531" s="35">
        <v>0</v>
      </c>
      <c r="D10531" s="2">
        <f t="shared" si="164"/>
        <v>1</v>
      </c>
    </row>
    <row r="10532" spans="1:4" x14ac:dyDescent="0.3">
      <c r="A10532" s="34">
        <v>65871</v>
      </c>
      <c r="B10532" s="35">
        <v>1</v>
      </c>
      <c r="C10532" s="35">
        <v>0</v>
      </c>
      <c r="D10532" s="2">
        <f t="shared" si="164"/>
        <v>1</v>
      </c>
    </row>
    <row r="10533" spans="1:4" x14ac:dyDescent="0.3">
      <c r="A10533" s="34">
        <v>65872</v>
      </c>
      <c r="B10533" s="35">
        <v>1</v>
      </c>
      <c r="C10533" s="35">
        <v>0</v>
      </c>
      <c r="D10533" s="2">
        <f t="shared" si="164"/>
        <v>1</v>
      </c>
    </row>
    <row r="10534" spans="1:4" x14ac:dyDescent="0.3">
      <c r="A10534" s="34">
        <v>65873</v>
      </c>
      <c r="B10534" s="35">
        <v>1</v>
      </c>
      <c r="C10534" s="35">
        <v>0</v>
      </c>
      <c r="D10534" s="2">
        <f t="shared" si="164"/>
        <v>1</v>
      </c>
    </row>
    <row r="10535" spans="1:4" x14ac:dyDescent="0.3">
      <c r="A10535" s="34">
        <v>65875</v>
      </c>
      <c r="B10535" s="35">
        <v>1</v>
      </c>
      <c r="C10535" s="35">
        <v>0</v>
      </c>
      <c r="D10535" s="2">
        <f t="shared" si="164"/>
        <v>1</v>
      </c>
    </row>
    <row r="10536" spans="1:4" x14ac:dyDescent="0.3">
      <c r="A10536" s="34">
        <v>65876</v>
      </c>
      <c r="B10536" s="35">
        <v>1</v>
      </c>
      <c r="C10536" s="35">
        <v>0</v>
      </c>
      <c r="D10536" s="2">
        <f t="shared" si="164"/>
        <v>1</v>
      </c>
    </row>
    <row r="10537" spans="1:4" x14ac:dyDescent="0.3">
      <c r="A10537" s="34">
        <v>65880</v>
      </c>
      <c r="B10537" s="35">
        <v>1</v>
      </c>
      <c r="C10537" s="35">
        <v>0</v>
      </c>
      <c r="D10537" s="2">
        <f t="shared" si="164"/>
        <v>1</v>
      </c>
    </row>
    <row r="10538" spans="1:4" x14ac:dyDescent="0.3">
      <c r="A10538" s="34">
        <v>65889</v>
      </c>
      <c r="B10538" s="35">
        <v>1</v>
      </c>
      <c r="C10538" s="35">
        <v>0</v>
      </c>
      <c r="D10538" s="2">
        <f t="shared" si="164"/>
        <v>1</v>
      </c>
    </row>
    <row r="10539" spans="1:4" x14ac:dyDescent="0.3">
      <c r="A10539" s="34">
        <v>65891</v>
      </c>
      <c r="B10539" s="35">
        <v>1</v>
      </c>
      <c r="C10539" s="35">
        <v>0</v>
      </c>
      <c r="D10539" s="2">
        <f t="shared" si="164"/>
        <v>1</v>
      </c>
    </row>
    <row r="10540" spans="1:4" x14ac:dyDescent="0.3">
      <c r="A10540" s="34">
        <v>65893</v>
      </c>
      <c r="B10540" s="35">
        <v>1</v>
      </c>
      <c r="C10540" s="35">
        <v>0</v>
      </c>
      <c r="D10540" s="2">
        <f t="shared" si="164"/>
        <v>1</v>
      </c>
    </row>
    <row r="10541" spans="1:4" x14ac:dyDescent="0.3">
      <c r="A10541" s="34">
        <v>65895</v>
      </c>
      <c r="B10541" s="35">
        <v>1</v>
      </c>
      <c r="C10541" s="35">
        <v>0</v>
      </c>
      <c r="D10541" s="2">
        <f t="shared" si="164"/>
        <v>1</v>
      </c>
    </row>
    <row r="10542" spans="1:4" x14ac:dyDescent="0.3">
      <c r="A10542" s="34">
        <v>65896</v>
      </c>
      <c r="B10542" s="35">
        <v>1</v>
      </c>
      <c r="C10542" s="35">
        <v>0</v>
      </c>
      <c r="D10542" s="2">
        <f t="shared" si="164"/>
        <v>1</v>
      </c>
    </row>
    <row r="10543" spans="1:4" x14ac:dyDescent="0.3">
      <c r="A10543" s="34">
        <v>65897</v>
      </c>
      <c r="B10543" s="35">
        <v>1</v>
      </c>
      <c r="C10543" s="35">
        <v>0</v>
      </c>
      <c r="D10543" s="2">
        <f t="shared" si="164"/>
        <v>1</v>
      </c>
    </row>
    <row r="10544" spans="1:4" x14ac:dyDescent="0.3">
      <c r="A10544" s="34">
        <v>65900</v>
      </c>
      <c r="B10544" s="35">
        <v>1</v>
      </c>
      <c r="C10544" s="35">
        <v>0</v>
      </c>
      <c r="D10544" s="2">
        <f t="shared" si="164"/>
        <v>1</v>
      </c>
    </row>
    <row r="10545" spans="1:4" x14ac:dyDescent="0.3">
      <c r="A10545" s="34">
        <v>65901</v>
      </c>
      <c r="B10545" s="35">
        <v>1</v>
      </c>
      <c r="C10545" s="35">
        <v>0</v>
      </c>
      <c r="D10545" s="2">
        <f t="shared" si="164"/>
        <v>1</v>
      </c>
    </row>
    <row r="10546" spans="1:4" x14ac:dyDescent="0.3">
      <c r="A10546" s="34">
        <v>65906</v>
      </c>
      <c r="B10546" s="35">
        <v>1</v>
      </c>
      <c r="C10546" s="35">
        <v>0</v>
      </c>
      <c r="D10546" s="2">
        <f t="shared" si="164"/>
        <v>1</v>
      </c>
    </row>
    <row r="10547" spans="1:4" x14ac:dyDescent="0.3">
      <c r="A10547" s="34">
        <v>65910</v>
      </c>
      <c r="B10547" s="35">
        <v>2</v>
      </c>
      <c r="C10547" s="35">
        <v>1</v>
      </c>
      <c r="D10547" s="2">
        <f t="shared" si="164"/>
        <v>3</v>
      </c>
    </row>
    <row r="10548" spans="1:4" x14ac:dyDescent="0.3">
      <c r="A10548" s="34">
        <v>65911</v>
      </c>
      <c r="B10548" s="35">
        <v>1</v>
      </c>
      <c r="C10548" s="35">
        <v>0</v>
      </c>
      <c r="D10548" s="2">
        <f t="shared" si="164"/>
        <v>1</v>
      </c>
    </row>
    <row r="10549" spans="1:4" x14ac:dyDescent="0.3">
      <c r="A10549" s="34">
        <v>65914</v>
      </c>
      <c r="B10549" s="35">
        <v>1</v>
      </c>
      <c r="C10549" s="35">
        <v>0</v>
      </c>
      <c r="D10549" s="2">
        <f t="shared" si="164"/>
        <v>1</v>
      </c>
    </row>
    <row r="10550" spans="1:4" x14ac:dyDescent="0.3">
      <c r="A10550" s="34">
        <v>65915</v>
      </c>
      <c r="B10550" s="35">
        <v>1</v>
      </c>
      <c r="C10550" s="35">
        <v>0</v>
      </c>
      <c r="D10550" s="2">
        <f t="shared" si="164"/>
        <v>1</v>
      </c>
    </row>
    <row r="10551" spans="1:4" x14ac:dyDescent="0.3">
      <c r="A10551" s="34">
        <v>65916</v>
      </c>
      <c r="B10551" s="35">
        <v>1</v>
      </c>
      <c r="C10551" s="35">
        <v>0</v>
      </c>
      <c r="D10551" s="2">
        <f t="shared" si="164"/>
        <v>1</v>
      </c>
    </row>
    <row r="10552" spans="1:4" x14ac:dyDescent="0.3">
      <c r="A10552" s="34">
        <v>65918</v>
      </c>
      <c r="B10552" s="35">
        <v>1</v>
      </c>
      <c r="C10552" s="35">
        <v>0</v>
      </c>
      <c r="D10552" s="2">
        <f t="shared" si="164"/>
        <v>1</v>
      </c>
    </row>
    <row r="10553" spans="1:4" x14ac:dyDescent="0.3">
      <c r="A10553" s="34">
        <v>65922</v>
      </c>
      <c r="B10553" s="35">
        <v>1</v>
      </c>
      <c r="C10553" s="35">
        <v>1</v>
      </c>
      <c r="D10553" s="2">
        <f t="shared" si="164"/>
        <v>2</v>
      </c>
    </row>
    <row r="10554" spans="1:4" x14ac:dyDescent="0.3">
      <c r="A10554" s="34">
        <v>65924</v>
      </c>
      <c r="B10554" s="35">
        <v>1</v>
      </c>
      <c r="C10554" s="35">
        <v>0</v>
      </c>
      <c r="D10554" s="2">
        <f t="shared" si="164"/>
        <v>1</v>
      </c>
    </row>
    <row r="10555" spans="1:4" x14ac:dyDescent="0.3">
      <c r="A10555" s="34">
        <v>65925</v>
      </c>
      <c r="B10555" s="35">
        <v>1</v>
      </c>
      <c r="C10555" s="35">
        <v>0</v>
      </c>
      <c r="D10555" s="2">
        <f t="shared" si="164"/>
        <v>1</v>
      </c>
    </row>
    <row r="10556" spans="1:4" x14ac:dyDescent="0.3">
      <c r="A10556" s="34">
        <v>65982</v>
      </c>
      <c r="B10556" s="35">
        <v>1</v>
      </c>
      <c r="C10556" s="35">
        <v>0</v>
      </c>
      <c r="D10556" s="2">
        <f t="shared" si="164"/>
        <v>1</v>
      </c>
    </row>
    <row r="10557" spans="1:4" x14ac:dyDescent="0.3">
      <c r="A10557" s="34">
        <v>65983</v>
      </c>
      <c r="B10557" s="35">
        <v>1</v>
      </c>
      <c r="C10557" s="35">
        <v>0</v>
      </c>
      <c r="D10557" s="2">
        <f t="shared" si="164"/>
        <v>1</v>
      </c>
    </row>
    <row r="10558" spans="1:4" x14ac:dyDescent="0.3">
      <c r="A10558" s="34">
        <v>65985</v>
      </c>
      <c r="B10558" s="35">
        <v>1</v>
      </c>
      <c r="C10558" s="35">
        <v>0</v>
      </c>
      <c r="D10558" s="2">
        <f t="shared" si="164"/>
        <v>1</v>
      </c>
    </row>
    <row r="10559" spans="1:4" x14ac:dyDescent="0.3">
      <c r="A10559" s="34">
        <v>65987</v>
      </c>
      <c r="B10559" s="35">
        <v>1</v>
      </c>
      <c r="C10559" s="35">
        <v>0</v>
      </c>
      <c r="D10559" s="2">
        <f t="shared" si="164"/>
        <v>1</v>
      </c>
    </row>
    <row r="10560" spans="1:4" x14ac:dyDescent="0.3">
      <c r="A10560" s="34">
        <v>65988</v>
      </c>
      <c r="B10560" s="35">
        <v>1</v>
      </c>
      <c r="C10560" s="35">
        <v>0</v>
      </c>
      <c r="D10560" s="2">
        <f t="shared" si="164"/>
        <v>1</v>
      </c>
    </row>
    <row r="10561" spans="1:4" x14ac:dyDescent="0.3">
      <c r="A10561" s="34">
        <v>65991</v>
      </c>
      <c r="B10561" s="35">
        <v>1</v>
      </c>
      <c r="C10561" s="35">
        <v>0</v>
      </c>
      <c r="D10561" s="2">
        <f t="shared" si="164"/>
        <v>1</v>
      </c>
    </row>
    <row r="10562" spans="1:4" x14ac:dyDescent="0.3">
      <c r="A10562" s="34">
        <v>65994</v>
      </c>
      <c r="B10562" s="35">
        <v>1</v>
      </c>
      <c r="C10562" s="35">
        <v>0</v>
      </c>
      <c r="D10562" s="2">
        <f t="shared" si="164"/>
        <v>1</v>
      </c>
    </row>
    <row r="10563" spans="1:4" x14ac:dyDescent="0.3">
      <c r="A10563" s="34">
        <v>65998</v>
      </c>
      <c r="B10563" s="35">
        <v>1</v>
      </c>
      <c r="C10563" s="35">
        <v>0</v>
      </c>
      <c r="D10563" s="2">
        <f t="shared" ref="D10563:D10626" si="165">B10563+C10563</f>
        <v>1</v>
      </c>
    </row>
    <row r="10564" spans="1:4" x14ac:dyDescent="0.3">
      <c r="A10564" s="34">
        <v>65999</v>
      </c>
      <c r="B10564" s="35">
        <v>2</v>
      </c>
      <c r="C10564" s="35">
        <v>1</v>
      </c>
      <c r="D10564" s="2">
        <f t="shared" si="165"/>
        <v>3</v>
      </c>
    </row>
    <row r="10565" spans="1:4" x14ac:dyDescent="0.3">
      <c r="A10565" s="34">
        <v>66000</v>
      </c>
      <c r="B10565" s="35">
        <v>1</v>
      </c>
      <c r="C10565" s="35">
        <v>0</v>
      </c>
      <c r="D10565" s="2">
        <f t="shared" si="165"/>
        <v>1</v>
      </c>
    </row>
    <row r="10566" spans="1:4" x14ac:dyDescent="0.3">
      <c r="A10566" s="34">
        <v>66012</v>
      </c>
      <c r="B10566" s="35">
        <v>1</v>
      </c>
      <c r="C10566" s="35">
        <v>0</v>
      </c>
      <c r="D10566" s="2">
        <f t="shared" si="165"/>
        <v>1</v>
      </c>
    </row>
    <row r="10567" spans="1:4" x14ac:dyDescent="0.3">
      <c r="A10567" s="34">
        <v>66013</v>
      </c>
      <c r="B10567" s="35">
        <v>2</v>
      </c>
      <c r="C10567" s="35">
        <v>1</v>
      </c>
      <c r="D10567" s="2">
        <f t="shared" si="165"/>
        <v>3</v>
      </c>
    </row>
    <row r="10568" spans="1:4" x14ac:dyDescent="0.3">
      <c r="A10568" s="34">
        <v>66014</v>
      </c>
      <c r="B10568" s="35">
        <v>1</v>
      </c>
      <c r="C10568" s="35">
        <v>0</v>
      </c>
      <c r="D10568" s="2">
        <f t="shared" si="165"/>
        <v>1</v>
      </c>
    </row>
    <row r="10569" spans="1:4" x14ac:dyDescent="0.3">
      <c r="A10569" s="34">
        <v>66016</v>
      </c>
      <c r="B10569" s="35">
        <v>1</v>
      </c>
      <c r="C10569" s="35">
        <v>0</v>
      </c>
      <c r="D10569" s="2">
        <f t="shared" si="165"/>
        <v>1</v>
      </c>
    </row>
    <row r="10570" spans="1:4" x14ac:dyDescent="0.3">
      <c r="A10570" s="34">
        <v>66017</v>
      </c>
      <c r="B10570" s="35">
        <v>1</v>
      </c>
      <c r="C10570" s="35">
        <v>0</v>
      </c>
      <c r="D10570" s="2">
        <f t="shared" si="165"/>
        <v>1</v>
      </c>
    </row>
    <row r="10571" spans="1:4" x14ac:dyDescent="0.3">
      <c r="A10571" s="34">
        <v>66018</v>
      </c>
      <c r="B10571" s="35">
        <v>1</v>
      </c>
      <c r="C10571" s="35">
        <v>0</v>
      </c>
      <c r="D10571" s="2">
        <f t="shared" si="165"/>
        <v>1</v>
      </c>
    </row>
    <row r="10572" spans="1:4" x14ac:dyDescent="0.3">
      <c r="A10572" s="34">
        <v>66019</v>
      </c>
      <c r="B10572" s="35">
        <v>1</v>
      </c>
      <c r="C10572" s="35">
        <v>0</v>
      </c>
      <c r="D10572" s="2">
        <f t="shared" si="165"/>
        <v>1</v>
      </c>
    </row>
    <row r="10573" spans="1:4" x14ac:dyDescent="0.3">
      <c r="A10573" s="34">
        <v>66021</v>
      </c>
      <c r="B10573" s="35">
        <v>1</v>
      </c>
      <c r="C10573" s="35">
        <v>0</v>
      </c>
      <c r="D10573" s="2">
        <f t="shared" si="165"/>
        <v>1</v>
      </c>
    </row>
    <row r="10574" spans="1:4" x14ac:dyDescent="0.3">
      <c r="A10574" s="34">
        <v>66022</v>
      </c>
      <c r="B10574" s="35">
        <v>1</v>
      </c>
      <c r="C10574" s="35">
        <v>0</v>
      </c>
      <c r="D10574" s="2">
        <f t="shared" si="165"/>
        <v>1</v>
      </c>
    </row>
    <row r="10575" spans="1:4" x14ac:dyDescent="0.3">
      <c r="A10575" s="34">
        <v>66025</v>
      </c>
      <c r="B10575" s="35">
        <v>1</v>
      </c>
      <c r="C10575" s="35">
        <v>1</v>
      </c>
      <c r="D10575" s="2">
        <f t="shared" si="165"/>
        <v>2</v>
      </c>
    </row>
    <row r="10576" spans="1:4" x14ac:dyDescent="0.3">
      <c r="A10576" s="34">
        <v>66031</v>
      </c>
      <c r="B10576" s="35">
        <v>1</v>
      </c>
      <c r="C10576" s="35">
        <v>0</v>
      </c>
      <c r="D10576" s="2">
        <f t="shared" si="165"/>
        <v>1</v>
      </c>
    </row>
    <row r="10577" spans="1:4" x14ac:dyDescent="0.3">
      <c r="A10577" s="34">
        <v>66033</v>
      </c>
      <c r="B10577" s="35">
        <v>1</v>
      </c>
      <c r="C10577" s="35">
        <v>0</v>
      </c>
      <c r="D10577" s="2">
        <f t="shared" si="165"/>
        <v>1</v>
      </c>
    </row>
    <row r="10578" spans="1:4" x14ac:dyDescent="0.3">
      <c r="A10578" s="34">
        <v>66034</v>
      </c>
      <c r="B10578" s="35">
        <v>1</v>
      </c>
      <c r="C10578" s="35">
        <v>0</v>
      </c>
      <c r="D10578" s="2">
        <f t="shared" si="165"/>
        <v>1</v>
      </c>
    </row>
    <row r="10579" spans="1:4" x14ac:dyDescent="0.3">
      <c r="A10579" s="34">
        <v>66036</v>
      </c>
      <c r="B10579" s="35">
        <v>1</v>
      </c>
      <c r="C10579" s="35">
        <v>0</v>
      </c>
      <c r="D10579" s="2">
        <f t="shared" si="165"/>
        <v>1</v>
      </c>
    </row>
    <row r="10580" spans="1:4" x14ac:dyDescent="0.3">
      <c r="A10580" s="34">
        <v>66038</v>
      </c>
      <c r="B10580" s="35">
        <v>1</v>
      </c>
      <c r="C10580" s="35">
        <v>0</v>
      </c>
      <c r="D10580" s="2">
        <f t="shared" si="165"/>
        <v>1</v>
      </c>
    </row>
    <row r="10581" spans="1:4" x14ac:dyDescent="0.3">
      <c r="A10581" s="34">
        <v>66039</v>
      </c>
      <c r="B10581" s="35">
        <v>1</v>
      </c>
      <c r="C10581" s="35">
        <v>0</v>
      </c>
      <c r="D10581" s="2">
        <f t="shared" si="165"/>
        <v>1</v>
      </c>
    </row>
    <row r="10582" spans="1:4" x14ac:dyDescent="0.3">
      <c r="A10582" s="34">
        <v>66041</v>
      </c>
      <c r="B10582" s="35">
        <v>1</v>
      </c>
      <c r="C10582" s="35">
        <v>0</v>
      </c>
      <c r="D10582" s="2">
        <f t="shared" si="165"/>
        <v>1</v>
      </c>
    </row>
    <row r="10583" spans="1:4" x14ac:dyDescent="0.3">
      <c r="A10583" s="34">
        <v>66043</v>
      </c>
      <c r="B10583" s="35">
        <v>1</v>
      </c>
      <c r="C10583" s="35">
        <v>0</v>
      </c>
      <c r="D10583" s="2">
        <f t="shared" si="165"/>
        <v>1</v>
      </c>
    </row>
    <row r="10584" spans="1:4" x14ac:dyDescent="0.3">
      <c r="A10584" s="34">
        <v>66048</v>
      </c>
      <c r="B10584" s="35">
        <v>1</v>
      </c>
      <c r="C10584" s="35">
        <v>0</v>
      </c>
      <c r="D10584" s="2">
        <f t="shared" si="165"/>
        <v>1</v>
      </c>
    </row>
    <row r="10585" spans="1:4" x14ac:dyDescent="0.3">
      <c r="A10585" s="34">
        <v>66051</v>
      </c>
      <c r="B10585" s="35">
        <v>1</v>
      </c>
      <c r="C10585" s="35">
        <v>0</v>
      </c>
      <c r="D10585" s="2">
        <f t="shared" si="165"/>
        <v>1</v>
      </c>
    </row>
    <row r="10586" spans="1:4" x14ac:dyDescent="0.3">
      <c r="A10586" s="34">
        <v>66071</v>
      </c>
      <c r="B10586" s="35">
        <v>1</v>
      </c>
      <c r="C10586" s="35">
        <v>0</v>
      </c>
      <c r="D10586" s="2">
        <f t="shared" si="165"/>
        <v>1</v>
      </c>
    </row>
    <row r="10587" spans="1:4" x14ac:dyDescent="0.3">
      <c r="A10587" s="34">
        <v>66076</v>
      </c>
      <c r="B10587" s="35">
        <v>1</v>
      </c>
      <c r="C10587" s="35">
        <v>0</v>
      </c>
      <c r="D10587" s="2">
        <f t="shared" si="165"/>
        <v>1</v>
      </c>
    </row>
    <row r="10588" spans="1:4" x14ac:dyDescent="0.3">
      <c r="A10588" s="34">
        <v>66078</v>
      </c>
      <c r="B10588" s="35">
        <v>1</v>
      </c>
      <c r="C10588" s="35">
        <v>1</v>
      </c>
      <c r="D10588" s="2">
        <f t="shared" si="165"/>
        <v>2</v>
      </c>
    </row>
    <row r="10589" spans="1:4" x14ac:dyDescent="0.3">
      <c r="A10589" s="34">
        <v>66080</v>
      </c>
      <c r="B10589" s="35">
        <v>1</v>
      </c>
      <c r="C10589" s="35">
        <v>0</v>
      </c>
      <c r="D10589" s="2">
        <f t="shared" si="165"/>
        <v>1</v>
      </c>
    </row>
    <row r="10590" spans="1:4" x14ac:dyDescent="0.3">
      <c r="A10590" s="34">
        <v>66083</v>
      </c>
      <c r="B10590" s="35">
        <v>1</v>
      </c>
      <c r="C10590" s="35">
        <v>0</v>
      </c>
      <c r="D10590" s="2">
        <f t="shared" si="165"/>
        <v>1</v>
      </c>
    </row>
    <row r="10591" spans="1:4" x14ac:dyDescent="0.3">
      <c r="A10591" s="34">
        <v>66086</v>
      </c>
      <c r="B10591" s="35">
        <v>1</v>
      </c>
      <c r="C10591" s="35">
        <v>1</v>
      </c>
      <c r="D10591" s="2">
        <f t="shared" si="165"/>
        <v>2</v>
      </c>
    </row>
    <row r="10592" spans="1:4" x14ac:dyDescent="0.3">
      <c r="A10592" s="34">
        <v>66088</v>
      </c>
      <c r="B10592" s="35">
        <v>1</v>
      </c>
      <c r="C10592" s="35">
        <v>0</v>
      </c>
      <c r="D10592" s="2">
        <f t="shared" si="165"/>
        <v>1</v>
      </c>
    </row>
    <row r="10593" spans="1:4" x14ac:dyDescent="0.3">
      <c r="A10593" s="34">
        <v>66091</v>
      </c>
      <c r="B10593" s="35">
        <v>1</v>
      </c>
      <c r="C10593" s="35">
        <v>0</v>
      </c>
      <c r="D10593" s="2">
        <f t="shared" si="165"/>
        <v>1</v>
      </c>
    </row>
    <row r="10594" spans="1:4" x14ac:dyDescent="0.3">
      <c r="A10594" s="34">
        <v>66092</v>
      </c>
      <c r="B10594" s="35">
        <v>1</v>
      </c>
      <c r="C10594" s="35">
        <v>0</v>
      </c>
      <c r="D10594" s="2">
        <f t="shared" si="165"/>
        <v>1</v>
      </c>
    </row>
    <row r="10595" spans="1:4" x14ac:dyDescent="0.3">
      <c r="A10595" s="34">
        <v>66094</v>
      </c>
      <c r="B10595" s="35">
        <v>1</v>
      </c>
      <c r="C10595" s="35">
        <v>0</v>
      </c>
      <c r="D10595" s="2">
        <f t="shared" si="165"/>
        <v>1</v>
      </c>
    </row>
    <row r="10596" spans="1:4" x14ac:dyDescent="0.3">
      <c r="A10596" s="34">
        <v>66095</v>
      </c>
      <c r="B10596" s="35">
        <v>1</v>
      </c>
      <c r="C10596" s="35">
        <v>1</v>
      </c>
      <c r="D10596" s="2">
        <f t="shared" si="165"/>
        <v>2</v>
      </c>
    </row>
    <row r="10597" spans="1:4" x14ac:dyDescent="0.3">
      <c r="A10597" s="34">
        <v>66096</v>
      </c>
      <c r="B10597" s="35">
        <v>1</v>
      </c>
      <c r="C10597" s="35">
        <v>0</v>
      </c>
      <c r="D10597" s="2">
        <f t="shared" si="165"/>
        <v>1</v>
      </c>
    </row>
    <row r="10598" spans="1:4" x14ac:dyDescent="0.3">
      <c r="A10598" s="34">
        <v>66097</v>
      </c>
      <c r="B10598" s="35">
        <v>1</v>
      </c>
      <c r="C10598" s="35">
        <v>0</v>
      </c>
      <c r="D10598" s="2">
        <f t="shared" si="165"/>
        <v>1</v>
      </c>
    </row>
    <row r="10599" spans="1:4" x14ac:dyDescent="0.3">
      <c r="A10599" s="34">
        <v>66098</v>
      </c>
      <c r="B10599" s="35">
        <v>1</v>
      </c>
      <c r="C10599" s="35">
        <v>1</v>
      </c>
      <c r="D10599" s="2">
        <f t="shared" si="165"/>
        <v>2</v>
      </c>
    </row>
    <row r="10600" spans="1:4" x14ac:dyDescent="0.3">
      <c r="A10600" s="34">
        <v>66099</v>
      </c>
      <c r="B10600" s="35">
        <v>1</v>
      </c>
      <c r="C10600" s="35">
        <v>0</v>
      </c>
      <c r="D10600" s="2">
        <f t="shared" si="165"/>
        <v>1</v>
      </c>
    </row>
    <row r="10601" spans="1:4" x14ac:dyDescent="0.3">
      <c r="A10601" s="34">
        <v>66101</v>
      </c>
      <c r="B10601" s="35">
        <v>1</v>
      </c>
      <c r="C10601" s="35">
        <v>0</v>
      </c>
      <c r="D10601" s="2">
        <f t="shared" si="165"/>
        <v>1</v>
      </c>
    </row>
    <row r="10602" spans="1:4" x14ac:dyDescent="0.3">
      <c r="A10602" s="34">
        <v>66102</v>
      </c>
      <c r="B10602" s="35">
        <v>1</v>
      </c>
      <c r="C10602" s="35">
        <v>0</v>
      </c>
      <c r="D10602" s="2">
        <f t="shared" si="165"/>
        <v>1</v>
      </c>
    </row>
    <row r="10603" spans="1:4" x14ac:dyDescent="0.3">
      <c r="A10603" s="34">
        <v>66104</v>
      </c>
      <c r="B10603" s="35">
        <v>1</v>
      </c>
      <c r="C10603" s="35">
        <v>0</v>
      </c>
      <c r="D10603" s="2">
        <f t="shared" si="165"/>
        <v>1</v>
      </c>
    </row>
    <row r="10604" spans="1:4" x14ac:dyDescent="0.3">
      <c r="A10604" s="34">
        <v>66106</v>
      </c>
      <c r="B10604" s="35">
        <v>1</v>
      </c>
      <c r="C10604" s="35">
        <v>1</v>
      </c>
      <c r="D10604" s="2">
        <f t="shared" si="165"/>
        <v>2</v>
      </c>
    </row>
    <row r="10605" spans="1:4" x14ac:dyDescent="0.3">
      <c r="A10605" s="34">
        <v>66108</v>
      </c>
      <c r="B10605" s="35">
        <v>1</v>
      </c>
      <c r="C10605" s="35">
        <v>1</v>
      </c>
      <c r="D10605" s="2">
        <f t="shared" si="165"/>
        <v>2</v>
      </c>
    </row>
    <row r="10606" spans="1:4" x14ac:dyDescent="0.3">
      <c r="A10606" s="34">
        <v>66110</v>
      </c>
      <c r="B10606" s="35">
        <v>1</v>
      </c>
      <c r="C10606" s="35">
        <v>1</v>
      </c>
      <c r="D10606" s="2">
        <f t="shared" si="165"/>
        <v>2</v>
      </c>
    </row>
    <row r="10607" spans="1:4" x14ac:dyDescent="0.3">
      <c r="A10607" s="34">
        <v>66111</v>
      </c>
      <c r="B10607" s="35">
        <v>1</v>
      </c>
      <c r="C10607" s="35">
        <v>1</v>
      </c>
      <c r="D10607" s="2">
        <f t="shared" si="165"/>
        <v>2</v>
      </c>
    </row>
    <row r="10608" spans="1:4" x14ac:dyDescent="0.3">
      <c r="A10608" s="34">
        <v>66112</v>
      </c>
      <c r="B10608" s="35">
        <v>1</v>
      </c>
      <c r="C10608" s="35">
        <v>0</v>
      </c>
      <c r="D10608" s="2">
        <f t="shared" si="165"/>
        <v>1</v>
      </c>
    </row>
    <row r="10609" spans="1:4" x14ac:dyDescent="0.3">
      <c r="A10609" s="34">
        <v>66114</v>
      </c>
      <c r="B10609" s="35">
        <v>1</v>
      </c>
      <c r="C10609" s="35">
        <v>0</v>
      </c>
      <c r="D10609" s="2">
        <f t="shared" si="165"/>
        <v>1</v>
      </c>
    </row>
    <row r="10610" spans="1:4" x14ac:dyDescent="0.3">
      <c r="A10610" s="34">
        <v>66115</v>
      </c>
      <c r="B10610" s="35">
        <v>1</v>
      </c>
      <c r="C10610" s="35">
        <v>0</v>
      </c>
      <c r="D10610" s="2">
        <f t="shared" si="165"/>
        <v>1</v>
      </c>
    </row>
    <row r="10611" spans="1:4" x14ac:dyDescent="0.3">
      <c r="A10611" s="34">
        <v>66117</v>
      </c>
      <c r="B10611" s="35">
        <v>2</v>
      </c>
      <c r="C10611" s="35">
        <v>0</v>
      </c>
      <c r="D10611" s="2">
        <f t="shared" si="165"/>
        <v>2</v>
      </c>
    </row>
    <row r="10612" spans="1:4" x14ac:dyDescent="0.3">
      <c r="A10612" s="34">
        <v>66122</v>
      </c>
      <c r="B10612" s="35">
        <v>1</v>
      </c>
      <c r="C10612" s="35">
        <v>0</v>
      </c>
      <c r="D10612" s="2">
        <f t="shared" si="165"/>
        <v>1</v>
      </c>
    </row>
    <row r="10613" spans="1:4" x14ac:dyDescent="0.3">
      <c r="A10613" s="34">
        <v>66124</v>
      </c>
      <c r="B10613" s="35">
        <v>1</v>
      </c>
      <c r="C10613" s="35">
        <v>0</v>
      </c>
      <c r="D10613" s="2">
        <f t="shared" si="165"/>
        <v>1</v>
      </c>
    </row>
    <row r="10614" spans="1:4" x14ac:dyDescent="0.3">
      <c r="A10614" s="34">
        <v>66126</v>
      </c>
      <c r="B10614" s="35">
        <v>1</v>
      </c>
      <c r="C10614" s="35">
        <v>0</v>
      </c>
      <c r="D10614" s="2">
        <f t="shared" si="165"/>
        <v>1</v>
      </c>
    </row>
    <row r="10615" spans="1:4" x14ac:dyDescent="0.3">
      <c r="A10615" s="34">
        <v>66127</v>
      </c>
      <c r="B10615" s="35">
        <v>1</v>
      </c>
      <c r="C10615" s="35">
        <v>0</v>
      </c>
      <c r="D10615" s="2">
        <f t="shared" si="165"/>
        <v>1</v>
      </c>
    </row>
    <row r="10616" spans="1:4" x14ac:dyDescent="0.3">
      <c r="A10616" s="34">
        <v>66128</v>
      </c>
      <c r="B10616" s="35">
        <v>1</v>
      </c>
      <c r="C10616" s="35">
        <v>0</v>
      </c>
      <c r="D10616" s="2">
        <f t="shared" si="165"/>
        <v>1</v>
      </c>
    </row>
    <row r="10617" spans="1:4" x14ac:dyDescent="0.3">
      <c r="A10617" s="34">
        <v>66129</v>
      </c>
      <c r="B10617" s="35">
        <v>1</v>
      </c>
      <c r="C10617" s="35">
        <v>0</v>
      </c>
      <c r="D10617" s="2">
        <f t="shared" si="165"/>
        <v>1</v>
      </c>
    </row>
    <row r="10618" spans="1:4" x14ac:dyDescent="0.3">
      <c r="A10618" s="34">
        <v>66130</v>
      </c>
      <c r="B10618" s="35">
        <v>1</v>
      </c>
      <c r="C10618" s="35">
        <v>0</v>
      </c>
      <c r="D10618" s="2">
        <f t="shared" si="165"/>
        <v>1</v>
      </c>
    </row>
    <row r="10619" spans="1:4" x14ac:dyDescent="0.3">
      <c r="A10619" s="34">
        <v>66131</v>
      </c>
      <c r="B10619" s="35">
        <v>1</v>
      </c>
      <c r="C10619" s="35">
        <v>0</v>
      </c>
      <c r="D10619" s="2">
        <f t="shared" si="165"/>
        <v>1</v>
      </c>
    </row>
    <row r="10620" spans="1:4" x14ac:dyDescent="0.3">
      <c r="A10620" s="34">
        <v>66133</v>
      </c>
      <c r="B10620" s="35">
        <v>1</v>
      </c>
      <c r="C10620" s="35">
        <v>0</v>
      </c>
      <c r="D10620" s="2">
        <f t="shared" si="165"/>
        <v>1</v>
      </c>
    </row>
    <row r="10621" spans="1:4" x14ac:dyDescent="0.3">
      <c r="A10621" s="34">
        <v>66134</v>
      </c>
      <c r="B10621" s="35">
        <v>1</v>
      </c>
      <c r="C10621" s="35">
        <v>0</v>
      </c>
      <c r="D10621" s="2">
        <f t="shared" si="165"/>
        <v>1</v>
      </c>
    </row>
    <row r="10622" spans="1:4" x14ac:dyDescent="0.3">
      <c r="A10622" s="34">
        <v>66137</v>
      </c>
      <c r="B10622" s="35">
        <v>1</v>
      </c>
      <c r="C10622" s="35">
        <v>0</v>
      </c>
      <c r="D10622" s="2">
        <f t="shared" si="165"/>
        <v>1</v>
      </c>
    </row>
    <row r="10623" spans="1:4" x14ac:dyDescent="0.3">
      <c r="A10623" s="34">
        <v>66138</v>
      </c>
      <c r="B10623" s="35">
        <v>1</v>
      </c>
      <c r="C10623" s="35">
        <v>0</v>
      </c>
      <c r="D10623" s="2">
        <f t="shared" si="165"/>
        <v>1</v>
      </c>
    </row>
    <row r="10624" spans="1:4" x14ac:dyDescent="0.3">
      <c r="A10624" s="34">
        <v>66142</v>
      </c>
      <c r="B10624" s="35">
        <v>1</v>
      </c>
      <c r="C10624" s="35">
        <v>0</v>
      </c>
      <c r="D10624" s="2">
        <f t="shared" si="165"/>
        <v>1</v>
      </c>
    </row>
    <row r="10625" spans="1:4" x14ac:dyDescent="0.3">
      <c r="A10625" s="34">
        <v>66143</v>
      </c>
      <c r="B10625" s="35">
        <v>1</v>
      </c>
      <c r="C10625" s="35">
        <v>0</v>
      </c>
      <c r="D10625" s="2">
        <f t="shared" si="165"/>
        <v>1</v>
      </c>
    </row>
    <row r="10626" spans="1:4" x14ac:dyDescent="0.3">
      <c r="A10626" s="34">
        <v>66145</v>
      </c>
      <c r="B10626" s="35">
        <v>1</v>
      </c>
      <c r="C10626" s="35">
        <v>0</v>
      </c>
      <c r="D10626" s="2">
        <f t="shared" si="165"/>
        <v>1</v>
      </c>
    </row>
    <row r="10627" spans="1:4" x14ac:dyDescent="0.3">
      <c r="A10627" s="34">
        <v>66146</v>
      </c>
      <c r="B10627" s="35">
        <v>1</v>
      </c>
      <c r="C10627" s="35">
        <v>0</v>
      </c>
      <c r="D10627" s="2">
        <f t="shared" ref="D10627:D10690" si="166">B10627+C10627</f>
        <v>1</v>
      </c>
    </row>
    <row r="10628" spans="1:4" x14ac:dyDescent="0.3">
      <c r="A10628" s="34">
        <v>66151</v>
      </c>
      <c r="B10628" s="35">
        <v>1</v>
      </c>
      <c r="C10628" s="35">
        <v>0</v>
      </c>
      <c r="D10628" s="2">
        <f t="shared" si="166"/>
        <v>1</v>
      </c>
    </row>
    <row r="10629" spans="1:4" x14ac:dyDescent="0.3">
      <c r="A10629" s="34">
        <v>66152</v>
      </c>
      <c r="B10629" s="35">
        <v>1</v>
      </c>
      <c r="C10629" s="35">
        <v>1</v>
      </c>
      <c r="D10629" s="2">
        <f t="shared" si="166"/>
        <v>2</v>
      </c>
    </row>
    <row r="10630" spans="1:4" x14ac:dyDescent="0.3">
      <c r="A10630" s="34">
        <v>66153</v>
      </c>
      <c r="B10630" s="35">
        <v>1</v>
      </c>
      <c r="C10630" s="35">
        <v>0</v>
      </c>
      <c r="D10630" s="2">
        <f t="shared" si="166"/>
        <v>1</v>
      </c>
    </row>
    <row r="10631" spans="1:4" x14ac:dyDescent="0.3">
      <c r="A10631" s="34">
        <v>66157</v>
      </c>
      <c r="B10631" s="35">
        <v>1</v>
      </c>
      <c r="C10631" s="35">
        <v>0</v>
      </c>
      <c r="D10631" s="2">
        <f t="shared" si="166"/>
        <v>1</v>
      </c>
    </row>
    <row r="10632" spans="1:4" x14ac:dyDescent="0.3">
      <c r="A10632" s="34">
        <v>66158</v>
      </c>
      <c r="B10632" s="35">
        <v>1</v>
      </c>
      <c r="C10632" s="35">
        <v>0</v>
      </c>
      <c r="D10632" s="2">
        <f t="shared" si="166"/>
        <v>1</v>
      </c>
    </row>
    <row r="10633" spans="1:4" x14ac:dyDescent="0.3">
      <c r="A10633" s="34">
        <v>66159</v>
      </c>
      <c r="B10633" s="35">
        <v>1</v>
      </c>
      <c r="C10633" s="35">
        <v>1</v>
      </c>
      <c r="D10633" s="2">
        <f t="shared" si="166"/>
        <v>2</v>
      </c>
    </row>
    <row r="10634" spans="1:4" x14ac:dyDescent="0.3">
      <c r="A10634" s="34">
        <v>66161</v>
      </c>
      <c r="B10634" s="35">
        <v>1</v>
      </c>
      <c r="C10634" s="35">
        <v>0</v>
      </c>
      <c r="D10634" s="2">
        <f t="shared" si="166"/>
        <v>1</v>
      </c>
    </row>
    <row r="10635" spans="1:4" x14ac:dyDescent="0.3">
      <c r="A10635" s="34">
        <v>66163</v>
      </c>
      <c r="B10635" s="35">
        <v>2</v>
      </c>
      <c r="C10635" s="35">
        <v>1</v>
      </c>
      <c r="D10635" s="2">
        <f t="shared" si="166"/>
        <v>3</v>
      </c>
    </row>
    <row r="10636" spans="1:4" x14ac:dyDescent="0.3">
      <c r="A10636" s="34">
        <v>66164</v>
      </c>
      <c r="B10636" s="35">
        <v>1</v>
      </c>
      <c r="C10636" s="35">
        <v>0</v>
      </c>
      <c r="D10636" s="2">
        <f t="shared" si="166"/>
        <v>1</v>
      </c>
    </row>
    <row r="10637" spans="1:4" x14ac:dyDescent="0.3">
      <c r="A10637" s="34">
        <v>66165</v>
      </c>
      <c r="B10637" s="35">
        <v>1</v>
      </c>
      <c r="C10637" s="35">
        <v>0</v>
      </c>
      <c r="D10637" s="2">
        <f t="shared" si="166"/>
        <v>1</v>
      </c>
    </row>
    <row r="10638" spans="1:4" x14ac:dyDescent="0.3">
      <c r="A10638" s="34">
        <v>66166</v>
      </c>
      <c r="B10638" s="35">
        <v>1</v>
      </c>
      <c r="C10638" s="35">
        <v>0</v>
      </c>
      <c r="D10638" s="2">
        <f t="shared" si="166"/>
        <v>1</v>
      </c>
    </row>
    <row r="10639" spans="1:4" x14ac:dyDescent="0.3">
      <c r="A10639" s="34">
        <v>66167</v>
      </c>
      <c r="B10639" s="35">
        <v>1</v>
      </c>
      <c r="C10639" s="35">
        <v>0</v>
      </c>
      <c r="D10639" s="2">
        <f t="shared" si="166"/>
        <v>1</v>
      </c>
    </row>
    <row r="10640" spans="1:4" x14ac:dyDescent="0.3">
      <c r="A10640" s="34">
        <v>66168</v>
      </c>
      <c r="B10640" s="35">
        <v>1</v>
      </c>
      <c r="C10640" s="35">
        <v>1</v>
      </c>
      <c r="D10640" s="2">
        <f t="shared" si="166"/>
        <v>2</v>
      </c>
    </row>
    <row r="10641" spans="1:4" x14ac:dyDescent="0.3">
      <c r="A10641" s="34">
        <v>66169</v>
      </c>
      <c r="B10641" s="35">
        <v>1</v>
      </c>
      <c r="C10641" s="35">
        <v>1</v>
      </c>
      <c r="D10641" s="2">
        <f t="shared" si="166"/>
        <v>2</v>
      </c>
    </row>
    <row r="10642" spans="1:4" x14ac:dyDescent="0.3">
      <c r="A10642" s="34">
        <v>66171</v>
      </c>
      <c r="B10642" s="35">
        <v>1</v>
      </c>
      <c r="C10642" s="35">
        <v>0</v>
      </c>
      <c r="D10642" s="2">
        <f t="shared" si="166"/>
        <v>1</v>
      </c>
    </row>
    <row r="10643" spans="1:4" x14ac:dyDescent="0.3">
      <c r="A10643" s="34">
        <v>66172</v>
      </c>
      <c r="B10643" s="35">
        <v>1</v>
      </c>
      <c r="C10643" s="35">
        <v>1</v>
      </c>
      <c r="D10643" s="2">
        <f t="shared" si="166"/>
        <v>2</v>
      </c>
    </row>
    <row r="10644" spans="1:4" x14ac:dyDescent="0.3">
      <c r="A10644" s="34">
        <v>66173</v>
      </c>
      <c r="B10644" s="35">
        <v>1</v>
      </c>
      <c r="C10644" s="35">
        <v>0</v>
      </c>
      <c r="D10644" s="2">
        <f t="shared" si="166"/>
        <v>1</v>
      </c>
    </row>
    <row r="10645" spans="1:4" x14ac:dyDescent="0.3">
      <c r="A10645" s="34">
        <v>66174</v>
      </c>
      <c r="B10645" s="35">
        <v>1</v>
      </c>
      <c r="C10645" s="35">
        <v>0</v>
      </c>
      <c r="D10645" s="2">
        <f t="shared" si="166"/>
        <v>1</v>
      </c>
    </row>
    <row r="10646" spans="1:4" x14ac:dyDescent="0.3">
      <c r="A10646" s="34">
        <v>66213</v>
      </c>
      <c r="B10646" s="35">
        <v>1</v>
      </c>
      <c r="C10646" s="35">
        <v>0</v>
      </c>
      <c r="D10646" s="2">
        <f t="shared" si="166"/>
        <v>1</v>
      </c>
    </row>
    <row r="10647" spans="1:4" x14ac:dyDescent="0.3">
      <c r="A10647" s="34">
        <v>66214</v>
      </c>
      <c r="B10647" s="35">
        <v>1</v>
      </c>
      <c r="C10647" s="35">
        <v>0</v>
      </c>
      <c r="D10647" s="2">
        <f t="shared" si="166"/>
        <v>1</v>
      </c>
    </row>
    <row r="10648" spans="1:4" x14ac:dyDescent="0.3">
      <c r="A10648" s="34">
        <v>66216</v>
      </c>
      <c r="B10648" s="35">
        <v>1</v>
      </c>
      <c r="C10648" s="35">
        <v>1</v>
      </c>
      <c r="D10648" s="2">
        <f t="shared" si="166"/>
        <v>2</v>
      </c>
    </row>
    <row r="10649" spans="1:4" x14ac:dyDescent="0.3">
      <c r="A10649" s="34">
        <v>66218</v>
      </c>
      <c r="B10649" s="35">
        <v>1</v>
      </c>
      <c r="C10649" s="35">
        <v>0</v>
      </c>
      <c r="D10649" s="2">
        <f t="shared" si="166"/>
        <v>1</v>
      </c>
    </row>
    <row r="10650" spans="1:4" x14ac:dyDescent="0.3">
      <c r="A10650" s="34">
        <v>66219</v>
      </c>
      <c r="B10650" s="35">
        <v>1</v>
      </c>
      <c r="C10650" s="35">
        <v>0</v>
      </c>
      <c r="D10650" s="2">
        <f t="shared" si="166"/>
        <v>1</v>
      </c>
    </row>
    <row r="10651" spans="1:4" x14ac:dyDescent="0.3">
      <c r="A10651" s="34">
        <v>66220</v>
      </c>
      <c r="B10651" s="35">
        <v>1</v>
      </c>
      <c r="C10651" s="35">
        <v>0</v>
      </c>
      <c r="D10651" s="2">
        <f t="shared" si="166"/>
        <v>1</v>
      </c>
    </row>
    <row r="10652" spans="1:4" x14ac:dyDescent="0.3">
      <c r="A10652" s="34">
        <v>66221</v>
      </c>
      <c r="B10652" s="35">
        <v>1</v>
      </c>
      <c r="C10652" s="35">
        <v>0</v>
      </c>
      <c r="D10652" s="2">
        <f t="shared" si="166"/>
        <v>1</v>
      </c>
    </row>
    <row r="10653" spans="1:4" x14ac:dyDescent="0.3">
      <c r="A10653" s="34">
        <v>66222</v>
      </c>
      <c r="B10653" s="35">
        <v>1</v>
      </c>
      <c r="C10653" s="35">
        <v>0</v>
      </c>
      <c r="D10653" s="2">
        <f t="shared" si="166"/>
        <v>1</v>
      </c>
    </row>
    <row r="10654" spans="1:4" x14ac:dyDescent="0.3">
      <c r="A10654" s="34">
        <v>66223</v>
      </c>
      <c r="B10654" s="35">
        <v>1</v>
      </c>
      <c r="C10654" s="35">
        <v>0</v>
      </c>
      <c r="D10654" s="2">
        <f t="shared" si="166"/>
        <v>1</v>
      </c>
    </row>
    <row r="10655" spans="1:4" x14ac:dyDescent="0.3">
      <c r="A10655" s="34">
        <v>66228</v>
      </c>
      <c r="B10655" s="35">
        <v>1</v>
      </c>
      <c r="C10655" s="35">
        <v>1</v>
      </c>
      <c r="D10655" s="2">
        <f t="shared" si="166"/>
        <v>2</v>
      </c>
    </row>
    <row r="10656" spans="1:4" x14ac:dyDescent="0.3">
      <c r="A10656" s="34">
        <v>66232</v>
      </c>
      <c r="B10656" s="35">
        <v>1</v>
      </c>
      <c r="C10656" s="35">
        <v>0</v>
      </c>
      <c r="D10656" s="2">
        <f t="shared" si="166"/>
        <v>1</v>
      </c>
    </row>
    <row r="10657" spans="1:4" x14ac:dyDescent="0.3">
      <c r="A10657" s="34">
        <v>66233</v>
      </c>
      <c r="B10657" s="35">
        <v>1</v>
      </c>
      <c r="C10657" s="35">
        <v>0</v>
      </c>
      <c r="D10657" s="2">
        <f t="shared" si="166"/>
        <v>1</v>
      </c>
    </row>
    <row r="10658" spans="1:4" x14ac:dyDescent="0.3">
      <c r="A10658" s="34">
        <v>66234</v>
      </c>
      <c r="B10658" s="35">
        <v>1</v>
      </c>
      <c r="C10658" s="35">
        <v>0</v>
      </c>
      <c r="D10658" s="2">
        <f t="shared" si="166"/>
        <v>1</v>
      </c>
    </row>
    <row r="10659" spans="1:4" x14ac:dyDescent="0.3">
      <c r="A10659" s="34">
        <v>66235</v>
      </c>
      <c r="B10659" s="35">
        <v>1</v>
      </c>
      <c r="C10659" s="35">
        <v>0</v>
      </c>
      <c r="D10659" s="2">
        <f t="shared" si="166"/>
        <v>1</v>
      </c>
    </row>
    <row r="10660" spans="1:4" x14ac:dyDescent="0.3">
      <c r="A10660" s="34">
        <v>66237</v>
      </c>
      <c r="B10660" s="35">
        <v>1</v>
      </c>
      <c r="C10660" s="35">
        <v>0</v>
      </c>
      <c r="D10660" s="2">
        <f t="shared" si="166"/>
        <v>1</v>
      </c>
    </row>
    <row r="10661" spans="1:4" x14ac:dyDescent="0.3">
      <c r="A10661" s="34">
        <v>66239</v>
      </c>
      <c r="B10661" s="35">
        <v>1</v>
      </c>
      <c r="C10661" s="35">
        <v>0</v>
      </c>
      <c r="D10661" s="2">
        <f t="shared" si="166"/>
        <v>1</v>
      </c>
    </row>
    <row r="10662" spans="1:4" x14ac:dyDescent="0.3">
      <c r="A10662" s="34">
        <v>66240</v>
      </c>
      <c r="B10662" s="35">
        <v>1</v>
      </c>
      <c r="C10662" s="35">
        <v>0</v>
      </c>
      <c r="D10662" s="2">
        <f t="shared" si="166"/>
        <v>1</v>
      </c>
    </row>
    <row r="10663" spans="1:4" x14ac:dyDescent="0.3">
      <c r="A10663" s="34">
        <v>66241</v>
      </c>
      <c r="B10663" s="35">
        <v>1</v>
      </c>
      <c r="C10663" s="35">
        <v>0</v>
      </c>
      <c r="D10663" s="2">
        <f t="shared" si="166"/>
        <v>1</v>
      </c>
    </row>
    <row r="10664" spans="1:4" x14ac:dyDescent="0.3">
      <c r="A10664" s="34">
        <v>66242</v>
      </c>
      <c r="B10664" s="35">
        <v>1</v>
      </c>
      <c r="C10664" s="35">
        <v>0</v>
      </c>
      <c r="D10664" s="2">
        <f t="shared" si="166"/>
        <v>1</v>
      </c>
    </row>
    <row r="10665" spans="1:4" x14ac:dyDescent="0.3">
      <c r="A10665" s="34">
        <v>66243</v>
      </c>
      <c r="B10665" s="35">
        <v>1</v>
      </c>
      <c r="C10665" s="35">
        <v>1</v>
      </c>
      <c r="D10665" s="2">
        <f t="shared" si="166"/>
        <v>2</v>
      </c>
    </row>
    <row r="10666" spans="1:4" x14ac:dyDescent="0.3">
      <c r="A10666" s="34">
        <v>66244</v>
      </c>
      <c r="B10666" s="35">
        <v>1</v>
      </c>
      <c r="C10666" s="35">
        <v>1</v>
      </c>
      <c r="D10666" s="2">
        <f t="shared" si="166"/>
        <v>2</v>
      </c>
    </row>
    <row r="10667" spans="1:4" x14ac:dyDescent="0.3">
      <c r="A10667" s="34">
        <v>66271</v>
      </c>
      <c r="B10667" s="35">
        <v>1</v>
      </c>
      <c r="C10667" s="35">
        <v>1</v>
      </c>
      <c r="D10667" s="2">
        <f t="shared" si="166"/>
        <v>2</v>
      </c>
    </row>
    <row r="10668" spans="1:4" x14ac:dyDescent="0.3">
      <c r="A10668" s="34">
        <v>66272</v>
      </c>
      <c r="B10668" s="35">
        <v>1</v>
      </c>
      <c r="C10668" s="35">
        <v>0</v>
      </c>
      <c r="D10668" s="2">
        <f t="shared" si="166"/>
        <v>1</v>
      </c>
    </row>
    <row r="10669" spans="1:4" x14ac:dyDescent="0.3">
      <c r="A10669" s="34">
        <v>66279</v>
      </c>
      <c r="B10669" s="35">
        <v>1</v>
      </c>
      <c r="C10669" s="35">
        <v>1</v>
      </c>
      <c r="D10669" s="2">
        <f t="shared" si="166"/>
        <v>2</v>
      </c>
    </row>
    <row r="10670" spans="1:4" x14ac:dyDescent="0.3">
      <c r="A10670" s="34">
        <v>66283</v>
      </c>
      <c r="B10670" s="35">
        <v>1</v>
      </c>
      <c r="C10670" s="35">
        <v>0</v>
      </c>
      <c r="D10670" s="2">
        <f t="shared" si="166"/>
        <v>1</v>
      </c>
    </row>
    <row r="10671" spans="1:4" x14ac:dyDescent="0.3">
      <c r="A10671" s="34">
        <v>66285</v>
      </c>
      <c r="B10671" s="35">
        <v>1</v>
      </c>
      <c r="C10671" s="35">
        <v>0</v>
      </c>
      <c r="D10671" s="2">
        <f t="shared" si="166"/>
        <v>1</v>
      </c>
    </row>
    <row r="10672" spans="1:4" x14ac:dyDescent="0.3">
      <c r="A10672" s="34">
        <v>66288</v>
      </c>
      <c r="B10672" s="35">
        <v>1</v>
      </c>
      <c r="C10672" s="35">
        <v>0</v>
      </c>
      <c r="D10672" s="2">
        <f t="shared" si="166"/>
        <v>1</v>
      </c>
    </row>
    <row r="10673" spans="1:4" x14ac:dyDescent="0.3">
      <c r="A10673" s="34">
        <v>66289</v>
      </c>
      <c r="B10673" s="35">
        <v>1</v>
      </c>
      <c r="C10673" s="35">
        <v>0</v>
      </c>
      <c r="D10673" s="2">
        <f t="shared" si="166"/>
        <v>1</v>
      </c>
    </row>
    <row r="10674" spans="1:4" x14ac:dyDescent="0.3">
      <c r="A10674" s="34">
        <v>66291</v>
      </c>
      <c r="B10674" s="35">
        <v>1</v>
      </c>
      <c r="C10674" s="35">
        <v>0</v>
      </c>
      <c r="D10674" s="2">
        <f t="shared" si="166"/>
        <v>1</v>
      </c>
    </row>
    <row r="10675" spans="1:4" x14ac:dyDescent="0.3">
      <c r="A10675" s="34">
        <v>66293</v>
      </c>
      <c r="B10675" s="35">
        <v>1</v>
      </c>
      <c r="C10675" s="35">
        <v>0</v>
      </c>
      <c r="D10675" s="2">
        <f t="shared" si="166"/>
        <v>1</v>
      </c>
    </row>
    <row r="10676" spans="1:4" x14ac:dyDescent="0.3">
      <c r="A10676" s="34">
        <v>66294</v>
      </c>
      <c r="B10676" s="35">
        <v>1</v>
      </c>
      <c r="C10676" s="35">
        <v>0</v>
      </c>
      <c r="D10676" s="2">
        <f t="shared" si="166"/>
        <v>1</v>
      </c>
    </row>
    <row r="10677" spans="1:4" x14ac:dyDescent="0.3">
      <c r="A10677" s="34">
        <v>66295</v>
      </c>
      <c r="B10677" s="35">
        <v>1</v>
      </c>
      <c r="C10677" s="35">
        <v>0</v>
      </c>
      <c r="D10677" s="2">
        <f t="shared" si="166"/>
        <v>1</v>
      </c>
    </row>
    <row r="10678" spans="1:4" x14ac:dyDescent="0.3">
      <c r="A10678" s="34">
        <v>66299</v>
      </c>
      <c r="B10678" s="35">
        <v>1</v>
      </c>
      <c r="C10678" s="35">
        <v>0</v>
      </c>
      <c r="D10678" s="2">
        <f t="shared" si="166"/>
        <v>1</v>
      </c>
    </row>
    <row r="10679" spans="1:4" x14ac:dyDescent="0.3">
      <c r="A10679" s="34">
        <v>66305</v>
      </c>
      <c r="B10679" s="35">
        <v>1</v>
      </c>
      <c r="C10679" s="35">
        <v>0</v>
      </c>
      <c r="D10679" s="2">
        <f t="shared" si="166"/>
        <v>1</v>
      </c>
    </row>
    <row r="10680" spans="1:4" x14ac:dyDescent="0.3">
      <c r="A10680" s="34">
        <v>66306</v>
      </c>
      <c r="B10680" s="35">
        <v>1</v>
      </c>
      <c r="C10680" s="35">
        <v>0</v>
      </c>
      <c r="D10680" s="2">
        <f t="shared" si="166"/>
        <v>1</v>
      </c>
    </row>
    <row r="10681" spans="1:4" x14ac:dyDescent="0.3">
      <c r="A10681" s="34">
        <v>66307</v>
      </c>
      <c r="B10681" s="35">
        <v>1</v>
      </c>
      <c r="C10681" s="35">
        <v>0</v>
      </c>
      <c r="D10681" s="2">
        <f t="shared" si="166"/>
        <v>1</v>
      </c>
    </row>
    <row r="10682" spans="1:4" x14ac:dyDescent="0.3">
      <c r="A10682" s="34">
        <v>66311</v>
      </c>
      <c r="B10682" s="35">
        <v>1</v>
      </c>
      <c r="C10682" s="35">
        <v>1</v>
      </c>
      <c r="D10682" s="2">
        <f t="shared" si="166"/>
        <v>2</v>
      </c>
    </row>
    <row r="10683" spans="1:4" x14ac:dyDescent="0.3">
      <c r="A10683" s="34">
        <v>66315</v>
      </c>
      <c r="B10683" s="35">
        <v>1</v>
      </c>
      <c r="C10683" s="35">
        <v>0</v>
      </c>
      <c r="D10683" s="2">
        <f t="shared" si="166"/>
        <v>1</v>
      </c>
    </row>
    <row r="10684" spans="1:4" x14ac:dyDescent="0.3">
      <c r="A10684" s="34">
        <v>66322</v>
      </c>
      <c r="B10684" s="35">
        <v>1</v>
      </c>
      <c r="C10684" s="35">
        <v>1</v>
      </c>
      <c r="D10684" s="2">
        <f t="shared" si="166"/>
        <v>2</v>
      </c>
    </row>
    <row r="10685" spans="1:4" x14ac:dyDescent="0.3">
      <c r="A10685" s="34">
        <v>66323</v>
      </c>
      <c r="B10685" s="35">
        <v>1</v>
      </c>
      <c r="C10685" s="35">
        <v>1</v>
      </c>
      <c r="D10685" s="2">
        <f t="shared" si="166"/>
        <v>2</v>
      </c>
    </row>
    <row r="10686" spans="1:4" x14ac:dyDescent="0.3">
      <c r="A10686" s="34">
        <v>66324</v>
      </c>
      <c r="B10686" s="35">
        <v>1</v>
      </c>
      <c r="C10686" s="35">
        <v>1</v>
      </c>
      <c r="D10686" s="2">
        <f t="shared" si="166"/>
        <v>2</v>
      </c>
    </row>
    <row r="10687" spans="1:4" x14ac:dyDescent="0.3">
      <c r="A10687" s="34">
        <v>66325</v>
      </c>
      <c r="B10687" s="35">
        <v>1</v>
      </c>
      <c r="C10687" s="35">
        <v>0</v>
      </c>
      <c r="D10687" s="2">
        <f t="shared" si="166"/>
        <v>1</v>
      </c>
    </row>
    <row r="10688" spans="1:4" x14ac:dyDescent="0.3">
      <c r="A10688" s="34">
        <v>66327</v>
      </c>
      <c r="B10688" s="35">
        <v>1</v>
      </c>
      <c r="C10688" s="35">
        <v>0</v>
      </c>
      <c r="D10688" s="2">
        <f t="shared" si="166"/>
        <v>1</v>
      </c>
    </row>
    <row r="10689" spans="1:4" x14ac:dyDescent="0.3">
      <c r="A10689" s="34">
        <v>66328</v>
      </c>
      <c r="B10689" s="35">
        <v>1</v>
      </c>
      <c r="C10689" s="35">
        <v>0</v>
      </c>
      <c r="D10689" s="2">
        <f t="shared" si="166"/>
        <v>1</v>
      </c>
    </row>
    <row r="10690" spans="1:4" x14ac:dyDescent="0.3">
      <c r="A10690" s="34">
        <v>66337</v>
      </c>
      <c r="B10690" s="35">
        <v>4</v>
      </c>
      <c r="C10690" s="35">
        <v>4</v>
      </c>
      <c r="D10690" s="2">
        <f t="shared" si="166"/>
        <v>8</v>
      </c>
    </row>
    <row r="10691" spans="1:4" x14ac:dyDescent="0.3">
      <c r="A10691" s="34">
        <v>66339</v>
      </c>
      <c r="B10691" s="35">
        <v>1</v>
      </c>
      <c r="C10691" s="35">
        <v>0</v>
      </c>
      <c r="D10691" s="2">
        <f t="shared" ref="D10691:D10754" si="167">B10691+C10691</f>
        <v>1</v>
      </c>
    </row>
    <row r="10692" spans="1:4" x14ac:dyDescent="0.3">
      <c r="A10692" s="34">
        <v>66343</v>
      </c>
      <c r="B10692" s="35">
        <v>1</v>
      </c>
      <c r="C10692" s="35">
        <v>0</v>
      </c>
      <c r="D10692" s="2">
        <f t="shared" si="167"/>
        <v>1</v>
      </c>
    </row>
    <row r="10693" spans="1:4" x14ac:dyDescent="0.3">
      <c r="A10693" s="34">
        <v>66344</v>
      </c>
      <c r="B10693" s="35">
        <v>1</v>
      </c>
      <c r="C10693" s="35">
        <v>0</v>
      </c>
      <c r="D10693" s="2">
        <f t="shared" si="167"/>
        <v>1</v>
      </c>
    </row>
    <row r="10694" spans="1:4" x14ac:dyDescent="0.3">
      <c r="A10694" s="34">
        <v>66346</v>
      </c>
      <c r="B10694" s="35">
        <v>1</v>
      </c>
      <c r="C10694" s="35">
        <v>1</v>
      </c>
      <c r="D10694" s="2">
        <f t="shared" si="167"/>
        <v>2</v>
      </c>
    </row>
    <row r="10695" spans="1:4" x14ac:dyDescent="0.3">
      <c r="A10695" s="34">
        <v>66348</v>
      </c>
      <c r="B10695" s="35">
        <v>1</v>
      </c>
      <c r="C10695" s="35">
        <v>0</v>
      </c>
      <c r="D10695" s="2">
        <f t="shared" si="167"/>
        <v>1</v>
      </c>
    </row>
    <row r="10696" spans="1:4" x14ac:dyDescent="0.3">
      <c r="A10696" s="34">
        <v>66349</v>
      </c>
      <c r="B10696" s="35">
        <v>1</v>
      </c>
      <c r="C10696" s="35">
        <v>0</v>
      </c>
      <c r="D10696" s="2">
        <f t="shared" si="167"/>
        <v>1</v>
      </c>
    </row>
    <row r="10697" spans="1:4" x14ac:dyDescent="0.3">
      <c r="A10697" s="34">
        <v>66351</v>
      </c>
      <c r="B10697" s="35">
        <v>1</v>
      </c>
      <c r="C10697" s="35">
        <v>1</v>
      </c>
      <c r="D10697" s="2">
        <f t="shared" si="167"/>
        <v>2</v>
      </c>
    </row>
    <row r="10698" spans="1:4" x14ac:dyDescent="0.3">
      <c r="A10698" s="34">
        <v>66374</v>
      </c>
      <c r="B10698" s="35">
        <v>1</v>
      </c>
      <c r="C10698" s="35">
        <v>0</v>
      </c>
      <c r="D10698" s="2">
        <f t="shared" si="167"/>
        <v>1</v>
      </c>
    </row>
    <row r="10699" spans="1:4" x14ac:dyDescent="0.3">
      <c r="A10699" s="34">
        <v>66376</v>
      </c>
      <c r="B10699" s="35">
        <v>1</v>
      </c>
      <c r="C10699" s="35">
        <v>0</v>
      </c>
      <c r="D10699" s="2">
        <f t="shared" si="167"/>
        <v>1</v>
      </c>
    </row>
    <row r="10700" spans="1:4" x14ac:dyDescent="0.3">
      <c r="A10700" s="34">
        <v>66379</v>
      </c>
      <c r="B10700" s="35">
        <v>1</v>
      </c>
      <c r="C10700" s="35">
        <v>0</v>
      </c>
      <c r="D10700" s="2">
        <f t="shared" si="167"/>
        <v>1</v>
      </c>
    </row>
    <row r="10701" spans="1:4" x14ac:dyDescent="0.3">
      <c r="A10701" s="34">
        <v>66382</v>
      </c>
      <c r="B10701" s="35">
        <v>1</v>
      </c>
      <c r="C10701" s="35">
        <v>0</v>
      </c>
      <c r="D10701" s="2">
        <f t="shared" si="167"/>
        <v>1</v>
      </c>
    </row>
    <row r="10702" spans="1:4" x14ac:dyDescent="0.3">
      <c r="A10702" s="34">
        <v>66384</v>
      </c>
      <c r="B10702" s="35">
        <v>1</v>
      </c>
      <c r="C10702" s="35">
        <v>0</v>
      </c>
      <c r="D10702" s="2">
        <f t="shared" si="167"/>
        <v>1</v>
      </c>
    </row>
    <row r="10703" spans="1:4" x14ac:dyDescent="0.3">
      <c r="A10703" s="34">
        <v>66385</v>
      </c>
      <c r="B10703" s="35">
        <v>1</v>
      </c>
      <c r="C10703" s="35">
        <v>0</v>
      </c>
      <c r="D10703" s="2">
        <f t="shared" si="167"/>
        <v>1</v>
      </c>
    </row>
    <row r="10704" spans="1:4" x14ac:dyDescent="0.3">
      <c r="A10704" s="34">
        <v>66386</v>
      </c>
      <c r="B10704" s="35">
        <v>1</v>
      </c>
      <c r="C10704" s="35">
        <v>0</v>
      </c>
      <c r="D10704" s="2">
        <f t="shared" si="167"/>
        <v>1</v>
      </c>
    </row>
    <row r="10705" spans="1:4" x14ac:dyDescent="0.3">
      <c r="A10705" s="34">
        <v>66387</v>
      </c>
      <c r="B10705" s="35">
        <v>1</v>
      </c>
      <c r="C10705" s="35">
        <v>0</v>
      </c>
      <c r="D10705" s="2">
        <f t="shared" si="167"/>
        <v>1</v>
      </c>
    </row>
    <row r="10706" spans="1:4" x14ac:dyDescent="0.3">
      <c r="A10706" s="34">
        <v>66388</v>
      </c>
      <c r="B10706" s="35">
        <v>1</v>
      </c>
      <c r="C10706" s="35">
        <v>0</v>
      </c>
      <c r="D10706" s="2">
        <f t="shared" si="167"/>
        <v>1</v>
      </c>
    </row>
    <row r="10707" spans="1:4" x14ac:dyDescent="0.3">
      <c r="A10707" s="34">
        <v>66390</v>
      </c>
      <c r="B10707" s="35">
        <v>1</v>
      </c>
      <c r="C10707" s="35">
        <v>0</v>
      </c>
      <c r="D10707" s="2">
        <f t="shared" si="167"/>
        <v>1</v>
      </c>
    </row>
    <row r="10708" spans="1:4" x14ac:dyDescent="0.3">
      <c r="A10708" s="34">
        <v>66391</v>
      </c>
      <c r="B10708" s="35">
        <v>1</v>
      </c>
      <c r="C10708" s="35">
        <v>0</v>
      </c>
      <c r="D10708" s="2">
        <f t="shared" si="167"/>
        <v>1</v>
      </c>
    </row>
    <row r="10709" spans="1:4" x14ac:dyDescent="0.3">
      <c r="A10709" s="34">
        <v>66392</v>
      </c>
      <c r="B10709" s="35">
        <v>1</v>
      </c>
      <c r="C10709" s="35">
        <v>0</v>
      </c>
      <c r="D10709" s="2">
        <f t="shared" si="167"/>
        <v>1</v>
      </c>
    </row>
    <row r="10710" spans="1:4" x14ac:dyDescent="0.3">
      <c r="A10710" s="34">
        <v>66393</v>
      </c>
      <c r="B10710" s="35">
        <v>1</v>
      </c>
      <c r="C10710" s="35">
        <v>0</v>
      </c>
      <c r="D10710" s="2">
        <f t="shared" si="167"/>
        <v>1</v>
      </c>
    </row>
    <row r="10711" spans="1:4" x14ac:dyDescent="0.3">
      <c r="A10711" s="34">
        <v>66395</v>
      </c>
      <c r="B10711" s="35">
        <v>1</v>
      </c>
      <c r="C10711" s="35">
        <v>0</v>
      </c>
      <c r="D10711" s="2">
        <f t="shared" si="167"/>
        <v>1</v>
      </c>
    </row>
    <row r="10712" spans="1:4" x14ac:dyDescent="0.3">
      <c r="A10712" s="34">
        <v>66396</v>
      </c>
      <c r="B10712" s="35">
        <v>1</v>
      </c>
      <c r="C10712" s="35">
        <v>0</v>
      </c>
      <c r="D10712" s="2">
        <f t="shared" si="167"/>
        <v>1</v>
      </c>
    </row>
    <row r="10713" spans="1:4" x14ac:dyDescent="0.3">
      <c r="A10713" s="34">
        <v>66398</v>
      </c>
      <c r="B10713" s="35">
        <v>1</v>
      </c>
      <c r="C10713" s="35">
        <v>0</v>
      </c>
      <c r="D10713" s="2">
        <f t="shared" si="167"/>
        <v>1</v>
      </c>
    </row>
    <row r="10714" spans="1:4" x14ac:dyDescent="0.3">
      <c r="A10714" s="34">
        <v>66399</v>
      </c>
      <c r="B10714" s="35">
        <v>1</v>
      </c>
      <c r="C10714" s="35">
        <v>0</v>
      </c>
      <c r="D10714" s="2">
        <f t="shared" si="167"/>
        <v>1</v>
      </c>
    </row>
    <row r="10715" spans="1:4" x14ac:dyDescent="0.3">
      <c r="A10715" s="34">
        <v>66400</v>
      </c>
      <c r="B10715" s="35">
        <v>2</v>
      </c>
      <c r="C10715" s="35">
        <v>0</v>
      </c>
      <c r="D10715" s="2">
        <f t="shared" si="167"/>
        <v>2</v>
      </c>
    </row>
    <row r="10716" spans="1:4" x14ac:dyDescent="0.3">
      <c r="A10716" s="34">
        <v>66401</v>
      </c>
      <c r="B10716" s="35">
        <v>1</v>
      </c>
      <c r="C10716" s="35">
        <v>0</v>
      </c>
      <c r="D10716" s="2">
        <f t="shared" si="167"/>
        <v>1</v>
      </c>
    </row>
    <row r="10717" spans="1:4" x14ac:dyDescent="0.3">
      <c r="A10717" s="34">
        <v>66405</v>
      </c>
      <c r="B10717" s="35">
        <v>1</v>
      </c>
      <c r="C10717" s="35">
        <v>0</v>
      </c>
      <c r="D10717" s="2">
        <f t="shared" si="167"/>
        <v>1</v>
      </c>
    </row>
    <row r="10718" spans="1:4" x14ac:dyDescent="0.3">
      <c r="A10718" s="34">
        <v>66406</v>
      </c>
      <c r="B10718" s="35">
        <v>1</v>
      </c>
      <c r="C10718" s="35">
        <v>0</v>
      </c>
      <c r="D10718" s="2">
        <f t="shared" si="167"/>
        <v>1</v>
      </c>
    </row>
    <row r="10719" spans="1:4" x14ac:dyDescent="0.3">
      <c r="A10719" s="34">
        <v>66407</v>
      </c>
      <c r="B10719" s="35">
        <v>1</v>
      </c>
      <c r="C10719" s="35">
        <v>0</v>
      </c>
      <c r="D10719" s="2">
        <f t="shared" si="167"/>
        <v>1</v>
      </c>
    </row>
    <row r="10720" spans="1:4" x14ac:dyDescent="0.3">
      <c r="A10720" s="34">
        <v>66411</v>
      </c>
      <c r="B10720" s="35">
        <v>1</v>
      </c>
      <c r="C10720" s="35">
        <v>0</v>
      </c>
      <c r="D10720" s="2">
        <f t="shared" si="167"/>
        <v>1</v>
      </c>
    </row>
    <row r="10721" spans="1:4" x14ac:dyDescent="0.3">
      <c r="A10721" s="34">
        <v>66412</v>
      </c>
      <c r="B10721" s="35">
        <v>2</v>
      </c>
      <c r="C10721" s="35">
        <v>2</v>
      </c>
      <c r="D10721" s="2">
        <f t="shared" si="167"/>
        <v>4</v>
      </c>
    </row>
    <row r="10722" spans="1:4" x14ac:dyDescent="0.3">
      <c r="A10722" s="34">
        <v>66413</v>
      </c>
      <c r="B10722" s="35">
        <v>1</v>
      </c>
      <c r="C10722" s="35">
        <v>1</v>
      </c>
      <c r="D10722" s="2">
        <f t="shared" si="167"/>
        <v>2</v>
      </c>
    </row>
    <row r="10723" spans="1:4" x14ac:dyDescent="0.3">
      <c r="A10723" s="34">
        <v>66415</v>
      </c>
      <c r="B10723" s="35">
        <v>1</v>
      </c>
      <c r="C10723" s="35">
        <v>0</v>
      </c>
      <c r="D10723" s="2">
        <f t="shared" si="167"/>
        <v>1</v>
      </c>
    </row>
    <row r="10724" spans="1:4" x14ac:dyDescent="0.3">
      <c r="A10724" s="34">
        <v>66418</v>
      </c>
      <c r="B10724" s="35">
        <v>1</v>
      </c>
      <c r="C10724" s="35">
        <v>0</v>
      </c>
      <c r="D10724" s="2">
        <f t="shared" si="167"/>
        <v>1</v>
      </c>
    </row>
    <row r="10725" spans="1:4" x14ac:dyDescent="0.3">
      <c r="A10725" s="34">
        <v>66420</v>
      </c>
      <c r="B10725" s="35">
        <v>1</v>
      </c>
      <c r="C10725" s="35">
        <v>0</v>
      </c>
      <c r="D10725" s="2">
        <f t="shared" si="167"/>
        <v>1</v>
      </c>
    </row>
    <row r="10726" spans="1:4" x14ac:dyDescent="0.3">
      <c r="A10726" s="34">
        <v>66428</v>
      </c>
      <c r="B10726" s="35">
        <v>1</v>
      </c>
      <c r="C10726" s="35">
        <v>0</v>
      </c>
      <c r="D10726" s="2">
        <f t="shared" si="167"/>
        <v>1</v>
      </c>
    </row>
    <row r="10727" spans="1:4" x14ac:dyDescent="0.3">
      <c r="A10727" s="34">
        <v>66429</v>
      </c>
      <c r="B10727" s="35">
        <v>1</v>
      </c>
      <c r="C10727" s="35">
        <v>0</v>
      </c>
      <c r="D10727" s="2">
        <f t="shared" si="167"/>
        <v>1</v>
      </c>
    </row>
    <row r="10728" spans="1:4" x14ac:dyDescent="0.3">
      <c r="A10728" s="34">
        <v>66433</v>
      </c>
      <c r="B10728" s="35">
        <v>1</v>
      </c>
      <c r="C10728" s="35">
        <v>1</v>
      </c>
      <c r="D10728" s="2">
        <f t="shared" si="167"/>
        <v>2</v>
      </c>
    </row>
    <row r="10729" spans="1:4" x14ac:dyDescent="0.3">
      <c r="A10729" s="34">
        <v>66434</v>
      </c>
      <c r="B10729" s="35">
        <v>1</v>
      </c>
      <c r="C10729" s="35">
        <v>0</v>
      </c>
      <c r="D10729" s="2">
        <f t="shared" si="167"/>
        <v>1</v>
      </c>
    </row>
    <row r="10730" spans="1:4" x14ac:dyDescent="0.3">
      <c r="A10730" s="34">
        <v>66436</v>
      </c>
      <c r="B10730" s="35">
        <v>1</v>
      </c>
      <c r="C10730" s="35">
        <v>1</v>
      </c>
      <c r="D10730" s="2">
        <f t="shared" si="167"/>
        <v>2</v>
      </c>
    </row>
    <row r="10731" spans="1:4" x14ac:dyDescent="0.3">
      <c r="A10731" s="34">
        <v>66438</v>
      </c>
      <c r="B10731" s="35">
        <v>1</v>
      </c>
      <c r="C10731" s="35">
        <v>0</v>
      </c>
      <c r="D10731" s="2">
        <f t="shared" si="167"/>
        <v>1</v>
      </c>
    </row>
    <row r="10732" spans="1:4" x14ac:dyDescent="0.3">
      <c r="A10732" s="34">
        <v>66439</v>
      </c>
      <c r="B10732" s="35">
        <v>1</v>
      </c>
      <c r="C10732" s="35">
        <v>1</v>
      </c>
      <c r="D10732" s="2">
        <f t="shared" si="167"/>
        <v>2</v>
      </c>
    </row>
    <row r="10733" spans="1:4" x14ac:dyDescent="0.3">
      <c r="A10733" s="34">
        <v>66441</v>
      </c>
      <c r="B10733" s="35">
        <v>1</v>
      </c>
      <c r="C10733" s="35">
        <v>0</v>
      </c>
      <c r="D10733" s="2">
        <f t="shared" si="167"/>
        <v>1</v>
      </c>
    </row>
    <row r="10734" spans="1:4" x14ac:dyDescent="0.3">
      <c r="A10734" s="34">
        <v>66442</v>
      </c>
      <c r="B10734" s="35">
        <v>1</v>
      </c>
      <c r="C10734" s="35">
        <v>0</v>
      </c>
      <c r="D10734" s="2">
        <f t="shared" si="167"/>
        <v>1</v>
      </c>
    </row>
    <row r="10735" spans="1:4" x14ac:dyDescent="0.3">
      <c r="A10735" s="34">
        <v>66444</v>
      </c>
      <c r="B10735" s="35">
        <v>1</v>
      </c>
      <c r="C10735" s="35">
        <v>0</v>
      </c>
      <c r="D10735" s="2">
        <f t="shared" si="167"/>
        <v>1</v>
      </c>
    </row>
    <row r="10736" spans="1:4" x14ac:dyDescent="0.3">
      <c r="A10736" s="34">
        <v>66448</v>
      </c>
      <c r="B10736" s="35">
        <v>1</v>
      </c>
      <c r="C10736" s="35">
        <v>0</v>
      </c>
      <c r="D10736" s="2">
        <f t="shared" si="167"/>
        <v>1</v>
      </c>
    </row>
    <row r="10737" spans="1:4" x14ac:dyDescent="0.3">
      <c r="A10737" s="34">
        <v>66449</v>
      </c>
      <c r="B10737" s="35">
        <v>1</v>
      </c>
      <c r="C10737" s="35">
        <v>0</v>
      </c>
      <c r="D10737" s="2">
        <f t="shared" si="167"/>
        <v>1</v>
      </c>
    </row>
    <row r="10738" spans="1:4" x14ac:dyDescent="0.3">
      <c r="A10738" s="34">
        <v>66450</v>
      </c>
      <c r="B10738" s="35">
        <v>1</v>
      </c>
      <c r="C10738" s="35">
        <v>0</v>
      </c>
      <c r="D10738" s="2">
        <f t="shared" si="167"/>
        <v>1</v>
      </c>
    </row>
    <row r="10739" spans="1:4" x14ac:dyDescent="0.3">
      <c r="A10739" s="34">
        <v>66452</v>
      </c>
      <c r="B10739" s="35">
        <v>1</v>
      </c>
      <c r="C10739" s="35">
        <v>0</v>
      </c>
      <c r="D10739" s="2">
        <f t="shared" si="167"/>
        <v>1</v>
      </c>
    </row>
    <row r="10740" spans="1:4" x14ac:dyDescent="0.3">
      <c r="A10740" s="34">
        <v>66453</v>
      </c>
      <c r="B10740" s="35">
        <v>1</v>
      </c>
      <c r="C10740" s="35">
        <v>0</v>
      </c>
      <c r="D10740" s="2">
        <f t="shared" si="167"/>
        <v>1</v>
      </c>
    </row>
    <row r="10741" spans="1:4" x14ac:dyDescent="0.3">
      <c r="A10741" s="34">
        <v>66454</v>
      </c>
      <c r="B10741" s="35">
        <v>1</v>
      </c>
      <c r="C10741" s="35">
        <v>0</v>
      </c>
      <c r="D10741" s="2">
        <f t="shared" si="167"/>
        <v>1</v>
      </c>
    </row>
    <row r="10742" spans="1:4" x14ac:dyDescent="0.3">
      <c r="A10742" s="34">
        <v>66455</v>
      </c>
      <c r="B10742" s="35">
        <v>2</v>
      </c>
      <c r="C10742" s="35">
        <v>2</v>
      </c>
      <c r="D10742" s="2">
        <f t="shared" si="167"/>
        <v>4</v>
      </c>
    </row>
    <row r="10743" spans="1:4" x14ac:dyDescent="0.3">
      <c r="A10743" s="34">
        <v>66456</v>
      </c>
      <c r="B10743" s="35">
        <v>1</v>
      </c>
      <c r="C10743" s="35">
        <v>0</v>
      </c>
      <c r="D10743" s="2">
        <f t="shared" si="167"/>
        <v>1</v>
      </c>
    </row>
    <row r="10744" spans="1:4" x14ac:dyDescent="0.3">
      <c r="A10744" s="34">
        <v>66457</v>
      </c>
      <c r="B10744" s="35">
        <v>1</v>
      </c>
      <c r="C10744" s="35">
        <v>0</v>
      </c>
      <c r="D10744" s="2">
        <f t="shared" si="167"/>
        <v>1</v>
      </c>
    </row>
    <row r="10745" spans="1:4" x14ac:dyDescent="0.3">
      <c r="A10745" s="34">
        <v>66459</v>
      </c>
      <c r="B10745" s="35">
        <v>2</v>
      </c>
      <c r="C10745" s="35">
        <v>1</v>
      </c>
      <c r="D10745" s="2">
        <f t="shared" si="167"/>
        <v>3</v>
      </c>
    </row>
    <row r="10746" spans="1:4" x14ac:dyDescent="0.3">
      <c r="A10746" s="34">
        <v>66460</v>
      </c>
      <c r="B10746" s="35">
        <v>1</v>
      </c>
      <c r="C10746" s="35">
        <v>0</v>
      </c>
      <c r="D10746" s="2">
        <f t="shared" si="167"/>
        <v>1</v>
      </c>
    </row>
    <row r="10747" spans="1:4" x14ac:dyDescent="0.3">
      <c r="A10747" s="34">
        <v>66461</v>
      </c>
      <c r="B10747" s="35">
        <v>1</v>
      </c>
      <c r="C10747" s="35">
        <v>0</v>
      </c>
      <c r="D10747" s="2">
        <f t="shared" si="167"/>
        <v>1</v>
      </c>
    </row>
    <row r="10748" spans="1:4" x14ac:dyDescent="0.3">
      <c r="A10748" s="34">
        <v>66472</v>
      </c>
      <c r="B10748" s="35">
        <v>1</v>
      </c>
      <c r="C10748" s="35">
        <v>0</v>
      </c>
      <c r="D10748" s="2">
        <f t="shared" si="167"/>
        <v>1</v>
      </c>
    </row>
    <row r="10749" spans="1:4" x14ac:dyDescent="0.3">
      <c r="A10749" s="34">
        <v>66475</v>
      </c>
      <c r="B10749" s="35">
        <v>1</v>
      </c>
      <c r="C10749" s="35">
        <v>1</v>
      </c>
      <c r="D10749" s="2">
        <f t="shared" si="167"/>
        <v>2</v>
      </c>
    </row>
    <row r="10750" spans="1:4" x14ac:dyDescent="0.3">
      <c r="A10750" s="34">
        <v>66476</v>
      </c>
      <c r="B10750" s="35">
        <v>1</v>
      </c>
      <c r="C10750" s="35">
        <v>0</v>
      </c>
      <c r="D10750" s="2">
        <f t="shared" si="167"/>
        <v>1</v>
      </c>
    </row>
    <row r="10751" spans="1:4" x14ac:dyDescent="0.3">
      <c r="A10751" s="34">
        <v>66477</v>
      </c>
      <c r="B10751" s="35">
        <v>1</v>
      </c>
      <c r="C10751" s="35">
        <v>0</v>
      </c>
      <c r="D10751" s="2">
        <f t="shared" si="167"/>
        <v>1</v>
      </c>
    </row>
    <row r="10752" spans="1:4" x14ac:dyDescent="0.3">
      <c r="A10752" s="34">
        <v>66480</v>
      </c>
      <c r="B10752" s="35">
        <v>1</v>
      </c>
      <c r="C10752" s="35">
        <v>0</v>
      </c>
      <c r="D10752" s="2">
        <f t="shared" si="167"/>
        <v>1</v>
      </c>
    </row>
    <row r="10753" spans="1:4" x14ac:dyDescent="0.3">
      <c r="A10753" s="34">
        <v>66481</v>
      </c>
      <c r="B10753" s="35">
        <v>1</v>
      </c>
      <c r="C10753" s="35">
        <v>0</v>
      </c>
      <c r="D10753" s="2">
        <f t="shared" si="167"/>
        <v>1</v>
      </c>
    </row>
    <row r="10754" spans="1:4" x14ac:dyDescent="0.3">
      <c r="A10754" s="34">
        <v>66484</v>
      </c>
      <c r="B10754" s="35">
        <v>1</v>
      </c>
      <c r="C10754" s="35">
        <v>0</v>
      </c>
      <c r="D10754" s="2">
        <f t="shared" si="167"/>
        <v>1</v>
      </c>
    </row>
    <row r="10755" spans="1:4" x14ac:dyDescent="0.3">
      <c r="A10755" s="34">
        <v>66486</v>
      </c>
      <c r="B10755" s="35">
        <v>1</v>
      </c>
      <c r="C10755" s="35">
        <v>0</v>
      </c>
      <c r="D10755" s="2">
        <f t="shared" ref="D10755:D10818" si="168">B10755+C10755</f>
        <v>1</v>
      </c>
    </row>
    <row r="10756" spans="1:4" x14ac:dyDescent="0.3">
      <c r="A10756" s="34">
        <v>66488</v>
      </c>
      <c r="B10756" s="35">
        <v>1</v>
      </c>
      <c r="C10756" s="35">
        <v>0</v>
      </c>
      <c r="D10756" s="2">
        <f t="shared" si="168"/>
        <v>1</v>
      </c>
    </row>
    <row r="10757" spans="1:4" x14ac:dyDescent="0.3">
      <c r="A10757" s="34">
        <v>66489</v>
      </c>
      <c r="B10757" s="35">
        <v>1</v>
      </c>
      <c r="C10757" s="35">
        <v>0</v>
      </c>
      <c r="D10757" s="2">
        <f t="shared" si="168"/>
        <v>1</v>
      </c>
    </row>
    <row r="10758" spans="1:4" x14ac:dyDescent="0.3">
      <c r="A10758" s="34">
        <v>66490</v>
      </c>
      <c r="B10758" s="35">
        <v>1</v>
      </c>
      <c r="C10758" s="35">
        <v>0</v>
      </c>
      <c r="D10758" s="2">
        <f t="shared" si="168"/>
        <v>1</v>
      </c>
    </row>
    <row r="10759" spans="1:4" x14ac:dyDescent="0.3">
      <c r="A10759" s="34">
        <v>66491</v>
      </c>
      <c r="B10759" s="35">
        <v>1</v>
      </c>
      <c r="C10759" s="35">
        <v>0</v>
      </c>
      <c r="D10759" s="2">
        <f t="shared" si="168"/>
        <v>1</v>
      </c>
    </row>
    <row r="10760" spans="1:4" x14ac:dyDescent="0.3">
      <c r="A10760" s="34">
        <v>66492</v>
      </c>
      <c r="B10760" s="35">
        <v>1</v>
      </c>
      <c r="C10760" s="35">
        <v>0</v>
      </c>
      <c r="D10760" s="2">
        <f t="shared" si="168"/>
        <v>1</v>
      </c>
    </row>
    <row r="10761" spans="1:4" x14ac:dyDescent="0.3">
      <c r="A10761" s="34">
        <v>66511</v>
      </c>
      <c r="B10761" s="35">
        <v>1</v>
      </c>
      <c r="C10761" s="35">
        <v>0</v>
      </c>
      <c r="D10761" s="2">
        <f t="shared" si="168"/>
        <v>1</v>
      </c>
    </row>
    <row r="10762" spans="1:4" x14ac:dyDescent="0.3">
      <c r="A10762" s="34">
        <v>66513</v>
      </c>
      <c r="B10762" s="35">
        <v>1</v>
      </c>
      <c r="C10762" s="35">
        <v>0</v>
      </c>
      <c r="D10762" s="2">
        <f t="shared" si="168"/>
        <v>1</v>
      </c>
    </row>
    <row r="10763" spans="1:4" x14ac:dyDescent="0.3">
      <c r="A10763" s="34">
        <v>66514</v>
      </c>
      <c r="B10763" s="35">
        <v>1</v>
      </c>
      <c r="C10763" s="35">
        <v>0</v>
      </c>
      <c r="D10763" s="2">
        <f t="shared" si="168"/>
        <v>1</v>
      </c>
    </row>
    <row r="10764" spans="1:4" x14ac:dyDescent="0.3">
      <c r="A10764" s="34">
        <v>66515</v>
      </c>
      <c r="B10764" s="35">
        <v>1</v>
      </c>
      <c r="C10764" s="35">
        <v>0</v>
      </c>
      <c r="D10764" s="2">
        <f t="shared" si="168"/>
        <v>1</v>
      </c>
    </row>
    <row r="10765" spans="1:4" x14ac:dyDescent="0.3">
      <c r="A10765" s="34">
        <v>66516</v>
      </c>
      <c r="B10765" s="35">
        <v>1</v>
      </c>
      <c r="C10765" s="35">
        <v>0</v>
      </c>
      <c r="D10765" s="2">
        <f t="shared" si="168"/>
        <v>1</v>
      </c>
    </row>
    <row r="10766" spans="1:4" x14ac:dyDescent="0.3">
      <c r="A10766" s="34">
        <v>66517</v>
      </c>
      <c r="B10766" s="35">
        <v>1</v>
      </c>
      <c r="C10766" s="35">
        <v>1</v>
      </c>
      <c r="D10766" s="2">
        <f t="shared" si="168"/>
        <v>2</v>
      </c>
    </row>
    <row r="10767" spans="1:4" x14ac:dyDescent="0.3">
      <c r="A10767" s="34">
        <v>66518</v>
      </c>
      <c r="B10767" s="35">
        <v>1</v>
      </c>
      <c r="C10767" s="35">
        <v>0</v>
      </c>
      <c r="D10767" s="2">
        <f t="shared" si="168"/>
        <v>1</v>
      </c>
    </row>
    <row r="10768" spans="1:4" x14ac:dyDescent="0.3">
      <c r="A10768" s="34">
        <v>66519</v>
      </c>
      <c r="B10768" s="35">
        <v>1</v>
      </c>
      <c r="C10768" s="35">
        <v>0</v>
      </c>
      <c r="D10768" s="2">
        <f t="shared" si="168"/>
        <v>1</v>
      </c>
    </row>
    <row r="10769" spans="1:4" x14ac:dyDescent="0.3">
      <c r="A10769" s="34">
        <v>66520</v>
      </c>
      <c r="B10769" s="35">
        <v>1</v>
      </c>
      <c r="C10769" s="35">
        <v>1</v>
      </c>
      <c r="D10769" s="2">
        <f t="shared" si="168"/>
        <v>2</v>
      </c>
    </row>
    <row r="10770" spans="1:4" x14ac:dyDescent="0.3">
      <c r="A10770" s="34">
        <v>66521</v>
      </c>
      <c r="B10770" s="35">
        <v>1</v>
      </c>
      <c r="C10770" s="35">
        <v>0</v>
      </c>
      <c r="D10770" s="2">
        <f t="shared" si="168"/>
        <v>1</v>
      </c>
    </row>
    <row r="10771" spans="1:4" x14ac:dyDescent="0.3">
      <c r="A10771" s="34">
        <v>66522</v>
      </c>
      <c r="B10771" s="35">
        <v>1</v>
      </c>
      <c r="C10771" s="35">
        <v>0</v>
      </c>
      <c r="D10771" s="2">
        <f t="shared" si="168"/>
        <v>1</v>
      </c>
    </row>
    <row r="10772" spans="1:4" x14ac:dyDescent="0.3">
      <c r="A10772" s="34">
        <v>66523</v>
      </c>
      <c r="B10772" s="35">
        <v>1</v>
      </c>
      <c r="C10772" s="35">
        <v>0</v>
      </c>
      <c r="D10772" s="2">
        <f t="shared" si="168"/>
        <v>1</v>
      </c>
    </row>
    <row r="10773" spans="1:4" x14ac:dyDescent="0.3">
      <c r="A10773" s="34">
        <v>66525</v>
      </c>
      <c r="B10773" s="35">
        <v>1</v>
      </c>
      <c r="C10773" s="35">
        <v>0</v>
      </c>
      <c r="D10773" s="2">
        <f t="shared" si="168"/>
        <v>1</v>
      </c>
    </row>
    <row r="10774" spans="1:4" x14ac:dyDescent="0.3">
      <c r="A10774" s="34">
        <v>66546</v>
      </c>
      <c r="B10774" s="35">
        <v>1</v>
      </c>
      <c r="C10774" s="35">
        <v>0</v>
      </c>
      <c r="D10774" s="2">
        <f t="shared" si="168"/>
        <v>1</v>
      </c>
    </row>
    <row r="10775" spans="1:4" x14ac:dyDescent="0.3">
      <c r="A10775" s="34">
        <v>66547</v>
      </c>
      <c r="B10775" s="35">
        <v>1</v>
      </c>
      <c r="C10775" s="35">
        <v>0</v>
      </c>
      <c r="D10775" s="2">
        <f t="shared" si="168"/>
        <v>1</v>
      </c>
    </row>
    <row r="10776" spans="1:4" x14ac:dyDescent="0.3">
      <c r="A10776" s="34">
        <v>66548</v>
      </c>
      <c r="B10776" s="35">
        <v>1</v>
      </c>
      <c r="C10776" s="35">
        <v>0</v>
      </c>
      <c r="D10776" s="2">
        <f t="shared" si="168"/>
        <v>1</v>
      </c>
    </row>
    <row r="10777" spans="1:4" x14ac:dyDescent="0.3">
      <c r="A10777" s="34">
        <v>66551</v>
      </c>
      <c r="B10777" s="35">
        <v>1</v>
      </c>
      <c r="C10777" s="35">
        <v>0</v>
      </c>
      <c r="D10777" s="2">
        <f t="shared" si="168"/>
        <v>1</v>
      </c>
    </row>
    <row r="10778" spans="1:4" x14ac:dyDescent="0.3">
      <c r="A10778" s="34">
        <v>66552</v>
      </c>
      <c r="B10778" s="35">
        <v>1</v>
      </c>
      <c r="C10778" s="35">
        <v>0</v>
      </c>
      <c r="D10778" s="2">
        <f t="shared" si="168"/>
        <v>1</v>
      </c>
    </row>
    <row r="10779" spans="1:4" x14ac:dyDescent="0.3">
      <c r="A10779" s="34">
        <v>66553</v>
      </c>
      <c r="B10779" s="35">
        <v>1</v>
      </c>
      <c r="C10779" s="35">
        <v>0</v>
      </c>
      <c r="D10779" s="2">
        <f t="shared" si="168"/>
        <v>1</v>
      </c>
    </row>
    <row r="10780" spans="1:4" x14ac:dyDescent="0.3">
      <c r="A10780" s="34">
        <v>66554</v>
      </c>
      <c r="B10780" s="35">
        <v>1</v>
      </c>
      <c r="C10780" s="35">
        <v>0</v>
      </c>
      <c r="D10780" s="2">
        <f t="shared" si="168"/>
        <v>1</v>
      </c>
    </row>
    <row r="10781" spans="1:4" x14ac:dyDescent="0.3">
      <c r="A10781" s="34">
        <v>66555</v>
      </c>
      <c r="B10781" s="35">
        <v>1</v>
      </c>
      <c r="C10781" s="35">
        <v>0</v>
      </c>
      <c r="D10781" s="2">
        <f t="shared" si="168"/>
        <v>1</v>
      </c>
    </row>
    <row r="10782" spans="1:4" x14ac:dyDescent="0.3">
      <c r="A10782" s="34">
        <v>66556</v>
      </c>
      <c r="B10782" s="35">
        <v>1</v>
      </c>
      <c r="C10782" s="35">
        <v>0</v>
      </c>
      <c r="D10782" s="2">
        <f t="shared" si="168"/>
        <v>1</v>
      </c>
    </row>
    <row r="10783" spans="1:4" x14ac:dyDescent="0.3">
      <c r="A10783" s="34">
        <v>66558</v>
      </c>
      <c r="B10783" s="35">
        <v>1</v>
      </c>
      <c r="C10783" s="35">
        <v>0</v>
      </c>
      <c r="D10783" s="2">
        <f t="shared" si="168"/>
        <v>1</v>
      </c>
    </row>
    <row r="10784" spans="1:4" x14ac:dyDescent="0.3">
      <c r="A10784" s="34">
        <v>66559</v>
      </c>
      <c r="B10784" s="35">
        <v>1</v>
      </c>
      <c r="C10784" s="35">
        <v>0</v>
      </c>
      <c r="D10784" s="2">
        <f t="shared" si="168"/>
        <v>1</v>
      </c>
    </row>
    <row r="10785" spans="1:4" x14ac:dyDescent="0.3">
      <c r="A10785" s="34">
        <v>66560</v>
      </c>
      <c r="B10785" s="35">
        <v>1</v>
      </c>
      <c r="C10785" s="35">
        <v>0</v>
      </c>
      <c r="D10785" s="2">
        <f t="shared" si="168"/>
        <v>1</v>
      </c>
    </row>
    <row r="10786" spans="1:4" x14ac:dyDescent="0.3">
      <c r="A10786" s="34">
        <v>66562</v>
      </c>
      <c r="B10786" s="35">
        <v>1</v>
      </c>
      <c r="C10786" s="35">
        <v>0</v>
      </c>
      <c r="D10786" s="2">
        <f t="shared" si="168"/>
        <v>1</v>
      </c>
    </row>
    <row r="10787" spans="1:4" x14ac:dyDescent="0.3">
      <c r="A10787" s="34">
        <v>66563</v>
      </c>
      <c r="B10787" s="35">
        <v>1</v>
      </c>
      <c r="C10787" s="35">
        <v>0</v>
      </c>
      <c r="D10787" s="2">
        <f t="shared" si="168"/>
        <v>1</v>
      </c>
    </row>
    <row r="10788" spans="1:4" x14ac:dyDescent="0.3">
      <c r="A10788" s="34">
        <v>66564</v>
      </c>
      <c r="B10788" s="35">
        <v>1</v>
      </c>
      <c r="C10788" s="35">
        <v>0</v>
      </c>
      <c r="D10788" s="2">
        <f t="shared" si="168"/>
        <v>1</v>
      </c>
    </row>
    <row r="10789" spans="1:4" x14ac:dyDescent="0.3">
      <c r="A10789" s="34">
        <v>66566</v>
      </c>
      <c r="B10789" s="35">
        <v>1</v>
      </c>
      <c r="C10789" s="35">
        <v>0</v>
      </c>
      <c r="D10789" s="2">
        <f t="shared" si="168"/>
        <v>1</v>
      </c>
    </row>
    <row r="10790" spans="1:4" x14ac:dyDescent="0.3">
      <c r="A10790" s="34">
        <v>66567</v>
      </c>
      <c r="B10790" s="35">
        <v>1</v>
      </c>
      <c r="C10790" s="35">
        <v>0</v>
      </c>
      <c r="D10790" s="2">
        <f t="shared" si="168"/>
        <v>1</v>
      </c>
    </row>
    <row r="10791" spans="1:4" x14ac:dyDescent="0.3">
      <c r="A10791" s="34">
        <v>66570</v>
      </c>
      <c r="B10791" s="35">
        <v>1</v>
      </c>
      <c r="C10791" s="35">
        <v>0</v>
      </c>
      <c r="D10791" s="2">
        <f t="shared" si="168"/>
        <v>1</v>
      </c>
    </row>
    <row r="10792" spans="1:4" x14ac:dyDescent="0.3">
      <c r="A10792" s="34">
        <v>66572</v>
      </c>
      <c r="B10792" s="35">
        <v>1</v>
      </c>
      <c r="C10792" s="35">
        <v>0</v>
      </c>
      <c r="D10792" s="2">
        <f t="shared" si="168"/>
        <v>1</v>
      </c>
    </row>
    <row r="10793" spans="1:4" x14ac:dyDescent="0.3">
      <c r="A10793" s="34">
        <v>66573</v>
      </c>
      <c r="B10793" s="35">
        <v>1</v>
      </c>
      <c r="C10793" s="35">
        <v>0</v>
      </c>
      <c r="D10793" s="2">
        <f t="shared" si="168"/>
        <v>1</v>
      </c>
    </row>
    <row r="10794" spans="1:4" x14ac:dyDescent="0.3">
      <c r="A10794" s="34">
        <v>66576</v>
      </c>
      <c r="B10794" s="35">
        <v>1</v>
      </c>
      <c r="C10794" s="35">
        <v>0</v>
      </c>
      <c r="D10794" s="2">
        <f t="shared" si="168"/>
        <v>1</v>
      </c>
    </row>
    <row r="10795" spans="1:4" x14ac:dyDescent="0.3">
      <c r="A10795" s="34">
        <v>66579</v>
      </c>
      <c r="B10795" s="35">
        <v>1</v>
      </c>
      <c r="C10795" s="35">
        <v>0</v>
      </c>
      <c r="D10795" s="2">
        <f t="shared" si="168"/>
        <v>1</v>
      </c>
    </row>
    <row r="10796" spans="1:4" x14ac:dyDescent="0.3">
      <c r="A10796" s="34">
        <v>66583</v>
      </c>
      <c r="B10796" s="35">
        <v>1</v>
      </c>
      <c r="C10796" s="35">
        <v>0</v>
      </c>
      <c r="D10796" s="2">
        <f t="shared" si="168"/>
        <v>1</v>
      </c>
    </row>
    <row r="10797" spans="1:4" x14ac:dyDescent="0.3">
      <c r="A10797" s="34">
        <v>66585</v>
      </c>
      <c r="B10797" s="35">
        <v>1</v>
      </c>
      <c r="C10797" s="35">
        <v>1</v>
      </c>
      <c r="D10797" s="2">
        <f t="shared" si="168"/>
        <v>2</v>
      </c>
    </row>
    <row r="10798" spans="1:4" x14ac:dyDescent="0.3">
      <c r="A10798" s="34">
        <v>66586</v>
      </c>
      <c r="B10798" s="35">
        <v>1</v>
      </c>
      <c r="C10798" s="35">
        <v>0</v>
      </c>
      <c r="D10798" s="2">
        <f t="shared" si="168"/>
        <v>1</v>
      </c>
    </row>
    <row r="10799" spans="1:4" x14ac:dyDescent="0.3">
      <c r="A10799" s="34">
        <v>66591</v>
      </c>
      <c r="B10799" s="35">
        <v>1</v>
      </c>
      <c r="C10799" s="35">
        <v>0</v>
      </c>
      <c r="D10799" s="2">
        <f t="shared" si="168"/>
        <v>1</v>
      </c>
    </row>
    <row r="10800" spans="1:4" x14ac:dyDescent="0.3">
      <c r="A10800" s="34">
        <v>66592</v>
      </c>
      <c r="B10800" s="35">
        <v>1</v>
      </c>
      <c r="C10800" s="35">
        <v>0</v>
      </c>
      <c r="D10800" s="2">
        <f t="shared" si="168"/>
        <v>1</v>
      </c>
    </row>
    <row r="10801" spans="1:4" x14ac:dyDescent="0.3">
      <c r="A10801" s="34">
        <v>66593</v>
      </c>
      <c r="B10801" s="35">
        <v>1</v>
      </c>
      <c r="C10801" s="35">
        <v>0</v>
      </c>
      <c r="D10801" s="2">
        <f t="shared" si="168"/>
        <v>1</v>
      </c>
    </row>
    <row r="10802" spans="1:4" x14ac:dyDescent="0.3">
      <c r="A10802" s="34">
        <v>66594</v>
      </c>
      <c r="B10802" s="35">
        <v>1</v>
      </c>
      <c r="C10802" s="35">
        <v>0</v>
      </c>
      <c r="D10802" s="2">
        <f t="shared" si="168"/>
        <v>1</v>
      </c>
    </row>
    <row r="10803" spans="1:4" x14ac:dyDescent="0.3">
      <c r="A10803" s="34">
        <v>66600</v>
      </c>
      <c r="B10803" s="35">
        <v>1</v>
      </c>
      <c r="C10803" s="35">
        <v>0</v>
      </c>
      <c r="D10803" s="2">
        <f t="shared" si="168"/>
        <v>1</v>
      </c>
    </row>
    <row r="10804" spans="1:4" x14ac:dyDescent="0.3">
      <c r="A10804" s="34">
        <v>66602</v>
      </c>
      <c r="B10804" s="35">
        <v>1</v>
      </c>
      <c r="C10804" s="35">
        <v>0</v>
      </c>
      <c r="D10804" s="2">
        <f t="shared" si="168"/>
        <v>1</v>
      </c>
    </row>
    <row r="10805" spans="1:4" x14ac:dyDescent="0.3">
      <c r="A10805" s="34">
        <v>66607</v>
      </c>
      <c r="B10805" s="35">
        <v>1</v>
      </c>
      <c r="C10805" s="35">
        <v>1</v>
      </c>
      <c r="D10805" s="2">
        <f t="shared" si="168"/>
        <v>2</v>
      </c>
    </row>
    <row r="10806" spans="1:4" x14ac:dyDescent="0.3">
      <c r="A10806" s="34">
        <v>66609</v>
      </c>
      <c r="B10806" s="35">
        <v>1</v>
      </c>
      <c r="C10806" s="35">
        <v>0</v>
      </c>
      <c r="D10806" s="2">
        <f t="shared" si="168"/>
        <v>1</v>
      </c>
    </row>
    <row r="10807" spans="1:4" x14ac:dyDescent="0.3">
      <c r="A10807" s="34">
        <v>66612</v>
      </c>
      <c r="B10807" s="35">
        <v>1</v>
      </c>
      <c r="C10807" s="35">
        <v>1</v>
      </c>
      <c r="D10807" s="2">
        <f t="shared" si="168"/>
        <v>2</v>
      </c>
    </row>
    <row r="10808" spans="1:4" x14ac:dyDescent="0.3">
      <c r="A10808" s="34">
        <v>66613</v>
      </c>
      <c r="B10808" s="35">
        <v>1</v>
      </c>
      <c r="C10808" s="35">
        <v>1</v>
      </c>
      <c r="D10808" s="2">
        <f t="shared" si="168"/>
        <v>2</v>
      </c>
    </row>
    <row r="10809" spans="1:4" x14ac:dyDescent="0.3">
      <c r="A10809" s="34">
        <v>66614</v>
      </c>
      <c r="B10809" s="35">
        <v>1</v>
      </c>
      <c r="C10809" s="35">
        <v>0</v>
      </c>
      <c r="D10809" s="2">
        <f t="shared" si="168"/>
        <v>1</v>
      </c>
    </row>
    <row r="10810" spans="1:4" x14ac:dyDescent="0.3">
      <c r="A10810" s="34">
        <v>66615</v>
      </c>
      <c r="B10810" s="35">
        <v>1</v>
      </c>
      <c r="C10810" s="35">
        <v>0</v>
      </c>
      <c r="D10810" s="2">
        <f t="shared" si="168"/>
        <v>1</v>
      </c>
    </row>
    <row r="10811" spans="1:4" x14ac:dyDescent="0.3">
      <c r="A10811" s="34">
        <v>66617</v>
      </c>
      <c r="B10811" s="35">
        <v>1</v>
      </c>
      <c r="C10811" s="35">
        <v>0</v>
      </c>
      <c r="D10811" s="2">
        <f t="shared" si="168"/>
        <v>1</v>
      </c>
    </row>
    <row r="10812" spans="1:4" x14ac:dyDescent="0.3">
      <c r="A10812" s="34">
        <v>66619</v>
      </c>
      <c r="B10812" s="35">
        <v>1</v>
      </c>
      <c r="C10812" s="35">
        <v>1</v>
      </c>
      <c r="D10812" s="2">
        <f t="shared" si="168"/>
        <v>2</v>
      </c>
    </row>
    <row r="10813" spans="1:4" x14ac:dyDescent="0.3">
      <c r="A10813" s="34">
        <v>66652</v>
      </c>
      <c r="B10813" s="35">
        <v>1</v>
      </c>
      <c r="C10813" s="35">
        <v>0</v>
      </c>
      <c r="D10813" s="2">
        <f t="shared" si="168"/>
        <v>1</v>
      </c>
    </row>
    <row r="10814" spans="1:4" x14ac:dyDescent="0.3">
      <c r="A10814" s="34">
        <v>66656</v>
      </c>
      <c r="B10814" s="35">
        <v>1</v>
      </c>
      <c r="C10814" s="35">
        <v>1</v>
      </c>
      <c r="D10814" s="2">
        <f t="shared" si="168"/>
        <v>2</v>
      </c>
    </row>
    <row r="10815" spans="1:4" x14ac:dyDescent="0.3">
      <c r="A10815" s="34">
        <v>66657</v>
      </c>
      <c r="B10815" s="35">
        <v>1</v>
      </c>
      <c r="C10815" s="35">
        <v>0</v>
      </c>
      <c r="D10815" s="2">
        <f t="shared" si="168"/>
        <v>1</v>
      </c>
    </row>
    <row r="10816" spans="1:4" x14ac:dyDescent="0.3">
      <c r="A10816" s="34">
        <v>66658</v>
      </c>
      <c r="B10816" s="35">
        <v>1</v>
      </c>
      <c r="C10816" s="35">
        <v>1</v>
      </c>
      <c r="D10816" s="2">
        <f t="shared" si="168"/>
        <v>2</v>
      </c>
    </row>
    <row r="10817" spans="1:4" x14ac:dyDescent="0.3">
      <c r="A10817" s="34">
        <v>66659</v>
      </c>
      <c r="B10817" s="35">
        <v>1</v>
      </c>
      <c r="C10817" s="35">
        <v>0</v>
      </c>
      <c r="D10817" s="2">
        <f t="shared" si="168"/>
        <v>1</v>
      </c>
    </row>
    <row r="10818" spans="1:4" x14ac:dyDescent="0.3">
      <c r="A10818" s="34">
        <v>66661</v>
      </c>
      <c r="B10818" s="35">
        <v>1</v>
      </c>
      <c r="C10818" s="35">
        <v>0</v>
      </c>
      <c r="D10818" s="2">
        <f t="shared" si="168"/>
        <v>1</v>
      </c>
    </row>
    <row r="10819" spans="1:4" x14ac:dyDescent="0.3">
      <c r="A10819" s="34">
        <v>66663</v>
      </c>
      <c r="B10819" s="35">
        <v>1</v>
      </c>
      <c r="C10819" s="35">
        <v>0</v>
      </c>
      <c r="D10819" s="2">
        <f t="shared" ref="D10819:D10882" si="169">B10819+C10819</f>
        <v>1</v>
      </c>
    </row>
    <row r="10820" spans="1:4" x14ac:dyDescent="0.3">
      <c r="A10820" s="34">
        <v>66664</v>
      </c>
      <c r="B10820" s="35">
        <v>1</v>
      </c>
      <c r="C10820" s="35">
        <v>0</v>
      </c>
      <c r="D10820" s="2">
        <f t="shared" si="169"/>
        <v>1</v>
      </c>
    </row>
    <row r="10821" spans="1:4" x14ac:dyDescent="0.3">
      <c r="A10821" s="34">
        <v>66666</v>
      </c>
      <c r="B10821" s="35">
        <v>1</v>
      </c>
      <c r="C10821" s="35">
        <v>0</v>
      </c>
      <c r="D10821" s="2">
        <f t="shared" si="169"/>
        <v>1</v>
      </c>
    </row>
    <row r="10822" spans="1:4" x14ac:dyDescent="0.3">
      <c r="A10822" s="34">
        <v>66667</v>
      </c>
      <c r="B10822" s="35">
        <v>1</v>
      </c>
      <c r="C10822" s="35">
        <v>0</v>
      </c>
      <c r="D10822" s="2">
        <f t="shared" si="169"/>
        <v>1</v>
      </c>
    </row>
    <row r="10823" spans="1:4" x14ac:dyDescent="0.3">
      <c r="A10823" s="34">
        <v>66669</v>
      </c>
      <c r="B10823" s="35">
        <v>1</v>
      </c>
      <c r="C10823" s="35">
        <v>0</v>
      </c>
      <c r="D10823" s="2">
        <f t="shared" si="169"/>
        <v>1</v>
      </c>
    </row>
    <row r="10824" spans="1:4" x14ac:dyDescent="0.3">
      <c r="A10824" s="34">
        <v>66671</v>
      </c>
      <c r="B10824" s="35">
        <v>1</v>
      </c>
      <c r="C10824" s="35">
        <v>0</v>
      </c>
      <c r="D10824" s="2">
        <f t="shared" si="169"/>
        <v>1</v>
      </c>
    </row>
    <row r="10825" spans="1:4" x14ac:dyDescent="0.3">
      <c r="A10825" s="34">
        <v>66672</v>
      </c>
      <c r="B10825" s="35">
        <v>1</v>
      </c>
      <c r="C10825" s="35">
        <v>0</v>
      </c>
      <c r="D10825" s="2">
        <f t="shared" si="169"/>
        <v>1</v>
      </c>
    </row>
    <row r="10826" spans="1:4" x14ac:dyDescent="0.3">
      <c r="A10826" s="34">
        <v>66675</v>
      </c>
      <c r="B10826" s="35">
        <v>1</v>
      </c>
      <c r="C10826" s="35">
        <v>0</v>
      </c>
      <c r="D10826" s="2">
        <f t="shared" si="169"/>
        <v>1</v>
      </c>
    </row>
    <row r="10827" spans="1:4" x14ac:dyDescent="0.3">
      <c r="A10827" s="34">
        <v>66676</v>
      </c>
      <c r="B10827" s="35">
        <v>1</v>
      </c>
      <c r="C10827" s="35">
        <v>0</v>
      </c>
      <c r="D10827" s="2">
        <f t="shared" si="169"/>
        <v>1</v>
      </c>
    </row>
    <row r="10828" spans="1:4" x14ac:dyDescent="0.3">
      <c r="A10828" s="34">
        <v>66677</v>
      </c>
      <c r="B10828" s="35">
        <v>1</v>
      </c>
      <c r="C10828" s="35">
        <v>0</v>
      </c>
      <c r="D10828" s="2">
        <f t="shared" si="169"/>
        <v>1</v>
      </c>
    </row>
    <row r="10829" spans="1:4" x14ac:dyDescent="0.3">
      <c r="A10829" s="34">
        <v>66699</v>
      </c>
      <c r="B10829" s="35">
        <v>1</v>
      </c>
      <c r="C10829" s="35">
        <v>0</v>
      </c>
      <c r="D10829" s="2">
        <f t="shared" si="169"/>
        <v>1</v>
      </c>
    </row>
    <row r="10830" spans="1:4" x14ac:dyDescent="0.3">
      <c r="A10830" s="34">
        <v>66701</v>
      </c>
      <c r="B10830" s="35">
        <v>1</v>
      </c>
      <c r="C10830" s="35">
        <v>1</v>
      </c>
      <c r="D10830" s="2">
        <f t="shared" si="169"/>
        <v>2</v>
      </c>
    </row>
    <row r="10831" spans="1:4" x14ac:dyDescent="0.3">
      <c r="A10831" s="34">
        <v>66702</v>
      </c>
      <c r="B10831" s="35">
        <v>1</v>
      </c>
      <c r="C10831" s="35">
        <v>1</v>
      </c>
      <c r="D10831" s="2">
        <f t="shared" si="169"/>
        <v>2</v>
      </c>
    </row>
    <row r="10832" spans="1:4" x14ac:dyDescent="0.3">
      <c r="A10832" s="34">
        <v>66703</v>
      </c>
      <c r="B10832" s="35">
        <v>1</v>
      </c>
      <c r="C10832" s="35">
        <v>0</v>
      </c>
      <c r="D10832" s="2">
        <f t="shared" si="169"/>
        <v>1</v>
      </c>
    </row>
    <row r="10833" spans="1:4" x14ac:dyDescent="0.3">
      <c r="A10833" s="34">
        <v>66704</v>
      </c>
      <c r="B10833" s="35">
        <v>1</v>
      </c>
      <c r="C10833" s="35">
        <v>0</v>
      </c>
      <c r="D10833" s="2">
        <f t="shared" si="169"/>
        <v>1</v>
      </c>
    </row>
    <row r="10834" spans="1:4" x14ac:dyDescent="0.3">
      <c r="A10834" s="34">
        <v>66705</v>
      </c>
      <c r="B10834" s="35">
        <v>1</v>
      </c>
      <c r="C10834" s="35">
        <v>0</v>
      </c>
      <c r="D10834" s="2">
        <f t="shared" si="169"/>
        <v>1</v>
      </c>
    </row>
    <row r="10835" spans="1:4" x14ac:dyDescent="0.3">
      <c r="A10835" s="34">
        <v>66706</v>
      </c>
      <c r="B10835" s="35">
        <v>1</v>
      </c>
      <c r="C10835" s="35">
        <v>1</v>
      </c>
      <c r="D10835" s="2">
        <f t="shared" si="169"/>
        <v>2</v>
      </c>
    </row>
    <row r="10836" spans="1:4" x14ac:dyDescent="0.3">
      <c r="A10836" s="34">
        <v>66707</v>
      </c>
      <c r="B10836" s="35">
        <v>1</v>
      </c>
      <c r="C10836" s="35">
        <v>0</v>
      </c>
      <c r="D10836" s="2">
        <f t="shared" si="169"/>
        <v>1</v>
      </c>
    </row>
    <row r="10837" spans="1:4" x14ac:dyDescent="0.3">
      <c r="A10837" s="34">
        <v>66708</v>
      </c>
      <c r="B10837" s="35">
        <v>1</v>
      </c>
      <c r="C10837" s="35">
        <v>0</v>
      </c>
      <c r="D10837" s="2">
        <f t="shared" si="169"/>
        <v>1</v>
      </c>
    </row>
    <row r="10838" spans="1:4" x14ac:dyDescent="0.3">
      <c r="A10838" s="34">
        <v>66709</v>
      </c>
      <c r="B10838" s="35">
        <v>1</v>
      </c>
      <c r="C10838" s="35">
        <v>0</v>
      </c>
      <c r="D10838" s="2">
        <f t="shared" si="169"/>
        <v>1</v>
      </c>
    </row>
    <row r="10839" spans="1:4" x14ac:dyDescent="0.3">
      <c r="A10839" s="34">
        <v>66710</v>
      </c>
      <c r="B10839" s="35">
        <v>1</v>
      </c>
      <c r="C10839" s="35">
        <v>0</v>
      </c>
      <c r="D10839" s="2">
        <f t="shared" si="169"/>
        <v>1</v>
      </c>
    </row>
    <row r="10840" spans="1:4" x14ac:dyDescent="0.3">
      <c r="A10840" s="34">
        <v>66712</v>
      </c>
      <c r="B10840" s="35">
        <v>1</v>
      </c>
      <c r="C10840" s="35">
        <v>1</v>
      </c>
      <c r="D10840" s="2">
        <f t="shared" si="169"/>
        <v>2</v>
      </c>
    </row>
    <row r="10841" spans="1:4" x14ac:dyDescent="0.3">
      <c r="A10841" s="34">
        <v>66719</v>
      </c>
      <c r="B10841" s="35">
        <v>1</v>
      </c>
      <c r="C10841" s="35">
        <v>1</v>
      </c>
      <c r="D10841" s="2">
        <f t="shared" si="169"/>
        <v>2</v>
      </c>
    </row>
    <row r="10842" spans="1:4" x14ac:dyDescent="0.3">
      <c r="A10842" s="34">
        <v>66720</v>
      </c>
      <c r="B10842" s="35">
        <v>1</v>
      </c>
      <c r="C10842" s="35">
        <v>0</v>
      </c>
      <c r="D10842" s="2">
        <f t="shared" si="169"/>
        <v>1</v>
      </c>
    </row>
    <row r="10843" spans="1:4" x14ac:dyDescent="0.3">
      <c r="A10843" s="34">
        <v>66721</v>
      </c>
      <c r="B10843" s="35">
        <v>1</v>
      </c>
      <c r="C10843" s="35">
        <v>0</v>
      </c>
      <c r="D10843" s="2">
        <f t="shared" si="169"/>
        <v>1</v>
      </c>
    </row>
    <row r="10844" spans="1:4" x14ac:dyDescent="0.3">
      <c r="A10844" s="34">
        <v>66722</v>
      </c>
      <c r="B10844" s="35">
        <v>1</v>
      </c>
      <c r="C10844" s="35">
        <v>0</v>
      </c>
      <c r="D10844" s="2">
        <f t="shared" si="169"/>
        <v>1</v>
      </c>
    </row>
    <row r="10845" spans="1:4" x14ac:dyDescent="0.3">
      <c r="A10845" s="34">
        <v>66723</v>
      </c>
      <c r="B10845" s="35">
        <v>1</v>
      </c>
      <c r="C10845" s="35">
        <v>0</v>
      </c>
      <c r="D10845" s="2">
        <f t="shared" si="169"/>
        <v>1</v>
      </c>
    </row>
    <row r="10846" spans="1:4" x14ac:dyDescent="0.3">
      <c r="A10846" s="34">
        <v>66724</v>
      </c>
      <c r="B10846" s="35">
        <v>1</v>
      </c>
      <c r="C10846" s="35">
        <v>1</v>
      </c>
      <c r="D10846" s="2">
        <f t="shared" si="169"/>
        <v>2</v>
      </c>
    </row>
    <row r="10847" spans="1:4" x14ac:dyDescent="0.3">
      <c r="A10847" s="34">
        <v>66725</v>
      </c>
      <c r="B10847" s="35">
        <v>1</v>
      </c>
      <c r="C10847" s="35">
        <v>0</v>
      </c>
      <c r="D10847" s="2">
        <f t="shared" si="169"/>
        <v>1</v>
      </c>
    </row>
    <row r="10848" spans="1:4" x14ac:dyDescent="0.3">
      <c r="A10848" s="34">
        <v>66726</v>
      </c>
      <c r="B10848" s="35">
        <v>1</v>
      </c>
      <c r="C10848" s="35">
        <v>0</v>
      </c>
      <c r="D10848" s="2">
        <f t="shared" si="169"/>
        <v>1</v>
      </c>
    </row>
    <row r="10849" spans="1:4" x14ac:dyDescent="0.3">
      <c r="A10849" s="34">
        <v>66727</v>
      </c>
      <c r="B10849" s="35">
        <v>1</v>
      </c>
      <c r="C10849" s="35">
        <v>1</v>
      </c>
      <c r="D10849" s="2">
        <f t="shared" si="169"/>
        <v>2</v>
      </c>
    </row>
    <row r="10850" spans="1:4" x14ac:dyDescent="0.3">
      <c r="A10850" s="34">
        <v>66728</v>
      </c>
      <c r="B10850" s="35">
        <v>1</v>
      </c>
      <c r="C10850" s="35">
        <v>1</v>
      </c>
      <c r="D10850" s="2">
        <f t="shared" si="169"/>
        <v>2</v>
      </c>
    </row>
    <row r="10851" spans="1:4" x14ac:dyDescent="0.3">
      <c r="A10851" s="34">
        <v>66733</v>
      </c>
      <c r="B10851" s="35">
        <v>1</v>
      </c>
      <c r="C10851" s="35">
        <v>0</v>
      </c>
      <c r="D10851" s="2">
        <f t="shared" si="169"/>
        <v>1</v>
      </c>
    </row>
    <row r="10852" spans="1:4" x14ac:dyDescent="0.3">
      <c r="A10852" s="34">
        <v>66734</v>
      </c>
      <c r="B10852" s="35">
        <v>1</v>
      </c>
      <c r="C10852" s="35">
        <v>0</v>
      </c>
      <c r="D10852" s="2">
        <f t="shared" si="169"/>
        <v>1</v>
      </c>
    </row>
    <row r="10853" spans="1:4" x14ac:dyDescent="0.3">
      <c r="A10853" s="34">
        <v>66775</v>
      </c>
      <c r="B10853" s="35">
        <v>1</v>
      </c>
      <c r="C10853" s="35">
        <v>0</v>
      </c>
      <c r="D10853" s="2">
        <f t="shared" si="169"/>
        <v>1</v>
      </c>
    </row>
    <row r="10854" spans="1:4" x14ac:dyDescent="0.3">
      <c r="A10854" s="34">
        <v>66776</v>
      </c>
      <c r="B10854" s="35">
        <v>1</v>
      </c>
      <c r="C10854" s="35">
        <v>0</v>
      </c>
      <c r="D10854" s="2">
        <f t="shared" si="169"/>
        <v>1</v>
      </c>
    </row>
    <row r="10855" spans="1:4" x14ac:dyDescent="0.3">
      <c r="A10855" s="34">
        <v>66780</v>
      </c>
      <c r="B10855" s="35">
        <v>1</v>
      </c>
      <c r="C10855" s="35">
        <v>0</v>
      </c>
      <c r="D10855" s="2">
        <f t="shared" si="169"/>
        <v>1</v>
      </c>
    </row>
    <row r="10856" spans="1:4" x14ac:dyDescent="0.3">
      <c r="A10856" s="34">
        <v>66781</v>
      </c>
      <c r="B10856" s="35">
        <v>1</v>
      </c>
      <c r="C10856" s="35">
        <v>0</v>
      </c>
      <c r="D10856" s="2">
        <f t="shared" si="169"/>
        <v>1</v>
      </c>
    </row>
    <row r="10857" spans="1:4" x14ac:dyDescent="0.3">
      <c r="A10857" s="34">
        <v>66787</v>
      </c>
      <c r="B10857" s="35">
        <v>1</v>
      </c>
      <c r="C10857" s="35">
        <v>0</v>
      </c>
      <c r="D10857" s="2">
        <f t="shared" si="169"/>
        <v>1</v>
      </c>
    </row>
    <row r="10858" spans="1:4" x14ac:dyDescent="0.3">
      <c r="A10858" s="34">
        <v>66788</v>
      </c>
      <c r="B10858" s="35">
        <v>1</v>
      </c>
      <c r="C10858" s="35">
        <v>0</v>
      </c>
      <c r="D10858" s="2">
        <f t="shared" si="169"/>
        <v>1</v>
      </c>
    </row>
    <row r="10859" spans="1:4" x14ac:dyDescent="0.3">
      <c r="A10859" s="34">
        <v>66792</v>
      </c>
      <c r="B10859" s="35">
        <v>1</v>
      </c>
      <c r="C10859" s="35">
        <v>0</v>
      </c>
      <c r="D10859" s="2">
        <f t="shared" si="169"/>
        <v>1</v>
      </c>
    </row>
    <row r="10860" spans="1:4" x14ac:dyDescent="0.3">
      <c r="A10860" s="34">
        <v>66794</v>
      </c>
      <c r="B10860" s="35">
        <v>1</v>
      </c>
      <c r="C10860" s="35">
        <v>0</v>
      </c>
      <c r="D10860" s="2">
        <f t="shared" si="169"/>
        <v>1</v>
      </c>
    </row>
    <row r="10861" spans="1:4" x14ac:dyDescent="0.3">
      <c r="A10861" s="34">
        <v>66795</v>
      </c>
      <c r="B10861" s="35">
        <v>1</v>
      </c>
      <c r="C10861" s="35">
        <v>1</v>
      </c>
      <c r="D10861" s="2">
        <f t="shared" si="169"/>
        <v>2</v>
      </c>
    </row>
    <row r="10862" spans="1:4" x14ac:dyDescent="0.3">
      <c r="A10862" s="34">
        <v>66796</v>
      </c>
      <c r="B10862" s="35">
        <v>1</v>
      </c>
      <c r="C10862" s="35">
        <v>0</v>
      </c>
      <c r="D10862" s="2">
        <f t="shared" si="169"/>
        <v>1</v>
      </c>
    </row>
    <row r="10863" spans="1:4" x14ac:dyDescent="0.3">
      <c r="A10863" s="34">
        <v>66797</v>
      </c>
      <c r="B10863" s="35">
        <v>1</v>
      </c>
      <c r="C10863" s="35">
        <v>0</v>
      </c>
      <c r="D10863" s="2">
        <f t="shared" si="169"/>
        <v>1</v>
      </c>
    </row>
    <row r="10864" spans="1:4" x14ac:dyDescent="0.3">
      <c r="A10864" s="34">
        <v>66800</v>
      </c>
      <c r="B10864" s="35">
        <v>1</v>
      </c>
      <c r="C10864" s="35">
        <v>0</v>
      </c>
      <c r="D10864" s="2">
        <f t="shared" si="169"/>
        <v>1</v>
      </c>
    </row>
    <row r="10865" spans="1:4" x14ac:dyDescent="0.3">
      <c r="A10865" s="34">
        <v>66801</v>
      </c>
      <c r="B10865" s="35">
        <v>1</v>
      </c>
      <c r="C10865" s="35">
        <v>0</v>
      </c>
      <c r="D10865" s="2">
        <f t="shared" si="169"/>
        <v>1</v>
      </c>
    </row>
    <row r="10866" spans="1:4" x14ac:dyDescent="0.3">
      <c r="A10866" s="34">
        <v>66804</v>
      </c>
      <c r="B10866" s="35">
        <v>1</v>
      </c>
      <c r="C10866" s="35">
        <v>0</v>
      </c>
      <c r="D10866" s="2">
        <f t="shared" si="169"/>
        <v>1</v>
      </c>
    </row>
    <row r="10867" spans="1:4" x14ac:dyDescent="0.3">
      <c r="A10867" s="34">
        <v>66805</v>
      </c>
      <c r="B10867" s="35">
        <v>1</v>
      </c>
      <c r="C10867" s="35">
        <v>0</v>
      </c>
      <c r="D10867" s="2">
        <f t="shared" si="169"/>
        <v>1</v>
      </c>
    </row>
    <row r="10868" spans="1:4" x14ac:dyDescent="0.3">
      <c r="A10868" s="34">
        <v>66806</v>
      </c>
      <c r="B10868" s="35">
        <v>1</v>
      </c>
      <c r="C10868" s="35">
        <v>0</v>
      </c>
      <c r="D10868" s="2">
        <f t="shared" si="169"/>
        <v>1</v>
      </c>
    </row>
    <row r="10869" spans="1:4" x14ac:dyDescent="0.3">
      <c r="A10869" s="34">
        <v>66808</v>
      </c>
      <c r="B10869" s="35">
        <v>1</v>
      </c>
      <c r="C10869" s="35">
        <v>0</v>
      </c>
      <c r="D10869" s="2">
        <f t="shared" si="169"/>
        <v>1</v>
      </c>
    </row>
    <row r="10870" spans="1:4" x14ac:dyDescent="0.3">
      <c r="A10870" s="34">
        <v>66809</v>
      </c>
      <c r="B10870" s="35">
        <v>1</v>
      </c>
      <c r="C10870" s="35">
        <v>0</v>
      </c>
      <c r="D10870" s="2">
        <f t="shared" si="169"/>
        <v>1</v>
      </c>
    </row>
    <row r="10871" spans="1:4" x14ac:dyDescent="0.3">
      <c r="A10871" s="34">
        <v>66810</v>
      </c>
      <c r="B10871" s="35">
        <v>1</v>
      </c>
      <c r="C10871" s="35">
        <v>1</v>
      </c>
      <c r="D10871" s="2">
        <f t="shared" si="169"/>
        <v>2</v>
      </c>
    </row>
    <row r="10872" spans="1:4" x14ac:dyDescent="0.3">
      <c r="A10872" s="34">
        <v>66811</v>
      </c>
      <c r="B10872" s="35">
        <v>1</v>
      </c>
      <c r="C10872" s="35">
        <v>0</v>
      </c>
      <c r="D10872" s="2">
        <f t="shared" si="169"/>
        <v>1</v>
      </c>
    </row>
    <row r="10873" spans="1:4" x14ac:dyDescent="0.3">
      <c r="A10873" s="34">
        <v>66816</v>
      </c>
      <c r="B10873" s="35">
        <v>1</v>
      </c>
      <c r="C10873" s="35">
        <v>0</v>
      </c>
      <c r="D10873" s="2">
        <f t="shared" si="169"/>
        <v>1</v>
      </c>
    </row>
    <row r="10874" spans="1:4" x14ac:dyDescent="0.3">
      <c r="A10874" s="34">
        <v>66818</v>
      </c>
      <c r="B10874" s="35">
        <v>1</v>
      </c>
      <c r="C10874" s="35">
        <v>0</v>
      </c>
      <c r="D10874" s="2">
        <f t="shared" si="169"/>
        <v>1</v>
      </c>
    </row>
    <row r="10875" spans="1:4" x14ac:dyDescent="0.3">
      <c r="A10875" s="34">
        <v>66819</v>
      </c>
      <c r="B10875" s="35">
        <v>1</v>
      </c>
      <c r="C10875" s="35">
        <v>0</v>
      </c>
      <c r="D10875" s="2">
        <f t="shared" si="169"/>
        <v>1</v>
      </c>
    </row>
    <row r="10876" spans="1:4" x14ac:dyDescent="0.3">
      <c r="A10876" s="34">
        <v>66820</v>
      </c>
      <c r="B10876" s="35">
        <v>1</v>
      </c>
      <c r="C10876" s="35">
        <v>0</v>
      </c>
      <c r="D10876" s="2">
        <f t="shared" si="169"/>
        <v>1</v>
      </c>
    </row>
    <row r="10877" spans="1:4" x14ac:dyDescent="0.3">
      <c r="A10877" s="34">
        <v>66821</v>
      </c>
      <c r="B10877" s="35">
        <v>3</v>
      </c>
      <c r="C10877" s="35">
        <v>1</v>
      </c>
      <c r="D10877" s="2">
        <f t="shared" si="169"/>
        <v>4</v>
      </c>
    </row>
    <row r="10878" spans="1:4" x14ac:dyDescent="0.3">
      <c r="A10878" s="34">
        <v>66823</v>
      </c>
      <c r="B10878" s="35">
        <v>1</v>
      </c>
      <c r="C10878" s="35">
        <v>0</v>
      </c>
      <c r="D10878" s="2">
        <f t="shared" si="169"/>
        <v>1</v>
      </c>
    </row>
    <row r="10879" spans="1:4" x14ac:dyDescent="0.3">
      <c r="A10879" s="34">
        <v>66824</v>
      </c>
      <c r="B10879" s="35">
        <v>1</v>
      </c>
      <c r="C10879" s="35">
        <v>0</v>
      </c>
      <c r="D10879" s="2">
        <f t="shared" si="169"/>
        <v>1</v>
      </c>
    </row>
    <row r="10880" spans="1:4" x14ac:dyDescent="0.3">
      <c r="A10880" s="34">
        <v>66825</v>
      </c>
      <c r="B10880" s="35">
        <v>1</v>
      </c>
      <c r="C10880" s="35">
        <v>0</v>
      </c>
      <c r="D10880" s="2">
        <f t="shared" si="169"/>
        <v>1</v>
      </c>
    </row>
    <row r="10881" spans="1:4" x14ac:dyDescent="0.3">
      <c r="A10881" s="34">
        <v>66827</v>
      </c>
      <c r="B10881" s="35">
        <v>1</v>
      </c>
      <c r="C10881" s="35">
        <v>1</v>
      </c>
      <c r="D10881" s="2">
        <f t="shared" si="169"/>
        <v>2</v>
      </c>
    </row>
    <row r="10882" spans="1:4" x14ac:dyDescent="0.3">
      <c r="A10882" s="34">
        <v>66828</v>
      </c>
      <c r="B10882" s="35">
        <v>1</v>
      </c>
      <c r="C10882" s="35">
        <v>0</v>
      </c>
      <c r="D10882" s="2">
        <f t="shared" si="169"/>
        <v>1</v>
      </c>
    </row>
    <row r="10883" spans="1:4" x14ac:dyDescent="0.3">
      <c r="A10883" s="34">
        <v>66829</v>
      </c>
      <c r="B10883" s="35">
        <v>1</v>
      </c>
      <c r="C10883" s="35">
        <v>0</v>
      </c>
      <c r="D10883" s="2">
        <f t="shared" ref="D10883:D10946" si="170">B10883+C10883</f>
        <v>1</v>
      </c>
    </row>
    <row r="10884" spans="1:4" x14ac:dyDescent="0.3">
      <c r="A10884" s="34">
        <v>66830</v>
      </c>
      <c r="B10884" s="35">
        <v>1</v>
      </c>
      <c r="C10884" s="35">
        <v>0</v>
      </c>
      <c r="D10884" s="2">
        <f t="shared" si="170"/>
        <v>1</v>
      </c>
    </row>
    <row r="10885" spans="1:4" x14ac:dyDescent="0.3">
      <c r="A10885" s="34">
        <v>66832</v>
      </c>
      <c r="B10885" s="35">
        <v>1</v>
      </c>
      <c r="C10885" s="35">
        <v>0</v>
      </c>
      <c r="D10885" s="2">
        <f t="shared" si="170"/>
        <v>1</v>
      </c>
    </row>
    <row r="10886" spans="1:4" x14ac:dyDescent="0.3">
      <c r="A10886" s="34">
        <v>66833</v>
      </c>
      <c r="B10886" s="35">
        <v>1</v>
      </c>
      <c r="C10886" s="35">
        <v>0</v>
      </c>
      <c r="D10886" s="2">
        <f t="shared" si="170"/>
        <v>1</v>
      </c>
    </row>
    <row r="10887" spans="1:4" x14ac:dyDescent="0.3">
      <c r="A10887" s="34">
        <v>66836</v>
      </c>
      <c r="B10887" s="35">
        <v>1</v>
      </c>
      <c r="C10887" s="35">
        <v>1</v>
      </c>
      <c r="D10887" s="2">
        <f t="shared" si="170"/>
        <v>2</v>
      </c>
    </row>
    <row r="10888" spans="1:4" x14ac:dyDescent="0.3">
      <c r="A10888" s="34">
        <v>66839</v>
      </c>
      <c r="B10888" s="35">
        <v>1</v>
      </c>
      <c r="C10888" s="35">
        <v>0</v>
      </c>
      <c r="D10888" s="2">
        <f t="shared" si="170"/>
        <v>1</v>
      </c>
    </row>
    <row r="10889" spans="1:4" x14ac:dyDescent="0.3">
      <c r="A10889" s="34">
        <v>66840</v>
      </c>
      <c r="B10889" s="35">
        <v>1</v>
      </c>
      <c r="C10889" s="35">
        <v>1</v>
      </c>
      <c r="D10889" s="2">
        <f t="shared" si="170"/>
        <v>2</v>
      </c>
    </row>
    <row r="10890" spans="1:4" x14ac:dyDescent="0.3">
      <c r="A10890" s="34">
        <v>66843</v>
      </c>
      <c r="B10890" s="35">
        <v>1</v>
      </c>
      <c r="C10890" s="35">
        <v>0</v>
      </c>
      <c r="D10890" s="2">
        <f t="shared" si="170"/>
        <v>1</v>
      </c>
    </row>
    <row r="10891" spans="1:4" x14ac:dyDescent="0.3">
      <c r="A10891" s="34">
        <v>66844</v>
      </c>
      <c r="B10891" s="35">
        <v>1</v>
      </c>
      <c r="C10891" s="35">
        <v>0</v>
      </c>
      <c r="D10891" s="2">
        <f t="shared" si="170"/>
        <v>1</v>
      </c>
    </row>
    <row r="10892" spans="1:4" x14ac:dyDescent="0.3">
      <c r="A10892" s="34">
        <v>66846</v>
      </c>
      <c r="B10892" s="35">
        <v>1</v>
      </c>
      <c r="C10892" s="35">
        <v>0</v>
      </c>
      <c r="D10892" s="2">
        <f t="shared" si="170"/>
        <v>1</v>
      </c>
    </row>
    <row r="10893" spans="1:4" x14ac:dyDescent="0.3">
      <c r="A10893" s="34">
        <v>66848</v>
      </c>
      <c r="B10893" s="35">
        <v>1</v>
      </c>
      <c r="C10893" s="35">
        <v>0</v>
      </c>
      <c r="D10893" s="2">
        <f t="shared" si="170"/>
        <v>1</v>
      </c>
    </row>
    <row r="10894" spans="1:4" x14ac:dyDescent="0.3">
      <c r="A10894" s="34">
        <v>66860</v>
      </c>
      <c r="B10894" s="35">
        <v>1</v>
      </c>
      <c r="C10894" s="35">
        <v>0</v>
      </c>
      <c r="D10894" s="2">
        <f t="shared" si="170"/>
        <v>1</v>
      </c>
    </row>
    <row r="10895" spans="1:4" x14ac:dyDescent="0.3">
      <c r="A10895" s="34">
        <v>66864</v>
      </c>
      <c r="B10895" s="35">
        <v>1</v>
      </c>
      <c r="C10895" s="35">
        <v>0</v>
      </c>
      <c r="D10895" s="2">
        <f t="shared" si="170"/>
        <v>1</v>
      </c>
    </row>
    <row r="10896" spans="1:4" x14ac:dyDescent="0.3">
      <c r="A10896" s="34">
        <v>66866</v>
      </c>
      <c r="B10896" s="35">
        <v>1</v>
      </c>
      <c r="C10896" s="35">
        <v>0</v>
      </c>
      <c r="D10896" s="2">
        <f t="shared" si="170"/>
        <v>1</v>
      </c>
    </row>
    <row r="10897" spans="1:4" x14ac:dyDescent="0.3">
      <c r="A10897" s="34">
        <v>66867</v>
      </c>
      <c r="B10897" s="35">
        <v>1</v>
      </c>
      <c r="C10897" s="35">
        <v>0</v>
      </c>
      <c r="D10897" s="2">
        <f t="shared" si="170"/>
        <v>1</v>
      </c>
    </row>
    <row r="10898" spans="1:4" x14ac:dyDescent="0.3">
      <c r="A10898" s="34">
        <v>66868</v>
      </c>
      <c r="B10898" s="35">
        <v>1</v>
      </c>
      <c r="C10898" s="35">
        <v>1</v>
      </c>
      <c r="D10898" s="2">
        <f t="shared" si="170"/>
        <v>2</v>
      </c>
    </row>
    <row r="10899" spans="1:4" x14ac:dyDescent="0.3">
      <c r="A10899" s="34">
        <v>66871</v>
      </c>
      <c r="B10899" s="35">
        <v>1</v>
      </c>
      <c r="C10899" s="35">
        <v>0</v>
      </c>
      <c r="D10899" s="2">
        <f t="shared" si="170"/>
        <v>1</v>
      </c>
    </row>
    <row r="10900" spans="1:4" x14ac:dyDescent="0.3">
      <c r="A10900" s="34">
        <v>66872</v>
      </c>
      <c r="B10900" s="35">
        <v>1</v>
      </c>
      <c r="C10900" s="35">
        <v>0</v>
      </c>
      <c r="D10900" s="2">
        <f t="shared" si="170"/>
        <v>1</v>
      </c>
    </row>
    <row r="10901" spans="1:4" x14ac:dyDescent="0.3">
      <c r="A10901" s="34">
        <v>66874</v>
      </c>
      <c r="B10901" s="35">
        <v>1</v>
      </c>
      <c r="C10901" s="35">
        <v>1</v>
      </c>
      <c r="D10901" s="2">
        <f t="shared" si="170"/>
        <v>2</v>
      </c>
    </row>
    <row r="10902" spans="1:4" x14ac:dyDescent="0.3">
      <c r="A10902" s="34">
        <v>66875</v>
      </c>
      <c r="B10902" s="35">
        <v>1</v>
      </c>
      <c r="C10902" s="35">
        <v>0</v>
      </c>
      <c r="D10902" s="2">
        <f t="shared" si="170"/>
        <v>1</v>
      </c>
    </row>
    <row r="10903" spans="1:4" x14ac:dyDescent="0.3">
      <c r="A10903" s="34">
        <v>66876</v>
      </c>
      <c r="B10903" s="35">
        <v>1</v>
      </c>
      <c r="C10903" s="35">
        <v>0</v>
      </c>
      <c r="D10903" s="2">
        <f t="shared" si="170"/>
        <v>1</v>
      </c>
    </row>
    <row r="10904" spans="1:4" x14ac:dyDescent="0.3">
      <c r="A10904" s="34">
        <v>66877</v>
      </c>
      <c r="B10904" s="35">
        <v>1</v>
      </c>
      <c r="C10904" s="35">
        <v>0</v>
      </c>
      <c r="D10904" s="2">
        <f t="shared" si="170"/>
        <v>1</v>
      </c>
    </row>
    <row r="10905" spans="1:4" x14ac:dyDescent="0.3">
      <c r="A10905" s="34">
        <v>66878</v>
      </c>
      <c r="B10905" s="35">
        <v>1</v>
      </c>
      <c r="C10905" s="35">
        <v>1</v>
      </c>
      <c r="D10905" s="2">
        <f t="shared" si="170"/>
        <v>2</v>
      </c>
    </row>
    <row r="10906" spans="1:4" x14ac:dyDescent="0.3">
      <c r="A10906" s="34">
        <v>66880</v>
      </c>
      <c r="B10906" s="35">
        <v>1</v>
      </c>
      <c r="C10906" s="35">
        <v>0</v>
      </c>
      <c r="D10906" s="2">
        <f t="shared" si="170"/>
        <v>1</v>
      </c>
    </row>
    <row r="10907" spans="1:4" x14ac:dyDescent="0.3">
      <c r="A10907" s="34">
        <v>66881</v>
      </c>
      <c r="B10907" s="35">
        <v>1</v>
      </c>
      <c r="C10907" s="35">
        <v>0</v>
      </c>
      <c r="D10907" s="2">
        <f t="shared" si="170"/>
        <v>1</v>
      </c>
    </row>
    <row r="10908" spans="1:4" x14ac:dyDescent="0.3">
      <c r="A10908" s="34">
        <v>66882</v>
      </c>
      <c r="B10908" s="35">
        <v>1</v>
      </c>
      <c r="C10908" s="35">
        <v>0</v>
      </c>
      <c r="D10908" s="2">
        <f t="shared" si="170"/>
        <v>1</v>
      </c>
    </row>
    <row r="10909" spans="1:4" x14ac:dyDescent="0.3">
      <c r="A10909" s="34">
        <v>66883</v>
      </c>
      <c r="B10909" s="35">
        <v>1</v>
      </c>
      <c r="C10909" s="35">
        <v>0</v>
      </c>
      <c r="D10909" s="2">
        <f t="shared" si="170"/>
        <v>1</v>
      </c>
    </row>
    <row r="10910" spans="1:4" x14ac:dyDescent="0.3">
      <c r="A10910" s="34">
        <v>66884</v>
      </c>
      <c r="B10910" s="35">
        <v>1</v>
      </c>
      <c r="C10910" s="35">
        <v>0</v>
      </c>
      <c r="D10910" s="2">
        <f t="shared" si="170"/>
        <v>1</v>
      </c>
    </row>
    <row r="10911" spans="1:4" x14ac:dyDescent="0.3">
      <c r="A10911" s="34">
        <v>66885</v>
      </c>
      <c r="B10911" s="35">
        <v>1</v>
      </c>
      <c r="C10911" s="35">
        <v>0</v>
      </c>
      <c r="D10911" s="2">
        <f t="shared" si="170"/>
        <v>1</v>
      </c>
    </row>
    <row r="10912" spans="1:4" x14ac:dyDescent="0.3">
      <c r="A10912" s="34">
        <v>66886</v>
      </c>
      <c r="B10912" s="35">
        <v>1</v>
      </c>
      <c r="C10912" s="35">
        <v>0</v>
      </c>
      <c r="D10912" s="2">
        <f t="shared" si="170"/>
        <v>1</v>
      </c>
    </row>
    <row r="10913" spans="1:4" x14ac:dyDescent="0.3">
      <c r="A10913" s="34">
        <v>66887</v>
      </c>
      <c r="B10913" s="35">
        <v>1</v>
      </c>
      <c r="C10913" s="35">
        <v>0</v>
      </c>
      <c r="D10913" s="2">
        <f t="shared" si="170"/>
        <v>1</v>
      </c>
    </row>
    <row r="10914" spans="1:4" x14ac:dyDescent="0.3">
      <c r="A10914" s="34">
        <v>66888</v>
      </c>
      <c r="B10914" s="35">
        <v>1</v>
      </c>
      <c r="C10914" s="35">
        <v>0</v>
      </c>
      <c r="D10914" s="2">
        <f t="shared" si="170"/>
        <v>1</v>
      </c>
    </row>
    <row r="10915" spans="1:4" x14ac:dyDescent="0.3">
      <c r="A10915" s="34">
        <v>66889</v>
      </c>
      <c r="B10915" s="35">
        <v>1</v>
      </c>
      <c r="C10915" s="35">
        <v>0</v>
      </c>
      <c r="D10915" s="2">
        <f t="shared" si="170"/>
        <v>1</v>
      </c>
    </row>
    <row r="10916" spans="1:4" x14ac:dyDescent="0.3">
      <c r="A10916" s="34">
        <v>66890</v>
      </c>
      <c r="B10916" s="35">
        <v>1</v>
      </c>
      <c r="C10916" s="35">
        <v>0</v>
      </c>
      <c r="D10916" s="2">
        <f t="shared" si="170"/>
        <v>1</v>
      </c>
    </row>
    <row r="10917" spans="1:4" x14ac:dyDescent="0.3">
      <c r="A10917" s="34">
        <v>66891</v>
      </c>
      <c r="B10917" s="35">
        <v>1</v>
      </c>
      <c r="C10917" s="35">
        <v>0</v>
      </c>
      <c r="D10917" s="2">
        <f t="shared" si="170"/>
        <v>1</v>
      </c>
    </row>
    <row r="10918" spans="1:4" x14ac:dyDescent="0.3">
      <c r="A10918" s="34">
        <v>66892</v>
      </c>
      <c r="B10918" s="35">
        <v>1</v>
      </c>
      <c r="C10918" s="35">
        <v>0</v>
      </c>
      <c r="D10918" s="2">
        <f t="shared" si="170"/>
        <v>1</v>
      </c>
    </row>
    <row r="10919" spans="1:4" x14ac:dyDescent="0.3">
      <c r="A10919" s="34">
        <v>66893</v>
      </c>
      <c r="B10919" s="35">
        <v>1</v>
      </c>
      <c r="C10919" s="35">
        <v>0</v>
      </c>
      <c r="D10919" s="2">
        <f t="shared" si="170"/>
        <v>1</v>
      </c>
    </row>
    <row r="10920" spans="1:4" x14ac:dyDescent="0.3">
      <c r="A10920" s="34">
        <v>66894</v>
      </c>
      <c r="B10920" s="35">
        <v>1</v>
      </c>
      <c r="C10920" s="35">
        <v>0</v>
      </c>
      <c r="D10920" s="2">
        <f t="shared" si="170"/>
        <v>1</v>
      </c>
    </row>
    <row r="10921" spans="1:4" x14ac:dyDescent="0.3">
      <c r="A10921" s="34">
        <v>66897</v>
      </c>
      <c r="B10921" s="35">
        <v>1</v>
      </c>
      <c r="C10921" s="35">
        <v>0</v>
      </c>
      <c r="D10921" s="2">
        <f t="shared" si="170"/>
        <v>1</v>
      </c>
    </row>
    <row r="10922" spans="1:4" x14ac:dyDescent="0.3">
      <c r="A10922" s="34">
        <v>66900</v>
      </c>
      <c r="B10922" s="35">
        <v>1</v>
      </c>
      <c r="C10922" s="35">
        <v>0</v>
      </c>
      <c r="D10922" s="2">
        <f t="shared" si="170"/>
        <v>1</v>
      </c>
    </row>
    <row r="10923" spans="1:4" x14ac:dyDescent="0.3">
      <c r="A10923" s="34">
        <v>66902</v>
      </c>
      <c r="B10923" s="35">
        <v>2</v>
      </c>
      <c r="C10923" s="35">
        <v>0</v>
      </c>
      <c r="D10923" s="2">
        <f t="shared" si="170"/>
        <v>2</v>
      </c>
    </row>
    <row r="10924" spans="1:4" x14ac:dyDescent="0.3">
      <c r="A10924" s="34">
        <v>66903</v>
      </c>
      <c r="B10924" s="35">
        <v>1</v>
      </c>
      <c r="C10924" s="35">
        <v>1</v>
      </c>
      <c r="D10924" s="2">
        <f t="shared" si="170"/>
        <v>2</v>
      </c>
    </row>
    <row r="10925" spans="1:4" x14ac:dyDescent="0.3">
      <c r="A10925" s="34">
        <v>66906</v>
      </c>
      <c r="B10925" s="35">
        <v>1</v>
      </c>
      <c r="C10925" s="35">
        <v>0</v>
      </c>
      <c r="D10925" s="2">
        <f t="shared" si="170"/>
        <v>1</v>
      </c>
    </row>
    <row r="10926" spans="1:4" x14ac:dyDescent="0.3">
      <c r="A10926" s="34">
        <v>66910</v>
      </c>
      <c r="B10926" s="35">
        <v>1</v>
      </c>
      <c r="C10926" s="35">
        <v>0</v>
      </c>
      <c r="D10926" s="2">
        <f t="shared" si="170"/>
        <v>1</v>
      </c>
    </row>
    <row r="10927" spans="1:4" x14ac:dyDescent="0.3">
      <c r="A10927" s="34">
        <v>66915</v>
      </c>
      <c r="B10927" s="35">
        <v>1</v>
      </c>
      <c r="C10927" s="35">
        <v>0</v>
      </c>
      <c r="D10927" s="2">
        <f t="shared" si="170"/>
        <v>1</v>
      </c>
    </row>
    <row r="10928" spans="1:4" x14ac:dyDescent="0.3">
      <c r="A10928" s="34">
        <v>66916</v>
      </c>
      <c r="B10928" s="35">
        <v>1</v>
      </c>
      <c r="C10928" s="35">
        <v>0</v>
      </c>
      <c r="D10928" s="2">
        <f t="shared" si="170"/>
        <v>1</v>
      </c>
    </row>
    <row r="10929" spans="1:4" x14ac:dyDescent="0.3">
      <c r="A10929" s="34">
        <v>66917</v>
      </c>
      <c r="B10929" s="35">
        <v>1</v>
      </c>
      <c r="C10929" s="35">
        <v>0</v>
      </c>
      <c r="D10929" s="2">
        <f t="shared" si="170"/>
        <v>1</v>
      </c>
    </row>
    <row r="10930" spans="1:4" x14ac:dyDescent="0.3">
      <c r="A10930" s="34">
        <v>66922</v>
      </c>
      <c r="B10930" s="35">
        <v>1</v>
      </c>
      <c r="C10930" s="35">
        <v>0</v>
      </c>
      <c r="D10930" s="2">
        <f t="shared" si="170"/>
        <v>1</v>
      </c>
    </row>
    <row r="10931" spans="1:4" x14ac:dyDescent="0.3">
      <c r="A10931" s="34">
        <v>66924</v>
      </c>
      <c r="B10931" s="35">
        <v>1</v>
      </c>
      <c r="C10931" s="35">
        <v>0</v>
      </c>
      <c r="D10931" s="2">
        <f t="shared" si="170"/>
        <v>1</v>
      </c>
    </row>
    <row r="10932" spans="1:4" x14ac:dyDescent="0.3">
      <c r="A10932" s="34">
        <v>66925</v>
      </c>
      <c r="B10932" s="35">
        <v>1</v>
      </c>
      <c r="C10932" s="35">
        <v>0</v>
      </c>
      <c r="D10932" s="2">
        <f t="shared" si="170"/>
        <v>1</v>
      </c>
    </row>
    <row r="10933" spans="1:4" x14ac:dyDescent="0.3">
      <c r="A10933" s="34">
        <v>66926</v>
      </c>
      <c r="B10933" s="35">
        <v>1</v>
      </c>
      <c r="C10933" s="35">
        <v>0</v>
      </c>
      <c r="D10933" s="2">
        <f t="shared" si="170"/>
        <v>1</v>
      </c>
    </row>
    <row r="10934" spans="1:4" x14ac:dyDescent="0.3">
      <c r="A10934" s="34">
        <v>66928</v>
      </c>
      <c r="B10934" s="35">
        <v>1</v>
      </c>
      <c r="C10934" s="35">
        <v>0</v>
      </c>
      <c r="D10934" s="2">
        <f t="shared" si="170"/>
        <v>1</v>
      </c>
    </row>
    <row r="10935" spans="1:4" x14ac:dyDescent="0.3">
      <c r="A10935" s="34">
        <v>66929</v>
      </c>
      <c r="B10935" s="35">
        <v>1</v>
      </c>
      <c r="C10935" s="35">
        <v>0</v>
      </c>
      <c r="D10935" s="2">
        <f t="shared" si="170"/>
        <v>1</v>
      </c>
    </row>
    <row r="10936" spans="1:4" x14ac:dyDescent="0.3">
      <c r="A10936" s="34">
        <v>66932</v>
      </c>
      <c r="B10936" s="35">
        <v>1</v>
      </c>
      <c r="C10936" s="35">
        <v>0</v>
      </c>
      <c r="D10936" s="2">
        <f t="shared" si="170"/>
        <v>1</v>
      </c>
    </row>
    <row r="10937" spans="1:4" x14ac:dyDescent="0.3">
      <c r="A10937" s="34">
        <v>66933</v>
      </c>
      <c r="B10937" s="35">
        <v>1</v>
      </c>
      <c r="C10937" s="35">
        <v>0</v>
      </c>
      <c r="D10937" s="2">
        <f t="shared" si="170"/>
        <v>1</v>
      </c>
    </row>
    <row r="10938" spans="1:4" x14ac:dyDescent="0.3">
      <c r="A10938" s="34">
        <v>66935</v>
      </c>
      <c r="B10938" s="35">
        <v>1</v>
      </c>
      <c r="C10938" s="35">
        <v>0</v>
      </c>
      <c r="D10938" s="2">
        <f t="shared" si="170"/>
        <v>1</v>
      </c>
    </row>
    <row r="10939" spans="1:4" x14ac:dyDescent="0.3">
      <c r="A10939" s="34">
        <v>66937</v>
      </c>
      <c r="B10939" s="35">
        <v>1</v>
      </c>
      <c r="C10939" s="35">
        <v>0</v>
      </c>
      <c r="D10939" s="2">
        <f t="shared" si="170"/>
        <v>1</v>
      </c>
    </row>
    <row r="10940" spans="1:4" x14ac:dyDescent="0.3">
      <c r="A10940" s="34">
        <v>66939</v>
      </c>
      <c r="B10940" s="35">
        <v>1</v>
      </c>
      <c r="C10940" s="35">
        <v>0</v>
      </c>
      <c r="D10940" s="2">
        <f t="shared" si="170"/>
        <v>1</v>
      </c>
    </row>
    <row r="10941" spans="1:4" x14ac:dyDescent="0.3">
      <c r="A10941" s="34">
        <v>66940</v>
      </c>
      <c r="B10941" s="35">
        <v>1</v>
      </c>
      <c r="C10941" s="35">
        <v>0</v>
      </c>
      <c r="D10941" s="2">
        <f t="shared" si="170"/>
        <v>1</v>
      </c>
    </row>
    <row r="10942" spans="1:4" x14ac:dyDescent="0.3">
      <c r="A10942" s="34">
        <v>66941</v>
      </c>
      <c r="B10942" s="35">
        <v>1</v>
      </c>
      <c r="C10942" s="35">
        <v>0</v>
      </c>
      <c r="D10942" s="2">
        <f t="shared" si="170"/>
        <v>1</v>
      </c>
    </row>
    <row r="10943" spans="1:4" x14ac:dyDescent="0.3">
      <c r="A10943" s="34">
        <v>66943</v>
      </c>
      <c r="B10943" s="35">
        <v>1</v>
      </c>
      <c r="C10943" s="35">
        <v>0</v>
      </c>
      <c r="D10943" s="2">
        <f t="shared" si="170"/>
        <v>1</v>
      </c>
    </row>
    <row r="10944" spans="1:4" x14ac:dyDescent="0.3">
      <c r="A10944" s="34">
        <v>66944</v>
      </c>
      <c r="B10944" s="35">
        <v>1</v>
      </c>
      <c r="C10944" s="35">
        <v>0</v>
      </c>
      <c r="D10944" s="2">
        <f t="shared" si="170"/>
        <v>1</v>
      </c>
    </row>
    <row r="10945" spans="1:4" x14ac:dyDescent="0.3">
      <c r="A10945" s="34">
        <v>66947</v>
      </c>
      <c r="B10945" s="35">
        <v>1</v>
      </c>
      <c r="C10945" s="35">
        <v>0</v>
      </c>
      <c r="D10945" s="2">
        <f t="shared" si="170"/>
        <v>1</v>
      </c>
    </row>
    <row r="10946" spans="1:4" x14ac:dyDescent="0.3">
      <c r="A10946" s="34">
        <v>66949</v>
      </c>
      <c r="B10946" s="35">
        <v>1</v>
      </c>
      <c r="C10946" s="35">
        <v>1</v>
      </c>
      <c r="D10946" s="2">
        <f t="shared" si="170"/>
        <v>2</v>
      </c>
    </row>
    <row r="10947" spans="1:4" x14ac:dyDescent="0.3">
      <c r="A10947" s="34">
        <v>66952</v>
      </c>
      <c r="B10947" s="35">
        <v>1</v>
      </c>
      <c r="C10947" s="35">
        <v>0</v>
      </c>
      <c r="D10947" s="2">
        <f t="shared" ref="D10947:D11010" si="171">B10947+C10947</f>
        <v>1</v>
      </c>
    </row>
    <row r="10948" spans="1:4" x14ac:dyDescent="0.3">
      <c r="A10948" s="34">
        <v>66953</v>
      </c>
      <c r="B10948" s="35">
        <v>1</v>
      </c>
      <c r="C10948" s="35">
        <v>1</v>
      </c>
      <c r="D10948" s="2">
        <f t="shared" si="171"/>
        <v>2</v>
      </c>
    </row>
    <row r="10949" spans="1:4" x14ac:dyDescent="0.3">
      <c r="A10949" s="34">
        <v>66954</v>
      </c>
      <c r="B10949" s="35">
        <v>1</v>
      </c>
      <c r="C10949" s="35">
        <v>1</v>
      </c>
      <c r="D10949" s="2">
        <f t="shared" si="171"/>
        <v>2</v>
      </c>
    </row>
    <row r="10950" spans="1:4" x14ac:dyDescent="0.3">
      <c r="A10950" s="34">
        <v>66956</v>
      </c>
      <c r="B10950" s="35">
        <v>1</v>
      </c>
      <c r="C10950" s="35">
        <v>1</v>
      </c>
      <c r="D10950" s="2">
        <f t="shared" si="171"/>
        <v>2</v>
      </c>
    </row>
    <row r="10951" spans="1:4" x14ac:dyDescent="0.3">
      <c r="A10951" s="34">
        <v>66958</v>
      </c>
      <c r="B10951" s="35">
        <v>2</v>
      </c>
      <c r="C10951" s="35">
        <v>1</v>
      </c>
      <c r="D10951" s="2">
        <f t="shared" si="171"/>
        <v>3</v>
      </c>
    </row>
    <row r="10952" spans="1:4" x14ac:dyDescent="0.3">
      <c r="A10952" s="34">
        <v>66959</v>
      </c>
      <c r="B10952" s="35">
        <v>1</v>
      </c>
      <c r="C10952" s="35">
        <v>0</v>
      </c>
      <c r="D10952" s="2">
        <f t="shared" si="171"/>
        <v>1</v>
      </c>
    </row>
    <row r="10953" spans="1:4" x14ac:dyDescent="0.3">
      <c r="A10953" s="34">
        <v>66960</v>
      </c>
      <c r="B10953" s="35">
        <v>1</v>
      </c>
      <c r="C10953" s="35">
        <v>0</v>
      </c>
      <c r="D10953" s="2">
        <f t="shared" si="171"/>
        <v>1</v>
      </c>
    </row>
    <row r="10954" spans="1:4" x14ac:dyDescent="0.3">
      <c r="A10954" s="34">
        <v>66961</v>
      </c>
      <c r="B10954" s="35">
        <v>1</v>
      </c>
      <c r="C10954" s="35">
        <v>0</v>
      </c>
      <c r="D10954" s="2">
        <f t="shared" si="171"/>
        <v>1</v>
      </c>
    </row>
    <row r="10955" spans="1:4" x14ac:dyDescent="0.3">
      <c r="A10955" s="34">
        <v>66962</v>
      </c>
      <c r="B10955" s="35">
        <v>1</v>
      </c>
      <c r="C10955" s="35">
        <v>1</v>
      </c>
      <c r="D10955" s="2">
        <f t="shared" si="171"/>
        <v>2</v>
      </c>
    </row>
    <row r="10956" spans="1:4" x14ac:dyDescent="0.3">
      <c r="A10956" s="34">
        <v>67024</v>
      </c>
      <c r="B10956" s="35">
        <v>2</v>
      </c>
      <c r="C10956" s="35">
        <v>0</v>
      </c>
      <c r="D10956" s="2">
        <f t="shared" si="171"/>
        <v>2</v>
      </c>
    </row>
    <row r="10957" spans="1:4" x14ac:dyDescent="0.3">
      <c r="A10957" s="34">
        <v>67026</v>
      </c>
      <c r="B10957" s="35">
        <v>1</v>
      </c>
      <c r="C10957" s="35">
        <v>0</v>
      </c>
      <c r="D10957" s="2">
        <f t="shared" si="171"/>
        <v>1</v>
      </c>
    </row>
    <row r="10958" spans="1:4" x14ac:dyDescent="0.3">
      <c r="A10958" s="34">
        <v>67027</v>
      </c>
      <c r="B10958" s="35">
        <v>2</v>
      </c>
      <c r="C10958" s="35">
        <v>2</v>
      </c>
      <c r="D10958" s="2">
        <f t="shared" si="171"/>
        <v>4</v>
      </c>
    </row>
    <row r="10959" spans="1:4" x14ac:dyDescent="0.3">
      <c r="A10959" s="34">
        <v>67030</v>
      </c>
      <c r="B10959" s="35">
        <v>1</v>
      </c>
      <c r="C10959" s="35">
        <v>0</v>
      </c>
      <c r="D10959" s="2">
        <f t="shared" si="171"/>
        <v>1</v>
      </c>
    </row>
    <row r="10960" spans="1:4" x14ac:dyDescent="0.3">
      <c r="A10960" s="34">
        <v>67031</v>
      </c>
      <c r="B10960" s="35">
        <v>1</v>
      </c>
      <c r="C10960" s="35">
        <v>0</v>
      </c>
      <c r="D10960" s="2">
        <f t="shared" si="171"/>
        <v>1</v>
      </c>
    </row>
    <row r="10961" spans="1:4" x14ac:dyDescent="0.3">
      <c r="A10961" s="34">
        <v>67033</v>
      </c>
      <c r="B10961" s="35">
        <v>1</v>
      </c>
      <c r="C10961" s="35">
        <v>0</v>
      </c>
      <c r="D10961" s="2">
        <f t="shared" si="171"/>
        <v>1</v>
      </c>
    </row>
    <row r="10962" spans="1:4" x14ac:dyDescent="0.3">
      <c r="A10962" s="34">
        <v>67034</v>
      </c>
      <c r="B10962" s="35">
        <v>1</v>
      </c>
      <c r="C10962" s="35">
        <v>0</v>
      </c>
      <c r="D10962" s="2">
        <f t="shared" si="171"/>
        <v>1</v>
      </c>
    </row>
    <row r="10963" spans="1:4" x14ac:dyDescent="0.3">
      <c r="A10963" s="34">
        <v>67035</v>
      </c>
      <c r="B10963" s="35">
        <v>1</v>
      </c>
      <c r="C10963" s="35">
        <v>0</v>
      </c>
      <c r="D10963" s="2">
        <f t="shared" si="171"/>
        <v>1</v>
      </c>
    </row>
    <row r="10964" spans="1:4" x14ac:dyDescent="0.3">
      <c r="A10964" s="34">
        <v>67039</v>
      </c>
      <c r="B10964" s="35">
        <v>1</v>
      </c>
      <c r="C10964" s="35">
        <v>0</v>
      </c>
      <c r="D10964" s="2">
        <f t="shared" si="171"/>
        <v>1</v>
      </c>
    </row>
    <row r="10965" spans="1:4" x14ac:dyDescent="0.3">
      <c r="A10965" s="34">
        <v>67040</v>
      </c>
      <c r="B10965" s="35">
        <v>1</v>
      </c>
      <c r="C10965" s="35">
        <v>0</v>
      </c>
      <c r="D10965" s="2">
        <f t="shared" si="171"/>
        <v>1</v>
      </c>
    </row>
    <row r="10966" spans="1:4" x14ac:dyDescent="0.3">
      <c r="A10966" s="34">
        <v>67045</v>
      </c>
      <c r="B10966" s="35">
        <v>1</v>
      </c>
      <c r="C10966" s="35">
        <v>0</v>
      </c>
      <c r="D10966" s="2">
        <f t="shared" si="171"/>
        <v>1</v>
      </c>
    </row>
    <row r="10967" spans="1:4" x14ac:dyDescent="0.3">
      <c r="A10967" s="34">
        <v>67050</v>
      </c>
      <c r="B10967" s="35">
        <v>1</v>
      </c>
      <c r="C10967" s="35">
        <v>0</v>
      </c>
      <c r="D10967" s="2">
        <f t="shared" si="171"/>
        <v>1</v>
      </c>
    </row>
    <row r="10968" spans="1:4" x14ac:dyDescent="0.3">
      <c r="A10968" s="34">
        <v>67052</v>
      </c>
      <c r="B10968" s="35">
        <v>1</v>
      </c>
      <c r="C10968" s="35">
        <v>0</v>
      </c>
      <c r="D10968" s="2">
        <f t="shared" si="171"/>
        <v>1</v>
      </c>
    </row>
    <row r="10969" spans="1:4" x14ac:dyDescent="0.3">
      <c r="A10969" s="34">
        <v>67053</v>
      </c>
      <c r="B10969" s="35">
        <v>1</v>
      </c>
      <c r="C10969" s="35">
        <v>0</v>
      </c>
      <c r="D10969" s="2">
        <f t="shared" si="171"/>
        <v>1</v>
      </c>
    </row>
    <row r="10970" spans="1:4" x14ac:dyDescent="0.3">
      <c r="A10970" s="34">
        <v>67054</v>
      </c>
      <c r="B10970" s="35">
        <v>1</v>
      </c>
      <c r="C10970" s="35">
        <v>0</v>
      </c>
      <c r="D10970" s="2">
        <f t="shared" si="171"/>
        <v>1</v>
      </c>
    </row>
    <row r="10971" spans="1:4" x14ac:dyDescent="0.3">
      <c r="A10971" s="34">
        <v>67057</v>
      </c>
      <c r="B10971" s="35">
        <v>1</v>
      </c>
      <c r="C10971" s="35">
        <v>0</v>
      </c>
      <c r="D10971" s="2">
        <f t="shared" si="171"/>
        <v>1</v>
      </c>
    </row>
    <row r="10972" spans="1:4" x14ac:dyDescent="0.3">
      <c r="A10972" s="34">
        <v>67058</v>
      </c>
      <c r="B10972" s="35">
        <v>1</v>
      </c>
      <c r="C10972" s="35">
        <v>0</v>
      </c>
      <c r="D10972" s="2">
        <f t="shared" si="171"/>
        <v>1</v>
      </c>
    </row>
    <row r="10973" spans="1:4" x14ac:dyDescent="0.3">
      <c r="A10973" s="34">
        <v>67059</v>
      </c>
      <c r="B10973" s="35">
        <v>1</v>
      </c>
      <c r="C10973" s="35">
        <v>0</v>
      </c>
      <c r="D10973" s="2">
        <f t="shared" si="171"/>
        <v>1</v>
      </c>
    </row>
    <row r="10974" spans="1:4" x14ac:dyDescent="0.3">
      <c r="A10974" s="34">
        <v>67060</v>
      </c>
      <c r="B10974" s="35">
        <v>1</v>
      </c>
      <c r="C10974" s="35">
        <v>0</v>
      </c>
      <c r="D10974" s="2">
        <f t="shared" si="171"/>
        <v>1</v>
      </c>
    </row>
    <row r="10975" spans="1:4" x14ac:dyDescent="0.3">
      <c r="A10975" s="34">
        <v>67061</v>
      </c>
      <c r="B10975" s="35">
        <v>1</v>
      </c>
      <c r="C10975" s="35">
        <v>0</v>
      </c>
      <c r="D10975" s="2">
        <f t="shared" si="171"/>
        <v>1</v>
      </c>
    </row>
    <row r="10976" spans="1:4" x14ac:dyDescent="0.3">
      <c r="A10976" s="34">
        <v>67069</v>
      </c>
      <c r="B10976" s="35">
        <v>1</v>
      </c>
      <c r="C10976" s="35">
        <v>0</v>
      </c>
      <c r="D10976" s="2">
        <f t="shared" si="171"/>
        <v>1</v>
      </c>
    </row>
    <row r="10977" spans="1:4" x14ac:dyDescent="0.3">
      <c r="A10977" s="34">
        <v>67101</v>
      </c>
      <c r="B10977" s="35">
        <v>1</v>
      </c>
      <c r="C10977" s="35">
        <v>0</v>
      </c>
      <c r="D10977" s="2">
        <f t="shared" si="171"/>
        <v>1</v>
      </c>
    </row>
    <row r="10978" spans="1:4" x14ac:dyDescent="0.3">
      <c r="A10978" s="34">
        <v>67106</v>
      </c>
      <c r="B10978" s="35">
        <v>1</v>
      </c>
      <c r="C10978" s="35">
        <v>0</v>
      </c>
      <c r="D10978" s="2">
        <f t="shared" si="171"/>
        <v>1</v>
      </c>
    </row>
    <row r="10979" spans="1:4" x14ac:dyDescent="0.3">
      <c r="A10979" s="34">
        <v>67107</v>
      </c>
      <c r="B10979" s="35">
        <v>1</v>
      </c>
      <c r="C10979" s="35">
        <v>0</v>
      </c>
      <c r="D10979" s="2">
        <f t="shared" si="171"/>
        <v>1</v>
      </c>
    </row>
    <row r="10980" spans="1:4" x14ac:dyDescent="0.3">
      <c r="A10980" s="34">
        <v>67108</v>
      </c>
      <c r="B10980" s="35">
        <v>1</v>
      </c>
      <c r="C10980" s="35">
        <v>0</v>
      </c>
      <c r="D10980" s="2">
        <f t="shared" si="171"/>
        <v>1</v>
      </c>
    </row>
    <row r="10981" spans="1:4" x14ac:dyDescent="0.3">
      <c r="A10981" s="34">
        <v>67109</v>
      </c>
      <c r="B10981" s="35">
        <v>1</v>
      </c>
      <c r="C10981" s="35">
        <v>0</v>
      </c>
      <c r="D10981" s="2">
        <f t="shared" si="171"/>
        <v>1</v>
      </c>
    </row>
    <row r="10982" spans="1:4" x14ac:dyDescent="0.3">
      <c r="A10982" s="34">
        <v>67110</v>
      </c>
      <c r="B10982" s="35">
        <v>1</v>
      </c>
      <c r="C10982" s="35">
        <v>0</v>
      </c>
      <c r="D10982" s="2">
        <f t="shared" si="171"/>
        <v>1</v>
      </c>
    </row>
    <row r="10983" spans="1:4" x14ac:dyDescent="0.3">
      <c r="A10983" s="34">
        <v>67111</v>
      </c>
      <c r="B10983" s="35">
        <v>1</v>
      </c>
      <c r="C10983" s="35">
        <v>1</v>
      </c>
      <c r="D10983" s="2">
        <f t="shared" si="171"/>
        <v>2</v>
      </c>
    </row>
    <row r="10984" spans="1:4" x14ac:dyDescent="0.3">
      <c r="A10984" s="34">
        <v>67112</v>
      </c>
      <c r="B10984" s="35">
        <v>1</v>
      </c>
      <c r="C10984" s="35">
        <v>0</v>
      </c>
      <c r="D10984" s="2">
        <f t="shared" si="171"/>
        <v>1</v>
      </c>
    </row>
    <row r="10985" spans="1:4" x14ac:dyDescent="0.3">
      <c r="A10985" s="34">
        <v>67117</v>
      </c>
      <c r="B10985" s="35">
        <v>1</v>
      </c>
      <c r="C10985" s="35">
        <v>0</v>
      </c>
      <c r="D10985" s="2">
        <f t="shared" si="171"/>
        <v>1</v>
      </c>
    </row>
    <row r="10986" spans="1:4" x14ac:dyDescent="0.3">
      <c r="A10986" s="34">
        <v>67118</v>
      </c>
      <c r="B10986" s="35">
        <v>1</v>
      </c>
      <c r="C10986" s="35">
        <v>0</v>
      </c>
      <c r="D10986" s="2">
        <f t="shared" si="171"/>
        <v>1</v>
      </c>
    </row>
    <row r="10987" spans="1:4" x14ac:dyDescent="0.3">
      <c r="A10987" s="34">
        <v>67120</v>
      </c>
      <c r="B10987" s="35">
        <v>2</v>
      </c>
      <c r="C10987" s="35">
        <v>1</v>
      </c>
      <c r="D10987" s="2">
        <f t="shared" si="171"/>
        <v>3</v>
      </c>
    </row>
    <row r="10988" spans="1:4" x14ac:dyDescent="0.3">
      <c r="A10988" s="34">
        <v>67122</v>
      </c>
      <c r="B10988" s="35">
        <v>1</v>
      </c>
      <c r="C10988" s="35">
        <v>1</v>
      </c>
      <c r="D10988" s="2">
        <f t="shared" si="171"/>
        <v>2</v>
      </c>
    </row>
    <row r="10989" spans="1:4" x14ac:dyDescent="0.3">
      <c r="A10989" s="34">
        <v>67123</v>
      </c>
      <c r="B10989" s="35">
        <v>1</v>
      </c>
      <c r="C10989" s="35">
        <v>1</v>
      </c>
      <c r="D10989" s="2">
        <f t="shared" si="171"/>
        <v>2</v>
      </c>
    </row>
    <row r="10990" spans="1:4" x14ac:dyDescent="0.3">
      <c r="A10990" s="34">
        <v>67124</v>
      </c>
      <c r="B10990" s="35">
        <v>1</v>
      </c>
      <c r="C10990" s="35">
        <v>1</v>
      </c>
      <c r="D10990" s="2">
        <f t="shared" si="171"/>
        <v>2</v>
      </c>
    </row>
    <row r="10991" spans="1:4" x14ac:dyDescent="0.3">
      <c r="A10991" s="34">
        <v>67126</v>
      </c>
      <c r="B10991" s="35">
        <v>3</v>
      </c>
      <c r="C10991" s="35">
        <v>2</v>
      </c>
      <c r="D10991" s="2">
        <f t="shared" si="171"/>
        <v>5</v>
      </c>
    </row>
    <row r="10992" spans="1:4" x14ac:dyDescent="0.3">
      <c r="A10992" s="34">
        <v>67128</v>
      </c>
      <c r="B10992" s="35">
        <v>1</v>
      </c>
      <c r="C10992" s="35">
        <v>0</v>
      </c>
      <c r="D10992" s="2">
        <f t="shared" si="171"/>
        <v>1</v>
      </c>
    </row>
    <row r="10993" spans="1:4" x14ac:dyDescent="0.3">
      <c r="A10993" s="34">
        <v>67132</v>
      </c>
      <c r="B10993" s="35">
        <v>1</v>
      </c>
      <c r="C10993" s="35">
        <v>0</v>
      </c>
      <c r="D10993" s="2">
        <f t="shared" si="171"/>
        <v>1</v>
      </c>
    </row>
    <row r="10994" spans="1:4" x14ac:dyDescent="0.3">
      <c r="A10994" s="34">
        <v>67135</v>
      </c>
      <c r="B10994" s="35">
        <v>1</v>
      </c>
      <c r="C10994" s="35">
        <v>0</v>
      </c>
      <c r="D10994" s="2">
        <f t="shared" si="171"/>
        <v>1</v>
      </c>
    </row>
    <row r="10995" spans="1:4" x14ac:dyDescent="0.3">
      <c r="A10995" s="34">
        <v>67136</v>
      </c>
      <c r="B10995" s="35">
        <v>1</v>
      </c>
      <c r="C10995" s="35">
        <v>0</v>
      </c>
      <c r="D10995" s="2">
        <f t="shared" si="171"/>
        <v>1</v>
      </c>
    </row>
    <row r="10996" spans="1:4" x14ac:dyDescent="0.3">
      <c r="A10996" s="34">
        <v>67137</v>
      </c>
      <c r="B10996" s="35">
        <v>1</v>
      </c>
      <c r="C10996" s="35">
        <v>0</v>
      </c>
      <c r="D10996" s="2">
        <f t="shared" si="171"/>
        <v>1</v>
      </c>
    </row>
    <row r="10997" spans="1:4" x14ac:dyDescent="0.3">
      <c r="A10997" s="34">
        <v>67138</v>
      </c>
      <c r="B10997" s="35">
        <v>1</v>
      </c>
      <c r="C10997" s="35">
        <v>0</v>
      </c>
      <c r="D10997" s="2">
        <f t="shared" si="171"/>
        <v>1</v>
      </c>
    </row>
    <row r="10998" spans="1:4" x14ac:dyDescent="0.3">
      <c r="A10998" s="34">
        <v>67139</v>
      </c>
      <c r="B10998" s="35">
        <v>1</v>
      </c>
      <c r="C10998" s="35">
        <v>0</v>
      </c>
      <c r="D10998" s="2">
        <f t="shared" si="171"/>
        <v>1</v>
      </c>
    </row>
    <row r="10999" spans="1:4" x14ac:dyDescent="0.3">
      <c r="A10999" s="34">
        <v>67140</v>
      </c>
      <c r="B10999" s="35">
        <v>1</v>
      </c>
      <c r="C10999" s="35">
        <v>0</v>
      </c>
      <c r="D10999" s="2">
        <f t="shared" si="171"/>
        <v>1</v>
      </c>
    </row>
    <row r="11000" spans="1:4" x14ac:dyDescent="0.3">
      <c r="A11000" s="34">
        <v>67146</v>
      </c>
      <c r="B11000" s="35">
        <v>1</v>
      </c>
      <c r="C11000" s="35">
        <v>0</v>
      </c>
      <c r="D11000" s="2">
        <f t="shared" si="171"/>
        <v>1</v>
      </c>
    </row>
    <row r="11001" spans="1:4" x14ac:dyDescent="0.3">
      <c r="A11001" s="34">
        <v>67147</v>
      </c>
      <c r="B11001" s="35">
        <v>1</v>
      </c>
      <c r="C11001" s="35">
        <v>0</v>
      </c>
      <c r="D11001" s="2">
        <f t="shared" si="171"/>
        <v>1</v>
      </c>
    </row>
    <row r="11002" spans="1:4" x14ac:dyDescent="0.3">
      <c r="A11002" s="34">
        <v>67148</v>
      </c>
      <c r="B11002" s="35">
        <v>1</v>
      </c>
      <c r="C11002" s="35">
        <v>0</v>
      </c>
      <c r="D11002" s="2">
        <f t="shared" si="171"/>
        <v>1</v>
      </c>
    </row>
    <row r="11003" spans="1:4" x14ac:dyDescent="0.3">
      <c r="A11003" s="34">
        <v>67150</v>
      </c>
      <c r="B11003" s="35">
        <v>1</v>
      </c>
      <c r="C11003" s="35">
        <v>1</v>
      </c>
      <c r="D11003" s="2">
        <f t="shared" si="171"/>
        <v>2</v>
      </c>
    </row>
    <row r="11004" spans="1:4" x14ac:dyDescent="0.3">
      <c r="A11004" s="34">
        <v>67152</v>
      </c>
      <c r="B11004" s="35">
        <v>1</v>
      </c>
      <c r="C11004" s="35">
        <v>0</v>
      </c>
      <c r="D11004" s="2">
        <f t="shared" si="171"/>
        <v>1</v>
      </c>
    </row>
    <row r="11005" spans="1:4" x14ac:dyDescent="0.3">
      <c r="A11005" s="34">
        <v>67155</v>
      </c>
      <c r="B11005" s="35">
        <v>1</v>
      </c>
      <c r="C11005" s="35">
        <v>0</v>
      </c>
      <c r="D11005" s="2">
        <f t="shared" si="171"/>
        <v>1</v>
      </c>
    </row>
    <row r="11006" spans="1:4" x14ac:dyDescent="0.3">
      <c r="A11006" s="34">
        <v>67159</v>
      </c>
      <c r="B11006" s="35">
        <v>1</v>
      </c>
      <c r="C11006" s="35">
        <v>0</v>
      </c>
      <c r="D11006" s="2">
        <f t="shared" si="171"/>
        <v>1</v>
      </c>
    </row>
    <row r="11007" spans="1:4" x14ac:dyDescent="0.3">
      <c r="A11007" s="34">
        <v>67191</v>
      </c>
      <c r="B11007" s="35">
        <v>1</v>
      </c>
      <c r="C11007" s="35">
        <v>0</v>
      </c>
      <c r="D11007" s="2">
        <f t="shared" si="171"/>
        <v>1</v>
      </c>
    </row>
    <row r="11008" spans="1:4" x14ac:dyDescent="0.3">
      <c r="A11008" s="34">
        <v>67196</v>
      </c>
      <c r="B11008" s="35">
        <v>1</v>
      </c>
      <c r="C11008" s="35">
        <v>0</v>
      </c>
      <c r="D11008" s="2">
        <f t="shared" si="171"/>
        <v>1</v>
      </c>
    </row>
    <row r="11009" spans="1:4" x14ac:dyDescent="0.3">
      <c r="A11009" s="34">
        <v>67197</v>
      </c>
      <c r="B11009" s="35">
        <v>2</v>
      </c>
      <c r="C11009" s="35">
        <v>1</v>
      </c>
      <c r="D11009" s="2">
        <f t="shared" si="171"/>
        <v>3</v>
      </c>
    </row>
    <row r="11010" spans="1:4" x14ac:dyDescent="0.3">
      <c r="A11010" s="34">
        <v>67198</v>
      </c>
      <c r="B11010" s="35">
        <v>1</v>
      </c>
      <c r="C11010" s="35">
        <v>0</v>
      </c>
      <c r="D11010" s="2">
        <f t="shared" si="171"/>
        <v>1</v>
      </c>
    </row>
    <row r="11011" spans="1:4" x14ac:dyDescent="0.3">
      <c r="A11011" s="34">
        <v>67201</v>
      </c>
      <c r="B11011" s="35">
        <v>1</v>
      </c>
      <c r="C11011" s="35">
        <v>0</v>
      </c>
      <c r="D11011" s="2">
        <f t="shared" ref="D11011:D11074" si="172">B11011+C11011</f>
        <v>1</v>
      </c>
    </row>
    <row r="11012" spans="1:4" x14ac:dyDescent="0.3">
      <c r="A11012" s="34">
        <v>67202</v>
      </c>
      <c r="B11012" s="35">
        <v>1</v>
      </c>
      <c r="C11012" s="35">
        <v>0</v>
      </c>
      <c r="D11012" s="2">
        <f t="shared" si="172"/>
        <v>1</v>
      </c>
    </row>
    <row r="11013" spans="1:4" x14ac:dyDescent="0.3">
      <c r="A11013" s="34">
        <v>67203</v>
      </c>
      <c r="B11013" s="35">
        <v>1</v>
      </c>
      <c r="C11013" s="35">
        <v>0</v>
      </c>
      <c r="D11013" s="2">
        <f t="shared" si="172"/>
        <v>1</v>
      </c>
    </row>
    <row r="11014" spans="1:4" x14ac:dyDescent="0.3">
      <c r="A11014" s="34">
        <v>67206</v>
      </c>
      <c r="B11014" s="35">
        <v>1</v>
      </c>
      <c r="C11014" s="35">
        <v>0</v>
      </c>
      <c r="D11014" s="2">
        <f t="shared" si="172"/>
        <v>1</v>
      </c>
    </row>
    <row r="11015" spans="1:4" x14ac:dyDescent="0.3">
      <c r="A11015" s="34">
        <v>67207</v>
      </c>
      <c r="B11015" s="35">
        <v>1</v>
      </c>
      <c r="C11015" s="35">
        <v>0</v>
      </c>
      <c r="D11015" s="2">
        <f t="shared" si="172"/>
        <v>1</v>
      </c>
    </row>
    <row r="11016" spans="1:4" x14ac:dyDescent="0.3">
      <c r="A11016" s="34">
        <v>67209</v>
      </c>
      <c r="B11016" s="35">
        <v>1</v>
      </c>
      <c r="C11016" s="35">
        <v>0</v>
      </c>
      <c r="D11016" s="2">
        <f t="shared" si="172"/>
        <v>1</v>
      </c>
    </row>
    <row r="11017" spans="1:4" x14ac:dyDescent="0.3">
      <c r="A11017" s="34">
        <v>67210</v>
      </c>
      <c r="B11017" s="35">
        <v>1</v>
      </c>
      <c r="C11017" s="35">
        <v>0</v>
      </c>
      <c r="D11017" s="2">
        <f t="shared" si="172"/>
        <v>1</v>
      </c>
    </row>
    <row r="11018" spans="1:4" x14ac:dyDescent="0.3">
      <c r="A11018" s="34">
        <v>67212</v>
      </c>
      <c r="B11018" s="35">
        <v>1</v>
      </c>
      <c r="C11018" s="35">
        <v>0</v>
      </c>
      <c r="D11018" s="2">
        <f t="shared" si="172"/>
        <v>1</v>
      </c>
    </row>
    <row r="11019" spans="1:4" x14ac:dyDescent="0.3">
      <c r="A11019" s="34">
        <v>67214</v>
      </c>
      <c r="B11019" s="35">
        <v>1</v>
      </c>
      <c r="C11019" s="35">
        <v>0</v>
      </c>
      <c r="D11019" s="2">
        <f t="shared" si="172"/>
        <v>1</v>
      </c>
    </row>
    <row r="11020" spans="1:4" x14ac:dyDescent="0.3">
      <c r="A11020" s="34">
        <v>67215</v>
      </c>
      <c r="B11020" s="35">
        <v>2</v>
      </c>
      <c r="C11020" s="35">
        <v>1</v>
      </c>
      <c r="D11020" s="2">
        <f t="shared" si="172"/>
        <v>3</v>
      </c>
    </row>
    <row r="11021" spans="1:4" x14ac:dyDescent="0.3">
      <c r="A11021" s="34">
        <v>67220</v>
      </c>
      <c r="B11021" s="35">
        <v>1</v>
      </c>
      <c r="C11021" s="35">
        <v>0</v>
      </c>
      <c r="D11021" s="2">
        <f t="shared" si="172"/>
        <v>1</v>
      </c>
    </row>
    <row r="11022" spans="1:4" x14ac:dyDescent="0.3">
      <c r="A11022" s="34">
        <v>67221</v>
      </c>
      <c r="B11022" s="35">
        <v>1</v>
      </c>
      <c r="C11022" s="35">
        <v>0</v>
      </c>
      <c r="D11022" s="2">
        <f t="shared" si="172"/>
        <v>1</v>
      </c>
    </row>
    <row r="11023" spans="1:4" x14ac:dyDescent="0.3">
      <c r="A11023" s="34">
        <v>67222</v>
      </c>
      <c r="B11023" s="35">
        <v>1</v>
      </c>
      <c r="C11023" s="35">
        <v>0</v>
      </c>
      <c r="D11023" s="2">
        <f t="shared" si="172"/>
        <v>1</v>
      </c>
    </row>
    <row r="11024" spans="1:4" x14ac:dyDescent="0.3">
      <c r="A11024" s="34">
        <v>67225</v>
      </c>
      <c r="B11024" s="35">
        <v>1</v>
      </c>
      <c r="C11024" s="35">
        <v>0</v>
      </c>
      <c r="D11024" s="2">
        <f t="shared" si="172"/>
        <v>1</v>
      </c>
    </row>
    <row r="11025" spans="1:4" x14ac:dyDescent="0.3">
      <c r="A11025" s="34">
        <v>67227</v>
      </c>
      <c r="B11025" s="35">
        <v>2</v>
      </c>
      <c r="C11025" s="35">
        <v>0</v>
      </c>
      <c r="D11025" s="2">
        <f t="shared" si="172"/>
        <v>2</v>
      </c>
    </row>
    <row r="11026" spans="1:4" x14ac:dyDescent="0.3">
      <c r="A11026" s="34">
        <v>67228</v>
      </c>
      <c r="B11026" s="35">
        <v>1</v>
      </c>
      <c r="C11026" s="35">
        <v>0</v>
      </c>
      <c r="D11026" s="2">
        <f t="shared" si="172"/>
        <v>1</v>
      </c>
    </row>
    <row r="11027" spans="1:4" x14ac:dyDescent="0.3">
      <c r="A11027" s="34">
        <v>67254</v>
      </c>
      <c r="B11027" s="35">
        <v>1</v>
      </c>
      <c r="C11027" s="35">
        <v>0</v>
      </c>
      <c r="D11027" s="2">
        <f t="shared" si="172"/>
        <v>1</v>
      </c>
    </row>
    <row r="11028" spans="1:4" x14ac:dyDescent="0.3">
      <c r="A11028" s="34">
        <v>67255</v>
      </c>
      <c r="B11028" s="35">
        <v>2</v>
      </c>
      <c r="C11028" s="35">
        <v>0</v>
      </c>
      <c r="D11028" s="2">
        <f t="shared" si="172"/>
        <v>2</v>
      </c>
    </row>
    <row r="11029" spans="1:4" x14ac:dyDescent="0.3">
      <c r="A11029" s="34">
        <v>67256</v>
      </c>
      <c r="B11029" s="35">
        <v>1</v>
      </c>
      <c r="C11029" s="35">
        <v>1</v>
      </c>
      <c r="D11029" s="2">
        <f t="shared" si="172"/>
        <v>2</v>
      </c>
    </row>
    <row r="11030" spans="1:4" x14ac:dyDescent="0.3">
      <c r="A11030" s="34">
        <v>67257</v>
      </c>
      <c r="B11030" s="35">
        <v>1</v>
      </c>
      <c r="C11030" s="35">
        <v>0</v>
      </c>
      <c r="D11030" s="2">
        <f t="shared" si="172"/>
        <v>1</v>
      </c>
    </row>
    <row r="11031" spans="1:4" x14ac:dyDescent="0.3">
      <c r="A11031" s="34">
        <v>67258</v>
      </c>
      <c r="B11031" s="35">
        <v>1</v>
      </c>
      <c r="C11031" s="35">
        <v>0</v>
      </c>
      <c r="D11031" s="2">
        <f t="shared" si="172"/>
        <v>1</v>
      </c>
    </row>
    <row r="11032" spans="1:4" x14ac:dyDescent="0.3">
      <c r="A11032" s="34">
        <v>67264</v>
      </c>
      <c r="B11032" s="35">
        <v>1</v>
      </c>
      <c r="C11032" s="35">
        <v>0</v>
      </c>
      <c r="D11032" s="2">
        <f t="shared" si="172"/>
        <v>1</v>
      </c>
    </row>
    <row r="11033" spans="1:4" x14ac:dyDescent="0.3">
      <c r="A11033" s="34">
        <v>67268</v>
      </c>
      <c r="B11033" s="35">
        <v>1</v>
      </c>
      <c r="C11033" s="35">
        <v>0</v>
      </c>
      <c r="D11033" s="2">
        <f t="shared" si="172"/>
        <v>1</v>
      </c>
    </row>
    <row r="11034" spans="1:4" x14ac:dyDescent="0.3">
      <c r="A11034" s="34">
        <v>67270</v>
      </c>
      <c r="B11034" s="35">
        <v>1</v>
      </c>
      <c r="C11034" s="35">
        <v>1</v>
      </c>
      <c r="D11034" s="2">
        <f t="shared" si="172"/>
        <v>2</v>
      </c>
    </row>
    <row r="11035" spans="1:4" x14ac:dyDescent="0.3">
      <c r="A11035" s="34">
        <v>67273</v>
      </c>
      <c r="B11035" s="35">
        <v>1</v>
      </c>
      <c r="C11035" s="35">
        <v>1</v>
      </c>
      <c r="D11035" s="2">
        <f t="shared" si="172"/>
        <v>2</v>
      </c>
    </row>
    <row r="11036" spans="1:4" x14ac:dyDescent="0.3">
      <c r="A11036" s="34">
        <v>67275</v>
      </c>
      <c r="B11036" s="35">
        <v>1</v>
      </c>
      <c r="C11036" s="35">
        <v>0</v>
      </c>
      <c r="D11036" s="2">
        <f t="shared" si="172"/>
        <v>1</v>
      </c>
    </row>
    <row r="11037" spans="1:4" x14ac:dyDescent="0.3">
      <c r="A11037" s="34">
        <v>67277</v>
      </c>
      <c r="B11037" s="35">
        <v>1</v>
      </c>
      <c r="C11037" s="35">
        <v>0</v>
      </c>
      <c r="D11037" s="2">
        <f t="shared" si="172"/>
        <v>1</v>
      </c>
    </row>
    <row r="11038" spans="1:4" x14ac:dyDescent="0.3">
      <c r="A11038" s="34">
        <v>67278</v>
      </c>
      <c r="B11038" s="35">
        <v>1</v>
      </c>
      <c r="C11038" s="35">
        <v>0</v>
      </c>
      <c r="D11038" s="2">
        <f t="shared" si="172"/>
        <v>1</v>
      </c>
    </row>
    <row r="11039" spans="1:4" x14ac:dyDescent="0.3">
      <c r="A11039" s="34">
        <v>67285</v>
      </c>
      <c r="B11039" s="35">
        <v>1</v>
      </c>
      <c r="C11039" s="35">
        <v>0</v>
      </c>
      <c r="D11039" s="2">
        <f t="shared" si="172"/>
        <v>1</v>
      </c>
    </row>
    <row r="11040" spans="1:4" x14ac:dyDescent="0.3">
      <c r="A11040" s="34">
        <v>67286</v>
      </c>
      <c r="B11040" s="35">
        <v>1</v>
      </c>
      <c r="C11040" s="35">
        <v>0</v>
      </c>
      <c r="D11040" s="2">
        <f t="shared" si="172"/>
        <v>1</v>
      </c>
    </row>
    <row r="11041" spans="1:4" x14ac:dyDescent="0.3">
      <c r="A11041" s="34">
        <v>67288</v>
      </c>
      <c r="B11041" s="35">
        <v>1</v>
      </c>
      <c r="C11041" s="35">
        <v>0</v>
      </c>
      <c r="D11041" s="2">
        <f t="shared" si="172"/>
        <v>1</v>
      </c>
    </row>
    <row r="11042" spans="1:4" x14ac:dyDescent="0.3">
      <c r="A11042" s="34">
        <v>67289</v>
      </c>
      <c r="B11042" s="35">
        <v>1</v>
      </c>
      <c r="C11042" s="35">
        <v>0</v>
      </c>
      <c r="D11042" s="2">
        <f t="shared" si="172"/>
        <v>1</v>
      </c>
    </row>
    <row r="11043" spans="1:4" x14ac:dyDescent="0.3">
      <c r="A11043" s="34">
        <v>67290</v>
      </c>
      <c r="B11043" s="35">
        <v>1</v>
      </c>
      <c r="C11043" s="35">
        <v>0</v>
      </c>
      <c r="D11043" s="2">
        <f t="shared" si="172"/>
        <v>1</v>
      </c>
    </row>
    <row r="11044" spans="1:4" x14ac:dyDescent="0.3">
      <c r="A11044" s="34">
        <v>67291</v>
      </c>
      <c r="B11044" s="35">
        <v>1</v>
      </c>
      <c r="C11044" s="35">
        <v>1</v>
      </c>
      <c r="D11044" s="2">
        <f t="shared" si="172"/>
        <v>2</v>
      </c>
    </row>
    <row r="11045" spans="1:4" x14ac:dyDescent="0.3">
      <c r="A11045" s="34">
        <v>67292</v>
      </c>
      <c r="B11045" s="35">
        <v>1</v>
      </c>
      <c r="C11045" s="35">
        <v>0</v>
      </c>
      <c r="D11045" s="2">
        <f t="shared" si="172"/>
        <v>1</v>
      </c>
    </row>
    <row r="11046" spans="1:4" x14ac:dyDescent="0.3">
      <c r="A11046" s="34">
        <v>67294</v>
      </c>
      <c r="B11046" s="35">
        <v>1</v>
      </c>
      <c r="C11046" s="35">
        <v>0</v>
      </c>
      <c r="D11046" s="2">
        <f t="shared" si="172"/>
        <v>1</v>
      </c>
    </row>
    <row r="11047" spans="1:4" x14ac:dyDescent="0.3">
      <c r="A11047" s="34">
        <v>67295</v>
      </c>
      <c r="B11047" s="35">
        <v>1</v>
      </c>
      <c r="C11047" s="35">
        <v>0</v>
      </c>
      <c r="D11047" s="2">
        <f t="shared" si="172"/>
        <v>1</v>
      </c>
    </row>
    <row r="11048" spans="1:4" x14ac:dyDescent="0.3">
      <c r="A11048" s="34">
        <v>67298</v>
      </c>
      <c r="B11048" s="35">
        <v>1</v>
      </c>
      <c r="C11048" s="35">
        <v>0</v>
      </c>
      <c r="D11048" s="2">
        <f t="shared" si="172"/>
        <v>1</v>
      </c>
    </row>
    <row r="11049" spans="1:4" x14ac:dyDescent="0.3">
      <c r="A11049" s="34">
        <v>67300</v>
      </c>
      <c r="B11049" s="35">
        <v>1</v>
      </c>
      <c r="C11049" s="35">
        <v>0</v>
      </c>
      <c r="D11049" s="2">
        <f t="shared" si="172"/>
        <v>1</v>
      </c>
    </row>
    <row r="11050" spans="1:4" x14ac:dyDescent="0.3">
      <c r="A11050" s="34">
        <v>67301</v>
      </c>
      <c r="B11050" s="35">
        <v>1</v>
      </c>
      <c r="C11050" s="35">
        <v>0</v>
      </c>
      <c r="D11050" s="2">
        <f t="shared" si="172"/>
        <v>1</v>
      </c>
    </row>
    <row r="11051" spans="1:4" x14ac:dyDescent="0.3">
      <c r="A11051" s="34">
        <v>67349</v>
      </c>
      <c r="B11051" s="35">
        <v>1</v>
      </c>
      <c r="C11051" s="35">
        <v>0</v>
      </c>
      <c r="D11051" s="2">
        <f t="shared" si="172"/>
        <v>1</v>
      </c>
    </row>
    <row r="11052" spans="1:4" x14ac:dyDescent="0.3">
      <c r="A11052" s="34">
        <v>67350</v>
      </c>
      <c r="B11052" s="35">
        <v>1</v>
      </c>
      <c r="C11052" s="35">
        <v>0</v>
      </c>
      <c r="D11052" s="2">
        <f t="shared" si="172"/>
        <v>1</v>
      </c>
    </row>
    <row r="11053" spans="1:4" x14ac:dyDescent="0.3">
      <c r="A11053" s="34">
        <v>67351</v>
      </c>
      <c r="B11053" s="35">
        <v>1</v>
      </c>
      <c r="C11053" s="35">
        <v>0</v>
      </c>
      <c r="D11053" s="2">
        <f t="shared" si="172"/>
        <v>1</v>
      </c>
    </row>
    <row r="11054" spans="1:4" x14ac:dyDescent="0.3">
      <c r="A11054" s="34">
        <v>67352</v>
      </c>
      <c r="B11054" s="35">
        <v>1</v>
      </c>
      <c r="C11054" s="35">
        <v>0</v>
      </c>
      <c r="D11054" s="2">
        <f t="shared" si="172"/>
        <v>1</v>
      </c>
    </row>
    <row r="11055" spans="1:4" x14ac:dyDescent="0.3">
      <c r="A11055" s="34">
        <v>67356</v>
      </c>
      <c r="B11055" s="35">
        <v>1</v>
      </c>
      <c r="C11055" s="35">
        <v>0</v>
      </c>
      <c r="D11055" s="2">
        <f t="shared" si="172"/>
        <v>1</v>
      </c>
    </row>
    <row r="11056" spans="1:4" x14ac:dyDescent="0.3">
      <c r="A11056" s="34">
        <v>67357</v>
      </c>
      <c r="B11056" s="35">
        <v>1</v>
      </c>
      <c r="C11056" s="35">
        <v>1</v>
      </c>
      <c r="D11056" s="2">
        <f t="shared" si="172"/>
        <v>2</v>
      </c>
    </row>
    <row r="11057" spans="1:4" x14ac:dyDescent="0.3">
      <c r="A11057" s="34">
        <v>67358</v>
      </c>
      <c r="B11057" s="35">
        <v>1</v>
      </c>
      <c r="C11057" s="35">
        <v>0</v>
      </c>
      <c r="D11057" s="2">
        <f t="shared" si="172"/>
        <v>1</v>
      </c>
    </row>
    <row r="11058" spans="1:4" x14ac:dyDescent="0.3">
      <c r="A11058" s="34">
        <v>67359</v>
      </c>
      <c r="B11058" s="35">
        <v>1</v>
      </c>
      <c r="C11058" s="35">
        <v>1</v>
      </c>
      <c r="D11058" s="2">
        <f t="shared" si="172"/>
        <v>2</v>
      </c>
    </row>
    <row r="11059" spans="1:4" x14ac:dyDescent="0.3">
      <c r="A11059" s="34">
        <v>67361</v>
      </c>
      <c r="B11059" s="35">
        <v>1</v>
      </c>
      <c r="C11059" s="35">
        <v>0</v>
      </c>
      <c r="D11059" s="2">
        <f t="shared" si="172"/>
        <v>1</v>
      </c>
    </row>
    <row r="11060" spans="1:4" x14ac:dyDescent="0.3">
      <c r="A11060" s="34">
        <v>67364</v>
      </c>
      <c r="B11060" s="35">
        <v>1</v>
      </c>
      <c r="C11060" s="35">
        <v>0</v>
      </c>
      <c r="D11060" s="2">
        <f t="shared" si="172"/>
        <v>1</v>
      </c>
    </row>
    <row r="11061" spans="1:4" x14ac:dyDescent="0.3">
      <c r="A11061" s="34">
        <v>67365</v>
      </c>
      <c r="B11061" s="35">
        <v>1</v>
      </c>
      <c r="C11061" s="35">
        <v>0</v>
      </c>
      <c r="D11061" s="2">
        <f t="shared" si="172"/>
        <v>1</v>
      </c>
    </row>
    <row r="11062" spans="1:4" x14ac:dyDescent="0.3">
      <c r="A11062" s="34">
        <v>67367</v>
      </c>
      <c r="B11062" s="35">
        <v>1</v>
      </c>
      <c r="C11062" s="35">
        <v>1</v>
      </c>
      <c r="D11062" s="2">
        <f t="shared" si="172"/>
        <v>2</v>
      </c>
    </row>
    <row r="11063" spans="1:4" x14ac:dyDescent="0.3">
      <c r="A11063" s="34">
        <v>67368</v>
      </c>
      <c r="B11063" s="35">
        <v>1</v>
      </c>
      <c r="C11063" s="35">
        <v>1</v>
      </c>
      <c r="D11063" s="2">
        <f t="shared" si="172"/>
        <v>2</v>
      </c>
    </row>
    <row r="11064" spans="1:4" x14ac:dyDescent="0.3">
      <c r="A11064" s="34">
        <v>67372</v>
      </c>
      <c r="B11064" s="35">
        <v>1</v>
      </c>
      <c r="C11064" s="35">
        <v>0</v>
      </c>
      <c r="D11064" s="2">
        <f t="shared" si="172"/>
        <v>1</v>
      </c>
    </row>
    <row r="11065" spans="1:4" x14ac:dyDescent="0.3">
      <c r="A11065" s="34">
        <v>67373</v>
      </c>
      <c r="B11065" s="35">
        <v>1</v>
      </c>
      <c r="C11065" s="35">
        <v>0</v>
      </c>
      <c r="D11065" s="2">
        <f t="shared" si="172"/>
        <v>1</v>
      </c>
    </row>
    <row r="11066" spans="1:4" x14ac:dyDescent="0.3">
      <c r="A11066" s="34">
        <v>67374</v>
      </c>
      <c r="B11066" s="35">
        <v>1</v>
      </c>
      <c r="C11066" s="35">
        <v>1</v>
      </c>
      <c r="D11066" s="2">
        <f t="shared" si="172"/>
        <v>2</v>
      </c>
    </row>
    <row r="11067" spans="1:4" x14ac:dyDescent="0.3">
      <c r="A11067" s="34">
        <v>67375</v>
      </c>
      <c r="B11067" s="35">
        <v>1</v>
      </c>
      <c r="C11067" s="35">
        <v>0</v>
      </c>
      <c r="D11067" s="2">
        <f t="shared" si="172"/>
        <v>1</v>
      </c>
    </row>
    <row r="11068" spans="1:4" x14ac:dyDescent="0.3">
      <c r="A11068" s="34">
        <v>67376</v>
      </c>
      <c r="B11068" s="35">
        <v>1</v>
      </c>
      <c r="C11068" s="35">
        <v>0</v>
      </c>
      <c r="D11068" s="2">
        <f t="shared" si="172"/>
        <v>1</v>
      </c>
    </row>
    <row r="11069" spans="1:4" x14ac:dyDescent="0.3">
      <c r="A11069" s="34">
        <v>67377</v>
      </c>
      <c r="B11069" s="35">
        <v>1</v>
      </c>
      <c r="C11069" s="35">
        <v>0</v>
      </c>
      <c r="D11069" s="2">
        <f t="shared" si="172"/>
        <v>1</v>
      </c>
    </row>
    <row r="11070" spans="1:4" x14ac:dyDescent="0.3">
      <c r="A11070" s="34">
        <v>67378</v>
      </c>
      <c r="B11070" s="35">
        <v>1</v>
      </c>
      <c r="C11070" s="35">
        <v>0</v>
      </c>
      <c r="D11070" s="2">
        <f t="shared" si="172"/>
        <v>1</v>
      </c>
    </row>
    <row r="11071" spans="1:4" x14ac:dyDescent="0.3">
      <c r="A11071" s="34">
        <v>67380</v>
      </c>
      <c r="B11071" s="35">
        <v>2</v>
      </c>
      <c r="C11071" s="35">
        <v>0</v>
      </c>
      <c r="D11071" s="2">
        <f t="shared" si="172"/>
        <v>2</v>
      </c>
    </row>
    <row r="11072" spans="1:4" x14ac:dyDescent="0.3">
      <c r="A11072" s="34">
        <v>67382</v>
      </c>
      <c r="B11072" s="35">
        <v>1</v>
      </c>
      <c r="C11072" s="35">
        <v>0</v>
      </c>
      <c r="D11072" s="2">
        <f t="shared" si="172"/>
        <v>1</v>
      </c>
    </row>
    <row r="11073" spans="1:4" x14ac:dyDescent="0.3">
      <c r="A11073" s="34">
        <v>67383</v>
      </c>
      <c r="B11073" s="35">
        <v>1</v>
      </c>
      <c r="C11073" s="35">
        <v>0</v>
      </c>
      <c r="D11073" s="2">
        <f t="shared" si="172"/>
        <v>1</v>
      </c>
    </row>
    <row r="11074" spans="1:4" x14ac:dyDescent="0.3">
      <c r="A11074" s="34">
        <v>67384</v>
      </c>
      <c r="B11074" s="35">
        <v>1</v>
      </c>
      <c r="C11074" s="35">
        <v>0</v>
      </c>
      <c r="D11074" s="2">
        <f t="shared" si="172"/>
        <v>1</v>
      </c>
    </row>
    <row r="11075" spans="1:4" x14ac:dyDescent="0.3">
      <c r="A11075" s="34">
        <v>67385</v>
      </c>
      <c r="B11075" s="35">
        <v>1</v>
      </c>
      <c r="C11075" s="35">
        <v>0</v>
      </c>
      <c r="D11075" s="2">
        <f t="shared" ref="D11075:D11138" si="173">B11075+C11075</f>
        <v>1</v>
      </c>
    </row>
    <row r="11076" spans="1:4" x14ac:dyDescent="0.3">
      <c r="A11076" s="34">
        <v>67386</v>
      </c>
      <c r="B11076" s="35">
        <v>1</v>
      </c>
      <c r="C11076" s="35">
        <v>1</v>
      </c>
      <c r="D11076" s="2">
        <f t="shared" si="173"/>
        <v>2</v>
      </c>
    </row>
    <row r="11077" spans="1:4" x14ac:dyDescent="0.3">
      <c r="A11077" s="34">
        <v>67387</v>
      </c>
      <c r="B11077" s="35">
        <v>1</v>
      </c>
      <c r="C11077" s="35">
        <v>1</v>
      </c>
      <c r="D11077" s="2">
        <f t="shared" si="173"/>
        <v>2</v>
      </c>
    </row>
    <row r="11078" spans="1:4" x14ac:dyDescent="0.3">
      <c r="A11078" s="34">
        <v>67388</v>
      </c>
      <c r="B11078" s="35">
        <v>1</v>
      </c>
      <c r="C11078" s="35">
        <v>1</v>
      </c>
      <c r="D11078" s="2">
        <f t="shared" si="173"/>
        <v>2</v>
      </c>
    </row>
    <row r="11079" spans="1:4" x14ac:dyDescent="0.3">
      <c r="A11079" s="34">
        <v>67411</v>
      </c>
      <c r="B11079" s="35">
        <v>1</v>
      </c>
      <c r="C11079" s="35">
        <v>0</v>
      </c>
      <c r="D11079" s="2">
        <f t="shared" si="173"/>
        <v>1</v>
      </c>
    </row>
    <row r="11080" spans="1:4" x14ac:dyDescent="0.3">
      <c r="A11080" s="34">
        <v>67413</v>
      </c>
      <c r="B11080" s="35">
        <v>1</v>
      </c>
      <c r="C11080" s="35">
        <v>0</v>
      </c>
      <c r="D11080" s="2">
        <f t="shared" si="173"/>
        <v>1</v>
      </c>
    </row>
    <row r="11081" spans="1:4" x14ac:dyDescent="0.3">
      <c r="A11081" s="34">
        <v>67414</v>
      </c>
      <c r="B11081" s="35">
        <v>1</v>
      </c>
      <c r="C11081" s="35">
        <v>0</v>
      </c>
      <c r="D11081" s="2">
        <f t="shared" si="173"/>
        <v>1</v>
      </c>
    </row>
    <row r="11082" spans="1:4" x14ac:dyDescent="0.3">
      <c r="A11082" s="34">
        <v>67416</v>
      </c>
      <c r="B11082" s="35">
        <v>1</v>
      </c>
      <c r="C11082" s="35">
        <v>0</v>
      </c>
      <c r="D11082" s="2">
        <f t="shared" si="173"/>
        <v>1</v>
      </c>
    </row>
    <row r="11083" spans="1:4" x14ac:dyDescent="0.3">
      <c r="A11083" s="34">
        <v>67417</v>
      </c>
      <c r="B11083" s="35">
        <v>1</v>
      </c>
      <c r="C11083" s="35">
        <v>0</v>
      </c>
      <c r="D11083" s="2">
        <f t="shared" si="173"/>
        <v>1</v>
      </c>
    </row>
    <row r="11084" spans="1:4" x14ac:dyDescent="0.3">
      <c r="A11084" s="34">
        <v>67423</v>
      </c>
      <c r="B11084" s="35">
        <v>1</v>
      </c>
      <c r="C11084" s="35">
        <v>0</v>
      </c>
      <c r="D11084" s="2">
        <f t="shared" si="173"/>
        <v>1</v>
      </c>
    </row>
    <row r="11085" spans="1:4" x14ac:dyDescent="0.3">
      <c r="A11085" s="34">
        <v>67424</v>
      </c>
      <c r="B11085" s="35">
        <v>1</v>
      </c>
      <c r="C11085" s="35">
        <v>0</v>
      </c>
      <c r="D11085" s="2">
        <f t="shared" si="173"/>
        <v>1</v>
      </c>
    </row>
    <row r="11086" spans="1:4" x14ac:dyDescent="0.3">
      <c r="A11086" s="34">
        <v>67425</v>
      </c>
      <c r="B11086" s="35">
        <v>1</v>
      </c>
      <c r="C11086" s="35">
        <v>1</v>
      </c>
      <c r="D11086" s="2">
        <f t="shared" si="173"/>
        <v>2</v>
      </c>
    </row>
    <row r="11087" spans="1:4" x14ac:dyDescent="0.3">
      <c r="A11087" s="34">
        <v>67426</v>
      </c>
      <c r="B11087" s="35">
        <v>1</v>
      </c>
      <c r="C11087" s="35">
        <v>1</v>
      </c>
      <c r="D11087" s="2">
        <f t="shared" si="173"/>
        <v>2</v>
      </c>
    </row>
    <row r="11088" spans="1:4" x14ac:dyDescent="0.3">
      <c r="A11088" s="34">
        <v>67427</v>
      </c>
      <c r="B11088" s="35">
        <v>1</v>
      </c>
      <c r="C11088" s="35">
        <v>0</v>
      </c>
      <c r="D11088" s="2">
        <f t="shared" si="173"/>
        <v>1</v>
      </c>
    </row>
    <row r="11089" spans="1:4" x14ac:dyDescent="0.3">
      <c r="A11089" s="34">
        <v>67428</v>
      </c>
      <c r="B11089" s="35">
        <v>1</v>
      </c>
      <c r="C11089" s="35">
        <v>0</v>
      </c>
      <c r="D11089" s="2">
        <f t="shared" si="173"/>
        <v>1</v>
      </c>
    </row>
    <row r="11090" spans="1:4" x14ac:dyDescent="0.3">
      <c r="A11090" s="34">
        <v>67429</v>
      </c>
      <c r="B11090" s="35">
        <v>1</v>
      </c>
      <c r="C11090" s="35">
        <v>0</v>
      </c>
      <c r="D11090" s="2">
        <f t="shared" si="173"/>
        <v>1</v>
      </c>
    </row>
    <row r="11091" spans="1:4" x14ac:dyDescent="0.3">
      <c r="A11091" s="34">
        <v>67431</v>
      </c>
      <c r="B11091" s="35">
        <v>1</v>
      </c>
      <c r="C11091" s="35">
        <v>0</v>
      </c>
      <c r="D11091" s="2">
        <f t="shared" si="173"/>
        <v>1</v>
      </c>
    </row>
    <row r="11092" spans="1:4" x14ac:dyDescent="0.3">
      <c r="A11092" s="34">
        <v>67432</v>
      </c>
      <c r="B11092" s="35">
        <v>1</v>
      </c>
      <c r="C11092" s="35">
        <v>0</v>
      </c>
      <c r="D11092" s="2">
        <f t="shared" si="173"/>
        <v>1</v>
      </c>
    </row>
    <row r="11093" spans="1:4" x14ac:dyDescent="0.3">
      <c r="A11093" s="34">
        <v>67434</v>
      </c>
      <c r="B11093" s="35">
        <v>1</v>
      </c>
      <c r="C11093" s="35">
        <v>0</v>
      </c>
      <c r="D11093" s="2">
        <f t="shared" si="173"/>
        <v>1</v>
      </c>
    </row>
    <row r="11094" spans="1:4" x14ac:dyDescent="0.3">
      <c r="A11094" s="34">
        <v>67437</v>
      </c>
      <c r="B11094" s="35">
        <v>1</v>
      </c>
      <c r="C11094" s="35">
        <v>1</v>
      </c>
      <c r="D11094" s="2">
        <f t="shared" si="173"/>
        <v>2</v>
      </c>
    </row>
    <row r="11095" spans="1:4" x14ac:dyDescent="0.3">
      <c r="A11095" s="34">
        <v>67438</v>
      </c>
      <c r="B11095" s="35">
        <v>1</v>
      </c>
      <c r="C11095" s="35">
        <v>0</v>
      </c>
      <c r="D11095" s="2">
        <f t="shared" si="173"/>
        <v>1</v>
      </c>
    </row>
    <row r="11096" spans="1:4" x14ac:dyDescent="0.3">
      <c r="A11096" s="34">
        <v>67439</v>
      </c>
      <c r="B11096" s="35">
        <v>1</v>
      </c>
      <c r="C11096" s="35">
        <v>1</v>
      </c>
      <c r="D11096" s="2">
        <f t="shared" si="173"/>
        <v>2</v>
      </c>
    </row>
    <row r="11097" spans="1:4" x14ac:dyDescent="0.3">
      <c r="A11097" s="34">
        <v>67442</v>
      </c>
      <c r="B11097" s="35">
        <v>1</v>
      </c>
      <c r="C11097" s="35">
        <v>0</v>
      </c>
      <c r="D11097" s="2">
        <f t="shared" si="173"/>
        <v>1</v>
      </c>
    </row>
    <row r="11098" spans="1:4" x14ac:dyDescent="0.3">
      <c r="A11098" s="34">
        <v>67443</v>
      </c>
      <c r="B11098" s="35">
        <v>1</v>
      </c>
      <c r="C11098" s="35">
        <v>0</v>
      </c>
      <c r="D11098" s="2">
        <f t="shared" si="173"/>
        <v>1</v>
      </c>
    </row>
    <row r="11099" spans="1:4" x14ac:dyDescent="0.3">
      <c r="A11099" s="34">
        <v>67446</v>
      </c>
      <c r="B11099" s="35">
        <v>1</v>
      </c>
      <c r="C11099" s="35">
        <v>0</v>
      </c>
      <c r="D11099" s="2">
        <f t="shared" si="173"/>
        <v>1</v>
      </c>
    </row>
    <row r="11100" spans="1:4" x14ac:dyDescent="0.3">
      <c r="A11100" s="34">
        <v>67451</v>
      </c>
      <c r="B11100" s="35">
        <v>1</v>
      </c>
      <c r="C11100" s="35">
        <v>0</v>
      </c>
      <c r="D11100" s="2">
        <f t="shared" si="173"/>
        <v>1</v>
      </c>
    </row>
    <row r="11101" spans="1:4" x14ac:dyDescent="0.3">
      <c r="A11101" s="34">
        <v>67452</v>
      </c>
      <c r="B11101" s="35">
        <v>1</v>
      </c>
      <c r="C11101" s="35">
        <v>0</v>
      </c>
      <c r="D11101" s="2">
        <f t="shared" si="173"/>
        <v>1</v>
      </c>
    </row>
    <row r="11102" spans="1:4" x14ac:dyDescent="0.3">
      <c r="A11102" s="34">
        <v>67453</v>
      </c>
      <c r="B11102" s="35">
        <v>1</v>
      </c>
      <c r="C11102" s="35">
        <v>0</v>
      </c>
      <c r="D11102" s="2">
        <f t="shared" si="173"/>
        <v>1</v>
      </c>
    </row>
    <row r="11103" spans="1:4" x14ac:dyDescent="0.3">
      <c r="A11103" s="34">
        <v>67470</v>
      </c>
      <c r="B11103" s="35">
        <v>2</v>
      </c>
      <c r="C11103" s="35">
        <v>1</v>
      </c>
      <c r="D11103" s="2">
        <f t="shared" si="173"/>
        <v>3</v>
      </c>
    </row>
    <row r="11104" spans="1:4" x14ac:dyDescent="0.3">
      <c r="A11104" s="34">
        <v>67471</v>
      </c>
      <c r="B11104" s="35">
        <v>1</v>
      </c>
      <c r="C11104" s="35">
        <v>0</v>
      </c>
      <c r="D11104" s="2">
        <f t="shared" si="173"/>
        <v>1</v>
      </c>
    </row>
    <row r="11105" spans="1:4" x14ac:dyDescent="0.3">
      <c r="A11105" s="34">
        <v>67472</v>
      </c>
      <c r="B11105" s="35">
        <v>1</v>
      </c>
      <c r="C11105" s="35">
        <v>0</v>
      </c>
      <c r="D11105" s="2">
        <f t="shared" si="173"/>
        <v>1</v>
      </c>
    </row>
    <row r="11106" spans="1:4" x14ac:dyDescent="0.3">
      <c r="A11106" s="34">
        <v>67474</v>
      </c>
      <c r="B11106" s="35">
        <v>1</v>
      </c>
      <c r="C11106" s="35">
        <v>0</v>
      </c>
      <c r="D11106" s="2">
        <f t="shared" si="173"/>
        <v>1</v>
      </c>
    </row>
    <row r="11107" spans="1:4" x14ac:dyDescent="0.3">
      <c r="A11107" s="34">
        <v>67476</v>
      </c>
      <c r="B11107" s="35">
        <v>1</v>
      </c>
      <c r="C11107" s="35">
        <v>0</v>
      </c>
      <c r="D11107" s="2">
        <f t="shared" si="173"/>
        <v>1</v>
      </c>
    </row>
    <row r="11108" spans="1:4" x14ac:dyDescent="0.3">
      <c r="A11108" s="34">
        <v>67477</v>
      </c>
      <c r="B11108" s="35">
        <v>1</v>
      </c>
      <c r="C11108" s="35">
        <v>0</v>
      </c>
      <c r="D11108" s="2">
        <f t="shared" si="173"/>
        <v>1</v>
      </c>
    </row>
    <row r="11109" spans="1:4" x14ac:dyDescent="0.3">
      <c r="A11109" s="34">
        <v>67480</v>
      </c>
      <c r="B11109" s="35">
        <v>1</v>
      </c>
      <c r="C11109" s="35">
        <v>0</v>
      </c>
      <c r="D11109" s="2">
        <f t="shared" si="173"/>
        <v>1</v>
      </c>
    </row>
    <row r="11110" spans="1:4" x14ac:dyDescent="0.3">
      <c r="A11110" s="34">
        <v>67482</v>
      </c>
      <c r="B11110" s="35">
        <v>1</v>
      </c>
      <c r="C11110" s="35">
        <v>0</v>
      </c>
      <c r="D11110" s="2">
        <f t="shared" si="173"/>
        <v>1</v>
      </c>
    </row>
    <row r="11111" spans="1:4" x14ac:dyDescent="0.3">
      <c r="A11111" s="34">
        <v>67483</v>
      </c>
      <c r="B11111" s="35">
        <v>1</v>
      </c>
      <c r="C11111" s="35">
        <v>0</v>
      </c>
      <c r="D11111" s="2">
        <f t="shared" si="173"/>
        <v>1</v>
      </c>
    </row>
    <row r="11112" spans="1:4" x14ac:dyDescent="0.3">
      <c r="A11112" s="34">
        <v>67484</v>
      </c>
      <c r="B11112" s="35">
        <v>1</v>
      </c>
      <c r="C11112" s="35">
        <v>0</v>
      </c>
      <c r="D11112" s="2">
        <f t="shared" si="173"/>
        <v>1</v>
      </c>
    </row>
    <row r="11113" spans="1:4" x14ac:dyDescent="0.3">
      <c r="A11113" s="34">
        <v>67487</v>
      </c>
      <c r="B11113" s="35">
        <v>1</v>
      </c>
      <c r="C11113" s="35">
        <v>0</v>
      </c>
      <c r="D11113" s="2">
        <f t="shared" si="173"/>
        <v>1</v>
      </c>
    </row>
    <row r="11114" spans="1:4" x14ac:dyDescent="0.3">
      <c r="A11114" s="34">
        <v>67491</v>
      </c>
      <c r="B11114" s="35">
        <v>2</v>
      </c>
      <c r="C11114" s="35">
        <v>2</v>
      </c>
      <c r="D11114" s="2">
        <f t="shared" si="173"/>
        <v>4</v>
      </c>
    </row>
    <row r="11115" spans="1:4" x14ac:dyDescent="0.3">
      <c r="A11115" s="34">
        <v>67492</v>
      </c>
      <c r="B11115" s="35">
        <v>1</v>
      </c>
      <c r="C11115" s="35">
        <v>0</v>
      </c>
      <c r="D11115" s="2">
        <f t="shared" si="173"/>
        <v>1</v>
      </c>
    </row>
    <row r="11116" spans="1:4" x14ac:dyDescent="0.3">
      <c r="A11116" s="34">
        <v>67493</v>
      </c>
      <c r="B11116" s="35">
        <v>1</v>
      </c>
      <c r="C11116" s="35">
        <v>0</v>
      </c>
      <c r="D11116" s="2">
        <f t="shared" si="173"/>
        <v>1</v>
      </c>
    </row>
    <row r="11117" spans="1:4" x14ac:dyDescent="0.3">
      <c r="A11117" s="34">
        <v>67494</v>
      </c>
      <c r="B11117" s="35">
        <v>1</v>
      </c>
      <c r="C11117" s="35">
        <v>0</v>
      </c>
      <c r="D11117" s="2">
        <f t="shared" si="173"/>
        <v>1</v>
      </c>
    </row>
    <row r="11118" spans="1:4" x14ac:dyDescent="0.3">
      <c r="A11118" s="34">
        <v>67518</v>
      </c>
      <c r="B11118" s="35">
        <v>1</v>
      </c>
      <c r="C11118" s="35">
        <v>0</v>
      </c>
      <c r="D11118" s="2">
        <f t="shared" si="173"/>
        <v>1</v>
      </c>
    </row>
    <row r="11119" spans="1:4" x14ac:dyDescent="0.3">
      <c r="A11119" s="34">
        <v>67519</v>
      </c>
      <c r="B11119" s="35">
        <v>2</v>
      </c>
      <c r="C11119" s="35">
        <v>0</v>
      </c>
      <c r="D11119" s="2">
        <f t="shared" si="173"/>
        <v>2</v>
      </c>
    </row>
    <row r="11120" spans="1:4" x14ac:dyDescent="0.3">
      <c r="A11120" s="34">
        <v>67520</v>
      </c>
      <c r="B11120" s="35">
        <v>2</v>
      </c>
      <c r="C11120" s="35">
        <v>2</v>
      </c>
      <c r="D11120" s="2">
        <f t="shared" si="173"/>
        <v>4</v>
      </c>
    </row>
    <row r="11121" spans="1:4" x14ac:dyDescent="0.3">
      <c r="A11121" s="34">
        <v>67522</v>
      </c>
      <c r="B11121" s="35">
        <v>1</v>
      </c>
      <c r="C11121" s="35">
        <v>0</v>
      </c>
      <c r="D11121" s="2">
        <f t="shared" si="173"/>
        <v>1</v>
      </c>
    </row>
    <row r="11122" spans="1:4" x14ac:dyDescent="0.3">
      <c r="A11122" s="34">
        <v>67525</v>
      </c>
      <c r="B11122" s="35">
        <v>1</v>
      </c>
      <c r="C11122" s="35">
        <v>0</v>
      </c>
      <c r="D11122" s="2">
        <f t="shared" si="173"/>
        <v>1</v>
      </c>
    </row>
    <row r="11123" spans="1:4" x14ac:dyDescent="0.3">
      <c r="A11123" s="34">
        <v>67527</v>
      </c>
      <c r="B11123" s="35">
        <v>1</v>
      </c>
      <c r="C11123" s="35">
        <v>0</v>
      </c>
      <c r="D11123" s="2">
        <f t="shared" si="173"/>
        <v>1</v>
      </c>
    </row>
    <row r="11124" spans="1:4" x14ac:dyDescent="0.3">
      <c r="A11124" s="34">
        <v>67529</v>
      </c>
      <c r="B11124" s="35">
        <v>1</v>
      </c>
      <c r="C11124" s="35">
        <v>0</v>
      </c>
      <c r="D11124" s="2">
        <f t="shared" si="173"/>
        <v>1</v>
      </c>
    </row>
    <row r="11125" spans="1:4" x14ac:dyDescent="0.3">
      <c r="A11125" s="34">
        <v>67530</v>
      </c>
      <c r="B11125" s="35">
        <v>1</v>
      </c>
      <c r="C11125" s="35">
        <v>0</v>
      </c>
      <c r="D11125" s="2">
        <f t="shared" si="173"/>
        <v>1</v>
      </c>
    </row>
    <row r="11126" spans="1:4" x14ac:dyDescent="0.3">
      <c r="A11126" s="34">
        <v>67532</v>
      </c>
      <c r="B11126" s="35">
        <v>1</v>
      </c>
      <c r="C11126" s="35">
        <v>0</v>
      </c>
      <c r="D11126" s="2">
        <f t="shared" si="173"/>
        <v>1</v>
      </c>
    </row>
    <row r="11127" spans="1:4" x14ac:dyDescent="0.3">
      <c r="A11127" s="34">
        <v>67533</v>
      </c>
      <c r="B11127" s="35">
        <v>1</v>
      </c>
      <c r="C11127" s="35">
        <v>0</v>
      </c>
      <c r="D11127" s="2">
        <f t="shared" si="173"/>
        <v>1</v>
      </c>
    </row>
    <row r="11128" spans="1:4" x14ac:dyDescent="0.3">
      <c r="A11128" s="34">
        <v>67534</v>
      </c>
      <c r="B11128" s="35">
        <v>2</v>
      </c>
      <c r="C11128" s="35">
        <v>2</v>
      </c>
      <c r="D11128" s="2">
        <f t="shared" si="173"/>
        <v>4</v>
      </c>
    </row>
    <row r="11129" spans="1:4" x14ac:dyDescent="0.3">
      <c r="A11129" s="34">
        <v>67537</v>
      </c>
      <c r="B11129" s="35">
        <v>1</v>
      </c>
      <c r="C11129" s="35">
        <v>0</v>
      </c>
      <c r="D11129" s="2">
        <f t="shared" si="173"/>
        <v>1</v>
      </c>
    </row>
    <row r="11130" spans="1:4" x14ac:dyDescent="0.3">
      <c r="A11130" s="34">
        <v>67539</v>
      </c>
      <c r="B11130" s="35">
        <v>1</v>
      </c>
      <c r="C11130" s="35">
        <v>0</v>
      </c>
      <c r="D11130" s="2">
        <f t="shared" si="173"/>
        <v>1</v>
      </c>
    </row>
    <row r="11131" spans="1:4" x14ac:dyDescent="0.3">
      <c r="A11131" s="34">
        <v>67540</v>
      </c>
      <c r="B11131" s="35">
        <v>1</v>
      </c>
      <c r="C11131" s="35">
        <v>0</v>
      </c>
      <c r="D11131" s="2">
        <f t="shared" si="173"/>
        <v>1</v>
      </c>
    </row>
    <row r="11132" spans="1:4" x14ac:dyDescent="0.3">
      <c r="A11132" s="34">
        <v>67542</v>
      </c>
      <c r="B11132" s="35">
        <v>1</v>
      </c>
      <c r="C11132" s="35">
        <v>0</v>
      </c>
      <c r="D11132" s="2">
        <f t="shared" si="173"/>
        <v>1</v>
      </c>
    </row>
    <row r="11133" spans="1:4" x14ac:dyDescent="0.3">
      <c r="A11133" s="34">
        <v>67547</v>
      </c>
      <c r="B11133" s="35">
        <v>1</v>
      </c>
      <c r="C11133" s="35">
        <v>1</v>
      </c>
      <c r="D11133" s="2">
        <f t="shared" si="173"/>
        <v>2</v>
      </c>
    </row>
    <row r="11134" spans="1:4" x14ac:dyDescent="0.3">
      <c r="A11134" s="34">
        <v>67550</v>
      </c>
      <c r="B11134" s="35">
        <v>1</v>
      </c>
      <c r="C11134" s="35">
        <v>0</v>
      </c>
      <c r="D11134" s="2">
        <f t="shared" si="173"/>
        <v>1</v>
      </c>
    </row>
    <row r="11135" spans="1:4" x14ac:dyDescent="0.3">
      <c r="A11135" s="34">
        <v>67551</v>
      </c>
      <c r="B11135" s="35">
        <v>1</v>
      </c>
      <c r="C11135" s="35">
        <v>0</v>
      </c>
      <c r="D11135" s="2">
        <f t="shared" si="173"/>
        <v>1</v>
      </c>
    </row>
    <row r="11136" spans="1:4" x14ac:dyDescent="0.3">
      <c r="A11136" s="34">
        <v>67571</v>
      </c>
      <c r="B11136" s="35">
        <v>1</v>
      </c>
      <c r="C11136" s="35">
        <v>0</v>
      </c>
      <c r="D11136" s="2">
        <f t="shared" si="173"/>
        <v>1</v>
      </c>
    </row>
    <row r="11137" spans="1:4" x14ac:dyDescent="0.3">
      <c r="A11137" s="34">
        <v>67573</v>
      </c>
      <c r="B11137" s="35">
        <v>1</v>
      </c>
      <c r="C11137" s="35">
        <v>0</v>
      </c>
      <c r="D11137" s="2">
        <f t="shared" si="173"/>
        <v>1</v>
      </c>
    </row>
    <row r="11138" spans="1:4" x14ac:dyDescent="0.3">
      <c r="A11138" s="34">
        <v>67575</v>
      </c>
      <c r="B11138" s="35">
        <v>1</v>
      </c>
      <c r="C11138" s="35">
        <v>0</v>
      </c>
      <c r="D11138" s="2">
        <f t="shared" si="173"/>
        <v>1</v>
      </c>
    </row>
    <row r="11139" spans="1:4" x14ac:dyDescent="0.3">
      <c r="A11139" s="34">
        <v>67576</v>
      </c>
      <c r="B11139" s="35">
        <v>1</v>
      </c>
      <c r="C11139" s="35">
        <v>0</v>
      </c>
      <c r="D11139" s="2">
        <f t="shared" ref="D11139:D11202" si="174">B11139+C11139</f>
        <v>1</v>
      </c>
    </row>
    <row r="11140" spans="1:4" x14ac:dyDescent="0.3">
      <c r="A11140" s="34">
        <v>67578</v>
      </c>
      <c r="B11140" s="35">
        <v>1</v>
      </c>
      <c r="C11140" s="35">
        <v>0</v>
      </c>
      <c r="D11140" s="2">
        <f t="shared" si="174"/>
        <v>1</v>
      </c>
    </row>
    <row r="11141" spans="1:4" x14ac:dyDescent="0.3">
      <c r="A11141" s="34">
        <v>67579</v>
      </c>
      <c r="B11141" s="35">
        <v>1</v>
      </c>
      <c r="C11141" s="35">
        <v>0</v>
      </c>
      <c r="D11141" s="2">
        <f t="shared" si="174"/>
        <v>1</v>
      </c>
    </row>
    <row r="11142" spans="1:4" x14ac:dyDescent="0.3">
      <c r="A11142" s="34">
        <v>67583</v>
      </c>
      <c r="B11142" s="35">
        <v>1</v>
      </c>
      <c r="C11142" s="35">
        <v>0</v>
      </c>
      <c r="D11142" s="2">
        <f t="shared" si="174"/>
        <v>1</v>
      </c>
    </row>
    <row r="11143" spans="1:4" x14ac:dyDescent="0.3">
      <c r="A11143" s="34">
        <v>67584</v>
      </c>
      <c r="B11143" s="35">
        <v>1</v>
      </c>
      <c r="C11143" s="35">
        <v>0</v>
      </c>
      <c r="D11143" s="2">
        <f t="shared" si="174"/>
        <v>1</v>
      </c>
    </row>
    <row r="11144" spans="1:4" x14ac:dyDescent="0.3">
      <c r="A11144" s="34">
        <v>67585</v>
      </c>
      <c r="B11144" s="35">
        <v>1</v>
      </c>
      <c r="C11144" s="35">
        <v>0</v>
      </c>
      <c r="D11144" s="2">
        <f t="shared" si="174"/>
        <v>1</v>
      </c>
    </row>
    <row r="11145" spans="1:4" x14ac:dyDescent="0.3">
      <c r="A11145" s="34">
        <v>67588</v>
      </c>
      <c r="B11145" s="35">
        <v>1</v>
      </c>
      <c r="C11145" s="35">
        <v>0</v>
      </c>
      <c r="D11145" s="2">
        <f t="shared" si="174"/>
        <v>1</v>
      </c>
    </row>
    <row r="11146" spans="1:4" x14ac:dyDescent="0.3">
      <c r="A11146" s="34">
        <v>67596</v>
      </c>
      <c r="B11146" s="35">
        <v>1</v>
      </c>
      <c r="C11146" s="35">
        <v>0</v>
      </c>
      <c r="D11146" s="2">
        <f t="shared" si="174"/>
        <v>1</v>
      </c>
    </row>
    <row r="11147" spans="1:4" x14ac:dyDescent="0.3">
      <c r="A11147" s="34">
        <v>67597</v>
      </c>
      <c r="B11147" s="35">
        <v>1</v>
      </c>
      <c r="C11147" s="35">
        <v>0</v>
      </c>
      <c r="D11147" s="2">
        <f t="shared" si="174"/>
        <v>1</v>
      </c>
    </row>
    <row r="11148" spans="1:4" x14ac:dyDescent="0.3">
      <c r="A11148" s="34">
        <v>67598</v>
      </c>
      <c r="B11148" s="35">
        <v>1</v>
      </c>
      <c r="C11148" s="35">
        <v>0</v>
      </c>
      <c r="D11148" s="2">
        <f t="shared" si="174"/>
        <v>1</v>
      </c>
    </row>
    <row r="11149" spans="1:4" x14ac:dyDescent="0.3">
      <c r="A11149" s="34">
        <v>67604</v>
      </c>
      <c r="B11149" s="35">
        <v>1</v>
      </c>
      <c r="C11149" s="35">
        <v>0</v>
      </c>
      <c r="D11149" s="2">
        <f t="shared" si="174"/>
        <v>1</v>
      </c>
    </row>
    <row r="11150" spans="1:4" x14ac:dyDescent="0.3">
      <c r="A11150" s="34">
        <v>67605</v>
      </c>
      <c r="B11150" s="35">
        <v>1</v>
      </c>
      <c r="C11150" s="35">
        <v>0</v>
      </c>
      <c r="D11150" s="2">
        <f t="shared" si="174"/>
        <v>1</v>
      </c>
    </row>
    <row r="11151" spans="1:4" x14ac:dyDescent="0.3">
      <c r="A11151" s="34">
        <v>67612</v>
      </c>
      <c r="B11151" s="35">
        <v>1</v>
      </c>
      <c r="C11151" s="35">
        <v>0</v>
      </c>
      <c r="D11151" s="2">
        <f t="shared" si="174"/>
        <v>1</v>
      </c>
    </row>
    <row r="11152" spans="1:4" x14ac:dyDescent="0.3">
      <c r="A11152" s="34">
        <v>67613</v>
      </c>
      <c r="B11152" s="35">
        <v>1</v>
      </c>
      <c r="C11152" s="35">
        <v>0</v>
      </c>
      <c r="D11152" s="2">
        <f t="shared" si="174"/>
        <v>1</v>
      </c>
    </row>
    <row r="11153" spans="1:4" x14ac:dyDescent="0.3">
      <c r="A11153" s="34">
        <v>67614</v>
      </c>
      <c r="B11153" s="35">
        <v>1</v>
      </c>
      <c r="C11153" s="35">
        <v>0</v>
      </c>
      <c r="D11153" s="2">
        <f t="shared" si="174"/>
        <v>1</v>
      </c>
    </row>
    <row r="11154" spans="1:4" x14ac:dyDescent="0.3">
      <c r="A11154" s="34">
        <v>67615</v>
      </c>
      <c r="B11154" s="35">
        <v>1</v>
      </c>
      <c r="C11154" s="35">
        <v>0</v>
      </c>
      <c r="D11154" s="2">
        <f t="shared" si="174"/>
        <v>1</v>
      </c>
    </row>
    <row r="11155" spans="1:4" x14ac:dyDescent="0.3">
      <c r="A11155" s="34">
        <v>67616</v>
      </c>
      <c r="B11155" s="35">
        <v>1</v>
      </c>
      <c r="C11155" s="35">
        <v>0</v>
      </c>
      <c r="D11155" s="2">
        <f t="shared" si="174"/>
        <v>1</v>
      </c>
    </row>
    <row r="11156" spans="1:4" x14ac:dyDescent="0.3">
      <c r="A11156" s="34">
        <v>67618</v>
      </c>
      <c r="B11156" s="35">
        <v>1</v>
      </c>
      <c r="C11156" s="35">
        <v>0</v>
      </c>
      <c r="D11156" s="2">
        <f t="shared" si="174"/>
        <v>1</v>
      </c>
    </row>
    <row r="11157" spans="1:4" x14ac:dyDescent="0.3">
      <c r="A11157" s="34">
        <v>67619</v>
      </c>
      <c r="B11157" s="35">
        <v>1</v>
      </c>
      <c r="C11157" s="35">
        <v>0</v>
      </c>
      <c r="D11157" s="2">
        <f t="shared" si="174"/>
        <v>1</v>
      </c>
    </row>
    <row r="11158" spans="1:4" x14ac:dyDescent="0.3">
      <c r="A11158" s="34">
        <v>67621</v>
      </c>
      <c r="B11158" s="35">
        <v>1</v>
      </c>
      <c r="C11158" s="35">
        <v>0</v>
      </c>
      <c r="D11158" s="2">
        <f t="shared" si="174"/>
        <v>1</v>
      </c>
    </row>
    <row r="11159" spans="1:4" x14ac:dyDescent="0.3">
      <c r="A11159" s="34">
        <v>67622</v>
      </c>
      <c r="B11159" s="35">
        <v>1</v>
      </c>
      <c r="C11159" s="35">
        <v>1</v>
      </c>
      <c r="D11159" s="2">
        <f t="shared" si="174"/>
        <v>2</v>
      </c>
    </row>
    <row r="11160" spans="1:4" x14ac:dyDescent="0.3">
      <c r="A11160" s="34">
        <v>67626</v>
      </c>
      <c r="B11160" s="35">
        <v>1</v>
      </c>
      <c r="C11160" s="35">
        <v>0</v>
      </c>
      <c r="D11160" s="2">
        <f t="shared" si="174"/>
        <v>1</v>
      </c>
    </row>
    <row r="11161" spans="1:4" x14ac:dyDescent="0.3">
      <c r="A11161" s="34">
        <v>67627</v>
      </c>
      <c r="B11161" s="35">
        <v>1</v>
      </c>
      <c r="C11161" s="35">
        <v>1</v>
      </c>
      <c r="D11161" s="2">
        <f t="shared" si="174"/>
        <v>2</v>
      </c>
    </row>
    <row r="11162" spans="1:4" x14ac:dyDescent="0.3">
      <c r="A11162" s="34">
        <v>67629</v>
      </c>
      <c r="B11162" s="35">
        <v>2</v>
      </c>
      <c r="C11162" s="35">
        <v>1</v>
      </c>
      <c r="D11162" s="2">
        <f t="shared" si="174"/>
        <v>3</v>
      </c>
    </row>
    <row r="11163" spans="1:4" x14ac:dyDescent="0.3">
      <c r="A11163" s="34">
        <v>67630</v>
      </c>
      <c r="B11163" s="35">
        <v>1</v>
      </c>
      <c r="C11163" s="35">
        <v>0</v>
      </c>
      <c r="D11163" s="2">
        <f t="shared" si="174"/>
        <v>1</v>
      </c>
    </row>
    <row r="11164" spans="1:4" x14ac:dyDescent="0.3">
      <c r="A11164" s="34">
        <v>67631</v>
      </c>
      <c r="B11164" s="35">
        <v>2</v>
      </c>
      <c r="C11164" s="35">
        <v>1</v>
      </c>
      <c r="D11164" s="2">
        <f t="shared" si="174"/>
        <v>3</v>
      </c>
    </row>
    <row r="11165" spans="1:4" x14ac:dyDescent="0.3">
      <c r="A11165" s="34">
        <v>67633</v>
      </c>
      <c r="B11165" s="35">
        <v>1</v>
      </c>
      <c r="C11165" s="35">
        <v>0</v>
      </c>
      <c r="D11165" s="2">
        <f t="shared" si="174"/>
        <v>1</v>
      </c>
    </row>
    <row r="11166" spans="1:4" x14ac:dyDescent="0.3">
      <c r="A11166" s="34">
        <v>67634</v>
      </c>
      <c r="B11166" s="35">
        <v>1</v>
      </c>
      <c r="C11166" s="35">
        <v>0</v>
      </c>
      <c r="D11166" s="2">
        <f t="shared" si="174"/>
        <v>1</v>
      </c>
    </row>
    <row r="11167" spans="1:4" x14ac:dyDescent="0.3">
      <c r="A11167" s="34">
        <v>67635</v>
      </c>
      <c r="B11167" s="35">
        <v>1</v>
      </c>
      <c r="C11167" s="35">
        <v>0</v>
      </c>
      <c r="D11167" s="2">
        <f t="shared" si="174"/>
        <v>1</v>
      </c>
    </row>
    <row r="11168" spans="1:4" x14ac:dyDescent="0.3">
      <c r="A11168" s="34">
        <v>67637</v>
      </c>
      <c r="B11168" s="35">
        <v>1</v>
      </c>
      <c r="C11168" s="35">
        <v>0</v>
      </c>
      <c r="D11168" s="2">
        <f t="shared" si="174"/>
        <v>1</v>
      </c>
    </row>
    <row r="11169" spans="1:4" x14ac:dyDescent="0.3">
      <c r="A11169" s="34">
        <v>67638</v>
      </c>
      <c r="B11169" s="35">
        <v>1</v>
      </c>
      <c r="C11169" s="35">
        <v>0</v>
      </c>
      <c r="D11169" s="2">
        <f t="shared" si="174"/>
        <v>1</v>
      </c>
    </row>
    <row r="11170" spans="1:4" x14ac:dyDescent="0.3">
      <c r="A11170" s="34">
        <v>67639</v>
      </c>
      <c r="B11170" s="35">
        <v>2</v>
      </c>
      <c r="C11170" s="35">
        <v>2</v>
      </c>
      <c r="D11170" s="2">
        <f t="shared" si="174"/>
        <v>4</v>
      </c>
    </row>
    <row r="11171" spans="1:4" x14ac:dyDescent="0.3">
      <c r="A11171" s="34">
        <v>67654</v>
      </c>
      <c r="B11171" s="35">
        <v>1</v>
      </c>
      <c r="C11171" s="35">
        <v>0</v>
      </c>
      <c r="D11171" s="2">
        <f t="shared" si="174"/>
        <v>1</v>
      </c>
    </row>
    <row r="11172" spans="1:4" x14ac:dyDescent="0.3">
      <c r="A11172" s="34">
        <v>67656</v>
      </c>
      <c r="B11172" s="35">
        <v>1</v>
      </c>
      <c r="C11172" s="35">
        <v>0</v>
      </c>
      <c r="D11172" s="2">
        <f t="shared" si="174"/>
        <v>1</v>
      </c>
    </row>
    <row r="11173" spans="1:4" x14ac:dyDescent="0.3">
      <c r="A11173" s="34">
        <v>67657</v>
      </c>
      <c r="B11173" s="35">
        <v>1</v>
      </c>
      <c r="C11173" s="35">
        <v>0</v>
      </c>
      <c r="D11173" s="2">
        <f t="shared" si="174"/>
        <v>1</v>
      </c>
    </row>
    <row r="11174" spans="1:4" x14ac:dyDescent="0.3">
      <c r="A11174" s="34">
        <v>67660</v>
      </c>
      <c r="B11174" s="35">
        <v>1</v>
      </c>
      <c r="C11174" s="35">
        <v>0</v>
      </c>
      <c r="D11174" s="2">
        <f t="shared" si="174"/>
        <v>1</v>
      </c>
    </row>
    <row r="11175" spans="1:4" x14ac:dyDescent="0.3">
      <c r="A11175" s="34">
        <v>67661</v>
      </c>
      <c r="B11175" s="35">
        <v>1</v>
      </c>
      <c r="C11175" s="35">
        <v>0</v>
      </c>
      <c r="D11175" s="2">
        <f t="shared" si="174"/>
        <v>1</v>
      </c>
    </row>
    <row r="11176" spans="1:4" x14ac:dyDescent="0.3">
      <c r="A11176" s="34">
        <v>67662</v>
      </c>
      <c r="B11176" s="35">
        <v>1</v>
      </c>
      <c r="C11176" s="35">
        <v>1</v>
      </c>
      <c r="D11176" s="2">
        <f t="shared" si="174"/>
        <v>2</v>
      </c>
    </row>
    <row r="11177" spans="1:4" x14ac:dyDescent="0.3">
      <c r="A11177" s="34">
        <v>67665</v>
      </c>
      <c r="B11177" s="35">
        <v>1</v>
      </c>
      <c r="C11177" s="35">
        <v>0</v>
      </c>
      <c r="D11177" s="2">
        <f t="shared" si="174"/>
        <v>1</v>
      </c>
    </row>
    <row r="11178" spans="1:4" x14ac:dyDescent="0.3">
      <c r="A11178" s="34">
        <v>67667</v>
      </c>
      <c r="B11178" s="35">
        <v>1</v>
      </c>
      <c r="C11178" s="35">
        <v>0</v>
      </c>
      <c r="D11178" s="2">
        <f t="shared" si="174"/>
        <v>1</v>
      </c>
    </row>
    <row r="11179" spans="1:4" x14ac:dyDescent="0.3">
      <c r="A11179" s="34">
        <v>67668</v>
      </c>
      <c r="B11179" s="35">
        <v>1</v>
      </c>
      <c r="C11179" s="35">
        <v>0</v>
      </c>
      <c r="D11179" s="2">
        <f t="shared" si="174"/>
        <v>1</v>
      </c>
    </row>
    <row r="11180" spans="1:4" x14ac:dyDescent="0.3">
      <c r="A11180" s="34">
        <v>67671</v>
      </c>
      <c r="B11180" s="35">
        <v>1</v>
      </c>
      <c r="C11180" s="35">
        <v>0</v>
      </c>
      <c r="D11180" s="2">
        <f t="shared" si="174"/>
        <v>1</v>
      </c>
    </row>
    <row r="11181" spans="1:4" x14ac:dyDescent="0.3">
      <c r="A11181" s="34">
        <v>67674</v>
      </c>
      <c r="B11181" s="35">
        <v>1</v>
      </c>
      <c r="C11181" s="35">
        <v>0</v>
      </c>
      <c r="D11181" s="2">
        <f t="shared" si="174"/>
        <v>1</v>
      </c>
    </row>
    <row r="11182" spans="1:4" x14ac:dyDescent="0.3">
      <c r="A11182" s="34">
        <v>67675</v>
      </c>
      <c r="B11182" s="35">
        <v>1</v>
      </c>
      <c r="C11182" s="35">
        <v>1</v>
      </c>
      <c r="D11182" s="2">
        <f t="shared" si="174"/>
        <v>2</v>
      </c>
    </row>
    <row r="11183" spans="1:4" x14ac:dyDescent="0.3">
      <c r="A11183" s="34">
        <v>67680</v>
      </c>
      <c r="B11183" s="35">
        <v>1</v>
      </c>
      <c r="C11183" s="35">
        <v>1</v>
      </c>
      <c r="D11183" s="2">
        <f t="shared" si="174"/>
        <v>2</v>
      </c>
    </row>
    <row r="11184" spans="1:4" x14ac:dyDescent="0.3">
      <c r="A11184" s="34">
        <v>67681</v>
      </c>
      <c r="B11184" s="35">
        <v>1</v>
      </c>
      <c r="C11184" s="35">
        <v>0</v>
      </c>
      <c r="D11184" s="2">
        <f t="shared" si="174"/>
        <v>1</v>
      </c>
    </row>
    <row r="11185" spans="1:4" x14ac:dyDescent="0.3">
      <c r="A11185" s="34">
        <v>67682</v>
      </c>
      <c r="B11185" s="35">
        <v>1</v>
      </c>
      <c r="C11185" s="35">
        <v>0</v>
      </c>
      <c r="D11185" s="2">
        <f t="shared" si="174"/>
        <v>1</v>
      </c>
    </row>
    <row r="11186" spans="1:4" x14ac:dyDescent="0.3">
      <c r="A11186" s="34">
        <v>67684</v>
      </c>
      <c r="B11186" s="35">
        <v>1</v>
      </c>
      <c r="C11186" s="35">
        <v>0</v>
      </c>
      <c r="D11186" s="2">
        <f t="shared" si="174"/>
        <v>1</v>
      </c>
    </row>
    <row r="11187" spans="1:4" x14ac:dyDescent="0.3">
      <c r="A11187" s="34">
        <v>67685</v>
      </c>
      <c r="B11187" s="35">
        <v>1</v>
      </c>
      <c r="C11187" s="35">
        <v>1</v>
      </c>
      <c r="D11187" s="2">
        <f t="shared" si="174"/>
        <v>2</v>
      </c>
    </row>
    <row r="11188" spans="1:4" x14ac:dyDescent="0.3">
      <c r="A11188" s="34">
        <v>67686</v>
      </c>
      <c r="B11188" s="35">
        <v>1</v>
      </c>
      <c r="C11188" s="35">
        <v>0</v>
      </c>
      <c r="D11188" s="2">
        <f t="shared" si="174"/>
        <v>1</v>
      </c>
    </row>
    <row r="11189" spans="1:4" x14ac:dyDescent="0.3">
      <c r="A11189" s="34">
        <v>67687</v>
      </c>
      <c r="B11189" s="35">
        <v>1</v>
      </c>
      <c r="C11189" s="35">
        <v>0</v>
      </c>
      <c r="D11189" s="2">
        <f t="shared" si="174"/>
        <v>1</v>
      </c>
    </row>
    <row r="11190" spans="1:4" x14ac:dyDescent="0.3">
      <c r="A11190" s="34">
        <v>67688</v>
      </c>
      <c r="B11190" s="35">
        <v>1</v>
      </c>
      <c r="C11190" s="35">
        <v>1</v>
      </c>
      <c r="D11190" s="2">
        <f t="shared" si="174"/>
        <v>2</v>
      </c>
    </row>
    <row r="11191" spans="1:4" x14ac:dyDescent="0.3">
      <c r="A11191" s="34">
        <v>67689</v>
      </c>
      <c r="B11191" s="35">
        <v>1</v>
      </c>
      <c r="C11191" s="35">
        <v>0</v>
      </c>
      <c r="D11191" s="2">
        <f t="shared" si="174"/>
        <v>1</v>
      </c>
    </row>
    <row r="11192" spans="1:4" x14ac:dyDescent="0.3">
      <c r="A11192" s="34">
        <v>67718</v>
      </c>
      <c r="B11192" s="35">
        <v>1</v>
      </c>
      <c r="C11192" s="35">
        <v>0</v>
      </c>
      <c r="D11192" s="2">
        <f t="shared" si="174"/>
        <v>1</v>
      </c>
    </row>
    <row r="11193" spans="1:4" x14ac:dyDescent="0.3">
      <c r="A11193" s="34">
        <v>67721</v>
      </c>
      <c r="B11193" s="35">
        <v>1</v>
      </c>
      <c r="C11193" s="35">
        <v>0</v>
      </c>
      <c r="D11193" s="2">
        <f t="shared" si="174"/>
        <v>1</v>
      </c>
    </row>
    <row r="11194" spans="1:4" x14ac:dyDescent="0.3">
      <c r="A11194" s="34">
        <v>67724</v>
      </c>
      <c r="B11194" s="35">
        <v>1</v>
      </c>
      <c r="C11194" s="35">
        <v>0</v>
      </c>
      <c r="D11194" s="2">
        <f t="shared" si="174"/>
        <v>1</v>
      </c>
    </row>
    <row r="11195" spans="1:4" x14ac:dyDescent="0.3">
      <c r="A11195" s="34">
        <v>67725</v>
      </c>
      <c r="B11195" s="35">
        <v>1</v>
      </c>
      <c r="C11195" s="35">
        <v>1</v>
      </c>
      <c r="D11195" s="2">
        <f t="shared" si="174"/>
        <v>2</v>
      </c>
    </row>
    <row r="11196" spans="1:4" x14ac:dyDescent="0.3">
      <c r="A11196" s="34">
        <v>67728</v>
      </c>
      <c r="B11196" s="35">
        <v>1</v>
      </c>
      <c r="C11196" s="35">
        <v>0</v>
      </c>
      <c r="D11196" s="2">
        <f t="shared" si="174"/>
        <v>1</v>
      </c>
    </row>
    <row r="11197" spans="1:4" x14ac:dyDescent="0.3">
      <c r="A11197" s="34">
        <v>67730</v>
      </c>
      <c r="B11197" s="35">
        <v>1</v>
      </c>
      <c r="C11197" s="35">
        <v>0</v>
      </c>
      <c r="D11197" s="2">
        <f t="shared" si="174"/>
        <v>1</v>
      </c>
    </row>
    <row r="11198" spans="1:4" x14ac:dyDescent="0.3">
      <c r="A11198" s="34">
        <v>67731</v>
      </c>
      <c r="B11198" s="35">
        <v>1</v>
      </c>
      <c r="C11198" s="35">
        <v>0</v>
      </c>
      <c r="D11198" s="2">
        <f t="shared" si="174"/>
        <v>1</v>
      </c>
    </row>
    <row r="11199" spans="1:4" x14ac:dyDescent="0.3">
      <c r="A11199" s="34">
        <v>67733</v>
      </c>
      <c r="B11199" s="35">
        <v>1</v>
      </c>
      <c r="C11199" s="35">
        <v>0</v>
      </c>
      <c r="D11199" s="2">
        <f t="shared" si="174"/>
        <v>1</v>
      </c>
    </row>
    <row r="11200" spans="1:4" x14ac:dyDescent="0.3">
      <c r="A11200" s="34">
        <v>67734</v>
      </c>
      <c r="B11200" s="35">
        <v>1</v>
      </c>
      <c r="C11200" s="35">
        <v>0</v>
      </c>
      <c r="D11200" s="2">
        <f t="shared" si="174"/>
        <v>1</v>
      </c>
    </row>
    <row r="11201" spans="1:4" x14ac:dyDescent="0.3">
      <c r="A11201" s="34">
        <v>67736</v>
      </c>
      <c r="B11201" s="35">
        <v>1</v>
      </c>
      <c r="C11201" s="35">
        <v>0</v>
      </c>
      <c r="D11201" s="2">
        <f t="shared" si="174"/>
        <v>1</v>
      </c>
    </row>
    <row r="11202" spans="1:4" x14ac:dyDescent="0.3">
      <c r="A11202" s="34">
        <v>67739</v>
      </c>
      <c r="B11202" s="35">
        <v>1</v>
      </c>
      <c r="C11202" s="35">
        <v>1</v>
      </c>
      <c r="D11202" s="2">
        <f t="shared" si="174"/>
        <v>2</v>
      </c>
    </row>
    <row r="11203" spans="1:4" x14ac:dyDescent="0.3">
      <c r="A11203" s="34">
        <v>67740</v>
      </c>
      <c r="B11203" s="35">
        <v>1</v>
      </c>
      <c r="C11203" s="35">
        <v>0</v>
      </c>
      <c r="D11203" s="2">
        <f t="shared" ref="D11203:D11266" si="175">B11203+C11203</f>
        <v>1</v>
      </c>
    </row>
    <row r="11204" spans="1:4" x14ac:dyDescent="0.3">
      <c r="A11204" s="34">
        <v>67742</v>
      </c>
      <c r="B11204" s="35">
        <v>1</v>
      </c>
      <c r="C11204" s="35">
        <v>0</v>
      </c>
      <c r="D11204" s="2">
        <f t="shared" si="175"/>
        <v>1</v>
      </c>
    </row>
    <row r="11205" spans="1:4" x14ac:dyDescent="0.3">
      <c r="A11205" s="34">
        <v>67745</v>
      </c>
      <c r="B11205" s="35">
        <v>1</v>
      </c>
      <c r="C11205" s="35">
        <v>0</v>
      </c>
      <c r="D11205" s="2">
        <f t="shared" si="175"/>
        <v>1</v>
      </c>
    </row>
    <row r="11206" spans="1:4" x14ac:dyDescent="0.3">
      <c r="A11206" s="34">
        <v>67748</v>
      </c>
      <c r="B11206" s="35">
        <v>1</v>
      </c>
      <c r="C11206" s="35">
        <v>0</v>
      </c>
      <c r="D11206" s="2">
        <f t="shared" si="175"/>
        <v>1</v>
      </c>
    </row>
    <row r="11207" spans="1:4" x14ac:dyDescent="0.3">
      <c r="A11207" s="34">
        <v>67750</v>
      </c>
      <c r="B11207" s="35">
        <v>1</v>
      </c>
      <c r="C11207" s="35">
        <v>0</v>
      </c>
      <c r="D11207" s="2">
        <f t="shared" si="175"/>
        <v>1</v>
      </c>
    </row>
    <row r="11208" spans="1:4" x14ac:dyDescent="0.3">
      <c r="A11208" s="34">
        <v>67751</v>
      </c>
      <c r="B11208" s="35">
        <v>1</v>
      </c>
      <c r="C11208" s="35">
        <v>0</v>
      </c>
      <c r="D11208" s="2">
        <f t="shared" si="175"/>
        <v>1</v>
      </c>
    </row>
    <row r="11209" spans="1:4" x14ac:dyDescent="0.3">
      <c r="A11209" s="34">
        <v>67753</v>
      </c>
      <c r="B11209" s="35">
        <v>1</v>
      </c>
      <c r="C11209" s="35">
        <v>0</v>
      </c>
      <c r="D11209" s="2">
        <f t="shared" si="175"/>
        <v>1</v>
      </c>
    </row>
    <row r="11210" spans="1:4" x14ac:dyDescent="0.3">
      <c r="A11210" s="34">
        <v>67754</v>
      </c>
      <c r="B11210" s="35">
        <v>1</v>
      </c>
      <c r="C11210" s="35">
        <v>0</v>
      </c>
      <c r="D11210" s="2">
        <f t="shared" si="175"/>
        <v>1</v>
      </c>
    </row>
    <row r="11211" spans="1:4" x14ac:dyDescent="0.3">
      <c r="A11211" s="34">
        <v>67755</v>
      </c>
      <c r="B11211" s="35">
        <v>1</v>
      </c>
      <c r="C11211" s="35">
        <v>0</v>
      </c>
      <c r="D11211" s="2">
        <f t="shared" si="175"/>
        <v>1</v>
      </c>
    </row>
    <row r="11212" spans="1:4" x14ac:dyDescent="0.3">
      <c r="A11212" s="34">
        <v>67757</v>
      </c>
      <c r="B11212" s="35">
        <v>1</v>
      </c>
      <c r="C11212" s="35">
        <v>0</v>
      </c>
      <c r="D11212" s="2">
        <f t="shared" si="175"/>
        <v>1</v>
      </c>
    </row>
    <row r="11213" spans="1:4" x14ac:dyDescent="0.3">
      <c r="A11213" s="34">
        <v>67758</v>
      </c>
      <c r="B11213" s="35">
        <v>1</v>
      </c>
      <c r="C11213" s="35">
        <v>0</v>
      </c>
      <c r="D11213" s="2">
        <f t="shared" si="175"/>
        <v>1</v>
      </c>
    </row>
    <row r="11214" spans="1:4" x14ac:dyDescent="0.3">
      <c r="A11214" s="34">
        <v>67759</v>
      </c>
      <c r="B11214" s="35">
        <v>1</v>
      </c>
      <c r="C11214" s="35">
        <v>0</v>
      </c>
      <c r="D11214" s="2">
        <f t="shared" si="175"/>
        <v>1</v>
      </c>
    </row>
    <row r="11215" spans="1:4" x14ac:dyDescent="0.3">
      <c r="A11215" s="34">
        <v>67760</v>
      </c>
      <c r="B11215" s="35">
        <v>1</v>
      </c>
      <c r="C11215" s="35">
        <v>1</v>
      </c>
      <c r="D11215" s="2">
        <f t="shared" si="175"/>
        <v>2</v>
      </c>
    </row>
    <row r="11216" spans="1:4" x14ac:dyDescent="0.3">
      <c r="A11216" s="34">
        <v>67761</v>
      </c>
      <c r="B11216" s="35">
        <v>1</v>
      </c>
      <c r="C11216" s="35">
        <v>0</v>
      </c>
      <c r="D11216" s="2">
        <f t="shared" si="175"/>
        <v>1</v>
      </c>
    </row>
    <row r="11217" spans="1:4" x14ac:dyDescent="0.3">
      <c r="A11217" s="34">
        <v>67762</v>
      </c>
      <c r="B11217" s="35">
        <v>1</v>
      </c>
      <c r="C11217" s="35">
        <v>0</v>
      </c>
      <c r="D11217" s="2">
        <f t="shared" si="175"/>
        <v>1</v>
      </c>
    </row>
    <row r="11218" spans="1:4" x14ac:dyDescent="0.3">
      <c r="A11218" s="34">
        <v>67763</v>
      </c>
      <c r="B11218" s="35">
        <v>2</v>
      </c>
      <c r="C11218" s="35">
        <v>0</v>
      </c>
      <c r="D11218" s="2">
        <f t="shared" si="175"/>
        <v>2</v>
      </c>
    </row>
    <row r="11219" spans="1:4" x14ac:dyDescent="0.3">
      <c r="A11219" s="34">
        <v>67764</v>
      </c>
      <c r="B11219" s="35">
        <v>1</v>
      </c>
      <c r="C11219" s="35">
        <v>0</v>
      </c>
      <c r="D11219" s="2">
        <f t="shared" si="175"/>
        <v>1</v>
      </c>
    </row>
    <row r="11220" spans="1:4" x14ac:dyDescent="0.3">
      <c r="A11220" s="34">
        <v>67765</v>
      </c>
      <c r="B11220" s="35">
        <v>1</v>
      </c>
      <c r="C11220" s="35">
        <v>1</v>
      </c>
      <c r="D11220" s="2">
        <f t="shared" si="175"/>
        <v>2</v>
      </c>
    </row>
    <row r="11221" spans="1:4" x14ac:dyDescent="0.3">
      <c r="A11221" s="34">
        <v>67767</v>
      </c>
      <c r="B11221" s="35">
        <v>1</v>
      </c>
      <c r="C11221" s="35">
        <v>1</v>
      </c>
      <c r="D11221" s="2">
        <f t="shared" si="175"/>
        <v>2</v>
      </c>
    </row>
    <row r="11222" spans="1:4" x14ac:dyDescent="0.3">
      <c r="A11222" s="34">
        <v>67768</v>
      </c>
      <c r="B11222" s="35">
        <v>1</v>
      </c>
      <c r="C11222" s="35">
        <v>0</v>
      </c>
      <c r="D11222" s="2">
        <f t="shared" si="175"/>
        <v>1</v>
      </c>
    </row>
    <row r="11223" spans="1:4" x14ac:dyDescent="0.3">
      <c r="A11223" s="34">
        <v>67772</v>
      </c>
      <c r="B11223" s="35">
        <v>1</v>
      </c>
      <c r="C11223" s="35">
        <v>0</v>
      </c>
      <c r="D11223" s="2">
        <f t="shared" si="175"/>
        <v>1</v>
      </c>
    </row>
    <row r="11224" spans="1:4" x14ac:dyDescent="0.3">
      <c r="A11224" s="34">
        <v>67773</v>
      </c>
      <c r="B11224" s="35">
        <v>1</v>
      </c>
      <c r="C11224" s="35">
        <v>0</v>
      </c>
      <c r="D11224" s="2">
        <f t="shared" si="175"/>
        <v>1</v>
      </c>
    </row>
    <row r="11225" spans="1:4" x14ac:dyDescent="0.3">
      <c r="A11225" s="34">
        <v>67777</v>
      </c>
      <c r="B11225" s="35">
        <v>1</v>
      </c>
      <c r="C11225" s="35">
        <v>0</v>
      </c>
      <c r="D11225" s="2">
        <f t="shared" si="175"/>
        <v>1</v>
      </c>
    </row>
    <row r="11226" spans="1:4" x14ac:dyDescent="0.3">
      <c r="A11226" s="34">
        <v>67778</v>
      </c>
      <c r="B11226" s="35">
        <v>1</v>
      </c>
      <c r="C11226" s="35">
        <v>0</v>
      </c>
      <c r="D11226" s="2">
        <f t="shared" si="175"/>
        <v>1</v>
      </c>
    </row>
    <row r="11227" spans="1:4" x14ac:dyDescent="0.3">
      <c r="A11227" s="34">
        <v>67779</v>
      </c>
      <c r="B11227" s="35">
        <v>1</v>
      </c>
      <c r="C11227" s="35">
        <v>0</v>
      </c>
      <c r="D11227" s="2">
        <f t="shared" si="175"/>
        <v>1</v>
      </c>
    </row>
    <row r="11228" spans="1:4" x14ac:dyDescent="0.3">
      <c r="A11228" s="34">
        <v>67780</v>
      </c>
      <c r="B11228" s="35">
        <v>1</v>
      </c>
      <c r="C11228" s="35">
        <v>0</v>
      </c>
      <c r="D11228" s="2">
        <f t="shared" si="175"/>
        <v>1</v>
      </c>
    </row>
    <row r="11229" spans="1:4" x14ac:dyDescent="0.3">
      <c r="A11229" s="34">
        <v>67786</v>
      </c>
      <c r="B11229" s="35">
        <v>1</v>
      </c>
      <c r="C11229" s="35">
        <v>0</v>
      </c>
      <c r="D11229" s="2">
        <f t="shared" si="175"/>
        <v>1</v>
      </c>
    </row>
    <row r="11230" spans="1:4" x14ac:dyDescent="0.3">
      <c r="A11230" s="34">
        <v>67788</v>
      </c>
      <c r="B11230" s="35">
        <v>2</v>
      </c>
      <c r="C11230" s="35">
        <v>0</v>
      </c>
      <c r="D11230" s="2">
        <f t="shared" si="175"/>
        <v>2</v>
      </c>
    </row>
    <row r="11231" spans="1:4" x14ac:dyDescent="0.3">
      <c r="A11231" s="34">
        <v>67789</v>
      </c>
      <c r="B11231" s="35">
        <v>1</v>
      </c>
      <c r="C11231" s="35">
        <v>0</v>
      </c>
      <c r="D11231" s="2">
        <f t="shared" si="175"/>
        <v>1</v>
      </c>
    </row>
    <row r="11232" spans="1:4" x14ac:dyDescent="0.3">
      <c r="A11232" s="34">
        <v>67792</v>
      </c>
      <c r="B11232" s="35">
        <v>1</v>
      </c>
      <c r="C11232" s="35">
        <v>1</v>
      </c>
      <c r="D11232" s="2">
        <f t="shared" si="175"/>
        <v>2</v>
      </c>
    </row>
    <row r="11233" spans="1:4" x14ac:dyDescent="0.3">
      <c r="A11233" s="34">
        <v>67794</v>
      </c>
      <c r="B11233" s="35">
        <v>1</v>
      </c>
      <c r="C11233" s="35">
        <v>0</v>
      </c>
      <c r="D11233" s="2">
        <f t="shared" si="175"/>
        <v>1</v>
      </c>
    </row>
    <row r="11234" spans="1:4" x14ac:dyDescent="0.3">
      <c r="A11234" s="34">
        <v>67795</v>
      </c>
      <c r="B11234" s="35">
        <v>1</v>
      </c>
      <c r="C11234" s="35">
        <v>0</v>
      </c>
      <c r="D11234" s="2">
        <f t="shared" si="175"/>
        <v>1</v>
      </c>
    </row>
    <row r="11235" spans="1:4" x14ac:dyDescent="0.3">
      <c r="A11235" s="34">
        <v>67801</v>
      </c>
      <c r="B11235" s="35">
        <v>1</v>
      </c>
      <c r="C11235" s="35">
        <v>1</v>
      </c>
      <c r="D11235" s="2">
        <f t="shared" si="175"/>
        <v>2</v>
      </c>
    </row>
    <row r="11236" spans="1:4" x14ac:dyDescent="0.3">
      <c r="A11236" s="34">
        <v>67803</v>
      </c>
      <c r="B11236" s="35">
        <v>1</v>
      </c>
      <c r="C11236" s="35">
        <v>0</v>
      </c>
      <c r="D11236" s="2">
        <f t="shared" si="175"/>
        <v>1</v>
      </c>
    </row>
    <row r="11237" spans="1:4" x14ac:dyDescent="0.3">
      <c r="A11237" s="34">
        <v>67804</v>
      </c>
      <c r="B11237" s="35">
        <v>1</v>
      </c>
      <c r="C11237" s="35">
        <v>0</v>
      </c>
      <c r="D11237" s="2">
        <f t="shared" si="175"/>
        <v>1</v>
      </c>
    </row>
    <row r="11238" spans="1:4" x14ac:dyDescent="0.3">
      <c r="A11238" s="34">
        <v>67805</v>
      </c>
      <c r="B11238" s="35">
        <v>1</v>
      </c>
      <c r="C11238" s="35">
        <v>0</v>
      </c>
      <c r="D11238" s="2">
        <f t="shared" si="175"/>
        <v>1</v>
      </c>
    </row>
    <row r="11239" spans="1:4" x14ac:dyDescent="0.3">
      <c r="A11239" s="34">
        <v>67806</v>
      </c>
      <c r="B11239" s="35">
        <v>1</v>
      </c>
      <c r="C11239" s="35">
        <v>0</v>
      </c>
      <c r="D11239" s="2">
        <f t="shared" si="175"/>
        <v>1</v>
      </c>
    </row>
    <row r="11240" spans="1:4" x14ac:dyDescent="0.3">
      <c r="A11240" s="34">
        <v>67807</v>
      </c>
      <c r="B11240" s="35">
        <v>1</v>
      </c>
      <c r="C11240" s="35">
        <v>0</v>
      </c>
      <c r="D11240" s="2">
        <f t="shared" si="175"/>
        <v>1</v>
      </c>
    </row>
    <row r="11241" spans="1:4" x14ac:dyDescent="0.3">
      <c r="A11241" s="34">
        <v>67813</v>
      </c>
      <c r="B11241" s="35">
        <v>1</v>
      </c>
      <c r="C11241" s="35">
        <v>0</v>
      </c>
      <c r="D11241" s="2">
        <f t="shared" si="175"/>
        <v>1</v>
      </c>
    </row>
    <row r="11242" spans="1:4" x14ac:dyDescent="0.3">
      <c r="A11242" s="34">
        <v>67816</v>
      </c>
      <c r="B11242" s="35">
        <v>1</v>
      </c>
      <c r="C11242" s="35">
        <v>0</v>
      </c>
      <c r="D11242" s="2">
        <f t="shared" si="175"/>
        <v>1</v>
      </c>
    </row>
    <row r="11243" spans="1:4" x14ac:dyDescent="0.3">
      <c r="A11243" s="34">
        <v>67820</v>
      </c>
      <c r="B11243" s="35">
        <v>1</v>
      </c>
      <c r="C11243" s="35">
        <v>0</v>
      </c>
      <c r="D11243" s="2">
        <f t="shared" si="175"/>
        <v>1</v>
      </c>
    </row>
    <row r="11244" spans="1:4" x14ac:dyDescent="0.3">
      <c r="A11244" s="34">
        <v>67821</v>
      </c>
      <c r="B11244" s="35">
        <v>1</v>
      </c>
      <c r="C11244" s="35">
        <v>0</v>
      </c>
      <c r="D11244" s="2">
        <f t="shared" si="175"/>
        <v>1</v>
      </c>
    </row>
    <row r="11245" spans="1:4" x14ac:dyDescent="0.3">
      <c r="A11245" s="34">
        <v>67822</v>
      </c>
      <c r="B11245" s="35">
        <v>1</v>
      </c>
      <c r="C11245" s="35">
        <v>0</v>
      </c>
      <c r="D11245" s="2">
        <f t="shared" si="175"/>
        <v>1</v>
      </c>
    </row>
    <row r="11246" spans="1:4" x14ac:dyDescent="0.3">
      <c r="A11246" s="34">
        <v>67823</v>
      </c>
      <c r="B11246" s="35">
        <v>1</v>
      </c>
      <c r="C11246" s="35">
        <v>0</v>
      </c>
      <c r="D11246" s="2">
        <f t="shared" si="175"/>
        <v>1</v>
      </c>
    </row>
    <row r="11247" spans="1:4" x14ac:dyDescent="0.3">
      <c r="A11247" s="34">
        <v>67824</v>
      </c>
      <c r="B11247" s="35">
        <v>1</v>
      </c>
      <c r="C11247" s="35">
        <v>0</v>
      </c>
      <c r="D11247" s="2">
        <f t="shared" si="175"/>
        <v>1</v>
      </c>
    </row>
    <row r="11248" spans="1:4" x14ac:dyDescent="0.3">
      <c r="A11248" s="34">
        <v>67825</v>
      </c>
      <c r="B11248" s="35">
        <v>1</v>
      </c>
      <c r="C11248" s="35">
        <v>0</v>
      </c>
      <c r="D11248" s="2">
        <f t="shared" si="175"/>
        <v>1</v>
      </c>
    </row>
    <row r="11249" spans="1:4" x14ac:dyDescent="0.3">
      <c r="A11249" s="34">
        <v>67828</v>
      </c>
      <c r="B11249" s="35">
        <v>1</v>
      </c>
      <c r="C11249" s="35">
        <v>1</v>
      </c>
      <c r="D11249" s="2">
        <f t="shared" si="175"/>
        <v>2</v>
      </c>
    </row>
    <row r="11250" spans="1:4" x14ac:dyDescent="0.3">
      <c r="A11250" s="34">
        <v>67830</v>
      </c>
      <c r="B11250" s="35">
        <v>1</v>
      </c>
      <c r="C11250" s="35">
        <v>0</v>
      </c>
      <c r="D11250" s="2">
        <f t="shared" si="175"/>
        <v>1</v>
      </c>
    </row>
    <row r="11251" spans="1:4" x14ac:dyDescent="0.3">
      <c r="A11251" s="34">
        <v>67831</v>
      </c>
      <c r="B11251" s="35">
        <v>1</v>
      </c>
      <c r="C11251" s="35">
        <v>0</v>
      </c>
      <c r="D11251" s="2">
        <f t="shared" si="175"/>
        <v>1</v>
      </c>
    </row>
    <row r="11252" spans="1:4" x14ac:dyDescent="0.3">
      <c r="A11252" s="34">
        <v>67833</v>
      </c>
      <c r="B11252" s="35">
        <v>1</v>
      </c>
      <c r="C11252" s="35">
        <v>0</v>
      </c>
      <c r="D11252" s="2">
        <f t="shared" si="175"/>
        <v>1</v>
      </c>
    </row>
    <row r="11253" spans="1:4" x14ac:dyDescent="0.3">
      <c r="A11253" s="34">
        <v>67835</v>
      </c>
      <c r="B11253" s="35">
        <v>1</v>
      </c>
      <c r="C11253" s="35">
        <v>0</v>
      </c>
      <c r="D11253" s="2">
        <f t="shared" si="175"/>
        <v>1</v>
      </c>
    </row>
    <row r="11254" spans="1:4" x14ac:dyDescent="0.3">
      <c r="A11254" s="34">
        <v>67836</v>
      </c>
      <c r="B11254" s="35">
        <v>1</v>
      </c>
      <c r="C11254" s="35">
        <v>0</v>
      </c>
      <c r="D11254" s="2">
        <f t="shared" si="175"/>
        <v>1</v>
      </c>
    </row>
    <row r="11255" spans="1:4" x14ac:dyDescent="0.3">
      <c r="A11255" s="34">
        <v>67837</v>
      </c>
      <c r="B11255" s="35">
        <v>1</v>
      </c>
      <c r="C11255" s="35">
        <v>0</v>
      </c>
      <c r="D11255" s="2">
        <f t="shared" si="175"/>
        <v>1</v>
      </c>
    </row>
    <row r="11256" spans="1:4" x14ac:dyDescent="0.3">
      <c r="A11256" s="34">
        <v>67838</v>
      </c>
      <c r="B11256" s="35">
        <v>1</v>
      </c>
      <c r="C11256" s="35">
        <v>0</v>
      </c>
      <c r="D11256" s="2">
        <f t="shared" si="175"/>
        <v>1</v>
      </c>
    </row>
    <row r="11257" spans="1:4" x14ac:dyDescent="0.3">
      <c r="A11257" s="34">
        <v>67839</v>
      </c>
      <c r="B11257" s="35">
        <v>1</v>
      </c>
      <c r="C11257" s="35">
        <v>0</v>
      </c>
      <c r="D11257" s="2">
        <f t="shared" si="175"/>
        <v>1</v>
      </c>
    </row>
    <row r="11258" spans="1:4" x14ac:dyDescent="0.3">
      <c r="A11258" s="34">
        <v>67841</v>
      </c>
      <c r="B11258" s="35">
        <v>1</v>
      </c>
      <c r="C11258" s="35">
        <v>0</v>
      </c>
      <c r="D11258" s="2">
        <f t="shared" si="175"/>
        <v>1</v>
      </c>
    </row>
    <row r="11259" spans="1:4" x14ac:dyDescent="0.3">
      <c r="A11259" s="34">
        <v>67842</v>
      </c>
      <c r="B11259" s="35">
        <v>2</v>
      </c>
      <c r="C11259" s="35">
        <v>0</v>
      </c>
      <c r="D11259" s="2">
        <f t="shared" si="175"/>
        <v>2</v>
      </c>
    </row>
    <row r="11260" spans="1:4" x14ac:dyDescent="0.3">
      <c r="A11260" s="34">
        <v>67843</v>
      </c>
      <c r="B11260" s="35">
        <v>1</v>
      </c>
      <c r="C11260" s="35">
        <v>0</v>
      </c>
      <c r="D11260" s="2">
        <f t="shared" si="175"/>
        <v>1</v>
      </c>
    </row>
    <row r="11261" spans="1:4" x14ac:dyDescent="0.3">
      <c r="A11261" s="34">
        <v>67885</v>
      </c>
      <c r="B11261" s="35">
        <v>1</v>
      </c>
      <c r="C11261" s="35">
        <v>0</v>
      </c>
      <c r="D11261" s="2">
        <f t="shared" si="175"/>
        <v>1</v>
      </c>
    </row>
    <row r="11262" spans="1:4" x14ac:dyDescent="0.3">
      <c r="A11262" s="34">
        <v>67886</v>
      </c>
      <c r="B11262" s="35">
        <v>1</v>
      </c>
      <c r="C11262" s="35">
        <v>0</v>
      </c>
      <c r="D11262" s="2">
        <f t="shared" si="175"/>
        <v>1</v>
      </c>
    </row>
    <row r="11263" spans="1:4" x14ac:dyDescent="0.3">
      <c r="A11263" s="34">
        <v>67887</v>
      </c>
      <c r="B11263" s="35">
        <v>1</v>
      </c>
      <c r="C11263" s="35">
        <v>0</v>
      </c>
      <c r="D11263" s="2">
        <f t="shared" si="175"/>
        <v>1</v>
      </c>
    </row>
    <row r="11264" spans="1:4" x14ac:dyDescent="0.3">
      <c r="A11264" s="34">
        <v>67888</v>
      </c>
      <c r="B11264" s="35">
        <v>1</v>
      </c>
      <c r="C11264" s="35">
        <v>0</v>
      </c>
      <c r="D11264" s="2">
        <f t="shared" si="175"/>
        <v>1</v>
      </c>
    </row>
    <row r="11265" spans="1:4" x14ac:dyDescent="0.3">
      <c r="A11265" s="34">
        <v>67890</v>
      </c>
      <c r="B11265" s="35">
        <v>1</v>
      </c>
      <c r="C11265" s="35">
        <v>1</v>
      </c>
      <c r="D11265" s="2">
        <f t="shared" si="175"/>
        <v>2</v>
      </c>
    </row>
    <row r="11266" spans="1:4" x14ac:dyDescent="0.3">
      <c r="A11266" s="34">
        <v>67891</v>
      </c>
      <c r="B11266" s="35">
        <v>1</v>
      </c>
      <c r="C11266" s="35">
        <v>0</v>
      </c>
      <c r="D11266" s="2">
        <f t="shared" si="175"/>
        <v>1</v>
      </c>
    </row>
    <row r="11267" spans="1:4" x14ac:dyDescent="0.3">
      <c r="A11267" s="34">
        <v>67918</v>
      </c>
      <c r="B11267" s="35">
        <v>1</v>
      </c>
      <c r="C11267" s="35">
        <v>0</v>
      </c>
      <c r="D11267" s="2">
        <f t="shared" ref="D11267:D11330" si="176">B11267+C11267</f>
        <v>1</v>
      </c>
    </row>
    <row r="11268" spans="1:4" x14ac:dyDescent="0.3">
      <c r="A11268" s="34">
        <v>67919</v>
      </c>
      <c r="B11268" s="35">
        <v>1</v>
      </c>
      <c r="C11268" s="35">
        <v>1</v>
      </c>
      <c r="D11268" s="2">
        <f t="shared" si="176"/>
        <v>2</v>
      </c>
    </row>
    <row r="11269" spans="1:4" x14ac:dyDescent="0.3">
      <c r="A11269" s="34">
        <v>67920</v>
      </c>
      <c r="B11269" s="35">
        <v>1</v>
      </c>
      <c r="C11269" s="35">
        <v>0</v>
      </c>
      <c r="D11269" s="2">
        <f t="shared" si="176"/>
        <v>1</v>
      </c>
    </row>
    <row r="11270" spans="1:4" x14ac:dyDescent="0.3">
      <c r="A11270" s="34">
        <v>67921</v>
      </c>
      <c r="B11270" s="35">
        <v>1</v>
      </c>
      <c r="C11270" s="35">
        <v>0</v>
      </c>
      <c r="D11270" s="2">
        <f t="shared" si="176"/>
        <v>1</v>
      </c>
    </row>
    <row r="11271" spans="1:4" x14ac:dyDescent="0.3">
      <c r="A11271" s="34">
        <v>67923</v>
      </c>
      <c r="B11271" s="35">
        <v>1</v>
      </c>
      <c r="C11271" s="35">
        <v>0</v>
      </c>
      <c r="D11271" s="2">
        <f t="shared" si="176"/>
        <v>1</v>
      </c>
    </row>
    <row r="11272" spans="1:4" x14ac:dyDescent="0.3">
      <c r="A11272" s="34">
        <v>67924</v>
      </c>
      <c r="B11272" s="35">
        <v>1</v>
      </c>
      <c r="C11272" s="35">
        <v>0</v>
      </c>
      <c r="D11272" s="2">
        <f t="shared" si="176"/>
        <v>1</v>
      </c>
    </row>
    <row r="11273" spans="1:4" x14ac:dyDescent="0.3">
      <c r="A11273" s="34">
        <v>67925</v>
      </c>
      <c r="B11273" s="35">
        <v>1</v>
      </c>
      <c r="C11273" s="35">
        <v>0</v>
      </c>
      <c r="D11273" s="2">
        <f t="shared" si="176"/>
        <v>1</v>
      </c>
    </row>
    <row r="11274" spans="1:4" x14ac:dyDescent="0.3">
      <c r="A11274" s="34">
        <v>67926</v>
      </c>
      <c r="B11274" s="35">
        <v>1</v>
      </c>
      <c r="C11274" s="35">
        <v>0</v>
      </c>
      <c r="D11274" s="2">
        <f t="shared" si="176"/>
        <v>1</v>
      </c>
    </row>
    <row r="11275" spans="1:4" x14ac:dyDescent="0.3">
      <c r="A11275" s="34">
        <v>67928</v>
      </c>
      <c r="B11275" s="35">
        <v>1</v>
      </c>
      <c r="C11275" s="35">
        <v>0</v>
      </c>
      <c r="D11275" s="2">
        <f t="shared" si="176"/>
        <v>1</v>
      </c>
    </row>
    <row r="11276" spans="1:4" x14ac:dyDescent="0.3">
      <c r="A11276" s="34">
        <v>67963</v>
      </c>
      <c r="B11276" s="35">
        <v>1</v>
      </c>
      <c r="C11276" s="35">
        <v>0</v>
      </c>
      <c r="D11276" s="2">
        <f t="shared" si="176"/>
        <v>1</v>
      </c>
    </row>
    <row r="11277" spans="1:4" x14ac:dyDescent="0.3">
      <c r="A11277" s="34">
        <v>67989</v>
      </c>
      <c r="B11277" s="35">
        <v>1</v>
      </c>
      <c r="C11277" s="35">
        <v>0</v>
      </c>
      <c r="D11277" s="2">
        <f t="shared" si="176"/>
        <v>1</v>
      </c>
    </row>
    <row r="11278" spans="1:4" x14ac:dyDescent="0.3">
      <c r="A11278" s="34">
        <v>67990</v>
      </c>
      <c r="B11278" s="35">
        <v>1</v>
      </c>
      <c r="C11278" s="35">
        <v>0</v>
      </c>
      <c r="D11278" s="2">
        <f t="shared" si="176"/>
        <v>1</v>
      </c>
    </row>
    <row r="11279" spans="1:4" x14ac:dyDescent="0.3">
      <c r="A11279" s="34">
        <v>67994</v>
      </c>
      <c r="B11279" s="35">
        <v>1</v>
      </c>
      <c r="C11279" s="35">
        <v>0</v>
      </c>
      <c r="D11279" s="2">
        <f t="shared" si="176"/>
        <v>1</v>
      </c>
    </row>
    <row r="11280" spans="1:4" x14ac:dyDescent="0.3">
      <c r="A11280" s="34">
        <v>67997</v>
      </c>
      <c r="B11280" s="35">
        <v>1</v>
      </c>
      <c r="C11280" s="35">
        <v>1</v>
      </c>
      <c r="D11280" s="2">
        <f t="shared" si="176"/>
        <v>2</v>
      </c>
    </row>
    <row r="11281" spans="1:4" x14ac:dyDescent="0.3">
      <c r="A11281" s="34">
        <v>67998</v>
      </c>
      <c r="B11281" s="35">
        <v>1</v>
      </c>
      <c r="C11281" s="35">
        <v>0</v>
      </c>
      <c r="D11281" s="2">
        <f t="shared" si="176"/>
        <v>1</v>
      </c>
    </row>
    <row r="11282" spans="1:4" x14ac:dyDescent="0.3">
      <c r="A11282" s="34">
        <v>68000</v>
      </c>
      <c r="B11282" s="35">
        <v>2</v>
      </c>
      <c r="C11282" s="35">
        <v>0</v>
      </c>
      <c r="D11282" s="2">
        <f t="shared" si="176"/>
        <v>2</v>
      </c>
    </row>
    <row r="11283" spans="1:4" x14ac:dyDescent="0.3">
      <c r="A11283" s="34">
        <v>68001</v>
      </c>
      <c r="B11283" s="35">
        <v>1</v>
      </c>
      <c r="C11283" s="35">
        <v>0</v>
      </c>
      <c r="D11283" s="2">
        <f t="shared" si="176"/>
        <v>1</v>
      </c>
    </row>
    <row r="11284" spans="1:4" x14ac:dyDescent="0.3">
      <c r="A11284" s="34">
        <v>68004</v>
      </c>
      <c r="B11284" s="35">
        <v>1</v>
      </c>
      <c r="C11284" s="35">
        <v>0</v>
      </c>
      <c r="D11284" s="2">
        <f t="shared" si="176"/>
        <v>1</v>
      </c>
    </row>
    <row r="11285" spans="1:4" x14ac:dyDescent="0.3">
      <c r="A11285" s="34">
        <v>68005</v>
      </c>
      <c r="B11285" s="35">
        <v>1</v>
      </c>
      <c r="C11285" s="35">
        <v>0</v>
      </c>
      <c r="D11285" s="2">
        <f t="shared" si="176"/>
        <v>1</v>
      </c>
    </row>
    <row r="11286" spans="1:4" x14ac:dyDescent="0.3">
      <c r="A11286" s="34">
        <v>68007</v>
      </c>
      <c r="B11286" s="35">
        <v>1</v>
      </c>
      <c r="C11286" s="35">
        <v>0</v>
      </c>
      <c r="D11286" s="2">
        <f t="shared" si="176"/>
        <v>1</v>
      </c>
    </row>
    <row r="11287" spans="1:4" x14ac:dyDescent="0.3">
      <c r="A11287" s="34">
        <v>68008</v>
      </c>
      <c r="B11287" s="35">
        <v>1</v>
      </c>
      <c r="C11287" s="35">
        <v>0</v>
      </c>
      <c r="D11287" s="2">
        <f t="shared" si="176"/>
        <v>1</v>
      </c>
    </row>
    <row r="11288" spans="1:4" x14ac:dyDescent="0.3">
      <c r="A11288" s="34">
        <v>68009</v>
      </c>
      <c r="B11288" s="35">
        <v>1</v>
      </c>
      <c r="C11288" s="35">
        <v>0</v>
      </c>
      <c r="D11288" s="2">
        <f t="shared" si="176"/>
        <v>1</v>
      </c>
    </row>
    <row r="11289" spans="1:4" x14ac:dyDescent="0.3">
      <c r="A11289" s="34">
        <v>68011</v>
      </c>
      <c r="B11289" s="35">
        <v>1</v>
      </c>
      <c r="C11289" s="35">
        <v>1</v>
      </c>
      <c r="D11289" s="2">
        <f t="shared" si="176"/>
        <v>2</v>
      </c>
    </row>
    <row r="11290" spans="1:4" x14ac:dyDescent="0.3">
      <c r="A11290" s="34">
        <v>68035</v>
      </c>
      <c r="B11290" s="35">
        <v>1</v>
      </c>
      <c r="C11290" s="35">
        <v>0</v>
      </c>
      <c r="D11290" s="2">
        <f t="shared" si="176"/>
        <v>1</v>
      </c>
    </row>
    <row r="11291" spans="1:4" x14ac:dyDescent="0.3">
      <c r="A11291" s="34">
        <v>68036</v>
      </c>
      <c r="B11291" s="35">
        <v>1</v>
      </c>
      <c r="C11291" s="35">
        <v>0</v>
      </c>
      <c r="D11291" s="2">
        <f t="shared" si="176"/>
        <v>1</v>
      </c>
    </row>
    <row r="11292" spans="1:4" x14ac:dyDescent="0.3">
      <c r="A11292" s="34">
        <v>68049</v>
      </c>
      <c r="B11292" s="35">
        <v>1</v>
      </c>
      <c r="C11292" s="35">
        <v>0</v>
      </c>
      <c r="D11292" s="2">
        <f t="shared" si="176"/>
        <v>1</v>
      </c>
    </row>
    <row r="11293" spans="1:4" x14ac:dyDescent="0.3">
      <c r="A11293" s="34">
        <v>68051</v>
      </c>
      <c r="B11293" s="35">
        <v>1</v>
      </c>
      <c r="C11293" s="35">
        <v>0</v>
      </c>
      <c r="D11293" s="2">
        <f t="shared" si="176"/>
        <v>1</v>
      </c>
    </row>
    <row r="11294" spans="1:4" x14ac:dyDescent="0.3">
      <c r="A11294" s="34">
        <v>68059</v>
      </c>
      <c r="B11294" s="35">
        <v>1</v>
      </c>
      <c r="C11294" s="35">
        <v>1</v>
      </c>
      <c r="D11294" s="2">
        <f t="shared" si="176"/>
        <v>2</v>
      </c>
    </row>
    <row r="11295" spans="1:4" x14ac:dyDescent="0.3">
      <c r="A11295" s="34">
        <v>68061</v>
      </c>
      <c r="B11295" s="35">
        <v>1</v>
      </c>
      <c r="C11295" s="35">
        <v>0</v>
      </c>
      <c r="D11295" s="2">
        <f t="shared" si="176"/>
        <v>1</v>
      </c>
    </row>
    <row r="11296" spans="1:4" x14ac:dyDescent="0.3">
      <c r="A11296" s="34">
        <v>68065</v>
      </c>
      <c r="B11296" s="35">
        <v>1</v>
      </c>
      <c r="C11296" s="35">
        <v>1</v>
      </c>
      <c r="D11296" s="2">
        <f t="shared" si="176"/>
        <v>2</v>
      </c>
    </row>
    <row r="11297" spans="1:4" x14ac:dyDescent="0.3">
      <c r="A11297" s="34">
        <v>68066</v>
      </c>
      <c r="B11297" s="35">
        <v>1</v>
      </c>
      <c r="C11297" s="35">
        <v>0</v>
      </c>
      <c r="D11297" s="2">
        <f t="shared" si="176"/>
        <v>1</v>
      </c>
    </row>
    <row r="11298" spans="1:4" x14ac:dyDescent="0.3">
      <c r="A11298" s="34">
        <v>68069</v>
      </c>
      <c r="B11298" s="35">
        <v>1</v>
      </c>
      <c r="C11298" s="35">
        <v>1</v>
      </c>
      <c r="D11298" s="2">
        <f t="shared" si="176"/>
        <v>2</v>
      </c>
    </row>
    <row r="11299" spans="1:4" x14ac:dyDescent="0.3">
      <c r="A11299" s="34">
        <v>68070</v>
      </c>
      <c r="B11299" s="35">
        <v>1</v>
      </c>
      <c r="C11299" s="35">
        <v>0</v>
      </c>
      <c r="D11299" s="2">
        <f t="shared" si="176"/>
        <v>1</v>
      </c>
    </row>
    <row r="11300" spans="1:4" x14ac:dyDescent="0.3">
      <c r="A11300" s="34">
        <v>68077</v>
      </c>
      <c r="B11300" s="35">
        <v>2</v>
      </c>
      <c r="C11300" s="35">
        <v>0</v>
      </c>
      <c r="D11300" s="2">
        <f t="shared" si="176"/>
        <v>2</v>
      </c>
    </row>
    <row r="11301" spans="1:4" x14ac:dyDescent="0.3">
      <c r="A11301" s="34">
        <v>68079</v>
      </c>
      <c r="B11301" s="35">
        <v>1</v>
      </c>
      <c r="C11301" s="35">
        <v>0</v>
      </c>
      <c r="D11301" s="2">
        <f t="shared" si="176"/>
        <v>1</v>
      </c>
    </row>
    <row r="11302" spans="1:4" x14ac:dyDescent="0.3">
      <c r="A11302" s="34">
        <v>68087</v>
      </c>
      <c r="B11302" s="35">
        <v>1</v>
      </c>
      <c r="C11302" s="35">
        <v>1</v>
      </c>
      <c r="D11302" s="2">
        <f t="shared" si="176"/>
        <v>2</v>
      </c>
    </row>
    <row r="11303" spans="1:4" x14ac:dyDescent="0.3">
      <c r="A11303" s="34">
        <v>68093</v>
      </c>
      <c r="B11303" s="35">
        <v>1</v>
      </c>
      <c r="C11303" s="35">
        <v>0</v>
      </c>
      <c r="D11303" s="2">
        <f t="shared" si="176"/>
        <v>1</v>
      </c>
    </row>
    <row r="11304" spans="1:4" x14ac:dyDescent="0.3">
      <c r="A11304" s="34">
        <v>68111</v>
      </c>
      <c r="B11304" s="35">
        <v>1</v>
      </c>
      <c r="C11304" s="35">
        <v>0</v>
      </c>
      <c r="D11304" s="2">
        <f t="shared" si="176"/>
        <v>1</v>
      </c>
    </row>
    <row r="11305" spans="1:4" x14ac:dyDescent="0.3">
      <c r="A11305" s="34">
        <v>68113</v>
      </c>
      <c r="B11305" s="35">
        <v>1</v>
      </c>
      <c r="C11305" s="35">
        <v>0</v>
      </c>
      <c r="D11305" s="2">
        <f t="shared" si="176"/>
        <v>1</v>
      </c>
    </row>
    <row r="11306" spans="1:4" x14ac:dyDescent="0.3">
      <c r="A11306" s="34">
        <v>68117</v>
      </c>
      <c r="B11306" s="35">
        <v>1</v>
      </c>
      <c r="C11306" s="35">
        <v>0</v>
      </c>
      <c r="D11306" s="2">
        <f t="shared" si="176"/>
        <v>1</v>
      </c>
    </row>
    <row r="11307" spans="1:4" x14ac:dyDescent="0.3">
      <c r="A11307" s="34">
        <v>68119</v>
      </c>
      <c r="B11307" s="35">
        <v>1</v>
      </c>
      <c r="C11307" s="35">
        <v>0</v>
      </c>
      <c r="D11307" s="2">
        <f t="shared" si="176"/>
        <v>1</v>
      </c>
    </row>
    <row r="11308" spans="1:4" x14ac:dyDescent="0.3">
      <c r="A11308" s="34">
        <v>68120</v>
      </c>
      <c r="B11308" s="35">
        <v>1</v>
      </c>
      <c r="C11308" s="35">
        <v>0</v>
      </c>
      <c r="D11308" s="2">
        <f t="shared" si="176"/>
        <v>1</v>
      </c>
    </row>
    <row r="11309" spans="1:4" x14ac:dyDescent="0.3">
      <c r="A11309" s="34">
        <v>68121</v>
      </c>
      <c r="B11309" s="35">
        <v>1</v>
      </c>
      <c r="C11309" s="35">
        <v>0</v>
      </c>
      <c r="D11309" s="2">
        <f t="shared" si="176"/>
        <v>1</v>
      </c>
    </row>
    <row r="11310" spans="1:4" x14ac:dyDescent="0.3">
      <c r="A11310" s="34">
        <v>68122</v>
      </c>
      <c r="B11310" s="35">
        <v>1</v>
      </c>
      <c r="C11310" s="35">
        <v>0</v>
      </c>
      <c r="D11310" s="2">
        <f t="shared" si="176"/>
        <v>1</v>
      </c>
    </row>
    <row r="11311" spans="1:4" x14ac:dyDescent="0.3">
      <c r="A11311" s="34">
        <v>68123</v>
      </c>
      <c r="B11311" s="35">
        <v>1</v>
      </c>
      <c r="C11311" s="35">
        <v>0</v>
      </c>
      <c r="D11311" s="2">
        <f t="shared" si="176"/>
        <v>1</v>
      </c>
    </row>
    <row r="11312" spans="1:4" x14ac:dyDescent="0.3">
      <c r="A11312" s="34">
        <v>68124</v>
      </c>
      <c r="B11312" s="35">
        <v>1</v>
      </c>
      <c r="C11312" s="35">
        <v>0</v>
      </c>
      <c r="D11312" s="2">
        <f t="shared" si="176"/>
        <v>1</v>
      </c>
    </row>
    <row r="11313" spans="1:4" x14ac:dyDescent="0.3">
      <c r="A11313" s="34">
        <v>68125</v>
      </c>
      <c r="B11313" s="35">
        <v>1</v>
      </c>
      <c r="C11313" s="35">
        <v>0</v>
      </c>
      <c r="D11313" s="2">
        <f t="shared" si="176"/>
        <v>1</v>
      </c>
    </row>
    <row r="11314" spans="1:4" x14ac:dyDescent="0.3">
      <c r="A11314" s="34">
        <v>68126</v>
      </c>
      <c r="B11314" s="35">
        <v>1</v>
      </c>
      <c r="C11314" s="35">
        <v>0</v>
      </c>
      <c r="D11314" s="2">
        <f t="shared" si="176"/>
        <v>1</v>
      </c>
    </row>
    <row r="11315" spans="1:4" x14ac:dyDescent="0.3">
      <c r="A11315" s="34">
        <v>68129</v>
      </c>
      <c r="B11315" s="35">
        <v>1</v>
      </c>
      <c r="C11315" s="35">
        <v>1</v>
      </c>
      <c r="D11315" s="2">
        <f t="shared" si="176"/>
        <v>2</v>
      </c>
    </row>
    <row r="11316" spans="1:4" x14ac:dyDescent="0.3">
      <c r="A11316" s="34">
        <v>68148</v>
      </c>
      <c r="B11316" s="35">
        <v>1</v>
      </c>
      <c r="C11316" s="35">
        <v>0</v>
      </c>
      <c r="D11316" s="2">
        <f t="shared" si="176"/>
        <v>1</v>
      </c>
    </row>
    <row r="11317" spans="1:4" x14ac:dyDescent="0.3">
      <c r="A11317" s="34">
        <v>68149</v>
      </c>
      <c r="B11317" s="35">
        <v>1</v>
      </c>
      <c r="C11317" s="35">
        <v>0</v>
      </c>
      <c r="D11317" s="2">
        <f t="shared" si="176"/>
        <v>1</v>
      </c>
    </row>
    <row r="11318" spans="1:4" x14ac:dyDescent="0.3">
      <c r="A11318" s="34">
        <v>68150</v>
      </c>
      <c r="B11318" s="35">
        <v>1</v>
      </c>
      <c r="C11318" s="35">
        <v>0</v>
      </c>
      <c r="D11318" s="2">
        <f t="shared" si="176"/>
        <v>1</v>
      </c>
    </row>
    <row r="11319" spans="1:4" x14ac:dyDescent="0.3">
      <c r="A11319" s="34">
        <v>68151</v>
      </c>
      <c r="B11319" s="35">
        <v>1</v>
      </c>
      <c r="C11319" s="35">
        <v>0</v>
      </c>
      <c r="D11319" s="2">
        <f t="shared" si="176"/>
        <v>1</v>
      </c>
    </row>
    <row r="11320" spans="1:4" x14ac:dyDescent="0.3">
      <c r="A11320" s="34">
        <v>68153</v>
      </c>
      <c r="B11320" s="35">
        <v>1</v>
      </c>
      <c r="C11320" s="35">
        <v>0</v>
      </c>
      <c r="D11320" s="2">
        <f t="shared" si="176"/>
        <v>1</v>
      </c>
    </row>
    <row r="11321" spans="1:4" x14ac:dyDescent="0.3">
      <c r="A11321" s="34">
        <v>68158</v>
      </c>
      <c r="B11321" s="35">
        <v>1</v>
      </c>
      <c r="C11321" s="35">
        <v>0</v>
      </c>
      <c r="D11321" s="2">
        <f t="shared" si="176"/>
        <v>1</v>
      </c>
    </row>
    <row r="11322" spans="1:4" x14ac:dyDescent="0.3">
      <c r="A11322" s="34">
        <v>68159</v>
      </c>
      <c r="B11322" s="35">
        <v>1</v>
      </c>
      <c r="C11322" s="35">
        <v>1</v>
      </c>
      <c r="D11322" s="2">
        <f t="shared" si="176"/>
        <v>2</v>
      </c>
    </row>
    <row r="11323" spans="1:4" x14ac:dyDescent="0.3">
      <c r="A11323" s="34">
        <v>68160</v>
      </c>
      <c r="B11323" s="35">
        <v>1</v>
      </c>
      <c r="C11323" s="35">
        <v>1</v>
      </c>
      <c r="D11323" s="2">
        <f t="shared" si="176"/>
        <v>2</v>
      </c>
    </row>
    <row r="11324" spans="1:4" x14ac:dyDescent="0.3">
      <c r="A11324" s="34">
        <v>68161</v>
      </c>
      <c r="B11324" s="35">
        <v>1</v>
      </c>
      <c r="C11324" s="35">
        <v>1</v>
      </c>
      <c r="D11324" s="2">
        <f t="shared" si="176"/>
        <v>2</v>
      </c>
    </row>
    <row r="11325" spans="1:4" x14ac:dyDescent="0.3">
      <c r="A11325" s="34">
        <v>68165</v>
      </c>
      <c r="B11325" s="35">
        <v>1</v>
      </c>
      <c r="C11325" s="35">
        <v>0</v>
      </c>
      <c r="D11325" s="2">
        <f t="shared" si="176"/>
        <v>1</v>
      </c>
    </row>
    <row r="11326" spans="1:4" x14ac:dyDescent="0.3">
      <c r="A11326" s="34">
        <v>68173</v>
      </c>
      <c r="B11326" s="35">
        <v>1</v>
      </c>
      <c r="C11326" s="35">
        <v>1</v>
      </c>
      <c r="D11326" s="2">
        <f t="shared" si="176"/>
        <v>2</v>
      </c>
    </row>
    <row r="11327" spans="1:4" x14ac:dyDescent="0.3">
      <c r="A11327" s="34">
        <v>68176</v>
      </c>
      <c r="B11327" s="35">
        <v>1</v>
      </c>
      <c r="C11327" s="35">
        <v>0</v>
      </c>
      <c r="D11327" s="2">
        <f t="shared" si="176"/>
        <v>1</v>
      </c>
    </row>
    <row r="11328" spans="1:4" x14ac:dyDescent="0.3">
      <c r="A11328" s="34">
        <v>68179</v>
      </c>
      <c r="B11328" s="35">
        <v>1</v>
      </c>
      <c r="C11328" s="35">
        <v>0</v>
      </c>
      <c r="D11328" s="2">
        <f t="shared" si="176"/>
        <v>1</v>
      </c>
    </row>
    <row r="11329" spans="1:4" x14ac:dyDescent="0.3">
      <c r="A11329" s="34">
        <v>68181</v>
      </c>
      <c r="B11329" s="35">
        <v>1</v>
      </c>
      <c r="C11329" s="35">
        <v>1</v>
      </c>
      <c r="D11329" s="2">
        <f t="shared" si="176"/>
        <v>2</v>
      </c>
    </row>
    <row r="11330" spans="1:4" x14ac:dyDescent="0.3">
      <c r="A11330" s="34">
        <v>68182</v>
      </c>
      <c r="B11330" s="35">
        <v>1</v>
      </c>
      <c r="C11330" s="35">
        <v>0</v>
      </c>
      <c r="D11330" s="2">
        <f t="shared" si="176"/>
        <v>1</v>
      </c>
    </row>
    <row r="11331" spans="1:4" x14ac:dyDescent="0.3">
      <c r="A11331" s="34">
        <v>68183</v>
      </c>
      <c r="B11331" s="35">
        <v>1</v>
      </c>
      <c r="C11331" s="35">
        <v>0</v>
      </c>
      <c r="D11331" s="2">
        <f t="shared" ref="D11331:D11394" si="177">B11331+C11331</f>
        <v>1</v>
      </c>
    </row>
    <row r="11332" spans="1:4" x14ac:dyDescent="0.3">
      <c r="A11332" s="34">
        <v>68184</v>
      </c>
      <c r="B11332" s="35">
        <v>1</v>
      </c>
      <c r="C11332" s="35">
        <v>0</v>
      </c>
      <c r="D11332" s="2">
        <f t="shared" si="177"/>
        <v>1</v>
      </c>
    </row>
    <row r="11333" spans="1:4" x14ac:dyDescent="0.3">
      <c r="A11333" s="34">
        <v>68185</v>
      </c>
      <c r="B11333" s="35">
        <v>1</v>
      </c>
      <c r="C11333" s="35">
        <v>1</v>
      </c>
      <c r="D11333" s="2">
        <f t="shared" si="177"/>
        <v>2</v>
      </c>
    </row>
    <row r="11334" spans="1:4" x14ac:dyDescent="0.3">
      <c r="A11334" s="34">
        <v>68189</v>
      </c>
      <c r="B11334" s="35">
        <v>1</v>
      </c>
      <c r="C11334" s="35">
        <v>0</v>
      </c>
      <c r="D11334" s="2">
        <f t="shared" si="177"/>
        <v>1</v>
      </c>
    </row>
    <row r="11335" spans="1:4" x14ac:dyDescent="0.3">
      <c r="A11335" s="34">
        <v>68192</v>
      </c>
      <c r="B11335" s="35">
        <v>1</v>
      </c>
      <c r="C11335" s="35">
        <v>0</v>
      </c>
      <c r="D11335" s="2">
        <f t="shared" si="177"/>
        <v>1</v>
      </c>
    </row>
    <row r="11336" spans="1:4" x14ac:dyDescent="0.3">
      <c r="A11336" s="34">
        <v>68251</v>
      </c>
      <c r="B11336" s="35">
        <v>1</v>
      </c>
      <c r="C11336" s="35">
        <v>0</v>
      </c>
      <c r="D11336" s="2">
        <f t="shared" si="177"/>
        <v>1</v>
      </c>
    </row>
    <row r="11337" spans="1:4" x14ac:dyDescent="0.3">
      <c r="A11337" s="34">
        <v>68253</v>
      </c>
      <c r="B11337" s="35">
        <v>1</v>
      </c>
      <c r="C11337" s="35">
        <v>0</v>
      </c>
      <c r="D11337" s="2">
        <f t="shared" si="177"/>
        <v>1</v>
      </c>
    </row>
    <row r="11338" spans="1:4" x14ac:dyDescent="0.3">
      <c r="A11338" s="34">
        <v>68257</v>
      </c>
      <c r="B11338" s="35">
        <v>1</v>
      </c>
      <c r="C11338" s="35">
        <v>0</v>
      </c>
      <c r="D11338" s="2">
        <f t="shared" si="177"/>
        <v>1</v>
      </c>
    </row>
    <row r="11339" spans="1:4" x14ac:dyDescent="0.3">
      <c r="A11339" s="34">
        <v>68259</v>
      </c>
      <c r="B11339" s="35">
        <v>1</v>
      </c>
      <c r="C11339" s="35">
        <v>0</v>
      </c>
      <c r="D11339" s="2">
        <f t="shared" si="177"/>
        <v>1</v>
      </c>
    </row>
    <row r="11340" spans="1:4" x14ac:dyDescent="0.3">
      <c r="A11340" s="34">
        <v>68261</v>
      </c>
      <c r="B11340" s="35">
        <v>1</v>
      </c>
      <c r="C11340" s="35">
        <v>0</v>
      </c>
      <c r="D11340" s="2">
        <f t="shared" si="177"/>
        <v>1</v>
      </c>
    </row>
    <row r="11341" spans="1:4" x14ac:dyDescent="0.3">
      <c r="A11341" s="34">
        <v>68262</v>
      </c>
      <c r="B11341" s="35">
        <v>1</v>
      </c>
      <c r="C11341" s="35">
        <v>0</v>
      </c>
      <c r="D11341" s="2">
        <f t="shared" si="177"/>
        <v>1</v>
      </c>
    </row>
    <row r="11342" spans="1:4" x14ac:dyDescent="0.3">
      <c r="A11342" s="34">
        <v>68265</v>
      </c>
      <c r="B11342" s="35">
        <v>1</v>
      </c>
      <c r="C11342" s="35">
        <v>0</v>
      </c>
      <c r="D11342" s="2">
        <f t="shared" si="177"/>
        <v>1</v>
      </c>
    </row>
    <row r="11343" spans="1:4" x14ac:dyDescent="0.3">
      <c r="A11343" s="34">
        <v>68266</v>
      </c>
      <c r="B11343" s="35">
        <v>1</v>
      </c>
      <c r="C11343" s="35">
        <v>0</v>
      </c>
      <c r="D11343" s="2">
        <f t="shared" si="177"/>
        <v>1</v>
      </c>
    </row>
    <row r="11344" spans="1:4" x14ac:dyDescent="0.3">
      <c r="A11344" s="34">
        <v>68267</v>
      </c>
      <c r="B11344" s="35">
        <v>1</v>
      </c>
      <c r="C11344" s="35">
        <v>0</v>
      </c>
      <c r="D11344" s="2">
        <f t="shared" si="177"/>
        <v>1</v>
      </c>
    </row>
    <row r="11345" spans="1:4" x14ac:dyDescent="0.3">
      <c r="A11345" s="34">
        <v>68269</v>
      </c>
      <c r="B11345" s="35">
        <v>1</v>
      </c>
      <c r="C11345" s="35">
        <v>0</v>
      </c>
      <c r="D11345" s="2">
        <f t="shared" si="177"/>
        <v>1</v>
      </c>
    </row>
    <row r="11346" spans="1:4" x14ac:dyDescent="0.3">
      <c r="A11346" s="34">
        <v>68270</v>
      </c>
      <c r="B11346" s="35">
        <v>1</v>
      </c>
      <c r="C11346" s="35">
        <v>0</v>
      </c>
      <c r="D11346" s="2">
        <f t="shared" si="177"/>
        <v>1</v>
      </c>
    </row>
    <row r="11347" spans="1:4" x14ac:dyDescent="0.3">
      <c r="A11347" s="34">
        <v>68271</v>
      </c>
      <c r="B11347" s="35">
        <v>1</v>
      </c>
      <c r="C11347" s="35">
        <v>1</v>
      </c>
      <c r="D11347" s="2">
        <f t="shared" si="177"/>
        <v>2</v>
      </c>
    </row>
    <row r="11348" spans="1:4" x14ac:dyDescent="0.3">
      <c r="A11348" s="34">
        <v>68272</v>
      </c>
      <c r="B11348" s="35">
        <v>1</v>
      </c>
      <c r="C11348" s="35">
        <v>0</v>
      </c>
      <c r="D11348" s="2">
        <f t="shared" si="177"/>
        <v>1</v>
      </c>
    </row>
    <row r="11349" spans="1:4" x14ac:dyDescent="0.3">
      <c r="A11349" s="34">
        <v>68274</v>
      </c>
      <c r="B11349" s="35">
        <v>1</v>
      </c>
      <c r="C11349" s="35">
        <v>1</v>
      </c>
      <c r="D11349" s="2">
        <f t="shared" si="177"/>
        <v>2</v>
      </c>
    </row>
    <row r="11350" spans="1:4" x14ac:dyDescent="0.3">
      <c r="A11350" s="34">
        <v>68275</v>
      </c>
      <c r="B11350" s="35">
        <v>1</v>
      </c>
      <c r="C11350" s="35">
        <v>0</v>
      </c>
      <c r="D11350" s="2">
        <f t="shared" si="177"/>
        <v>1</v>
      </c>
    </row>
    <row r="11351" spans="1:4" x14ac:dyDescent="0.3">
      <c r="A11351" s="34">
        <v>68276</v>
      </c>
      <c r="B11351" s="35">
        <v>1</v>
      </c>
      <c r="C11351" s="35">
        <v>0</v>
      </c>
      <c r="D11351" s="2">
        <f t="shared" si="177"/>
        <v>1</v>
      </c>
    </row>
    <row r="11352" spans="1:4" x14ac:dyDescent="0.3">
      <c r="A11352" s="34">
        <v>68281</v>
      </c>
      <c r="B11352" s="35">
        <v>1</v>
      </c>
      <c r="C11352" s="35">
        <v>0</v>
      </c>
      <c r="D11352" s="2">
        <f t="shared" si="177"/>
        <v>1</v>
      </c>
    </row>
    <row r="11353" spans="1:4" x14ac:dyDescent="0.3">
      <c r="A11353" s="34">
        <v>68283</v>
      </c>
      <c r="B11353" s="35">
        <v>1</v>
      </c>
      <c r="C11353" s="35">
        <v>0</v>
      </c>
      <c r="D11353" s="2">
        <f t="shared" si="177"/>
        <v>1</v>
      </c>
    </row>
    <row r="11354" spans="1:4" x14ac:dyDescent="0.3">
      <c r="A11354" s="34">
        <v>68285</v>
      </c>
      <c r="B11354" s="35">
        <v>1</v>
      </c>
      <c r="C11354" s="35">
        <v>0</v>
      </c>
      <c r="D11354" s="2">
        <f t="shared" si="177"/>
        <v>1</v>
      </c>
    </row>
    <row r="11355" spans="1:4" x14ac:dyDescent="0.3">
      <c r="A11355" s="34">
        <v>68286</v>
      </c>
      <c r="B11355" s="35">
        <v>1</v>
      </c>
      <c r="C11355" s="35">
        <v>0</v>
      </c>
      <c r="D11355" s="2">
        <f t="shared" si="177"/>
        <v>1</v>
      </c>
    </row>
    <row r="11356" spans="1:4" x14ac:dyDescent="0.3">
      <c r="A11356" s="34">
        <v>68287</v>
      </c>
      <c r="B11356" s="35">
        <v>1</v>
      </c>
      <c r="C11356" s="35">
        <v>0</v>
      </c>
      <c r="D11356" s="2">
        <f t="shared" si="177"/>
        <v>1</v>
      </c>
    </row>
    <row r="11357" spans="1:4" x14ac:dyDescent="0.3">
      <c r="A11357" s="34">
        <v>68288</v>
      </c>
      <c r="B11357" s="35">
        <v>1</v>
      </c>
      <c r="C11357" s="35">
        <v>0</v>
      </c>
      <c r="D11357" s="2">
        <f t="shared" si="177"/>
        <v>1</v>
      </c>
    </row>
    <row r="11358" spans="1:4" x14ac:dyDescent="0.3">
      <c r="A11358" s="34">
        <v>68289</v>
      </c>
      <c r="B11358" s="35">
        <v>1</v>
      </c>
      <c r="C11358" s="35">
        <v>0</v>
      </c>
      <c r="D11358" s="2">
        <f t="shared" si="177"/>
        <v>1</v>
      </c>
    </row>
    <row r="11359" spans="1:4" x14ac:dyDescent="0.3">
      <c r="A11359" s="34">
        <v>68290</v>
      </c>
      <c r="B11359" s="35">
        <v>1</v>
      </c>
      <c r="C11359" s="35">
        <v>0</v>
      </c>
      <c r="D11359" s="2">
        <f t="shared" si="177"/>
        <v>1</v>
      </c>
    </row>
    <row r="11360" spans="1:4" x14ac:dyDescent="0.3">
      <c r="A11360" s="34">
        <v>68291</v>
      </c>
      <c r="B11360" s="35">
        <v>1</v>
      </c>
      <c r="C11360" s="35">
        <v>0</v>
      </c>
      <c r="D11360" s="2">
        <f t="shared" si="177"/>
        <v>1</v>
      </c>
    </row>
    <row r="11361" spans="1:4" x14ac:dyDescent="0.3">
      <c r="A11361" s="34">
        <v>68293</v>
      </c>
      <c r="B11361" s="35">
        <v>1</v>
      </c>
      <c r="C11361" s="35">
        <v>0</v>
      </c>
      <c r="D11361" s="2">
        <f t="shared" si="177"/>
        <v>1</v>
      </c>
    </row>
    <row r="11362" spans="1:4" x14ac:dyDescent="0.3">
      <c r="A11362" s="34">
        <v>68294</v>
      </c>
      <c r="B11362" s="35">
        <v>1</v>
      </c>
      <c r="C11362" s="35">
        <v>1</v>
      </c>
      <c r="D11362" s="2">
        <f t="shared" si="177"/>
        <v>2</v>
      </c>
    </row>
    <row r="11363" spans="1:4" x14ac:dyDescent="0.3">
      <c r="A11363" s="34">
        <v>68298</v>
      </c>
      <c r="B11363" s="35">
        <v>1</v>
      </c>
      <c r="C11363" s="35">
        <v>0</v>
      </c>
      <c r="D11363" s="2">
        <f t="shared" si="177"/>
        <v>1</v>
      </c>
    </row>
    <row r="11364" spans="1:4" x14ac:dyDescent="0.3">
      <c r="A11364" s="34">
        <v>68299</v>
      </c>
      <c r="B11364" s="35">
        <v>1</v>
      </c>
      <c r="C11364" s="35">
        <v>0</v>
      </c>
      <c r="D11364" s="2">
        <f t="shared" si="177"/>
        <v>1</v>
      </c>
    </row>
    <row r="11365" spans="1:4" x14ac:dyDescent="0.3">
      <c r="A11365" s="34">
        <v>68300</v>
      </c>
      <c r="B11365" s="35">
        <v>1</v>
      </c>
      <c r="C11365" s="35">
        <v>0</v>
      </c>
      <c r="D11365" s="2">
        <f t="shared" si="177"/>
        <v>1</v>
      </c>
    </row>
    <row r="11366" spans="1:4" x14ac:dyDescent="0.3">
      <c r="A11366" s="34">
        <v>68303</v>
      </c>
      <c r="B11366" s="35">
        <v>1</v>
      </c>
      <c r="C11366" s="35">
        <v>0</v>
      </c>
      <c r="D11366" s="2">
        <f t="shared" si="177"/>
        <v>1</v>
      </c>
    </row>
    <row r="11367" spans="1:4" x14ac:dyDescent="0.3">
      <c r="A11367" s="34">
        <v>68304</v>
      </c>
      <c r="B11367" s="35">
        <v>2</v>
      </c>
      <c r="C11367" s="35">
        <v>1</v>
      </c>
      <c r="D11367" s="2">
        <f t="shared" si="177"/>
        <v>3</v>
      </c>
    </row>
    <row r="11368" spans="1:4" x14ac:dyDescent="0.3">
      <c r="A11368" s="34">
        <v>68305</v>
      </c>
      <c r="B11368" s="35">
        <v>1</v>
      </c>
      <c r="C11368" s="35">
        <v>0</v>
      </c>
      <c r="D11368" s="2">
        <f t="shared" si="177"/>
        <v>1</v>
      </c>
    </row>
    <row r="11369" spans="1:4" x14ac:dyDescent="0.3">
      <c r="A11369" s="34">
        <v>68307</v>
      </c>
      <c r="B11369" s="35">
        <v>1</v>
      </c>
      <c r="C11369" s="35">
        <v>0</v>
      </c>
      <c r="D11369" s="2">
        <f t="shared" si="177"/>
        <v>1</v>
      </c>
    </row>
    <row r="11370" spans="1:4" x14ac:dyDescent="0.3">
      <c r="A11370" s="34">
        <v>68308</v>
      </c>
      <c r="B11370" s="35">
        <v>1</v>
      </c>
      <c r="C11370" s="35">
        <v>0</v>
      </c>
      <c r="D11370" s="2">
        <f t="shared" si="177"/>
        <v>1</v>
      </c>
    </row>
    <row r="11371" spans="1:4" x14ac:dyDescent="0.3">
      <c r="A11371" s="34">
        <v>68311</v>
      </c>
      <c r="B11371" s="35">
        <v>1</v>
      </c>
      <c r="C11371" s="35">
        <v>0</v>
      </c>
      <c r="D11371" s="2">
        <f t="shared" si="177"/>
        <v>1</v>
      </c>
    </row>
    <row r="11372" spans="1:4" x14ac:dyDescent="0.3">
      <c r="A11372" s="34">
        <v>68314</v>
      </c>
      <c r="B11372" s="35">
        <v>1</v>
      </c>
      <c r="C11372" s="35">
        <v>1</v>
      </c>
      <c r="D11372" s="2">
        <f t="shared" si="177"/>
        <v>2</v>
      </c>
    </row>
    <row r="11373" spans="1:4" x14ac:dyDescent="0.3">
      <c r="A11373" s="34">
        <v>68323</v>
      </c>
      <c r="B11373" s="35">
        <v>1</v>
      </c>
      <c r="C11373" s="35">
        <v>0</v>
      </c>
      <c r="D11373" s="2">
        <f t="shared" si="177"/>
        <v>1</v>
      </c>
    </row>
    <row r="11374" spans="1:4" x14ac:dyDescent="0.3">
      <c r="A11374" s="34">
        <v>68326</v>
      </c>
      <c r="B11374" s="35">
        <v>1</v>
      </c>
      <c r="C11374" s="35">
        <v>0</v>
      </c>
      <c r="D11374" s="2">
        <f t="shared" si="177"/>
        <v>1</v>
      </c>
    </row>
    <row r="11375" spans="1:4" x14ac:dyDescent="0.3">
      <c r="A11375" s="34">
        <v>68329</v>
      </c>
      <c r="B11375" s="35">
        <v>1</v>
      </c>
      <c r="C11375" s="35">
        <v>0</v>
      </c>
      <c r="D11375" s="2">
        <f t="shared" si="177"/>
        <v>1</v>
      </c>
    </row>
    <row r="11376" spans="1:4" x14ac:dyDescent="0.3">
      <c r="A11376" s="34">
        <v>68330</v>
      </c>
      <c r="B11376" s="35">
        <v>1</v>
      </c>
      <c r="C11376" s="35">
        <v>0</v>
      </c>
      <c r="D11376" s="2">
        <f t="shared" si="177"/>
        <v>1</v>
      </c>
    </row>
    <row r="11377" spans="1:4" x14ac:dyDescent="0.3">
      <c r="A11377" s="34">
        <v>68331</v>
      </c>
      <c r="B11377" s="35">
        <v>1</v>
      </c>
      <c r="C11377" s="35">
        <v>0</v>
      </c>
      <c r="D11377" s="2">
        <f t="shared" si="177"/>
        <v>1</v>
      </c>
    </row>
    <row r="11378" spans="1:4" x14ac:dyDescent="0.3">
      <c r="A11378" s="34">
        <v>68333</v>
      </c>
      <c r="B11378" s="35">
        <v>1</v>
      </c>
      <c r="C11378" s="35">
        <v>0</v>
      </c>
      <c r="D11378" s="2">
        <f t="shared" si="177"/>
        <v>1</v>
      </c>
    </row>
    <row r="11379" spans="1:4" x14ac:dyDescent="0.3">
      <c r="A11379" s="34">
        <v>68335</v>
      </c>
      <c r="B11379" s="35">
        <v>1</v>
      </c>
      <c r="C11379" s="35">
        <v>0</v>
      </c>
      <c r="D11379" s="2">
        <f t="shared" si="177"/>
        <v>1</v>
      </c>
    </row>
    <row r="11380" spans="1:4" x14ac:dyDescent="0.3">
      <c r="A11380" s="34">
        <v>68336</v>
      </c>
      <c r="B11380" s="35">
        <v>1</v>
      </c>
      <c r="C11380" s="35">
        <v>0</v>
      </c>
      <c r="D11380" s="2">
        <f t="shared" si="177"/>
        <v>1</v>
      </c>
    </row>
    <row r="11381" spans="1:4" x14ac:dyDescent="0.3">
      <c r="A11381" s="34">
        <v>68339</v>
      </c>
      <c r="B11381" s="35">
        <v>1</v>
      </c>
      <c r="C11381" s="35">
        <v>0</v>
      </c>
      <c r="D11381" s="2">
        <f t="shared" si="177"/>
        <v>1</v>
      </c>
    </row>
    <row r="11382" spans="1:4" x14ac:dyDescent="0.3">
      <c r="A11382" s="34">
        <v>68340</v>
      </c>
      <c r="B11382" s="35">
        <v>1</v>
      </c>
      <c r="C11382" s="35">
        <v>1</v>
      </c>
      <c r="D11382" s="2">
        <f t="shared" si="177"/>
        <v>2</v>
      </c>
    </row>
    <row r="11383" spans="1:4" x14ac:dyDescent="0.3">
      <c r="A11383" s="34">
        <v>68343</v>
      </c>
      <c r="B11383" s="35">
        <v>1</v>
      </c>
      <c r="C11383" s="35">
        <v>0</v>
      </c>
      <c r="D11383" s="2">
        <f t="shared" si="177"/>
        <v>1</v>
      </c>
    </row>
    <row r="11384" spans="1:4" x14ac:dyDescent="0.3">
      <c r="A11384" s="34">
        <v>68344</v>
      </c>
      <c r="B11384" s="35">
        <v>1</v>
      </c>
      <c r="C11384" s="35">
        <v>0</v>
      </c>
      <c r="D11384" s="2">
        <f t="shared" si="177"/>
        <v>1</v>
      </c>
    </row>
    <row r="11385" spans="1:4" x14ac:dyDescent="0.3">
      <c r="A11385" s="34">
        <v>68346</v>
      </c>
      <c r="B11385" s="35">
        <v>1</v>
      </c>
      <c r="C11385" s="35">
        <v>1</v>
      </c>
      <c r="D11385" s="2">
        <f t="shared" si="177"/>
        <v>2</v>
      </c>
    </row>
    <row r="11386" spans="1:4" x14ac:dyDescent="0.3">
      <c r="A11386" s="34">
        <v>68347</v>
      </c>
      <c r="B11386" s="35">
        <v>1</v>
      </c>
      <c r="C11386" s="35">
        <v>0</v>
      </c>
      <c r="D11386" s="2">
        <f t="shared" si="177"/>
        <v>1</v>
      </c>
    </row>
    <row r="11387" spans="1:4" x14ac:dyDescent="0.3">
      <c r="A11387" s="34">
        <v>68348</v>
      </c>
      <c r="B11387" s="35">
        <v>1</v>
      </c>
      <c r="C11387" s="35">
        <v>0</v>
      </c>
      <c r="D11387" s="2">
        <f t="shared" si="177"/>
        <v>1</v>
      </c>
    </row>
    <row r="11388" spans="1:4" x14ac:dyDescent="0.3">
      <c r="A11388" s="34">
        <v>68349</v>
      </c>
      <c r="B11388" s="35">
        <v>1</v>
      </c>
      <c r="C11388" s="35">
        <v>0</v>
      </c>
      <c r="D11388" s="2">
        <f t="shared" si="177"/>
        <v>1</v>
      </c>
    </row>
    <row r="11389" spans="1:4" x14ac:dyDescent="0.3">
      <c r="A11389" s="34">
        <v>68350</v>
      </c>
      <c r="B11389" s="35">
        <v>1</v>
      </c>
      <c r="C11389" s="35">
        <v>0</v>
      </c>
      <c r="D11389" s="2">
        <f t="shared" si="177"/>
        <v>1</v>
      </c>
    </row>
    <row r="11390" spans="1:4" x14ac:dyDescent="0.3">
      <c r="A11390" s="34">
        <v>68351</v>
      </c>
      <c r="B11390" s="35">
        <v>1</v>
      </c>
      <c r="C11390" s="35">
        <v>0</v>
      </c>
      <c r="D11390" s="2">
        <f t="shared" si="177"/>
        <v>1</v>
      </c>
    </row>
    <row r="11391" spans="1:4" x14ac:dyDescent="0.3">
      <c r="A11391" s="34">
        <v>68352</v>
      </c>
      <c r="B11391" s="35">
        <v>1</v>
      </c>
      <c r="C11391" s="35">
        <v>1</v>
      </c>
      <c r="D11391" s="2">
        <f t="shared" si="177"/>
        <v>2</v>
      </c>
    </row>
    <row r="11392" spans="1:4" x14ac:dyDescent="0.3">
      <c r="A11392" s="34">
        <v>68353</v>
      </c>
      <c r="B11392" s="35">
        <v>1</v>
      </c>
      <c r="C11392" s="35">
        <v>0</v>
      </c>
      <c r="D11392" s="2">
        <f t="shared" si="177"/>
        <v>1</v>
      </c>
    </row>
    <row r="11393" spans="1:4" x14ac:dyDescent="0.3">
      <c r="A11393" s="34">
        <v>68355</v>
      </c>
      <c r="B11393" s="35">
        <v>1</v>
      </c>
      <c r="C11393" s="35">
        <v>1</v>
      </c>
      <c r="D11393" s="2">
        <f t="shared" si="177"/>
        <v>2</v>
      </c>
    </row>
    <row r="11394" spans="1:4" x14ac:dyDescent="0.3">
      <c r="A11394" s="34">
        <v>68357</v>
      </c>
      <c r="B11394" s="35">
        <v>2</v>
      </c>
      <c r="C11394" s="35">
        <v>2</v>
      </c>
      <c r="D11394" s="2">
        <f t="shared" si="177"/>
        <v>4</v>
      </c>
    </row>
    <row r="11395" spans="1:4" x14ac:dyDescent="0.3">
      <c r="A11395" s="34">
        <v>68358</v>
      </c>
      <c r="B11395" s="35">
        <v>1</v>
      </c>
      <c r="C11395" s="35">
        <v>0</v>
      </c>
      <c r="D11395" s="2">
        <f t="shared" ref="D11395:D11458" si="178">B11395+C11395</f>
        <v>1</v>
      </c>
    </row>
    <row r="11396" spans="1:4" x14ac:dyDescent="0.3">
      <c r="A11396" s="34">
        <v>68360</v>
      </c>
      <c r="B11396" s="35">
        <v>1</v>
      </c>
      <c r="C11396" s="35">
        <v>0</v>
      </c>
      <c r="D11396" s="2">
        <f t="shared" si="178"/>
        <v>1</v>
      </c>
    </row>
    <row r="11397" spans="1:4" x14ac:dyDescent="0.3">
      <c r="A11397" s="34">
        <v>68363</v>
      </c>
      <c r="B11397" s="35">
        <v>1</v>
      </c>
      <c r="C11397" s="35">
        <v>0</v>
      </c>
      <c r="D11397" s="2">
        <f t="shared" si="178"/>
        <v>1</v>
      </c>
    </row>
    <row r="11398" spans="1:4" x14ac:dyDescent="0.3">
      <c r="A11398" s="34">
        <v>68364</v>
      </c>
      <c r="B11398" s="35">
        <v>1</v>
      </c>
      <c r="C11398" s="35">
        <v>0</v>
      </c>
      <c r="D11398" s="2">
        <f t="shared" si="178"/>
        <v>1</v>
      </c>
    </row>
    <row r="11399" spans="1:4" x14ac:dyDescent="0.3">
      <c r="A11399" s="34">
        <v>68365</v>
      </c>
      <c r="B11399" s="35">
        <v>1</v>
      </c>
      <c r="C11399" s="35">
        <v>0</v>
      </c>
      <c r="D11399" s="2">
        <f t="shared" si="178"/>
        <v>1</v>
      </c>
    </row>
    <row r="11400" spans="1:4" x14ac:dyDescent="0.3">
      <c r="A11400" s="34">
        <v>68366</v>
      </c>
      <c r="B11400" s="35">
        <v>1</v>
      </c>
      <c r="C11400" s="35">
        <v>1</v>
      </c>
      <c r="D11400" s="2">
        <f t="shared" si="178"/>
        <v>2</v>
      </c>
    </row>
    <row r="11401" spans="1:4" x14ac:dyDescent="0.3">
      <c r="A11401" s="34">
        <v>68367</v>
      </c>
      <c r="B11401" s="35">
        <v>1</v>
      </c>
      <c r="C11401" s="35">
        <v>0</v>
      </c>
      <c r="D11401" s="2">
        <f t="shared" si="178"/>
        <v>1</v>
      </c>
    </row>
    <row r="11402" spans="1:4" x14ac:dyDescent="0.3">
      <c r="A11402" s="34">
        <v>68368</v>
      </c>
      <c r="B11402" s="35">
        <v>1</v>
      </c>
      <c r="C11402" s="35">
        <v>0</v>
      </c>
      <c r="D11402" s="2">
        <f t="shared" si="178"/>
        <v>1</v>
      </c>
    </row>
    <row r="11403" spans="1:4" x14ac:dyDescent="0.3">
      <c r="A11403" s="34">
        <v>68370</v>
      </c>
      <c r="B11403" s="35">
        <v>1</v>
      </c>
      <c r="C11403" s="35">
        <v>0</v>
      </c>
      <c r="D11403" s="2">
        <f t="shared" si="178"/>
        <v>1</v>
      </c>
    </row>
    <row r="11404" spans="1:4" x14ac:dyDescent="0.3">
      <c r="A11404" s="34">
        <v>68372</v>
      </c>
      <c r="B11404" s="35">
        <v>1</v>
      </c>
      <c r="C11404" s="35">
        <v>0</v>
      </c>
      <c r="D11404" s="2">
        <f t="shared" si="178"/>
        <v>1</v>
      </c>
    </row>
    <row r="11405" spans="1:4" x14ac:dyDescent="0.3">
      <c r="A11405" s="34">
        <v>68373</v>
      </c>
      <c r="B11405" s="35">
        <v>2</v>
      </c>
      <c r="C11405" s="35">
        <v>0</v>
      </c>
      <c r="D11405" s="2">
        <f t="shared" si="178"/>
        <v>2</v>
      </c>
    </row>
    <row r="11406" spans="1:4" x14ac:dyDescent="0.3">
      <c r="A11406" s="34">
        <v>68375</v>
      </c>
      <c r="B11406" s="35">
        <v>1</v>
      </c>
      <c r="C11406" s="35">
        <v>0</v>
      </c>
      <c r="D11406" s="2">
        <f t="shared" si="178"/>
        <v>1</v>
      </c>
    </row>
    <row r="11407" spans="1:4" x14ac:dyDescent="0.3">
      <c r="A11407" s="34">
        <v>68377</v>
      </c>
      <c r="B11407" s="35">
        <v>1</v>
      </c>
      <c r="C11407" s="35">
        <v>0</v>
      </c>
      <c r="D11407" s="2">
        <f t="shared" si="178"/>
        <v>1</v>
      </c>
    </row>
    <row r="11408" spans="1:4" x14ac:dyDescent="0.3">
      <c r="A11408" s="34">
        <v>68379</v>
      </c>
      <c r="B11408" s="35">
        <v>1</v>
      </c>
      <c r="C11408" s="35">
        <v>0</v>
      </c>
      <c r="D11408" s="2">
        <f t="shared" si="178"/>
        <v>1</v>
      </c>
    </row>
    <row r="11409" spans="1:4" x14ac:dyDescent="0.3">
      <c r="A11409" s="34">
        <v>68380</v>
      </c>
      <c r="B11409" s="35">
        <v>1</v>
      </c>
      <c r="C11409" s="35">
        <v>0</v>
      </c>
      <c r="D11409" s="2">
        <f t="shared" si="178"/>
        <v>1</v>
      </c>
    </row>
    <row r="11410" spans="1:4" x14ac:dyDescent="0.3">
      <c r="A11410" s="34">
        <v>68381</v>
      </c>
      <c r="B11410" s="35">
        <v>1</v>
      </c>
      <c r="C11410" s="35">
        <v>0</v>
      </c>
      <c r="D11410" s="2">
        <f t="shared" si="178"/>
        <v>1</v>
      </c>
    </row>
    <row r="11411" spans="1:4" x14ac:dyDescent="0.3">
      <c r="A11411" s="34">
        <v>68382</v>
      </c>
      <c r="B11411" s="35">
        <v>1</v>
      </c>
      <c r="C11411" s="35">
        <v>0</v>
      </c>
      <c r="D11411" s="2">
        <f t="shared" si="178"/>
        <v>1</v>
      </c>
    </row>
    <row r="11412" spans="1:4" x14ac:dyDescent="0.3">
      <c r="A11412" s="34">
        <v>68383</v>
      </c>
      <c r="B11412" s="35">
        <v>1</v>
      </c>
      <c r="C11412" s="35">
        <v>0</v>
      </c>
      <c r="D11412" s="2">
        <f t="shared" si="178"/>
        <v>1</v>
      </c>
    </row>
    <row r="11413" spans="1:4" x14ac:dyDescent="0.3">
      <c r="A11413" s="34">
        <v>68384</v>
      </c>
      <c r="B11413" s="35">
        <v>1</v>
      </c>
      <c r="C11413" s="35">
        <v>0</v>
      </c>
      <c r="D11413" s="2">
        <f t="shared" si="178"/>
        <v>1</v>
      </c>
    </row>
    <row r="11414" spans="1:4" x14ac:dyDescent="0.3">
      <c r="A11414" s="34">
        <v>68385</v>
      </c>
      <c r="B11414" s="35">
        <v>1</v>
      </c>
      <c r="C11414" s="35">
        <v>1</v>
      </c>
      <c r="D11414" s="2">
        <f t="shared" si="178"/>
        <v>2</v>
      </c>
    </row>
    <row r="11415" spans="1:4" x14ac:dyDescent="0.3">
      <c r="A11415" s="34">
        <v>68386</v>
      </c>
      <c r="B11415" s="35">
        <v>1</v>
      </c>
      <c r="C11415" s="35">
        <v>1</v>
      </c>
      <c r="D11415" s="2">
        <f t="shared" si="178"/>
        <v>2</v>
      </c>
    </row>
    <row r="11416" spans="1:4" x14ac:dyDescent="0.3">
      <c r="A11416" s="34">
        <v>68390</v>
      </c>
      <c r="B11416" s="35">
        <v>1</v>
      </c>
      <c r="C11416" s="35">
        <v>0</v>
      </c>
      <c r="D11416" s="2">
        <f t="shared" si="178"/>
        <v>1</v>
      </c>
    </row>
    <row r="11417" spans="1:4" x14ac:dyDescent="0.3">
      <c r="A11417" s="34">
        <v>68392</v>
      </c>
      <c r="B11417" s="35">
        <v>1</v>
      </c>
      <c r="C11417" s="35">
        <v>1</v>
      </c>
      <c r="D11417" s="2">
        <f t="shared" si="178"/>
        <v>2</v>
      </c>
    </row>
    <row r="11418" spans="1:4" x14ac:dyDescent="0.3">
      <c r="A11418" s="34">
        <v>68393</v>
      </c>
      <c r="B11418" s="35">
        <v>1</v>
      </c>
      <c r="C11418" s="35">
        <v>1</v>
      </c>
      <c r="D11418" s="2">
        <f t="shared" si="178"/>
        <v>2</v>
      </c>
    </row>
    <row r="11419" spans="1:4" x14ac:dyDescent="0.3">
      <c r="A11419" s="34">
        <v>68394</v>
      </c>
      <c r="B11419" s="35">
        <v>1</v>
      </c>
      <c r="C11419" s="35">
        <v>0</v>
      </c>
      <c r="D11419" s="2">
        <f t="shared" si="178"/>
        <v>1</v>
      </c>
    </row>
    <row r="11420" spans="1:4" x14ac:dyDescent="0.3">
      <c r="A11420" s="34">
        <v>68397</v>
      </c>
      <c r="B11420" s="35">
        <v>1</v>
      </c>
      <c r="C11420" s="35">
        <v>0</v>
      </c>
      <c r="D11420" s="2">
        <f t="shared" si="178"/>
        <v>1</v>
      </c>
    </row>
    <row r="11421" spans="1:4" x14ac:dyDescent="0.3">
      <c r="A11421" s="34">
        <v>68399</v>
      </c>
      <c r="B11421" s="35">
        <v>2</v>
      </c>
      <c r="C11421" s="35">
        <v>1</v>
      </c>
      <c r="D11421" s="2">
        <f t="shared" si="178"/>
        <v>3</v>
      </c>
    </row>
    <row r="11422" spans="1:4" x14ac:dyDescent="0.3">
      <c r="A11422" s="34">
        <v>68400</v>
      </c>
      <c r="B11422" s="35">
        <v>1</v>
      </c>
      <c r="C11422" s="35">
        <v>0</v>
      </c>
      <c r="D11422" s="2">
        <f t="shared" si="178"/>
        <v>1</v>
      </c>
    </row>
    <row r="11423" spans="1:4" x14ac:dyDescent="0.3">
      <c r="A11423" s="34">
        <v>68401</v>
      </c>
      <c r="B11423" s="35">
        <v>4</v>
      </c>
      <c r="C11423" s="35">
        <v>2</v>
      </c>
      <c r="D11423" s="2">
        <f t="shared" si="178"/>
        <v>6</v>
      </c>
    </row>
    <row r="11424" spans="1:4" x14ac:dyDescent="0.3">
      <c r="A11424" s="34">
        <v>68402</v>
      </c>
      <c r="B11424" s="35">
        <v>1</v>
      </c>
      <c r="C11424" s="35">
        <v>0</v>
      </c>
      <c r="D11424" s="2">
        <f t="shared" si="178"/>
        <v>1</v>
      </c>
    </row>
    <row r="11425" spans="1:4" x14ac:dyDescent="0.3">
      <c r="A11425" s="34">
        <v>68404</v>
      </c>
      <c r="B11425" s="35">
        <v>1</v>
      </c>
      <c r="C11425" s="35">
        <v>0</v>
      </c>
      <c r="D11425" s="2">
        <f t="shared" si="178"/>
        <v>1</v>
      </c>
    </row>
    <row r="11426" spans="1:4" x14ac:dyDescent="0.3">
      <c r="A11426" s="34">
        <v>68405</v>
      </c>
      <c r="B11426" s="35">
        <v>1</v>
      </c>
      <c r="C11426" s="35">
        <v>0</v>
      </c>
      <c r="D11426" s="2">
        <f t="shared" si="178"/>
        <v>1</v>
      </c>
    </row>
    <row r="11427" spans="1:4" x14ac:dyDescent="0.3">
      <c r="A11427" s="34">
        <v>68406</v>
      </c>
      <c r="B11427" s="35">
        <v>2</v>
      </c>
      <c r="C11427" s="35">
        <v>1</v>
      </c>
      <c r="D11427" s="2">
        <f t="shared" si="178"/>
        <v>3</v>
      </c>
    </row>
    <row r="11428" spans="1:4" x14ac:dyDescent="0.3">
      <c r="A11428" s="34">
        <v>68407</v>
      </c>
      <c r="B11428" s="35">
        <v>1</v>
      </c>
      <c r="C11428" s="35">
        <v>0</v>
      </c>
      <c r="D11428" s="2">
        <f t="shared" si="178"/>
        <v>1</v>
      </c>
    </row>
    <row r="11429" spans="1:4" x14ac:dyDescent="0.3">
      <c r="A11429" s="34">
        <v>68408</v>
      </c>
      <c r="B11429" s="35">
        <v>1</v>
      </c>
      <c r="C11429" s="35">
        <v>0</v>
      </c>
      <c r="D11429" s="2">
        <f t="shared" si="178"/>
        <v>1</v>
      </c>
    </row>
    <row r="11430" spans="1:4" x14ac:dyDescent="0.3">
      <c r="A11430" s="34">
        <v>68409</v>
      </c>
      <c r="B11430" s="35">
        <v>1</v>
      </c>
      <c r="C11430" s="35">
        <v>0</v>
      </c>
      <c r="D11430" s="2">
        <f t="shared" si="178"/>
        <v>1</v>
      </c>
    </row>
    <row r="11431" spans="1:4" x14ac:dyDescent="0.3">
      <c r="A11431" s="34">
        <v>68410</v>
      </c>
      <c r="B11431" s="35">
        <v>1</v>
      </c>
      <c r="C11431" s="35">
        <v>0</v>
      </c>
      <c r="D11431" s="2">
        <f t="shared" si="178"/>
        <v>1</v>
      </c>
    </row>
    <row r="11432" spans="1:4" x14ac:dyDescent="0.3">
      <c r="A11432" s="34">
        <v>68412</v>
      </c>
      <c r="B11432" s="35">
        <v>1</v>
      </c>
      <c r="C11432" s="35">
        <v>1</v>
      </c>
      <c r="D11432" s="2">
        <f t="shared" si="178"/>
        <v>2</v>
      </c>
    </row>
    <row r="11433" spans="1:4" x14ac:dyDescent="0.3">
      <c r="A11433" s="34">
        <v>68414</v>
      </c>
      <c r="B11433" s="35">
        <v>1</v>
      </c>
      <c r="C11433" s="35">
        <v>0</v>
      </c>
      <c r="D11433" s="2">
        <f t="shared" si="178"/>
        <v>1</v>
      </c>
    </row>
    <row r="11434" spans="1:4" x14ac:dyDescent="0.3">
      <c r="A11434" s="34">
        <v>68415</v>
      </c>
      <c r="B11434" s="35">
        <v>1</v>
      </c>
      <c r="C11434" s="35">
        <v>0</v>
      </c>
      <c r="D11434" s="2">
        <f t="shared" si="178"/>
        <v>1</v>
      </c>
    </row>
    <row r="11435" spans="1:4" x14ac:dyDescent="0.3">
      <c r="A11435" s="34">
        <v>68417</v>
      </c>
      <c r="B11435" s="35">
        <v>1</v>
      </c>
      <c r="C11435" s="35">
        <v>1</v>
      </c>
      <c r="D11435" s="2">
        <f t="shared" si="178"/>
        <v>2</v>
      </c>
    </row>
    <row r="11436" spans="1:4" x14ac:dyDescent="0.3">
      <c r="A11436" s="34">
        <v>68419</v>
      </c>
      <c r="B11436" s="35">
        <v>1</v>
      </c>
      <c r="C11436" s="35">
        <v>0</v>
      </c>
      <c r="D11436" s="2">
        <f t="shared" si="178"/>
        <v>1</v>
      </c>
    </row>
    <row r="11437" spans="1:4" x14ac:dyDescent="0.3">
      <c r="A11437" s="34">
        <v>68420</v>
      </c>
      <c r="B11437" s="35">
        <v>1</v>
      </c>
      <c r="C11437" s="35">
        <v>0</v>
      </c>
      <c r="D11437" s="2">
        <f t="shared" si="178"/>
        <v>1</v>
      </c>
    </row>
    <row r="11438" spans="1:4" x14ac:dyDescent="0.3">
      <c r="A11438" s="34">
        <v>68452</v>
      </c>
      <c r="B11438" s="35">
        <v>1</v>
      </c>
      <c r="C11438" s="35">
        <v>0</v>
      </c>
      <c r="D11438" s="2">
        <f t="shared" si="178"/>
        <v>1</v>
      </c>
    </row>
    <row r="11439" spans="1:4" x14ac:dyDescent="0.3">
      <c r="A11439" s="34">
        <v>68453</v>
      </c>
      <c r="B11439" s="35">
        <v>1</v>
      </c>
      <c r="C11439" s="35">
        <v>0</v>
      </c>
      <c r="D11439" s="2">
        <f t="shared" si="178"/>
        <v>1</v>
      </c>
    </row>
    <row r="11440" spans="1:4" x14ac:dyDescent="0.3">
      <c r="A11440" s="34">
        <v>68455</v>
      </c>
      <c r="B11440" s="35">
        <v>1</v>
      </c>
      <c r="C11440" s="35">
        <v>0</v>
      </c>
      <c r="D11440" s="2">
        <f t="shared" si="178"/>
        <v>1</v>
      </c>
    </row>
    <row r="11441" spans="1:4" x14ac:dyDescent="0.3">
      <c r="A11441" s="34">
        <v>68463</v>
      </c>
      <c r="B11441" s="35">
        <v>1</v>
      </c>
      <c r="C11441" s="35">
        <v>1</v>
      </c>
      <c r="D11441" s="2">
        <f t="shared" si="178"/>
        <v>2</v>
      </c>
    </row>
    <row r="11442" spans="1:4" x14ac:dyDescent="0.3">
      <c r="A11442" s="34">
        <v>68466</v>
      </c>
      <c r="B11442" s="35">
        <v>1</v>
      </c>
      <c r="C11442" s="35">
        <v>0</v>
      </c>
      <c r="D11442" s="2">
        <f t="shared" si="178"/>
        <v>1</v>
      </c>
    </row>
    <row r="11443" spans="1:4" x14ac:dyDescent="0.3">
      <c r="A11443" s="34">
        <v>68467</v>
      </c>
      <c r="B11443" s="35">
        <v>1</v>
      </c>
      <c r="C11443" s="35">
        <v>0</v>
      </c>
      <c r="D11443" s="2">
        <f t="shared" si="178"/>
        <v>1</v>
      </c>
    </row>
    <row r="11444" spans="1:4" x14ac:dyDescent="0.3">
      <c r="A11444" s="34">
        <v>68468</v>
      </c>
      <c r="B11444" s="35">
        <v>1</v>
      </c>
      <c r="C11444" s="35">
        <v>0</v>
      </c>
      <c r="D11444" s="2">
        <f t="shared" si="178"/>
        <v>1</v>
      </c>
    </row>
    <row r="11445" spans="1:4" x14ac:dyDescent="0.3">
      <c r="A11445" s="34">
        <v>68503</v>
      </c>
      <c r="B11445" s="35">
        <v>1</v>
      </c>
      <c r="C11445" s="35">
        <v>0</v>
      </c>
      <c r="D11445" s="2">
        <f t="shared" si="178"/>
        <v>1</v>
      </c>
    </row>
    <row r="11446" spans="1:4" x14ac:dyDescent="0.3">
      <c r="A11446" s="34">
        <v>68504</v>
      </c>
      <c r="B11446" s="35">
        <v>1</v>
      </c>
      <c r="C11446" s="35">
        <v>0</v>
      </c>
      <c r="D11446" s="2">
        <f t="shared" si="178"/>
        <v>1</v>
      </c>
    </row>
    <row r="11447" spans="1:4" x14ac:dyDescent="0.3">
      <c r="A11447" s="34">
        <v>68505</v>
      </c>
      <c r="B11447" s="35">
        <v>1</v>
      </c>
      <c r="C11447" s="35">
        <v>1</v>
      </c>
      <c r="D11447" s="2">
        <f t="shared" si="178"/>
        <v>2</v>
      </c>
    </row>
    <row r="11448" spans="1:4" x14ac:dyDescent="0.3">
      <c r="A11448" s="34">
        <v>68506</v>
      </c>
      <c r="B11448" s="35">
        <v>1</v>
      </c>
      <c r="C11448" s="35">
        <v>0</v>
      </c>
      <c r="D11448" s="2">
        <f t="shared" si="178"/>
        <v>1</v>
      </c>
    </row>
    <row r="11449" spans="1:4" x14ac:dyDescent="0.3">
      <c r="A11449" s="34">
        <v>68507</v>
      </c>
      <c r="B11449" s="35">
        <v>1</v>
      </c>
      <c r="C11449" s="35">
        <v>0</v>
      </c>
      <c r="D11449" s="2">
        <f t="shared" si="178"/>
        <v>1</v>
      </c>
    </row>
    <row r="11450" spans="1:4" x14ac:dyDescent="0.3">
      <c r="A11450" s="34">
        <v>68510</v>
      </c>
      <c r="B11450" s="35">
        <v>2</v>
      </c>
      <c r="C11450" s="35">
        <v>0</v>
      </c>
      <c r="D11450" s="2">
        <f t="shared" si="178"/>
        <v>2</v>
      </c>
    </row>
    <row r="11451" spans="1:4" x14ac:dyDescent="0.3">
      <c r="A11451" s="34">
        <v>68512</v>
      </c>
      <c r="B11451" s="35">
        <v>1</v>
      </c>
      <c r="C11451" s="35">
        <v>0</v>
      </c>
      <c r="D11451" s="2">
        <f t="shared" si="178"/>
        <v>1</v>
      </c>
    </row>
    <row r="11452" spans="1:4" x14ac:dyDescent="0.3">
      <c r="A11452" s="34">
        <v>68513</v>
      </c>
      <c r="B11452" s="35">
        <v>1</v>
      </c>
      <c r="C11452" s="35">
        <v>0</v>
      </c>
      <c r="D11452" s="2">
        <f t="shared" si="178"/>
        <v>1</v>
      </c>
    </row>
    <row r="11453" spans="1:4" x14ac:dyDescent="0.3">
      <c r="A11453" s="34">
        <v>68517</v>
      </c>
      <c r="B11453" s="35">
        <v>1</v>
      </c>
      <c r="C11453" s="35">
        <v>0</v>
      </c>
      <c r="D11453" s="2">
        <f t="shared" si="178"/>
        <v>1</v>
      </c>
    </row>
    <row r="11454" spans="1:4" x14ac:dyDescent="0.3">
      <c r="A11454" s="34">
        <v>68520</v>
      </c>
      <c r="B11454" s="35">
        <v>1</v>
      </c>
      <c r="C11454" s="35">
        <v>0</v>
      </c>
      <c r="D11454" s="2">
        <f t="shared" si="178"/>
        <v>1</v>
      </c>
    </row>
    <row r="11455" spans="1:4" x14ac:dyDescent="0.3">
      <c r="A11455" s="34">
        <v>68521</v>
      </c>
      <c r="B11455" s="35">
        <v>1</v>
      </c>
      <c r="C11455" s="35">
        <v>0</v>
      </c>
      <c r="D11455" s="2">
        <f t="shared" si="178"/>
        <v>1</v>
      </c>
    </row>
    <row r="11456" spans="1:4" x14ac:dyDescent="0.3">
      <c r="A11456" s="34">
        <v>68522</v>
      </c>
      <c r="B11456" s="35">
        <v>1</v>
      </c>
      <c r="C11456" s="35">
        <v>0</v>
      </c>
      <c r="D11456" s="2">
        <f t="shared" si="178"/>
        <v>1</v>
      </c>
    </row>
    <row r="11457" spans="1:4" x14ac:dyDescent="0.3">
      <c r="A11457" s="34">
        <v>68523</v>
      </c>
      <c r="B11457" s="35">
        <v>1</v>
      </c>
      <c r="C11457" s="35">
        <v>0</v>
      </c>
      <c r="D11457" s="2">
        <f t="shared" si="178"/>
        <v>1</v>
      </c>
    </row>
    <row r="11458" spans="1:4" x14ac:dyDescent="0.3">
      <c r="A11458" s="34">
        <v>68528</v>
      </c>
      <c r="B11458" s="35">
        <v>1</v>
      </c>
      <c r="C11458" s="35">
        <v>0</v>
      </c>
      <c r="D11458" s="2">
        <f t="shared" si="178"/>
        <v>1</v>
      </c>
    </row>
    <row r="11459" spans="1:4" x14ac:dyDescent="0.3">
      <c r="A11459" s="34">
        <v>68531</v>
      </c>
      <c r="B11459" s="35">
        <v>1</v>
      </c>
      <c r="C11459" s="35">
        <v>0</v>
      </c>
      <c r="D11459" s="2">
        <f t="shared" ref="D11459:D11522" si="179">B11459+C11459</f>
        <v>1</v>
      </c>
    </row>
    <row r="11460" spans="1:4" x14ac:dyDescent="0.3">
      <c r="A11460" s="34">
        <v>68532</v>
      </c>
      <c r="B11460" s="35">
        <v>1</v>
      </c>
      <c r="C11460" s="35">
        <v>1</v>
      </c>
      <c r="D11460" s="2">
        <f t="shared" si="179"/>
        <v>2</v>
      </c>
    </row>
    <row r="11461" spans="1:4" x14ac:dyDescent="0.3">
      <c r="A11461" s="34">
        <v>68535</v>
      </c>
      <c r="B11461" s="35">
        <v>1</v>
      </c>
      <c r="C11461" s="35">
        <v>0</v>
      </c>
      <c r="D11461" s="2">
        <f t="shared" si="179"/>
        <v>1</v>
      </c>
    </row>
    <row r="11462" spans="1:4" x14ac:dyDescent="0.3">
      <c r="A11462" s="34">
        <v>68536</v>
      </c>
      <c r="B11462" s="35">
        <v>1</v>
      </c>
      <c r="C11462" s="35">
        <v>0</v>
      </c>
      <c r="D11462" s="2">
        <f t="shared" si="179"/>
        <v>1</v>
      </c>
    </row>
    <row r="11463" spans="1:4" x14ac:dyDescent="0.3">
      <c r="A11463" s="34">
        <v>68538</v>
      </c>
      <c r="B11463" s="35">
        <v>1</v>
      </c>
      <c r="C11463" s="35">
        <v>0</v>
      </c>
      <c r="D11463" s="2">
        <f t="shared" si="179"/>
        <v>1</v>
      </c>
    </row>
    <row r="11464" spans="1:4" x14ac:dyDescent="0.3">
      <c r="A11464" s="34">
        <v>68539</v>
      </c>
      <c r="B11464" s="35">
        <v>1</v>
      </c>
      <c r="C11464" s="35">
        <v>0</v>
      </c>
      <c r="D11464" s="2">
        <f t="shared" si="179"/>
        <v>1</v>
      </c>
    </row>
    <row r="11465" spans="1:4" x14ac:dyDescent="0.3">
      <c r="A11465" s="34">
        <v>68541</v>
      </c>
      <c r="B11465" s="35">
        <v>1</v>
      </c>
      <c r="C11465" s="35">
        <v>0</v>
      </c>
      <c r="D11465" s="2">
        <f t="shared" si="179"/>
        <v>1</v>
      </c>
    </row>
    <row r="11466" spans="1:4" x14ac:dyDescent="0.3">
      <c r="A11466" s="34">
        <v>68542</v>
      </c>
      <c r="B11466" s="35">
        <v>1</v>
      </c>
      <c r="C11466" s="35">
        <v>0</v>
      </c>
      <c r="D11466" s="2">
        <f t="shared" si="179"/>
        <v>1</v>
      </c>
    </row>
    <row r="11467" spans="1:4" x14ac:dyDescent="0.3">
      <c r="A11467" s="34">
        <v>68545</v>
      </c>
      <c r="B11467" s="35">
        <v>1</v>
      </c>
      <c r="C11467" s="35">
        <v>0</v>
      </c>
      <c r="D11467" s="2">
        <f t="shared" si="179"/>
        <v>1</v>
      </c>
    </row>
    <row r="11468" spans="1:4" x14ac:dyDescent="0.3">
      <c r="A11468" s="34">
        <v>68546</v>
      </c>
      <c r="B11468" s="35">
        <v>2</v>
      </c>
      <c r="C11468" s="35">
        <v>0</v>
      </c>
      <c r="D11468" s="2">
        <f t="shared" si="179"/>
        <v>2</v>
      </c>
    </row>
    <row r="11469" spans="1:4" x14ac:dyDescent="0.3">
      <c r="A11469" s="34">
        <v>68548</v>
      </c>
      <c r="B11469" s="35">
        <v>2</v>
      </c>
      <c r="C11469" s="35">
        <v>0</v>
      </c>
      <c r="D11469" s="2">
        <f t="shared" si="179"/>
        <v>2</v>
      </c>
    </row>
    <row r="11470" spans="1:4" x14ac:dyDescent="0.3">
      <c r="A11470" s="34">
        <v>68549</v>
      </c>
      <c r="B11470" s="35">
        <v>1</v>
      </c>
      <c r="C11470" s="35">
        <v>0</v>
      </c>
      <c r="D11470" s="2">
        <f t="shared" si="179"/>
        <v>1</v>
      </c>
    </row>
    <row r="11471" spans="1:4" x14ac:dyDescent="0.3">
      <c r="A11471" s="34">
        <v>68550</v>
      </c>
      <c r="B11471" s="35">
        <v>1</v>
      </c>
      <c r="C11471" s="35">
        <v>0</v>
      </c>
      <c r="D11471" s="2">
        <f t="shared" si="179"/>
        <v>1</v>
      </c>
    </row>
    <row r="11472" spans="1:4" x14ac:dyDescent="0.3">
      <c r="A11472" s="34">
        <v>68552</v>
      </c>
      <c r="B11472" s="35">
        <v>1</v>
      </c>
      <c r="C11472" s="35">
        <v>0</v>
      </c>
      <c r="D11472" s="2">
        <f t="shared" si="179"/>
        <v>1</v>
      </c>
    </row>
    <row r="11473" spans="1:4" x14ac:dyDescent="0.3">
      <c r="A11473" s="34">
        <v>68553</v>
      </c>
      <c r="B11473" s="35">
        <v>1</v>
      </c>
      <c r="C11473" s="35">
        <v>0</v>
      </c>
      <c r="D11473" s="2">
        <f t="shared" si="179"/>
        <v>1</v>
      </c>
    </row>
    <row r="11474" spans="1:4" x14ac:dyDescent="0.3">
      <c r="A11474" s="34">
        <v>68556</v>
      </c>
      <c r="B11474" s="35">
        <v>1</v>
      </c>
      <c r="C11474" s="35">
        <v>0</v>
      </c>
      <c r="D11474" s="2">
        <f t="shared" si="179"/>
        <v>1</v>
      </c>
    </row>
    <row r="11475" spans="1:4" x14ac:dyDescent="0.3">
      <c r="A11475" s="34">
        <v>68558</v>
      </c>
      <c r="B11475" s="35">
        <v>1</v>
      </c>
      <c r="C11475" s="35">
        <v>0</v>
      </c>
      <c r="D11475" s="2">
        <f t="shared" si="179"/>
        <v>1</v>
      </c>
    </row>
    <row r="11476" spans="1:4" x14ac:dyDescent="0.3">
      <c r="A11476" s="34">
        <v>68559</v>
      </c>
      <c r="B11476" s="35">
        <v>1</v>
      </c>
      <c r="C11476" s="35">
        <v>0</v>
      </c>
      <c r="D11476" s="2">
        <f t="shared" si="179"/>
        <v>1</v>
      </c>
    </row>
    <row r="11477" spans="1:4" x14ac:dyDescent="0.3">
      <c r="A11477" s="34">
        <v>68561</v>
      </c>
      <c r="B11477" s="35">
        <v>1</v>
      </c>
      <c r="C11477" s="35">
        <v>0</v>
      </c>
      <c r="D11477" s="2">
        <f t="shared" si="179"/>
        <v>1</v>
      </c>
    </row>
    <row r="11478" spans="1:4" x14ac:dyDescent="0.3">
      <c r="A11478" s="34">
        <v>68568</v>
      </c>
      <c r="B11478" s="35">
        <v>1</v>
      </c>
      <c r="C11478" s="35">
        <v>0</v>
      </c>
      <c r="D11478" s="2">
        <f t="shared" si="179"/>
        <v>1</v>
      </c>
    </row>
    <row r="11479" spans="1:4" x14ac:dyDescent="0.3">
      <c r="A11479" s="34">
        <v>68570</v>
      </c>
      <c r="B11479" s="35">
        <v>3</v>
      </c>
      <c r="C11479" s="35">
        <v>2</v>
      </c>
      <c r="D11479" s="2">
        <f t="shared" si="179"/>
        <v>5</v>
      </c>
    </row>
    <row r="11480" spans="1:4" x14ac:dyDescent="0.3">
      <c r="A11480" s="34">
        <v>68572</v>
      </c>
      <c r="B11480" s="35">
        <v>1</v>
      </c>
      <c r="C11480" s="35">
        <v>0</v>
      </c>
      <c r="D11480" s="2">
        <f t="shared" si="179"/>
        <v>1</v>
      </c>
    </row>
    <row r="11481" spans="1:4" x14ac:dyDescent="0.3">
      <c r="A11481" s="34">
        <v>68574</v>
      </c>
      <c r="B11481" s="35">
        <v>1</v>
      </c>
      <c r="C11481" s="35">
        <v>1</v>
      </c>
      <c r="D11481" s="2">
        <f t="shared" si="179"/>
        <v>2</v>
      </c>
    </row>
    <row r="11482" spans="1:4" x14ac:dyDescent="0.3">
      <c r="A11482" s="34">
        <v>68575</v>
      </c>
      <c r="B11482" s="35">
        <v>1</v>
      </c>
      <c r="C11482" s="35">
        <v>1</v>
      </c>
      <c r="D11482" s="2">
        <f t="shared" si="179"/>
        <v>2</v>
      </c>
    </row>
    <row r="11483" spans="1:4" x14ac:dyDescent="0.3">
      <c r="A11483" s="34">
        <v>68577</v>
      </c>
      <c r="B11483" s="35">
        <v>1</v>
      </c>
      <c r="C11483" s="35">
        <v>0</v>
      </c>
      <c r="D11483" s="2">
        <f t="shared" si="179"/>
        <v>1</v>
      </c>
    </row>
    <row r="11484" spans="1:4" x14ac:dyDescent="0.3">
      <c r="A11484" s="34">
        <v>68578</v>
      </c>
      <c r="B11484" s="35">
        <v>1</v>
      </c>
      <c r="C11484" s="35">
        <v>1</v>
      </c>
      <c r="D11484" s="2">
        <f t="shared" si="179"/>
        <v>2</v>
      </c>
    </row>
    <row r="11485" spans="1:4" x14ac:dyDescent="0.3">
      <c r="A11485" s="34">
        <v>68580</v>
      </c>
      <c r="B11485" s="35">
        <v>1</v>
      </c>
      <c r="C11485" s="35">
        <v>1</v>
      </c>
      <c r="D11485" s="2">
        <f t="shared" si="179"/>
        <v>2</v>
      </c>
    </row>
    <row r="11486" spans="1:4" x14ac:dyDescent="0.3">
      <c r="A11486" s="34">
        <v>68650</v>
      </c>
      <c r="B11486" s="35">
        <v>1</v>
      </c>
      <c r="C11486" s="35">
        <v>1</v>
      </c>
      <c r="D11486" s="2">
        <f t="shared" si="179"/>
        <v>2</v>
      </c>
    </row>
    <row r="11487" spans="1:4" x14ac:dyDescent="0.3">
      <c r="A11487" s="34">
        <v>68651</v>
      </c>
      <c r="B11487" s="35">
        <v>1</v>
      </c>
      <c r="C11487" s="35">
        <v>0</v>
      </c>
      <c r="D11487" s="2">
        <f t="shared" si="179"/>
        <v>1</v>
      </c>
    </row>
    <row r="11488" spans="1:4" x14ac:dyDescent="0.3">
      <c r="A11488" s="34">
        <v>68652</v>
      </c>
      <c r="B11488" s="35">
        <v>1</v>
      </c>
      <c r="C11488" s="35">
        <v>0</v>
      </c>
      <c r="D11488" s="2">
        <f t="shared" si="179"/>
        <v>1</v>
      </c>
    </row>
    <row r="11489" spans="1:4" x14ac:dyDescent="0.3">
      <c r="A11489" s="34">
        <v>68653</v>
      </c>
      <c r="B11489" s="35">
        <v>1</v>
      </c>
      <c r="C11489" s="35">
        <v>0</v>
      </c>
      <c r="D11489" s="2">
        <f t="shared" si="179"/>
        <v>1</v>
      </c>
    </row>
    <row r="11490" spans="1:4" x14ac:dyDescent="0.3">
      <c r="A11490" s="34">
        <v>68654</v>
      </c>
      <c r="B11490" s="35">
        <v>1</v>
      </c>
      <c r="C11490" s="35">
        <v>0</v>
      </c>
      <c r="D11490" s="2">
        <f t="shared" si="179"/>
        <v>1</v>
      </c>
    </row>
    <row r="11491" spans="1:4" x14ac:dyDescent="0.3">
      <c r="A11491" s="34">
        <v>68655</v>
      </c>
      <c r="B11491" s="35">
        <v>1</v>
      </c>
      <c r="C11491" s="35">
        <v>0</v>
      </c>
      <c r="D11491" s="2">
        <f t="shared" si="179"/>
        <v>1</v>
      </c>
    </row>
    <row r="11492" spans="1:4" x14ac:dyDescent="0.3">
      <c r="A11492" s="34">
        <v>68656</v>
      </c>
      <c r="B11492" s="35">
        <v>1</v>
      </c>
      <c r="C11492" s="35">
        <v>0</v>
      </c>
      <c r="D11492" s="2">
        <f t="shared" si="179"/>
        <v>1</v>
      </c>
    </row>
    <row r="11493" spans="1:4" x14ac:dyDescent="0.3">
      <c r="A11493" s="34">
        <v>68657</v>
      </c>
      <c r="B11493" s="35">
        <v>1</v>
      </c>
      <c r="C11493" s="35">
        <v>0</v>
      </c>
      <c r="D11493" s="2">
        <f t="shared" si="179"/>
        <v>1</v>
      </c>
    </row>
    <row r="11494" spans="1:4" x14ac:dyDescent="0.3">
      <c r="A11494" s="34">
        <v>68658</v>
      </c>
      <c r="B11494" s="35">
        <v>1</v>
      </c>
      <c r="C11494" s="35">
        <v>0</v>
      </c>
      <c r="D11494" s="2">
        <f t="shared" si="179"/>
        <v>1</v>
      </c>
    </row>
    <row r="11495" spans="1:4" x14ac:dyDescent="0.3">
      <c r="A11495" s="34">
        <v>68659</v>
      </c>
      <c r="B11495" s="35">
        <v>1</v>
      </c>
      <c r="C11495" s="35">
        <v>0</v>
      </c>
      <c r="D11495" s="2">
        <f t="shared" si="179"/>
        <v>1</v>
      </c>
    </row>
    <row r="11496" spans="1:4" x14ac:dyDescent="0.3">
      <c r="A11496" s="34">
        <v>68661</v>
      </c>
      <c r="B11496" s="35">
        <v>1</v>
      </c>
      <c r="C11496" s="35">
        <v>0</v>
      </c>
      <c r="D11496" s="2">
        <f t="shared" si="179"/>
        <v>1</v>
      </c>
    </row>
    <row r="11497" spans="1:4" x14ac:dyDescent="0.3">
      <c r="A11497" s="34">
        <v>68663</v>
      </c>
      <c r="B11497" s="35">
        <v>1</v>
      </c>
      <c r="C11497" s="35">
        <v>0</v>
      </c>
      <c r="D11497" s="2">
        <f t="shared" si="179"/>
        <v>1</v>
      </c>
    </row>
    <row r="11498" spans="1:4" x14ac:dyDescent="0.3">
      <c r="A11498" s="34">
        <v>68666</v>
      </c>
      <c r="B11498" s="35">
        <v>1</v>
      </c>
      <c r="C11498" s="35">
        <v>0</v>
      </c>
      <c r="D11498" s="2">
        <f t="shared" si="179"/>
        <v>1</v>
      </c>
    </row>
    <row r="11499" spans="1:4" x14ac:dyDescent="0.3">
      <c r="A11499" s="34">
        <v>68668</v>
      </c>
      <c r="B11499" s="35">
        <v>1</v>
      </c>
      <c r="C11499" s="35">
        <v>0</v>
      </c>
      <c r="D11499" s="2">
        <f t="shared" si="179"/>
        <v>1</v>
      </c>
    </row>
    <row r="11500" spans="1:4" x14ac:dyDescent="0.3">
      <c r="A11500" s="34">
        <v>68669</v>
      </c>
      <c r="B11500" s="35">
        <v>1</v>
      </c>
      <c r="C11500" s="35">
        <v>0</v>
      </c>
      <c r="D11500" s="2">
        <f t="shared" si="179"/>
        <v>1</v>
      </c>
    </row>
    <row r="11501" spans="1:4" x14ac:dyDescent="0.3">
      <c r="A11501" s="34">
        <v>68673</v>
      </c>
      <c r="B11501" s="35">
        <v>1</v>
      </c>
      <c r="C11501" s="35">
        <v>0</v>
      </c>
      <c r="D11501" s="2">
        <f t="shared" si="179"/>
        <v>1</v>
      </c>
    </row>
    <row r="11502" spans="1:4" x14ac:dyDescent="0.3">
      <c r="A11502" s="34">
        <v>68674</v>
      </c>
      <c r="B11502" s="35">
        <v>1</v>
      </c>
      <c r="C11502" s="35">
        <v>0</v>
      </c>
      <c r="D11502" s="2">
        <f t="shared" si="179"/>
        <v>1</v>
      </c>
    </row>
    <row r="11503" spans="1:4" x14ac:dyDescent="0.3">
      <c r="A11503" s="34">
        <v>68675</v>
      </c>
      <c r="B11503" s="35">
        <v>1</v>
      </c>
      <c r="C11503" s="35">
        <v>0</v>
      </c>
      <c r="D11503" s="2">
        <f t="shared" si="179"/>
        <v>1</v>
      </c>
    </row>
    <row r="11504" spans="1:4" x14ac:dyDescent="0.3">
      <c r="A11504" s="34">
        <v>68677</v>
      </c>
      <c r="B11504" s="35">
        <v>1</v>
      </c>
      <c r="C11504" s="35">
        <v>0</v>
      </c>
      <c r="D11504" s="2">
        <f t="shared" si="179"/>
        <v>1</v>
      </c>
    </row>
    <row r="11505" spans="1:4" x14ac:dyDescent="0.3">
      <c r="A11505" s="34">
        <v>68698</v>
      </c>
      <c r="B11505" s="35">
        <v>1</v>
      </c>
      <c r="C11505" s="35">
        <v>0</v>
      </c>
      <c r="D11505" s="2">
        <f t="shared" si="179"/>
        <v>1</v>
      </c>
    </row>
    <row r="11506" spans="1:4" x14ac:dyDescent="0.3">
      <c r="A11506" s="34">
        <v>68701</v>
      </c>
      <c r="B11506" s="35">
        <v>1</v>
      </c>
      <c r="C11506" s="35">
        <v>0</v>
      </c>
      <c r="D11506" s="2">
        <f t="shared" si="179"/>
        <v>1</v>
      </c>
    </row>
    <row r="11507" spans="1:4" x14ac:dyDescent="0.3">
      <c r="A11507" s="34">
        <v>68702</v>
      </c>
      <c r="B11507" s="35">
        <v>1</v>
      </c>
      <c r="C11507" s="35">
        <v>0</v>
      </c>
      <c r="D11507" s="2">
        <f t="shared" si="179"/>
        <v>1</v>
      </c>
    </row>
    <row r="11508" spans="1:4" x14ac:dyDescent="0.3">
      <c r="A11508" s="34">
        <v>68706</v>
      </c>
      <c r="B11508" s="35">
        <v>1</v>
      </c>
      <c r="C11508" s="35">
        <v>0</v>
      </c>
      <c r="D11508" s="2">
        <f t="shared" si="179"/>
        <v>1</v>
      </c>
    </row>
    <row r="11509" spans="1:4" x14ac:dyDescent="0.3">
      <c r="A11509" s="34">
        <v>68708</v>
      </c>
      <c r="B11509" s="35">
        <v>1</v>
      </c>
      <c r="C11509" s="35">
        <v>0</v>
      </c>
      <c r="D11509" s="2">
        <f t="shared" si="179"/>
        <v>1</v>
      </c>
    </row>
    <row r="11510" spans="1:4" x14ac:dyDescent="0.3">
      <c r="A11510" s="34">
        <v>68709</v>
      </c>
      <c r="B11510" s="35">
        <v>2</v>
      </c>
      <c r="C11510" s="35">
        <v>1</v>
      </c>
      <c r="D11510" s="2">
        <f t="shared" si="179"/>
        <v>3</v>
      </c>
    </row>
    <row r="11511" spans="1:4" x14ac:dyDescent="0.3">
      <c r="A11511" s="34">
        <v>68710</v>
      </c>
      <c r="B11511" s="35">
        <v>1</v>
      </c>
      <c r="C11511" s="35">
        <v>1</v>
      </c>
      <c r="D11511" s="2">
        <f t="shared" si="179"/>
        <v>2</v>
      </c>
    </row>
    <row r="11512" spans="1:4" x14ac:dyDescent="0.3">
      <c r="A11512" s="34">
        <v>68711</v>
      </c>
      <c r="B11512" s="35">
        <v>1</v>
      </c>
      <c r="C11512" s="35">
        <v>0</v>
      </c>
      <c r="D11512" s="2">
        <f t="shared" si="179"/>
        <v>1</v>
      </c>
    </row>
    <row r="11513" spans="1:4" x14ac:dyDescent="0.3">
      <c r="A11513" s="34">
        <v>68712</v>
      </c>
      <c r="B11513" s="35">
        <v>1</v>
      </c>
      <c r="C11513" s="35">
        <v>0</v>
      </c>
      <c r="D11513" s="2">
        <f t="shared" si="179"/>
        <v>1</v>
      </c>
    </row>
    <row r="11514" spans="1:4" x14ac:dyDescent="0.3">
      <c r="A11514" s="34">
        <v>68714</v>
      </c>
      <c r="B11514" s="35">
        <v>1</v>
      </c>
      <c r="C11514" s="35">
        <v>0</v>
      </c>
      <c r="D11514" s="2">
        <f t="shared" si="179"/>
        <v>1</v>
      </c>
    </row>
    <row r="11515" spans="1:4" x14ac:dyDescent="0.3">
      <c r="A11515" s="34">
        <v>68718</v>
      </c>
      <c r="B11515" s="35">
        <v>1</v>
      </c>
      <c r="C11515" s="35">
        <v>0</v>
      </c>
      <c r="D11515" s="2">
        <f t="shared" si="179"/>
        <v>1</v>
      </c>
    </row>
    <row r="11516" spans="1:4" x14ac:dyDescent="0.3">
      <c r="A11516" s="34">
        <v>68719</v>
      </c>
      <c r="B11516" s="35">
        <v>1</v>
      </c>
      <c r="C11516" s="35">
        <v>0</v>
      </c>
      <c r="D11516" s="2">
        <f t="shared" si="179"/>
        <v>1</v>
      </c>
    </row>
    <row r="11517" spans="1:4" x14ac:dyDescent="0.3">
      <c r="A11517" s="34">
        <v>68720</v>
      </c>
      <c r="B11517" s="35">
        <v>1</v>
      </c>
      <c r="C11517" s="35">
        <v>0</v>
      </c>
      <c r="D11517" s="2">
        <f t="shared" si="179"/>
        <v>1</v>
      </c>
    </row>
    <row r="11518" spans="1:4" x14ac:dyDescent="0.3">
      <c r="A11518" s="34">
        <v>68722</v>
      </c>
      <c r="B11518" s="35">
        <v>1</v>
      </c>
      <c r="C11518" s="35">
        <v>0</v>
      </c>
      <c r="D11518" s="2">
        <f t="shared" si="179"/>
        <v>1</v>
      </c>
    </row>
    <row r="11519" spans="1:4" x14ac:dyDescent="0.3">
      <c r="A11519" s="34">
        <v>68726</v>
      </c>
      <c r="B11519" s="35">
        <v>1</v>
      </c>
      <c r="C11519" s="35">
        <v>0</v>
      </c>
      <c r="D11519" s="2">
        <f t="shared" si="179"/>
        <v>1</v>
      </c>
    </row>
    <row r="11520" spans="1:4" x14ac:dyDescent="0.3">
      <c r="A11520" s="34">
        <v>68727</v>
      </c>
      <c r="B11520" s="35">
        <v>2</v>
      </c>
      <c r="C11520" s="35">
        <v>0</v>
      </c>
      <c r="D11520" s="2">
        <f t="shared" si="179"/>
        <v>2</v>
      </c>
    </row>
    <row r="11521" spans="1:4" x14ac:dyDescent="0.3">
      <c r="A11521" s="34">
        <v>68729</v>
      </c>
      <c r="B11521" s="35">
        <v>1</v>
      </c>
      <c r="C11521" s="35">
        <v>0</v>
      </c>
      <c r="D11521" s="2">
        <f t="shared" si="179"/>
        <v>1</v>
      </c>
    </row>
    <row r="11522" spans="1:4" x14ac:dyDescent="0.3">
      <c r="A11522" s="34">
        <v>68730</v>
      </c>
      <c r="B11522" s="35">
        <v>1</v>
      </c>
      <c r="C11522" s="35">
        <v>0</v>
      </c>
      <c r="D11522" s="2">
        <f t="shared" si="179"/>
        <v>1</v>
      </c>
    </row>
    <row r="11523" spans="1:4" x14ac:dyDescent="0.3">
      <c r="A11523" s="34">
        <v>68731</v>
      </c>
      <c r="B11523" s="35">
        <v>1</v>
      </c>
      <c r="C11523" s="35">
        <v>0</v>
      </c>
      <c r="D11523" s="2">
        <f t="shared" ref="D11523:D11586" si="180">B11523+C11523</f>
        <v>1</v>
      </c>
    </row>
    <row r="11524" spans="1:4" x14ac:dyDescent="0.3">
      <c r="A11524" s="34">
        <v>68732</v>
      </c>
      <c r="B11524" s="35">
        <v>1</v>
      </c>
      <c r="C11524" s="35">
        <v>0</v>
      </c>
      <c r="D11524" s="2">
        <f t="shared" si="180"/>
        <v>1</v>
      </c>
    </row>
    <row r="11525" spans="1:4" x14ac:dyDescent="0.3">
      <c r="A11525" s="34">
        <v>68734</v>
      </c>
      <c r="B11525" s="35">
        <v>2</v>
      </c>
      <c r="C11525" s="35">
        <v>1</v>
      </c>
      <c r="D11525" s="2">
        <f t="shared" si="180"/>
        <v>3</v>
      </c>
    </row>
    <row r="11526" spans="1:4" x14ac:dyDescent="0.3">
      <c r="A11526" s="34">
        <v>68735</v>
      </c>
      <c r="B11526" s="35">
        <v>1</v>
      </c>
      <c r="C11526" s="35">
        <v>0</v>
      </c>
      <c r="D11526" s="2">
        <f t="shared" si="180"/>
        <v>1</v>
      </c>
    </row>
    <row r="11527" spans="1:4" x14ac:dyDescent="0.3">
      <c r="A11527" s="34">
        <v>68736</v>
      </c>
      <c r="B11527" s="35">
        <v>1</v>
      </c>
      <c r="C11527" s="35">
        <v>0</v>
      </c>
      <c r="D11527" s="2">
        <f t="shared" si="180"/>
        <v>1</v>
      </c>
    </row>
    <row r="11528" spans="1:4" x14ac:dyDescent="0.3">
      <c r="A11528" s="34">
        <v>68737</v>
      </c>
      <c r="B11528" s="35">
        <v>1</v>
      </c>
      <c r="C11528" s="35">
        <v>0</v>
      </c>
      <c r="D11528" s="2">
        <f t="shared" si="180"/>
        <v>1</v>
      </c>
    </row>
    <row r="11529" spans="1:4" x14ac:dyDescent="0.3">
      <c r="A11529" s="34">
        <v>68738</v>
      </c>
      <c r="B11529" s="35">
        <v>1</v>
      </c>
      <c r="C11529" s="35">
        <v>0</v>
      </c>
      <c r="D11529" s="2">
        <f t="shared" si="180"/>
        <v>1</v>
      </c>
    </row>
    <row r="11530" spans="1:4" x14ac:dyDescent="0.3">
      <c r="A11530" s="34">
        <v>68739</v>
      </c>
      <c r="B11530" s="35">
        <v>1</v>
      </c>
      <c r="C11530" s="35">
        <v>1</v>
      </c>
      <c r="D11530" s="2">
        <f t="shared" si="180"/>
        <v>2</v>
      </c>
    </row>
    <row r="11531" spans="1:4" x14ac:dyDescent="0.3">
      <c r="A11531" s="34">
        <v>68741</v>
      </c>
      <c r="B11531" s="35">
        <v>1</v>
      </c>
      <c r="C11531" s="35">
        <v>0</v>
      </c>
      <c r="D11531" s="2">
        <f t="shared" si="180"/>
        <v>1</v>
      </c>
    </row>
    <row r="11532" spans="1:4" x14ac:dyDescent="0.3">
      <c r="A11532" s="34">
        <v>68743</v>
      </c>
      <c r="B11532" s="35">
        <v>1</v>
      </c>
      <c r="C11532" s="35">
        <v>0</v>
      </c>
      <c r="D11532" s="2">
        <f t="shared" si="180"/>
        <v>1</v>
      </c>
    </row>
    <row r="11533" spans="1:4" x14ac:dyDescent="0.3">
      <c r="A11533" s="34">
        <v>68744</v>
      </c>
      <c r="B11533" s="35">
        <v>1</v>
      </c>
      <c r="C11533" s="35">
        <v>0</v>
      </c>
      <c r="D11533" s="2">
        <f t="shared" si="180"/>
        <v>1</v>
      </c>
    </row>
    <row r="11534" spans="1:4" x14ac:dyDescent="0.3">
      <c r="A11534" s="34">
        <v>68745</v>
      </c>
      <c r="B11534" s="35">
        <v>1</v>
      </c>
      <c r="C11534" s="35">
        <v>0</v>
      </c>
      <c r="D11534" s="2">
        <f t="shared" si="180"/>
        <v>1</v>
      </c>
    </row>
    <row r="11535" spans="1:4" x14ac:dyDescent="0.3">
      <c r="A11535" s="34">
        <v>68746</v>
      </c>
      <c r="B11535" s="35">
        <v>1</v>
      </c>
      <c r="C11535" s="35">
        <v>0</v>
      </c>
      <c r="D11535" s="2">
        <f t="shared" si="180"/>
        <v>1</v>
      </c>
    </row>
    <row r="11536" spans="1:4" x14ac:dyDescent="0.3">
      <c r="A11536" s="34">
        <v>68748</v>
      </c>
      <c r="B11536" s="35">
        <v>1</v>
      </c>
      <c r="C11536" s="35">
        <v>0</v>
      </c>
      <c r="D11536" s="2">
        <f t="shared" si="180"/>
        <v>1</v>
      </c>
    </row>
    <row r="11537" spans="1:4" x14ac:dyDescent="0.3">
      <c r="A11537" s="34">
        <v>68750</v>
      </c>
      <c r="B11537" s="35">
        <v>1</v>
      </c>
      <c r="C11537" s="35">
        <v>0</v>
      </c>
      <c r="D11537" s="2">
        <f t="shared" si="180"/>
        <v>1</v>
      </c>
    </row>
    <row r="11538" spans="1:4" x14ac:dyDescent="0.3">
      <c r="A11538" s="34">
        <v>68751</v>
      </c>
      <c r="B11538" s="35">
        <v>1</v>
      </c>
      <c r="C11538" s="35">
        <v>0</v>
      </c>
      <c r="D11538" s="2">
        <f t="shared" si="180"/>
        <v>1</v>
      </c>
    </row>
    <row r="11539" spans="1:4" x14ac:dyDescent="0.3">
      <c r="A11539" s="34">
        <v>68754</v>
      </c>
      <c r="B11539" s="35">
        <v>1</v>
      </c>
      <c r="C11539" s="35">
        <v>0</v>
      </c>
      <c r="D11539" s="2">
        <f t="shared" si="180"/>
        <v>1</v>
      </c>
    </row>
    <row r="11540" spans="1:4" x14ac:dyDescent="0.3">
      <c r="A11540" s="34">
        <v>68755</v>
      </c>
      <c r="B11540" s="35">
        <v>1</v>
      </c>
      <c r="C11540" s="35">
        <v>0</v>
      </c>
      <c r="D11540" s="2">
        <f t="shared" si="180"/>
        <v>1</v>
      </c>
    </row>
    <row r="11541" spans="1:4" x14ac:dyDescent="0.3">
      <c r="A11541" s="34">
        <v>68763</v>
      </c>
      <c r="B11541" s="35">
        <v>1</v>
      </c>
      <c r="C11541" s="35">
        <v>0</v>
      </c>
      <c r="D11541" s="2">
        <f t="shared" si="180"/>
        <v>1</v>
      </c>
    </row>
    <row r="11542" spans="1:4" x14ac:dyDescent="0.3">
      <c r="A11542" s="34">
        <v>68801</v>
      </c>
      <c r="B11542" s="35">
        <v>1</v>
      </c>
      <c r="C11542" s="35">
        <v>0</v>
      </c>
      <c r="D11542" s="2">
        <f t="shared" si="180"/>
        <v>1</v>
      </c>
    </row>
    <row r="11543" spans="1:4" x14ac:dyDescent="0.3">
      <c r="A11543" s="34">
        <v>68802</v>
      </c>
      <c r="B11543" s="35">
        <v>1</v>
      </c>
      <c r="C11543" s="35">
        <v>0</v>
      </c>
      <c r="D11543" s="2">
        <f t="shared" si="180"/>
        <v>1</v>
      </c>
    </row>
    <row r="11544" spans="1:4" x14ac:dyDescent="0.3">
      <c r="A11544" s="34">
        <v>68804</v>
      </c>
      <c r="B11544" s="35">
        <v>1</v>
      </c>
      <c r="C11544" s="35">
        <v>0</v>
      </c>
      <c r="D11544" s="2">
        <f t="shared" si="180"/>
        <v>1</v>
      </c>
    </row>
    <row r="11545" spans="1:4" x14ac:dyDescent="0.3">
      <c r="A11545" s="34">
        <v>68806</v>
      </c>
      <c r="B11545" s="35">
        <v>1</v>
      </c>
      <c r="C11545" s="35">
        <v>0</v>
      </c>
      <c r="D11545" s="2">
        <f t="shared" si="180"/>
        <v>1</v>
      </c>
    </row>
    <row r="11546" spans="1:4" x14ac:dyDescent="0.3">
      <c r="A11546" s="34">
        <v>68808</v>
      </c>
      <c r="B11546" s="35">
        <v>1</v>
      </c>
      <c r="C11546" s="35">
        <v>0</v>
      </c>
      <c r="D11546" s="2">
        <f t="shared" si="180"/>
        <v>1</v>
      </c>
    </row>
    <row r="11547" spans="1:4" x14ac:dyDescent="0.3">
      <c r="A11547" s="34">
        <v>68810</v>
      </c>
      <c r="B11547" s="35">
        <v>1</v>
      </c>
      <c r="C11547" s="35">
        <v>0</v>
      </c>
      <c r="D11547" s="2">
        <f t="shared" si="180"/>
        <v>1</v>
      </c>
    </row>
    <row r="11548" spans="1:4" x14ac:dyDescent="0.3">
      <c r="A11548" s="34">
        <v>68812</v>
      </c>
      <c r="B11548" s="35">
        <v>1</v>
      </c>
      <c r="C11548" s="35">
        <v>0</v>
      </c>
      <c r="D11548" s="2">
        <f t="shared" si="180"/>
        <v>1</v>
      </c>
    </row>
    <row r="11549" spans="1:4" x14ac:dyDescent="0.3">
      <c r="A11549" s="34">
        <v>68813</v>
      </c>
      <c r="B11549" s="35">
        <v>1</v>
      </c>
      <c r="C11549" s="35">
        <v>0</v>
      </c>
      <c r="D11549" s="2">
        <f t="shared" si="180"/>
        <v>1</v>
      </c>
    </row>
    <row r="11550" spans="1:4" x14ac:dyDescent="0.3">
      <c r="A11550" s="34">
        <v>68815</v>
      </c>
      <c r="B11550" s="35">
        <v>1</v>
      </c>
      <c r="C11550" s="35">
        <v>1</v>
      </c>
      <c r="D11550" s="2">
        <f t="shared" si="180"/>
        <v>2</v>
      </c>
    </row>
    <row r="11551" spans="1:4" x14ac:dyDescent="0.3">
      <c r="A11551" s="34">
        <v>68816</v>
      </c>
      <c r="B11551" s="35">
        <v>1</v>
      </c>
      <c r="C11551" s="35">
        <v>0</v>
      </c>
      <c r="D11551" s="2">
        <f t="shared" si="180"/>
        <v>1</v>
      </c>
    </row>
    <row r="11552" spans="1:4" x14ac:dyDescent="0.3">
      <c r="A11552" s="34">
        <v>68818</v>
      </c>
      <c r="B11552" s="35">
        <v>1</v>
      </c>
      <c r="C11552" s="35">
        <v>0</v>
      </c>
      <c r="D11552" s="2">
        <f t="shared" si="180"/>
        <v>1</v>
      </c>
    </row>
    <row r="11553" spans="1:4" x14ac:dyDescent="0.3">
      <c r="A11553" s="34">
        <v>68819</v>
      </c>
      <c r="B11553" s="35">
        <v>1</v>
      </c>
      <c r="C11553" s="35">
        <v>1</v>
      </c>
      <c r="D11553" s="2">
        <f t="shared" si="180"/>
        <v>2</v>
      </c>
    </row>
    <row r="11554" spans="1:4" x14ac:dyDescent="0.3">
      <c r="A11554" s="34">
        <v>68820</v>
      </c>
      <c r="B11554" s="35">
        <v>1</v>
      </c>
      <c r="C11554" s="35">
        <v>0</v>
      </c>
      <c r="D11554" s="2">
        <f t="shared" si="180"/>
        <v>1</v>
      </c>
    </row>
    <row r="11555" spans="1:4" x14ac:dyDescent="0.3">
      <c r="A11555" s="34">
        <v>68821</v>
      </c>
      <c r="B11555" s="35">
        <v>1</v>
      </c>
      <c r="C11555" s="35">
        <v>0</v>
      </c>
      <c r="D11555" s="2">
        <f t="shared" si="180"/>
        <v>1</v>
      </c>
    </row>
    <row r="11556" spans="1:4" x14ac:dyDescent="0.3">
      <c r="A11556" s="34">
        <v>68822</v>
      </c>
      <c r="B11556" s="35">
        <v>1</v>
      </c>
      <c r="C11556" s="35">
        <v>0</v>
      </c>
      <c r="D11556" s="2">
        <f t="shared" si="180"/>
        <v>1</v>
      </c>
    </row>
    <row r="11557" spans="1:4" x14ac:dyDescent="0.3">
      <c r="A11557" s="34">
        <v>68824</v>
      </c>
      <c r="B11557" s="35">
        <v>1</v>
      </c>
      <c r="C11557" s="35">
        <v>0</v>
      </c>
      <c r="D11557" s="2">
        <f t="shared" si="180"/>
        <v>1</v>
      </c>
    </row>
    <row r="11558" spans="1:4" x14ac:dyDescent="0.3">
      <c r="A11558" s="34">
        <v>68825</v>
      </c>
      <c r="B11558" s="35">
        <v>1</v>
      </c>
      <c r="C11558" s="35">
        <v>0</v>
      </c>
      <c r="D11558" s="2">
        <f t="shared" si="180"/>
        <v>1</v>
      </c>
    </row>
    <row r="11559" spans="1:4" x14ac:dyDescent="0.3">
      <c r="A11559" s="34">
        <v>68826</v>
      </c>
      <c r="B11559" s="35">
        <v>1</v>
      </c>
      <c r="C11559" s="35">
        <v>0</v>
      </c>
      <c r="D11559" s="2">
        <f t="shared" si="180"/>
        <v>1</v>
      </c>
    </row>
    <row r="11560" spans="1:4" x14ac:dyDescent="0.3">
      <c r="A11560" s="34">
        <v>68827</v>
      </c>
      <c r="B11560" s="35">
        <v>1</v>
      </c>
      <c r="C11560" s="35">
        <v>0</v>
      </c>
      <c r="D11560" s="2">
        <f t="shared" si="180"/>
        <v>1</v>
      </c>
    </row>
    <row r="11561" spans="1:4" x14ac:dyDescent="0.3">
      <c r="A11561" s="34">
        <v>68829</v>
      </c>
      <c r="B11561" s="35">
        <v>1</v>
      </c>
      <c r="C11561" s="35">
        <v>0</v>
      </c>
      <c r="D11561" s="2">
        <f t="shared" si="180"/>
        <v>1</v>
      </c>
    </row>
    <row r="11562" spans="1:4" x14ac:dyDescent="0.3">
      <c r="A11562" s="34">
        <v>68830</v>
      </c>
      <c r="B11562" s="35">
        <v>1</v>
      </c>
      <c r="C11562" s="35">
        <v>1</v>
      </c>
      <c r="D11562" s="2">
        <f t="shared" si="180"/>
        <v>2</v>
      </c>
    </row>
    <row r="11563" spans="1:4" x14ac:dyDescent="0.3">
      <c r="A11563" s="34">
        <v>68833</v>
      </c>
      <c r="B11563" s="35">
        <v>1</v>
      </c>
      <c r="C11563" s="35">
        <v>1</v>
      </c>
      <c r="D11563" s="2">
        <f t="shared" si="180"/>
        <v>2</v>
      </c>
    </row>
    <row r="11564" spans="1:4" x14ac:dyDescent="0.3">
      <c r="A11564" s="34">
        <v>68834</v>
      </c>
      <c r="B11564" s="35">
        <v>1</v>
      </c>
      <c r="C11564" s="35">
        <v>0</v>
      </c>
      <c r="D11564" s="2">
        <f t="shared" si="180"/>
        <v>1</v>
      </c>
    </row>
    <row r="11565" spans="1:4" x14ac:dyDescent="0.3">
      <c r="A11565" s="34">
        <v>68835</v>
      </c>
      <c r="B11565" s="35">
        <v>1</v>
      </c>
      <c r="C11565" s="35">
        <v>0</v>
      </c>
      <c r="D11565" s="2">
        <f t="shared" si="180"/>
        <v>1</v>
      </c>
    </row>
    <row r="11566" spans="1:4" x14ac:dyDescent="0.3">
      <c r="A11566" s="34">
        <v>68837</v>
      </c>
      <c r="B11566" s="35">
        <v>1</v>
      </c>
      <c r="C11566" s="35">
        <v>0</v>
      </c>
      <c r="D11566" s="2">
        <f t="shared" si="180"/>
        <v>1</v>
      </c>
    </row>
    <row r="11567" spans="1:4" x14ac:dyDescent="0.3">
      <c r="A11567" s="34">
        <v>68838</v>
      </c>
      <c r="B11567" s="35">
        <v>1</v>
      </c>
      <c r="C11567" s="35">
        <v>1</v>
      </c>
      <c r="D11567" s="2">
        <f t="shared" si="180"/>
        <v>2</v>
      </c>
    </row>
    <row r="11568" spans="1:4" x14ac:dyDescent="0.3">
      <c r="A11568" s="34">
        <v>68842</v>
      </c>
      <c r="B11568" s="35">
        <v>1</v>
      </c>
      <c r="C11568" s="35">
        <v>0</v>
      </c>
      <c r="D11568" s="2">
        <f t="shared" si="180"/>
        <v>1</v>
      </c>
    </row>
    <row r="11569" spans="1:4" x14ac:dyDescent="0.3">
      <c r="A11569" s="34">
        <v>68843</v>
      </c>
      <c r="B11569" s="35">
        <v>1</v>
      </c>
      <c r="C11569" s="35">
        <v>0</v>
      </c>
      <c r="D11569" s="2">
        <f t="shared" si="180"/>
        <v>1</v>
      </c>
    </row>
    <row r="11570" spans="1:4" x14ac:dyDescent="0.3">
      <c r="A11570" s="34">
        <v>68846</v>
      </c>
      <c r="B11570" s="35">
        <v>1</v>
      </c>
      <c r="C11570" s="35">
        <v>0</v>
      </c>
      <c r="D11570" s="2">
        <f t="shared" si="180"/>
        <v>1</v>
      </c>
    </row>
    <row r="11571" spans="1:4" x14ac:dyDescent="0.3">
      <c r="A11571" s="34">
        <v>68851</v>
      </c>
      <c r="B11571" s="35">
        <v>1</v>
      </c>
      <c r="C11571" s="35">
        <v>1</v>
      </c>
      <c r="D11571" s="2">
        <f t="shared" si="180"/>
        <v>2</v>
      </c>
    </row>
    <row r="11572" spans="1:4" x14ac:dyDescent="0.3">
      <c r="A11572" s="34">
        <v>68852</v>
      </c>
      <c r="B11572" s="35">
        <v>1</v>
      </c>
      <c r="C11572" s="35">
        <v>0</v>
      </c>
      <c r="D11572" s="2">
        <f t="shared" si="180"/>
        <v>1</v>
      </c>
    </row>
    <row r="11573" spans="1:4" x14ac:dyDescent="0.3">
      <c r="A11573" s="34">
        <v>68853</v>
      </c>
      <c r="B11573" s="35">
        <v>1</v>
      </c>
      <c r="C11573" s="35">
        <v>0</v>
      </c>
      <c r="D11573" s="2">
        <f t="shared" si="180"/>
        <v>1</v>
      </c>
    </row>
    <row r="11574" spans="1:4" x14ac:dyDescent="0.3">
      <c r="A11574" s="34">
        <v>68882</v>
      </c>
      <c r="B11574" s="35">
        <v>1</v>
      </c>
      <c r="C11574" s="35">
        <v>0</v>
      </c>
      <c r="D11574" s="2">
        <f t="shared" si="180"/>
        <v>1</v>
      </c>
    </row>
    <row r="11575" spans="1:4" x14ac:dyDescent="0.3">
      <c r="A11575" s="34">
        <v>68883</v>
      </c>
      <c r="B11575" s="35">
        <v>1</v>
      </c>
      <c r="C11575" s="35">
        <v>0</v>
      </c>
      <c r="D11575" s="2">
        <f t="shared" si="180"/>
        <v>1</v>
      </c>
    </row>
    <row r="11576" spans="1:4" x14ac:dyDescent="0.3">
      <c r="A11576" s="34">
        <v>68884</v>
      </c>
      <c r="B11576" s="35">
        <v>1</v>
      </c>
      <c r="C11576" s="35">
        <v>0</v>
      </c>
      <c r="D11576" s="2">
        <f t="shared" si="180"/>
        <v>1</v>
      </c>
    </row>
    <row r="11577" spans="1:4" x14ac:dyDescent="0.3">
      <c r="A11577" s="34">
        <v>68885</v>
      </c>
      <c r="B11577" s="35">
        <v>1</v>
      </c>
      <c r="C11577" s="35">
        <v>0</v>
      </c>
      <c r="D11577" s="2">
        <f t="shared" si="180"/>
        <v>1</v>
      </c>
    </row>
    <row r="11578" spans="1:4" x14ac:dyDescent="0.3">
      <c r="A11578" s="34">
        <v>68886</v>
      </c>
      <c r="B11578" s="35">
        <v>1</v>
      </c>
      <c r="C11578" s="35">
        <v>0</v>
      </c>
      <c r="D11578" s="2">
        <f t="shared" si="180"/>
        <v>1</v>
      </c>
    </row>
    <row r="11579" spans="1:4" x14ac:dyDescent="0.3">
      <c r="A11579" s="34">
        <v>68887</v>
      </c>
      <c r="B11579" s="35">
        <v>1</v>
      </c>
      <c r="C11579" s="35">
        <v>1</v>
      </c>
      <c r="D11579" s="2">
        <f t="shared" si="180"/>
        <v>2</v>
      </c>
    </row>
    <row r="11580" spans="1:4" x14ac:dyDescent="0.3">
      <c r="A11580" s="34">
        <v>68888</v>
      </c>
      <c r="B11580" s="35">
        <v>1</v>
      </c>
      <c r="C11580" s="35">
        <v>0</v>
      </c>
      <c r="D11580" s="2">
        <f t="shared" si="180"/>
        <v>1</v>
      </c>
    </row>
    <row r="11581" spans="1:4" x14ac:dyDescent="0.3">
      <c r="A11581" s="34">
        <v>68889</v>
      </c>
      <c r="B11581" s="35">
        <v>1</v>
      </c>
      <c r="C11581" s="35">
        <v>0</v>
      </c>
      <c r="D11581" s="2">
        <f t="shared" si="180"/>
        <v>1</v>
      </c>
    </row>
    <row r="11582" spans="1:4" x14ac:dyDescent="0.3">
      <c r="A11582" s="34">
        <v>68891</v>
      </c>
      <c r="B11582" s="35">
        <v>1</v>
      </c>
      <c r="C11582" s="35">
        <v>0</v>
      </c>
      <c r="D11582" s="2">
        <f t="shared" si="180"/>
        <v>1</v>
      </c>
    </row>
    <row r="11583" spans="1:4" x14ac:dyDescent="0.3">
      <c r="A11583" s="34">
        <v>68892</v>
      </c>
      <c r="B11583" s="35">
        <v>1</v>
      </c>
      <c r="C11583" s="35">
        <v>0</v>
      </c>
      <c r="D11583" s="2">
        <f t="shared" si="180"/>
        <v>1</v>
      </c>
    </row>
    <row r="11584" spans="1:4" x14ac:dyDescent="0.3">
      <c r="A11584" s="34">
        <v>68894</v>
      </c>
      <c r="B11584" s="35">
        <v>1</v>
      </c>
      <c r="C11584" s="35">
        <v>0</v>
      </c>
      <c r="D11584" s="2">
        <f t="shared" si="180"/>
        <v>1</v>
      </c>
    </row>
    <row r="11585" spans="1:4" x14ac:dyDescent="0.3">
      <c r="A11585" s="34">
        <v>68895</v>
      </c>
      <c r="B11585" s="35">
        <v>1</v>
      </c>
      <c r="C11585" s="35">
        <v>0</v>
      </c>
      <c r="D11585" s="2">
        <f t="shared" si="180"/>
        <v>1</v>
      </c>
    </row>
    <row r="11586" spans="1:4" x14ac:dyDescent="0.3">
      <c r="A11586" s="34">
        <v>68897</v>
      </c>
      <c r="B11586" s="35">
        <v>1</v>
      </c>
      <c r="C11586" s="35">
        <v>0</v>
      </c>
      <c r="D11586" s="2">
        <f t="shared" si="180"/>
        <v>1</v>
      </c>
    </row>
    <row r="11587" spans="1:4" x14ac:dyDescent="0.3">
      <c r="A11587" s="34">
        <v>68898</v>
      </c>
      <c r="B11587" s="35">
        <v>3</v>
      </c>
      <c r="C11587" s="35">
        <v>0</v>
      </c>
      <c r="D11587" s="2">
        <f t="shared" ref="D11587:D11650" si="181">B11587+C11587</f>
        <v>3</v>
      </c>
    </row>
    <row r="11588" spans="1:4" x14ac:dyDescent="0.3">
      <c r="A11588" s="34">
        <v>68901</v>
      </c>
      <c r="B11588" s="35">
        <v>1</v>
      </c>
      <c r="C11588" s="35">
        <v>0</v>
      </c>
      <c r="D11588" s="2">
        <f t="shared" si="181"/>
        <v>1</v>
      </c>
    </row>
    <row r="11589" spans="1:4" x14ac:dyDescent="0.3">
      <c r="A11589" s="34">
        <v>68902</v>
      </c>
      <c r="B11589" s="35">
        <v>1</v>
      </c>
      <c r="C11589" s="35">
        <v>0</v>
      </c>
      <c r="D11589" s="2">
        <f t="shared" si="181"/>
        <v>1</v>
      </c>
    </row>
    <row r="11590" spans="1:4" x14ac:dyDescent="0.3">
      <c r="A11590" s="34">
        <v>68904</v>
      </c>
      <c r="B11590" s="35">
        <v>1</v>
      </c>
      <c r="C11590" s="35">
        <v>1</v>
      </c>
      <c r="D11590" s="2">
        <f t="shared" si="181"/>
        <v>2</v>
      </c>
    </row>
    <row r="11591" spans="1:4" x14ac:dyDescent="0.3">
      <c r="A11591" s="34">
        <v>68932</v>
      </c>
      <c r="B11591" s="35">
        <v>1</v>
      </c>
      <c r="C11591" s="35">
        <v>0</v>
      </c>
      <c r="D11591" s="2">
        <f t="shared" si="181"/>
        <v>1</v>
      </c>
    </row>
    <row r="11592" spans="1:4" x14ac:dyDescent="0.3">
      <c r="A11592" s="34">
        <v>68933</v>
      </c>
      <c r="B11592" s="35">
        <v>1</v>
      </c>
      <c r="C11592" s="35">
        <v>0</v>
      </c>
      <c r="D11592" s="2">
        <f t="shared" si="181"/>
        <v>1</v>
      </c>
    </row>
    <row r="11593" spans="1:4" x14ac:dyDescent="0.3">
      <c r="A11593" s="34">
        <v>68934</v>
      </c>
      <c r="B11593" s="35">
        <v>1</v>
      </c>
      <c r="C11593" s="35">
        <v>0</v>
      </c>
      <c r="D11593" s="2">
        <f t="shared" si="181"/>
        <v>1</v>
      </c>
    </row>
    <row r="11594" spans="1:4" x14ac:dyDescent="0.3">
      <c r="A11594" s="34">
        <v>68935</v>
      </c>
      <c r="B11594" s="35">
        <v>1</v>
      </c>
      <c r="C11594" s="35">
        <v>0</v>
      </c>
      <c r="D11594" s="2">
        <f t="shared" si="181"/>
        <v>1</v>
      </c>
    </row>
    <row r="11595" spans="1:4" x14ac:dyDescent="0.3">
      <c r="A11595" s="34">
        <v>68947</v>
      </c>
      <c r="B11595" s="35">
        <v>1</v>
      </c>
      <c r="C11595" s="35">
        <v>0</v>
      </c>
      <c r="D11595" s="2">
        <f t="shared" si="181"/>
        <v>1</v>
      </c>
    </row>
    <row r="11596" spans="1:4" x14ac:dyDescent="0.3">
      <c r="A11596" s="34">
        <v>68957</v>
      </c>
      <c r="B11596" s="35">
        <v>1</v>
      </c>
      <c r="C11596" s="35">
        <v>0</v>
      </c>
      <c r="D11596" s="2">
        <f t="shared" si="181"/>
        <v>1</v>
      </c>
    </row>
    <row r="11597" spans="1:4" x14ac:dyDescent="0.3">
      <c r="A11597" s="34">
        <v>68959</v>
      </c>
      <c r="B11597" s="35">
        <v>1</v>
      </c>
      <c r="C11597" s="35">
        <v>0</v>
      </c>
      <c r="D11597" s="2">
        <f t="shared" si="181"/>
        <v>1</v>
      </c>
    </row>
    <row r="11598" spans="1:4" x14ac:dyDescent="0.3">
      <c r="A11598" s="34">
        <v>68960</v>
      </c>
      <c r="B11598" s="35">
        <v>1</v>
      </c>
      <c r="C11598" s="35">
        <v>0</v>
      </c>
      <c r="D11598" s="2">
        <f t="shared" si="181"/>
        <v>1</v>
      </c>
    </row>
    <row r="11599" spans="1:4" x14ac:dyDescent="0.3">
      <c r="A11599" s="34">
        <v>68961</v>
      </c>
      <c r="B11599" s="35">
        <v>1</v>
      </c>
      <c r="C11599" s="35">
        <v>0</v>
      </c>
      <c r="D11599" s="2">
        <f t="shared" si="181"/>
        <v>1</v>
      </c>
    </row>
    <row r="11600" spans="1:4" x14ac:dyDescent="0.3">
      <c r="A11600" s="34">
        <v>68962</v>
      </c>
      <c r="B11600" s="35">
        <v>1</v>
      </c>
      <c r="C11600" s="35">
        <v>1</v>
      </c>
      <c r="D11600" s="2">
        <f t="shared" si="181"/>
        <v>2</v>
      </c>
    </row>
    <row r="11601" spans="1:4" x14ac:dyDescent="0.3">
      <c r="A11601" s="34">
        <v>68965</v>
      </c>
      <c r="B11601" s="35">
        <v>1</v>
      </c>
      <c r="C11601" s="35">
        <v>0</v>
      </c>
      <c r="D11601" s="2">
        <f t="shared" si="181"/>
        <v>1</v>
      </c>
    </row>
    <row r="11602" spans="1:4" x14ac:dyDescent="0.3">
      <c r="A11602" s="34">
        <v>68966</v>
      </c>
      <c r="B11602" s="35">
        <v>1</v>
      </c>
      <c r="C11602" s="35">
        <v>0</v>
      </c>
      <c r="D11602" s="2">
        <f t="shared" si="181"/>
        <v>1</v>
      </c>
    </row>
    <row r="11603" spans="1:4" x14ac:dyDescent="0.3">
      <c r="A11603" s="34">
        <v>68968</v>
      </c>
      <c r="B11603" s="35">
        <v>1</v>
      </c>
      <c r="C11603" s="35">
        <v>0</v>
      </c>
      <c r="D11603" s="2">
        <f t="shared" si="181"/>
        <v>1</v>
      </c>
    </row>
    <row r="11604" spans="1:4" x14ac:dyDescent="0.3">
      <c r="A11604" s="34">
        <v>68969</v>
      </c>
      <c r="B11604" s="35">
        <v>1</v>
      </c>
      <c r="C11604" s="35">
        <v>0</v>
      </c>
      <c r="D11604" s="2">
        <f t="shared" si="181"/>
        <v>1</v>
      </c>
    </row>
    <row r="11605" spans="1:4" x14ac:dyDescent="0.3">
      <c r="A11605" s="34">
        <v>68970</v>
      </c>
      <c r="B11605" s="35">
        <v>1</v>
      </c>
      <c r="C11605" s="35">
        <v>1</v>
      </c>
      <c r="D11605" s="2">
        <f t="shared" si="181"/>
        <v>2</v>
      </c>
    </row>
    <row r="11606" spans="1:4" x14ac:dyDescent="0.3">
      <c r="A11606" s="34">
        <v>68972</v>
      </c>
      <c r="B11606" s="35">
        <v>1</v>
      </c>
      <c r="C11606" s="35">
        <v>0</v>
      </c>
      <c r="D11606" s="2">
        <f t="shared" si="181"/>
        <v>1</v>
      </c>
    </row>
    <row r="11607" spans="1:4" x14ac:dyDescent="0.3">
      <c r="A11607" s="34">
        <v>68974</v>
      </c>
      <c r="B11607" s="35">
        <v>1</v>
      </c>
      <c r="C11607" s="35">
        <v>0</v>
      </c>
      <c r="D11607" s="2">
        <f t="shared" si="181"/>
        <v>1</v>
      </c>
    </row>
    <row r="11608" spans="1:4" x14ac:dyDescent="0.3">
      <c r="A11608" s="34">
        <v>68975</v>
      </c>
      <c r="B11608" s="35">
        <v>1</v>
      </c>
      <c r="C11608" s="35">
        <v>1</v>
      </c>
      <c r="D11608" s="2">
        <f t="shared" si="181"/>
        <v>2</v>
      </c>
    </row>
    <row r="11609" spans="1:4" x14ac:dyDescent="0.3">
      <c r="A11609" s="34">
        <v>68976</v>
      </c>
      <c r="B11609" s="35">
        <v>1</v>
      </c>
      <c r="C11609" s="35">
        <v>1</v>
      </c>
      <c r="D11609" s="2">
        <f t="shared" si="181"/>
        <v>2</v>
      </c>
    </row>
    <row r="11610" spans="1:4" x14ac:dyDescent="0.3">
      <c r="A11610" s="34">
        <v>68977</v>
      </c>
      <c r="B11610" s="35">
        <v>1</v>
      </c>
      <c r="C11610" s="35">
        <v>0</v>
      </c>
      <c r="D11610" s="2">
        <f t="shared" si="181"/>
        <v>1</v>
      </c>
    </row>
    <row r="11611" spans="1:4" x14ac:dyDescent="0.3">
      <c r="A11611" s="34">
        <v>68978</v>
      </c>
      <c r="B11611" s="35">
        <v>1</v>
      </c>
      <c r="C11611" s="35">
        <v>0</v>
      </c>
      <c r="D11611" s="2">
        <f t="shared" si="181"/>
        <v>1</v>
      </c>
    </row>
    <row r="11612" spans="1:4" x14ac:dyDescent="0.3">
      <c r="A11612" s="34">
        <v>69009</v>
      </c>
      <c r="B11612" s="35">
        <v>1</v>
      </c>
      <c r="C11612" s="35">
        <v>0</v>
      </c>
      <c r="D11612" s="2">
        <f t="shared" si="181"/>
        <v>1</v>
      </c>
    </row>
    <row r="11613" spans="1:4" x14ac:dyDescent="0.3">
      <c r="A11613" s="34">
        <v>69011</v>
      </c>
      <c r="B11613" s="35">
        <v>1</v>
      </c>
      <c r="C11613" s="35">
        <v>0</v>
      </c>
      <c r="D11613" s="2">
        <f t="shared" si="181"/>
        <v>1</v>
      </c>
    </row>
    <row r="11614" spans="1:4" x14ac:dyDescent="0.3">
      <c r="A11614" s="34">
        <v>69013</v>
      </c>
      <c r="B11614" s="35">
        <v>1</v>
      </c>
      <c r="C11614" s="35">
        <v>0</v>
      </c>
      <c r="D11614" s="2">
        <f t="shared" si="181"/>
        <v>1</v>
      </c>
    </row>
    <row r="11615" spans="1:4" x14ac:dyDescent="0.3">
      <c r="A11615" s="34">
        <v>69014</v>
      </c>
      <c r="B11615" s="35">
        <v>1</v>
      </c>
      <c r="C11615" s="35">
        <v>0</v>
      </c>
      <c r="D11615" s="2">
        <f t="shared" si="181"/>
        <v>1</v>
      </c>
    </row>
    <row r="11616" spans="1:4" x14ac:dyDescent="0.3">
      <c r="A11616" s="34">
        <v>69015</v>
      </c>
      <c r="B11616" s="35">
        <v>2</v>
      </c>
      <c r="C11616" s="35">
        <v>2</v>
      </c>
      <c r="D11616" s="2">
        <f t="shared" si="181"/>
        <v>4</v>
      </c>
    </row>
    <row r="11617" spans="1:4" x14ac:dyDescent="0.3">
      <c r="A11617" s="34">
        <v>69016</v>
      </c>
      <c r="B11617" s="35">
        <v>1</v>
      </c>
      <c r="C11617" s="35">
        <v>1</v>
      </c>
      <c r="D11617" s="2">
        <f t="shared" si="181"/>
        <v>2</v>
      </c>
    </row>
    <row r="11618" spans="1:4" x14ac:dyDescent="0.3">
      <c r="A11618" s="34">
        <v>69017</v>
      </c>
      <c r="B11618" s="35">
        <v>1</v>
      </c>
      <c r="C11618" s="35">
        <v>1</v>
      </c>
      <c r="D11618" s="2">
        <f t="shared" si="181"/>
        <v>2</v>
      </c>
    </row>
    <row r="11619" spans="1:4" x14ac:dyDescent="0.3">
      <c r="A11619" s="34">
        <v>69020</v>
      </c>
      <c r="B11619" s="35">
        <v>1</v>
      </c>
      <c r="C11619" s="35">
        <v>0</v>
      </c>
      <c r="D11619" s="2">
        <f t="shared" si="181"/>
        <v>1</v>
      </c>
    </row>
    <row r="11620" spans="1:4" x14ac:dyDescent="0.3">
      <c r="A11620" s="34">
        <v>69021</v>
      </c>
      <c r="B11620" s="35">
        <v>1</v>
      </c>
      <c r="C11620" s="35">
        <v>0</v>
      </c>
      <c r="D11620" s="2">
        <f t="shared" si="181"/>
        <v>1</v>
      </c>
    </row>
    <row r="11621" spans="1:4" x14ac:dyDescent="0.3">
      <c r="A11621" s="34">
        <v>69022</v>
      </c>
      <c r="B11621" s="35">
        <v>1</v>
      </c>
      <c r="C11621" s="35">
        <v>0</v>
      </c>
      <c r="D11621" s="2">
        <f t="shared" si="181"/>
        <v>1</v>
      </c>
    </row>
    <row r="11622" spans="1:4" x14ac:dyDescent="0.3">
      <c r="A11622" s="34">
        <v>69023</v>
      </c>
      <c r="B11622" s="35">
        <v>1</v>
      </c>
      <c r="C11622" s="35">
        <v>0</v>
      </c>
      <c r="D11622" s="2">
        <f t="shared" si="181"/>
        <v>1</v>
      </c>
    </row>
    <row r="11623" spans="1:4" x14ac:dyDescent="0.3">
      <c r="A11623" s="34">
        <v>69024</v>
      </c>
      <c r="B11623" s="35">
        <v>1</v>
      </c>
      <c r="C11623" s="35">
        <v>0</v>
      </c>
      <c r="D11623" s="2">
        <f t="shared" si="181"/>
        <v>1</v>
      </c>
    </row>
    <row r="11624" spans="1:4" x14ac:dyDescent="0.3">
      <c r="A11624" s="34">
        <v>69026</v>
      </c>
      <c r="B11624" s="35">
        <v>1</v>
      </c>
      <c r="C11624" s="35">
        <v>0</v>
      </c>
      <c r="D11624" s="2">
        <f t="shared" si="181"/>
        <v>1</v>
      </c>
    </row>
    <row r="11625" spans="1:4" x14ac:dyDescent="0.3">
      <c r="A11625" s="34">
        <v>69027</v>
      </c>
      <c r="B11625" s="35">
        <v>1</v>
      </c>
      <c r="C11625" s="35">
        <v>0</v>
      </c>
      <c r="D11625" s="2">
        <f t="shared" si="181"/>
        <v>1</v>
      </c>
    </row>
    <row r="11626" spans="1:4" x14ac:dyDescent="0.3">
      <c r="A11626" s="34">
        <v>69029</v>
      </c>
      <c r="B11626" s="35">
        <v>1</v>
      </c>
      <c r="C11626" s="35">
        <v>0</v>
      </c>
      <c r="D11626" s="2">
        <f t="shared" si="181"/>
        <v>1</v>
      </c>
    </row>
    <row r="11627" spans="1:4" x14ac:dyDescent="0.3">
      <c r="A11627" s="34">
        <v>69030</v>
      </c>
      <c r="B11627" s="35">
        <v>1</v>
      </c>
      <c r="C11627" s="35">
        <v>0</v>
      </c>
      <c r="D11627" s="2">
        <f t="shared" si="181"/>
        <v>1</v>
      </c>
    </row>
    <row r="11628" spans="1:4" x14ac:dyDescent="0.3">
      <c r="A11628" s="34">
        <v>69031</v>
      </c>
      <c r="B11628" s="35">
        <v>1</v>
      </c>
      <c r="C11628" s="35">
        <v>0</v>
      </c>
      <c r="D11628" s="2">
        <f t="shared" si="181"/>
        <v>1</v>
      </c>
    </row>
    <row r="11629" spans="1:4" x14ac:dyDescent="0.3">
      <c r="A11629" s="34">
        <v>69032</v>
      </c>
      <c r="B11629" s="35">
        <v>1</v>
      </c>
      <c r="C11629" s="35">
        <v>0</v>
      </c>
      <c r="D11629" s="2">
        <f t="shared" si="181"/>
        <v>1</v>
      </c>
    </row>
    <row r="11630" spans="1:4" x14ac:dyDescent="0.3">
      <c r="A11630" s="34">
        <v>69033</v>
      </c>
      <c r="B11630" s="35">
        <v>1</v>
      </c>
      <c r="C11630" s="35">
        <v>0</v>
      </c>
      <c r="D11630" s="2">
        <f t="shared" si="181"/>
        <v>1</v>
      </c>
    </row>
    <row r="11631" spans="1:4" x14ac:dyDescent="0.3">
      <c r="A11631" s="34">
        <v>69034</v>
      </c>
      <c r="B11631" s="35">
        <v>1</v>
      </c>
      <c r="C11631" s="35">
        <v>1</v>
      </c>
      <c r="D11631" s="2">
        <f t="shared" si="181"/>
        <v>2</v>
      </c>
    </row>
    <row r="11632" spans="1:4" x14ac:dyDescent="0.3">
      <c r="A11632" s="34">
        <v>69035</v>
      </c>
      <c r="B11632" s="35">
        <v>1</v>
      </c>
      <c r="C11632" s="35">
        <v>0</v>
      </c>
      <c r="D11632" s="2">
        <f t="shared" si="181"/>
        <v>1</v>
      </c>
    </row>
    <row r="11633" spans="1:4" x14ac:dyDescent="0.3">
      <c r="A11633" s="34">
        <v>69036</v>
      </c>
      <c r="B11633" s="35">
        <v>1</v>
      </c>
      <c r="C11633" s="35">
        <v>1</v>
      </c>
      <c r="D11633" s="2">
        <f t="shared" si="181"/>
        <v>2</v>
      </c>
    </row>
    <row r="11634" spans="1:4" x14ac:dyDescent="0.3">
      <c r="A11634" s="34">
        <v>69037</v>
      </c>
      <c r="B11634" s="35">
        <v>1</v>
      </c>
      <c r="C11634" s="35">
        <v>1</v>
      </c>
      <c r="D11634" s="2">
        <f t="shared" si="181"/>
        <v>2</v>
      </c>
    </row>
    <row r="11635" spans="1:4" x14ac:dyDescent="0.3">
      <c r="A11635" s="34">
        <v>69040</v>
      </c>
      <c r="B11635" s="35">
        <v>1</v>
      </c>
      <c r="C11635" s="35">
        <v>0</v>
      </c>
      <c r="D11635" s="2">
        <f t="shared" si="181"/>
        <v>1</v>
      </c>
    </row>
    <row r="11636" spans="1:4" x14ac:dyDescent="0.3">
      <c r="A11636" s="34">
        <v>69041</v>
      </c>
      <c r="B11636" s="35">
        <v>1</v>
      </c>
      <c r="C11636" s="35">
        <v>0</v>
      </c>
      <c r="D11636" s="2">
        <f t="shared" si="181"/>
        <v>1</v>
      </c>
    </row>
    <row r="11637" spans="1:4" x14ac:dyDescent="0.3">
      <c r="A11637" s="34">
        <v>69042</v>
      </c>
      <c r="B11637" s="35">
        <v>1</v>
      </c>
      <c r="C11637" s="35">
        <v>1</v>
      </c>
      <c r="D11637" s="2">
        <f t="shared" si="181"/>
        <v>2</v>
      </c>
    </row>
    <row r="11638" spans="1:4" x14ac:dyDescent="0.3">
      <c r="A11638" s="34">
        <v>69046</v>
      </c>
      <c r="B11638" s="35">
        <v>1</v>
      </c>
      <c r="C11638" s="35">
        <v>0</v>
      </c>
      <c r="D11638" s="2">
        <f t="shared" si="181"/>
        <v>1</v>
      </c>
    </row>
    <row r="11639" spans="1:4" x14ac:dyDescent="0.3">
      <c r="A11639" s="34">
        <v>69047</v>
      </c>
      <c r="B11639" s="35">
        <v>1</v>
      </c>
      <c r="C11639" s="35">
        <v>0</v>
      </c>
      <c r="D11639" s="2">
        <f t="shared" si="181"/>
        <v>1</v>
      </c>
    </row>
    <row r="11640" spans="1:4" x14ac:dyDescent="0.3">
      <c r="A11640" s="34">
        <v>69048</v>
      </c>
      <c r="B11640" s="35">
        <v>1</v>
      </c>
      <c r="C11640" s="35">
        <v>0</v>
      </c>
      <c r="D11640" s="2">
        <f t="shared" si="181"/>
        <v>1</v>
      </c>
    </row>
    <row r="11641" spans="1:4" x14ac:dyDescent="0.3">
      <c r="A11641" s="34">
        <v>69050</v>
      </c>
      <c r="B11641" s="35">
        <v>2</v>
      </c>
      <c r="C11641" s="35">
        <v>2</v>
      </c>
      <c r="D11641" s="2">
        <f t="shared" si="181"/>
        <v>4</v>
      </c>
    </row>
    <row r="11642" spans="1:4" x14ac:dyDescent="0.3">
      <c r="A11642" s="34">
        <v>69052</v>
      </c>
      <c r="B11642" s="35">
        <v>1</v>
      </c>
      <c r="C11642" s="35">
        <v>0</v>
      </c>
      <c r="D11642" s="2">
        <f t="shared" si="181"/>
        <v>1</v>
      </c>
    </row>
    <row r="11643" spans="1:4" x14ac:dyDescent="0.3">
      <c r="A11643" s="34">
        <v>69053</v>
      </c>
      <c r="B11643" s="35">
        <v>1</v>
      </c>
      <c r="C11643" s="35">
        <v>0</v>
      </c>
      <c r="D11643" s="2">
        <f t="shared" si="181"/>
        <v>1</v>
      </c>
    </row>
    <row r="11644" spans="1:4" x14ac:dyDescent="0.3">
      <c r="A11644" s="34">
        <v>69057</v>
      </c>
      <c r="B11644" s="35">
        <v>1</v>
      </c>
      <c r="C11644" s="35">
        <v>0</v>
      </c>
      <c r="D11644" s="2">
        <f t="shared" si="181"/>
        <v>1</v>
      </c>
    </row>
    <row r="11645" spans="1:4" x14ac:dyDescent="0.3">
      <c r="A11645" s="34">
        <v>69058</v>
      </c>
      <c r="B11645" s="35">
        <v>1</v>
      </c>
      <c r="C11645" s="35">
        <v>1</v>
      </c>
      <c r="D11645" s="2">
        <f t="shared" si="181"/>
        <v>2</v>
      </c>
    </row>
    <row r="11646" spans="1:4" x14ac:dyDescent="0.3">
      <c r="A11646" s="34">
        <v>69060</v>
      </c>
      <c r="B11646" s="35">
        <v>2</v>
      </c>
      <c r="C11646" s="35">
        <v>1</v>
      </c>
      <c r="D11646" s="2">
        <f t="shared" si="181"/>
        <v>3</v>
      </c>
    </row>
    <row r="11647" spans="1:4" x14ac:dyDescent="0.3">
      <c r="A11647" s="34">
        <v>69063</v>
      </c>
      <c r="B11647" s="35">
        <v>1</v>
      </c>
      <c r="C11647" s="35">
        <v>1</v>
      </c>
      <c r="D11647" s="2">
        <f t="shared" si="181"/>
        <v>2</v>
      </c>
    </row>
    <row r="11648" spans="1:4" x14ac:dyDescent="0.3">
      <c r="A11648" s="34">
        <v>69064</v>
      </c>
      <c r="B11648" s="35">
        <v>1</v>
      </c>
      <c r="C11648" s="35">
        <v>0</v>
      </c>
      <c r="D11648" s="2">
        <f t="shared" si="181"/>
        <v>1</v>
      </c>
    </row>
    <row r="11649" spans="1:4" x14ac:dyDescent="0.3">
      <c r="A11649" s="34">
        <v>69065</v>
      </c>
      <c r="B11649" s="35">
        <v>1</v>
      </c>
      <c r="C11649" s="35">
        <v>0</v>
      </c>
      <c r="D11649" s="2">
        <f t="shared" si="181"/>
        <v>1</v>
      </c>
    </row>
    <row r="11650" spans="1:4" x14ac:dyDescent="0.3">
      <c r="A11650" s="34">
        <v>69068</v>
      </c>
      <c r="B11650" s="35">
        <v>1</v>
      </c>
      <c r="C11650" s="35">
        <v>1</v>
      </c>
      <c r="D11650" s="2">
        <f t="shared" si="181"/>
        <v>2</v>
      </c>
    </row>
    <row r="11651" spans="1:4" x14ac:dyDescent="0.3">
      <c r="A11651" s="34">
        <v>69069</v>
      </c>
      <c r="B11651" s="35">
        <v>1</v>
      </c>
      <c r="C11651" s="35">
        <v>0</v>
      </c>
      <c r="D11651" s="2">
        <f t="shared" ref="D11651:D11714" si="182">B11651+C11651</f>
        <v>1</v>
      </c>
    </row>
    <row r="11652" spans="1:4" x14ac:dyDescent="0.3">
      <c r="A11652" s="34">
        <v>69070</v>
      </c>
      <c r="B11652" s="35">
        <v>1</v>
      </c>
      <c r="C11652" s="35">
        <v>0</v>
      </c>
      <c r="D11652" s="2">
        <f t="shared" si="182"/>
        <v>1</v>
      </c>
    </row>
    <row r="11653" spans="1:4" x14ac:dyDescent="0.3">
      <c r="A11653" s="34">
        <v>69075</v>
      </c>
      <c r="B11653" s="35">
        <v>1</v>
      </c>
      <c r="C11653" s="35">
        <v>0</v>
      </c>
      <c r="D11653" s="2">
        <f t="shared" si="182"/>
        <v>1</v>
      </c>
    </row>
    <row r="11654" spans="1:4" x14ac:dyDescent="0.3">
      <c r="A11654" s="34">
        <v>69076</v>
      </c>
      <c r="B11654" s="35">
        <v>2</v>
      </c>
      <c r="C11654" s="35">
        <v>0</v>
      </c>
      <c r="D11654" s="2">
        <f t="shared" si="182"/>
        <v>2</v>
      </c>
    </row>
    <row r="11655" spans="1:4" x14ac:dyDescent="0.3">
      <c r="A11655" s="34">
        <v>69078</v>
      </c>
      <c r="B11655" s="35">
        <v>1</v>
      </c>
      <c r="C11655" s="35">
        <v>0</v>
      </c>
      <c r="D11655" s="2">
        <f t="shared" si="182"/>
        <v>1</v>
      </c>
    </row>
    <row r="11656" spans="1:4" x14ac:dyDescent="0.3">
      <c r="A11656" s="34">
        <v>69154</v>
      </c>
      <c r="B11656" s="35">
        <v>1</v>
      </c>
      <c r="C11656" s="35">
        <v>1</v>
      </c>
      <c r="D11656" s="2">
        <f t="shared" si="182"/>
        <v>2</v>
      </c>
    </row>
    <row r="11657" spans="1:4" x14ac:dyDescent="0.3">
      <c r="A11657" s="34">
        <v>69156</v>
      </c>
      <c r="B11657" s="35">
        <v>1</v>
      </c>
      <c r="C11657" s="35">
        <v>0</v>
      </c>
      <c r="D11657" s="2">
        <f t="shared" si="182"/>
        <v>1</v>
      </c>
    </row>
    <row r="11658" spans="1:4" x14ac:dyDescent="0.3">
      <c r="A11658" s="34">
        <v>69162</v>
      </c>
      <c r="B11658" s="35">
        <v>1</v>
      </c>
      <c r="C11658" s="35">
        <v>1</v>
      </c>
      <c r="D11658" s="2">
        <f t="shared" si="182"/>
        <v>2</v>
      </c>
    </row>
    <row r="11659" spans="1:4" x14ac:dyDescent="0.3">
      <c r="A11659" s="34">
        <v>69164</v>
      </c>
      <c r="B11659" s="35">
        <v>1</v>
      </c>
      <c r="C11659" s="35">
        <v>1</v>
      </c>
      <c r="D11659" s="2">
        <f t="shared" si="182"/>
        <v>2</v>
      </c>
    </row>
    <row r="11660" spans="1:4" x14ac:dyDescent="0.3">
      <c r="A11660" s="34">
        <v>69166</v>
      </c>
      <c r="B11660" s="35">
        <v>1</v>
      </c>
      <c r="C11660" s="35">
        <v>0</v>
      </c>
      <c r="D11660" s="2">
        <f t="shared" si="182"/>
        <v>1</v>
      </c>
    </row>
    <row r="11661" spans="1:4" x14ac:dyDescent="0.3">
      <c r="A11661" s="34">
        <v>69167</v>
      </c>
      <c r="B11661" s="35">
        <v>1</v>
      </c>
      <c r="C11661" s="35">
        <v>0</v>
      </c>
      <c r="D11661" s="2">
        <f t="shared" si="182"/>
        <v>1</v>
      </c>
    </row>
    <row r="11662" spans="1:4" x14ac:dyDescent="0.3">
      <c r="A11662" s="34">
        <v>69169</v>
      </c>
      <c r="B11662" s="35">
        <v>1</v>
      </c>
      <c r="C11662" s="35">
        <v>0</v>
      </c>
      <c r="D11662" s="2">
        <f t="shared" si="182"/>
        <v>1</v>
      </c>
    </row>
    <row r="11663" spans="1:4" x14ac:dyDescent="0.3">
      <c r="A11663" s="34">
        <v>69175</v>
      </c>
      <c r="B11663" s="35">
        <v>1</v>
      </c>
      <c r="C11663" s="35">
        <v>1</v>
      </c>
      <c r="D11663" s="2">
        <f t="shared" si="182"/>
        <v>2</v>
      </c>
    </row>
    <row r="11664" spans="1:4" x14ac:dyDescent="0.3">
      <c r="A11664" s="34">
        <v>69176</v>
      </c>
      <c r="B11664" s="35">
        <v>1</v>
      </c>
      <c r="C11664" s="35">
        <v>0</v>
      </c>
      <c r="D11664" s="2">
        <f t="shared" si="182"/>
        <v>1</v>
      </c>
    </row>
    <row r="11665" spans="1:4" x14ac:dyDescent="0.3">
      <c r="A11665" s="34">
        <v>69177</v>
      </c>
      <c r="B11665" s="35">
        <v>1</v>
      </c>
      <c r="C11665" s="35">
        <v>0</v>
      </c>
      <c r="D11665" s="2">
        <f t="shared" si="182"/>
        <v>1</v>
      </c>
    </row>
    <row r="11666" spans="1:4" x14ac:dyDescent="0.3">
      <c r="A11666" s="34">
        <v>69178</v>
      </c>
      <c r="B11666" s="35">
        <v>1</v>
      </c>
      <c r="C11666" s="35">
        <v>0</v>
      </c>
      <c r="D11666" s="2">
        <f t="shared" si="182"/>
        <v>1</v>
      </c>
    </row>
    <row r="11667" spans="1:4" x14ac:dyDescent="0.3">
      <c r="A11667" s="34">
        <v>69230</v>
      </c>
      <c r="B11667" s="35">
        <v>1</v>
      </c>
      <c r="C11667" s="35">
        <v>1</v>
      </c>
      <c r="D11667" s="2">
        <f t="shared" si="182"/>
        <v>2</v>
      </c>
    </row>
    <row r="11668" spans="1:4" x14ac:dyDescent="0.3">
      <c r="A11668" s="34">
        <v>69231</v>
      </c>
      <c r="B11668" s="35">
        <v>1</v>
      </c>
      <c r="C11668" s="35">
        <v>0</v>
      </c>
      <c r="D11668" s="2">
        <f t="shared" si="182"/>
        <v>1</v>
      </c>
    </row>
    <row r="11669" spans="1:4" x14ac:dyDescent="0.3">
      <c r="A11669" s="34">
        <v>69251</v>
      </c>
      <c r="B11669" s="35">
        <v>1</v>
      </c>
      <c r="C11669" s="35">
        <v>0</v>
      </c>
      <c r="D11669" s="2">
        <f t="shared" si="182"/>
        <v>1</v>
      </c>
    </row>
    <row r="11670" spans="1:4" x14ac:dyDescent="0.3">
      <c r="A11670" s="34">
        <v>69253</v>
      </c>
      <c r="B11670" s="35">
        <v>1</v>
      </c>
      <c r="C11670" s="35">
        <v>0</v>
      </c>
      <c r="D11670" s="2">
        <f t="shared" si="182"/>
        <v>1</v>
      </c>
    </row>
    <row r="11671" spans="1:4" x14ac:dyDescent="0.3">
      <c r="A11671" s="34">
        <v>69254</v>
      </c>
      <c r="B11671" s="35">
        <v>1</v>
      </c>
      <c r="C11671" s="35">
        <v>0</v>
      </c>
      <c r="D11671" s="2">
        <f t="shared" si="182"/>
        <v>1</v>
      </c>
    </row>
    <row r="11672" spans="1:4" x14ac:dyDescent="0.3">
      <c r="A11672" s="34">
        <v>69257</v>
      </c>
      <c r="B11672" s="35">
        <v>1</v>
      </c>
      <c r="C11672" s="35">
        <v>0</v>
      </c>
      <c r="D11672" s="2">
        <f t="shared" si="182"/>
        <v>1</v>
      </c>
    </row>
    <row r="11673" spans="1:4" x14ac:dyDescent="0.3">
      <c r="A11673" s="34">
        <v>69258</v>
      </c>
      <c r="B11673" s="35">
        <v>1</v>
      </c>
      <c r="C11673" s="35">
        <v>0</v>
      </c>
      <c r="D11673" s="2">
        <f t="shared" si="182"/>
        <v>1</v>
      </c>
    </row>
    <row r="11674" spans="1:4" x14ac:dyDescent="0.3">
      <c r="A11674" s="34">
        <v>69260</v>
      </c>
      <c r="B11674" s="35">
        <v>1</v>
      </c>
      <c r="C11674" s="35">
        <v>0</v>
      </c>
      <c r="D11674" s="2">
        <f t="shared" si="182"/>
        <v>1</v>
      </c>
    </row>
    <row r="11675" spans="1:4" x14ac:dyDescent="0.3">
      <c r="A11675" s="34">
        <v>69261</v>
      </c>
      <c r="B11675" s="35">
        <v>1</v>
      </c>
      <c r="C11675" s="35">
        <v>1</v>
      </c>
      <c r="D11675" s="2">
        <f t="shared" si="182"/>
        <v>2</v>
      </c>
    </row>
    <row r="11676" spans="1:4" x14ac:dyDescent="0.3">
      <c r="A11676" s="34">
        <v>69276</v>
      </c>
      <c r="B11676" s="35">
        <v>1</v>
      </c>
      <c r="C11676" s="35">
        <v>0</v>
      </c>
      <c r="D11676" s="2">
        <f t="shared" si="182"/>
        <v>1</v>
      </c>
    </row>
    <row r="11677" spans="1:4" x14ac:dyDescent="0.3">
      <c r="A11677" s="34">
        <v>69277</v>
      </c>
      <c r="B11677" s="35">
        <v>1</v>
      </c>
      <c r="C11677" s="35">
        <v>1</v>
      </c>
      <c r="D11677" s="2">
        <f t="shared" si="182"/>
        <v>2</v>
      </c>
    </row>
    <row r="11678" spans="1:4" x14ac:dyDescent="0.3">
      <c r="A11678" s="34">
        <v>69278</v>
      </c>
      <c r="B11678" s="35">
        <v>1</v>
      </c>
      <c r="C11678" s="35">
        <v>0</v>
      </c>
      <c r="D11678" s="2">
        <f t="shared" si="182"/>
        <v>1</v>
      </c>
    </row>
    <row r="11679" spans="1:4" x14ac:dyDescent="0.3">
      <c r="A11679" s="34">
        <v>69281</v>
      </c>
      <c r="B11679" s="35">
        <v>2</v>
      </c>
      <c r="C11679" s="35">
        <v>0</v>
      </c>
      <c r="D11679" s="2">
        <f t="shared" si="182"/>
        <v>2</v>
      </c>
    </row>
    <row r="11680" spans="1:4" x14ac:dyDescent="0.3">
      <c r="A11680" s="34">
        <v>69282</v>
      </c>
      <c r="B11680" s="35">
        <v>1</v>
      </c>
      <c r="C11680" s="35">
        <v>1</v>
      </c>
      <c r="D11680" s="2">
        <f t="shared" si="182"/>
        <v>2</v>
      </c>
    </row>
    <row r="11681" spans="1:4" x14ac:dyDescent="0.3">
      <c r="A11681" s="34">
        <v>69284</v>
      </c>
      <c r="B11681" s="35">
        <v>2</v>
      </c>
      <c r="C11681" s="35">
        <v>0</v>
      </c>
      <c r="D11681" s="2">
        <f t="shared" si="182"/>
        <v>2</v>
      </c>
    </row>
    <row r="11682" spans="1:4" x14ac:dyDescent="0.3">
      <c r="A11682" s="34">
        <v>69286</v>
      </c>
      <c r="B11682" s="35">
        <v>1</v>
      </c>
      <c r="C11682" s="35">
        <v>0</v>
      </c>
      <c r="D11682" s="2">
        <f t="shared" si="182"/>
        <v>1</v>
      </c>
    </row>
    <row r="11683" spans="1:4" x14ac:dyDescent="0.3">
      <c r="A11683" s="34">
        <v>69288</v>
      </c>
      <c r="B11683" s="35">
        <v>1</v>
      </c>
      <c r="C11683" s="35">
        <v>0</v>
      </c>
      <c r="D11683" s="2">
        <f t="shared" si="182"/>
        <v>1</v>
      </c>
    </row>
    <row r="11684" spans="1:4" x14ac:dyDescent="0.3">
      <c r="A11684" s="34">
        <v>69291</v>
      </c>
      <c r="B11684" s="35">
        <v>1</v>
      </c>
      <c r="C11684" s="35">
        <v>0</v>
      </c>
      <c r="D11684" s="2">
        <f t="shared" si="182"/>
        <v>1</v>
      </c>
    </row>
    <row r="11685" spans="1:4" x14ac:dyDescent="0.3">
      <c r="A11685" s="34">
        <v>69293</v>
      </c>
      <c r="B11685" s="35">
        <v>1</v>
      </c>
      <c r="C11685" s="35">
        <v>0</v>
      </c>
      <c r="D11685" s="2">
        <f t="shared" si="182"/>
        <v>1</v>
      </c>
    </row>
    <row r="11686" spans="1:4" x14ac:dyDescent="0.3">
      <c r="A11686" s="34">
        <v>69294</v>
      </c>
      <c r="B11686" s="35">
        <v>1</v>
      </c>
      <c r="C11686" s="35">
        <v>0</v>
      </c>
      <c r="D11686" s="2">
        <f t="shared" si="182"/>
        <v>1</v>
      </c>
    </row>
    <row r="11687" spans="1:4" x14ac:dyDescent="0.3">
      <c r="A11687" s="34">
        <v>69295</v>
      </c>
      <c r="B11687" s="35">
        <v>1</v>
      </c>
      <c r="C11687" s="35">
        <v>0</v>
      </c>
      <c r="D11687" s="2">
        <f t="shared" si="182"/>
        <v>1</v>
      </c>
    </row>
    <row r="11688" spans="1:4" x14ac:dyDescent="0.3">
      <c r="A11688" s="34">
        <v>69296</v>
      </c>
      <c r="B11688" s="35">
        <v>1</v>
      </c>
      <c r="C11688" s="35">
        <v>0</v>
      </c>
      <c r="D11688" s="2">
        <f t="shared" si="182"/>
        <v>1</v>
      </c>
    </row>
    <row r="11689" spans="1:4" x14ac:dyDescent="0.3">
      <c r="A11689" s="34">
        <v>69297</v>
      </c>
      <c r="B11689" s="35">
        <v>1</v>
      </c>
      <c r="C11689" s="35">
        <v>0</v>
      </c>
      <c r="D11689" s="2">
        <f t="shared" si="182"/>
        <v>1</v>
      </c>
    </row>
    <row r="11690" spans="1:4" x14ac:dyDescent="0.3">
      <c r="A11690" s="34">
        <v>69300</v>
      </c>
      <c r="B11690" s="35">
        <v>1</v>
      </c>
      <c r="C11690" s="35">
        <v>0</v>
      </c>
      <c r="D11690" s="2">
        <f t="shared" si="182"/>
        <v>1</v>
      </c>
    </row>
    <row r="11691" spans="1:4" x14ac:dyDescent="0.3">
      <c r="A11691" s="34">
        <v>69301</v>
      </c>
      <c r="B11691" s="35">
        <v>1</v>
      </c>
      <c r="C11691" s="35">
        <v>0</v>
      </c>
      <c r="D11691" s="2">
        <f t="shared" si="182"/>
        <v>1</v>
      </c>
    </row>
    <row r="11692" spans="1:4" x14ac:dyDescent="0.3">
      <c r="A11692" s="34">
        <v>69302</v>
      </c>
      <c r="B11692" s="35">
        <v>1</v>
      </c>
      <c r="C11692" s="35">
        <v>1</v>
      </c>
      <c r="D11692" s="2">
        <f t="shared" si="182"/>
        <v>2</v>
      </c>
    </row>
    <row r="11693" spans="1:4" x14ac:dyDescent="0.3">
      <c r="A11693" s="34">
        <v>69304</v>
      </c>
      <c r="B11693" s="35">
        <v>1</v>
      </c>
      <c r="C11693" s="35">
        <v>1</v>
      </c>
      <c r="D11693" s="2">
        <f t="shared" si="182"/>
        <v>2</v>
      </c>
    </row>
    <row r="11694" spans="1:4" x14ac:dyDescent="0.3">
      <c r="A11694" s="34">
        <v>69305</v>
      </c>
      <c r="B11694" s="35">
        <v>1</v>
      </c>
      <c r="C11694" s="35">
        <v>0</v>
      </c>
      <c r="D11694" s="2">
        <f t="shared" si="182"/>
        <v>1</v>
      </c>
    </row>
    <row r="11695" spans="1:4" x14ac:dyDescent="0.3">
      <c r="A11695" s="34">
        <v>69308</v>
      </c>
      <c r="B11695" s="35">
        <v>1</v>
      </c>
      <c r="C11695" s="35">
        <v>0</v>
      </c>
      <c r="D11695" s="2">
        <f t="shared" si="182"/>
        <v>1</v>
      </c>
    </row>
    <row r="11696" spans="1:4" x14ac:dyDescent="0.3">
      <c r="A11696" s="34">
        <v>69309</v>
      </c>
      <c r="B11696" s="35">
        <v>1</v>
      </c>
      <c r="C11696" s="35">
        <v>1</v>
      </c>
      <c r="D11696" s="2">
        <f t="shared" si="182"/>
        <v>2</v>
      </c>
    </row>
    <row r="11697" spans="1:4" x14ac:dyDescent="0.3">
      <c r="A11697" s="34">
        <v>69311</v>
      </c>
      <c r="B11697" s="35">
        <v>1</v>
      </c>
      <c r="C11697" s="35">
        <v>0</v>
      </c>
      <c r="D11697" s="2">
        <f t="shared" si="182"/>
        <v>1</v>
      </c>
    </row>
    <row r="11698" spans="1:4" x14ac:dyDescent="0.3">
      <c r="A11698" s="34">
        <v>69312</v>
      </c>
      <c r="B11698" s="35">
        <v>1</v>
      </c>
      <c r="C11698" s="35">
        <v>0</v>
      </c>
      <c r="D11698" s="2">
        <f t="shared" si="182"/>
        <v>1</v>
      </c>
    </row>
    <row r="11699" spans="1:4" x14ac:dyDescent="0.3">
      <c r="A11699" s="34">
        <v>69313</v>
      </c>
      <c r="B11699" s="35">
        <v>1</v>
      </c>
      <c r="C11699" s="35">
        <v>0</v>
      </c>
      <c r="D11699" s="2">
        <f t="shared" si="182"/>
        <v>1</v>
      </c>
    </row>
    <row r="11700" spans="1:4" x14ac:dyDescent="0.3">
      <c r="A11700" s="34">
        <v>69314</v>
      </c>
      <c r="B11700" s="35">
        <v>1</v>
      </c>
      <c r="C11700" s="35">
        <v>0</v>
      </c>
      <c r="D11700" s="2">
        <f t="shared" si="182"/>
        <v>1</v>
      </c>
    </row>
    <row r="11701" spans="1:4" x14ac:dyDescent="0.3">
      <c r="A11701" s="34">
        <v>69315</v>
      </c>
      <c r="B11701" s="35">
        <v>1</v>
      </c>
      <c r="C11701" s="35">
        <v>1</v>
      </c>
      <c r="D11701" s="2">
        <f t="shared" si="182"/>
        <v>2</v>
      </c>
    </row>
    <row r="11702" spans="1:4" x14ac:dyDescent="0.3">
      <c r="A11702" s="34">
        <v>69316</v>
      </c>
      <c r="B11702" s="35">
        <v>1</v>
      </c>
      <c r="C11702" s="35">
        <v>0</v>
      </c>
      <c r="D11702" s="2">
        <f t="shared" si="182"/>
        <v>1</v>
      </c>
    </row>
    <row r="11703" spans="1:4" x14ac:dyDescent="0.3">
      <c r="A11703" s="34">
        <v>69317</v>
      </c>
      <c r="B11703" s="35">
        <v>1</v>
      </c>
      <c r="C11703" s="35">
        <v>0</v>
      </c>
      <c r="D11703" s="2">
        <f t="shared" si="182"/>
        <v>1</v>
      </c>
    </row>
    <row r="11704" spans="1:4" x14ac:dyDescent="0.3">
      <c r="A11704" s="34">
        <v>69318</v>
      </c>
      <c r="B11704" s="35">
        <v>1</v>
      </c>
      <c r="C11704" s="35">
        <v>0</v>
      </c>
      <c r="D11704" s="2">
        <f t="shared" si="182"/>
        <v>1</v>
      </c>
    </row>
    <row r="11705" spans="1:4" x14ac:dyDescent="0.3">
      <c r="A11705" s="34">
        <v>69319</v>
      </c>
      <c r="B11705" s="35">
        <v>1</v>
      </c>
      <c r="C11705" s="35">
        <v>1</v>
      </c>
      <c r="D11705" s="2">
        <f t="shared" si="182"/>
        <v>2</v>
      </c>
    </row>
    <row r="11706" spans="1:4" x14ac:dyDescent="0.3">
      <c r="A11706" s="34">
        <v>69321</v>
      </c>
      <c r="B11706" s="35">
        <v>1</v>
      </c>
      <c r="C11706" s="35">
        <v>0</v>
      </c>
      <c r="D11706" s="2">
        <f t="shared" si="182"/>
        <v>1</v>
      </c>
    </row>
    <row r="11707" spans="1:4" x14ac:dyDescent="0.3">
      <c r="A11707" s="34">
        <v>69322</v>
      </c>
      <c r="B11707" s="35">
        <v>1</v>
      </c>
      <c r="C11707" s="35">
        <v>0</v>
      </c>
      <c r="D11707" s="2">
        <f t="shared" si="182"/>
        <v>1</v>
      </c>
    </row>
    <row r="11708" spans="1:4" x14ac:dyDescent="0.3">
      <c r="A11708" s="34">
        <v>69325</v>
      </c>
      <c r="B11708" s="35">
        <v>1</v>
      </c>
      <c r="C11708" s="35">
        <v>0</v>
      </c>
      <c r="D11708" s="2">
        <f t="shared" si="182"/>
        <v>1</v>
      </c>
    </row>
    <row r="11709" spans="1:4" x14ac:dyDescent="0.3">
      <c r="A11709" s="34">
        <v>69327</v>
      </c>
      <c r="B11709" s="35">
        <v>1</v>
      </c>
      <c r="C11709" s="35">
        <v>0</v>
      </c>
      <c r="D11709" s="2">
        <f t="shared" si="182"/>
        <v>1</v>
      </c>
    </row>
    <row r="11710" spans="1:4" x14ac:dyDescent="0.3">
      <c r="A11710" s="34">
        <v>69328</v>
      </c>
      <c r="B11710" s="35">
        <v>1</v>
      </c>
      <c r="C11710" s="35">
        <v>0</v>
      </c>
      <c r="D11710" s="2">
        <f t="shared" si="182"/>
        <v>1</v>
      </c>
    </row>
    <row r="11711" spans="1:4" x14ac:dyDescent="0.3">
      <c r="A11711" s="34">
        <v>69329</v>
      </c>
      <c r="B11711" s="35">
        <v>1</v>
      </c>
      <c r="C11711" s="35">
        <v>0</v>
      </c>
      <c r="D11711" s="2">
        <f t="shared" si="182"/>
        <v>1</v>
      </c>
    </row>
    <row r="11712" spans="1:4" x14ac:dyDescent="0.3">
      <c r="A11712" s="34">
        <v>69331</v>
      </c>
      <c r="B11712" s="35">
        <v>1</v>
      </c>
      <c r="C11712" s="35">
        <v>1</v>
      </c>
      <c r="D11712" s="2">
        <f t="shared" si="182"/>
        <v>2</v>
      </c>
    </row>
    <row r="11713" spans="1:4" x14ac:dyDescent="0.3">
      <c r="A11713" s="34">
        <v>69332</v>
      </c>
      <c r="B11713" s="35">
        <v>1</v>
      </c>
      <c r="C11713" s="35">
        <v>0</v>
      </c>
      <c r="D11713" s="2">
        <f t="shared" si="182"/>
        <v>1</v>
      </c>
    </row>
    <row r="11714" spans="1:4" x14ac:dyDescent="0.3">
      <c r="A11714" s="34">
        <v>69334</v>
      </c>
      <c r="B11714" s="35">
        <v>1</v>
      </c>
      <c r="C11714" s="35">
        <v>0</v>
      </c>
      <c r="D11714" s="2">
        <f t="shared" si="182"/>
        <v>1</v>
      </c>
    </row>
    <row r="11715" spans="1:4" x14ac:dyDescent="0.3">
      <c r="A11715" s="34">
        <v>69335</v>
      </c>
      <c r="B11715" s="35">
        <v>1</v>
      </c>
      <c r="C11715" s="35">
        <v>0</v>
      </c>
      <c r="D11715" s="2">
        <f t="shared" ref="D11715:D11778" si="183">B11715+C11715</f>
        <v>1</v>
      </c>
    </row>
    <row r="11716" spans="1:4" x14ac:dyDescent="0.3">
      <c r="A11716" s="34">
        <v>69337</v>
      </c>
      <c r="B11716" s="35">
        <v>1</v>
      </c>
      <c r="C11716" s="35">
        <v>0</v>
      </c>
      <c r="D11716" s="2">
        <f t="shared" si="183"/>
        <v>1</v>
      </c>
    </row>
    <row r="11717" spans="1:4" x14ac:dyDescent="0.3">
      <c r="A11717" s="34">
        <v>69338</v>
      </c>
      <c r="B11717" s="35">
        <v>1</v>
      </c>
      <c r="C11717" s="35">
        <v>0</v>
      </c>
      <c r="D11717" s="2">
        <f t="shared" si="183"/>
        <v>1</v>
      </c>
    </row>
    <row r="11718" spans="1:4" x14ac:dyDescent="0.3">
      <c r="A11718" s="34">
        <v>69339</v>
      </c>
      <c r="B11718" s="35">
        <v>2</v>
      </c>
      <c r="C11718" s="35">
        <v>1</v>
      </c>
      <c r="D11718" s="2">
        <f t="shared" si="183"/>
        <v>3</v>
      </c>
    </row>
    <row r="11719" spans="1:4" x14ac:dyDescent="0.3">
      <c r="A11719" s="34">
        <v>69341</v>
      </c>
      <c r="B11719" s="35">
        <v>1</v>
      </c>
      <c r="C11719" s="35">
        <v>0</v>
      </c>
      <c r="D11719" s="2">
        <f t="shared" si="183"/>
        <v>1</v>
      </c>
    </row>
    <row r="11720" spans="1:4" x14ac:dyDescent="0.3">
      <c r="A11720" s="34">
        <v>69343</v>
      </c>
      <c r="B11720" s="35">
        <v>1</v>
      </c>
      <c r="C11720" s="35">
        <v>1</v>
      </c>
      <c r="D11720" s="2">
        <f t="shared" si="183"/>
        <v>2</v>
      </c>
    </row>
    <row r="11721" spans="1:4" x14ac:dyDescent="0.3">
      <c r="A11721" s="34">
        <v>69344</v>
      </c>
      <c r="B11721" s="35">
        <v>1</v>
      </c>
      <c r="C11721" s="35">
        <v>0</v>
      </c>
      <c r="D11721" s="2">
        <f t="shared" si="183"/>
        <v>1</v>
      </c>
    </row>
    <row r="11722" spans="1:4" x14ac:dyDescent="0.3">
      <c r="A11722" s="34">
        <v>69345</v>
      </c>
      <c r="B11722" s="35">
        <v>1</v>
      </c>
      <c r="C11722" s="35">
        <v>0</v>
      </c>
      <c r="D11722" s="2">
        <f t="shared" si="183"/>
        <v>1</v>
      </c>
    </row>
    <row r="11723" spans="1:4" x14ac:dyDescent="0.3">
      <c r="A11723" s="34">
        <v>69347</v>
      </c>
      <c r="B11723" s="35">
        <v>1</v>
      </c>
      <c r="C11723" s="35">
        <v>1</v>
      </c>
      <c r="D11723" s="2">
        <f t="shared" si="183"/>
        <v>2</v>
      </c>
    </row>
    <row r="11724" spans="1:4" x14ac:dyDescent="0.3">
      <c r="A11724" s="34">
        <v>69351</v>
      </c>
      <c r="B11724" s="35">
        <v>1</v>
      </c>
      <c r="C11724" s="35">
        <v>0</v>
      </c>
      <c r="D11724" s="2">
        <f t="shared" si="183"/>
        <v>1</v>
      </c>
    </row>
    <row r="11725" spans="1:4" x14ac:dyDescent="0.3">
      <c r="A11725" s="34">
        <v>69373</v>
      </c>
      <c r="B11725" s="35">
        <v>1</v>
      </c>
      <c r="C11725" s="35">
        <v>0</v>
      </c>
      <c r="D11725" s="2">
        <f t="shared" si="183"/>
        <v>1</v>
      </c>
    </row>
    <row r="11726" spans="1:4" x14ac:dyDescent="0.3">
      <c r="A11726" s="34">
        <v>69374</v>
      </c>
      <c r="B11726" s="35">
        <v>1</v>
      </c>
      <c r="C11726" s="35">
        <v>0</v>
      </c>
      <c r="D11726" s="2">
        <f t="shared" si="183"/>
        <v>1</v>
      </c>
    </row>
    <row r="11727" spans="1:4" x14ac:dyDescent="0.3">
      <c r="A11727" s="34">
        <v>69375</v>
      </c>
      <c r="B11727" s="35">
        <v>1</v>
      </c>
      <c r="C11727" s="35">
        <v>0</v>
      </c>
      <c r="D11727" s="2">
        <f t="shared" si="183"/>
        <v>1</v>
      </c>
    </row>
    <row r="11728" spans="1:4" x14ac:dyDescent="0.3">
      <c r="A11728" s="34">
        <v>69377</v>
      </c>
      <c r="B11728" s="35">
        <v>2</v>
      </c>
      <c r="C11728" s="35">
        <v>2</v>
      </c>
      <c r="D11728" s="2">
        <f t="shared" si="183"/>
        <v>4</v>
      </c>
    </row>
    <row r="11729" spans="1:4" x14ac:dyDescent="0.3">
      <c r="A11729" s="34">
        <v>69378</v>
      </c>
      <c r="B11729" s="35">
        <v>1</v>
      </c>
      <c r="C11729" s="35">
        <v>1</v>
      </c>
      <c r="D11729" s="2">
        <f t="shared" si="183"/>
        <v>2</v>
      </c>
    </row>
    <row r="11730" spans="1:4" x14ac:dyDescent="0.3">
      <c r="A11730" s="34">
        <v>69380</v>
      </c>
      <c r="B11730" s="35">
        <v>1</v>
      </c>
      <c r="C11730" s="35">
        <v>0</v>
      </c>
      <c r="D11730" s="2">
        <f t="shared" si="183"/>
        <v>1</v>
      </c>
    </row>
    <row r="11731" spans="1:4" x14ac:dyDescent="0.3">
      <c r="A11731" s="34">
        <v>69381</v>
      </c>
      <c r="B11731" s="35">
        <v>1</v>
      </c>
      <c r="C11731" s="35">
        <v>0</v>
      </c>
      <c r="D11731" s="2">
        <f t="shared" si="183"/>
        <v>1</v>
      </c>
    </row>
    <row r="11732" spans="1:4" x14ac:dyDescent="0.3">
      <c r="A11732" s="34">
        <v>69387</v>
      </c>
      <c r="B11732" s="35">
        <v>1</v>
      </c>
      <c r="C11732" s="35">
        <v>0</v>
      </c>
      <c r="D11732" s="2">
        <f t="shared" si="183"/>
        <v>1</v>
      </c>
    </row>
    <row r="11733" spans="1:4" x14ac:dyDescent="0.3">
      <c r="A11733" s="34">
        <v>69390</v>
      </c>
      <c r="B11733" s="35">
        <v>1</v>
      </c>
      <c r="C11733" s="35">
        <v>0</v>
      </c>
      <c r="D11733" s="2">
        <f t="shared" si="183"/>
        <v>1</v>
      </c>
    </row>
    <row r="11734" spans="1:4" x14ac:dyDescent="0.3">
      <c r="A11734" s="34">
        <v>69391</v>
      </c>
      <c r="B11734" s="35">
        <v>1</v>
      </c>
      <c r="C11734" s="35">
        <v>0</v>
      </c>
      <c r="D11734" s="2">
        <f t="shared" si="183"/>
        <v>1</v>
      </c>
    </row>
    <row r="11735" spans="1:4" x14ac:dyDescent="0.3">
      <c r="A11735" s="34">
        <v>69395</v>
      </c>
      <c r="B11735" s="35">
        <v>1</v>
      </c>
      <c r="C11735" s="35">
        <v>0</v>
      </c>
      <c r="D11735" s="2">
        <f t="shared" si="183"/>
        <v>1</v>
      </c>
    </row>
    <row r="11736" spans="1:4" x14ac:dyDescent="0.3">
      <c r="A11736" s="34">
        <v>69396</v>
      </c>
      <c r="B11736" s="35">
        <v>1</v>
      </c>
      <c r="C11736" s="35">
        <v>0</v>
      </c>
      <c r="D11736" s="2">
        <f t="shared" si="183"/>
        <v>1</v>
      </c>
    </row>
    <row r="11737" spans="1:4" x14ac:dyDescent="0.3">
      <c r="A11737" s="34">
        <v>69397</v>
      </c>
      <c r="B11737" s="35">
        <v>1</v>
      </c>
      <c r="C11737" s="35">
        <v>0</v>
      </c>
      <c r="D11737" s="2">
        <f t="shared" si="183"/>
        <v>1</v>
      </c>
    </row>
    <row r="11738" spans="1:4" x14ac:dyDescent="0.3">
      <c r="A11738" s="34">
        <v>69399</v>
      </c>
      <c r="B11738" s="35">
        <v>1</v>
      </c>
      <c r="C11738" s="35">
        <v>0</v>
      </c>
      <c r="D11738" s="2">
        <f t="shared" si="183"/>
        <v>1</v>
      </c>
    </row>
    <row r="11739" spans="1:4" x14ac:dyDescent="0.3">
      <c r="A11739" s="34">
        <v>69400</v>
      </c>
      <c r="B11739" s="35">
        <v>1</v>
      </c>
      <c r="C11739" s="35">
        <v>0</v>
      </c>
      <c r="D11739" s="2">
        <f t="shared" si="183"/>
        <v>1</v>
      </c>
    </row>
    <row r="11740" spans="1:4" x14ac:dyDescent="0.3">
      <c r="A11740" s="34">
        <v>69401</v>
      </c>
      <c r="B11740" s="35">
        <v>1</v>
      </c>
      <c r="C11740" s="35">
        <v>0</v>
      </c>
      <c r="D11740" s="2">
        <f t="shared" si="183"/>
        <v>1</v>
      </c>
    </row>
    <row r="11741" spans="1:4" x14ac:dyDescent="0.3">
      <c r="A11741" s="34">
        <v>69403</v>
      </c>
      <c r="B11741" s="35">
        <v>1</v>
      </c>
      <c r="C11741" s="35">
        <v>0</v>
      </c>
      <c r="D11741" s="2">
        <f t="shared" si="183"/>
        <v>1</v>
      </c>
    </row>
    <row r="11742" spans="1:4" x14ac:dyDescent="0.3">
      <c r="A11742" s="34">
        <v>69404</v>
      </c>
      <c r="B11742" s="35">
        <v>1</v>
      </c>
      <c r="C11742" s="35">
        <v>1</v>
      </c>
      <c r="D11742" s="2">
        <f t="shared" si="183"/>
        <v>2</v>
      </c>
    </row>
    <row r="11743" spans="1:4" x14ac:dyDescent="0.3">
      <c r="A11743" s="34">
        <v>69406</v>
      </c>
      <c r="B11743" s="35">
        <v>1</v>
      </c>
      <c r="C11743" s="35">
        <v>0</v>
      </c>
      <c r="D11743" s="2">
        <f t="shared" si="183"/>
        <v>1</v>
      </c>
    </row>
    <row r="11744" spans="1:4" x14ac:dyDescent="0.3">
      <c r="A11744" s="34">
        <v>69408</v>
      </c>
      <c r="B11744" s="35">
        <v>1</v>
      </c>
      <c r="C11744" s="35">
        <v>0</v>
      </c>
      <c r="D11744" s="2">
        <f t="shared" si="183"/>
        <v>1</v>
      </c>
    </row>
    <row r="11745" spans="1:4" x14ac:dyDescent="0.3">
      <c r="A11745" s="34">
        <v>69409</v>
      </c>
      <c r="B11745" s="35">
        <v>1</v>
      </c>
      <c r="C11745" s="35">
        <v>1</v>
      </c>
      <c r="D11745" s="2">
        <f t="shared" si="183"/>
        <v>2</v>
      </c>
    </row>
    <row r="11746" spans="1:4" x14ac:dyDescent="0.3">
      <c r="A11746" s="34">
        <v>69411</v>
      </c>
      <c r="B11746" s="35">
        <v>1</v>
      </c>
      <c r="C11746" s="35">
        <v>0</v>
      </c>
      <c r="D11746" s="2">
        <f t="shared" si="183"/>
        <v>1</v>
      </c>
    </row>
    <row r="11747" spans="1:4" x14ac:dyDescent="0.3">
      <c r="A11747" s="34">
        <v>69415</v>
      </c>
      <c r="B11747" s="35">
        <v>1</v>
      </c>
      <c r="C11747" s="35">
        <v>0</v>
      </c>
      <c r="D11747" s="2">
        <f t="shared" si="183"/>
        <v>1</v>
      </c>
    </row>
    <row r="11748" spans="1:4" x14ac:dyDescent="0.3">
      <c r="A11748" s="34">
        <v>69416</v>
      </c>
      <c r="B11748" s="35">
        <v>1</v>
      </c>
      <c r="C11748" s="35">
        <v>0</v>
      </c>
      <c r="D11748" s="2">
        <f t="shared" si="183"/>
        <v>1</v>
      </c>
    </row>
    <row r="11749" spans="1:4" x14ac:dyDescent="0.3">
      <c r="A11749" s="34">
        <v>69422</v>
      </c>
      <c r="B11749" s="35">
        <v>1</v>
      </c>
      <c r="C11749" s="35">
        <v>1</v>
      </c>
      <c r="D11749" s="2">
        <f t="shared" si="183"/>
        <v>2</v>
      </c>
    </row>
    <row r="11750" spans="1:4" x14ac:dyDescent="0.3">
      <c r="A11750" s="34">
        <v>69429</v>
      </c>
      <c r="B11750" s="35">
        <v>1</v>
      </c>
      <c r="C11750" s="35">
        <v>0</v>
      </c>
      <c r="D11750" s="2">
        <f t="shared" si="183"/>
        <v>1</v>
      </c>
    </row>
    <row r="11751" spans="1:4" x14ac:dyDescent="0.3">
      <c r="A11751" s="34">
        <v>69433</v>
      </c>
      <c r="B11751" s="35">
        <v>1</v>
      </c>
      <c r="C11751" s="35">
        <v>0</v>
      </c>
      <c r="D11751" s="2">
        <f t="shared" si="183"/>
        <v>1</v>
      </c>
    </row>
    <row r="11752" spans="1:4" x14ac:dyDescent="0.3">
      <c r="A11752" s="34">
        <v>69434</v>
      </c>
      <c r="B11752" s="35">
        <v>1</v>
      </c>
      <c r="C11752" s="35">
        <v>0</v>
      </c>
      <c r="D11752" s="2">
        <f t="shared" si="183"/>
        <v>1</v>
      </c>
    </row>
    <row r="11753" spans="1:4" x14ac:dyDescent="0.3">
      <c r="A11753" s="34">
        <v>69451</v>
      </c>
      <c r="B11753" s="35">
        <v>1</v>
      </c>
      <c r="C11753" s="35">
        <v>1</v>
      </c>
      <c r="D11753" s="2">
        <f t="shared" si="183"/>
        <v>2</v>
      </c>
    </row>
    <row r="11754" spans="1:4" x14ac:dyDescent="0.3">
      <c r="A11754" s="34">
        <v>69454</v>
      </c>
      <c r="B11754" s="35">
        <v>1</v>
      </c>
      <c r="C11754" s="35">
        <v>0</v>
      </c>
      <c r="D11754" s="2">
        <f t="shared" si="183"/>
        <v>1</v>
      </c>
    </row>
    <row r="11755" spans="1:4" x14ac:dyDescent="0.3">
      <c r="A11755" s="34">
        <v>69456</v>
      </c>
      <c r="B11755" s="35">
        <v>1</v>
      </c>
      <c r="C11755" s="35">
        <v>0</v>
      </c>
      <c r="D11755" s="2">
        <f t="shared" si="183"/>
        <v>1</v>
      </c>
    </row>
    <row r="11756" spans="1:4" x14ac:dyDescent="0.3">
      <c r="A11756" s="34">
        <v>69468</v>
      </c>
      <c r="B11756" s="35">
        <v>1</v>
      </c>
      <c r="C11756" s="35">
        <v>0</v>
      </c>
      <c r="D11756" s="2">
        <f t="shared" si="183"/>
        <v>1</v>
      </c>
    </row>
    <row r="11757" spans="1:4" x14ac:dyDescent="0.3">
      <c r="A11757" s="34">
        <v>69485</v>
      </c>
      <c r="B11757" s="35">
        <v>1</v>
      </c>
      <c r="C11757" s="35">
        <v>0</v>
      </c>
      <c r="D11757" s="2">
        <f t="shared" si="183"/>
        <v>1</v>
      </c>
    </row>
    <row r="11758" spans="1:4" x14ac:dyDescent="0.3">
      <c r="A11758" s="34">
        <v>69487</v>
      </c>
      <c r="B11758" s="35">
        <v>1</v>
      </c>
      <c r="C11758" s="35">
        <v>0</v>
      </c>
      <c r="D11758" s="2">
        <f t="shared" si="183"/>
        <v>1</v>
      </c>
    </row>
    <row r="11759" spans="1:4" x14ac:dyDescent="0.3">
      <c r="A11759" s="34">
        <v>69513</v>
      </c>
      <c r="B11759" s="35">
        <v>1</v>
      </c>
      <c r="C11759" s="35">
        <v>0</v>
      </c>
      <c r="D11759" s="2">
        <f t="shared" si="183"/>
        <v>1</v>
      </c>
    </row>
    <row r="11760" spans="1:4" x14ac:dyDescent="0.3">
      <c r="A11760" s="34">
        <v>69514</v>
      </c>
      <c r="B11760" s="35">
        <v>1</v>
      </c>
      <c r="C11760" s="35">
        <v>1</v>
      </c>
      <c r="D11760" s="2">
        <f t="shared" si="183"/>
        <v>2</v>
      </c>
    </row>
    <row r="11761" spans="1:4" x14ac:dyDescent="0.3">
      <c r="A11761" s="34">
        <v>69516</v>
      </c>
      <c r="B11761" s="35">
        <v>1</v>
      </c>
      <c r="C11761" s="35">
        <v>0</v>
      </c>
      <c r="D11761" s="2">
        <f t="shared" si="183"/>
        <v>1</v>
      </c>
    </row>
    <row r="11762" spans="1:4" x14ac:dyDescent="0.3">
      <c r="A11762" s="34">
        <v>69517</v>
      </c>
      <c r="B11762" s="35">
        <v>1</v>
      </c>
      <c r="C11762" s="35">
        <v>0</v>
      </c>
      <c r="D11762" s="2">
        <f t="shared" si="183"/>
        <v>1</v>
      </c>
    </row>
    <row r="11763" spans="1:4" x14ac:dyDescent="0.3">
      <c r="A11763" s="34">
        <v>69522</v>
      </c>
      <c r="B11763" s="35">
        <v>1</v>
      </c>
      <c r="C11763" s="35">
        <v>0</v>
      </c>
      <c r="D11763" s="2">
        <f t="shared" si="183"/>
        <v>1</v>
      </c>
    </row>
    <row r="11764" spans="1:4" x14ac:dyDescent="0.3">
      <c r="A11764" s="34">
        <v>69523</v>
      </c>
      <c r="B11764" s="35">
        <v>1</v>
      </c>
      <c r="C11764" s="35">
        <v>1</v>
      </c>
      <c r="D11764" s="2">
        <f t="shared" si="183"/>
        <v>2</v>
      </c>
    </row>
    <row r="11765" spans="1:4" x14ac:dyDescent="0.3">
      <c r="A11765" s="34">
        <v>69528</v>
      </c>
      <c r="B11765" s="35">
        <v>1</v>
      </c>
      <c r="C11765" s="35">
        <v>0</v>
      </c>
      <c r="D11765" s="2">
        <f t="shared" si="183"/>
        <v>1</v>
      </c>
    </row>
    <row r="11766" spans="1:4" x14ac:dyDescent="0.3">
      <c r="A11766" s="34">
        <v>69529</v>
      </c>
      <c r="B11766" s="35">
        <v>1</v>
      </c>
      <c r="C11766" s="35">
        <v>0</v>
      </c>
      <c r="D11766" s="2">
        <f t="shared" si="183"/>
        <v>1</v>
      </c>
    </row>
    <row r="11767" spans="1:4" x14ac:dyDescent="0.3">
      <c r="A11767" s="34">
        <v>69530</v>
      </c>
      <c r="B11767" s="35">
        <v>1</v>
      </c>
      <c r="C11767" s="35">
        <v>1</v>
      </c>
      <c r="D11767" s="2">
        <f t="shared" si="183"/>
        <v>2</v>
      </c>
    </row>
    <row r="11768" spans="1:4" x14ac:dyDescent="0.3">
      <c r="A11768" s="34">
        <v>69531</v>
      </c>
      <c r="B11768" s="35">
        <v>1</v>
      </c>
      <c r="C11768" s="35">
        <v>1</v>
      </c>
      <c r="D11768" s="2">
        <f t="shared" si="183"/>
        <v>2</v>
      </c>
    </row>
    <row r="11769" spans="1:4" x14ac:dyDescent="0.3">
      <c r="A11769" s="34">
        <v>69532</v>
      </c>
      <c r="B11769" s="35">
        <v>1</v>
      </c>
      <c r="C11769" s="35">
        <v>0</v>
      </c>
      <c r="D11769" s="2">
        <f t="shared" si="183"/>
        <v>1</v>
      </c>
    </row>
    <row r="11770" spans="1:4" x14ac:dyDescent="0.3">
      <c r="A11770" s="34">
        <v>69533</v>
      </c>
      <c r="B11770" s="35">
        <v>2</v>
      </c>
      <c r="C11770" s="35">
        <v>0</v>
      </c>
      <c r="D11770" s="2">
        <f t="shared" si="183"/>
        <v>2</v>
      </c>
    </row>
    <row r="11771" spans="1:4" x14ac:dyDescent="0.3">
      <c r="A11771" s="34">
        <v>69534</v>
      </c>
      <c r="B11771" s="35">
        <v>1</v>
      </c>
      <c r="C11771" s="35">
        <v>0</v>
      </c>
      <c r="D11771" s="2">
        <f t="shared" si="183"/>
        <v>1</v>
      </c>
    </row>
    <row r="11772" spans="1:4" x14ac:dyDescent="0.3">
      <c r="A11772" s="34">
        <v>69538</v>
      </c>
      <c r="B11772" s="35">
        <v>1</v>
      </c>
      <c r="C11772" s="35">
        <v>0</v>
      </c>
      <c r="D11772" s="2">
        <f t="shared" si="183"/>
        <v>1</v>
      </c>
    </row>
    <row r="11773" spans="1:4" x14ac:dyDescent="0.3">
      <c r="A11773" s="34">
        <v>69539</v>
      </c>
      <c r="B11773" s="35">
        <v>1</v>
      </c>
      <c r="C11773" s="35">
        <v>0</v>
      </c>
      <c r="D11773" s="2">
        <f t="shared" si="183"/>
        <v>1</v>
      </c>
    </row>
    <row r="11774" spans="1:4" x14ac:dyDescent="0.3">
      <c r="A11774" s="34">
        <v>69540</v>
      </c>
      <c r="B11774" s="35">
        <v>1</v>
      </c>
      <c r="C11774" s="35">
        <v>0</v>
      </c>
      <c r="D11774" s="2">
        <f t="shared" si="183"/>
        <v>1</v>
      </c>
    </row>
    <row r="11775" spans="1:4" x14ac:dyDescent="0.3">
      <c r="A11775" s="34">
        <v>69542</v>
      </c>
      <c r="B11775" s="35">
        <v>1</v>
      </c>
      <c r="C11775" s="35">
        <v>0</v>
      </c>
      <c r="D11775" s="2">
        <f t="shared" si="183"/>
        <v>1</v>
      </c>
    </row>
    <row r="11776" spans="1:4" x14ac:dyDescent="0.3">
      <c r="A11776" s="34">
        <v>69543</v>
      </c>
      <c r="B11776" s="35">
        <v>1</v>
      </c>
      <c r="C11776" s="35">
        <v>0</v>
      </c>
      <c r="D11776" s="2">
        <f t="shared" si="183"/>
        <v>1</v>
      </c>
    </row>
    <row r="11777" spans="1:4" x14ac:dyDescent="0.3">
      <c r="A11777" s="34">
        <v>69546</v>
      </c>
      <c r="B11777" s="35">
        <v>1</v>
      </c>
      <c r="C11777" s="35">
        <v>0</v>
      </c>
      <c r="D11777" s="2">
        <f t="shared" si="183"/>
        <v>1</v>
      </c>
    </row>
    <row r="11778" spans="1:4" x14ac:dyDescent="0.3">
      <c r="A11778" s="34">
        <v>69548</v>
      </c>
      <c r="B11778" s="35">
        <v>1</v>
      </c>
      <c r="C11778" s="35">
        <v>0</v>
      </c>
      <c r="D11778" s="2">
        <f t="shared" si="183"/>
        <v>1</v>
      </c>
    </row>
    <row r="11779" spans="1:4" x14ac:dyDescent="0.3">
      <c r="A11779" s="34">
        <v>69551</v>
      </c>
      <c r="B11779" s="35">
        <v>1</v>
      </c>
      <c r="C11779" s="35">
        <v>0</v>
      </c>
      <c r="D11779" s="2">
        <f t="shared" ref="D11779:D11842" si="184">B11779+C11779</f>
        <v>1</v>
      </c>
    </row>
    <row r="11780" spans="1:4" x14ac:dyDescent="0.3">
      <c r="A11780" s="34">
        <v>69552</v>
      </c>
      <c r="B11780" s="35">
        <v>1</v>
      </c>
      <c r="C11780" s="35">
        <v>0</v>
      </c>
      <c r="D11780" s="2">
        <f t="shared" si="184"/>
        <v>1</v>
      </c>
    </row>
    <row r="11781" spans="1:4" x14ac:dyDescent="0.3">
      <c r="A11781" s="34">
        <v>69554</v>
      </c>
      <c r="B11781" s="35">
        <v>1</v>
      </c>
      <c r="C11781" s="35">
        <v>0</v>
      </c>
      <c r="D11781" s="2">
        <f t="shared" si="184"/>
        <v>1</v>
      </c>
    </row>
    <row r="11782" spans="1:4" x14ac:dyDescent="0.3">
      <c r="A11782" s="34">
        <v>69556</v>
      </c>
      <c r="B11782" s="35">
        <v>1</v>
      </c>
      <c r="C11782" s="35">
        <v>0</v>
      </c>
      <c r="D11782" s="2">
        <f t="shared" si="184"/>
        <v>1</v>
      </c>
    </row>
    <row r="11783" spans="1:4" x14ac:dyDescent="0.3">
      <c r="A11783" s="34">
        <v>69558</v>
      </c>
      <c r="B11783" s="35">
        <v>1</v>
      </c>
      <c r="C11783" s="35">
        <v>0</v>
      </c>
      <c r="D11783" s="2">
        <f t="shared" si="184"/>
        <v>1</v>
      </c>
    </row>
    <row r="11784" spans="1:4" x14ac:dyDescent="0.3">
      <c r="A11784" s="34">
        <v>69559</v>
      </c>
      <c r="B11784" s="35">
        <v>1</v>
      </c>
      <c r="C11784" s="35">
        <v>0</v>
      </c>
      <c r="D11784" s="2">
        <f t="shared" si="184"/>
        <v>1</v>
      </c>
    </row>
    <row r="11785" spans="1:4" x14ac:dyDescent="0.3">
      <c r="A11785" s="34">
        <v>69560</v>
      </c>
      <c r="B11785" s="35">
        <v>1</v>
      </c>
      <c r="C11785" s="35">
        <v>0</v>
      </c>
      <c r="D11785" s="2">
        <f t="shared" si="184"/>
        <v>1</v>
      </c>
    </row>
    <row r="11786" spans="1:4" x14ac:dyDescent="0.3">
      <c r="A11786" s="34">
        <v>69561</v>
      </c>
      <c r="B11786" s="35">
        <v>1</v>
      </c>
      <c r="C11786" s="35">
        <v>0</v>
      </c>
      <c r="D11786" s="2">
        <f t="shared" si="184"/>
        <v>1</v>
      </c>
    </row>
    <row r="11787" spans="1:4" x14ac:dyDescent="0.3">
      <c r="A11787" s="34">
        <v>69562</v>
      </c>
      <c r="B11787" s="35">
        <v>1</v>
      </c>
      <c r="C11787" s="35">
        <v>0</v>
      </c>
      <c r="D11787" s="2">
        <f t="shared" si="184"/>
        <v>1</v>
      </c>
    </row>
    <row r="11788" spans="1:4" x14ac:dyDescent="0.3">
      <c r="A11788" s="34">
        <v>69566</v>
      </c>
      <c r="B11788" s="35">
        <v>1</v>
      </c>
      <c r="C11788" s="35">
        <v>0</v>
      </c>
      <c r="D11788" s="2">
        <f t="shared" si="184"/>
        <v>1</v>
      </c>
    </row>
    <row r="11789" spans="1:4" x14ac:dyDescent="0.3">
      <c r="A11789" s="34">
        <v>69567</v>
      </c>
      <c r="B11789" s="35">
        <v>1</v>
      </c>
      <c r="C11789" s="35">
        <v>0</v>
      </c>
      <c r="D11789" s="2">
        <f t="shared" si="184"/>
        <v>1</v>
      </c>
    </row>
    <row r="11790" spans="1:4" x14ac:dyDescent="0.3">
      <c r="A11790" s="34">
        <v>69570</v>
      </c>
      <c r="B11790" s="35">
        <v>1</v>
      </c>
      <c r="C11790" s="35">
        <v>0</v>
      </c>
      <c r="D11790" s="2">
        <f t="shared" si="184"/>
        <v>1</v>
      </c>
    </row>
    <row r="11791" spans="1:4" x14ac:dyDescent="0.3">
      <c r="A11791" s="34">
        <v>69571</v>
      </c>
      <c r="B11791" s="35">
        <v>1</v>
      </c>
      <c r="C11791" s="35">
        <v>0</v>
      </c>
      <c r="D11791" s="2">
        <f t="shared" si="184"/>
        <v>1</v>
      </c>
    </row>
    <row r="11792" spans="1:4" x14ac:dyDescent="0.3">
      <c r="A11792" s="34">
        <v>69572</v>
      </c>
      <c r="B11792" s="35">
        <v>1</v>
      </c>
      <c r="C11792" s="35">
        <v>0</v>
      </c>
      <c r="D11792" s="2">
        <f t="shared" si="184"/>
        <v>1</v>
      </c>
    </row>
    <row r="11793" spans="1:4" x14ac:dyDescent="0.3">
      <c r="A11793" s="34">
        <v>69573</v>
      </c>
      <c r="B11793" s="35">
        <v>1</v>
      </c>
      <c r="C11793" s="35">
        <v>0</v>
      </c>
      <c r="D11793" s="2">
        <f t="shared" si="184"/>
        <v>1</v>
      </c>
    </row>
    <row r="11794" spans="1:4" x14ac:dyDescent="0.3">
      <c r="A11794" s="34">
        <v>69577</v>
      </c>
      <c r="B11794" s="35">
        <v>1</v>
      </c>
      <c r="C11794" s="35">
        <v>0</v>
      </c>
      <c r="D11794" s="2">
        <f t="shared" si="184"/>
        <v>1</v>
      </c>
    </row>
    <row r="11795" spans="1:4" x14ac:dyDescent="0.3">
      <c r="A11795" s="34">
        <v>69578</v>
      </c>
      <c r="B11795" s="35">
        <v>1</v>
      </c>
      <c r="C11795" s="35">
        <v>0</v>
      </c>
      <c r="D11795" s="2">
        <f t="shared" si="184"/>
        <v>1</v>
      </c>
    </row>
    <row r="11796" spans="1:4" x14ac:dyDescent="0.3">
      <c r="A11796" s="34">
        <v>69579</v>
      </c>
      <c r="B11796" s="35">
        <v>1</v>
      </c>
      <c r="C11796" s="35">
        <v>0</v>
      </c>
      <c r="D11796" s="2">
        <f t="shared" si="184"/>
        <v>1</v>
      </c>
    </row>
    <row r="11797" spans="1:4" x14ac:dyDescent="0.3">
      <c r="A11797" s="34">
        <v>69581</v>
      </c>
      <c r="B11797" s="35">
        <v>1</v>
      </c>
      <c r="C11797" s="35">
        <v>0</v>
      </c>
      <c r="D11797" s="2">
        <f t="shared" si="184"/>
        <v>1</v>
      </c>
    </row>
    <row r="11798" spans="1:4" x14ac:dyDescent="0.3">
      <c r="A11798" s="34">
        <v>69582</v>
      </c>
      <c r="B11798" s="35">
        <v>1</v>
      </c>
      <c r="C11798" s="35">
        <v>0</v>
      </c>
      <c r="D11798" s="2">
        <f t="shared" si="184"/>
        <v>1</v>
      </c>
    </row>
    <row r="11799" spans="1:4" x14ac:dyDescent="0.3">
      <c r="A11799" s="34">
        <v>69586</v>
      </c>
      <c r="B11799" s="35">
        <v>1</v>
      </c>
      <c r="C11799" s="35">
        <v>0</v>
      </c>
      <c r="D11799" s="2">
        <f t="shared" si="184"/>
        <v>1</v>
      </c>
    </row>
    <row r="11800" spans="1:4" x14ac:dyDescent="0.3">
      <c r="A11800" s="34">
        <v>69587</v>
      </c>
      <c r="B11800" s="35">
        <v>1</v>
      </c>
      <c r="C11800" s="35">
        <v>1</v>
      </c>
      <c r="D11800" s="2">
        <f t="shared" si="184"/>
        <v>2</v>
      </c>
    </row>
    <row r="11801" spans="1:4" x14ac:dyDescent="0.3">
      <c r="A11801" s="34">
        <v>69589</v>
      </c>
      <c r="B11801" s="35">
        <v>1</v>
      </c>
      <c r="C11801" s="35">
        <v>0</v>
      </c>
      <c r="D11801" s="2">
        <f t="shared" si="184"/>
        <v>1</v>
      </c>
    </row>
    <row r="11802" spans="1:4" x14ac:dyDescent="0.3">
      <c r="A11802" s="34">
        <v>69590</v>
      </c>
      <c r="B11802" s="35">
        <v>1</v>
      </c>
      <c r="C11802" s="35">
        <v>0</v>
      </c>
      <c r="D11802" s="2">
        <f t="shared" si="184"/>
        <v>1</v>
      </c>
    </row>
    <row r="11803" spans="1:4" x14ac:dyDescent="0.3">
      <c r="A11803" s="34">
        <v>69591</v>
      </c>
      <c r="B11803" s="35">
        <v>1</v>
      </c>
      <c r="C11803" s="35">
        <v>0</v>
      </c>
      <c r="D11803" s="2">
        <f t="shared" si="184"/>
        <v>1</v>
      </c>
    </row>
    <row r="11804" spans="1:4" x14ac:dyDescent="0.3">
      <c r="A11804" s="34">
        <v>69595</v>
      </c>
      <c r="B11804" s="35">
        <v>1</v>
      </c>
      <c r="C11804" s="35">
        <v>0</v>
      </c>
      <c r="D11804" s="2">
        <f t="shared" si="184"/>
        <v>1</v>
      </c>
    </row>
    <row r="11805" spans="1:4" x14ac:dyDescent="0.3">
      <c r="A11805" s="34">
        <v>69598</v>
      </c>
      <c r="B11805" s="35">
        <v>1</v>
      </c>
      <c r="C11805" s="35">
        <v>1</v>
      </c>
      <c r="D11805" s="2">
        <f t="shared" si="184"/>
        <v>2</v>
      </c>
    </row>
    <row r="11806" spans="1:4" x14ac:dyDescent="0.3">
      <c r="A11806" s="34">
        <v>69601</v>
      </c>
      <c r="B11806" s="35">
        <v>1</v>
      </c>
      <c r="C11806" s="35">
        <v>0</v>
      </c>
      <c r="D11806" s="2">
        <f t="shared" si="184"/>
        <v>1</v>
      </c>
    </row>
    <row r="11807" spans="1:4" x14ac:dyDescent="0.3">
      <c r="A11807" s="34">
        <v>69602</v>
      </c>
      <c r="B11807" s="35">
        <v>1</v>
      </c>
      <c r="C11807" s="35">
        <v>0</v>
      </c>
      <c r="D11807" s="2">
        <f t="shared" si="184"/>
        <v>1</v>
      </c>
    </row>
    <row r="11808" spans="1:4" x14ac:dyDescent="0.3">
      <c r="A11808" s="34">
        <v>69604</v>
      </c>
      <c r="B11808" s="35">
        <v>1</v>
      </c>
      <c r="C11808" s="35">
        <v>0</v>
      </c>
      <c r="D11808" s="2">
        <f t="shared" si="184"/>
        <v>1</v>
      </c>
    </row>
    <row r="11809" spans="1:4" x14ac:dyDescent="0.3">
      <c r="A11809" s="34">
        <v>69606</v>
      </c>
      <c r="B11809" s="35">
        <v>1</v>
      </c>
      <c r="C11809" s="35">
        <v>0</v>
      </c>
      <c r="D11809" s="2">
        <f t="shared" si="184"/>
        <v>1</v>
      </c>
    </row>
    <row r="11810" spans="1:4" x14ac:dyDescent="0.3">
      <c r="A11810" s="34">
        <v>69607</v>
      </c>
      <c r="B11810" s="35">
        <v>1</v>
      </c>
      <c r="C11810" s="35">
        <v>0</v>
      </c>
      <c r="D11810" s="2">
        <f t="shared" si="184"/>
        <v>1</v>
      </c>
    </row>
    <row r="11811" spans="1:4" x14ac:dyDescent="0.3">
      <c r="A11811" s="34">
        <v>69608</v>
      </c>
      <c r="B11811" s="35">
        <v>1</v>
      </c>
      <c r="C11811" s="35">
        <v>1</v>
      </c>
      <c r="D11811" s="2">
        <f t="shared" si="184"/>
        <v>2</v>
      </c>
    </row>
    <row r="11812" spans="1:4" x14ac:dyDescent="0.3">
      <c r="A11812" s="34">
        <v>69609</v>
      </c>
      <c r="B11812" s="35">
        <v>3</v>
      </c>
      <c r="C11812" s="35">
        <v>1</v>
      </c>
      <c r="D11812" s="2">
        <f t="shared" si="184"/>
        <v>4</v>
      </c>
    </row>
    <row r="11813" spans="1:4" x14ac:dyDescent="0.3">
      <c r="A11813" s="34">
        <v>69613</v>
      </c>
      <c r="B11813" s="35">
        <v>1</v>
      </c>
      <c r="C11813" s="35">
        <v>0</v>
      </c>
      <c r="D11813" s="2">
        <f t="shared" si="184"/>
        <v>1</v>
      </c>
    </row>
    <row r="11814" spans="1:4" x14ac:dyDescent="0.3">
      <c r="A11814" s="34">
        <v>69614</v>
      </c>
      <c r="B11814" s="35">
        <v>1</v>
      </c>
      <c r="C11814" s="35">
        <v>0</v>
      </c>
      <c r="D11814" s="2">
        <f t="shared" si="184"/>
        <v>1</v>
      </c>
    </row>
    <row r="11815" spans="1:4" x14ac:dyDescent="0.3">
      <c r="A11815" s="34">
        <v>69615</v>
      </c>
      <c r="B11815" s="35">
        <v>1</v>
      </c>
      <c r="C11815" s="35">
        <v>0</v>
      </c>
      <c r="D11815" s="2">
        <f t="shared" si="184"/>
        <v>1</v>
      </c>
    </row>
    <row r="11816" spans="1:4" x14ac:dyDescent="0.3">
      <c r="A11816" s="34">
        <v>69616</v>
      </c>
      <c r="B11816" s="35">
        <v>1</v>
      </c>
      <c r="C11816" s="35">
        <v>0</v>
      </c>
      <c r="D11816" s="2">
        <f t="shared" si="184"/>
        <v>1</v>
      </c>
    </row>
    <row r="11817" spans="1:4" x14ac:dyDescent="0.3">
      <c r="A11817" s="34">
        <v>69617</v>
      </c>
      <c r="B11817" s="35">
        <v>1</v>
      </c>
      <c r="C11817" s="35">
        <v>0</v>
      </c>
      <c r="D11817" s="2">
        <f t="shared" si="184"/>
        <v>1</v>
      </c>
    </row>
    <row r="11818" spans="1:4" x14ac:dyDescent="0.3">
      <c r="A11818" s="34">
        <v>69619</v>
      </c>
      <c r="B11818" s="35">
        <v>1</v>
      </c>
      <c r="C11818" s="35">
        <v>0</v>
      </c>
      <c r="D11818" s="2">
        <f t="shared" si="184"/>
        <v>1</v>
      </c>
    </row>
    <row r="11819" spans="1:4" x14ac:dyDescent="0.3">
      <c r="A11819" s="34">
        <v>69623</v>
      </c>
      <c r="B11819" s="35">
        <v>1</v>
      </c>
      <c r="C11819" s="35">
        <v>0</v>
      </c>
      <c r="D11819" s="2">
        <f t="shared" si="184"/>
        <v>1</v>
      </c>
    </row>
    <row r="11820" spans="1:4" x14ac:dyDescent="0.3">
      <c r="A11820" s="34">
        <v>69625</v>
      </c>
      <c r="B11820" s="35">
        <v>1</v>
      </c>
      <c r="C11820" s="35">
        <v>1</v>
      </c>
      <c r="D11820" s="2">
        <f t="shared" si="184"/>
        <v>2</v>
      </c>
    </row>
    <row r="11821" spans="1:4" x14ac:dyDescent="0.3">
      <c r="A11821" s="34">
        <v>69627</v>
      </c>
      <c r="B11821" s="35">
        <v>1</v>
      </c>
      <c r="C11821" s="35">
        <v>0</v>
      </c>
      <c r="D11821" s="2">
        <f t="shared" si="184"/>
        <v>1</v>
      </c>
    </row>
    <row r="11822" spans="1:4" x14ac:dyDescent="0.3">
      <c r="A11822" s="34">
        <v>69630</v>
      </c>
      <c r="B11822" s="35">
        <v>1</v>
      </c>
      <c r="C11822" s="35">
        <v>0</v>
      </c>
      <c r="D11822" s="2">
        <f t="shared" si="184"/>
        <v>1</v>
      </c>
    </row>
    <row r="11823" spans="1:4" x14ac:dyDescent="0.3">
      <c r="A11823" s="34">
        <v>69632</v>
      </c>
      <c r="B11823" s="35">
        <v>1</v>
      </c>
      <c r="C11823" s="35">
        <v>0</v>
      </c>
      <c r="D11823" s="2">
        <f t="shared" si="184"/>
        <v>1</v>
      </c>
    </row>
    <row r="11824" spans="1:4" x14ac:dyDescent="0.3">
      <c r="A11824" s="34">
        <v>69635</v>
      </c>
      <c r="B11824" s="35">
        <v>1</v>
      </c>
      <c r="C11824" s="35">
        <v>0</v>
      </c>
      <c r="D11824" s="2">
        <f t="shared" si="184"/>
        <v>1</v>
      </c>
    </row>
    <row r="11825" spans="1:4" x14ac:dyDescent="0.3">
      <c r="A11825" s="34">
        <v>69636</v>
      </c>
      <c r="B11825" s="35">
        <v>1</v>
      </c>
      <c r="C11825" s="35">
        <v>0</v>
      </c>
      <c r="D11825" s="2">
        <f t="shared" si="184"/>
        <v>1</v>
      </c>
    </row>
    <row r="11826" spans="1:4" x14ac:dyDescent="0.3">
      <c r="A11826" s="34">
        <v>69641</v>
      </c>
      <c r="B11826" s="35">
        <v>1</v>
      </c>
      <c r="C11826" s="35">
        <v>0</v>
      </c>
      <c r="D11826" s="2">
        <f t="shared" si="184"/>
        <v>1</v>
      </c>
    </row>
    <row r="11827" spans="1:4" x14ac:dyDescent="0.3">
      <c r="A11827" s="34">
        <v>69644</v>
      </c>
      <c r="B11827" s="35">
        <v>1</v>
      </c>
      <c r="C11827" s="35">
        <v>0</v>
      </c>
      <c r="D11827" s="2">
        <f t="shared" si="184"/>
        <v>1</v>
      </c>
    </row>
    <row r="11828" spans="1:4" x14ac:dyDescent="0.3">
      <c r="A11828" s="34">
        <v>69648</v>
      </c>
      <c r="B11828" s="35">
        <v>1</v>
      </c>
      <c r="C11828" s="35">
        <v>0</v>
      </c>
      <c r="D11828" s="2">
        <f t="shared" si="184"/>
        <v>1</v>
      </c>
    </row>
    <row r="11829" spans="1:4" x14ac:dyDescent="0.3">
      <c r="A11829" s="34">
        <v>69652</v>
      </c>
      <c r="B11829" s="35">
        <v>1</v>
      </c>
      <c r="C11829" s="35">
        <v>0</v>
      </c>
      <c r="D11829" s="2">
        <f t="shared" si="184"/>
        <v>1</v>
      </c>
    </row>
    <row r="11830" spans="1:4" x14ac:dyDescent="0.3">
      <c r="A11830" s="34">
        <v>69653</v>
      </c>
      <c r="B11830" s="35">
        <v>1</v>
      </c>
      <c r="C11830" s="35">
        <v>0</v>
      </c>
      <c r="D11830" s="2">
        <f t="shared" si="184"/>
        <v>1</v>
      </c>
    </row>
    <row r="11831" spans="1:4" x14ac:dyDescent="0.3">
      <c r="A11831" s="34">
        <v>69655</v>
      </c>
      <c r="B11831" s="35">
        <v>1</v>
      </c>
      <c r="C11831" s="35">
        <v>1</v>
      </c>
      <c r="D11831" s="2">
        <f t="shared" si="184"/>
        <v>2</v>
      </c>
    </row>
    <row r="11832" spans="1:4" x14ac:dyDescent="0.3">
      <c r="A11832" s="34">
        <v>69656</v>
      </c>
      <c r="B11832" s="35">
        <v>1</v>
      </c>
      <c r="C11832" s="35">
        <v>0</v>
      </c>
      <c r="D11832" s="2">
        <f t="shared" si="184"/>
        <v>1</v>
      </c>
    </row>
    <row r="11833" spans="1:4" x14ac:dyDescent="0.3">
      <c r="A11833" s="34">
        <v>69658</v>
      </c>
      <c r="B11833" s="35">
        <v>1</v>
      </c>
      <c r="C11833" s="35">
        <v>0</v>
      </c>
      <c r="D11833" s="2">
        <f t="shared" si="184"/>
        <v>1</v>
      </c>
    </row>
    <row r="11834" spans="1:4" x14ac:dyDescent="0.3">
      <c r="A11834" s="34">
        <v>69659</v>
      </c>
      <c r="B11834" s="35">
        <v>1</v>
      </c>
      <c r="C11834" s="35">
        <v>0</v>
      </c>
      <c r="D11834" s="2">
        <f t="shared" si="184"/>
        <v>1</v>
      </c>
    </row>
    <row r="11835" spans="1:4" x14ac:dyDescent="0.3">
      <c r="A11835" s="34">
        <v>69660</v>
      </c>
      <c r="B11835" s="35">
        <v>1</v>
      </c>
      <c r="C11835" s="35">
        <v>0</v>
      </c>
      <c r="D11835" s="2">
        <f t="shared" si="184"/>
        <v>1</v>
      </c>
    </row>
    <row r="11836" spans="1:4" x14ac:dyDescent="0.3">
      <c r="A11836" s="34">
        <v>69665</v>
      </c>
      <c r="B11836" s="35">
        <v>1</v>
      </c>
      <c r="C11836" s="35">
        <v>0</v>
      </c>
      <c r="D11836" s="2">
        <f t="shared" si="184"/>
        <v>1</v>
      </c>
    </row>
    <row r="11837" spans="1:4" x14ac:dyDescent="0.3">
      <c r="A11837" s="34">
        <v>69676</v>
      </c>
      <c r="B11837" s="35">
        <v>1</v>
      </c>
      <c r="C11837" s="35">
        <v>0</v>
      </c>
      <c r="D11837" s="2">
        <f t="shared" si="184"/>
        <v>1</v>
      </c>
    </row>
    <row r="11838" spans="1:4" x14ac:dyDescent="0.3">
      <c r="A11838" s="34">
        <v>69696</v>
      </c>
      <c r="B11838" s="35">
        <v>1</v>
      </c>
      <c r="C11838" s="35">
        <v>0</v>
      </c>
      <c r="D11838" s="2">
        <f t="shared" si="184"/>
        <v>1</v>
      </c>
    </row>
    <row r="11839" spans="1:4" x14ac:dyDescent="0.3">
      <c r="A11839" s="34">
        <v>69697</v>
      </c>
      <c r="B11839" s="35">
        <v>1</v>
      </c>
      <c r="C11839" s="35">
        <v>0</v>
      </c>
      <c r="D11839" s="2">
        <f t="shared" si="184"/>
        <v>1</v>
      </c>
    </row>
    <row r="11840" spans="1:4" x14ac:dyDescent="0.3">
      <c r="A11840" s="34">
        <v>69736</v>
      </c>
      <c r="B11840" s="35">
        <v>1</v>
      </c>
      <c r="C11840" s="35">
        <v>0</v>
      </c>
      <c r="D11840" s="2">
        <f t="shared" si="184"/>
        <v>1</v>
      </c>
    </row>
    <row r="11841" spans="1:4" x14ac:dyDescent="0.3">
      <c r="A11841" s="34">
        <v>69737</v>
      </c>
      <c r="B11841" s="35">
        <v>1</v>
      </c>
      <c r="C11841" s="35">
        <v>0</v>
      </c>
      <c r="D11841" s="2">
        <f t="shared" si="184"/>
        <v>1</v>
      </c>
    </row>
    <row r="11842" spans="1:4" x14ac:dyDescent="0.3">
      <c r="A11842" s="34">
        <v>69738</v>
      </c>
      <c r="B11842" s="35">
        <v>1</v>
      </c>
      <c r="C11842" s="35">
        <v>0</v>
      </c>
      <c r="D11842" s="2">
        <f t="shared" si="184"/>
        <v>1</v>
      </c>
    </row>
    <row r="11843" spans="1:4" x14ac:dyDescent="0.3">
      <c r="A11843" s="34">
        <v>69739</v>
      </c>
      <c r="B11843" s="35">
        <v>1</v>
      </c>
      <c r="C11843" s="35">
        <v>0</v>
      </c>
      <c r="D11843" s="2">
        <f t="shared" ref="D11843:D11906" si="185">B11843+C11843</f>
        <v>1</v>
      </c>
    </row>
    <row r="11844" spans="1:4" x14ac:dyDescent="0.3">
      <c r="A11844" s="34">
        <v>69740</v>
      </c>
      <c r="B11844" s="35">
        <v>1</v>
      </c>
      <c r="C11844" s="35">
        <v>0</v>
      </c>
      <c r="D11844" s="2">
        <f t="shared" si="185"/>
        <v>1</v>
      </c>
    </row>
    <row r="11845" spans="1:4" x14ac:dyDescent="0.3">
      <c r="A11845" s="34">
        <v>69741</v>
      </c>
      <c r="B11845" s="35">
        <v>1</v>
      </c>
      <c r="C11845" s="35">
        <v>0</v>
      </c>
      <c r="D11845" s="2">
        <f t="shared" si="185"/>
        <v>1</v>
      </c>
    </row>
    <row r="11846" spans="1:4" x14ac:dyDescent="0.3">
      <c r="A11846" s="34">
        <v>69742</v>
      </c>
      <c r="B11846" s="35">
        <v>1</v>
      </c>
      <c r="C11846" s="35">
        <v>0</v>
      </c>
      <c r="D11846" s="2">
        <f t="shared" si="185"/>
        <v>1</v>
      </c>
    </row>
    <row r="11847" spans="1:4" x14ac:dyDescent="0.3">
      <c r="A11847" s="34">
        <v>69743</v>
      </c>
      <c r="B11847" s="35">
        <v>1</v>
      </c>
      <c r="C11847" s="35">
        <v>0</v>
      </c>
      <c r="D11847" s="2">
        <f t="shared" si="185"/>
        <v>1</v>
      </c>
    </row>
    <row r="11848" spans="1:4" x14ac:dyDescent="0.3">
      <c r="A11848" s="34">
        <v>69744</v>
      </c>
      <c r="B11848" s="35">
        <v>1</v>
      </c>
      <c r="C11848" s="35">
        <v>0</v>
      </c>
      <c r="D11848" s="2">
        <f t="shared" si="185"/>
        <v>1</v>
      </c>
    </row>
    <row r="11849" spans="1:4" x14ac:dyDescent="0.3">
      <c r="A11849" s="34">
        <v>69745</v>
      </c>
      <c r="B11849" s="35">
        <v>1</v>
      </c>
      <c r="C11849" s="35">
        <v>0</v>
      </c>
      <c r="D11849" s="2">
        <f t="shared" si="185"/>
        <v>1</v>
      </c>
    </row>
    <row r="11850" spans="1:4" x14ac:dyDescent="0.3">
      <c r="A11850" s="34">
        <v>69746</v>
      </c>
      <c r="B11850" s="35">
        <v>1</v>
      </c>
      <c r="C11850" s="35">
        <v>0</v>
      </c>
      <c r="D11850" s="2">
        <f t="shared" si="185"/>
        <v>1</v>
      </c>
    </row>
    <row r="11851" spans="1:4" x14ac:dyDescent="0.3">
      <c r="A11851" s="34">
        <v>69752</v>
      </c>
      <c r="B11851" s="35">
        <v>1</v>
      </c>
      <c r="C11851" s="35">
        <v>0</v>
      </c>
      <c r="D11851" s="2">
        <f t="shared" si="185"/>
        <v>1</v>
      </c>
    </row>
    <row r="11852" spans="1:4" x14ac:dyDescent="0.3">
      <c r="A11852" s="34">
        <v>69754</v>
      </c>
      <c r="B11852" s="35">
        <v>1</v>
      </c>
      <c r="C11852" s="35">
        <v>0</v>
      </c>
      <c r="D11852" s="2">
        <f t="shared" si="185"/>
        <v>1</v>
      </c>
    </row>
    <row r="11853" spans="1:4" x14ac:dyDescent="0.3">
      <c r="A11853" s="34">
        <v>69756</v>
      </c>
      <c r="B11853" s="35">
        <v>2</v>
      </c>
      <c r="C11853" s="35">
        <v>1</v>
      </c>
      <c r="D11853" s="2">
        <f t="shared" si="185"/>
        <v>3</v>
      </c>
    </row>
    <row r="11854" spans="1:4" x14ac:dyDescent="0.3">
      <c r="A11854" s="34">
        <v>69757</v>
      </c>
      <c r="B11854" s="35">
        <v>1</v>
      </c>
      <c r="C11854" s="35">
        <v>1</v>
      </c>
      <c r="D11854" s="2">
        <f t="shared" si="185"/>
        <v>2</v>
      </c>
    </row>
    <row r="11855" spans="1:4" x14ac:dyDescent="0.3">
      <c r="A11855" s="34">
        <v>69758</v>
      </c>
      <c r="B11855" s="35">
        <v>1</v>
      </c>
      <c r="C11855" s="35">
        <v>0</v>
      </c>
      <c r="D11855" s="2">
        <f t="shared" si="185"/>
        <v>1</v>
      </c>
    </row>
    <row r="11856" spans="1:4" x14ac:dyDescent="0.3">
      <c r="A11856" s="34">
        <v>69760</v>
      </c>
      <c r="B11856" s="35">
        <v>1</v>
      </c>
      <c r="C11856" s="35">
        <v>1</v>
      </c>
      <c r="D11856" s="2">
        <f t="shared" si="185"/>
        <v>2</v>
      </c>
    </row>
    <row r="11857" spans="1:4" x14ac:dyDescent="0.3">
      <c r="A11857" s="34">
        <v>69761</v>
      </c>
      <c r="B11857" s="35">
        <v>1</v>
      </c>
      <c r="C11857" s="35">
        <v>0</v>
      </c>
      <c r="D11857" s="2">
        <f t="shared" si="185"/>
        <v>1</v>
      </c>
    </row>
    <row r="11858" spans="1:4" x14ac:dyDescent="0.3">
      <c r="A11858" s="34">
        <v>69762</v>
      </c>
      <c r="B11858" s="35">
        <v>1</v>
      </c>
      <c r="C11858" s="35">
        <v>0</v>
      </c>
      <c r="D11858" s="2">
        <f t="shared" si="185"/>
        <v>1</v>
      </c>
    </row>
    <row r="11859" spans="1:4" x14ac:dyDescent="0.3">
      <c r="A11859" s="34">
        <v>69763</v>
      </c>
      <c r="B11859" s="35">
        <v>1</v>
      </c>
      <c r="C11859" s="35">
        <v>0</v>
      </c>
      <c r="D11859" s="2">
        <f t="shared" si="185"/>
        <v>1</v>
      </c>
    </row>
    <row r="11860" spans="1:4" x14ac:dyDescent="0.3">
      <c r="A11860" s="34">
        <v>69766</v>
      </c>
      <c r="B11860" s="35">
        <v>1</v>
      </c>
      <c r="C11860" s="35">
        <v>0</v>
      </c>
      <c r="D11860" s="2">
        <f t="shared" si="185"/>
        <v>1</v>
      </c>
    </row>
    <row r="11861" spans="1:4" x14ac:dyDescent="0.3">
      <c r="A11861" s="34">
        <v>69788</v>
      </c>
      <c r="B11861" s="35">
        <v>1</v>
      </c>
      <c r="C11861" s="35">
        <v>0</v>
      </c>
      <c r="D11861" s="2">
        <f t="shared" si="185"/>
        <v>1</v>
      </c>
    </row>
    <row r="11862" spans="1:4" x14ac:dyDescent="0.3">
      <c r="A11862" s="34">
        <v>69789</v>
      </c>
      <c r="B11862" s="35">
        <v>1</v>
      </c>
      <c r="C11862" s="35">
        <v>0</v>
      </c>
      <c r="D11862" s="2">
        <f t="shared" si="185"/>
        <v>1</v>
      </c>
    </row>
    <row r="11863" spans="1:4" x14ac:dyDescent="0.3">
      <c r="A11863" s="34">
        <v>69790</v>
      </c>
      <c r="B11863" s="35">
        <v>1</v>
      </c>
      <c r="C11863" s="35">
        <v>0</v>
      </c>
      <c r="D11863" s="2">
        <f t="shared" si="185"/>
        <v>1</v>
      </c>
    </row>
    <row r="11864" spans="1:4" x14ac:dyDescent="0.3">
      <c r="A11864" s="34">
        <v>69791</v>
      </c>
      <c r="B11864" s="35">
        <v>1</v>
      </c>
      <c r="C11864" s="35">
        <v>0</v>
      </c>
      <c r="D11864" s="2">
        <f t="shared" si="185"/>
        <v>1</v>
      </c>
    </row>
    <row r="11865" spans="1:4" x14ac:dyDescent="0.3">
      <c r="A11865" s="34">
        <v>69796</v>
      </c>
      <c r="B11865" s="35">
        <v>1</v>
      </c>
      <c r="C11865" s="35">
        <v>0</v>
      </c>
      <c r="D11865" s="2">
        <f t="shared" si="185"/>
        <v>1</v>
      </c>
    </row>
    <row r="11866" spans="1:4" x14ac:dyDescent="0.3">
      <c r="A11866" s="34">
        <v>69797</v>
      </c>
      <c r="B11866" s="35">
        <v>1</v>
      </c>
      <c r="C11866" s="35">
        <v>0</v>
      </c>
      <c r="D11866" s="2">
        <f t="shared" si="185"/>
        <v>1</v>
      </c>
    </row>
    <row r="11867" spans="1:4" x14ac:dyDescent="0.3">
      <c r="A11867" s="34">
        <v>69799</v>
      </c>
      <c r="B11867" s="35">
        <v>1</v>
      </c>
      <c r="C11867" s="35">
        <v>0</v>
      </c>
      <c r="D11867" s="2">
        <f t="shared" si="185"/>
        <v>1</v>
      </c>
    </row>
    <row r="11868" spans="1:4" x14ac:dyDescent="0.3">
      <c r="A11868" s="34">
        <v>69804</v>
      </c>
      <c r="B11868" s="35">
        <v>1</v>
      </c>
      <c r="C11868" s="35">
        <v>1</v>
      </c>
      <c r="D11868" s="2">
        <f t="shared" si="185"/>
        <v>2</v>
      </c>
    </row>
    <row r="11869" spans="1:4" x14ac:dyDescent="0.3">
      <c r="A11869" s="34">
        <v>69847</v>
      </c>
      <c r="B11869" s="35">
        <v>1</v>
      </c>
      <c r="C11869" s="35">
        <v>0</v>
      </c>
      <c r="D11869" s="2">
        <f t="shared" si="185"/>
        <v>1</v>
      </c>
    </row>
    <row r="11870" spans="1:4" x14ac:dyDescent="0.3">
      <c r="A11870" s="34">
        <v>69848</v>
      </c>
      <c r="B11870" s="35">
        <v>1</v>
      </c>
      <c r="C11870" s="35">
        <v>0</v>
      </c>
      <c r="D11870" s="2">
        <f t="shared" si="185"/>
        <v>1</v>
      </c>
    </row>
    <row r="11871" spans="1:4" x14ac:dyDescent="0.3">
      <c r="A11871" s="34">
        <v>69850</v>
      </c>
      <c r="B11871" s="35">
        <v>1</v>
      </c>
      <c r="C11871" s="35">
        <v>0</v>
      </c>
      <c r="D11871" s="2">
        <f t="shared" si="185"/>
        <v>1</v>
      </c>
    </row>
    <row r="11872" spans="1:4" x14ac:dyDescent="0.3">
      <c r="A11872" s="34">
        <v>69853</v>
      </c>
      <c r="B11872" s="35">
        <v>1</v>
      </c>
      <c r="C11872" s="35">
        <v>0</v>
      </c>
      <c r="D11872" s="2">
        <f t="shared" si="185"/>
        <v>1</v>
      </c>
    </row>
    <row r="11873" spans="1:4" x14ac:dyDescent="0.3">
      <c r="A11873" s="34">
        <v>69854</v>
      </c>
      <c r="B11873" s="35">
        <v>1</v>
      </c>
      <c r="C11873" s="35">
        <v>0</v>
      </c>
      <c r="D11873" s="2">
        <f t="shared" si="185"/>
        <v>1</v>
      </c>
    </row>
    <row r="11874" spans="1:4" x14ac:dyDescent="0.3">
      <c r="A11874" s="34">
        <v>69855</v>
      </c>
      <c r="B11874" s="35">
        <v>1</v>
      </c>
      <c r="C11874" s="35">
        <v>0</v>
      </c>
      <c r="D11874" s="2">
        <f t="shared" si="185"/>
        <v>1</v>
      </c>
    </row>
    <row r="11875" spans="1:4" x14ac:dyDescent="0.3">
      <c r="A11875" s="34">
        <v>69857</v>
      </c>
      <c r="B11875" s="35">
        <v>2</v>
      </c>
      <c r="C11875" s="35">
        <v>1</v>
      </c>
      <c r="D11875" s="2">
        <f t="shared" si="185"/>
        <v>3</v>
      </c>
    </row>
    <row r="11876" spans="1:4" x14ac:dyDescent="0.3">
      <c r="A11876" s="34">
        <v>69859</v>
      </c>
      <c r="B11876" s="35">
        <v>1</v>
      </c>
      <c r="C11876" s="35">
        <v>0</v>
      </c>
      <c r="D11876" s="2">
        <f t="shared" si="185"/>
        <v>1</v>
      </c>
    </row>
    <row r="11877" spans="1:4" x14ac:dyDescent="0.3">
      <c r="A11877" s="34">
        <v>69879</v>
      </c>
      <c r="B11877" s="35">
        <v>1</v>
      </c>
      <c r="C11877" s="35">
        <v>0</v>
      </c>
      <c r="D11877" s="2">
        <f t="shared" si="185"/>
        <v>1</v>
      </c>
    </row>
    <row r="11878" spans="1:4" x14ac:dyDescent="0.3">
      <c r="A11878" s="34">
        <v>69880</v>
      </c>
      <c r="B11878" s="35">
        <v>1</v>
      </c>
      <c r="C11878" s="35">
        <v>1</v>
      </c>
      <c r="D11878" s="2">
        <f t="shared" si="185"/>
        <v>2</v>
      </c>
    </row>
    <row r="11879" spans="1:4" x14ac:dyDescent="0.3">
      <c r="A11879" s="34">
        <v>69881</v>
      </c>
      <c r="B11879" s="35">
        <v>1</v>
      </c>
      <c r="C11879" s="35">
        <v>0</v>
      </c>
      <c r="D11879" s="2">
        <f t="shared" si="185"/>
        <v>1</v>
      </c>
    </row>
    <row r="11880" spans="1:4" x14ac:dyDescent="0.3">
      <c r="A11880" s="34">
        <v>69884</v>
      </c>
      <c r="B11880" s="35">
        <v>1</v>
      </c>
      <c r="C11880" s="35">
        <v>0</v>
      </c>
      <c r="D11880" s="2">
        <f t="shared" si="185"/>
        <v>1</v>
      </c>
    </row>
    <row r="11881" spans="1:4" x14ac:dyDescent="0.3">
      <c r="A11881" s="34">
        <v>69885</v>
      </c>
      <c r="B11881" s="35">
        <v>2</v>
      </c>
      <c r="C11881" s="35">
        <v>0</v>
      </c>
      <c r="D11881" s="2">
        <f t="shared" si="185"/>
        <v>2</v>
      </c>
    </row>
    <row r="11882" spans="1:4" x14ac:dyDescent="0.3">
      <c r="A11882" s="34">
        <v>69887</v>
      </c>
      <c r="B11882" s="35">
        <v>2</v>
      </c>
      <c r="C11882" s="35">
        <v>0</v>
      </c>
      <c r="D11882" s="2">
        <f t="shared" si="185"/>
        <v>2</v>
      </c>
    </row>
    <row r="11883" spans="1:4" x14ac:dyDescent="0.3">
      <c r="A11883" s="34">
        <v>69888</v>
      </c>
      <c r="B11883" s="35">
        <v>1</v>
      </c>
      <c r="C11883" s="35">
        <v>0</v>
      </c>
      <c r="D11883" s="2">
        <f t="shared" si="185"/>
        <v>1</v>
      </c>
    </row>
    <row r="11884" spans="1:4" x14ac:dyDescent="0.3">
      <c r="A11884" s="34">
        <v>69889</v>
      </c>
      <c r="B11884" s="35">
        <v>1</v>
      </c>
      <c r="C11884" s="35">
        <v>0</v>
      </c>
      <c r="D11884" s="2">
        <f t="shared" si="185"/>
        <v>1</v>
      </c>
    </row>
    <row r="11885" spans="1:4" x14ac:dyDescent="0.3">
      <c r="A11885" s="34">
        <v>69890</v>
      </c>
      <c r="B11885" s="35">
        <v>1</v>
      </c>
      <c r="C11885" s="35">
        <v>0</v>
      </c>
      <c r="D11885" s="2">
        <f t="shared" si="185"/>
        <v>1</v>
      </c>
    </row>
    <row r="11886" spans="1:4" x14ac:dyDescent="0.3">
      <c r="A11886" s="34">
        <v>69892</v>
      </c>
      <c r="B11886" s="35">
        <v>1</v>
      </c>
      <c r="C11886" s="35">
        <v>0</v>
      </c>
      <c r="D11886" s="2">
        <f t="shared" si="185"/>
        <v>1</v>
      </c>
    </row>
    <row r="11887" spans="1:4" x14ac:dyDescent="0.3">
      <c r="A11887" s="34">
        <v>69893</v>
      </c>
      <c r="B11887" s="35">
        <v>1</v>
      </c>
      <c r="C11887" s="35">
        <v>1</v>
      </c>
      <c r="D11887" s="2">
        <f t="shared" si="185"/>
        <v>2</v>
      </c>
    </row>
    <row r="11888" spans="1:4" x14ac:dyDescent="0.3">
      <c r="A11888" s="34">
        <v>69894</v>
      </c>
      <c r="B11888" s="35">
        <v>1</v>
      </c>
      <c r="C11888" s="35">
        <v>0</v>
      </c>
      <c r="D11888" s="2">
        <f t="shared" si="185"/>
        <v>1</v>
      </c>
    </row>
    <row r="11889" spans="1:4" x14ac:dyDescent="0.3">
      <c r="A11889" s="34">
        <v>69895</v>
      </c>
      <c r="B11889" s="35">
        <v>1</v>
      </c>
      <c r="C11889" s="35">
        <v>0</v>
      </c>
      <c r="D11889" s="2">
        <f t="shared" si="185"/>
        <v>1</v>
      </c>
    </row>
    <row r="11890" spans="1:4" x14ac:dyDescent="0.3">
      <c r="A11890" s="34">
        <v>69896</v>
      </c>
      <c r="B11890" s="35">
        <v>1</v>
      </c>
      <c r="C11890" s="35">
        <v>0</v>
      </c>
      <c r="D11890" s="2">
        <f t="shared" si="185"/>
        <v>1</v>
      </c>
    </row>
    <row r="11891" spans="1:4" x14ac:dyDescent="0.3">
      <c r="A11891" s="34">
        <v>69899</v>
      </c>
      <c r="B11891" s="35">
        <v>1</v>
      </c>
      <c r="C11891" s="35">
        <v>0</v>
      </c>
      <c r="D11891" s="2">
        <f t="shared" si="185"/>
        <v>1</v>
      </c>
    </row>
    <row r="11892" spans="1:4" x14ac:dyDescent="0.3">
      <c r="A11892" s="34">
        <v>69900</v>
      </c>
      <c r="B11892" s="35">
        <v>1</v>
      </c>
      <c r="C11892" s="35">
        <v>0</v>
      </c>
      <c r="D11892" s="2">
        <f t="shared" si="185"/>
        <v>1</v>
      </c>
    </row>
    <row r="11893" spans="1:4" x14ac:dyDescent="0.3">
      <c r="A11893" s="34">
        <v>69904</v>
      </c>
      <c r="B11893" s="35">
        <v>1</v>
      </c>
      <c r="C11893" s="35">
        <v>0</v>
      </c>
      <c r="D11893" s="2">
        <f t="shared" si="185"/>
        <v>1</v>
      </c>
    </row>
    <row r="11894" spans="1:4" x14ac:dyDescent="0.3">
      <c r="A11894" s="34">
        <v>69908</v>
      </c>
      <c r="B11894" s="35">
        <v>1</v>
      </c>
      <c r="C11894" s="35">
        <v>0</v>
      </c>
      <c r="D11894" s="2">
        <f t="shared" si="185"/>
        <v>1</v>
      </c>
    </row>
    <row r="11895" spans="1:4" x14ac:dyDescent="0.3">
      <c r="A11895" s="34">
        <v>69909</v>
      </c>
      <c r="B11895" s="35">
        <v>1</v>
      </c>
      <c r="C11895" s="35">
        <v>0</v>
      </c>
      <c r="D11895" s="2">
        <f t="shared" si="185"/>
        <v>1</v>
      </c>
    </row>
    <row r="11896" spans="1:4" x14ac:dyDescent="0.3">
      <c r="A11896" s="34">
        <v>69910</v>
      </c>
      <c r="B11896" s="35">
        <v>1</v>
      </c>
      <c r="C11896" s="35">
        <v>0</v>
      </c>
      <c r="D11896" s="2">
        <f t="shared" si="185"/>
        <v>1</v>
      </c>
    </row>
    <row r="11897" spans="1:4" x14ac:dyDescent="0.3">
      <c r="A11897" s="34">
        <v>69911</v>
      </c>
      <c r="B11897" s="35">
        <v>1</v>
      </c>
      <c r="C11897" s="35">
        <v>0</v>
      </c>
      <c r="D11897" s="2">
        <f t="shared" si="185"/>
        <v>1</v>
      </c>
    </row>
    <row r="11898" spans="1:4" x14ac:dyDescent="0.3">
      <c r="A11898" s="34">
        <v>69912</v>
      </c>
      <c r="B11898" s="35">
        <v>1</v>
      </c>
      <c r="C11898" s="35">
        <v>0</v>
      </c>
      <c r="D11898" s="2">
        <f t="shared" si="185"/>
        <v>1</v>
      </c>
    </row>
    <row r="11899" spans="1:4" x14ac:dyDescent="0.3">
      <c r="A11899" s="34">
        <v>69913</v>
      </c>
      <c r="B11899" s="35">
        <v>1</v>
      </c>
      <c r="C11899" s="35">
        <v>0</v>
      </c>
      <c r="D11899" s="2">
        <f t="shared" si="185"/>
        <v>1</v>
      </c>
    </row>
    <row r="11900" spans="1:4" x14ac:dyDescent="0.3">
      <c r="A11900" s="34">
        <v>69915</v>
      </c>
      <c r="B11900" s="35">
        <v>1</v>
      </c>
      <c r="C11900" s="35">
        <v>0</v>
      </c>
      <c r="D11900" s="2">
        <f t="shared" si="185"/>
        <v>1</v>
      </c>
    </row>
    <row r="11901" spans="1:4" x14ac:dyDescent="0.3">
      <c r="A11901" s="34">
        <v>69916</v>
      </c>
      <c r="B11901" s="35">
        <v>1</v>
      </c>
      <c r="C11901" s="35">
        <v>0</v>
      </c>
      <c r="D11901" s="2">
        <f t="shared" si="185"/>
        <v>1</v>
      </c>
    </row>
    <row r="11902" spans="1:4" x14ac:dyDescent="0.3">
      <c r="A11902" s="34">
        <v>69921</v>
      </c>
      <c r="B11902" s="35">
        <v>1</v>
      </c>
      <c r="C11902" s="35">
        <v>0</v>
      </c>
      <c r="D11902" s="2">
        <f t="shared" si="185"/>
        <v>1</v>
      </c>
    </row>
    <row r="11903" spans="1:4" x14ac:dyDescent="0.3">
      <c r="A11903" s="34">
        <v>69922</v>
      </c>
      <c r="B11903" s="35">
        <v>1</v>
      </c>
      <c r="C11903" s="35">
        <v>0</v>
      </c>
      <c r="D11903" s="2">
        <f t="shared" si="185"/>
        <v>1</v>
      </c>
    </row>
    <row r="11904" spans="1:4" x14ac:dyDescent="0.3">
      <c r="A11904" s="34">
        <v>69947</v>
      </c>
      <c r="B11904" s="35">
        <v>1</v>
      </c>
      <c r="C11904" s="35">
        <v>0</v>
      </c>
      <c r="D11904" s="2">
        <f t="shared" si="185"/>
        <v>1</v>
      </c>
    </row>
    <row r="11905" spans="1:4" x14ac:dyDescent="0.3">
      <c r="A11905" s="34">
        <v>69981</v>
      </c>
      <c r="B11905" s="35">
        <v>1</v>
      </c>
      <c r="C11905" s="35">
        <v>0</v>
      </c>
      <c r="D11905" s="2">
        <f t="shared" si="185"/>
        <v>1</v>
      </c>
    </row>
    <row r="11906" spans="1:4" x14ac:dyDescent="0.3">
      <c r="A11906" s="34">
        <v>69983</v>
      </c>
      <c r="B11906" s="35">
        <v>1</v>
      </c>
      <c r="C11906" s="35">
        <v>0</v>
      </c>
      <c r="D11906" s="2">
        <f t="shared" si="185"/>
        <v>1</v>
      </c>
    </row>
    <row r="11907" spans="1:4" x14ac:dyDescent="0.3">
      <c r="A11907" s="34">
        <v>69984</v>
      </c>
      <c r="B11907" s="35">
        <v>1</v>
      </c>
      <c r="C11907" s="35">
        <v>0</v>
      </c>
      <c r="D11907" s="2">
        <f t="shared" ref="D11907:D11970" si="186">B11907+C11907</f>
        <v>1</v>
      </c>
    </row>
    <row r="11908" spans="1:4" x14ac:dyDescent="0.3">
      <c r="A11908" s="34">
        <v>69986</v>
      </c>
      <c r="B11908" s="35">
        <v>1</v>
      </c>
      <c r="C11908" s="35">
        <v>0</v>
      </c>
      <c r="D11908" s="2">
        <f t="shared" si="186"/>
        <v>1</v>
      </c>
    </row>
    <row r="11909" spans="1:4" x14ac:dyDescent="0.3">
      <c r="A11909" s="34">
        <v>69988</v>
      </c>
      <c r="B11909" s="35">
        <v>1</v>
      </c>
      <c r="C11909" s="35">
        <v>0</v>
      </c>
      <c r="D11909" s="2">
        <f t="shared" si="186"/>
        <v>1</v>
      </c>
    </row>
    <row r="11910" spans="1:4" x14ac:dyDescent="0.3">
      <c r="A11910" s="34">
        <v>69990</v>
      </c>
      <c r="B11910" s="35">
        <v>1</v>
      </c>
      <c r="C11910" s="35">
        <v>0</v>
      </c>
      <c r="D11910" s="2">
        <f t="shared" si="186"/>
        <v>1</v>
      </c>
    </row>
    <row r="11911" spans="1:4" x14ac:dyDescent="0.3">
      <c r="A11911" s="34">
        <v>69991</v>
      </c>
      <c r="B11911" s="35">
        <v>1</v>
      </c>
      <c r="C11911" s="35">
        <v>1</v>
      </c>
      <c r="D11911" s="2">
        <f t="shared" si="186"/>
        <v>2</v>
      </c>
    </row>
    <row r="11912" spans="1:4" x14ac:dyDescent="0.3">
      <c r="A11912" s="34">
        <v>69993</v>
      </c>
      <c r="B11912" s="35">
        <v>1</v>
      </c>
      <c r="C11912" s="35">
        <v>0</v>
      </c>
      <c r="D11912" s="2">
        <f t="shared" si="186"/>
        <v>1</v>
      </c>
    </row>
    <row r="11913" spans="1:4" x14ac:dyDescent="0.3">
      <c r="A11913" s="34">
        <v>69995</v>
      </c>
      <c r="B11913" s="35">
        <v>1</v>
      </c>
      <c r="C11913" s="35">
        <v>1</v>
      </c>
      <c r="D11913" s="2">
        <f t="shared" si="186"/>
        <v>2</v>
      </c>
    </row>
    <row r="11914" spans="1:4" x14ac:dyDescent="0.3">
      <c r="A11914" s="34">
        <v>69996</v>
      </c>
      <c r="B11914" s="35">
        <v>2</v>
      </c>
      <c r="C11914" s="35">
        <v>0</v>
      </c>
      <c r="D11914" s="2">
        <f t="shared" si="186"/>
        <v>2</v>
      </c>
    </row>
    <row r="11915" spans="1:4" x14ac:dyDescent="0.3">
      <c r="A11915" s="34">
        <v>70001</v>
      </c>
      <c r="B11915" s="35">
        <v>1</v>
      </c>
      <c r="C11915" s="35">
        <v>0</v>
      </c>
      <c r="D11915" s="2">
        <f t="shared" si="186"/>
        <v>1</v>
      </c>
    </row>
    <row r="11916" spans="1:4" x14ac:dyDescent="0.3">
      <c r="A11916" s="34">
        <v>70004</v>
      </c>
      <c r="B11916" s="35">
        <v>1</v>
      </c>
      <c r="C11916" s="35">
        <v>0</v>
      </c>
      <c r="D11916" s="2">
        <f t="shared" si="186"/>
        <v>1</v>
      </c>
    </row>
    <row r="11917" spans="1:4" x14ac:dyDescent="0.3">
      <c r="A11917" s="34">
        <v>70005</v>
      </c>
      <c r="B11917" s="35">
        <v>1</v>
      </c>
      <c r="C11917" s="35">
        <v>0</v>
      </c>
      <c r="D11917" s="2">
        <f t="shared" si="186"/>
        <v>1</v>
      </c>
    </row>
    <row r="11918" spans="1:4" x14ac:dyDescent="0.3">
      <c r="A11918" s="34">
        <v>70007</v>
      </c>
      <c r="B11918" s="35">
        <v>1</v>
      </c>
      <c r="C11918" s="35">
        <v>0</v>
      </c>
      <c r="D11918" s="2">
        <f t="shared" si="186"/>
        <v>1</v>
      </c>
    </row>
    <row r="11919" spans="1:4" x14ac:dyDescent="0.3">
      <c r="A11919" s="34">
        <v>70008</v>
      </c>
      <c r="B11919" s="35">
        <v>1</v>
      </c>
      <c r="C11919" s="35">
        <v>0</v>
      </c>
      <c r="D11919" s="2">
        <f t="shared" si="186"/>
        <v>1</v>
      </c>
    </row>
    <row r="11920" spans="1:4" x14ac:dyDescent="0.3">
      <c r="A11920" s="34">
        <v>70043</v>
      </c>
      <c r="B11920" s="35">
        <v>1</v>
      </c>
      <c r="C11920" s="35">
        <v>0</v>
      </c>
      <c r="D11920" s="2">
        <f t="shared" si="186"/>
        <v>1</v>
      </c>
    </row>
    <row r="11921" spans="1:4" x14ac:dyDescent="0.3">
      <c r="A11921" s="34">
        <v>70051</v>
      </c>
      <c r="B11921" s="35">
        <v>1</v>
      </c>
      <c r="C11921" s="35">
        <v>0</v>
      </c>
      <c r="D11921" s="2">
        <f t="shared" si="186"/>
        <v>1</v>
      </c>
    </row>
    <row r="11922" spans="1:4" x14ac:dyDescent="0.3">
      <c r="A11922" s="34">
        <v>70052</v>
      </c>
      <c r="B11922" s="35">
        <v>2</v>
      </c>
      <c r="C11922" s="35">
        <v>1</v>
      </c>
      <c r="D11922" s="2">
        <f t="shared" si="186"/>
        <v>3</v>
      </c>
    </row>
    <row r="11923" spans="1:4" x14ac:dyDescent="0.3">
      <c r="A11923" s="34">
        <v>70053</v>
      </c>
      <c r="B11923" s="35">
        <v>1</v>
      </c>
      <c r="C11923" s="35">
        <v>0</v>
      </c>
      <c r="D11923" s="2">
        <f t="shared" si="186"/>
        <v>1</v>
      </c>
    </row>
    <row r="11924" spans="1:4" x14ac:dyDescent="0.3">
      <c r="A11924" s="34">
        <v>70058</v>
      </c>
      <c r="B11924" s="35">
        <v>1</v>
      </c>
      <c r="C11924" s="35">
        <v>1</v>
      </c>
      <c r="D11924" s="2">
        <f t="shared" si="186"/>
        <v>2</v>
      </c>
    </row>
    <row r="11925" spans="1:4" x14ac:dyDescent="0.3">
      <c r="A11925" s="34">
        <v>70063</v>
      </c>
      <c r="B11925" s="35">
        <v>1</v>
      </c>
      <c r="C11925" s="35">
        <v>0</v>
      </c>
      <c r="D11925" s="2">
        <f t="shared" si="186"/>
        <v>1</v>
      </c>
    </row>
    <row r="11926" spans="1:4" x14ac:dyDescent="0.3">
      <c r="A11926" s="34">
        <v>70065</v>
      </c>
      <c r="B11926" s="35">
        <v>1</v>
      </c>
      <c r="C11926" s="35">
        <v>0</v>
      </c>
      <c r="D11926" s="2">
        <f t="shared" si="186"/>
        <v>1</v>
      </c>
    </row>
    <row r="11927" spans="1:4" x14ac:dyDescent="0.3">
      <c r="A11927" s="34">
        <v>70066</v>
      </c>
      <c r="B11927" s="35">
        <v>1</v>
      </c>
      <c r="C11927" s="35">
        <v>0</v>
      </c>
      <c r="D11927" s="2">
        <f t="shared" si="186"/>
        <v>1</v>
      </c>
    </row>
    <row r="11928" spans="1:4" x14ac:dyDescent="0.3">
      <c r="A11928" s="34">
        <v>70067</v>
      </c>
      <c r="B11928" s="35">
        <v>1</v>
      </c>
      <c r="C11928" s="35">
        <v>0</v>
      </c>
      <c r="D11928" s="2">
        <f t="shared" si="186"/>
        <v>1</v>
      </c>
    </row>
    <row r="11929" spans="1:4" x14ac:dyDescent="0.3">
      <c r="A11929" s="34">
        <v>70068</v>
      </c>
      <c r="B11929" s="35">
        <v>1</v>
      </c>
      <c r="C11929" s="35">
        <v>0</v>
      </c>
      <c r="D11929" s="2">
        <f t="shared" si="186"/>
        <v>1</v>
      </c>
    </row>
    <row r="11930" spans="1:4" x14ac:dyDescent="0.3">
      <c r="A11930" s="34">
        <v>70070</v>
      </c>
      <c r="B11930" s="35">
        <v>1</v>
      </c>
      <c r="C11930" s="35">
        <v>0</v>
      </c>
      <c r="D11930" s="2">
        <f t="shared" si="186"/>
        <v>1</v>
      </c>
    </row>
    <row r="11931" spans="1:4" x14ac:dyDescent="0.3">
      <c r="A11931" s="34">
        <v>70071</v>
      </c>
      <c r="B11931" s="35">
        <v>1</v>
      </c>
      <c r="C11931" s="35">
        <v>1</v>
      </c>
      <c r="D11931" s="2">
        <f t="shared" si="186"/>
        <v>2</v>
      </c>
    </row>
    <row r="11932" spans="1:4" x14ac:dyDescent="0.3">
      <c r="A11932" s="34">
        <v>70072</v>
      </c>
      <c r="B11932" s="35">
        <v>1</v>
      </c>
      <c r="C11932" s="35">
        <v>0</v>
      </c>
      <c r="D11932" s="2">
        <f t="shared" si="186"/>
        <v>1</v>
      </c>
    </row>
    <row r="11933" spans="1:4" x14ac:dyDescent="0.3">
      <c r="A11933" s="34">
        <v>70079</v>
      </c>
      <c r="B11933" s="35">
        <v>1</v>
      </c>
      <c r="C11933" s="35">
        <v>0</v>
      </c>
      <c r="D11933" s="2">
        <f t="shared" si="186"/>
        <v>1</v>
      </c>
    </row>
    <row r="11934" spans="1:4" x14ac:dyDescent="0.3">
      <c r="A11934" s="34">
        <v>70086</v>
      </c>
      <c r="B11934" s="35">
        <v>1</v>
      </c>
      <c r="C11934" s="35">
        <v>0</v>
      </c>
      <c r="D11934" s="2">
        <f t="shared" si="186"/>
        <v>1</v>
      </c>
    </row>
    <row r="11935" spans="1:4" x14ac:dyDescent="0.3">
      <c r="A11935" s="34">
        <v>70090</v>
      </c>
      <c r="B11935" s="35">
        <v>1</v>
      </c>
      <c r="C11935" s="35">
        <v>0</v>
      </c>
      <c r="D11935" s="2">
        <f t="shared" si="186"/>
        <v>1</v>
      </c>
    </row>
    <row r="11936" spans="1:4" x14ac:dyDescent="0.3">
      <c r="A11936" s="34">
        <v>70095</v>
      </c>
      <c r="B11936" s="35">
        <v>1</v>
      </c>
      <c r="C11936" s="35">
        <v>1</v>
      </c>
      <c r="D11936" s="2">
        <f t="shared" si="186"/>
        <v>2</v>
      </c>
    </row>
    <row r="11937" spans="1:4" x14ac:dyDescent="0.3">
      <c r="A11937" s="34">
        <v>70096</v>
      </c>
      <c r="B11937" s="35">
        <v>1</v>
      </c>
      <c r="C11937" s="35">
        <v>0</v>
      </c>
      <c r="D11937" s="2">
        <f t="shared" si="186"/>
        <v>1</v>
      </c>
    </row>
    <row r="11938" spans="1:4" x14ac:dyDescent="0.3">
      <c r="A11938" s="34">
        <v>70098</v>
      </c>
      <c r="B11938" s="35">
        <v>1</v>
      </c>
      <c r="C11938" s="35">
        <v>0</v>
      </c>
      <c r="D11938" s="2">
        <f t="shared" si="186"/>
        <v>1</v>
      </c>
    </row>
    <row r="11939" spans="1:4" x14ac:dyDescent="0.3">
      <c r="A11939" s="34">
        <v>70102</v>
      </c>
      <c r="B11939" s="35">
        <v>1</v>
      </c>
      <c r="C11939" s="35">
        <v>0</v>
      </c>
      <c r="D11939" s="2">
        <f t="shared" si="186"/>
        <v>1</v>
      </c>
    </row>
    <row r="11940" spans="1:4" x14ac:dyDescent="0.3">
      <c r="A11940" s="34">
        <v>70103</v>
      </c>
      <c r="B11940" s="35">
        <v>1</v>
      </c>
      <c r="C11940" s="35">
        <v>0</v>
      </c>
      <c r="D11940" s="2">
        <f t="shared" si="186"/>
        <v>1</v>
      </c>
    </row>
    <row r="11941" spans="1:4" x14ac:dyDescent="0.3">
      <c r="A11941" s="34">
        <v>70136</v>
      </c>
      <c r="B11941" s="35">
        <v>1</v>
      </c>
      <c r="C11941" s="35">
        <v>0</v>
      </c>
      <c r="D11941" s="2">
        <f t="shared" si="186"/>
        <v>1</v>
      </c>
    </row>
    <row r="11942" spans="1:4" x14ac:dyDescent="0.3">
      <c r="A11942" s="34">
        <v>70139</v>
      </c>
      <c r="B11942" s="35">
        <v>1</v>
      </c>
      <c r="C11942" s="35">
        <v>0</v>
      </c>
      <c r="D11942" s="2">
        <f t="shared" si="186"/>
        <v>1</v>
      </c>
    </row>
    <row r="11943" spans="1:4" x14ac:dyDescent="0.3">
      <c r="A11943" s="34">
        <v>70140</v>
      </c>
      <c r="B11943" s="35">
        <v>1</v>
      </c>
      <c r="C11943" s="35">
        <v>0</v>
      </c>
      <c r="D11943" s="2">
        <f t="shared" si="186"/>
        <v>1</v>
      </c>
    </row>
    <row r="11944" spans="1:4" x14ac:dyDescent="0.3">
      <c r="A11944" s="34">
        <v>70142</v>
      </c>
      <c r="B11944" s="35">
        <v>1</v>
      </c>
      <c r="C11944" s="35">
        <v>1</v>
      </c>
      <c r="D11944" s="2">
        <f t="shared" si="186"/>
        <v>2</v>
      </c>
    </row>
    <row r="11945" spans="1:4" x14ac:dyDescent="0.3">
      <c r="A11945" s="34">
        <v>70145</v>
      </c>
      <c r="B11945" s="35">
        <v>1</v>
      </c>
      <c r="C11945" s="35">
        <v>0</v>
      </c>
      <c r="D11945" s="2">
        <f t="shared" si="186"/>
        <v>1</v>
      </c>
    </row>
    <row r="11946" spans="1:4" x14ac:dyDescent="0.3">
      <c r="A11946" s="34">
        <v>70148</v>
      </c>
      <c r="B11946" s="35">
        <v>1</v>
      </c>
      <c r="C11946" s="35">
        <v>0</v>
      </c>
      <c r="D11946" s="2">
        <f t="shared" si="186"/>
        <v>1</v>
      </c>
    </row>
    <row r="11947" spans="1:4" x14ac:dyDescent="0.3">
      <c r="A11947" s="34">
        <v>70149</v>
      </c>
      <c r="B11947" s="35">
        <v>1</v>
      </c>
      <c r="C11947" s="35">
        <v>0</v>
      </c>
      <c r="D11947" s="2">
        <f t="shared" si="186"/>
        <v>1</v>
      </c>
    </row>
    <row r="11948" spans="1:4" x14ac:dyDescent="0.3">
      <c r="A11948" s="34">
        <v>70155</v>
      </c>
      <c r="B11948" s="35">
        <v>1</v>
      </c>
      <c r="C11948" s="35">
        <v>0</v>
      </c>
      <c r="D11948" s="2">
        <f t="shared" si="186"/>
        <v>1</v>
      </c>
    </row>
    <row r="11949" spans="1:4" x14ac:dyDescent="0.3">
      <c r="A11949" s="34">
        <v>70156</v>
      </c>
      <c r="B11949" s="35">
        <v>1</v>
      </c>
      <c r="C11949" s="35">
        <v>0</v>
      </c>
      <c r="D11949" s="2">
        <f t="shared" si="186"/>
        <v>1</v>
      </c>
    </row>
    <row r="11950" spans="1:4" x14ac:dyDescent="0.3">
      <c r="A11950" s="34">
        <v>70157</v>
      </c>
      <c r="B11950" s="35">
        <v>1</v>
      </c>
      <c r="C11950" s="35">
        <v>0</v>
      </c>
      <c r="D11950" s="2">
        <f t="shared" si="186"/>
        <v>1</v>
      </c>
    </row>
    <row r="11951" spans="1:4" x14ac:dyDescent="0.3">
      <c r="A11951" s="34">
        <v>70161</v>
      </c>
      <c r="B11951" s="35">
        <v>1</v>
      </c>
      <c r="C11951" s="35">
        <v>1</v>
      </c>
      <c r="D11951" s="2">
        <f t="shared" si="186"/>
        <v>2</v>
      </c>
    </row>
    <row r="11952" spans="1:4" x14ac:dyDescent="0.3">
      <c r="A11952" s="34">
        <v>70162</v>
      </c>
      <c r="B11952" s="35">
        <v>1</v>
      </c>
      <c r="C11952" s="35">
        <v>1</v>
      </c>
      <c r="D11952" s="2">
        <f t="shared" si="186"/>
        <v>2</v>
      </c>
    </row>
    <row r="11953" spans="1:4" x14ac:dyDescent="0.3">
      <c r="A11953" s="34">
        <v>70166</v>
      </c>
      <c r="B11953" s="35">
        <v>1</v>
      </c>
      <c r="C11953" s="35">
        <v>0</v>
      </c>
      <c r="D11953" s="2">
        <f t="shared" si="186"/>
        <v>1</v>
      </c>
    </row>
    <row r="11954" spans="1:4" x14ac:dyDescent="0.3">
      <c r="A11954" s="34">
        <v>70167</v>
      </c>
      <c r="B11954" s="35">
        <v>1</v>
      </c>
      <c r="C11954" s="35">
        <v>0</v>
      </c>
      <c r="D11954" s="2">
        <f t="shared" si="186"/>
        <v>1</v>
      </c>
    </row>
    <row r="11955" spans="1:4" x14ac:dyDescent="0.3">
      <c r="A11955" s="34">
        <v>70169</v>
      </c>
      <c r="B11955" s="35">
        <v>1</v>
      </c>
      <c r="C11955" s="35">
        <v>0</v>
      </c>
      <c r="D11955" s="2">
        <f t="shared" si="186"/>
        <v>1</v>
      </c>
    </row>
    <row r="11956" spans="1:4" x14ac:dyDescent="0.3">
      <c r="A11956" s="34">
        <v>70173</v>
      </c>
      <c r="B11956" s="35">
        <v>1</v>
      </c>
      <c r="C11956" s="35">
        <v>0</v>
      </c>
      <c r="D11956" s="2">
        <f t="shared" si="186"/>
        <v>1</v>
      </c>
    </row>
    <row r="11957" spans="1:4" x14ac:dyDescent="0.3">
      <c r="A11957" s="34">
        <v>70174</v>
      </c>
      <c r="B11957" s="35">
        <v>1</v>
      </c>
      <c r="C11957" s="35">
        <v>0</v>
      </c>
      <c r="D11957" s="2">
        <f t="shared" si="186"/>
        <v>1</v>
      </c>
    </row>
    <row r="11958" spans="1:4" x14ac:dyDescent="0.3">
      <c r="A11958" s="34">
        <v>70175</v>
      </c>
      <c r="B11958" s="35">
        <v>1</v>
      </c>
      <c r="C11958" s="35">
        <v>0</v>
      </c>
      <c r="D11958" s="2">
        <f t="shared" si="186"/>
        <v>1</v>
      </c>
    </row>
    <row r="11959" spans="1:4" x14ac:dyDescent="0.3">
      <c r="A11959" s="34">
        <v>70178</v>
      </c>
      <c r="B11959" s="35">
        <v>1</v>
      </c>
      <c r="C11959" s="35">
        <v>0</v>
      </c>
      <c r="D11959" s="2">
        <f t="shared" si="186"/>
        <v>1</v>
      </c>
    </row>
    <row r="11960" spans="1:4" x14ac:dyDescent="0.3">
      <c r="A11960" s="34">
        <v>70179</v>
      </c>
      <c r="B11960" s="35">
        <v>1</v>
      </c>
      <c r="C11960" s="35">
        <v>0</v>
      </c>
      <c r="D11960" s="2">
        <f t="shared" si="186"/>
        <v>1</v>
      </c>
    </row>
    <row r="11961" spans="1:4" x14ac:dyDescent="0.3">
      <c r="A11961" s="34">
        <v>70180</v>
      </c>
      <c r="B11961" s="35">
        <v>1</v>
      </c>
      <c r="C11961" s="35">
        <v>1</v>
      </c>
      <c r="D11961" s="2">
        <f t="shared" si="186"/>
        <v>2</v>
      </c>
    </row>
    <row r="11962" spans="1:4" x14ac:dyDescent="0.3">
      <c r="A11962" s="34">
        <v>70183</v>
      </c>
      <c r="B11962" s="35">
        <v>1</v>
      </c>
      <c r="C11962" s="35">
        <v>0</v>
      </c>
      <c r="D11962" s="2">
        <f t="shared" si="186"/>
        <v>1</v>
      </c>
    </row>
    <row r="11963" spans="1:4" x14ac:dyDescent="0.3">
      <c r="A11963" s="34">
        <v>70190</v>
      </c>
      <c r="B11963" s="35">
        <v>1</v>
      </c>
      <c r="C11963" s="35">
        <v>0</v>
      </c>
      <c r="D11963" s="2">
        <f t="shared" si="186"/>
        <v>1</v>
      </c>
    </row>
    <row r="11964" spans="1:4" x14ac:dyDescent="0.3">
      <c r="A11964" s="34">
        <v>70191</v>
      </c>
      <c r="B11964" s="35">
        <v>1</v>
      </c>
      <c r="C11964" s="35">
        <v>1</v>
      </c>
      <c r="D11964" s="2">
        <f t="shared" si="186"/>
        <v>2</v>
      </c>
    </row>
    <row r="11965" spans="1:4" x14ac:dyDescent="0.3">
      <c r="A11965" s="34">
        <v>70193</v>
      </c>
      <c r="B11965" s="35">
        <v>1</v>
      </c>
      <c r="C11965" s="35">
        <v>0</v>
      </c>
      <c r="D11965" s="2">
        <f t="shared" si="186"/>
        <v>1</v>
      </c>
    </row>
    <row r="11966" spans="1:4" x14ac:dyDescent="0.3">
      <c r="A11966" s="34">
        <v>70199</v>
      </c>
      <c r="B11966" s="35">
        <v>2</v>
      </c>
      <c r="C11966" s="35">
        <v>2</v>
      </c>
      <c r="D11966" s="2">
        <f t="shared" si="186"/>
        <v>4</v>
      </c>
    </row>
    <row r="11967" spans="1:4" x14ac:dyDescent="0.3">
      <c r="A11967" s="34">
        <v>70200</v>
      </c>
      <c r="B11967" s="35">
        <v>1</v>
      </c>
      <c r="C11967" s="35">
        <v>0</v>
      </c>
      <c r="D11967" s="2">
        <f t="shared" si="186"/>
        <v>1</v>
      </c>
    </row>
    <row r="11968" spans="1:4" x14ac:dyDescent="0.3">
      <c r="A11968" s="34">
        <v>70201</v>
      </c>
      <c r="B11968" s="35">
        <v>1</v>
      </c>
      <c r="C11968" s="35">
        <v>0</v>
      </c>
      <c r="D11968" s="2">
        <f t="shared" si="186"/>
        <v>1</v>
      </c>
    </row>
    <row r="11969" spans="1:4" x14ac:dyDescent="0.3">
      <c r="A11969" s="34">
        <v>70203</v>
      </c>
      <c r="B11969" s="35">
        <v>1</v>
      </c>
      <c r="C11969" s="35">
        <v>0</v>
      </c>
      <c r="D11969" s="2">
        <f t="shared" si="186"/>
        <v>1</v>
      </c>
    </row>
    <row r="11970" spans="1:4" x14ac:dyDescent="0.3">
      <c r="A11970" s="34">
        <v>70208</v>
      </c>
      <c r="B11970" s="35">
        <v>1</v>
      </c>
      <c r="C11970" s="35">
        <v>0</v>
      </c>
      <c r="D11970" s="2">
        <f t="shared" si="186"/>
        <v>1</v>
      </c>
    </row>
    <row r="11971" spans="1:4" x14ac:dyDescent="0.3">
      <c r="A11971" s="34">
        <v>70209</v>
      </c>
      <c r="B11971" s="35">
        <v>1</v>
      </c>
      <c r="C11971" s="35">
        <v>0</v>
      </c>
      <c r="D11971" s="2">
        <f t="shared" ref="D11971:D12034" si="187">B11971+C11971</f>
        <v>1</v>
      </c>
    </row>
    <row r="11972" spans="1:4" x14ac:dyDescent="0.3">
      <c r="A11972" s="34">
        <v>70212</v>
      </c>
      <c r="B11972" s="35">
        <v>1</v>
      </c>
      <c r="C11972" s="35">
        <v>0</v>
      </c>
      <c r="D11972" s="2">
        <f t="shared" si="187"/>
        <v>1</v>
      </c>
    </row>
    <row r="11973" spans="1:4" x14ac:dyDescent="0.3">
      <c r="A11973" s="34">
        <v>70215</v>
      </c>
      <c r="B11973" s="35">
        <v>1</v>
      </c>
      <c r="C11973" s="35">
        <v>0</v>
      </c>
      <c r="D11973" s="2">
        <f t="shared" si="187"/>
        <v>1</v>
      </c>
    </row>
    <row r="11974" spans="1:4" x14ac:dyDescent="0.3">
      <c r="A11974" s="34">
        <v>70219</v>
      </c>
      <c r="B11974" s="35">
        <v>1</v>
      </c>
      <c r="C11974" s="35">
        <v>0</v>
      </c>
      <c r="D11974" s="2">
        <f t="shared" si="187"/>
        <v>1</v>
      </c>
    </row>
    <row r="11975" spans="1:4" x14ac:dyDescent="0.3">
      <c r="A11975" s="34">
        <v>70222</v>
      </c>
      <c r="B11975" s="35">
        <v>1</v>
      </c>
      <c r="C11975" s="35">
        <v>0</v>
      </c>
      <c r="D11975" s="2">
        <f t="shared" si="187"/>
        <v>1</v>
      </c>
    </row>
    <row r="11976" spans="1:4" x14ac:dyDescent="0.3">
      <c r="A11976" s="34">
        <v>70223</v>
      </c>
      <c r="B11976" s="35">
        <v>1</v>
      </c>
      <c r="C11976" s="35">
        <v>0</v>
      </c>
      <c r="D11976" s="2">
        <f t="shared" si="187"/>
        <v>1</v>
      </c>
    </row>
    <row r="11977" spans="1:4" x14ac:dyDescent="0.3">
      <c r="A11977" s="34">
        <v>70224</v>
      </c>
      <c r="B11977" s="35">
        <v>1</v>
      </c>
      <c r="C11977" s="35">
        <v>0</v>
      </c>
      <c r="D11977" s="2">
        <f t="shared" si="187"/>
        <v>1</v>
      </c>
    </row>
    <row r="11978" spans="1:4" x14ac:dyDescent="0.3">
      <c r="A11978" s="34">
        <v>70225</v>
      </c>
      <c r="B11978" s="35">
        <v>1</v>
      </c>
      <c r="C11978" s="35">
        <v>0</v>
      </c>
      <c r="D11978" s="2">
        <f t="shared" si="187"/>
        <v>1</v>
      </c>
    </row>
    <row r="11979" spans="1:4" x14ac:dyDescent="0.3">
      <c r="A11979" s="34">
        <v>70226</v>
      </c>
      <c r="B11979" s="35">
        <v>1</v>
      </c>
      <c r="C11979" s="35">
        <v>0</v>
      </c>
      <c r="D11979" s="2">
        <f t="shared" si="187"/>
        <v>1</v>
      </c>
    </row>
    <row r="11980" spans="1:4" x14ac:dyDescent="0.3">
      <c r="A11980" s="34">
        <v>70227</v>
      </c>
      <c r="B11980" s="35">
        <v>1</v>
      </c>
      <c r="C11980" s="35">
        <v>0</v>
      </c>
      <c r="D11980" s="2">
        <f t="shared" si="187"/>
        <v>1</v>
      </c>
    </row>
    <row r="11981" spans="1:4" x14ac:dyDescent="0.3">
      <c r="A11981" s="34">
        <v>70228</v>
      </c>
      <c r="B11981" s="35">
        <v>1</v>
      </c>
      <c r="C11981" s="35">
        <v>0</v>
      </c>
      <c r="D11981" s="2">
        <f t="shared" si="187"/>
        <v>1</v>
      </c>
    </row>
    <row r="11982" spans="1:4" x14ac:dyDescent="0.3">
      <c r="A11982" s="34">
        <v>70229</v>
      </c>
      <c r="B11982" s="35">
        <v>1</v>
      </c>
      <c r="C11982" s="35">
        <v>0</v>
      </c>
      <c r="D11982" s="2">
        <f t="shared" si="187"/>
        <v>1</v>
      </c>
    </row>
    <row r="11983" spans="1:4" x14ac:dyDescent="0.3">
      <c r="A11983" s="34">
        <v>70230</v>
      </c>
      <c r="B11983" s="35">
        <v>1</v>
      </c>
      <c r="C11983" s="35">
        <v>0</v>
      </c>
      <c r="D11983" s="2">
        <f t="shared" si="187"/>
        <v>1</v>
      </c>
    </row>
    <row r="11984" spans="1:4" x14ac:dyDescent="0.3">
      <c r="A11984" s="34">
        <v>70231</v>
      </c>
      <c r="B11984" s="35">
        <v>1</v>
      </c>
      <c r="C11984" s="35">
        <v>0</v>
      </c>
      <c r="D11984" s="2">
        <f t="shared" si="187"/>
        <v>1</v>
      </c>
    </row>
    <row r="11985" spans="1:4" x14ac:dyDescent="0.3">
      <c r="A11985" s="34">
        <v>70240</v>
      </c>
      <c r="B11985" s="35">
        <v>1</v>
      </c>
      <c r="C11985" s="35">
        <v>0</v>
      </c>
      <c r="D11985" s="2">
        <f t="shared" si="187"/>
        <v>1</v>
      </c>
    </row>
    <row r="11986" spans="1:4" x14ac:dyDescent="0.3">
      <c r="A11986" s="34">
        <v>70241</v>
      </c>
      <c r="B11986" s="35">
        <v>1</v>
      </c>
      <c r="C11986" s="35">
        <v>0</v>
      </c>
      <c r="D11986" s="2">
        <f t="shared" si="187"/>
        <v>1</v>
      </c>
    </row>
    <row r="11987" spans="1:4" x14ac:dyDescent="0.3">
      <c r="A11987" s="34">
        <v>70243</v>
      </c>
      <c r="B11987" s="35">
        <v>1</v>
      </c>
      <c r="C11987" s="35">
        <v>0</v>
      </c>
      <c r="D11987" s="2">
        <f t="shared" si="187"/>
        <v>1</v>
      </c>
    </row>
    <row r="11988" spans="1:4" x14ac:dyDescent="0.3">
      <c r="A11988" s="34">
        <v>70245</v>
      </c>
      <c r="B11988" s="35">
        <v>1</v>
      </c>
      <c r="C11988" s="35">
        <v>0</v>
      </c>
      <c r="D11988" s="2">
        <f t="shared" si="187"/>
        <v>1</v>
      </c>
    </row>
    <row r="11989" spans="1:4" x14ac:dyDescent="0.3">
      <c r="A11989" s="34">
        <v>70246</v>
      </c>
      <c r="B11989" s="35">
        <v>1</v>
      </c>
      <c r="C11989" s="35">
        <v>0</v>
      </c>
      <c r="D11989" s="2">
        <f t="shared" si="187"/>
        <v>1</v>
      </c>
    </row>
    <row r="11990" spans="1:4" x14ac:dyDescent="0.3">
      <c r="A11990" s="34">
        <v>70249</v>
      </c>
      <c r="B11990" s="35">
        <v>1</v>
      </c>
      <c r="C11990" s="35">
        <v>0</v>
      </c>
      <c r="D11990" s="2">
        <f t="shared" si="187"/>
        <v>1</v>
      </c>
    </row>
    <row r="11991" spans="1:4" x14ac:dyDescent="0.3">
      <c r="A11991" s="34">
        <v>70250</v>
      </c>
      <c r="B11991" s="35">
        <v>1</v>
      </c>
      <c r="C11991" s="35">
        <v>0</v>
      </c>
      <c r="D11991" s="2">
        <f t="shared" si="187"/>
        <v>1</v>
      </c>
    </row>
    <row r="11992" spans="1:4" x14ac:dyDescent="0.3">
      <c r="A11992" s="34">
        <v>70254</v>
      </c>
      <c r="B11992" s="35">
        <v>1</v>
      </c>
      <c r="C11992" s="35">
        <v>0</v>
      </c>
      <c r="D11992" s="2">
        <f t="shared" si="187"/>
        <v>1</v>
      </c>
    </row>
    <row r="11993" spans="1:4" x14ac:dyDescent="0.3">
      <c r="A11993" s="34">
        <v>70256</v>
      </c>
      <c r="B11993" s="35">
        <v>2</v>
      </c>
      <c r="C11993" s="35">
        <v>1</v>
      </c>
      <c r="D11993" s="2">
        <f t="shared" si="187"/>
        <v>3</v>
      </c>
    </row>
    <row r="11994" spans="1:4" x14ac:dyDescent="0.3">
      <c r="A11994" s="34">
        <v>70257</v>
      </c>
      <c r="B11994" s="35">
        <v>1</v>
      </c>
      <c r="C11994" s="35">
        <v>0</v>
      </c>
      <c r="D11994" s="2">
        <f t="shared" si="187"/>
        <v>1</v>
      </c>
    </row>
    <row r="11995" spans="1:4" x14ac:dyDescent="0.3">
      <c r="A11995" s="34">
        <v>70258</v>
      </c>
      <c r="B11995" s="35">
        <v>1</v>
      </c>
      <c r="C11995" s="35">
        <v>0</v>
      </c>
      <c r="D11995" s="2">
        <f t="shared" si="187"/>
        <v>1</v>
      </c>
    </row>
    <row r="11996" spans="1:4" x14ac:dyDescent="0.3">
      <c r="A11996" s="34">
        <v>70266</v>
      </c>
      <c r="B11996" s="35">
        <v>1</v>
      </c>
      <c r="C11996" s="35">
        <v>1</v>
      </c>
      <c r="D11996" s="2">
        <f t="shared" si="187"/>
        <v>2</v>
      </c>
    </row>
    <row r="11997" spans="1:4" x14ac:dyDescent="0.3">
      <c r="A11997" s="34">
        <v>70268</v>
      </c>
      <c r="B11997" s="35">
        <v>1</v>
      </c>
      <c r="C11997" s="35">
        <v>0</v>
      </c>
      <c r="D11997" s="2">
        <f t="shared" si="187"/>
        <v>1</v>
      </c>
    </row>
    <row r="11998" spans="1:4" x14ac:dyDescent="0.3">
      <c r="A11998" s="34">
        <v>70269</v>
      </c>
      <c r="B11998" s="35">
        <v>1</v>
      </c>
      <c r="C11998" s="35">
        <v>0</v>
      </c>
      <c r="D11998" s="2">
        <f t="shared" si="187"/>
        <v>1</v>
      </c>
    </row>
    <row r="11999" spans="1:4" x14ac:dyDescent="0.3">
      <c r="A11999" s="34">
        <v>70271</v>
      </c>
      <c r="B11999" s="35">
        <v>1</v>
      </c>
      <c r="C11999" s="35">
        <v>0</v>
      </c>
      <c r="D11999" s="2">
        <f t="shared" si="187"/>
        <v>1</v>
      </c>
    </row>
    <row r="12000" spans="1:4" x14ac:dyDescent="0.3">
      <c r="A12000" s="34">
        <v>70272</v>
      </c>
      <c r="B12000" s="35">
        <v>1</v>
      </c>
      <c r="C12000" s="35">
        <v>0</v>
      </c>
      <c r="D12000" s="2">
        <f t="shared" si="187"/>
        <v>1</v>
      </c>
    </row>
    <row r="12001" spans="1:4" x14ac:dyDescent="0.3">
      <c r="A12001" s="34">
        <v>70275</v>
      </c>
      <c r="B12001" s="35">
        <v>1</v>
      </c>
      <c r="C12001" s="35">
        <v>0</v>
      </c>
      <c r="D12001" s="2">
        <f t="shared" si="187"/>
        <v>1</v>
      </c>
    </row>
    <row r="12002" spans="1:4" x14ac:dyDescent="0.3">
      <c r="A12002" s="34">
        <v>70277</v>
      </c>
      <c r="B12002" s="35">
        <v>1</v>
      </c>
      <c r="C12002" s="35">
        <v>0</v>
      </c>
      <c r="D12002" s="2">
        <f t="shared" si="187"/>
        <v>1</v>
      </c>
    </row>
    <row r="12003" spans="1:4" x14ac:dyDescent="0.3">
      <c r="A12003" s="34">
        <v>70278</v>
      </c>
      <c r="B12003" s="35">
        <v>1</v>
      </c>
      <c r="C12003" s="35">
        <v>0</v>
      </c>
      <c r="D12003" s="2">
        <f t="shared" si="187"/>
        <v>1</v>
      </c>
    </row>
    <row r="12004" spans="1:4" x14ac:dyDescent="0.3">
      <c r="A12004" s="34">
        <v>70279</v>
      </c>
      <c r="B12004" s="35">
        <v>1</v>
      </c>
      <c r="C12004" s="35">
        <v>0</v>
      </c>
      <c r="D12004" s="2">
        <f t="shared" si="187"/>
        <v>1</v>
      </c>
    </row>
    <row r="12005" spans="1:4" x14ac:dyDescent="0.3">
      <c r="A12005" s="34">
        <v>70283</v>
      </c>
      <c r="B12005" s="35">
        <v>1</v>
      </c>
      <c r="C12005" s="35">
        <v>0</v>
      </c>
      <c r="D12005" s="2">
        <f t="shared" si="187"/>
        <v>1</v>
      </c>
    </row>
    <row r="12006" spans="1:4" x14ac:dyDescent="0.3">
      <c r="A12006" s="34">
        <v>70284</v>
      </c>
      <c r="B12006" s="35">
        <v>1</v>
      </c>
      <c r="C12006" s="35">
        <v>0</v>
      </c>
      <c r="D12006" s="2">
        <f t="shared" si="187"/>
        <v>1</v>
      </c>
    </row>
    <row r="12007" spans="1:4" x14ac:dyDescent="0.3">
      <c r="A12007" s="34">
        <v>70285</v>
      </c>
      <c r="B12007" s="35">
        <v>1</v>
      </c>
      <c r="C12007" s="35">
        <v>0</v>
      </c>
      <c r="D12007" s="2">
        <f t="shared" si="187"/>
        <v>1</v>
      </c>
    </row>
    <row r="12008" spans="1:4" x14ac:dyDescent="0.3">
      <c r="A12008" s="34">
        <v>70286</v>
      </c>
      <c r="B12008" s="35">
        <v>1</v>
      </c>
      <c r="C12008" s="35">
        <v>0</v>
      </c>
      <c r="D12008" s="2">
        <f t="shared" si="187"/>
        <v>1</v>
      </c>
    </row>
    <row r="12009" spans="1:4" x14ac:dyDescent="0.3">
      <c r="A12009" s="34">
        <v>70287</v>
      </c>
      <c r="B12009" s="35">
        <v>1</v>
      </c>
      <c r="C12009" s="35">
        <v>0</v>
      </c>
      <c r="D12009" s="2">
        <f t="shared" si="187"/>
        <v>1</v>
      </c>
    </row>
    <row r="12010" spans="1:4" x14ac:dyDescent="0.3">
      <c r="A12010" s="34">
        <v>70288</v>
      </c>
      <c r="B12010" s="35">
        <v>1</v>
      </c>
      <c r="C12010" s="35">
        <v>0</v>
      </c>
      <c r="D12010" s="2">
        <f t="shared" si="187"/>
        <v>1</v>
      </c>
    </row>
    <row r="12011" spans="1:4" x14ac:dyDescent="0.3">
      <c r="A12011" s="34">
        <v>70289</v>
      </c>
      <c r="B12011" s="35">
        <v>1</v>
      </c>
      <c r="C12011" s="35">
        <v>0</v>
      </c>
      <c r="D12011" s="2">
        <f t="shared" si="187"/>
        <v>1</v>
      </c>
    </row>
    <row r="12012" spans="1:4" x14ac:dyDescent="0.3">
      <c r="A12012" s="34">
        <v>70290</v>
      </c>
      <c r="B12012" s="35">
        <v>1</v>
      </c>
      <c r="C12012" s="35">
        <v>0</v>
      </c>
      <c r="D12012" s="2">
        <f t="shared" si="187"/>
        <v>1</v>
      </c>
    </row>
    <row r="12013" spans="1:4" x14ac:dyDescent="0.3">
      <c r="A12013" s="34">
        <v>70298</v>
      </c>
      <c r="B12013" s="35">
        <v>1</v>
      </c>
      <c r="C12013" s="35">
        <v>0</v>
      </c>
      <c r="D12013" s="2">
        <f t="shared" si="187"/>
        <v>1</v>
      </c>
    </row>
    <row r="12014" spans="1:4" x14ac:dyDescent="0.3">
      <c r="A12014" s="34">
        <v>70299</v>
      </c>
      <c r="B12014" s="35">
        <v>1</v>
      </c>
      <c r="C12014" s="35">
        <v>0</v>
      </c>
      <c r="D12014" s="2">
        <f t="shared" si="187"/>
        <v>1</v>
      </c>
    </row>
    <row r="12015" spans="1:4" x14ac:dyDescent="0.3">
      <c r="A12015" s="34">
        <v>70300</v>
      </c>
      <c r="B12015" s="35">
        <v>1</v>
      </c>
      <c r="C12015" s="35">
        <v>0</v>
      </c>
      <c r="D12015" s="2">
        <f t="shared" si="187"/>
        <v>1</v>
      </c>
    </row>
    <row r="12016" spans="1:4" x14ac:dyDescent="0.3">
      <c r="A12016" s="34">
        <v>70304</v>
      </c>
      <c r="B12016" s="35">
        <v>1</v>
      </c>
      <c r="C12016" s="35">
        <v>0</v>
      </c>
      <c r="D12016" s="2">
        <f t="shared" si="187"/>
        <v>1</v>
      </c>
    </row>
    <row r="12017" spans="1:4" x14ac:dyDescent="0.3">
      <c r="A12017" s="34">
        <v>70305</v>
      </c>
      <c r="B12017" s="35">
        <v>2</v>
      </c>
      <c r="C12017" s="35">
        <v>0</v>
      </c>
      <c r="D12017" s="2">
        <f t="shared" si="187"/>
        <v>2</v>
      </c>
    </row>
    <row r="12018" spans="1:4" x14ac:dyDescent="0.3">
      <c r="A12018" s="34">
        <v>70306</v>
      </c>
      <c r="B12018" s="35">
        <v>1</v>
      </c>
      <c r="C12018" s="35">
        <v>0</v>
      </c>
      <c r="D12018" s="2">
        <f t="shared" si="187"/>
        <v>1</v>
      </c>
    </row>
    <row r="12019" spans="1:4" x14ac:dyDescent="0.3">
      <c r="A12019" s="34">
        <v>70308</v>
      </c>
      <c r="B12019" s="35">
        <v>1</v>
      </c>
      <c r="C12019" s="35">
        <v>0</v>
      </c>
      <c r="D12019" s="2">
        <f t="shared" si="187"/>
        <v>1</v>
      </c>
    </row>
    <row r="12020" spans="1:4" x14ac:dyDescent="0.3">
      <c r="A12020" s="34">
        <v>70311</v>
      </c>
      <c r="B12020" s="35">
        <v>1</v>
      </c>
      <c r="C12020" s="35">
        <v>0</v>
      </c>
      <c r="D12020" s="2">
        <f t="shared" si="187"/>
        <v>1</v>
      </c>
    </row>
    <row r="12021" spans="1:4" x14ac:dyDescent="0.3">
      <c r="A12021" s="34">
        <v>70313</v>
      </c>
      <c r="B12021" s="35">
        <v>1</v>
      </c>
      <c r="C12021" s="35">
        <v>0</v>
      </c>
      <c r="D12021" s="2">
        <f t="shared" si="187"/>
        <v>1</v>
      </c>
    </row>
    <row r="12022" spans="1:4" x14ac:dyDescent="0.3">
      <c r="A12022" s="34">
        <v>70314</v>
      </c>
      <c r="B12022" s="35">
        <v>1</v>
      </c>
      <c r="C12022" s="35">
        <v>0</v>
      </c>
      <c r="D12022" s="2">
        <f t="shared" si="187"/>
        <v>1</v>
      </c>
    </row>
    <row r="12023" spans="1:4" x14ac:dyDescent="0.3">
      <c r="A12023" s="34">
        <v>70315</v>
      </c>
      <c r="B12023" s="35">
        <v>1</v>
      </c>
      <c r="C12023" s="35">
        <v>0</v>
      </c>
      <c r="D12023" s="2">
        <f t="shared" si="187"/>
        <v>1</v>
      </c>
    </row>
    <row r="12024" spans="1:4" x14ac:dyDescent="0.3">
      <c r="A12024" s="34">
        <v>70317</v>
      </c>
      <c r="B12024" s="35">
        <v>1</v>
      </c>
      <c r="C12024" s="35">
        <v>0</v>
      </c>
      <c r="D12024" s="2">
        <f t="shared" si="187"/>
        <v>1</v>
      </c>
    </row>
    <row r="12025" spans="1:4" x14ac:dyDescent="0.3">
      <c r="A12025" s="34">
        <v>70319</v>
      </c>
      <c r="B12025" s="35">
        <v>1</v>
      </c>
      <c r="C12025" s="35">
        <v>1</v>
      </c>
      <c r="D12025" s="2">
        <f t="shared" si="187"/>
        <v>2</v>
      </c>
    </row>
    <row r="12026" spans="1:4" x14ac:dyDescent="0.3">
      <c r="A12026" s="34">
        <v>70320</v>
      </c>
      <c r="B12026" s="35">
        <v>2</v>
      </c>
      <c r="C12026" s="35">
        <v>0</v>
      </c>
      <c r="D12026" s="2">
        <f t="shared" si="187"/>
        <v>2</v>
      </c>
    </row>
    <row r="12027" spans="1:4" x14ac:dyDescent="0.3">
      <c r="A12027" s="34">
        <v>70322</v>
      </c>
      <c r="B12027" s="35">
        <v>1</v>
      </c>
      <c r="C12027" s="35">
        <v>0</v>
      </c>
      <c r="D12027" s="2">
        <f t="shared" si="187"/>
        <v>1</v>
      </c>
    </row>
    <row r="12028" spans="1:4" x14ac:dyDescent="0.3">
      <c r="A12028" s="34">
        <v>70323</v>
      </c>
      <c r="B12028" s="35">
        <v>1</v>
      </c>
      <c r="C12028" s="35">
        <v>0</v>
      </c>
      <c r="D12028" s="2">
        <f t="shared" si="187"/>
        <v>1</v>
      </c>
    </row>
    <row r="12029" spans="1:4" x14ac:dyDescent="0.3">
      <c r="A12029" s="34">
        <v>70324</v>
      </c>
      <c r="B12029" s="35">
        <v>1</v>
      </c>
      <c r="C12029" s="35">
        <v>1</v>
      </c>
      <c r="D12029" s="2">
        <f t="shared" si="187"/>
        <v>2</v>
      </c>
    </row>
    <row r="12030" spans="1:4" x14ac:dyDescent="0.3">
      <c r="A12030" s="34">
        <v>70326</v>
      </c>
      <c r="B12030" s="35">
        <v>1</v>
      </c>
      <c r="C12030" s="35">
        <v>0</v>
      </c>
      <c r="D12030" s="2">
        <f t="shared" si="187"/>
        <v>1</v>
      </c>
    </row>
    <row r="12031" spans="1:4" x14ac:dyDescent="0.3">
      <c r="A12031" s="34">
        <v>70327</v>
      </c>
      <c r="B12031" s="35">
        <v>1</v>
      </c>
      <c r="C12031" s="35">
        <v>0</v>
      </c>
      <c r="D12031" s="2">
        <f t="shared" si="187"/>
        <v>1</v>
      </c>
    </row>
    <row r="12032" spans="1:4" x14ac:dyDescent="0.3">
      <c r="A12032" s="34">
        <v>70328</v>
      </c>
      <c r="B12032" s="35">
        <v>1</v>
      </c>
      <c r="C12032" s="35">
        <v>0</v>
      </c>
      <c r="D12032" s="2">
        <f t="shared" si="187"/>
        <v>1</v>
      </c>
    </row>
    <row r="12033" spans="1:4" x14ac:dyDescent="0.3">
      <c r="A12033" s="34">
        <v>70329</v>
      </c>
      <c r="B12033" s="35">
        <v>1</v>
      </c>
      <c r="C12033" s="35">
        <v>0</v>
      </c>
      <c r="D12033" s="2">
        <f t="shared" si="187"/>
        <v>1</v>
      </c>
    </row>
    <row r="12034" spans="1:4" x14ac:dyDescent="0.3">
      <c r="A12034" s="34">
        <v>70330</v>
      </c>
      <c r="B12034" s="35">
        <v>1</v>
      </c>
      <c r="C12034" s="35">
        <v>0</v>
      </c>
      <c r="D12034" s="2">
        <f t="shared" si="187"/>
        <v>1</v>
      </c>
    </row>
    <row r="12035" spans="1:4" x14ac:dyDescent="0.3">
      <c r="A12035" s="34">
        <v>70332</v>
      </c>
      <c r="B12035" s="35">
        <v>1</v>
      </c>
      <c r="C12035" s="35">
        <v>1</v>
      </c>
      <c r="D12035" s="2">
        <f t="shared" ref="D12035:D12098" si="188">B12035+C12035</f>
        <v>2</v>
      </c>
    </row>
    <row r="12036" spans="1:4" x14ac:dyDescent="0.3">
      <c r="A12036" s="34">
        <v>70333</v>
      </c>
      <c r="B12036" s="35">
        <v>1</v>
      </c>
      <c r="C12036" s="35">
        <v>0</v>
      </c>
      <c r="D12036" s="2">
        <f t="shared" si="188"/>
        <v>1</v>
      </c>
    </row>
    <row r="12037" spans="1:4" x14ac:dyDescent="0.3">
      <c r="A12037" s="34">
        <v>70334</v>
      </c>
      <c r="B12037" s="35">
        <v>1</v>
      </c>
      <c r="C12037" s="35">
        <v>0</v>
      </c>
      <c r="D12037" s="2">
        <f t="shared" si="188"/>
        <v>1</v>
      </c>
    </row>
    <row r="12038" spans="1:4" x14ac:dyDescent="0.3">
      <c r="A12038" s="34">
        <v>70335</v>
      </c>
      <c r="B12038" s="35">
        <v>1</v>
      </c>
      <c r="C12038" s="35">
        <v>0</v>
      </c>
      <c r="D12038" s="2">
        <f t="shared" si="188"/>
        <v>1</v>
      </c>
    </row>
    <row r="12039" spans="1:4" x14ac:dyDescent="0.3">
      <c r="A12039" s="34">
        <v>70338</v>
      </c>
      <c r="B12039" s="35">
        <v>1</v>
      </c>
      <c r="C12039" s="35">
        <v>0</v>
      </c>
      <c r="D12039" s="2">
        <f t="shared" si="188"/>
        <v>1</v>
      </c>
    </row>
    <row r="12040" spans="1:4" x14ac:dyDescent="0.3">
      <c r="A12040" s="34">
        <v>70340</v>
      </c>
      <c r="B12040" s="35">
        <v>1</v>
      </c>
      <c r="C12040" s="35">
        <v>1</v>
      </c>
      <c r="D12040" s="2">
        <f t="shared" si="188"/>
        <v>2</v>
      </c>
    </row>
    <row r="12041" spans="1:4" x14ac:dyDescent="0.3">
      <c r="A12041" s="34">
        <v>70341</v>
      </c>
      <c r="B12041" s="35">
        <v>1</v>
      </c>
      <c r="C12041" s="35">
        <v>0</v>
      </c>
      <c r="D12041" s="2">
        <f t="shared" si="188"/>
        <v>1</v>
      </c>
    </row>
    <row r="12042" spans="1:4" x14ac:dyDescent="0.3">
      <c r="A12042" s="34">
        <v>70343</v>
      </c>
      <c r="B12042" s="35">
        <v>1</v>
      </c>
      <c r="C12042" s="35">
        <v>0</v>
      </c>
      <c r="D12042" s="2">
        <f t="shared" si="188"/>
        <v>1</v>
      </c>
    </row>
    <row r="12043" spans="1:4" x14ac:dyDescent="0.3">
      <c r="A12043" s="34">
        <v>70345</v>
      </c>
      <c r="B12043" s="35">
        <v>1</v>
      </c>
      <c r="C12043" s="35">
        <v>1</v>
      </c>
      <c r="D12043" s="2">
        <f t="shared" si="188"/>
        <v>2</v>
      </c>
    </row>
    <row r="12044" spans="1:4" x14ac:dyDescent="0.3">
      <c r="A12044" s="34">
        <v>70346</v>
      </c>
      <c r="B12044" s="35">
        <v>1</v>
      </c>
      <c r="C12044" s="35">
        <v>1</v>
      </c>
      <c r="D12044" s="2">
        <f t="shared" si="188"/>
        <v>2</v>
      </c>
    </row>
    <row r="12045" spans="1:4" x14ac:dyDescent="0.3">
      <c r="A12045" s="34">
        <v>70348</v>
      </c>
      <c r="B12045" s="35">
        <v>1</v>
      </c>
      <c r="C12045" s="35">
        <v>0</v>
      </c>
      <c r="D12045" s="2">
        <f t="shared" si="188"/>
        <v>1</v>
      </c>
    </row>
    <row r="12046" spans="1:4" x14ac:dyDescent="0.3">
      <c r="A12046" s="34">
        <v>70349</v>
      </c>
      <c r="B12046" s="35">
        <v>1</v>
      </c>
      <c r="C12046" s="35">
        <v>0</v>
      </c>
      <c r="D12046" s="2">
        <f t="shared" si="188"/>
        <v>1</v>
      </c>
    </row>
    <row r="12047" spans="1:4" x14ac:dyDescent="0.3">
      <c r="A12047" s="34">
        <v>70354</v>
      </c>
      <c r="B12047" s="35">
        <v>1</v>
      </c>
      <c r="C12047" s="35">
        <v>0</v>
      </c>
      <c r="D12047" s="2">
        <f t="shared" si="188"/>
        <v>1</v>
      </c>
    </row>
    <row r="12048" spans="1:4" x14ac:dyDescent="0.3">
      <c r="A12048" s="34">
        <v>70355</v>
      </c>
      <c r="B12048" s="35">
        <v>1</v>
      </c>
      <c r="C12048" s="35">
        <v>0</v>
      </c>
      <c r="D12048" s="2">
        <f t="shared" si="188"/>
        <v>1</v>
      </c>
    </row>
    <row r="12049" spans="1:4" x14ac:dyDescent="0.3">
      <c r="A12049" s="34">
        <v>70357</v>
      </c>
      <c r="B12049" s="35">
        <v>2</v>
      </c>
      <c r="C12049" s="35">
        <v>0</v>
      </c>
      <c r="D12049" s="2">
        <f t="shared" si="188"/>
        <v>2</v>
      </c>
    </row>
    <row r="12050" spans="1:4" x14ac:dyDescent="0.3">
      <c r="A12050" s="34">
        <v>70358</v>
      </c>
      <c r="B12050" s="35">
        <v>1</v>
      </c>
      <c r="C12050" s="35">
        <v>1</v>
      </c>
      <c r="D12050" s="2">
        <f t="shared" si="188"/>
        <v>2</v>
      </c>
    </row>
    <row r="12051" spans="1:4" x14ac:dyDescent="0.3">
      <c r="A12051" s="34">
        <v>70359</v>
      </c>
      <c r="B12051" s="35">
        <v>1</v>
      </c>
      <c r="C12051" s="35">
        <v>0</v>
      </c>
      <c r="D12051" s="2">
        <f t="shared" si="188"/>
        <v>1</v>
      </c>
    </row>
    <row r="12052" spans="1:4" x14ac:dyDescent="0.3">
      <c r="A12052" s="34">
        <v>70360</v>
      </c>
      <c r="B12052" s="35">
        <v>1</v>
      </c>
      <c r="C12052" s="35">
        <v>0</v>
      </c>
      <c r="D12052" s="2">
        <f t="shared" si="188"/>
        <v>1</v>
      </c>
    </row>
    <row r="12053" spans="1:4" x14ac:dyDescent="0.3">
      <c r="A12053" s="34">
        <v>70361</v>
      </c>
      <c r="B12053" s="35">
        <v>1</v>
      </c>
      <c r="C12053" s="35">
        <v>1</v>
      </c>
      <c r="D12053" s="2">
        <f t="shared" si="188"/>
        <v>2</v>
      </c>
    </row>
    <row r="12054" spans="1:4" x14ac:dyDescent="0.3">
      <c r="A12054" s="34">
        <v>70362</v>
      </c>
      <c r="B12054" s="35">
        <v>1</v>
      </c>
      <c r="C12054" s="35">
        <v>0</v>
      </c>
      <c r="D12054" s="2">
        <f t="shared" si="188"/>
        <v>1</v>
      </c>
    </row>
    <row r="12055" spans="1:4" x14ac:dyDescent="0.3">
      <c r="A12055" s="34">
        <v>70363</v>
      </c>
      <c r="B12055" s="35">
        <v>1</v>
      </c>
      <c r="C12055" s="35">
        <v>0</v>
      </c>
      <c r="D12055" s="2">
        <f t="shared" si="188"/>
        <v>1</v>
      </c>
    </row>
    <row r="12056" spans="1:4" x14ac:dyDescent="0.3">
      <c r="A12056" s="34">
        <v>70364</v>
      </c>
      <c r="B12056" s="35">
        <v>1</v>
      </c>
      <c r="C12056" s="35">
        <v>0</v>
      </c>
      <c r="D12056" s="2">
        <f t="shared" si="188"/>
        <v>1</v>
      </c>
    </row>
    <row r="12057" spans="1:4" x14ac:dyDescent="0.3">
      <c r="A12057" s="34">
        <v>70365</v>
      </c>
      <c r="B12057" s="35">
        <v>1</v>
      </c>
      <c r="C12057" s="35">
        <v>0</v>
      </c>
      <c r="D12057" s="2">
        <f t="shared" si="188"/>
        <v>1</v>
      </c>
    </row>
    <row r="12058" spans="1:4" x14ac:dyDescent="0.3">
      <c r="A12058" s="34">
        <v>70367</v>
      </c>
      <c r="B12058" s="35">
        <v>1</v>
      </c>
      <c r="C12058" s="35">
        <v>0</v>
      </c>
      <c r="D12058" s="2">
        <f t="shared" si="188"/>
        <v>1</v>
      </c>
    </row>
    <row r="12059" spans="1:4" x14ac:dyDescent="0.3">
      <c r="A12059" s="34">
        <v>70369</v>
      </c>
      <c r="B12059" s="35">
        <v>1</v>
      </c>
      <c r="C12059" s="35">
        <v>0</v>
      </c>
      <c r="D12059" s="2">
        <f t="shared" si="188"/>
        <v>1</v>
      </c>
    </row>
    <row r="12060" spans="1:4" x14ac:dyDescent="0.3">
      <c r="A12060" s="34">
        <v>70372</v>
      </c>
      <c r="B12060" s="35">
        <v>1</v>
      </c>
      <c r="C12060" s="35">
        <v>0</v>
      </c>
      <c r="D12060" s="2">
        <f t="shared" si="188"/>
        <v>1</v>
      </c>
    </row>
    <row r="12061" spans="1:4" x14ac:dyDescent="0.3">
      <c r="A12061" s="34">
        <v>70374</v>
      </c>
      <c r="B12061" s="35">
        <v>1</v>
      </c>
      <c r="C12061" s="35">
        <v>0</v>
      </c>
      <c r="D12061" s="2">
        <f t="shared" si="188"/>
        <v>1</v>
      </c>
    </row>
    <row r="12062" spans="1:4" x14ac:dyDescent="0.3">
      <c r="A12062" s="34">
        <v>70375</v>
      </c>
      <c r="B12062" s="35">
        <v>1</v>
      </c>
      <c r="C12062" s="35">
        <v>0</v>
      </c>
      <c r="D12062" s="2">
        <f t="shared" si="188"/>
        <v>1</v>
      </c>
    </row>
    <row r="12063" spans="1:4" x14ac:dyDescent="0.3">
      <c r="A12063" s="34">
        <v>70433</v>
      </c>
      <c r="B12063" s="35">
        <v>1</v>
      </c>
      <c r="C12063" s="35">
        <v>1</v>
      </c>
      <c r="D12063" s="2">
        <f t="shared" si="188"/>
        <v>2</v>
      </c>
    </row>
    <row r="12064" spans="1:4" x14ac:dyDescent="0.3">
      <c r="A12064" s="34">
        <v>70435</v>
      </c>
      <c r="B12064" s="35">
        <v>1</v>
      </c>
      <c r="C12064" s="35">
        <v>0</v>
      </c>
      <c r="D12064" s="2">
        <f t="shared" si="188"/>
        <v>1</v>
      </c>
    </row>
    <row r="12065" spans="1:4" x14ac:dyDescent="0.3">
      <c r="A12065" s="34">
        <v>70437</v>
      </c>
      <c r="B12065" s="35">
        <v>1</v>
      </c>
      <c r="C12065" s="35">
        <v>1</v>
      </c>
      <c r="D12065" s="2">
        <f t="shared" si="188"/>
        <v>2</v>
      </c>
    </row>
    <row r="12066" spans="1:4" x14ac:dyDescent="0.3">
      <c r="A12066" s="34">
        <v>70439</v>
      </c>
      <c r="B12066" s="35">
        <v>1</v>
      </c>
      <c r="C12066" s="35">
        <v>0</v>
      </c>
      <c r="D12066" s="2">
        <f t="shared" si="188"/>
        <v>1</v>
      </c>
    </row>
    <row r="12067" spans="1:4" x14ac:dyDescent="0.3">
      <c r="A12067" s="34">
        <v>70441</v>
      </c>
      <c r="B12067" s="35">
        <v>1</v>
      </c>
      <c r="C12067" s="35">
        <v>0</v>
      </c>
      <c r="D12067" s="2">
        <f t="shared" si="188"/>
        <v>1</v>
      </c>
    </row>
    <row r="12068" spans="1:4" x14ac:dyDescent="0.3">
      <c r="A12068" s="34">
        <v>70443</v>
      </c>
      <c r="B12068" s="35">
        <v>1</v>
      </c>
      <c r="C12068" s="35">
        <v>0</v>
      </c>
      <c r="D12068" s="2">
        <f t="shared" si="188"/>
        <v>1</v>
      </c>
    </row>
    <row r="12069" spans="1:4" x14ac:dyDescent="0.3">
      <c r="A12069" s="34">
        <v>70444</v>
      </c>
      <c r="B12069" s="35">
        <v>1</v>
      </c>
      <c r="C12069" s="35">
        <v>0</v>
      </c>
      <c r="D12069" s="2">
        <f t="shared" si="188"/>
        <v>1</v>
      </c>
    </row>
    <row r="12070" spans="1:4" x14ac:dyDescent="0.3">
      <c r="A12070" s="34">
        <v>70445</v>
      </c>
      <c r="B12070" s="35">
        <v>1</v>
      </c>
      <c r="C12070" s="35">
        <v>0</v>
      </c>
      <c r="D12070" s="2">
        <f t="shared" si="188"/>
        <v>1</v>
      </c>
    </row>
    <row r="12071" spans="1:4" x14ac:dyDescent="0.3">
      <c r="A12071" s="34">
        <v>70446</v>
      </c>
      <c r="B12071" s="35">
        <v>1</v>
      </c>
      <c r="C12071" s="35">
        <v>0</v>
      </c>
      <c r="D12071" s="2">
        <f t="shared" si="188"/>
        <v>1</v>
      </c>
    </row>
    <row r="12072" spans="1:4" x14ac:dyDescent="0.3">
      <c r="A12072" s="34">
        <v>70447</v>
      </c>
      <c r="B12072" s="35">
        <v>1</v>
      </c>
      <c r="C12072" s="35">
        <v>0</v>
      </c>
      <c r="D12072" s="2">
        <f t="shared" si="188"/>
        <v>1</v>
      </c>
    </row>
    <row r="12073" spans="1:4" x14ac:dyDescent="0.3">
      <c r="A12073" s="34">
        <v>70450</v>
      </c>
      <c r="B12073" s="35">
        <v>1</v>
      </c>
      <c r="C12073" s="35">
        <v>0</v>
      </c>
      <c r="D12073" s="2">
        <f t="shared" si="188"/>
        <v>1</v>
      </c>
    </row>
    <row r="12074" spans="1:4" x14ac:dyDescent="0.3">
      <c r="A12074" s="34">
        <v>70451</v>
      </c>
      <c r="B12074" s="35">
        <v>1</v>
      </c>
      <c r="C12074" s="35">
        <v>0</v>
      </c>
      <c r="D12074" s="2">
        <f t="shared" si="188"/>
        <v>1</v>
      </c>
    </row>
    <row r="12075" spans="1:4" x14ac:dyDescent="0.3">
      <c r="A12075" s="34">
        <v>70453</v>
      </c>
      <c r="B12075" s="35">
        <v>1</v>
      </c>
      <c r="C12075" s="35">
        <v>0</v>
      </c>
      <c r="D12075" s="2">
        <f t="shared" si="188"/>
        <v>1</v>
      </c>
    </row>
    <row r="12076" spans="1:4" x14ac:dyDescent="0.3">
      <c r="A12076" s="34">
        <v>70455</v>
      </c>
      <c r="B12076" s="35">
        <v>1</v>
      </c>
      <c r="C12076" s="35">
        <v>0</v>
      </c>
      <c r="D12076" s="2">
        <f t="shared" si="188"/>
        <v>1</v>
      </c>
    </row>
    <row r="12077" spans="1:4" x14ac:dyDescent="0.3">
      <c r="A12077" s="34">
        <v>70456</v>
      </c>
      <c r="B12077" s="35">
        <v>2</v>
      </c>
      <c r="C12077" s="35">
        <v>0</v>
      </c>
      <c r="D12077" s="2">
        <f t="shared" si="188"/>
        <v>2</v>
      </c>
    </row>
    <row r="12078" spans="1:4" x14ac:dyDescent="0.3">
      <c r="A12078" s="34">
        <v>70459</v>
      </c>
      <c r="B12078" s="35">
        <v>1</v>
      </c>
      <c r="C12078" s="35">
        <v>0</v>
      </c>
      <c r="D12078" s="2">
        <f t="shared" si="188"/>
        <v>1</v>
      </c>
    </row>
    <row r="12079" spans="1:4" x14ac:dyDescent="0.3">
      <c r="A12079" s="34">
        <v>70460</v>
      </c>
      <c r="B12079" s="35">
        <v>1</v>
      </c>
      <c r="C12079" s="35">
        <v>0</v>
      </c>
      <c r="D12079" s="2">
        <f t="shared" si="188"/>
        <v>1</v>
      </c>
    </row>
    <row r="12080" spans="1:4" x14ac:dyDescent="0.3">
      <c r="A12080" s="34">
        <v>70461</v>
      </c>
      <c r="B12080" s="35">
        <v>1</v>
      </c>
      <c r="C12080" s="35">
        <v>0</v>
      </c>
      <c r="D12080" s="2">
        <f t="shared" si="188"/>
        <v>1</v>
      </c>
    </row>
    <row r="12081" spans="1:4" x14ac:dyDescent="0.3">
      <c r="A12081" s="34">
        <v>70463</v>
      </c>
      <c r="B12081" s="35">
        <v>1</v>
      </c>
      <c r="C12081" s="35">
        <v>0</v>
      </c>
      <c r="D12081" s="2">
        <f t="shared" si="188"/>
        <v>1</v>
      </c>
    </row>
    <row r="12082" spans="1:4" x14ac:dyDescent="0.3">
      <c r="A12082" s="34">
        <v>70464</v>
      </c>
      <c r="B12082" s="35">
        <v>1</v>
      </c>
      <c r="C12082" s="35">
        <v>0</v>
      </c>
      <c r="D12082" s="2">
        <f t="shared" si="188"/>
        <v>1</v>
      </c>
    </row>
    <row r="12083" spans="1:4" x14ac:dyDescent="0.3">
      <c r="A12083" s="34">
        <v>70467</v>
      </c>
      <c r="B12083" s="35">
        <v>1</v>
      </c>
      <c r="C12083" s="35">
        <v>0</v>
      </c>
      <c r="D12083" s="2">
        <f t="shared" si="188"/>
        <v>1</v>
      </c>
    </row>
    <row r="12084" spans="1:4" x14ac:dyDescent="0.3">
      <c r="A12084" s="34">
        <v>70472</v>
      </c>
      <c r="B12084" s="35">
        <v>1</v>
      </c>
      <c r="C12084" s="35">
        <v>0</v>
      </c>
      <c r="D12084" s="2">
        <f t="shared" si="188"/>
        <v>1</v>
      </c>
    </row>
    <row r="12085" spans="1:4" x14ac:dyDescent="0.3">
      <c r="A12085" s="34">
        <v>70477</v>
      </c>
      <c r="B12085" s="35">
        <v>2</v>
      </c>
      <c r="C12085" s="35">
        <v>2</v>
      </c>
      <c r="D12085" s="2">
        <f t="shared" si="188"/>
        <v>4</v>
      </c>
    </row>
    <row r="12086" spans="1:4" x14ac:dyDescent="0.3">
      <c r="A12086" s="34">
        <v>70480</v>
      </c>
      <c r="B12086" s="35">
        <v>1</v>
      </c>
      <c r="C12086" s="35">
        <v>0</v>
      </c>
      <c r="D12086" s="2">
        <f t="shared" si="188"/>
        <v>1</v>
      </c>
    </row>
    <row r="12087" spans="1:4" x14ac:dyDescent="0.3">
      <c r="A12087" s="34">
        <v>70481</v>
      </c>
      <c r="B12087" s="35">
        <v>1</v>
      </c>
      <c r="C12087" s="35">
        <v>1</v>
      </c>
      <c r="D12087" s="2">
        <f t="shared" si="188"/>
        <v>2</v>
      </c>
    </row>
    <row r="12088" spans="1:4" x14ac:dyDescent="0.3">
      <c r="A12088" s="34">
        <v>70483</v>
      </c>
      <c r="B12088" s="35">
        <v>1</v>
      </c>
      <c r="C12088" s="35">
        <v>0</v>
      </c>
      <c r="D12088" s="2">
        <f t="shared" si="188"/>
        <v>1</v>
      </c>
    </row>
    <row r="12089" spans="1:4" x14ac:dyDescent="0.3">
      <c r="A12089" s="34">
        <v>70484</v>
      </c>
      <c r="B12089" s="35">
        <v>1</v>
      </c>
      <c r="C12089" s="35">
        <v>1</v>
      </c>
      <c r="D12089" s="2">
        <f t="shared" si="188"/>
        <v>2</v>
      </c>
    </row>
    <row r="12090" spans="1:4" x14ac:dyDescent="0.3">
      <c r="A12090" s="34">
        <v>70486</v>
      </c>
      <c r="B12090" s="35">
        <v>1</v>
      </c>
      <c r="C12090" s="35">
        <v>0</v>
      </c>
      <c r="D12090" s="2">
        <f t="shared" si="188"/>
        <v>1</v>
      </c>
    </row>
    <row r="12091" spans="1:4" x14ac:dyDescent="0.3">
      <c r="A12091" s="34">
        <v>70487</v>
      </c>
      <c r="B12091" s="35">
        <v>1</v>
      </c>
      <c r="C12091" s="35">
        <v>0</v>
      </c>
      <c r="D12091" s="2">
        <f t="shared" si="188"/>
        <v>1</v>
      </c>
    </row>
    <row r="12092" spans="1:4" x14ac:dyDescent="0.3">
      <c r="A12092" s="34">
        <v>70489</v>
      </c>
      <c r="B12092" s="35">
        <v>1</v>
      </c>
      <c r="C12092" s="35">
        <v>0</v>
      </c>
      <c r="D12092" s="2">
        <f t="shared" si="188"/>
        <v>1</v>
      </c>
    </row>
    <row r="12093" spans="1:4" x14ac:dyDescent="0.3">
      <c r="A12093" s="34">
        <v>70491</v>
      </c>
      <c r="B12093" s="35">
        <v>1</v>
      </c>
      <c r="C12093" s="35">
        <v>0</v>
      </c>
      <c r="D12093" s="2">
        <f t="shared" si="188"/>
        <v>1</v>
      </c>
    </row>
    <row r="12094" spans="1:4" x14ac:dyDescent="0.3">
      <c r="A12094" s="34">
        <v>70492</v>
      </c>
      <c r="B12094" s="35">
        <v>1</v>
      </c>
      <c r="C12094" s="35">
        <v>1</v>
      </c>
      <c r="D12094" s="2">
        <f t="shared" si="188"/>
        <v>2</v>
      </c>
    </row>
    <row r="12095" spans="1:4" x14ac:dyDescent="0.3">
      <c r="A12095" s="34">
        <v>70493</v>
      </c>
      <c r="B12095" s="35">
        <v>1</v>
      </c>
      <c r="C12095" s="35">
        <v>0</v>
      </c>
      <c r="D12095" s="2">
        <f t="shared" si="188"/>
        <v>1</v>
      </c>
    </row>
    <row r="12096" spans="1:4" x14ac:dyDescent="0.3">
      <c r="A12096" s="34">
        <v>70497</v>
      </c>
      <c r="B12096" s="35">
        <v>1</v>
      </c>
      <c r="C12096" s="35">
        <v>0</v>
      </c>
      <c r="D12096" s="2">
        <f t="shared" si="188"/>
        <v>1</v>
      </c>
    </row>
    <row r="12097" spans="1:4" x14ac:dyDescent="0.3">
      <c r="A12097" s="34">
        <v>70499</v>
      </c>
      <c r="B12097" s="35">
        <v>1</v>
      </c>
      <c r="C12097" s="35">
        <v>0</v>
      </c>
      <c r="D12097" s="2">
        <f t="shared" si="188"/>
        <v>1</v>
      </c>
    </row>
    <row r="12098" spans="1:4" x14ac:dyDescent="0.3">
      <c r="A12098" s="34">
        <v>70500</v>
      </c>
      <c r="B12098" s="35">
        <v>2</v>
      </c>
      <c r="C12098" s="35">
        <v>1</v>
      </c>
      <c r="D12098" s="2">
        <f t="shared" si="188"/>
        <v>3</v>
      </c>
    </row>
    <row r="12099" spans="1:4" x14ac:dyDescent="0.3">
      <c r="A12099" s="34">
        <v>70503</v>
      </c>
      <c r="B12099" s="35">
        <v>1</v>
      </c>
      <c r="C12099" s="35">
        <v>0</v>
      </c>
      <c r="D12099" s="2">
        <f t="shared" ref="D12099:D12162" si="189">B12099+C12099</f>
        <v>1</v>
      </c>
    </row>
    <row r="12100" spans="1:4" x14ac:dyDescent="0.3">
      <c r="A12100" s="34">
        <v>70506</v>
      </c>
      <c r="B12100" s="35">
        <v>1</v>
      </c>
      <c r="C12100" s="35">
        <v>0</v>
      </c>
      <c r="D12100" s="2">
        <f t="shared" si="189"/>
        <v>1</v>
      </c>
    </row>
    <row r="12101" spans="1:4" x14ac:dyDescent="0.3">
      <c r="A12101" s="34">
        <v>70508</v>
      </c>
      <c r="B12101" s="35">
        <v>1</v>
      </c>
      <c r="C12101" s="35">
        <v>0</v>
      </c>
      <c r="D12101" s="2">
        <f t="shared" si="189"/>
        <v>1</v>
      </c>
    </row>
    <row r="12102" spans="1:4" x14ac:dyDescent="0.3">
      <c r="A12102" s="34">
        <v>70510</v>
      </c>
      <c r="B12102" s="35">
        <v>1</v>
      </c>
      <c r="C12102" s="35">
        <v>0</v>
      </c>
      <c r="D12102" s="2">
        <f t="shared" si="189"/>
        <v>1</v>
      </c>
    </row>
    <row r="12103" spans="1:4" x14ac:dyDescent="0.3">
      <c r="A12103" s="34">
        <v>70511</v>
      </c>
      <c r="B12103" s="35">
        <v>1</v>
      </c>
      <c r="C12103" s="35">
        <v>0</v>
      </c>
      <c r="D12103" s="2">
        <f t="shared" si="189"/>
        <v>1</v>
      </c>
    </row>
    <row r="12104" spans="1:4" x14ac:dyDescent="0.3">
      <c r="A12104" s="34">
        <v>70512</v>
      </c>
      <c r="B12104" s="35">
        <v>1</v>
      </c>
      <c r="C12104" s="35">
        <v>0</v>
      </c>
      <c r="D12104" s="2">
        <f t="shared" si="189"/>
        <v>1</v>
      </c>
    </row>
    <row r="12105" spans="1:4" x14ac:dyDescent="0.3">
      <c r="A12105" s="34">
        <v>70516</v>
      </c>
      <c r="B12105" s="35">
        <v>1</v>
      </c>
      <c r="C12105" s="35">
        <v>0</v>
      </c>
      <c r="D12105" s="2">
        <f t="shared" si="189"/>
        <v>1</v>
      </c>
    </row>
    <row r="12106" spans="1:4" x14ac:dyDescent="0.3">
      <c r="A12106" s="34">
        <v>70517</v>
      </c>
      <c r="B12106" s="35">
        <v>1</v>
      </c>
      <c r="C12106" s="35">
        <v>0</v>
      </c>
      <c r="D12106" s="2">
        <f t="shared" si="189"/>
        <v>1</v>
      </c>
    </row>
    <row r="12107" spans="1:4" x14ac:dyDescent="0.3">
      <c r="A12107" s="34">
        <v>70520</v>
      </c>
      <c r="B12107" s="35">
        <v>1</v>
      </c>
      <c r="C12107" s="35">
        <v>0</v>
      </c>
      <c r="D12107" s="2">
        <f t="shared" si="189"/>
        <v>1</v>
      </c>
    </row>
    <row r="12108" spans="1:4" x14ac:dyDescent="0.3">
      <c r="A12108" s="34">
        <v>70524</v>
      </c>
      <c r="B12108" s="35">
        <v>2</v>
      </c>
      <c r="C12108" s="35">
        <v>0</v>
      </c>
      <c r="D12108" s="2">
        <f t="shared" si="189"/>
        <v>2</v>
      </c>
    </row>
    <row r="12109" spans="1:4" x14ac:dyDescent="0.3">
      <c r="A12109" s="34">
        <v>70525</v>
      </c>
      <c r="B12109" s="35">
        <v>1</v>
      </c>
      <c r="C12109" s="35">
        <v>0</v>
      </c>
      <c r="D12109" s="2">
        <f t="shared" si="189"/>
        <v>1</v>
      </c>
    </row>
    <row r="12110" spans="1:4" x14ac:dyDescent="0.3">
      <c r="A12110" s="34">
        <v>70527</v>
      </c>
      <c r="B12110" s="35">
        <v>1</v>
      </c>
      <c r="C12110" s="35">
        <v>1</v>
      </c>
      <c r="D12110" s="2">
        <f t="shared" si="189"/>
        <v>2</v>
      </c>
    </row>
    <row r="12111" spans="1:4" x14ac:dyDescent="0.3">
      <c r="A12111" s="34">
        <v>70528</v>
      </c>
      <c r="B12111" s="35">
        <v>1</v>
      </c>
      <c r="C12111" s="35">
        <v>0</v>
      </c>
      <c r="D12111" s="2">
        <f t="shared" si="189"/>
        <v>1</v>
      </c>
    </row>
    <row r="12112" spans="1:4" x14ac:dyDescent="0.3">
      <c r="A12112" s="34">
        <v>70535</v>
      </c>
      <c r="B12112" s="35">
        <v>1</v>
      </c>
      <c r="C12112" s="35">
        <v>0</v>
      </c>
      <c r="D12112" s="2">
        <f t="shared" si="189"/>
        <v>1</v>
      </c>
    </row>
    <row r="12113" spans="1:4" x14ac:dyDescent="0.3">
      <c r="A12113" s="34">
        <v>70536</v>
      </c>
      <c r="B12113" s="35">
        <v>1</v>
      </c>
      <c r="C12113" s="35">
        <v>0</v>
      </c>
      <c r="D12113" s="2">
        <f t="shared" si="189"/>
        <v>1</v>
      </c>
    </row>
    <row r="12114" spans="1:4" x14ac:dyDescent="0.3">
      <c r="A12114" s="34">
        <v>70537</v>
      </c>
      <c r="B12114" s="35">
        <v>1</v>
      </c>
      <c r="C12114" s="35">
        <v>0</v>
      </c>
      <c r="D12114" s="2">
        <f t="shared" si="189"/>
        <v>1</v>
      </c>
    </row>
    <row r="12115" spans="1:4" x14ac:dyDescent="0.3">
      <c r="A12115" s="34">
        <v>70538</v>
      </c>
      <c r="B12115" s="35">
        <v>3</v>
      </c>
      <c r="C12115" s="35">
        <v>2</v>
      </c>
      <c r="D12115" s="2">
        <f t="shared" si="189"/>
        <v>5</v>
      </c>
    </row>
    <row r="12116" spans="1:4" x14ac:dyDescent="0.3">
      <c r="A12116" s="34">
        <v>70543</v>
      </c>
      <c r="B12116" s="35">
        <v>1</v>
      </c>
      <c r="C12116" s="35">
        <v>1</v>
      </c>
      <c r="D12116" s="2">
        <f t="shared" si="189"/>
        <v>2</v>
      </c>
    </row>
    <row r="12117" spans="1:4" x14ac:dyDescent="0.3">
      <c r="A12117" s="34">
        <v>70546</v>
      </c>
      <c r="B12117" s="35">
        <v>1</v>
      </c>
      <c r="C12117" s="35">
        <v>0</v>
      </c>
      <c r="D12117" s="2">
        <f t="shared" si="189"/>
        <v>1</v>
      </c>
    </row>
    <row r="12118" spans="1:4" x14ac:dyDescent="0.3">
      <c r="A12118" s="34">
        <v>70547</v>
      </c>
      <c r="B12118" s="35">
        <v>1</v>
      </c>
      <c r="C12118" s="35">
        <v>0</v>
      </c>
      <c r="D12118" s="2">
        <f t="shared" si="189"/>
        <v>1</v>
      </c>
    </row>
    <row r="12119" spans="1:4" x14ac:dyDescent="0.3">
      <c r="A12119" s="34">
        <v>70548</v>
      </c>
      <c r="B12119" s="35">
        <v>1</v>
      </c>
      <c r="C12119" s="35">
        <v>0</v>
      </c>
      <c r="D12119" s="2">
        <f t="shared" si="189"/>
        <v>1</v>
      </c>
    </row>
    <row r="12120" spans="1:4" x14ac:dyDescent="0.3">
      <c r="A12120" s="34">
        <v>70549</v>
      </c>
      <c r="B12120" s="35">
        <v>1</v>
      </c>
      <c r="C12120" s="35">
        <v>0</v>
      </c>
      <c r="D12120" s="2">
        <f t="shared" si="189"/>
        <v>1</v>
      </c>
    </row>
    <row r="12121" spans="1:4" x14ac:dyDescent="0.3">
      <c r="A12121" s="34">
        <v>70550</v>
      </c>
      <c r="B12121" s="35">
        <v>1</v>
      </c>
      <c r="C12121" s="35">
        <v>0</v>
      </c>
      <c r="D12121" s="2">
        <f t="shared" si="189"/>
        <v>1</v>
      </c>
    </row>
    <row r="12122" spans="1:4" x14ac:dyDescent="0.3">
      <c r="A12122" s="34">
        <v>70551</v>
      </c>
      <c r="B12122" s="35">
        <v>1</v>
      </c>
      <c r="C12122" s="35">
        <v>0</v>
      </c>
      <c r="D12122" s="2">
        <f t="shared" si="189"/>
        <v>1</v>
      </c>
    </row>
    <row r="12123" spans="1:4" x14ac:dyDescent="0.3">
      <c r="A12123" s="34">
        <v>70552</v>
      </c>
      <c r="B12123" s="35">
        <v>1</v>
      </c>
      <c r="C12123" s="35">
        <v>0</v>
      </c>
      <c r="D12123" s="2">
        <f t="shared" si="189"/>
        <v>1</v>
      </c>
    </row>
    <row r="12124" spans="1:4" x14ac:dyDescent="0.3">
      <c r="A12124" s="34">
        <v>70553</v>
      </c>
      <c r="B12124" s="35">
        <v>1</v>
      </c>
      <c r="C12124" s="35">
        <v>0</v>
      </c>
      <c r="D12124" s="2">
        <f t="shared" si="189"/>
        <v>1</v>
      </c>
    </row>
    <row r="12125" spans="1:4" x14ac:dyDescent="0.3">
      <c r="A12125" s="34">
        <v>70573</v>
      </c>
      <c r="B12125" s="35">
        <v>1</v>
      </c>
      <c r="C12125" s="35">
        <v>0</v>
      </c>
      <c r="D12125" s="2">
        <f t="shared" si="189"/>
        <v>1</v>
      </c>
    </row>
    <row r="12126" spans="1:4" x14ac:dyDescent="0.3">
      <c r="A12126" s="34">
        <v>70574</v>
      </c>
      <c r="B12126" s="35">
        <v>1</v>
      </c>
      <c r="C12126" s="35">
        <v>0</v>
      </c>
      <c r="D12126" s="2">
        <f t="shared" si="189"/>
        <v>1</v>
      </c>
    </row>
    <row r="12127" spans="1:4" x14ac:dyDescent="0.3">
      <c r="A12127" s="34">
        <v>70598</v>
      </c>
      <c r="B12127" s="35">
        <v>1</v>
      </c>
      <c r="C12127" s="35">
        <v>1</v>
      </c>
      <c r="D12127" s="2">
        <f t="shared" si="189"/>
        <v>2</v>
      </c>
    </row>
    <row r="12128" spans="1:4" x14ac:dyDescent="0.3">
      <c r="A12128" s="34">
        <v>70606</v>
      </c>
      <c r="B12128" s="35">
        <v>1</v>
      </c>
      <c r="C12128" s="35">
        <v>0</v>
      </c>
      <c r="D12128" s="2">
        <f t="shared" si="189"/>
        <v>1</v>
      </c>
    </row>
    <row r="12129" spans="1:4" x14ac:dyDescent="0.3">
      <c r="A12129" s="34">
        <v>70607</v>
      </c>
      <c r="B12129" s="35">
        <v>1</v>
      </c>
      <c r="C12129" s="35">
        <v>0</v>
      </c>
      <c r="D12129" s="2">
        <f t="shared" si="189"/>
        <v>1</v>
      </c>
    </row>
    <row r="12130" spans="1:4" x14ac:dyDescent="0.3">
      <c r="A12130" s="34">
        <v>70609</v>
      </c>
      <c r="B12130" s="35">
        <v>1</v>
      </c>
      <c r="C12130" s="35">
        <v>0</v>
      </c>
      <c r="D12130" s="2">
        <f t="shared" si="189"/>
        <v>1</v>
      </c>
    </row>
    <row r="12131" spans="1:4" x14ac:dyDescent="0.3">
      <c r="A12131" s="34">
        <v>70615</v>
      </c>
      <c r="B12131" s="35">
        <v>1</v>
      </c>
      <c r="C12131" s="35">
        <v>0</v>
      </c>
      <c r="D12131" s="2">
        <f t="shared" si="189"/>
        <v>1</v>
      </c>
    </row>
    <row r="12132" spans="1:4" x14ac:dyDescent="0.3">
      <c r="A12132" s="34">
        <v>70616</v>
      </c>
      <c r="B12132" s="35">
        <v>1</v>
      </c>
      <c r="C12132" s="35">
        <v>1</v>
      </c>
      <c r="D12132" s="2">
        <f t="shared" si="189"/>
        <v>2</v>
      </c>
    </row>
    <row r="12133" spans="1:4" x14ac:dyDescent="0.3">
      <c r="A12133" s="34">
        <v>70618</v>
      </c>
      <c r="B12133" s="35">
        <v>1</v>
      </c>
      <c r="C12133" s="35">
        <v>0</v>
      </c>
      <c r="D12133" s="2">
        <f t="shared" si="189"/>
        <v>1</v>
      </c>
    </row>
    <row r="12134" spans="1:4" x14ac:dyDescent="0.3">
      <c r="A12134" s="34">
        <v>70621</v>
      </c>
      <c r="B12134" s="35">
        <v>1</v>
      </c>
      <c r="C12134" s="35">
        <v>0</v>
      </c>
      <c r="D12134" s="2">
        <f t="shared" si="189"/>
        <v>1</v>
      </c>
    </row>
    <row r="12135" spans="1:4" x14ac:dyDescent="0.3">
      <c r="A12135" s="34">
        <v>70625</v>
      </c>
      <c r="B12135" s="35">
        <v>1</v>
      </c>
      <c r="C12135" s="35">
        <v>1</v>
      </c>
      <c r="D12135" s="2">
        <f t="shared" si="189"/>
        <v>2</v>
      </c>
    </row>
    <row r="12136" spans="1:4" x14ac:dyDescent="0.3">
      <c r="A12136" s="34">
        <v>70627</v>
      </c>
      <c r="B12136" s="35">
        <v>1</v>
      </c>
      <c r="C12136" s="35">
        <v>0</v>
      </c>
      <c r="D12136" s="2">
        <f t="shared" si="189"/>
        <v>1</v>
      </c>
    </row>
    <row r="12137" spans="1:4" x14ac:dyDescent="0.3">
      <c r="A12137" s="34">
        <v>70632</v>
      </c>
      <c r="B12137" s="35">
        <v>1</v>
      </c>
      <c r="C12137" s="35">
        <v>1</v>
      </c>
      <c r="D12137" s="2">
        <f t="shared" si="189"/>
        <v>2</v>
      </c>
    </row>
    <row r="12138" spans="1:4" x14ac:dyDescent="0.3">
      <c r="A12138" s="34">
        <v>70640</v>
      </c>
      <c r="B12138" s="35">
        <v>1</v>
      </c>
      <c r="C12138" s="35">
        <v>0</v>
      </c>
      <c r="D12138" s="2">
        <f t="shared" si="189"/>
        <v>1</v>
      </c>
    </row>
    <row r="12139" spans="1:4" x14ac:dyDescent="0.3">
      <c r="A12139" s="34">
        <v>70641</v>
      </c>
      <c r="B12139" s="35">
        <v>1</v>
      </c>
      <c r="C12139" s="35">
        <v>1</v>
      </c>
      <c r="D12139" s="2">
        <f t="shared" si="189"/>
        <v>2</v>
      </c>
    </row>
    <row r="12140" spans="1:4" x14ac:dyDescent="0.3">
      <c r="A12140" s="34">
        <v>70644</v>
      </c>
      <c r="B12140" s="35">
        <v>1</v>
      </c>
      <c r="C12140" s="35">
        <v>1</v>
      </c>
      <c r="D12140" s="2">
        <f t="shared" si="189"/>
        <v>2</v>
      </c>
    </row>
    <row r="12141" spans="1:4" x14ac:dyDescent="0.3">
      <c r="A12141" s="34">
        <v>70645</v>
      </c>
      <c r="B12141" s="35">
        <v>1</v>
      </c>
      <c r="C12141" s="35">
        <v>0</v>
      </c>
      <c r="D12141" s="2">
        <f t="shared" si="189"/>
        <v>1</v>
      </c>
    </row>
    <row r="12142" spans="1:4" x14ac:dyDescent="0.3">
      <c r="A12142" s="34">
        <v>70646</v>
      </c>
      <c r="B12142" s="35">
        <v>1</v>
      </c>
      <c r="C12142" s="35">
        <v>0</v>
      </c>
      <c r="D12142" s="2">
        <f t="shared" si="189"/>
        <v>1</v>
      </c>
    </row>
    <row r="12143" spans="1:4" x14ac:dyDescent="0.3">
      <c r="A12143" s="34">
        <v>70649</v>
      </c>
      <c r="B12143" s="35">
        <v>1</v>
      </c>
      <c r="C12143" s="35">
        <v>0</v>
      </c>
      <c r="D12143" s="2">
        <f t="shared" si="189"/>
        <v>1</v>
      </c>
    </row>
    <row r="12144" spans="1:4" x14ac:dyDescent="0.3">
      <c r="A12144" s="34">
        <v>70650</v>
      </c>
      <c r="B12144" s="35">
        <v>1</v>
      </c>
      <c r="C12144" s="35">
        <v>0</v>
      </c>
      <c r="D12144" s="2">
        <f t="shared" si="189"/>
        <v>1</v>
      </c>
    </row>
    <row r="12145" spans="1:4" x14ac:dyDescent="0.3">
      <c r="A12145" s="34">
        <v>70651</v>
      </c>
      <c r="B12145" s="35">
        <v>1</v>
      </c>
      <c r="C12145" s="35">
        <v>0</v>
      </c>
      <c r="D12145" s="2">
        <f t="shared" si="189"/>
        <v>1</v>
      </c>
    </row>
    <row r="12146" spans="1:4" x14ac:dyDescent="0.3">
      <c r="A12146" s="34">
        <v>70652</v>
      </c>
      <c r="B12146" s="35">
        <v>1</v>
      </c>
      <c r="C12146" s="35">
        <v>0</v>
      </c>
      <c r="D12146" s="2">
        <f t="shared" si="189"/>
        <v>1</v>
      </c>
    </row>
    <row r="12147" spans="1:4" x14ac:dyDescent="0.3">
      <c r="A12147" s="34">
        <v>70654</v>
      </c>
      <c r="B12147" s="35">
        <v>1</v>
      </c>
      <c r="C12147" s="35">
        <v>0</v>
      </c>
      <c r="D12147" s="2">
        <f t="shared" si="189"/>
        <v>1</v>
      </c>
    </row>
    <row r="12148" spans="1:4" x14ac:dyDescent="0.3">
      <c r="A12148" s="34">
        <v>70655</v>
      </c>
      <c r="B12148" s="35">
        <v>1</v>
      </c>
      <c r="C12148" s="35">
        <v>0</v>
      </c>
      <c r="D12148" s="2">
        <f t="shared" si="189"/>
        <v>1</v>
      </c>
    </row>
    <row r="12149" spans="1:4" x14ac:dyDescent="0.3">
      <c r="A12149" s="34">
        <v>70657</v>
      </c>
      <c r="B12149" s="35">
        <v>1</v>
      </c>
      <c r="C12149" s="35">
        <v>0</v>
      </c>
      <c r="D12149" s="2">
        <f t="shared" si="189"/>
        <v>1</v>
      </c>
    </row>
    <row r="12150" spans="1:4" x14ac:dyDescent="0.3">
      <c r="A12150" s="34">
        <v>70658</v>
      </c>
      <c r="B12150" s="35">
        <v>1</v>
      </c>
      <c r="C12150" s="35">
        <v>0</v>
      </c>
      <c r="D12150" s="2">
        <f t="shared" si="189"/>
        <v>1</v>
      </c>
    </row>
    <row r="12151" spans="1:4" x14ac:dyDescent="0.3">
      <c r="A12151" s="34">
        <v>70659</v>
      </c>
      <c r="B12151" s="35">
        <v>1</v>
      </c>
      <c r="C12151" s="35">
        <v>1</v>
      </c>
      <c r="D12151" s="2">
        <f t="shared" si="189"/>
        <v>2</v>
      </c>
    </row>
    <row r="12152" spans="1:4" x14ac:dyDescent="0.3">
      <c r="A12152" s="34">
        <v>70660</v>
      </c>
      <c r="B12152" s="35">
        <v>1</v>
      </c>
      <c r="C12152" s="35">
        <v>0</v>
      </c>
      <c r="D12152" s="2">
        <f t="shared" si="189"/>
        <v>1</v>
      </c>
    </row>
    <row r="12153" spans="1:4" x14ac:dyDescent="0.3">
      <c r="A12153" s="34">
        <v>70661</v>
      </c>
      <c r="B12153" s="35">
        <v>1</v>
      </c>
      <c r="C12153" s="35">
        <v>0</v>
      </c>
      <c r="D12153" s="2">
        <f t="shared" si="189"/>
        <v>1</v>
      </c>
    </row>
    <row r="12154" spans="1:4" x14ac:dyDescent="0.3">
      <c r="A12154" s="34">
        <v>70662</v>
      </c>
      <c r="B12154" s="35">
        <v>1</v>
      </c>
      <c r="C12154" s="35">
        <v>0</v>
      </c>
      <c r="D12154" s="2">
        <f t="shared" si="189"/>
        <v>1</v>
      </c>
    </row>
    <row r="12155" spans="1:4" x14ac:dyDescent="0.3">
      <c r="A12155" s="34">
        <v>70663</v>
      </c>
      <c r="B12155" s="35">
        <v>1</v>
      </c>
      <c r="C12155" s="35">
        <v>0</v>
      </c>
      <c r="D12155" s="2">
        <f t="shared" si="189"/>
        <v>1</v>
      </c>
    </row>
    <row r="12156" spans="1:4" x14ac:dyDescent="0.3">
      <c r="A12156" s="34">
        <v>70664</v>
      </c>
      <c r="B12156" s="35">
        <v>1</v>
      </c>
      <c r="C12156" s="35">
        <v>0</v>
      </c>
      <c r="D12156" s="2">
        <f t="shared" si="189"/>
        <v>1</v>
      </c>
    </row>
    <row r="12157" spans="1:4" x14ac:dyDescent="0.3">
      <c r="A12157" s="34">
        <v>70667</v>
      </c>
      <c r="B12157" s="35">
        <v>1</v>
      </c>
      <c r="C12157" s="35">
        <v>0</v>
      </c>
      <c r="D12157" s="2">
        <f t="shared" si="189"/>
        <v>1</v>
      </c>
    </row>
    <row r="12158" spans="1:4" x14ac:dyDescent="0.3">
      <c r="A12158" s="34">
        <v>70671</v>
      </c>
      <c r="B12158" s="35">
        <v>1</v>
      </c>
      <c r="C12158" s="35">
        <v>0</v>
      </c>
      <c r="D12158" s="2">
        <f t="shared" si="189"/>
        <v>1</v>
      </c>
    </row>
    <row r="12159" spans="1:4" x14ac:dyDescent="0.3">
      <c r="A12159" s="34">
        <v>70672</v>
      </c>
      <c r="B12159" s="35">
        <v>1</v>
      </c>
      <c r="C12159" s="35">
        <v>0</v>
      </c>
      <c r="D12159" s="2">
        <f t="shared" si="189"/>
        <v>1</v>
      </c>
    </row>
    <row r="12160" spans="1:4" x14ac:dyDescent="0.3">
      <c r="A12160" s="34">
        <v>70673</v>
      </c>
      <c r="B12160" s="35">
        <v>1</v>
      </c>
      <c r="C12160" s="35">
        <v>0</v>
      </c>
      <c r="D12160" s="2">
        <f t="shared" si="189"/>
        <v>1</v>
      </c>
    </row>
    <row r="12161" spans="1:4" x14ac:dyDescent="0.3">
      <c r="A12161" s="34">
        <v>70674</v>
      </c>
      <c r="B12161" s="35">
        <v>1</v>
      </c>
      <c r="C12161" s="35">
        <v>0</v>
      </c>
      <c r="D12161" s="2">
        <f t="shared" si="189"/>
        <v>1</v>
      </c>
    </row>
    <row r="12162" spans="1:4" x14ac:dyDescent="0.3">
      <c r="A12162" s="34">
        <v>70676</v>
      </c>
      <c r="B12162" s="35">
        <v>1</v>
      </c>
      <c r="C12162" s="35">
        <v>0</v>
      </c>
      <c r="D12162" s="2">
        <f t="shared" si="189"/>
        <v>1</v>
      </c>
    </row>
    <row r="12163" spans="1:4" x14ac:dyDescent="0.3">
      <c r="A12163" s="34">
        <v>70677</v>
      </c>
      <c r="B12163" s="35">
        <v>1</v>
      </c>
      <c r="C12163" s="35">
        <v>0</v>
      </c>
      <c r="D12163" s="2">
        <f t="shared" ref="D12163:D12226" si="190">B12163+C12163</f>
        <v>1</v>
      </c>
    </row>
    <row r="12164" spans="1:4" x14ac:dyDescent="0.3">
      <c r="A12164" s="34">
        <v>70681</v>
      </c>
      <c r="B12164" s="35">
        <v>1</v>
      </c>
      <c r="C12164" s="35">
        <v>0</v>
      </c>
      <c r="D12164" s="2">
        <f t="shared" si="190"/>
        <v>1</v>
      </c>
    </row>
    <row r="12165" spans="1:4" x14ac:dyDescent="0.3">
      <c r="A12165" s="34">
        <v>70682</v>
      </c>
      <c r="B12165" s="35">
        <v>1</v>
      </c>
      <c r="C12165" s="35">
        <v>0</v>
      </c>
      <c r="D12165" s="2">
        <f t="shared" si="190"/>
        <v>1</v>
      </c>
    </row>
    <row r="12166" spans="1:4" x14ac:dyDescent="0.3">
      <c r="A12166" s="34">
        <v>70683</v>
      </c>
      <c r="B12166" s="35">
        <v>1</v>
      </c>
      <c r="C12166" s="35">
        <v>0</v>
      </c>
      <c r="D12166" s="2">
        <f t="shared" si="190"/>
        <v>1</v>
      </c>
    </row>
    <row r="12167" spans="1:4" x14ac:dyDescent="0.3">
      <c r="A12167" s="34">
        <v>70684</v>
      </c>
      <c r="B12167" s="35">
        <v>1</v>
      </c>
      <c r="C12167" s="35">
        <v>0</v>
      </c>
      <c r="D12167" s="2">
        <f t="shared" si="190"/>
        <v>1</v>
      </c>
    </row>
    <row r="12168" spans="1:4" x14ac:dyDescent="0.3">
      <c r="A12168" s="34">
        <v>70685</v>
      </c>
      <c r="B12168" s="35">
        <v>1</v>
      </c>
      <c r="C12168" s="35">
        <v>0</v>
      </c>
      <c r="D12168" s="2">
        <f t="shared" si="190"/>
        <v>1</v>
      </c>
    </row>
    <row r="12169" spans="1:4" x14ac:dyDescent="0.3">
      <c r="A12169" s="34">
        <v>70687</v>
      </c>
      <c r="B12169" s="35">
        <v>1</v>
      </c>
      <c r="C12169" s="35">
        <v>0</v>
      </c>
      <c r="D12169" s="2">
        <f t="shared" si="190"/>
        <v>1</v>
      </c>
    </row>
    <row r="12170" spans="1:4" x14ac:dyDescent="0.3">
      <c r="A12170" s="34">
        <v>70688</v>
      </c>
      <c r="B12170" s="35">
        <v>1</v>
      </c>
      <c r="C12170" s="35">
        <v>0</v>
      </c>
      <c r="D12170" s="2">
        <f t="shared" si="190"/>
        <v>1</v>
      </c>
    </row>
    <row r="12171" spans="1:4" x14ac:dyDescent="0.3">
      <c r="A12171" s="34">
        <v>70695</v>
      </c>
      <c r="B12171" s="35">
        <v>2</v>
      </c>
      <c r="C12171" s="35">
        <v>0</v>
      </c>
      <c r="D12171" s="2">
        <f t="shared" si="190"/>
        <v>2</v>
      </c>
    </row>
    <row r="12172" spans="1:4" x14ac:dyDescent="0.3">
      <c r="A12172" s="34">
        <v>70696</v>
      </c>
      <c r="B12172" s="35">
        <v>1</v>
      </c>
      <c r="C12172" s="35">
        <v>0</v>
      </c>
      <c r="D12172" s="2">
        <f t="shared" si="190"/>
        <v>1</v>
      </c>
    </row>
    <row r="12173" spans="1:4" x14ac:dyDescent="0.3">
      <c r="A12173" s="34">
        <v>70697</v>
      </c>
      <c r="B12173" s="35">
        <v>1</v>
      </c>
      <c r="C12173" s="35">
        <v>0</v>
      </c>
      <c r="D12173" s="2">
        <f t="shared" si="190"/>
        <v>1</v>
      </c>
    </row>
    <row r="12174" spans="1:4" x14ac:dyDescent="0.3">
      <c r="A12174" s="34">
        <v>70698</v>
      </c>
      <c r="B12174" s="35">
        <v>1</v>
      </c>
      <c r="C12174" s="35">
        <v>0</v>
      </c>
      <c r="D12174" s="2">
        <f t="shared" si="190"/>
        <v>1</v>
      </c>
    </row>
    <row r="12175" spans="1:4" x14ac:dyDescent="0.3">
      <c r="A12175" s="34">
        <v>70699</v>
      </c>
      <c r="B12175" s="35">
        <v>1</v>
      </c>
      <c r="C12175" s="35">
        <v>0</v>
      </c>
      <c r="D12175" s="2">
        <f t="shared" si="190"/>
        <v>1</v>
      </c>
    </row>
    <row r="12176" spans="1:4" x14ac:dyDescent="0.3">
      <c r="A12176" s="34">
        <v>70712</v>
      </c>
      <c r="B12176" s="35">
        <v>1</v>
      </c>
      <c r="C12176" s="35">
        <v>0</v>
      </c>
      <c r="D12176" s="2">
        <f t="shared" si="190"/>
        <v>1</v>
      </c>
    </row>
    <row r="12177" spans="1:4" x14ac:dyDescent="0.3">
      <c r="A12177" s="34">
        <v>70713</v>
      </c>
      <c r="B12177" s="35">
        <v>1</v>
      </c>
      <c r="C12177" s="35">
        <v>0</v>
      </c>
      <c r="D12177" s="2">
        <f t="shared" si="190"/>
        <v>1</v>
      </c>
    </row>
    <row r="12178" spans="1:4" x14ac:dyDescent="0.3">
      <c r="A12178" s="34">
        <v>70719</v>
      </c>
      <c r="B12178" s="35">
        <v>1</v>
      </c>
      <c r="C12178" s="35">
        <v>0</v>
      </c>
      <c r="D12178" s="2">
        <f t="shared" si="190"/>
        <v>1</v>
      </c>
    </row>
    <row r="12179" spans="1:4" x14ac:dyDescent="0.3">
      <c r="A12179" s="34">
        <v>70721</v>
      </c>
      <c r="B12179" s="35">
        <v>1</v>
      </c>
      <c r="C12179" s="35">
        <v>0</v>
      </c>
      <c r="D12179" s="2">
        <f t="shared" si="190"/>
        <v>1</v>
      </c>
    </row>
    <row r="12180" spans="1:4" x14ac:dyDescent="0.3">
      <c r="A12180" s="34">
        <v>70723</v>
      </c>
      <c r="B12180" s="35">
        <v>1</v>
      </c>
      <c r="C12180" s="35">
        <v>0</v>
      </c>
      <c r="D12180" s="2">
        <f t="shared" si="190"/>
        <v>1</v>
      </c>
    </row>
    <row r="12181" spans="1:4" x14ac:dyDescent="0.3">
      <c r="A12181" s="34">
        <v>70726</v>
      </c>
      <c r="B12181" s="35">
        <v>1</v>
      </c>
      <c r="C12181" s="35">
        <v>0</v>
      </c>
      <c r="D12181" s="2">
        <f t="shared" si="190"/>
        <v>1</v>
      </c>
    </row>
    <row r="12182" spans="1:4" x14ac:dyDescent="0.3">
      <c r="A12182" s="34">
        <v>70737</v>
      </c>
      <c r="B12182" s="35">
        <v>1</v>
      </c>
      <c r="C12182" s="35">
        <v>0</v>
      </c>
      <c r="D12182" s="2">
        <f t="shared" si="190"/>
        <v>1</v>
      </c>
    </row>
    <row r="12183" spans="1:4" x14ac:dyDescent="0.3">
      <c r="A12183" s="34">
        <v>70738</v>
      </c>
      <c r="B12183" s="35">
        <v>2</v>
      </c>
      <c r="C12183" s="35">
        <v>0</v>
      </c>
      <c r="D12183" s="2">
        <f t="shared" si="190"/>
        <v>2</v>
      </c>
    </row>
    <row r="12184" spans="1:4" x14ac:dyDescent="0.3">
      <c r="A12184" s="34">
        <v>70739</v>
      </c>
      <c r="B12184" s="35">
        <v>1</v>
      </c>
      <c r="C12184" s="35">
        <v>1</v>
      </c>
      <c r="D12184" s="2">
        <f t="shared" si="190"/>
        <v>2</v>
      </c>
    </row>
    <row r="12185" spans="1:4" x14ac:dyDescent="0.3">
      <c r="A12185" s="34">
        <v>70741</v>
      </c>
      <c r="B12185" s="35">
        <v>1</v>
      </c>
      <c r="C12185" s="35">
        <v>0</v>
      </c>
      <c r="D12185" s="2">
        <f t="shared" si="190"/>
        <v>1</v>
      </c>
    </row>
    <row r="12186" spans="1:4" x14ac:dyDescent="0.3">
      <c r="A12186" s="34">
        <v>70742</v>
      </c>
      <c r="B12186" s="35">
        <v>1</v>
      </c>
      <c r="C12186" s="35">
        <v>0</v>
      </c>
      <c r="D12186" s="2">
        <f t="shared" si="190"/>
        <v>1</v>
      </c>
    </row>
    <row r="12187" spans="1:4" x14ac:dyDescent="0.3">
      <c r="A12187" s="34">
        <v>70746</v>
      </c>
      <c r="B12187" s="35">
        <v>1</v>
      </c>
      <c r="C12187" s="35">
        <v>0</v>
      </c>
      <c r="D12187" s="2">
        <f t="shared" si="190"/>
        <v>1</v>
      </c>
    </row>
    <row r="12188" spans="1:4" x14ac:dyDescent="0.3">
      <c r="A12188" s="34">
        <v>70754</v>
      </c>
      <c r="B12188" s="35">
        <v>1</v>
      </c>
      <c r="C12188" s="35">
        <v>0</v>
      </c>
      <c r="D12188" s="2">
        <f t="shared" si="190"/>
        <v>1</v>
      </c>
    </row>
    <row r="12189" spans="1:4" x14ac:dyDescent="0.3">
      <c r="A12189" s="34">
        <v>70755</v>
      </c>
      <c r="B12189" s="35">
        <v>1</v>
      </c>
      <c r="C12189" s="35">
        <v>0</v>
      </c>
      <c r="D12189" s="2">
        <f t="shared" si="190"/>
        <v>1</v>
      </c>
    </row>
    <row r="12190" spans="1:4" x14ac:dyDescent="0.3">
      <c r="A12190" s="34">
        <v>70756</v>
      </c>
      <c r="B12190" s="35">
        <v>1</v>
      </c>
      <c r="C12190" s="35">
        <v>0</v>
      </c>
      <c r="D12190" s="2">
        <f t="shared" si="190"/>
        <v>1</v>
      </c>
    </row>
    <row r="12191" spans="1:4" x14ac:dyDescent="0.3">
      <c r="A12191" s="34">
        <v>70757</v>
      </c>
      <c r="B12191" s="35">
        <v>1</v>
      </c>
      <c r="C12191" s="35">
        <v>0</v>
      </c>
      <c r="D12191" s="2">
        <f t="shared" si="190"/>
        <v>1</v>
      </c>
    </row>
    <row r="12192" spans="1:4" x14ac:dyDescent="0.3">
      <c r="A12192" s="34">
        <v>70758</v>
      </c>
      <c r="B12192" s="35">
        <v>1</v>
      </c>
      <c r="C12192" s="35">
        <v>0</v>
      </c>
      <c r="D12192" s="2">
        <f t="shared" si="190"/>
        <v>1</v>
      </c>
    </row>
    <row r="12193" spans="1:4" x14ac:dyDescent="0.3">
      <c r="A12193" s="34">
        <v>70766</v>
      </c>
      <c r="B12193" s="35">
        <v>1</v>
      </c>
      <c r="C12193" s="35">
        <v>0</v>
      </c>
      <c r="D12193" s="2">
        <f t="shared" si="190"/>
        <v>1</v>
      </c>
    </row>
    <row r="12194" spans="1:4" x14ac:dyDescent="0.3">
      <c r="A12194" s="34">
        <v>70767</v>
      </c>
      <c r="B12194" s="35">
        <v>1</v>
      </c>
      <c r="C12194" s="35">
        <v>0</v>
      </c>
      <c r="D12194" s="2">
        <f t="shared" si="190"/>
        <v>1</v>
      </c>
    </row>
    <row r="12195" spans="1:4" x14ac:dyDescent="0.3">
      <c r="A12195" s="34">
        <v>70768</v>
      </c>
      <c r="B12195" s="35">
        <v>1</v>
      </c>
      <c r="C12195" s="35">
        <v>0</v>
      </c>
      <c r="D12195" s="2">
        <f t="shared" si="190"/>
        <v>1</v>
      </c>
    </row>
    <row r="12196" spans="1:4" x14ac:dyDescent="0.3">
      <c r="A12196" s="34">
        <v>70769</v>
      </c>
      <c r="B12196" s="35">
        <v>1</v>
      </c>
      <c r="C12196" s="35">
        <v>0</v>
      </c>
      <c r="D12196" s="2">
        <f t="shared" si="190"/>
        <v>1</v>
      </c>
    </row>
    <row r="12197" spans="1:4" x14ac:dyDescent="0.3">
      <c r="A12197" s="34">
        <v>70770</v>
      </c>
      <c r="B12197" s="35">
        <v>1</v>
      </c>
      <c r="C12197" s="35">
        <v>0</v>
      </c>
      <c r="D12197" s="2">
        <f t="shared" si="190"/>
        <v>1</v>
      </c>
    </row>
    <row r="12198" spans="1:4" x14ac:dyDescent="0.3">
      <c r="A12198" s="34">
        <v>70772</v>
      </c>
      <c r="B12198" s="35">
        <v>1</v>
      </c>
      <c r="C12198" s="35">
        <v>0</v>
      </c>
      <c r="D12198" s="2">
        <f t="shared" si="190"/>
        <v>1</v>
      </c>
    </row>
    <row r="12199" spans="1:4" x14ac:dyDescent="0.3">
      <c r="A12199" s="34">
        <v>70773</v>
      </c>
      <c r="B12199" s="35">
        <v>1</v>
      </c>
      <c r="C12199" s="35">
        <v>0</v>
      </c>
      <c r="D12199" s="2">
        <f t="shared" si="190"/>
        <v>1</v>
      </c>
    </row>
    <row r="12200" spans="1:4" x14ac:dyDescent="0.3">
      <c r="A12200" s="34">
        <v>70774</v>
      </c>
      <c r="B12200" s="35">
        <v>1</v>
      </c>
      <c r="C12200" s="35">
        <v>0</v>
      </c>
      <c r="D12200" s="2">
        <f t="shared" si="190"/>
        <v>1</v>
      </c>
    </row>
    <row r="12201" spans="1:4" x14ac:dyDescent="0.3">
      <c r="A12201" s="34">
        <v>70775</v>
      </c>
      <c r="B12201" s="35">
        <v>1</v>
      </c>
      <c r="C12201" s="35">
        <v>0</v>
      </c>
      <c r="D12201" s="2">
        <f t="shared" si="190"/>
        <v>1</v>
      </c>
    </row>
    <row r="12202" spans="1:4" x14ac:dyDescent="0.3">
      <c r="A12202" s="34">
        <v>70781</v>
      </c>
      <c r="B12202" s="35">
        <v>1</v>
      </c>
      <c r="C12202" s="35">
        <v>0</v>
      </c>
      <c r="D12202" s="2">
        <f t="shared" si="190"/>
        <v>1</v>
      </c>
    </row>
    <row r="12203" spans="1:4" x14ac:dyDescent="0.3">
      <c r="A12203" s="34">
        <v>70782</v>
      </c>
      <c r="B12203" s="35">
        <v>1</v>
      </c>
      <c r="C12203" s="35">
        <v>1</v>
      </c>
      <c r="D12203" s="2">
        <f t="shared" si="190"/>
        <v>2</v>
      </c>
    </row>
    <row r="12204" spans="1:4" x14ac:dyDescent="0.3">
      <c r="A12204" s="34">
        <v>70783</v>
      </c>
      <c r="B12204" s="35">
        <v>1</v>
      </c>
      <c r="C12204" s="35">
        <v>0</v>
      </c>
      <c r="D12204" s="2">
        <f t="shared" si="190"/>
        <v>1</v>
      </c>
    </row>
    <row r="12205" spans="1:4" x14ac:dyDescent="0.3">
      <c r="A12205" s="34">
        <v>70784</v>
      </c>
      <c r="B12205" s="35">
        <v>1</v>
      </c>
      <c r="C12205" s="35">
        <v>1</v>
      </c>
      <c r="D12205" s="2">
        <f t="shared" si="190"/>
        <v>2</v>
      </c>
    </row>
    <row r="12206" spans="1:4" x14ac:dyDescent="0.3">
      <c r="A12206" s="34">
        <v>70785</v>
      </c>
      <c r="B12206" s="35">
        <v>1</v>
      </c>
      <c r="C12206" s="35">
        <v>0</v>
      </c>
      <c r="D12206" s="2">
        <f t="shared" si="190"/>
        <v>1</v>
      </c>
    </row>
    <row r="12207" spans="1:4" x14ac:dyDescent="0.3">
      <c r="A12207" s="34">
        <v>70787</v>
      </c>
      <c r="B12207" s="35">
        <v>1</v>
      </c>
      <c r="C12207" s="35">
        <v>0</v>
      </c>
      <c r="D12207" s="2">
        <f t="shared" si="190"/>
        <v>1</v>
      </c>
    </row>
    <row r="12208" spans="1:4" x14ac:dyDescent="0.3">
      <c r="A12208" s="34">
        <v>70788</v>
      </c>
      <c r="B12208" s="35">
        <v>1</v>
      </c>
      <c r="C12208" s="35">
        <v>0</v>
      </c>
      <c r="D12208" s="2">
        <f t="shared" si="190"/>
        <v>1</v>
      </c>
    </row>
    <row r="12209" spans="1:4" x14ac:dyDescent="0.3">
      <c r="A12209" s="34">
        <v>70789</v>
      </c>
      <c r="B12209" s="35">
        <v>1</v>
      </c>
      <c r="C12209" s="35">
        <v>0</v>
      </c>
      <c r="D12209" s="2">
        <f t="shared" si="190"/>
        <v>1</v>
      </c>
    </row>
    <row r="12210" spans="1:4" x14ac:dyDescent="0.3">
      <c r="A12210" s="34">
        <v>70791</v>
      </c>
      <c r="B12210" s="35">
        <v>1</v>
      </c>
      <c r="C12210" s="35">
        <v>0</v>
      </c>
      <c r="D12210" s="2">
        <f t="shared" si="190"/>
        <v>1</v>
      </c>
    </row>
    <row r="12211" spans="1:4" x14ac:dyDescent="0.3">
      <c r="A12211" s="34">
        <v>70792</v>
      </c>
      <c r="B12211" s="35">
        <v>1</v>
      </c>
      <c r="C12211" s="35">
        <v>0</v>
      </c>
      <c r="D12211" s="2">
        <f t="shared" si="190"/>
        <v>1</v>
      </c>
    </row>
    <row r="12212" spans="1:4" x14ac:dyDescent="0.3">
      <c r="A12212" s="34">
        <v>70793</v>
      </c>
      <c r="B12212" s="35">
        <v>1</v>
      </c>
      <c r="C12212" s="35">
        <v>0</v>
      </c>
      <c r="D12212" s="2">
        <f t="shared" si="190"/>
        <v>1</v>
      </c>
    </row>
    <row r="12213" spans="1:4" x14ac:dyDescent="0.3">
      <c r="A12213" s="34">
        <v>70795</v>
      </c>
      <c r="B12213" s="35">
        <v>1</v>
      </c>
      <c r="C12213" s="35">
        <v>0</v>
      </c>
      <c r="D12213" s="2">
        <f t="shared" si="190"/>
        <v>1</v>
      </c>
    </row>
    <row r="12214" spans="1:4" x14ac:dyDescent="0.3">
      <c r="A12214" s="34">
        <v>70797</v>
      </c>
      <c r="B12214" s="35">
        <v>1</v>
      </c>
      <c r="C12214" s="35">
        <v>1</v>
      </c>
      <c r="D12214" s="2">
        <f t="shared" si="190"/>
        <v>2</v>
      </c>
    </row>
    <row r="12215" spans="1:4" x14ac:dyDescent="0.3">
      <c r="A12215" s="34">
        <v>70805</v>
      </c>
      <c r="B12215" s="35">
        <v>1</v>
      </c>
      <c r="C12215" s="35">
        <v>1</v>
      </c>
      <c r="D12215" s="2">
        <f t="shared" si="190"/>
        <v>2</v>
      </c>
    </row>
    <row r="12216" spans="1:4" x14ac:dyDescent="0.3">
      <c r="A12216" s="34">
        <v>70806</v>
      </c>
      <c r="B12216" s="35">
        <v>1</v>
      </c>
      <c r="C12216" s="35">
        <v>0</v>
      </c>
      <c r="D12216" s="2">
        <f t="shared" si="190"/>
        <v>1</v>
      </c>
    </row>
    <row r="12217" spans="1:4" x14ac:dyDescent="0.3">
      <c r="A12217" s="34">
        <v>70808</v>
      </c>
      <c r="B12217" s="35">
        <v>1</v>
      </c>
      <c r="C12217" s="35">
        <v>0</v>
      </c>
      <c r="D12217" s="2">
        <f t="shared" si="190"/>
        <v>1</v>
      </c>
    </row>
    <row r="12218" spans="1:4" x14ac:dyDescent="0.3">
      <c r="A12218" s="34">
        <v>70812</v>
      </c>
      <c r="B12218" s="35">
        <v>1</v>
      </c>
      <c r="C12218" s="35">
        <v>0</v>
      </c>
      <c r="D12218" s="2">
        <f t="shared" si="190"/>
        <v>1</v>
      </c>
    </row>
    <row r="12219" spans="1:4" x14ac:dyDescent="0.3">
      <c r="A12219" s="34">
        <v>70814</v>
      </c>
      <c r="B12219" s="35">
        <v>1</v>
      </c>
      <c r="C12219" s="35">
        <v>1</v>
      </c>
      <c r="D12219" s="2">
        <f t="shared" si="190"/>
        <v>2</v>
      </c>
    </row>
    <row r="12220" spans="1:4" x14ac:dyDescent="0.3">
      <c r="A12220" s="34">
        <v>70819</v>
      </c>
      <c r="B12220" s="35">
        <v>1</v>
      </c>
      <c r="C12220" s="35">
        <v>0</v>
      </c>
      <c r="D12220" s="2">
        <f t="shared" si="190"/>
        <v>1</v>
      </c>
    </row>
    <row r="12221" spans="1:4" x14ac:dyDescent="0.3">
      <c r="A12221" s="34">
        <v>70822</v>
      </c>
      <c r="B12221" s="35">
        <v>1</v>
      </c>
      <c r="C12221" s="35">
        <v>0</v>
      </c>
      <c r="D12221" s="2">
        <f t="shared" si="190"/>
        <v>1</v>
      </c>
    </row>
    <row r="12222" spans="1:4" x14ac:dyDescent="0.3">
      <c r="A12222" s="34">
        <v>70825</v>
      </c>
      <c r="B12222" s="35">
        <v>1</v>
      </c>
      <c r="C12222" s="35">
        <v>0</v>
      </c>
      <c r="D12222" s="2">
        <f t="shared" si="190"/>
        <v>1</v>
      </c>
    </row>
    <row r="12223" spans="1:4" x14ac:dyDescent="0.3">
      <c r="A12223" s="34">
        <v>70826</v>
      </c>
      <c r="B12223" s="35">
        <v>1</v>
      </c>
      <c r="C12223" s="35">
        <v>0</v>
      </c>
      <c r="D12223" s="2">
        <f t="shared" si="190"/>
        <v>1</v>
      </c>
    </row>
    <row r="12224" spans="1:4" x14ac:dyDescent="0.3">
      <c r="A12224" s="34">
        <v>70827</v>
      </c>
      <c r="B12224" s="35">
        <v>1</v>
      </c>
      <c r="C12224" s="35">
        <v>0</v>
      </c>
      <c r="D12224" s="2">
        <f t="shared" si="190"/>
        <v>1</v>
      </c>
    </row>
    <row r="12225" spans="1:4" x14ac:dyDescent="0.3">
      <c r="A12225" s="34">
        <v>70830</v>
      </c>
      <c r="B12225" s="35">
        <v>1</v>
      </c>
      <c r="C12225" s="35">
        <v>0</v>
      </c>
      <c r="D12225" s="2">
        <f t="shared" si="190"/>
        <v>1</v>
      </c>
    </row>
    <row r="12226" spans="1:4" x14ac:dyDescent="0.3">
      <c r="A12226" s="34">
        <v>70831</v>
      </c>
      <c r="B12226" s="35">
        <v>2</v>
      </c>
      <c r="C12226" s="35">
        <v>1</v>
      </c>
      <c r="D12226" s="2">
        <f t="shared" si="190"/>
        <v>3</v>
      </c>
    </row>
    <row r="12227" spans="1:4" x14ac:dyDescent="0.3">
      <c r="A12227" s="34">
        <v>70833</v>
      </c>
      <c r="B12227" s="35">
        <v>1</v>
      </c>
      <c r="C12227" s="35">
        <v>0</v>
      </c>
      <c r="D12227" s="2">
        <f t="shared" ref="D12227:D12290" si="191">B12227+C12227</f>
        <v>1</v>
      </c>
    </row>
    <row r="12228" spans="1:4" x14ac:dyDescent="0.3">
      <c r="A12228" s="34">
        <v>70834</v>
      </c>
      <c r="B12228" s="35">
        <v>1</v>
      </c>
      <c r="C12228" s="35">
        <v>0</v>
      </c>
      <c r="D12228" s="2">
        <f t="shared" si="191"/>
        <v>1</v>
      </c>
    </row>
    <row r="12229" spans="1:4" x14ac:dyDescent="0.3">
      <c r="A12229" s="34">
        <v>70835</v>
      </c>
      <c r="B12229" s="35">
        <v>1</v>
      </c>
      <c r="C12229" s="35">
        <v>0</v>
      </c>
      <c r="D12229" s="2">
        <f t="shared" si="191"/>
        <v>1</v>
      </c>
    </row>
    <row r="12230" spans="1:4" x14ac:dyDescent="0.3">
      <c r="A12230" s="34">
        <v>70836</v>
      </c>
      <c r="B12230" s="35">
        <v>1</v>
      </c>
      <c r="C12230" s="35">
        <v>0</v>
      </c>
      <c r="D12230" s="2">
        <f t="shared" si="191"/>
        <v>1</v>
      </c>
    </row>
    <row r="12231" spans="1:4" x14ac:dyDescent="0.3">
      <c r="A12231" s="34">
        <v>70838</v>
      </c>
      <c r="B12231" s="35">
        <v>1</v>
      </c>
      <c r="C12231" s="35">
        <v>0</v>
      </c>
      <c r="D12231" s="2">
        <f t="shared" si="191"/>
        <v>1</v>
      </c>
    </row>
    <row r="12232" spans="1:4" x14ac:dyDescent="0.3">
      <c r="A12232" s="34">
        <v>70839</v>
      </c>
      <c r="B12232" s="35">
        <v>1</v>
      </c>
      <c r="C12232" s="35">
        <v>0</v>
      </c>
      <c r="D12232" s="2">
        <f t="shared" si="191"/>
        <v>1</v>
      </c>
    </row>
    <row r="12233" spans="1:4" x14ac:dyDescent="0.3">
      <c r="A12233" s="34">
        <v>70840</v>
      </c>
      <c r="B12233" s="35">
        <v>1</v>
      </c>
      <c r="C12233" s="35">
        <v>0</v>
      </c>
      <c r="D12233" s="2">
        <f t="shared" si="191"/>
        <v>1</v>
      </c>
    </row>
    <row r="12234" spans="1:4" x14ac:dyDescent="0.3">
      <c r="A12234" s="34">
        <v>70841</v>
      </c>
      <c r="B12234" s="35">
        <v>1</v>
      </c>
      <c r="C12234" s="35">
        <v>1</v>
      </c>
      <c r="D12234" s="2">
        <f t="shared" si="191"/>
        <v>2</v>
      </c>
    </row>
    <row r="12235" spans="1:4" x14ac:dyDescent="0.3">
      <c r="A12235" s="34">
        <v>70843</v>
      </c>
      <c r="B12235" s="35">
        <v>1</v>
      </c>
      <c r="C12235" s="35">
        <v>0</v>
      </c>
      <c r="D12235" s="2">
        <f t="shared" si="191"/>
        <v>1</v>
      </c>
    </row>
    <row r="12236" spans="1:4" x14ac:dyDescent="0.3">
      <c r="A12236" s="34">
        <v>70846</v>
      </c>
      <c r="B12236" s="35">
        <v>1</v>
      </c>
      <c r="C12236" s="35">
        <v>0</v>
      </c>
      <c r="D12236" s="2">
        <f t="shared" si="191"/>
        <v>1</v>
      </c>
    </row>
    <row r="12237" spans="1:4" x14ac:dyDescent="0.3">
      <c r="A12237" s="34">
        <v>70847</v>
      </c>
      <c r="B12237" s="35">
        <v>1</v>
      </c>
      <c r="C12237" s="35">
        <v>0</v>
      </c>
      <c r="D12237" s="2">
        <f t="shared" si="191"/>
        <v>1</v>
      </c>
    </row>
    <row r="12238" spans="1:4" x14ac:dyDescent="0.3">
      <c r="A12238" s="34">
        <v>70850</v>
      </c>
      <c r="B12238" s="35">
        <v>1</v>
      </c>
      <c r="C12238" s="35">
        <v>1</v>
      </c>
      <c r="D12238" s="2">
        <f t="shared" si="191"/>
        <v>2</v>
      </c>
    </row>
    <row r="12239" spans="1:4" x14ac:dyDescent="0.3">
      <c r="A12239" s="34">
        <v>70852</v>
      </c>
      <c r="B12239" s="35">
        <v>1</v>
      </c>
      <c r="C12239" s="35">
        <v>0</v>
      </c>
      <c r="D12239" s="2">
        <f t="shared" si="191"/>
        <v>1</v>
      </c>
    </row>
    <row r="12240" spans="1:4" x14ac:dyDescent="0.3">
      <c r="A12240" s="34">
        <v>70853</v>
      </c>
      <c r="B12240" s="35">
        <v>1</v>
      </c>
      <c r="C12240" s="35">
        <v>0</v>
      </c>
      <c r="D12240" s="2">
        <f t="shared" si="191"/>
        <v>1</v>
      </c>
    </row>
    <row r="12241" spans="1:4" x14ac:dyDescent="0.3">
      <c r="A12241" s="34">
        <v>70854</v>
      </c>
      <c r="B12241" s="35">
        <v>1</v>
      </c>
      <c r="C12241" s="35">
        <v>0</v>
      </c>
      <c r="D12241" s="2">
        <f t="shared" si="191"/>
        <v>1</v>
      </c>
    </row>
    <row r="12242" spans="1:4" x14ac:dyDescent="0.3">
      <c r="A12242" s="34">
        <v>70856</v>
      </c>
      <c r="B12242" s="35">
        <v>1</v>
      </c>
      <c r="C12242" s="35">
        <v>1</v>
      </c>
      <c r="D12242" s="2">
        <f t="shared" si="191"/>
        <v>2</v>
      </c>
    </row>
    <row r="12243" spans="1:4" x14ac:dyDescent="0.3">
      <c r="A12243" s="34">
        <v>70857</v>
      </c>
      <c r="B12243" s="35">
        <v>1</v>
      </c>
      <c r="C12243" s="35">
        <v>0</v>
      </c>
      <c r="D12243" s="2">
        <f t="shared" si="191"/>
        <v>1</v>
      </c>
    </row>
    <row r="12244" spans="1:4" x14ac:dyDescent="0.3">
      <c r="A12244" s="34">
        <v>70860</v>
      </c>
      <c r="B12244" s="35">
        <v>2</v>
      </c>
      <c r="C12244" s="35">
        <v>2</v>
      </c>
      <c r="D12244" s="2">
        <f t="shared" si="191"/>
        <v>4</v>
      </c>
    </row>
    <row r="12245" spans="1:4" x14ac:dyDescent="0.3">
      <c r="A12245" s="34">
        <v>70861</v>
      </c>
      <c r="B12245" s="35">
        <v>1</v>
      </c>
      <c r="C12245" s="35">
        <v>1</v>
      </c>
      <c r="D12245" s="2">
        <f t="shared" si="191"/>
        <v>2</v>
      </c>
    </row>
    <row r="12246" spans="1:4" x14ac:dyDescent="0.3">
      <c r="A12246" s="34">
        <v>70863</v>
      </c>
      <c r="B12246" s="35">
        <v>1</v>
      </c>
      <c r="C12246" s="35">
        <v>0</v>
      </c>
      <c r="D12246" s="2">
        <f t="shared" si="191"/>
        <v>1</v>
      </c>
    </row>
    <row r="12247" spans="1:4" x14ac:dyDescent="0.3">
      <c r="A12247" s="34">
        <v>70865</v>
      </c>
      <c r="B12247" s="35">
        <v>1</v>
      </c>
      <c r="C12247" s="35">
        <v>0</v>
      </c>
      <c r="D12247" s="2">
        <f t="shared" si="191"/>
        <v>1</v>
      </c>
    </row>
    <row r="12248" spans="1:4" x14ac:dyDescent="0.3">
      <c r="A12248" s="34">
        <v>70866</v>
      </c>
      <c r="B12248" s="35">
        <v>1</v>
      </c>
      <c r="C12248" s="35">
        <v>0</v>
      </c>
      <c r="D12248" s="2">
        <f t="shared" si="191"/>
        <v>1</v>
      </c>
    </row>
    <row r="12249" spans="1:4" x14ac:dyDescent="0.3">
      <c r="A12249" s="34">
        <v>70867</v>
      </c>
      <c r="B12249" s="35">
        <v>1</v>
      </c>
      <c r="C12249" s="35">
        <v>0</v>
      </c>
      <c r="D12249" s="2">
        <f t="shared" si="191"/>
        <v>1</v>
      </c>
    </row>
    <row r="12250" spans="1:4" x14ac:dyDescent="0.3">
      <c r="A12250" s="34">
        <v>70869</v>
      </c>
      <c r="B12250" s="35">
        <v>1</v>
      </c>
      <c r="C12250" s="35">
        <v>0</v>
      </c>
      <c r="D12250" s="2">
        <f t="shared" si="191"/>
        <v>1</v>
      </c>
    </row>
    <row r="12251" spans="1:4" x14ac:dyDescent="0.3">
      <c r="A12251" s="34">
        <v>70870</v>
      </c>
      <c r="B12251" s="35">
        <v>1</v>
      </c>
      <c r="C12251" s="35">
        <v>0</v>
      </c>
      <c r="D12251" s="2">
        <f t="shared" si="191"/>
        <v>1</v>
      </c>
    </row>
    <row r="12252" spans="1:4" x14ac:dyDescent="0.3">
      <c r="A12252" s="34">
        <v>70871</v>
      </c>
      <c r="B12252" s="35">
        <v>1</v>
      </c>
      <c r="C12252" s="35">
        <v>0</v>
      </c>
      <c r="D12252" s="2">
        <f t="shared" si="191"/>
        <v>1</v>
      </c>
    </row>
    <row r="12253" spans="1:4" x14ac:dyDescent="0.3">
      <c r="A12253" s="34">
        <v>70872</v>
      </c>
      <c r="B12253" s="35">
        <v>1</v>
      </c>
      <c r="C12253" s="35">
        <v>1</v>
      </c>
      <c r="D12253" s="2">
        <f t="shared" si="191"/>
        <v>2</v>
      </c>
    </row>
    <row r="12254" spans="1:4" x14ac:dyDescent="0.3">
      <c r="A12254" s="34">
        <v>70905</v>
      </c>
      <c r="B12254" s="35">
        <v>1</v>
      </c>
      <c r="C12254" s="35">
        <v>0</v>
      </c>
      <c r="D12254" s="2">
        <f t="shared" si="191"/>
        <v>1</v>
      </c>
    </row>
    <row r="12255" spans="1:4" x14ac:dyDescent="0.3">
      <c r="A12255" s="34">
        <v>70909</v>
      </c>
      <c r="B12255" s="35">
        <v>1</v>
      </c>
      <c r="C12255" s="35">
        <v>0</v>
      </c>
      <c r="D12255" s="2">
        <f t="shared" si="191"/>
        <v>1</v>
      </c>
    </row>
    <row r="12256" spans="1:4" x14ac:dyDescent="0.3">
      <c r="A12256" s="34">
        <v>70910</v>
      </c>
      <c r="B12256" s="35">
        <v>1</v>
      </c>
      <c r="C12256" s="35">
        <v>0</v>
      </c>
      <c r="D12256" s="2">
        <f t="shared" si="191"/>
        <v>1</v>
      </c>
    </row>
    <row r="12257" spans="1:4" x14ac:dyDescent="0.3">
      <c r="A12257" s="34">
        <v>70912</v>
      </c>
      <c r="B12257" s="35">
        <v>2</v>
      </c>
      <c r="C12257" s="35">
        <v>1</v>
      </c>
      <c r="D12257" s="2">
        <f t="shared" si="191"/>
        <v>3</v>
      </c>
    </row>
    <row r="12258" spans="1:4" x14ac:dyDescent="0.3">
      <c r="A12258" s="34">
        <v>70914</v>
      </c>
      <c r="B12258" s="35">
        <v>1</v>
      </c>
      <c r="C12258" s="35">
        <v>0</v>
      </c>
      <c r="D12258" s="2">
        <f t="shared" si="191"/>
        <v>1</v>
      </c>
    </row>
    <row r="12259" spans="1:4" x14ac:dyDescent="0.3">
      <c r="A12259" s="34">
        <v>70915</v>
      </c>
      <c r="B12259" s="35">
        <v>1</v>
      </c>
      <c r="C12259" s="35">
        <v>1</v>
      </c>
      <c r="D12259" s="2">
        <f t="shared" si="191"/>
        <v>2</v>
      </c>
    </row>
    <row r="12260" spans="1:4" x14ac:dyDescent="0.3">
      <c r="A12260" s="34">
        <v>70918</v>
      </c>
      <c r="B12260" s="35">
        <v>1</v>
      </c>
      <c r="C12260" s="35">
        <v>0</v>
      </c>
      <c r="D12260" s="2">
        <f t="shared" si="191"/>
        <v>1</v>
      </c>
    </row>
    <row r="12261" spans="1:4" x14ac:dyDescent="0.3">
      <c r="A12261" s="34">
        <v>70921</v>
      </c>
      <c r="B12261" s="35">
        <v>1</v>
      </c>
      <c r="C12261" s="35">
        <v>0</v>
      </c>
      <c r="D12261" s="2">
        <f t="shared" si="191"/>
        <v>1</v>
      </c>
    </row>
    <row r="12262" spans="1:4" x14ac:dyDescent="0.3">
      <c r="A12262" s="34">
        <v>70922</v>
      </c>
      <c r="B12262" s="35">
        <v>1</v>
      </c>
      <c r="C12262" s="35">
        <v>0</v>
      </c>
      <c r="D12262" s="2">
        <f t="shared" si="191"/>
        <v>1</v>
      </c>
    </row>
    <row r="12263" spans="1:4" x14ac:dyDescent="0.3">
      <c r="A12263" s="34">
        <v>70923</v>
      </c>
      <c r="B12263" s="35">
        <v>1</v>
      </c>
      <c r="C12263" s="35">
        <v>0</v>
      </c>
      <c r="D12263" s="2">
        <f t="shared" si="191"/>
        <v>1</v>
      </c>
    </row>
    <row r="12264" spans="1:4" x14ac:dyDescent="0.3">
      <c r="A12264" s="34">
        <v>70924</v>
      </c>
      <c r="B12264" s="35">
        <v>1</v>
      </c>
      <c r="C12264" s="35">
        <v>0</v>
      </c>
      <c r="D12264" s="2">
        <f t="shared" si="191"/>
        <v>1</v>
      </c>
    </row>
    <row r="12265" spans="1:4" x14ac:dyDescent="0.3">
      <c r="A12265" s="34">
        <v>70926</v>
      </c>
      <c r="B12265" s="35">
        <v>1</v>
      </c>
      <c r="C12265" s="35">
        <v>1</v>
      </c>
      <c r="D12265" s="2">
        <f t="shared" si="191"/>
        <v>2</v>
      </c>
    </row>
    <row r="12266" spans="1:4" x14ac:dyDescent="0.3">
      <c r="A12266" s="34">
        <v>70928</v>
      </c>
      <c r="B12266" s="35">
        <v>1</v>
      </c>
      <c r="C12266" s="35">
        <v>1</v>
      </c>
      <c r="D12266" s="2">
        <f t="shared" si="191"/>
        <v>2</v>
      </c>
    </row>
    <row r="12267" spans="1:4" x14ac:dyDescent="0.3">
      <c r="A12267" s="34">
        <v>70930</v>
      </c>
      <c r="B12267" s="35">
        <v>1</v>
      </c>
      <c r="C12267" s="35">
        <v>0</v>
      </c>
      <c r="D12267" s="2">
        <f t="shared" si="191"/>
        <v>1</v>
      </c>
    </row>
    <row r="12268" spans="1:4" x14ac:dyDescent="0.3">
      <c r="A12268" s="34">
        <v>70932</v>
      </c>
      <c r="B12268" s="35">
        <v>1</v>
      </c>
      <c r="C12268" s="35">
        <v>0</v>
      </c>
      <c r="D12268" s="2">
        <f t="shared" si="191"/>
        <v>1</v>
      </c>
    </row>
    <row r="12269" spans="1:4" x14ac:dyDescent="0.3">
      <c r="A12269" s="34">
        <v>70933</v>
      </c>
      <c r="B12269" s="35">
        <v>1</v>
      </c>
      <c r="C12269" s="35">
        <v>0</v>
      </c>
      <c r="D12269" s="2">
        <f t="shared" si="191"/>
        <v>1</v>
      </c>
    </row>
    <row r="12270" spans="1:4" x14ac:dyDescent="0.3">
      <c r="A12270" s="34">
        <v>70934</v>
      </c>
      <c r="B12270" s="35">
        <v>1</v>
      </c>
      <c r="C12270" s="35">
        <v>0</v>
      </c>
      <c r="D12270" s="2">
        <f t="shared" si="191"/>
        <v>1</v>
      </c>
    </row>
    <row r="12271" spans="1:4" x14ac:dyDescent="0.3">
      <c r="A12271" s="34">
        <v>70935</v>
      </c>
      <c r="B12271" s="35">
        <v>1</v>
      </c>
      <c r="C12271" s="35">
        <v>0</v>
      </c>
      <c r="D12271" s="2">
        <f t="shared" si="191"/>
        <v>1</v>
      </c>
    </row>
    <row r="12272" spans="1:4" x14ac:dyDescent="0.3">
      <c r="A12272" s="34">
        <v>70936</v>
      </c>
      <c r="B12272" s="35">
        <v>1</v>
      </c>
      <c r="C12272" s="35">
        <v>0</v>
      </c>
      <c r="D12272" s="2">
        <f t="shared" si="191"/>
        <v>1</v>
      </c>
    </row>
    <row r="12273" spans="1:4" x14ac:dyDescent="0.3">
      <c r="A12273" s="34">
        <v>70940</v>
      </c>
      <c r="B12273" s="35">
        <v>1</v>
      </c>
      <c r="C12273" s="35">
        <v>0</v>
      </c>
      <c r="D12273" s="2">
        <f t="shared" si="191"/>
        <v>1</v>
      </c>
    </row>
    <row r="12274" spans="1:4" x14ac:dyDescent="0.3">
      <c r="A12274" s="34">
        <v>70942</v>
      </c>
      <c r="B12274" s="35">
        <v>1</v>
      </c>
      <c r="C12274" s="35">
        <v>0</v>
      </c>
      <c r="D12274" s="2">
        <f t="shared" si="191"/>
        <v>1</v>
      </c>
    </row>
    <row r="12275" spans="1:4" x14ac:dyDescent="0.3">
      <c r="A12275" s="34">
        <v>70944</v>
      </c>
      <c r="B12275" s="35">
        <v>1</v>
      </c>
      <c r="C12275" s="35">
        <v>1</v>
      </c>
      <c r="D12275" s="2">
        <f t="shared" si="191"/>
        <v>2</v>
      </c>
    </row>
    <row r="12276" spans="1:4" x14ac:dyDescent="0.3">
      <c r="A12276" s="34">
        <v>70945</v>
      </c>
      <c r="B12276" s="35">
        <v>1</v>
      </c>
      <c r="C12276" s="35">
        <v>0</v>
      </c>
      <c r="D12276" s="2">
        <f t="shared" si="191"/>
        <v>1</v>
      </c>
    </row>
    <row r="12277" spans="1:4" x14ac:dyDescent="0.3">
      <c r="A12277" s="34">
        <v>70948</v>
      </c>
      <c r="B12277" s="35">
        <v>1</v>
      </c>
      <c r="C12277" s="35">
        <v>0</v>
      </c>
      <c r="D12277" s="2">
        <f t="shared" si="191"/>
        <v>1</v>
      </c>
    </row>
    <row r="12278" spans="1:4" x14ac:dyDescent="0.3">
      <c r="A12278" s="34">
        <v>70950</v>
      </c>
      <c r="B12278" s="35">
        <v>1</v>
      </c>
      <c r="C12278" s="35">
        <v>0</v>
      </c>
      <c r="D12278" s="2">
        <f t="shared" si="191"/>
        <v>1</v>
      </c>
    </row>
    <row r="12279" spans="1:4" x14ac:dyDescent="0.3">
      <c r="A12279" s="34">
        <v>70952</v>
      </c>
      <c r="B12279" s="35">
        <v>1</v>
      </c>
      <c r="C12279" s="35">
        <v>0</v>
      </c>
      <c r="D12279" s="2">
        <f t="shared" si="191"/>
        <v>1</v>
      </c>
    </row>
    <row r="12280" spans="1:4" x14ac:dyDescent="0.3">
      <c r="A12280" s="34">
        <v>70953</v>
      </c>
      <c r="B12280" s="35">
        <v>1</v>
      </c>
      <c r="C12280" s="35">
        <v>0</v>
      </c>
      <c r="D12280" s="2">
        <f t="shared" si="191"/>
        <v>1</v>
      </c>
    </row>
    <row r="12281" spans="1:4" x14ac:dyDescent="0.3">
      <c r="A12281" s="34">
        <v>70954</v>
      </c>
      <c r="B12281" s="35">
        <v>1</v>
      </c>
      <c r="C12281" s="35">
        <v>0</v>
      </c>
      <c r="D12281" s="2">
        <f t="shared" si="191"/>
        <v>1</v>
      </c>
    </row>
    <row r="12282" spans="1:4" x14ac:dyDescent="0.3">
      <c r="A12282" s="34">
        <v>70955</v>
      </c>
      <c r="B12282" s="35">
        <v>1</v>
      </c>
      <c r="C12282" s="35">
        <v>0</v>
      </c>
      <c r="D12282" s="2">
        <f t="shared" si="191"/>
        <v>1</v>
      </c>
    </row>
    <row r="12283" spans="1:4" x14ac:dyDescent="0.3">
      <c r="A12283" s="34">
        <v>70956</v>
      </c>
      <c r="B12283" s="35">
        <v>1</v>
      </c>
      <c r="C12283" s="35">
        <v>0</v>
      </c>
      <c r="D12283" s="2">
        <f t="shared" si="191"/>
        <v>1</v>
      </c>
    </row>
    <row r="12284" spans="1:4" x14ac:dyDescent="0.3">
      <c r="A12284" s="34">
        <v>70959</v>
      </c>
      <c r="B12284" s="35">
        <v>1</v>
      </c>
      <c r="C12284" s="35">
        <v>0</v>
      </c>
      <c r="D12284" s="2">
        <f t="shared" si="191"/>
        <v>1</v>
      </c>
    </row>
    <row r="12285" spans="1:4" x14ac:dyDescent="0.3">
      <c r="A12285" s="34">
        <v>70960</v>
      </c>
      <c r="B12285" s="35">
        <v>1</v>
      </c>
      <c r="C12285" s="35">
        <v>0</v>
      </c>
      <c r="D12285" s="2">
        <f t="shared" si="191"/>
        <v>1</v>
      </c>
    </row>
    <row r="12286" spans="1:4" x14ac:dyDescent="0.3">
      <c r="A12286" s="34">
        <v>70970</v>
      </c>
      <c r="B12286" s="35">
        <v>1</v>
      </c>
      <c r="C12286" s="35">
        <v>0</v>
      </c>
      <c r="D12286" s="2">
        <f t="shared" si="191"/>
        <v>1</v>
      </c>
    </row>
    <row r="12287" spans="1:4" x14ac:dyDescent="0.3">
      <c r="A12287" s="34">
        <v>70972</v>
      </c>
      <c r="B12287" s="35">
        <v>1</v>
      </c>
      <c r="C12287" s="35">
        <v>1</v>
      </c>
      <c r="D12287" s="2">
        <f t="shared" si="191"/>
        <v>2</v>
      </c>
    </row>
    <row r="12288" spans="1:4" x14ac:dyDescent="0.3">
      <c r="A12288" s="34">
        <v>70973</v>
      </c>
      <c r="B12288" s="35">
        <v>1</v>
      </c>
      <c r="C12288" s="35">
        <v>0</v>
      </c>
      <c r="D12288" s="2">
        <f t="shared" si="191"/>
        <v>1</v>
      </c>
    </row>
    <row r="12289" spans="1:4" x14ac:dyDescent="0.3">
      <c r="A12289" s="34">
        <v>70974</v>
      </c>
      <c r="B12289" s="35">
        <v>2</v>
      </c>
      <c r="C12289" s="35">
        <v>0</v>
      </c>
      <c r="D12289" s="2">
        <f t="shared" si="191"/>
        <v>2</v>
      </c>
    </row>
    <row r="12290" spans="1:4" x14ac:dyDescent="0.3">
      <c r="A12290" s="34">
        <v>70975</v>
      </c>
      <c r="B12290" s="35">
        <v>2</v>
      </c>
      <c r="C12290" s="35">
        <v>1</v>
      </c>
      <c r="D12290" s="2">
        <f t="shared" si="191"/>
        <v>3</v>
      </c>
    </row>
    <row r="12291" spans="1:4" x14ac:dyDescent="0.3">
      <c r="A12291" s="34">
        <v>70977</v>
      </c>
      <c r="B12291" s="35">
        <v>1</v>
      </c>
      <c r="C12291" s="35">
        <v>0</v>
      </c>
      <c r="D12291" s="2">
        <f t="shared" ref="D12291:D12354" si="192">B12291+C12291</f>
        <v>1</v>
      </c>
    </row>
    <row r="12292" spans="1:4" x14ac:dyDescent="0.3">
      <c r="A12292" s="34">
        <v>70978</v>
      </c>
      <c r="B12292" s="35">
        <v>1</v>
      </c>
      <c r="C12292" s="35">
        <v>0</v>
      </c>
      <c r="D12292" s="2">
        <f t="shared" si="192"/>
        <v>1</v>
      </c>
    </row>
    <row r="12293" spans="1:4" x14ac:dyDescent="0.3">
      <c r="A12293" s="34">
        <v>70979</v>
      </c>
      <c r="B12293" s="35">
        <v>1</v>
      </c>
      <c r="C12293" s="35">
        <v>0</v>
      </c>
      <c r="D12293" s="2">
        <f t="shared" si="192"/>
        <v>1</v>
      </c>
    </row>
    <row r="12294" spans="1:4" x14ac:dyDescent="0.3">
      <c r="A12294" s="34">
        <v>70982</v>
      </c>
      <c r="B12294" s="35">
        <v>1</v>
      </c>
      <c r="C12294" s="35">
        <v>0</v>
      </c>
      <c r="D12294" s="2">
        <f t="shared" si="192"/>
        <v>1</v>
      </c>
    </row>
    <row r="12295" spans="1:4" x14ac:dyDescent="0.3">
      <c r="A12295" s="34">
        <v>70983</v>
      </c>
      <c r="B12295" s="35">
        <v>1</v>
      </c>
      <c r="C12295" s="35">
        <v>0</v>
      </c>
      <c r="D12295" s="2">
        <f t="shared" si="192"/>
        <v>1</v>
      </c>
    </row>
    <row r="12296" spans="1:4" x14ac:dyDescent="0.3">
      <c r="A12296" s="34">
        <v>70984</v>
      </c>
      <c r="B12296" s="35">
        <v>1</v>
      </c>
      <c r="C12296" s="35">
        <v>0</v>
      </c>
      <c r="D12296" s="2">
        <f t="shared" si="192"/>
        <v>1</v>
      </c>
    </row>
    <row r="12297" spans="1:4" x14ac:dyDescent="0.3">
      <c r="A12297" s="34">
        <v>70985</v>
      </c>
      <c r="B12297" s="35">
        <v>1</v>
      </c>
      <c r="C12297" s="35">
        <v>0</v>
      </c>
      <c r="D12297" s="2">
        <f t="shared" si="192"/>
        <v>1</v>
      </c>
    </row>
    <row r="12298" spans="1:4" x14ac:dyDescent="0.3">
      <c r="A12298" s="34">
        <v>70986</v>
      </c>
      <c r="B12298" s="35">
        <v>1</v>
      </c>
      <c r="C12298" s="35">
        <v>1</v>
      </c>
      <c r="D12298" s="2">
        <f t="shared" si="192"/>
        <v>2</v>
      </c>
    </row>
    <row r="12299" spans="1:4" x14ac:dyDescent="0.3">
      <c r="A12299" s="34">
        <v>70990</v>
      </c>
      <c r="B12299" s="35">
        <v>1</v>
      </c>
      <c r="C12299" s="35">
        <v>0</v>
      </c>
      <c r="D12299" s="2">
        <f t="shared" si="192"/>
        <v>1</v>
      </c>
    </row>
    <row r="12300" spans="1:4" x14ac:dyDescent="0.3">
      <c r="A12300" s="34">
        <v>70991</v>
      </c>
      <c r="B12300" s="35">
        <v>1</v>
      </c>
      <c r="C12300" s="35">
        <v>0</v>
      </c>
      <c r="D12300" s="2">
        <f t="shared" si="192"/>
        <v>1</v>
      </c>
    </row>
    <row r="12301" spans="1:4" x14ac:dyDescent="0.3">
      <c r="A12301" s="34">
        <v>70992</v>
      </c>
      <c r="B12301" s="35">
        <v>1</v>
      </c>
      <c r="C12301" s="35">
        <v>0</v>
      </c>
      <c r="D12301" s="2">
        <f t="shared" si="192"/>
        <v>1</v>
      </c>
    </row>
    <row r="12302" spans="1:4" x14ac:dyDescent="0.3">
      <c r="A12302" s="34">
        <v>70994</v>
      </c>
      <c r="B12302" s="35">
        <v>1</v>
      </c>
      <c r="C12302" s="35">
        <v>0</v>
      </c>
      <c r="D12302" s="2">
        <f t="shared" si="192"/>
        <v>1</v>
      </c>
    </row>
    <row r="12303" spans="1:4" x14ac:dyDescent="0.3">
      <c r="A12303" s="34">
        <v>70995</v>
      </c>
      <c r="B12303" s="35">
        <v>1</v>
      </c>
      <c r="C12303" s="35">
        <v>0</v>
      </c>
      <c r="D12303" s="2">
        <f t="shared" si="192"/>
        <v>1</v>
      </c>
    </row>
    <row r="12304" spans="1:4" x14ac:dyDescent="0.3">
      <c r="A12304" s="34">
        <v>70996</v>
      </c>
      <c r="B12304" s="35">
        <v>1</v>
      </c>
      <c r="C12304" s="35">
        <v>0</v>
      </c>
      <c r="D12304" s="2">
        <f t="shared" si="192"/>
        <v>1</v>
      </c>
    </row>
    <row r="12305" spans="1:4" x14ac:dyDescent="0.3">
      <c r="A12305" s="34">
        <v>70998</v>
      </c>
      <c r="B12305" s="35">
        <v>1</v>
      </c>
      <c r="C12305" s="35">
        <v>0</v>
      </c>
      <c r="D12305" s="2">
        <f t="shared" si="192"/>
        <v>1</v>
      </c>
    </row>
    <row r="12306" spans="1:4" x14ac:dyDescent="0.3">
      <c r="A12306" s="34">
        <v>70999</v>
      </c>
      <c r="B12306" s="35">
        <v>1</v>
      </c>
      <c r="C12306" s="35">
        <v>0</v>
      </c>
      <c r="D12306" s="2">
        <f t="shared" si="192"/>
        <v>1</v>
      </c>
    </row>
    <row r="12307" spans="1:4" x14ac:dyDescent="0.3">
      <c r="A12307" s="34">
        <v>71001</v>
      </c>
      <c r="B12307" s="35">
        <v>1</v>
      </c>
      <c r="C12307" s="35">
        <v>0</v>
      </c>
      <c r="D12307" s="2">
        <f t="shared" si="192"/>
        <v>1</v>
      </c>
    </row>
    <row r="12308" spans="1:4" x14ac:dyDescent="0.3">
      <c r="A12308" s="34">
        <v>71002</v>
      </c>
      <c r="B12308" s="35">
        <v>1</v>
      </c>
      <c r="C12308" s="35">
        <v>0</v>
      </c>
      <c r="D12308" s="2">
        <f t="shared" si="192"/>
        <v>1</v>
      </c>
    </row>
    <row r="12309" spans="1:4" x14ac:dyDescent="0.3">
      <c r="A12309" s="34">
        <v>71003</v>
      </c>
      <c r="B12309" s="35">
        <v>1</v>
      </c>
      <c r="C12309" s="35">
        <v>0</v>
      </c>
      <c r="D12309" s="2">
        <f t="shared" si="192"/>
        <v>1</v>
      </c>
    </row>
    <row r="12310" spans="1:4" x14ac:dyDescent="0.3">
      <c r="A12310" s="34">
        <v>71005</v>
      </c>
      <c r="B12310" s="35">
        <v>1</v>
      </c>
      <c r="C12310" s="35">
        <v>0</v>
      </c>
      <c r="D12310" s="2">
        <f t="shared" si="192"/>
        <v>1</v>
      </c>
    </row>
    <row r="12311" spans="1:4" x14ac:dyDescent="0.3">
      <c r="A12311" s="34">
        <v>71006</v>
      </c>
      <c r="B12311" s="35">
        <v>1</v>
      </c>
      <c r="C12311" s="35">
        <v>0</v>
      </c>
      <c r="D12311" s="2">
        <f t="shared" si="192"/>
        <v>1</v>
      </c>
    </row>
    <row r="12312" spans="1:4" x14ac:dyDescent="0.3">
      <c r="A12312" s="34">
        <v>71009</v>
      </c>
      <c r="B12312" s="35">
        <v>1</v>
      </c>
      <c r="C12312" s="35">
        <v>0</v>
      </c>
      <c r="D12312" s="2">
        <f t="shared" si="192"/>
        <v>1</v>
      </c>
    </row>
    <row r="12313" spans="1:4" x14ac:dyDescent="0.3">
      <c r="A12313" s="34">
        <v>71011</v>
      </c>
      <c r="B12313" s="35">
        <v>1</v>
      </c>
      <c r="C12313" s="35">
        <v>0</v>
      </c>
      <c r="D12313" s="2">
        <f t="shared" si="192"/>
        <v>1</v>
      </c>
    </row>
    <row r="12314" spans="1:4" x14ac:dyDescent="0.3">
      <c r="A12314" s="34">
        <v>71012</v>
      </c>
      <c r="B12314" s="35">
        <v>1</v>
      </c>
      <c r="C12314" s="35">
        <v>1</v>
      </c>
      <c r="D12314" s="2">
        <f t="shared" si="192"/>
        <v>2</v>
      </c>
    </row>
    <row r="12315" spans="1:4" x14ac:dyDescent="0.3">
      <c r="A12315" s="34">
        <v>71014</v>
      </c>
      <c r="B12315" s="35">
        <v>1</v>
      </c>
      <c r="C12315" s="35">
        <v>0</v>
      </c>
      <c r="D12315" s="2">
        <f t="shared" si="192"/>
        <v>1</v>
      </c>
    </row>
    <row r="12316" spans="1:4" x14ac:dyDescent="0.3">
      <c r="A12316" s="34">
        <v>71015</v>
      </c>
      <c r="B12316" s="35">
        <v>1</v>
      </c>
      <c r="C12316" s="35">
        <v>1</v>
      </c>
      <c r="D12316" s="2">
        <f t="shared" si="192"/>
        <v>2</v>
      </c>
    </row>
    <row r="12317" spans="1:4" x14ac:dyDescent="0.3">
      <c r="A12317" s="34">
        <v>71017</v>
      </c>
      <c r="B12317" s="35">
        <v>1</v>
      </c>
      <c r="C12317" s="35">
        <v>0</v>
      </c>
      <c r="D12317" s="2">
        <f t="shared" si="192"/>
        <v>1</v>
      </c>
    </row>
    <row r="12318" spans="1:4" x14ac:dyDescent="0.3">
      <c r="A12318" s="34">
        <v>71018</v>
      </c>
      <c r="B12318" s="35">
        <v>1</v>
      </c>
      <c r="C12318" s="35">
        <v>0</v>
      </c>
      <c r="D12318" s="2">
        <f t="shared" si="192"/>
        <v>1</v>
      </c>
    </row>
    <row r="12319" spans="1:4" x14ac:dyDescent="0.3">
      <c r="A12319" s="34">
        <v>71028</v>
      </c>
      <c r="B12319" s="35">
        <v>1</v>
      </c>
      <c r="C12319" s="35">
        <v>0</v>
      </c>
      <c r="D12319" s="2">
        <f t="shared" si="192"/>
        <v>1</v>
      </c>
    </row>
    <row r="12320" spans="1:4" x14ac:dyDescent="0.3">
      <c r="A12320" s="34">
        <v>71029</v>
      </c>
      <c r="B12320" s="35">
        <v>1</v>
      </c>
      <c r="C12320" s="35">
        <v>1</v>
      </c>
      <c r="D12320" s="2">
        <f t="shared" si="192"/>
        <v>2</v>
      </c>
    </row>
    <row r="12321" spans="1:4" x14ac:dyDescent="0.3">
      <c r="A12321" s="34">
        <v>71030</v>
      </c>
      <c r="B12321" s="35">
        <v>1</v>
      </c>
      <c r="C12321" s="35">
        <v>1</v>
      </c>
      <c r="D12321" s="2">
        <f t="shared" si="192"/>
        <v>2</v>
      </c>
    </row>
    <row r="12322" spans="1:4" x14ac:dyDescent="0.3">
      <c r="A12322" s="34">
        <v>71031</v>
      </c>
      <c r="B12322" s="35">
        <v>1</v>
      </c>
      <c r="C12322" s="35">
        <v>0</v>
      </c>
      <c r="D12322" s="2">
        <f t="shared" si="192"/>
        <v>1</v>
      </c>
    </row>
    <row r="12323" spans="1:4" x14ac:dyDescent="0.3">
      <c r="A12323" s="34">
        <v>71032</v>
      </c>
      <c r="B12323" s="35">
        <v>1</v>
      </c>
      <c r="C12323" s="35">
        <v>0</v>
      </c>
      <c r="D12323" s="2">
        <f t="shared" si="192"/>
        <v>1</v>
      </c>
    </row>
    <row r="12324" spans="1:4" x14ac:dyDescent="0.3">
      <c r="A12324" s="34">
        <v>71034</v>
      </c>
      <c r="B12324" s="35">
        <v>1</v>
      </c>
      <c r="C12324" s="35">
        <v>0</v>
      </c>
      <c r="D12324" s="2">
        <f t="shared" si="192"/>
        <v>1</v>
      </c>
    </row>
    <row r="12325" spans="1:4" x14ac:dyDescent="0.3">
      <c r="A12325" s="34">
        <v>71036</v>
      </c>
      <c r="B12325" s="35">
        <v>1</v>
      </c>
      <c r="C12325" s="35">
        <v>0</v>
      </c>
      <c r="D12325" s="2">
        <f t="shared" si="192"/>
        <v>1</v>
      </c>
    </row>
    <row r="12326" spans="1:4" x14ac:dyDescent="0.3">
      <c r="A12326" s="34">
        <v>71037</v>
      </c>
      <c r="B12326" s="35">
        <v>1</v>
      </c>
      <c r="C12326" s="35">
        <v>0</v>
      </c>
      <c r="D12326" s="2">
        <f t="shared" si="192"/>
        <v>1</v>
      </c>
    </row>
    <row r="12327" spans="1:4" x14ac:dyDescent="0.3">
      <c r="A12327" s="34">
        <v>71038</v>
      </c>
      <c r="B12327" s="35">
        <v>1</v>
      </c>
      <c r="C12327" s="35">
        <v>0</v>
      </c>
      <c r="D12327" s="2">
        <f t="shared" si="192"/>
        <v>1</v>
      </c>
    </row>
    <row r="12328" spans="1:4" x14ac:dyDescent="0.3">
      <c r="A12328" s="34">
        <v>71039</v>
      </c>
      <c r="B12328" s="35">
        <v>1</v>
      </c>
      <c r="C12328" s="35">
        <v>0</v>
      </c>
      <c r="D12328" s="2">
        <f t="shared" si="192"/>
        <v>1</v>
      </c>
    </row>
    <row r="12329" spans="1:4" x14ac:dyDescent="0.3">
      <c r="A12329" s="34">
        <v>71041</v>
      </c>
      <c r="B12329" s="35">
        <v>1</v>
      </c>
      <c r="C12329" s="35">
        <v>0</v>
      </c>
      <c r="D12329" s="2">
        <f t="shared" si="192"/>
        <v>1</v>
      </c>
    </row>
    <row r="12330" spans="1:4" x14ac:dyDescent="0.3">
      <c r="A12330" s="34">
        <v>71042</v>
      </c>
      <c r="B12330" s="35">
        <v>1</v>
      </c>
      <c r="C12330" s="35">
        <v>0</v>
      </c>
      <c r="D12330" s="2">
        <f t="shared" si="192"/>
        <v>1</v>
      </c>
    </row>
    <row r="12331" spans="1:4" x14ac:dyDescent="0.3">
      <c r="A12331" s="34">
        <v>71049</v>
      </c>
      <c r="B12331" s="35">
        <v>1</v>
      </c>
      <c r="C12331" s="35">
        <v>0</v>
      </c>
      <c r="D12331" s="2">
        <f t="shared" si="192"/>
        <v>1</v>
      </c>
    </row>
    <row r="12332" spans="1:4" x14ac:dyDescent="0.3">
      <c r="A12332" s="34">
        <v>71050</v>
      </c>
      <c r="B12332" s="35">
        <v>1</v>
      </c>
      <c r="C12332" s="35">
        <v>1</v>
      </c>
      <c r="D12332" s="2">
        <f t="shared" si="192"/>
        <v>2</v>
      </c>
    </row>
    <row r="12333" spans="1:4" x14ac:dyDescent="0.3">
      <c r="A12333" s="34">
        <v>71054</v>
      </c>
      <c r="B12333" s="35">
        <v>1</v>
      </c>
      <c r="C12333" s="35">
        <v>0</v>
      </c>
      <c r="D12333" s="2">
        <f t="shared" si="192"/>
        <v>1</v>
      </c>
    </row>
    <row r="12334" spans="1:4" x14ac:dyDescent="0.3">
      <c r="A12334" s="34">
        <v>71055</v>
      </c>
      <c r="B12334" s="35">
        <v>1</v>
      </c>
      <c r="C12334" s="35">
        <v>0</v>
      </c>
      <c r="D12334" s="2">
        <f t="shared" si="192"/>
        <v>1</v>
      </c>
    </row>
    <row r="12335" spans="1:4" x14ac:dyDescent="0.3">
      <c r="A12335" s="34">
        <v>71056</v>
      </c>
      <c r="B12335" s="35">
        <v>1</v>
      </c>
      <c r="C12335" s="35">
        <v>0</v>
      </c>
      <c r="D12335" s="2">
        <f t="shared" si="192"/>
        <v>1</v>
      </c>
    </row>
    <row r="12336" spans="1:4" x14ac:dyDescent="0.3">
      <c r="A12336" s="34">
        <v>71062</v>
      </c>
      <c r="B12336" s="35">
        <v>1</v>
      </c>
      <c r="C12336" s="35">
        <v>0</v>
      </c>
      <c r="D12336" s="2">
        <f t="shared" si="192"/>
        <v>1</v>
      </c>
    </row>
    <row r="12337" spans="1:4" x14ac:dyDescent="0.3">
      <c r="A12337" s="34">
        <v>71063</v>
      </c>
      <c r="B12337" s="35">
        <v>1</v>
      </c>
      <c r="C12337" s="35">
        <v>0</v>
      </c>
      <c r="D12337" s="2">
        <f t="shared" si="192"/>
        <v>1</v>
      </c>
    </row>
    <row r="12338" spans="1:4" x14ac:dyDescent="0.3">
      <c r="A12338" s="34">
        <v>71064</v>
      </c>
      <c r="B12338" s="35">
        <v>1</v>
      </c>
      <c r="C12338" s="35">
        <v>0</v>
      </c>
      <c r="D12338" s="2">
        <f t="shared" si="192"/>
        <v>1</v>
      </c>
    </row>
    <row r="12339" spans="1:4" x14ac:dyDescent="0.3">
      <c r="A12339" s="34">
        <v>71065</v>
      </c>
      <c r="B12339" s="35">
        <v>1</v>
      </c>
      <c r="C12339" s="35">
        <v>1</v>
      </c>
      <c r="D12339" s="2">
        <f t="shared" si="192"/>
        <v>2</v>
      </c>
    </row>
    <row r="12340" spans="1:4" x14ac:dyDescent="0.3">
      <c r="A12340" s="34">
        <v>71078</v>
      </c>
      <c r="B12340" s="35">
        <v>1</v>
      </c>
      <c r="C12340" s="35">
        <v>0</v>
      </c>
      <c r="D12340" s="2">
        <f t="shared" si="192"/>
        <v>1</v>
      </c>
    </row>
    <row r="12341" spans="1:4" x14ac:dyDescent="0.3">
      <c r="A12341" s="34">
        <v>71082</v>
      </c>
      <c r="B12341" s="35">
        <v>1</v>
      </c>
      <c r="C12341" s="35">
        <v>0</v>
      </c>
      <c r="D12341" s="2">
        <f t="shared" si="192"/>
        <v>1</v>
      </c>
    </row>
    <row r="12342" spans="1:4" x14ac:dyDescent="0.3">
      <c r="A12342" s="34">
        <v>71088</v>
      </c>
      <c r="B12342" s="35">
        <v>1</v>
      </c>
      <c r="C12342" s="35">
        <v>0</v>
      </c>
      <c r="D12342" s="2">
        <f t="shared" si="192"/>
        <v>1</v>
      </c>
    </row>
    <row r="12343" spans="1:4" x14ac:dyDescent="0.3">
      <c r="A12343" s="34">
        <v>71090</v>
      </c>
      <c r="B12343" s="35">
        <v>1</v>
      </c>
      <c r="C12343" s="35">
        <v>0</v>
      </c>
      <c r="D12343" s="2">
        <f t="shared" si="192"/>
        <v>1</v>
      </c>
    </row>
    <row r="12344" spans="1:4" x14ac:dyDescent="0.3">
      <c r="A12344" s="34">
        <v>71091</v>
      </c>
      <c r="B12344" s="35">
        <v>1</v>
      </c>
      <c r="C12344" s="35">
        <v>0</v>
      </c>
      <c r="D12344" s="2">
        <f t="shared" si="192"/>
        <v>1</v>
      </c>
    </row>
    <row r="12345" spans="1:4" x14ac:dyDescent="0.3">
      <c r="A12345" s="34">
        <v>71093</v>
      </c>
      <c r="B12345" s="35">
        <v>2</v>
      </c>
      <c r="C12345" s="35">
        <v>0</v>
      </c>
      <c r="D12345" s="2">
        <f t="shared" si="192"/>
        <v>2</v>
      </c>
    </row>
    <row r="12346" spans="1:4" x14ac:dyDescent="0.3">
      <c r="A12346" s="34">
        <v>71094</v>
      </c>
      <c r="B12346" s="35">
        <v>1</v>
      </c>
      <c r="C12346" s="35">
        <v>1</v>
      </c>
      <c r="D12346" s="2">
        <f t="shared" si="192"/>
        <v>2</v>
      </c>
    </row>
    <row r="12347" spans="1:4" x14ac:dyDescent="0.3">
      <c r="A12347" s="34">
        <v>71096</v>
      </c>
      <c r="B12347" s="35">
        <v>1</v>
      </c>
      <c r="C12347" s="35">
        <v>1</v>
      </c>
      <c r="D12347" s="2">
        <f t="shared" si="192"/>
        <v>2</v>
      </c>
    </row>
    <row r="12348" spans="1:4" x14ac:dyDescent="0.3">
      <c r="A12348" s="34">
        <v>71099</v>
      </c>
      <c r="B12348" s="35">
        <v>1</v>
      </c>
      <c r="C12348" s="35">
        <v>0</v>
      </c>
      <c r="D12348" s="2">
        <f t="shared" si="192"/>
        <v>1</v>
      </c>
    </row>
    <row r="12349" spans="1:4" x14ac:dyDescent="0.3">
      <c r="A12349" s="34">
        <v>71101</v>
      </c>
      <c r="B12349" s="35">
        <v>1</v>
      </c>
      <c r="C12349" s="35">
        <v>0</v>
      </c>
      <c r="D12349" s="2">
        <f t="shared" si="192"/>
        <v>1</v>
      </c>
    </row>
    <row r="12350" spans="1:4" x14ac:dyDescent="0.3">
      <c r="A12350" s="34">
        <v>71105</v>
      </c>
      <c r="B12350" s="35">
        <v>1</v>
      </c>
      <c r="C12350" s="35">
        <v>0</v>
      </c>
      <c r="D12350" s="2">
        <f t="shared" si="192"/>
        <v>1</v>
      </c>
    </row>
    <row r="12351" spans="1:4" x14ac:dyDescent="0.3">
      <c r="A12351" s="34">
        <v>71108</v>
      </c>
      <c r="B12351" s="35">
        <v>1</v>
      </c>
      <c r="C12351" s="35">
        <v>0</v>
      </c>
      <c r="D12351" s="2">
        <f t="shared" si="192"/>
        <v>1</v>
      </c>
    </row>
    <row r="12352" spans="1:4" x14ac:dyDescent="0.3">
      <c r="A12352" s="34">
        <v>71109</v>
      </c>
      <c r="B12352" s="35">
        <v>1</v>
      </c>
      <c r="C12352" s="35">
        <v>0</v>
      </c>
      <c r="D12352" s="2">
        <f t="shared" si="192"/>
        <v>1</v>
      </c>
    </row>
    <row r="12353" spans="1:4" x14ac:dyDescent="0.3">
      <c r="A12353" s="34">
        <v>71112</v>
      </c>
      <c r="B12353" s="35">
        <v>1</v>
      </c>
      <c r="C12353" s="35">
        <v>0</v>
      </c>
      <c r="D12353" s="2">
        <f t="shared" si="192"/>
        <v>1</v>
      </c>
    </row>
    <row r="12354" spans="1:4" x14ac:dyDescent="0.3">
      <c r="A12354" s="34">
        <v>71113</v>
      </c>
      <c r="B12354" s="35">
        <v>1</v>
      </c>
      <c r="C12354" s="35">
        <v>0</v>
      </c>
      <c r="D12354" s="2">
        <f t="shared" si="192"/>
        <v>1</v>
      </c>
    </row>
    <row r="12355" spans="1:4" x14ac:dyDescent="0.3">
      <c r="A12355" s="34">
        <v>71114</v>
      </c>
      <c r="B12355" s="35">
        <v>1</v>
      </c>
      <c r="C12355" s="35">
        <v>0</v>
      </c>
      <c r="D12355" s="2">
        <f t="shared" ref="D12355:D12418" si="193">B12355+C12355</f>
        <v>1</v>
      </c>
    </row>
    <row r="12356" spans="1:4" x14ac:dyDescent="0.3">
      <c r="A12356" s="34">
        <v>71117</v>
      </c>
      <c r="B12356" s="35">
        <v>1</v>
      </c>
      <c r="C12356" s="35">
        <v>1</v>
      </c>
      <c r="D12356" s="2">
        <f t="shared" si="193"/>
        <v>2</v>
      </c>
    </row>
    <row r="12357" spans="1:4" x14ac:dyDescent="0.3">
      <c r="A12357" s="34">
        <v>71118</v>
      </c>
      <c r="B12357" s="35">
        <v>1</v>
      </c>
      <c r="C12357" s="35">
        <v>0</v>
      </c>
      <c r="D12357" s="2">
        <f t="shared" si="193"/>
        <v>1</v>
      </c>
    </row>
    <row r="12358" spans="1:4" x14ac:dyDescent="0.3">
      <c r="A12358" s="34">
        <v>71120</v>
      </c>
      <c r="B12358" s="35">
        <v>1</v>
      </c>
      <c r="C12358" s="35">
        <v>1</v>
      </c>
      <c r="D12358" s="2">
        <f t="shared" si="193"/>
        <v>2</v>
      </c>
    </row>
    <row r="12359" spans="1:4" x14ac:dyDescent="0.3">
      <c r="A12359" s="34">
        <v>71121</v>
      </c>
      <c r="B12359" s="35">
        <v>1</v>
      </c>
      <c r="C12359" s="35">
        <v>0</v>
      </c>
      <c r="D12359" s="2">
        <f t="shared" si="193"/>
        <v>1</v>
      </c>
    </row>
    <row r="12360" spans="1:4" x14ac:dyDescent="0.3">
      <c r="A12360" s="34">
        <v>71122</v>
      </c>
      <c r="B12360" s="35">
        <v>1</v>
      </c>
      <c r="C12360" s="35">
        <v>0</v>
      </c>
      <c r="D12360" s="2">
        <f t="shared" si="193"/>
        <v>1</v>
      </c>
    </row>
    <row r="12361" spans="1:4" x14ac:dyDescent="0.3">
      <c r="A12361" s="34">
        <v>71124</v>
      </c>
      <c r="B12361" s="35">
        <v>1</v>
      </c>
      <c r="C12361" s="35">
        <v>0</v>
      </c>
      <c r="D12361" s="2">
        <f t="shared" si="193"/>
        <v>1</v>
      </c>
    </row>
    <row r="12362" spans="1:4" x14ac:dyDescent="0.3">
      <c r="A12362" s="34">
        <v>71125</v>
      </c>
      <c r="B12362" s="35">
        <v>1</v>
      </c>
      <c r="C12362" s="35">
        <v>0</v>
      </c>
      <c r="D12362" s="2">
        <f t="shared" si="193"/>
        <v>1</v>
      </c>
    </row>
    <row r="12363" spans="1:4" x14ac:dyDescent="0.3">
      <c r="A12363" s="34">
        <v>71127</v>
      </c>
      <c r="B12363" s="35">
        <v>4</v>
      </c>
      <c r="C12363" s="35">
        <v>0</v>
      </c>
      <c r="D12363" s="2">
        <f t="shared" si="193"/>
        <v>4</v>
      </c>
    </row>
    <row r="12364" spans="1:4" x14ac:dyDescent="0.3">
      <c r="A12364" s="34">
        <v>71129</v>
      </c>
      <c r="B12364" s="35">
        <v>1</v>
      </c>
      <c r="C12364" s="35">
        <v>0</v>
      </c>
      <c r="D12364" s="2">
        <f t="shared" si="193"/>
        <v>1</v>
      </c>
    </row>
    <row r="12365" spans="1:4" x14ac:dyDescent="0.3">
      <c r="A12365" s="34">
        <v>71134</v>
      </c>
      <c r="B12365" s="35">
        <v>1</v>
      </c>
      <c r="C12365" s="35">
        <v>0</v>
      </c>
      <c r="D12365" s="2">
        <f t="shared" si="193"/>
        <v>1</v>
      </c>
    </row>
    <row r="12366" spans="1:4" x14ac:dyDescent="0.3">
      <c r="A12366" s="34">
        <v>71135</v>
      </c>
      <c r="B12366" s="35">
        <v>1</v>
      </c>
      <c r="C12366" s="35">
        <v>0</v>
      </c>
      <c r="D12366" s="2">
        <f t="shared" si="193"/>
        <v>1</v>
      </c>
    </row>
    <row r="12367" spans="1:4" x14ac:dyDescent="0.3">
      <c r="A12367" s="34">
        <v>71136</v>
      </c>
      <c r="B12367" s="35">
        <v>1</v>
      </c>
      <c r="C12367" s="35">
        <v>0</v>
      </c>
      <c r="D12367" s="2">
        <f t="shared" si="193"/>
        <v>1</v>
      </c>
    </row>
    <row r="12368" spans="1:4" x14ac:dyDescent="0.3">
      <c r="A12368" s="34">
        <v>71138</v>
      </c>
      <c r="B12368" s="35">
        <v>1</v>
      </c>
      <c r="C12368" s="35">
        <v>0</v>
      </c>
      <c r="D12368" s="2">
        <f t="shared" si="193"/>
        <v>1</v>
      </c>
    </row>
    <row r="12369" spans="1:4" x14ac:dyDescent="0.3">
      <c r="A12369" s="34">
        <v>71139</v>
      </c>
      <c r="B12369" s="35">
        <v>1</v>
      </c>
      <c r="C12369" s="35">
        <v>0</v>
      </c>
      <c r="D12369" s="2">
        <f t="shared" si="193"/>
        <v>1</v>
      </c>
    </row>
    <row r="12370" spans="1:4" x14ac:dyDescent="0.3">
      <c r="A12370" s="34">
        <v>71140</v>
      </c>
      <c r="B12370" s="35">
        <v>1</v>
      </c>
      <c r="C12370" s="35">
        <v>0</v>
      </c>
      <c r="D12370" s="2">
        <f t="shared" si="193"/>
        <v>1</v>
      </c>
    </row>
    <row r="12371" spans="1:4" x14ac:dyDescent="0.3">
      <c r="A12371" s="34">
        <v>71142</v>
      </c>
      <c r="B12371" s="35">
        <v>1</v>
      </c>
      <c r="C12371" s="35">
        <v>0</v>
      </c>
      <c r="D12371" s="2">
        <f t="shared" si="193"/>
        <v>1</v>
      </c>
    </row>
    <row r="12372" spans="1:4" x14ac:dyDescent="0.3">
      <c r="A12372" s="34">
        <v>71143</v>
      </c>
      <c r="B12372" s="35">
        <v>1</v>
      </c>
      <c r="C12372" s="35">
        <v>0</v>
      </c>
      <c r="D12372" s="2">
        <f t="shared" si="193"/>
        <v>1</v>
      </c>
    </row>
    <row r="12373" spans="1:4" x14ac:dyDescent="0.3">
      <c r="A12373" s="34">
        <v>71144</v>
      </c>
      <c r="B12373" s="35">
        <v>1</v>
      </c>
      <c r="C12373" s="35">
        <v>0</v>
      </c>
      <c r="D12373" s="2">
        <f t="shared" si="193"/>
        <v>1</v>
      </c>
    </row>
    <row r="12374" spans="1:4" x14ac:dyDescent="0.3">
      <c r="A12374" s="34">
        <v>71146</v>
      </c>
      <c r="B12374" s="35">
        <v>1</v>
      </c>
      <c r="C12374" s="35">
        <v>0</v>
      </c>
      <c r="D12374" s="2">
        <f t="shared" si="193"/>
        <v>1</v>
      </c>
    </row>
    <row r="12375" spans="1:4" x14ac:dyDescent="0.3">
      <c r="A12375" s="34">
        <v>71149</v>
      </c>
      <c r="B12375" s="35">
        <v>1</v>
      </c>
      <c r="C12375" s="35">
        <v>0</v>
      </c>
      <c r="D12375" s="2">
        <f t="shared" si="193"/>
        <v>1</v>
      </c>
    </row>
    <row r="12376" spans="1:4" x14ac:dyDescent="0.3">
      <c r="A12376" s="34">
        <v>71150</v>
      </c>
      <c r="B12376" s="35">
        <v>1</v>
      </c>
      <c r="C12376" s="35">
        <v>0</v>
      </c>
      <c r="D12376" s="2">
        <f t="shared" si="193"/>
        <v>1</v>
      </c>
    </row>
    <row r="12377" spans="1:4" x14ac:dyDescent="0.3">
      <c r="A12377" s="34">
        <v>71152</v>
      </c>
      <c r="B12377" s="35">
        <v>1</v>
      </c>
      <c r="C12377" s="35">
        <v>0</v>
      </c>
      <c r="D12377" s="2">
        <f t="shared" si="193"/>
        <v>1</v>
      </c>
    </row>
    <row r="12378" spans="1:4" x14ac:dyDescent="0.3">
      <c r="A12378" s="34">
        <v>71153</v>
      </c>
      <c r="B12378" s="35">
        <v>1</v>
      </c>
      <c r="C12378" s="35">
        <v>0</v>
      </c>
      <c r="D12378" s="2">
        <f t="shared" si="193"/>
        <v>1</v>
      </c>
    </row>
    <row r="12379" spans="1:4" x14ac:dyDescent="0.3">
      <c r="A12379" s="34">
        <v>71154</v>
      </c>
      <c r="B12379" s="35">
        <v>1</v>
      </c>
      <c r="C12379" s="35">
        <v>0</v>
      </c>
      <c r="D12379" s="2">
        <f t="shared" si="193"/>
        <v>1</v>
      </c>
    </row>
    <row r="12380" spans="1:4" x14ac:dyDescent="0.3">
      <c r="A12380" s="34">
        <v>71155</v>
      </c>
      <c r="B12380" s="35">
        <v>4</v>
      </c>
      <c r="C12380" s="35">
        <v>2</v>
      </c>
      <c r="D12380" s="2">
        <f t="shared" si="193"/>
        <v>6</v>
      </c>
    </row>
    <row r="12381" spans="1:4" x14ac:dyDescent="0.3">
      <c r="A12381" s="34">
        <v>71156</v>
      </c>
      <c r="B12381" s="35">
        <v>1</v>
      </c>
      <c r="C12381" s="35">
        <v>0</v>
      </c>
      <c r="D12381" s="2">
        <f t="shared" si="193"/>
        <v>1</v>
      </c>
    </row>
    <row r="12382" spans="1:4" x14ac:dyDescent="0.3">
      <c r="A12382" s="34">
        <v>71157</v>
      </c>
      <c r="B12382" s="35">
        <v>1</v>
      </c>
      <c r="C12382" s="35">
        <v>1</v>
      </c>
      <c r="D12382" s="2">
        <f t="shared" si="193"/>
        <v>2</v>
      </c>
    </row>
    <row r="12383" spans="1:4" x14ac:dyDescent="0.3">
      <c r="A12383" s="34">
        <v>71159</v>
      </c>
      <c r="B12383" s="35">
        <v>1</v>
      </c>
      <c r="C12383" s="35">
        <v>0</v>
      </c>
      <c r="D12383" s="2">
        <f t="shared" si="193"/>
        <v>1</v>
      </c>
    </row>
    <row r="12384" spans="1:4" x14ac:dyDescent="0.3">
      <c r="A12384" s="34">
        <v>71161</v>
      </c>
      <c r="B12384" s="35">
        <v>1</v>
      </c>
      <c r="C12384" s="35">
        <v>1</v>
      </c>
      <c r="D12384" s="2">
        <f t="shared" si="193"/>
        <v>2</v>
      </c>
    </row>
    <row r="12385" spans="1:4" x14ac:dyDescent="0.3">
      <c r="A12385" s="34">
        <v>71163</v>
      </c>
      <c r="B12385" s="35">
        <v>1</v>
      </c>
      <c r="C12385" s="35">
        <v>0</v>
      </c>
      <c r="D12385" s="2">
        <f t="shared" si="193"/>
        <v>1</v>
      </c>
    </row>
    <row r="12386" spans="1:4" x14ac:dyDescent="0.3">
      <c r="A12386" s="34">
        <v>71167</v>
      </c>
      <c r="B12386" s="35">
        <v>1</v>
      </c>
      <c r="C12386" s="35">
        <v>1</v>
      </c>
      <c r="D12386" s="2">
        <f t="shared" si="193"/>
        <v>2</v>
      </c>
    </row>
    <row r="12387" spans="1:4" x14ac:dyDescent="0.3">
      <c r="A12387" s="34">
        <v>71168</v>
      </c>
      <c r="B12387" s="35">
        <v>1</v>
      </c>
      <c r="C12387" s="35">
        <v>0</v>
      </c>
      <c r="D12387" s="2">
        <f t="shared" si="193"/>
        <v>1</v>
      </c>
    </row>
    <row r="12388" spans="1:4" x14ac:dyDescent="0.3">
      <c r="A12388" s="34">
        <v>71169</v>
      </c>
      <c r="B12388" s="35">
        <v>1</v>
      </c>
      <c r="C12388" s="35">
        <v>0</v>
      </c>
      <c r="D12388" s="2">
        <f t="shared" si="193"/>
        <v>1</v>
      </c>
    </row>
    <row r="12389" spans="1:4" x14ac:dyDescent="0.3">
      <c r="A12389" s="34">
        <v>71171</v>
      </c>
      <c r="B12389" s="35">
        <v>1</v>
      </c>
      <c r="C12389" s="35">
        <v>0</v>
      </c>
      <c r="D12389" s="2">
        <f t="shared" si="193"/>
        <v>1</v>
      </c>
    </row>
    <row r="12390" spans="1:4" x14ac:dyDescent="0.3">
      <c r="A12390" s="34">
        <v>71172</v>
      </c>
      <c r="B12390" s="35">
        <v>1</v>
      </c>
      <c r="C12390" s="35">
        <v>0</v>
      </c>
      <c r="D12390" s="2">
        <f t="shared" si="193"/>
        <v>1</v>
      </c>
    </row>
    <row r="12391" spans="1:4" x14ac:dyDescent="0.3">
      <c r="A12391" s="34">
        <v>71185</v>
      </c>
      <c r="B12391" s="35">
        <v>1</v>
      </c>
      <c r="C12391" s="35">
        <v>0</v>
      </c>
      <c r="D12391" s="2">
        <f t="shared" si="193"/>
        <v>1</v>
      </c>
    </row>
    <row r="12392" spans="1:4" x14ac:dyDescent="0.3">
      <c r="A12392" s="34">
        <v>71186</v>
      </c>
      <c r="B12392" s="35">
        <v>1</v>
      </c>
      <c r="C12392" s="35">
        <v>0</v>
      </c>
      <c r="D12392" s="2">
        <f t="shared" si="193"/>
        <v>1</v>
      </c>
    </row>
    <row r="12393" spans="1:4" x14ac:dyDescent="0.3">
      <c r="A12393" s="34">
        <v>71187</v>
      </c>
      <c r="B12393" s="35">
        <v>1</v>
      </c>
      <c r="C12393" s="35">
        <v>0</v>
      </c>
      <c r="D12393" s="2">
        <f t="shared" si="193"/>
        <v>1</v>
      </c>
    </row>
    <row r="12394" spans="1:4" x14ac:dyDescent="0.3">
      <c r="A12394" s="34">
        <v>71188</v>
      </c>
      <c r="B12394" s="35">
        <v>1</v>
      </c>
      <c r="C12394" s="35">
        <v>0</v>
      </c>
      <c r="D12394" s="2">
        <f t="shared" si="193"/>
        <v>1</v>
      </c>
    </row>
    <row r="12395" spans="1:4" x14ac:dyDescent="0.3">
      <c r="A12395" s="34">
        <v>71191</v>
      </c>
      <c r="B12395" s="35">
        <v>1</v>
      </c>
      <c r="C12395" s="35">
        <v>0</v>
      </c>
      <c r="D12395" s="2">
        <f t="shared" si="193"/>
        <v>1</v>
      </c>
    </row>
    <row r="12396" spans="1:4" x14ac:dyDescent="0.3">
      <c r="A12396" s="34">
        <v>71194</v>
      </c>
      <c r="B12396" s="35">
        <v>1</v>
      </c>
      <c r="C12396" s="35">
        <v>0</v>
      </c>
      <c r="D12396" s="2">
        <f t="shared" si="193"/>
        <v>1</v>
      </c>
    </row>
    <row r="12397" spans="1:4" x14ac:dyDescent="0.3">
      <c r="A12397" s="34">
        <v>71199</v>
      </c>
      <c r="B12397" s="35">
        <v>1</v>
      </c>
      <c r="C12397" s="35">
        <v>0</v>
      </c>
      <c r="D12397" s="2">
        <f t="shared" si="193"/>
        <v>1</v>
      </c>
    </row>
    <row r="12398" spans="1:4" x14ac:dyDescent="0.3">
      <c r="A12398" s="34">
        <v>71200</v>
      </c>
      <c r="B12398" s="35">
        <v>1</v>
      </c>
      <c r="C12398" s="35">
        <v>0</v>
      </c>
      <c r="D12398" s="2">
        <f t="shared" si="193"/>
        <v>1</v>
      </c>
    </row>
    <row r="12399" spans="1:4" x14ac:dyDescent="0.3">
      <c r="A12399" s="34">
        <v>71201</v>
      </c>
      <c r="B12399" s="35">
        <v>1</v>
      </c>
      <c r="C12399" s="35">
        <v>0</v>
      </c>
      <c r="D12399" s="2">
        <f t="shared" si="193"/>
        <v>1</v>
      </c>
    </row>
    <row r="12400" spans="1:4" x14ac:dyDescent="0.3">
      <c r="A12400" s="34">
        <v>71203</v>
      </c>
      <c r="B12400" s="35">
        <v>1</v>
      </c>
      <c r="C12400" s="35">
        <v>0</v>
      </c>
      <c r="D12400" s="2">
        <f t="shared" si="193"/>
        <v>1</v>
      </c>
    </row>
    <row r="12401" spans="1:4" x14ac:dyDescent="0.3">
      <c r="A12401" s="34">
        <v>71205</v>
      </c>
      <c r="B12401" s="35">
        <v>1</v>
      </c>
      <c r="C12401" s="35">
        <v>0</v>
      </c>
      <c r="D12401" s="2">
        <f t="shared" si="193"/>
        <v>1</v>
      </c>
    </row>
    <row r="12402" spans="1:4" x14ac:dyDescent="0.3">
      <c r="A12402" s="34">
        <v>71207</v>
      </c>
      <c r="B12402" s="35">
        <v>1</v>
      </c>
      <c r="C12402" s="35">
        <v>0</v>
      </c>
      <c r="D12402" s="2">
        <f t="shared" si="193"/>
        <v>1</v>
      </c>
    </row>
    <row r="12403" spans="1:4" x14ac:dyDescent="0.3">
      <c r="A12403" s="34">
        <v>71209</v>
      </c>
      <c r="B12403" s="35">
        <v>1</v>
      </c>
      <c r="C12403" s="35">
        <v>0</v>
      </c>
      <c r="D12403" s="2">
        <f t="shared" si="193"/>
        <v>1</v>
      </c>
    </row>
    <row r="12404" spans="1:4" x14ac:dyDescent="0.3">
      <c r="A12404" s="34">
        <v>71211</v>
      </c>
      <c r="B12404" s="35">
        <v>1</v>
      </c>
      <c r="C12404" s="35">
        <v>0</v>
      </c>
      <c r="D12404" s="2">
        <f t="shared" si="193"/>
        <v>1</v>
      </c>
    </row>
    <row r="12405" spans="1:4" x14ac:dyDescent="0.3">
      <c r="A12405" s="34">
        <v>71212</v>
      </c>
      <c r="B12405" s="35">
        <v>1</v>
      </c>
      <c r="C12405" s="35">
        <v>0</v>
      </c>
      <c r="D12405" s="2">
        <f t="shared" si="193"/>
        <v>1</v>
      </c>
    </row>
    <row r="12406" spans="1:4" x14ac:dyDescent="0.3">
      <c r="A12406" s="34">
        <v>71213</v>
      </c>
      <c r="B12406" s="35">
        <v>1</v>
      </c>
      <c r="C12406" s="35">
        <v>0</v>
      </c>
      <c r="D12406" s="2">
        <f t="shared" si="193"/>
        <v>1</v>
      </c>
    </row>
    <row r="12407" spans="1:4" x14ac:dyDescent="0.3">
      <c r="A12407" s="34">
        <v>71214</v>
      </c>
      <c r="B12407" s="35">
        <v>1</v>
      </c>
      <c r="C12407" s="35">
        <v>0</v>
      </c>
      <c r="D12407" s="2">
        <f t="shared" si="193"/>
        <v>1</v>
      </c>
    </row>
    <row r="12408" spans="1:4" x14ac:dyDescent="0.3">
      <c r="A12408" s="34">
        <v>71215</v>
      </c>
      <c r="B12408" s="35">
        <v>1</v>
      </c>
      <c r="C12408" s="35">
        <v>0</v>
      </c>
      <c r="D12408" s="2">
        <f t="shared" si="193"/>
        <v>1</v>
      </c>
    </row>
    <row r="12409" spans="1:4" x14ac:dyDescent="0.3">
      <c r="A12409" s="34">
        <v>71216</v>
      </c>
      <c r="B12409" s="35">
        <v>1</v>
      </c>
      <c r="C12409" s="35">
        <v>0</v>
      </c>
      <c r="D12409" s="2">
        <f t="shared" si="193"/>
        <v>1</v>
      </c>
    </row>
    <row r="12410" spans="1:4" x14ac:dyDescent="0.3">
      <c r="A12410" s="34">
        <v>71221</v>
      </c>
      <c r="B12410" s="35">
        <v>1</v>
      </c>
      <c r="C12410" s="35">
        <v>0</v>
      </c>
      <c r="D12410" s="2">
        <f t="shared" si="193"/>
        <v>1</v>
      </c>
    </row>
    <row r="12411" spans="1:4" x14ac:dyDescent="0.3">
      <c r="A12411" s="34">
        <v>71222</v>
      </c>
      <c r="B12411" s="35">
        <v>1</v>
      </c>
      <c r="C12411" s="35">
        <v>0</v>
      </c>
      <c r="D12411" s="2">
        <f t="shared" si="193"/>
        <v>1</v>
      </c>
    </row>
    <row r="12412" spans="1:4" x14ac:dyDescent="0.3">
      <c r="A12412" s="34">
        <v>71223</v>
      </c>
      <c r="B12412" s="35">
        <v>1</v>
      </c>
      <c r="C12412" s="35">
        <v>0</v>
      </c>
      <c r="D12412" s="2">
        <f t="shared" si="193"/>
        <v>1</v>
      </c>
    </row>
    <row r="12413" spans="1:4" x14ac:dyDescent="0.3">
      <c r="A12413" s="34">
        <v>71227</v>
      </c>
      <c r="B12413" s="35">
        <v>1</v>
      </c>
      <c r="C12413" s="35">
        <v>0</v>
      </c>
      <c r="D12413" s="2">
        <f t="shared" si="193"/>
        <v>1</v>
      </c>
    </row>
    <row r="12414" spans="1:4" x14ac:dyDescent="0.3">
      <c r="A12414" s="34">
        <v>71228</v>
      </c>
      <c r="B12414" s="35">
        <v>1</v>
      </c>
      <c r="C12414" s="35">
        <v>0</v>
      </c>
      <c r="D12414" s="2">
        <f t="shared" si="193"/>
        <v>1</v>
      </c>
    </row>
    <row r="12415" spans="1:4" x14ac:dyDescent="0.3">
      <c r="A12415" s="34">
        <v>71229</v>
      </c>
      <c r="B12415" s="35">
        <v>1</v>
      </c>
      <c r="C12415" s="35">
        <v>0</v>
      </c>
      <c r="D12415" s="2">
        <f t="shared" si="193"/>
        <v>1</v>
      </c>
    </row>
    <row r="12416" spans="1:4" x14ac:dyDescent="0.3">
      <c r="A12416" s="34">
        <v>71230</v>
      </c>
      <c r="B12416" s="35">
        <v>1</v>
      </c>
      <c r="C12416" s="35">
        <v>0</v>
      </c>
      <c r="D12416" s="2">
        <f t="shared" si="193"/>
        <v>1</v>
      </c>
    </row>
    <row r="12417" spans="1:4" x14ac:dyDescent="0.3">
      <c r="A12417" s="34">
        <v>71233</v>
      </c>
      <c r="B12417" s="35">
        <v>1</v>
      </c>
      <c r="C12417" s="35">
        <v>1</v>
      </c>
      <c r="D12417" s="2">
        <f t="shared" si="193"/>
        <v>2</v>
      </c>
    </row>
    <row r="12418" spans="1:4" x14ac:dyDescent="0.3">
      <c r="A12418" s="34">
        <v>71237</v>
      </c>
      <c r="B12418" s="35">
        <v>1</v>
      </c>
      <c r="C12418" s="35">
        <v>1</v>
      </c>
      <c r="D12418" s="2">
        <f t="shared" si="193"/>
        <v>2</v>
      </c>
    </row>
    <row r="12419" spans="1:4" x14ac:dyDescent="0.3">
      <c r="A12419" s="34">
        <v>71241</v>
      </c>
      <c r="B12419" s="35">
        <v>1</v>
      </c>
      <c r="C12419" s="35">
        <v>0</v>
      </c>
      <c r="D12419" s="2">
        <f t="shared" ref="D12419:D12482" si="194">B12419+C12419</f>
        <v>1</v>
      </c>
    </row>
    <row r="12420" spans="1:4" x14ac:dyDescent="0.3">
      <c r="A12420" s="34">
        <v>71242</v>
      </c>
      <c r="B12420" s="35">
        <v>1</v>
      </c>
      <c r="C12420" s="35">
        <v>0</v>
      </c>
      <c r="D12420" s="2">
        <f t="shared" si="194"/>
        <v>1</v>
      </c>
    </row>
    <row r="12421" spans="1:4" x14ac:dyDescent="0.3">
      <c r="A12421" s="34">
        <v>71243</v>
      </c>
      <c r="B12421" s="35">
        <v>1</v>
      </c>
      <c r="C12421" s="35">
        <v>0</v>
      </c>
      <c r="D12421" s="2">
        <f t="shared" si="194"/>
        <v>1</v>
      </c>
    </row>
    <row r="12422" spans="1:4" x14ac:dyDescent="0.3">
      <c r="A12422" s="34">
        <v>71245</v>
      </c>
      <c r="B12422" s="35">
        <v>2</v>
      </c>
      <c r="C12422" s="35">
        <v>1</v>
      </c>
      <c r="D12422" s="2">
        <f t="shared" si="194"/>
        <v>3</v>
      </c>
    </row>
    <row r="12423" spans="1:4" x14ac:dyDescent="0.3">
      <c r="A12423" s="34">
        <v>71246</v>
      </c>
      <c r="B12423" s="35">
        <v>1</v>
      </c>
      <c r="C12423" s="35">
        <v>0</v>
      </c>
      <c r="D12423" s="2">
        <f t="shared" si="194"/>
        <v>1</v>
      </c>
    </row>
    <row r="12424" spans="1:4" x14ac:dyDescent="0.3">
      <c r="A12424" s="34">
        <v>71249</v>
      </c>
      <c r="B12424" s="35">
        <v>1</v>
      </c>
      <c r="C12424" s="35">
        <v>0</v>
      </c>
      <c r="D12424" s="2">
        <f t="shared" si="194"/>
        <v>1</v>
      </c>
    </row>
    <row r="12425" spans="1:4" x14ac:dyDescent="0.3">
      <c r="A12425" s="34">
        <v>71253</v>
      </c>
      <c r="B12425" s="35">
        <v>1</v>
      </c>
      <c r="C12425" s="35">
        <v>0</v>
      </c>
      <c r="D12425" s="2">
        <f t="shared" si="194"/>
        <v>1</v>
      </c>
    </row>
    <row r="12426" spans="1:4" x14ac:dyDescent="0.3">
      <c r="A12426" s="34">
        <v>71295</v>
      </c>
      <c r="B12426" s="35">
        <v>1</v>
      </c>
      <c r="C12426" s="35">
        <v>0</v>
      </c>
      <c r="D12426" s="2">
        <f t="shared" si="194"/>
        <v>1</v>
      </c>
    </row>
    <row r="12427" spans="1:4" x14ac:dyDescent="0.3">
      <c r="A12427" s="34">
        <v>71297</v>
      </c>
      <c r="B12427" s="35">
        <v>1</v>
      </c>
      <c r="C12427" s="35">
        <v>0</v>
      </c>
      <c r="D12427" s="2">
        <f t="shared" si="194"/>
        <v>1</v>
      </c>
    </row>
    <row r="12428" spans="1:4" x14ac:dyDescent="0.3">
      <c r="A12428" s="34">
        <v>71300</v>
      </c>
      <c r="B12428" s="35">
        <v>1</v>
      </c>
      <c r="C12428" s="35">
        <v>0</v>
      </c>
      <c r="D12428" s="2">
        <f t="shared" si="194"/>
        <v>1</v>
      </c>
    </row>
    <row r="12429" spans="1:4" x14ac:dyDescent="0.3">
      <c r="A12429" s="34">
        <v>71301</v>
      </c>
      <c r="B12429" s="35">
        <v>1</v>
      </c>
      <c r="C12429" s="35">
        <v>0</v>
      </c>
      <c r="D12429" s="2">
        <f t="shared" si="194"/>
        <v>1</v>
      </c>
    </row>
    <row r="12430" spans="1:4" x14ac:dyDescent="0.3">
      <c r="A12430" s="34">
        <v>71302</v>
      </c>
      <c r="B12430" s="35">
        <v>1</v>
      </c>
      <c r="C12430" s="35">
        <v>0</v>
      </c>
      <c r="D12430" s="2">
        <f t="shared" si="194"/>
        <v>1</v>
      </c>
    </row>
    <row r="12431" spans="1:4" x14ac:dyDescent="0.3">
      <c r="A12431" s="34">
        <v>71303</v>
      </c>
      <c r="B12431" s="35">
        <v>1</v>
      </c>
      <c r="C12431" s="35">
        <v>0</v>
      </c>
      <c r="D12431" s="2">
        <f t="shared" si="194"/>
        <v>1</v>
      </c>
    </row>
    <row r="12432" spans="1:4" x14ac:dyDescent="0.3">
      <c r="A12432" s="34">
        <v>71304</v>
      </c>
      <c r="B12432" s="35">
        <v>1</v>
      </c>
      <c r="C12432" s="35">
        <v>0</v>
      </c>
      <c r="D12432" s="2">
        <f t="shared" si="194"/>
        <v>1</v>
      </c>
    </row>
    <row r="12433" spans="1:4" x14ac:dyDescent="0.3">
      <c r="A12433" s="34">
        <v>71305</v>
      </c>
      <c r="B12433" s="35">
        <v>1</v>
      </c>
      <c r="C12433" s="35">
        <v>0</v>
      </c>
      <c r="D12433" s="2">
        <f t="shared" si="194"/>
        <v>1</v>
      </c>
    </row>
    <row r="12434" spans="1:4" x14ac:dyDescent="0.3">
      <c r="A12434" s="34">
        <v>71306</v>
      </c>
      <c r="B12434" s="35">
        <v>1</v>
      </c>
      <c r="C12434" s="35">
        <v>0</v>
      </c>
      <c r="D12434" s="2">
        <f t="shared" si="194"/>
        <v>1</v>
      </c>
    </row>
    <row r="12435" spans="1:4" x14ac:dyDescent="0.3">
      <c r="A12435" s="34">
        <v>71307</v>
      </c>
      <c r="B12435" s="35">
        <v>1</v>
      </c>
      <c r="C12435" s="35">
        <v>0</v>
      </c>
      <c r="D12435" s="2">
        <f t="shared" si="194"/>
        <v>1</v>
      </c>
    </row>
    <row r="12436" spans="1:4" x14ac:dyDescent="0.3">
      <c r="A12436" s="34">
        <v>71308</v>
      </c>
      <c r="B12436" s="35">
        <v>1</v>
      </c>
      <c r="C12436" s="35">
        <v>0</v>
      </c>
      <c r="D12436" s="2">
        <f t="shared" si="194"/>
        <v>1</v>
      </c>
    </row>
    <row r="12437" spans="1:4" x14ac:dyDescent="0.3">
      <c r="A12437" s="34">
        <v>71310</v>
      </c>
      <c r="B12437" s="35">
        <v>1</v>
      </c>
      <c r="C12437" s="35">
        <v>0</v>
      </c>
      <c r="D12437" s="2">
        <f t="shared" si="194"/>
        <v>1</v>
      </c>
    </row>
    <row r="12438" spans="1:4" x14ac:dyDescent="0.3">
      <c r="A12438" s="34">
        <v>71314</v>
      </c>
      <c r="B12438" s="35">
        <v>1</v>
      </c>
      <c r="C12438" s="35">
        <v>0</v>
      </c>
      <c r="D12438" s="2">
        <f t="shared" si="194"/>
        <v>1</v>
      </c>
    </row>
    <row r="12439" spans="1:4" x14ac:dyDescent="0.3">
      <c r="A12439" s="34">
        <v>71317</v>
      </c>
      <c r="B12439" s="35">
        <v>1</v>
      </c>
      <c r="C12439" s="35">
        <v>0</v>
      </c>
      <c r="D12439" s="2">
        <f t="shared" si="194"/>
        <v>1</v>
      </c>
    </row>
    <row r="12440" spans="1:4" x14ac:dyDescent="0.3">
      <c r="A12440" s="34">
        <v>71323</v>
      </c>
      <c r="B12440" s="35">
        <v>1</v>
      </c>
      <c r="C12440" s="35">
        <v>0</v>
      </c>
      <c r="D12440" s="2">
        <f t="shared" si="194"/>
        <v>1</v>
      </c>
    </row>
    <row r="12441" spans="1:4" x14ac:dyDescent="0.3">
      <c r="A12441" s="34">
        <v>71324</v>
      </c>
      <c r="B12441" s="35">
        <v>1</v>
      </c>
      <c r="C12441" s="35">
        <v>0</v>
      </c>
      <c r="D12441" s="2">
        <f t="shared" si="194"/>
        <v>1</v>
      </c>
    </row>
    <row r="12442" spans="1:4" x14ac:dyDescent="0.3">
      <c r="A12442" s="34">
        <v>71325</v>
      </c>
      <c r="B12442" s="35">
        <v>1</v>
      </c>
      <c r="C12442" s="35">
        <v>0</v>
      </c>
      <c r="D12442" s="2">
        <f t="shared" si="194"/>
        <v>1</v>
      </c>
    </row>
    <row r="12443" spans="1:4" x14ac:dyDescent="0.3">
      <c r="A12443" s="34">
        <v>71326</v>
      </c>
      <c r="B12443" s="35">
        <v>1</v>
      </c>
      <c r="C12443" s="35">
        <v>0</v>
      </c>
      <c r="D12443" s="2">
        <f t="shared" si="194"/>
        <v>1</v>
      </c>
    </row>
    <row r="12444" spans="1:4" x14ac:dyDescent="0.3">
      <c r="A12444" s="34">
        <v>71332</v>
      </c>
      <c r="B12444" s="35">
        <v>1</v>
      </c>
      <c r="C12444" s="35">
        <v>0</v>
      </c>
      <c r="D12444" s="2">
        <f t="shared" si="194"/>
        <v>1</v>
      </c>
    </row>
    <row r="12445" spans="1:4" x14ac:dyDescent="0.3">
      <c r="A12445" s="34">
        <v>71333</v>
      </c>
      <c r="B12445" s="35">
        <v>1</v>
      </c>
      <c r="C12445" s="35">
        <v>0</v>
      </c>
      <c r="D12445" s="2">
        <f t="shared" si="194"/>
        <v>1</v>
      </c>
    </row>
    <row r="12446" spans="1:4" x14ac:dyDescent="0.3">
      <c r="A12446" s="34">
        <v>71335</v>
      </c>
      <c r="B12446" s="35">
        <v>1</v>
      </c>
      <c r="C12446" s="35">
        <v>0</v>
      </c>
      <c r="D12446" s="2">
        <f t="shared" si="194"/>
        <v>1</v>
      </c>
    </row>
    <row r="12447" spans="1:4" x14ac:dyDescent="0.3">
      <c r="A12447" s="34">
        <v>71336</v>
      </c>
      <c r="B12447" s="35">
        <v>2</v>
      </c>
      <c r="C12447" s="35">
        <v>1</v>
      </c>
      <c r="D12447" s="2">
        <f t="shared" si="194"/>
        <v>3</v>
      </c>
    </row>
    <row r="12448" spans="1:4" x14ac:dyDescent="0.3">
      <c r="A12448" s="34">
        <v>71338</v>
      </c>
      <c r="B12448" s="35">
        <v>1</v>
      </c>
      <c r="C12448" s="35">
        <v>0</v>
      </c>
      <c r="D12448" s="2">
        <f t="shared" si="194"/>
        <v>1</v>
      </c>
    </row>
    <row r="12449" spans="1:4" x14ac:dyDescent="0.3">
      <c r="A12449" s="34">
        <v>71340</v>
      </c>
      <c r="B12449" s="35">
        <v>1</v>
      </c>
      <c r="C12449" s="35">
        <v>0</v>
      </c>
      <c r="D12449" s="2">
        <f t="shared" si="194"/>
        <v>1</v>
      </c>
    </row>
    <row r="12450" spans="1:4" x14ac:dyDescent="0.3">
      <c r="A12450" s="34">
        <v>71344</v>
      </c>
      <c r="B12450" s="35">
        <v>1</v>
      </c>
      <c r="C12450" s="35">
        <v>0</v>
      </c>
      <c r="D12450" s="2">
        <f t="shared" si="194"/>
        <v>1</v>
      </c>
    </row>
    <row r="12451" spans="1:4" x14ac:dyDescent="0.3">
      <c r="A12451" s="34">
        <v>71350</v>
      </c>
      <c r="B12451" s="35">
        <v>1</v>
      </c>
      <c r="C12451" s="35">
        <v>0</v>
      </c>
      <c r="D12451" s="2">
        <f t="shared" si="194"/>
        <v>1</v>
      </c>
    </row>
    <row r="12452" spans="1:4" x14ac:dyDescent="0.3">
      <c r="A12452" s="34">
        <v>71351</v>
      </c>
      <c r="B12452" s="35">
        <v>1</v>
      </c>
      <c r="C12452" s="35">
        <v>0</v>
      </c>
      <c r="D12452" s="2">
        <f t="shared" si="194"/>
        <v>1</v>
      </c>
    </row>
    <row r="12453" spans="1:4" x14ac:dyDescent="0.3">
      <c r="A12453" s="34">
        <v>71357</v>
      </c>
      <c r="B12453" s="35">
        <v>1</v>
      </c>
      <c r="C12453" s="35">
        <v>1</v>
      </c>
      <c r="D12453" s="2">
        <f t="shared" si="194"/>
        <v>2</v>
      </c>
    </row>
    <row r="12454" spans="1:4" x14ac:dyDescent="0.3">
      <c r="A12454" s="34">
        <v>71358</v>
      </c>
      <c r="B12454" s="35">
        <v>1</v>
      </c>
      <c r="C12454" s="35">
        <v>0</v>
      </c>
      <c r="D12454" s="2">
        <f t="shared" si="194"/>
        <v>1</v>
      </c>
    </row>
    <row r="12455" spans="1:4" x14ac:dyDescent="0.3">
      <c r="A12455" s="34">
        <v>71359</v>
      </c>
      <c r="B12455" s="35">
        <v>1</v>
      </c>
      <c r="C12455" s="35">
        <v>1</v>
      </c>
      <c r="D12455" s="2">
        <f t="shared" si="194"/>
        <v>2</v>
      </c>
    </row>
    <row r="12456" spans="1:4" x14ac:dyDescent="0.3">
      <c r="A12456" s="34">
        <v>71375</v>
      </c>
      <c r="B12456" s="35">
        <v>1</v>
      </c>
      <c r="C12456" s="35">
        <v>0</v>
      </c>
      <c r="D12456" s="2">
        <f t="shared" si="194"/>
        <v>1</v>
      </c>
    </row>
    <row r="12457" spans="1:4" x14ac:dyDescent="0.3">
      <c r="A12457" s="34">
        <v>71376</v>
      </c>
      <c r="B12457" s="35">
        <v>1</v>
      </c>
      <c r="C12457" s="35">
        <v>1</v>
      </c>
      <c r="D12457" s="2">
        <f t="shared" si="194"/>
        <v>2</v>
      </c>
    </row>
    <row r="12458" spans="1:4" x14ac:dyDescent="0.3">
      <c r="A12458" s="34">
        <v>71377</v>
      </c>
      <c r="B12458" s="35">
        <v>1</v>
      </c>
      <c r="C12458" s="35">
        <v>0</v>
      </c>
      <c r="D12458" s="2">
        <f t="shared" si="194"/>
        <v>1</v>
      </c>
    </row>
    <row r="12459" spans="1:4" x14ac:dyDescent="0.3">
      <c r="A12459" s="34">
        <v>71378</v>
      </c>
      <c r="B12459" s="35">
        <v>1</v>
      </c>
      <c r="C12459" s="35">
        <v>0</v>
      </c>
      <c r="D12459" s="2">
        <f t="shared" si="194"/>
        <v>1</v>
      </c>
    </row>
    <row r="12460" spans="1:4" x14ac:dyDescent="0.3">
      <c r="A12460" s="34">
        <v>71379</v>
      </c>
      <c r="B12460" s="35">
        <v>1</v>
      </c>
      <c r="C12460" s="35">
        <v>0</v>
      </c>
      <c r="D12460" s="2">
        <f t="shared" si="194"/>
        <v>1</v>
      </c>
    </row>
    <row r="12461" spans="1:4" x14ac:dyDescent="0.3">
      <c r="A12461" s="34">
        <v>71380</v>
      </c>
      <c r="B12461" s="35">
        <v>1</v>
      </c>
      <c r="C12461" s="35">
        <v>0</v>
      </c>
      <c r="D12461" s="2">
        <f t="shared" si="194"/>
        <v>1</v>
      </c>
    </row>
    <row r="12462" spans="1:4" x14ac:dyDescent="0.3">
      <c r="A12462" s="34">
        <v>71381</v>
      </c>
      <c r="B12462" s="35">
        <v>1</v>
      </c>
      <c r="C12462" s="35">
        <v>0</v>
      </c>
      <c r="D12462" s="2">
        <f t="shared" si="194"/>
        <v>1</v>
      </c>
    </row>
    <row r="12463" spans="1:4" x14ac:dyDescent="0.3">
      <c r="A12463" s="34">
        <v>71382</v>
      </c>
      <c r="B12463" s="35">
        <v>1</v>
      </c>
      <c r="C12463" s="35">
        <v>0</v>
      </c>
      <c r="D12463" s="2">
        <f t="shared" si="194"/>
        <v>1</v>
      </c>
    </row>
    <row r="12464" spans="1:4" x14ac:dyDescent="0.3">
      <c r="A12464" s="34">
        <v>71384</v>
      </c>
      <c r="B12464" s="35">
        <v>1</v>
      </c>
      <c r="C12464" s="35">
        <v>0</v>
      </c>
      <c r="D12464" s="2">
        <f t="shared" si="194"/>
        <v>1</v>
      </c>
    </row>
    <row r="12465" spans="1:4" x14ac:dyDescent="0.3">
      <c r="A12465" s="34">
        <v>71386</v>
      </c>
      <c r="B12465" s="35">
        <v>1</v>
      </c>
      <c r="C12465" s="35">
        <v>0</v>
      </c>
      <c r="D12465" s="2">
        <f t="shared" si="194"/>
        <v>1</v>
      </c>
    </row>
    <row r="12466" spans="1:4" x14ac:dyDescent="0.3">
      <c r="A12466" s="34">
        <v>71389</v>
      </c>
      <c r="B12466" s="35">
        <v>1</v>
      </c>
      <c r="C12466" s="35">
        <v>0</v>
      </c>
      <c r="D12466" s="2">
        <f t="shared" si="194"/>
        <v>1</v>
      </c>
    </row>
    <row r="12467" spans="1:4" x14ac:dyDescent="0.3">
      <c r="A12467" s="34">
        <v>71390</v>
      </c>
      <c r="B12467" s="35">
        <v>1</v>
      </c>
      <c r="C12467" s="35">
        <v>0</v>
      </c>
      <c r="D12467" s="2">
        <f t="shared" si="194"/>
        <v>1</v>
      </c>
    </row>
    <row r="12468" spans="1:4" x14ac:dyDescent="0.3">
      <c r="A12468" s="34">
        <v>71394</v>
      </c>
      <c r="B12468" s="35">
        <v>1</v>
      </c>
      <c r="C12468" s="35">
        <v>0</v>
      </c>
      <c r="D12468" s="2">
        <f t="shared" si="194"/>
        <v>1</v>
      </c>
    </row>
    <row r="12469" spans="1:4" x14ac:dyDescent="0.3">
      <c r="A12469" s="34">
        <v>71395</v>
      </c>
      <c r="B12469" s="35">
        <v>1</v>
      </c>
      <c r="C12469" s="35">
        <v>0</v>
      </c>
      <c r="D12469" s="2">
        <f t="shared" si="194"/>
        <v>1</v>
      </c>
    </row>
    <row r="12470" spans="1:4" x14ac:dyDescent="0.3">
      <c r="A12470" s="34">
        <v>71396</v>
      </c>
      <c r="B12470" s="35">
        <v>1</v>
      </c>
      <c r="C12470" s="35">
        <v>1</v>
      </c>
      <c r="D12470" s="2">
        <f t="shared" si="194"/>
        <v>2</v>
      </c>
    </row>
    <row r="12471" spans="1:4" x14ac:dyDescent="0.3">
      <c r="A12471" s="34">
        <v>71398</v>
      </c>
      <c r="B12471" s="35">
        <v>1</v>
      </c>
      <c r="C12471" s="35">
        <v>0</v>
      </c>
      <c r="D12471" s="2">
        <f t="shared" si="194"/>
        <v>1</v>
      </c>
    </row>
    <row r="12472" spans="1:4" x14ac:dyDescent="0.3">
      <c r="A12472" s="34">
        <v>71399</v>
      </c>
      <c r="B12472" s="35">
        <v>1</v>
      </c>
      <c r="C12472" s="35">
        <v>0</v>
      </c>
      <c r="D12472" s="2">
        <f t="shared" si="194"/>
        <v>1</v>
      </c>
    </row>
    <row r="12473" spans="1:4" x14ac:dyDescent="0.3">
      <c r="A12473" s="34">
        <v>71400</v>
      </c>
      <c r="B12473" s="35">
        <v>1</v>
      </c>
      <c r="C12473" s="35">
        <v>0</v>
      </c>
      <c r="D12473" s="2">
        <f t="shared" si="194"/>
        <v>1</v>
      </c>
    </row>
    <row r="12474" spans="1:4" x14ac:dyDescent="0.3">
      <c r="A12474" s="34">
        <v>71402</v>
      </c>
      <c r="B12474" s="35">
        <v>2</v>
      </c>
      <c r="C12474" s="35">
        <v>1</v>
      </c>
      <c r="D12474" s="2">
        <f t="shared" si="194"/>
        <v>3</v>
      </c>
    </row>
    <row r="12475" spans="1:4" x14ac:dyDescent="0.3">
      <c r="A12475" s="34">
        <v>71403</v>
      </c>
      <c r="B12475" s="35">
        <v>1</v>
      </c>
      <c r="C12475" s="35">
        <v>0</v>
      </c>
      <c r="D12475" s="2">
        <f t="shared" si="194"/>
        <v>1</v>
      </c>
    </row>
    <row r="12476" spans="1:4" x14ac:dyDescent="0.3">
      <c r="A12476" s="34">
        <v>71404</v>
      </c>
      <c r="B12476" s="35">
        <v>1</v>
      </c>
      <c r="C12476" s="35">
        <v>1</v>
      </c>
      <c r="D12476" s="2">
        <f t="shared" si="194"/>
        <v>2</v>
      </c>
    </row>
    <row r="12477" spans="1:4" x14ac:dyDescent="0.3">
      <c r="A12477" s="34">
        <v>71407</v>
      </c>
      <c r="B12477" s="35">
        <v>1</v>
      </c>
      <c r="C12477" s="35">
        <v>0</v>
      </c>
      <c r="D12477" s="2">
        <f t="shared" si="194"/>
        <v>1</v>
      </c>
    </row>
    <row r="12478" spans="1:4" x14ac:dyDescent="0.3">
      <c r="A12478" s="34">
        <v>71409</v>
      </c>
      <c r="B12478" s="35">
        <v>1</v>
      </c>
      <c r="C12478" s="35">
        <v>0</v>
      </c>
      <c r="D12478" s="2">
        <f t="shared" si="194"/>
        <v>1</v>
      </c>
    </row>
    <row r="12479" spans="1:4" x14ac:dyDescent="0.3">
      <c r="A12479" s="34">
        <v>71410</v>
      </c>
      <c r="B12479" s="35">
        <v>1</v>
      </c>
      <c r="C12479" s="35">
        <v>0</v>
      </c>
      <c r="D12479" s="2">
        <f t="shared" si="194"/>
        <v>1</v>
      </c>
    </row>
    <row r="12480" spans="1:4" x14ac:dyDescent="0.3">
      <c r="A12480" s="34">
        <v>71411</v>
      </c>
      <c r="B12480" s="35">
        <v>1</v>
      </c>
      <c r="C12480" s="35">
        <v>0</v>
      </c>
      <c r="D12480" s="2">
        <f t="shared" si="194"/>
        <v>1</v>
      </c>
    </row>
    <row r="12481" spans="1:4" x14ac:dyDescent="0.3">
      <c r="A12481" s="34">
        <v>71412</v>
      </c>
      <c r="B12481" s="35">
        <v>1</v>
      </c>
      <c r="C12481" s="35">
        <v>0</v>
      </c>
      <c r="D12481" s="2">
        <f t="shared" si="194"/>
        <v>1</v>
      </c>
    </row>
    <row r="12482" spans="1:4" x14ac:dyDescent="0.3">
      <c r="A12482" s="34">
        <v>71415</v>
      </c>
      <c r="B12482" s="35">
        <v>1</v>
      </c>
      <c r="C12482" s="35">
        <v>0</v>
      </c>
      <c r="D12482" s="2">
        <f t="shared" si="194"/>
        <v>1</v>
      </c>
    </row>
    <row r="12483" spans="1:4" x14ac:dyDescent="0.3">
      <c r="A12483" s="34">
        <v>71416</v>
      </c>
      <c r="B12483" s="35">
        <v>1</v>
      </c>
      <c r="C12483" s="35">
        <v>0</v>
      </c>
      <c r="D12483" s="2">
        <f t="shared" ref="D12483:D12546" si="195">B12483+C12483</f>
        <v>1</v>
      </c>
    </row>
    <row r="12484" spans="1:4" x14ac:dyDescent="0.3">
      <c r="A12484" s="34">
        <v>71418</v>
      </c>
      <c r="B12484" s="35">
        <v>1</v>
      </c>
      <c r="C12484" s="35">
        <v>0</v>
      </c>
      <c r="D12484" s="2">
        <f t="shared" si="195"/>
        <v>1</v>
      </c>
    </row>
    <row r="12485" spans="1:4" x14ac:dyDescent="0.3">
      <c r="A12485" s="34">
        <v>71420</v>
      </c>
      <c r="B12485" s="35">
        <v>1</v>
      </c>
      <c r="C12485" s="35">
        <v>0</v>
      </c>
      <c r="D12485" s="2">
        <f t="shared" si="195"/>
        <v>1</v>
      </c>
    </row>
    <row r="12486" spans="1:4" x14ac:dyDescent="0.3">
      <c r="A12486" s="34">
        <v>71422</v>
      </c>
      <c r="B12486" s="35">
        <v>1</v>
      </c>
      <c r="C12486" s="35">
        <v>0</v>
      </c>
      <c r="D12486" s="2">
        <f t="shared" si="195"/>
        <v>1</v>
      </c>
    </row>
    <row r="12487" spans="1:4" x14ac:dyDescent="0.3">
      <c r="A12487" s="34">
        <v>71428</v>
      </c>
      <c r="B12487" s="35">
        <v>1</v>
      </c>
      <c r="C12487" s="35">
        <v>0</v>
      </c>
      <c r="D12487" s="2">
        <f t="shared" si="195"/>
        <v>1</v>
      </c>
    </row>
    <row r="12488" spans="1:4" x14ac:dyDescent="0.3">
      <c r="A12488" s="34">
        <v>71430</v>
      </c>
      <c r="B12488" s="35">
        <v>1</v>
      </c>
      <c r="C12488" s="35">
        <v>0</v>
      </c>
      <c r="D12488" s="2">
        <f t="shared" si="195"/>
        <v>1</v>
      </c>
    </row>
    <row r="12489" spans="1:4" x14ac:dyDescent="0.3">
      <c r="A12489" s="34">
        <v>71431</v>
      </c>
      <c r="B12489" s="35">
        <v>1</v>
      </c>
      <c r="C12489" s="35">
        <v>1</v>
      </c>
      <c r="D12489" s="2">
        <f t="shared" si="195"/>
        <v>2</v>
      </c>
    </row>
    <row r="12490" spans="1:4" x14ac:dyDescent="0.3">
      <c r="A12490" s="34">
        <v>71432</v>
      </c>
      <c r="B12490" s="35">
        <v>1</v>
      </c>
      <c r="C12490" s="35">
        <v>0</v>
      </c>
      <c r="D12490" s="2">
        <f t="shared" si="195"/>
        <v>1</v>
      </c>
    </row>
    <row r="12491" spans="1:4" x14ac:dyDescent="0.3">
      <c r="A12491" s="34">
        <v>71462</v>
      </c>
      <c r="B12491" s="35">
        <v>2</v>
      </c>
      <c r="C12491" s="35">
        <v>0</v>
      </c>
      <c r="D12491" s="2">
        <f t="shared" si="195"/>
        <v>2</v>
      </c>
    </row>
    <row r="12492" spans="1:4" x14ac:dyDescent="0.3">
      <c r="A12492" s="34">
        <v>71463</v>
      </c>
      <c r="B12492" s="35">
        <v>1</v>
      </c>
      <c r="C12492" s="35">
        <v>0</v>
      </c>
      <c r="D12492" s="2">
        <f t="shared" si="195"/>
        <v>1</v>
      </c>
    </row>
    <row r="12493" spans="1:4" x14ac:dyDescent="0.3">
      <c r="A12493" s="34">
        <v>71467</v>
      </c>
      <c r="B12493" s="35">
        <v>1</v>
      </c>
      <c r="C12493" s="35">
        <v>0</v>
      </c>
      <c r="D12493" s="2">
        <f t="shared" si="195"/>
        <v>1</v>
      </c>
    </row>
    <row r="12494" spans="1:4" x14ac:dyDescent="0.3">
      <c r="A12494" s="34">
        <v>71473</v>
      </c>
      <c r="B12494" s="35">
        <v>1</v>
      </c>
      <c r="C12494" s="35">
        <v>0</v>
      </c>
      <c r="D12494" s="2">
        <f t="shared" si="195"/>
        <v>1</v>
      </c>
    </row>
    <row r="12495" spans="1:4" x14ac:dyDescent="0.3">
      <c r="A12495" s="34">
        <v>71476</v>
      </c>
      <c r="B12495" s="35">
        <v>1</v>
      </c>
      <c r="C12495" s="35">
        <v>0</v>
      </c>
      <c r="D12495" s="2">
        <f t="shared" si="195"/>
        <v>1</v>
      </c>
    </row>
    <row r="12496" spans="1:4" x14ac:dyDescent="0.3">
      <c r="A12496" s="34">
        <v>71477</v>
      </c>
      <c r="B12496" s="35">
        <v>1</v>
      </c>
      <c r="C12496" s="35">
        <v>0</v>
      </c>
      <c r="D12496" s="2">
        <f t="shared" si="195"/>
        <v>1</v>
      </c>
    </row>
    <row r="12497" spans="1:4" x14ac:dyDescent="0.3">
      <c r="A12497" s="34">
        <v>71478</v>
      </c>
      <c r="B12497" s="35">
        <v>1</v>
      </c>
      <c r="C12497" s="35">
        <v>0</v>
      </c>
      <c r="D12497" s="2">
        <f t="shared" si="195"/>
        <v>1</v>
      </c>
    </row>
    <row r="12498" spans="1:4" x14ac:dyDescent="0.3">
      <c r="A12498" s="34">
        <v>71480</v>
      </c>
      <c r="B12498" s="35">
        <v>1</v>
      </c>
      <c r="C12498" s="35">
        <v>0</v>
      </c>
      <c r="D12498" s="2">
        <f t="shared" si="195"/>
        <v>1</v>
      </c>
    </row>
    <row r="12499" spans="1:4" x14ac:dyDescent="0.3">
      <c r="A12499" s="34">
        <v>71485</v>
      </c>
      <c r="B12499" s="35">
        <v>1</v>
      </c>
      <c r="C12499" s="35">
        <v>0</v>
      </c>
      <c r="D12499" s="2">
        <f t="shared" si="195"/>
        <v>1</v>
      </c>
    </row>
    <row r="12500" spans="1:4" x14ac:dyDescent="0.3">
      <c r="A12500" s="34">
        <v>71488</v>
      </c>
      <c r="B12500" s="35">
        <v>2</v>
      </c>
      <c r="C12500" s="35">
        <v>2</v>
      </c>
      <c r="D12500" s="2">
        <f t="shared" si="195"/>
        <v>4</v>
      </c>
    </row>
    <row r="12501" spans="1:4" x14ac:dyDescent="0.3">
      <c r="A12501" s="34">
        <v>71503</v>
      </c>
      <c r="B12501" s="35">
        <v>1</v>
      </c>
      <c r="C12501" s="35">
        <v>0</v>
      </c>
      <c r="D12501" s="2">
        <f t="shared" si="195"/>
        <v>1</v>
      </c>
    </row>
    <row r="12502" spans="1:4" x14ac:dyDescent="0.3">
      <c r="A12502" s="34">
        <v>71504</v>
      </c>
      <c r="B12502" s="35">
        <v>1</v>
      </c>
      <c r="C12502" s="35">
        <v>0</v>
      </c>
      <c r="D12502" s="2">
        <f t="shared" si="195"/>
        <v>1</v>
      </c>
    </row>
    <row r="12503" spans="1:4" x14ac:dyDescent="0.3">
      <c r="A12503" s="34">
        <v>71506</v>
      </c>
      <c r="B12503" s="35">
        <v>1</v>
      </c>
      <c r="C12503" s="35">
        <v>0</v>
      </c>
      <c r="D12503" s="2">
        <f t="shared" si="195"/>
        <v>1</v>
      </c>
    </row>
    <row r="12504" spans="1:4" x14ac:dyDescent="0.3">
      <c r="A12504" s="34">
        <v>71507</v>
      </c>
      <c r="B12504" s="35">
        <v>1</v>
      </c>
      <c r="C12504" s="35">
        <v>0</v>
      </c>
      <c r="D12504" s="2">
        <f t="shared" si="195"/>
        <v>1</v>
      </c>
    </row>
    <row r="12505" spans="1:4" x14ac:dyDescent="0.3">
      <c r="A12505" s="34">
        <v>71508</v>
      </c>
      <c r="B12505" s="35">
        <v>1</v>
      </c>
      <c r="C12505" s="35">
        <v>0</v>
      </c>
      <c r="D12505" s="2">
        <f t="shared" si="195"/>
        <v>1</v>
      </c>
    </row>
    <row r="12506" spans="1:4" x14ac:dyDescent="0.3">
      <c r="A12506" s="34">
        <v>71510</v>
      </c>
      <c r="B12506" s="35">
        <v>1</v>
      </c>
      <c r="C12506" s="35">
        <v>0</v>
      </c>
      <c r="D12506" s="2">
        <f t="shared" si="195"/>
        <v>1</v>
      </c>
    </row>
    <row r="12507" spans="1:4" x14ac:dyDescent="0.3">
      <c r="A12507" s="34">
        <v>71513</v>
      </c>
      <c r="B12507" s="35">
        <v>1</v>
      </c>
      <c r="C12507" s="35">
        <v>0</v>
      </c>
      <c r="D12507" s="2">
        <f t="shared" si="195"/>
        <v>1</v>
      </c>
    </row>
    <row r="12508" spans="1:4" x14ac:dyDescent="0.3">
      <c r="A12508" s="34">
        <v>71514</v>
      </c>
      <c r="B12508" s="35">
        <v>1</v>
      </c>
      <c r="C12508" s="35">
        <v>0</v>
      </c>
      <c r="D12508" s="2">
        <f t="shared" si="195"/>
        <v>1</v>
      </c>
    </row>
    <row r="12509" spans="1:4" x14ac:dyDescent="0.3">
      <c r="A12509" s="34">
        <v>71516</v>
      </c>
      <c r="B12509" s="35">
        <v>1</v>
      </c>
      <c r="C12509" s="35">
        <v>0</v>
      </c>
      <c r="D12509" s="2">
        <f t="shared" si="195"/>
        <v>1</v>
      </c>
    </row>
    <row r="12510" spans="1:4" x14ac:dyDescent="0.3">
      <c r="A12510" s="34">
        <v>71520</v>
      </c>
      <c r="B12510" s="35">
        <v>1</v>
      </c>
      <c r="C12510" s="35">
        <v>0</v>
      </c>
      <c r="D12510" s="2">
        <f t="shared" si="195"/>
        <v>1</v>
      </c>
    </row>
    <row r="12511" spans="1:4" x14ac:dyDescent="0.3">
      <c r="A12511" s="34">
        <v>71521</v>
      </c>
      <c r="B12511" s="35">
        <v>1</v>
      </c>
      <c r="C12511" s="35">
        <v>0</v>
      </c>
      <c r="D12511" s="2">
        <f t="shared" si="195"/>
        <v>1</v>
      </c>
    </row>
    <row r="12512" spans="1:4" x14ac:dyDescent="0.3">
      <c r="A12512" s="34">
        <v>71522</v>
      </c>
      <c r="B12512" s="35">
        <v>1</v>
      </c>
      <c r="C12512" s="35">
        <v>0</v>
      </c>
      <c r="D12512" s="2">
        <f t="shared" si="195"/>
        <v>1</v>
      </c>
    </row>
    <row r="12513" spans="1:4" x14ac:dyDescent="0.3">
      <c r="A12513" s="34">
        <v>71526</v>
      </c>
      <c r="B12513" s="35">
        <v>1</v>
      </c>
      <c r="C12513" s="35">
        <v>0</v>
      </c>
      <c r="D12513" s="2">
        <f t="shared" si="195"/>
        <v>1</v>
      </c>
    </row>
    <row r="12514" spans="1:4" x14ac:dyDescent="0.3">
      <c r="A12514" s="34">
        <v>71529</v>
      </c>
      <c r="B12514" s="35">
        <v>1</v>
      </c>
      <c r="C12514" s="35">
        <v>0</v>
      </c>
      <c r="D12514" s="2">
        <f t="shared" si="195"/>
        <v>1</v>
      </c>
    </row>
    <row r="12515" spans="1:4" x14ac:dyDescent="0.3">
      <c r="A12515" s="34">
        <v>71530</v>
      </c>
      <c r="B12515" s="35">
        <v>1</v>
      </c>
      <c r="C12515" s="35">
        <v>0</v>
      </c>
      <c r="D12515" s="2">
        <f t="shared" si="195"/>
        <v>1</v>
      </c>
    </row>
    <row r="12516" spans="1:4" x14ac:dyDescent="0.3">
      <c r="A12516" s="34">
        <v>71531</v>
      </c>
      <c r="B12516" s="35">
        <v>1</v>
      </c>
      <c r="C12516" s="35">
        <v>0</v>
      </c>
      <c r="D12516" s="2">
        <f t="shared" si="195"/>
        <v>1</v>
      </c>
    </row>
    <row r="12517" spans="1:4" x14ac:dyDescent="0.3">
      <c r="A12517" s="34">
        <v>71540</v>
      </c>
      <c r="B12517" s="35">
        <v>1</v>
      </c>
      <c r="C12517" s="35">
        <v>0</v>
      </c>
      <c r="D12517" s="2">
        <f t="shared" si="195"/>
        <v>1</v>
      </c>
    </row>
    <row r="12518" spans="1:4" x14ac:dyDescent="0.3">
      <c r="A12518" s="34">
        <v>71542</v>
      </c>
      <c r="B12518" s="35">
        <v>1</v>
      </c>
      <c r="C12518" s="35">
        <v>0</v>
      </c>
      <c r="D12518" s="2">
        <f t="shared" si="195"/>
        <v>1</v>
      </c>
    </row>
    <row r="12519" spans="1:4" x14ac:dyDescent="0.3">
      <c r="A12519" s="34">
        <v>71544</v>
      </c>
      <c r="B12519" s="35">
        <v>1</v>
      </c>
      <c r="C12519" s="35">
        <v>0</v>
      </c>
      <c r="D12519" s="2">
        <f t="shared" si="195"/>
        <v>1</v>
      </c>
    </row>
    <row r="12520" spans="1:4" x14ac:dyDescent="0.3">
      <c r="A12520" s="34">
        <v>71546</v>
      </c>
      <c r="B12520" s="35">
        <v>1</v>
      </c>
      <c r="C12520" s="35">
        <v>0</v>
      </c>
      <c r="D12520" s="2">
        <f t="shared" si="195"/>
        <v>1</v>
      </c>
    </row>
    <row r="12521" spans="1:4" x14ac:dyDescent="0.3">
      <c r="A12521" s="34">
        <v>71547</v>
      </c>
      <c r="B12521" s="35">
        <v>1</v>
      </c>
      <c r="C12521" s="35">
        <v>0</v>
      </c>
      <c r="D12521" s="2">
        <f t="shared" si="195"/>
        <v>1</v>
      </c>
    </row>
    <row r="12522" spans="1:4" x14ac:dyDescent="0.3">
      <c r="A12522" s="34">
        <v>71549</v>
      </c>
      <c r="B12522" s="35">
        <v>1</v>
      </c>
      <c r="C12522" s="35">
        <v>0</v>
      </c>
      <c r="D12522" s="2">
        <f t="shared" si="195"/>
        <v>1</v>
      </c>
    </row>
    <row r="12523" spans="1:4" x14ac:dyDescent="0.3">
      <c r="A12523" s="34">
        <v>71552</v>
      </c>
      <c r="B12523" s="35">
        <v>1</v>
      </c>
      <c r="C12523" s="35">
        <v>0</v>
      </c>
      <c r="D12523" s="2">
        <f t="shared" si="195"/>
        <v>1</v>
      </c>
    </row>
    <row r="12524" spans="1:4" x14ac:dyDescent="0.3">
      <c r="A12524" s="34">
        <v>71555</v>
      </c>
      <c r="B12524" s="35">
        <v>1</v>
      </c>
      <c r="C12524" s="35">
        <v>0</v>
      </c>
      <c r="D12524" s="2">
        <f t="shared" si="195"/>
        <v>1</v>
      </c>
    </row>
    <row r="12525" spans="1:4" x14ac:dyDescent="0.3">
      <c r="A12525" s="34">
        <v>71566</v>
      </c>
      <c r="B12525" s="35">
        <v>1</v>
      </c>
      <c r="C12525" s="35">
        <v>0</v>
      </c>
      <c r="D12525" s="2">
        <f t="shared" si="195"/>
        <v>1</v>
      </c>
    </row>
    <row r="12526" spans="1:4" x14ac:dyDescent="0.3">
      <c r="A12526" s="34">
        <v>71567</v>
      </c>
      <c r="B12526" s="35">
        <v>1</v>
      </c>
      <c r="C12526" s="35">
        <v>0</v>
      </c>
      <c r="D12526" s="2">
        <f t="shared" si="195"/>
        <v>1</v>
      </c>
    </row>
    <row r="12527" spans="1:4" x14ac:dyDescent="0.3">
      <c r="A12527" s="34">
        <v>71574</v>
      </c>
      <c r="B12527" s="35">
        <v>1</v>
      </c>
      <c r="C12527" s="35">
        <v>0</v>
      </c>
      <c r="D12527" s="2">
        <f t="shared" si="195"/>
        <v>1</v>
      </c>
    </row>
    <row r="12528" spans="1:4" x14ac:dyDescent="0.3">
      <c r="A12528" s="34">
        <v>71581</v>
      </c>
      <c r="B12528" s="35">
        <v>1</v>
      </c>
      <c r="C12528" s="35">
        <v>0</v>
      </c>
      <c r="D12528" s="2">
        <f t="shared" si="195"/>
        <v>1</v>
      </c>
    </row>
    <row r="12529" spans="1:4" x14ac:dyDescent="0.3">
      <c r="A12529" s="34">
        <v>71582</v>
      </c>
      <c r="B12529" s="35">
        <v>1</v>
      </c>
      <c r="C12529" s="35">
        <v>0</v>
      </c>
      <c r="D12529" s="2">
        <f t="shared" si="195"/>
        <v>1</v>
      </c>
    </row>
    <row r="12530" spans="1:4" x14ac:dyDescent="0.3">
      <c r="A12530" s="34">
        <v>71584</v>
      </c>
      <c r="B12530" s="35">
        <v>1</v>
      </c>
      <c r="C12530" s="35">
        <v>0</v>
      </c>
      <c r="D12530" s="2">
        <f t="shared" si="195"/>
        <v>1</v>
      </c>
    </row>
    <row r="12531" spans="1:4" x14ac:dyDescent="0.3">
      <c r="A12531" s="34">
        <v>71586</v>
      </c>
      <c r="B12531" s="35">
        <v>1</v>
      </c>
      <c r="C12531" s="35">
        <v>0</v>
      </c>
      <c r="D12531" s="2">
        <f t="shared" si="195"/>
        <v>1</v>
      </c>
    </row>
    <row r="12532" spans="1:4" x14ac:dyDescent="0.3">
      <c r="A12532" s="34">
        <v>71587</v>
      </c>
      <c r="B12532" s="35">
        <v>1</v>
      </c>
      <c r="C12532" s="35">
        <v>0</v>
      </c>
      <c r="D12532" s="2">
        <f t="shared" si="195"/>
        <v>1</v>
      </c>
    </row>
    <row r="12533" spans="1:4" x14ac:dyDescent="0.3">
      <c r="A12533" s="34">
        <v>71591</v>
      </c>
      <c r="B12533" s="35">
        <v>1</v>
      </c>
      <c r="C12533" s="35">
        <v>1</v>
      </c>
      <c r="D12533" s="2">
        <f t="shared" si="195"/>
        <v>2</v>
      </c>
    </row>
    <row r="12534" spans="1:4" x14ac:dyDescent="0.3">
      <c r="A12534" s="34">
        <v>71593</v>
      </c>
      <c r="B12534" s="35">
        <v>1</v>
      </c>
      <c r="C12534" s="35">
        <v>0</v>
      </c>
      <c r="D12534" s="2">
        <f t="shared" si="195"/>
        <v>1</v>
      </c>
    </row>
    <row r="12535" spans="1:4" x14ac:dyDescent="0.3">
      <c r="A12535" s="34">
        <v>71595</v>
      </c>
      <c r="B12535" s="35">
        <v>1</v>
      </c>
      <c r="C12535" s="35">
        <v>0</v>
      </c>
      <c r="D12535" s="2">
        <f t="shared" si="195"/>
        <v>1</v>
      </c>
    </row>
    <row r="12536" spans="1:4" x14ac:dyDescent="0.3">
      <c r="A12536" s="34">
        <v>71597</v>
      </c>
      <c r="B12536" s="35">
        <v>1</v>
      </c>
      <c r="C12536" s="35">
        <v>0</v>
      </c>
      <c r="D12536" s="2">
        <f t="shared" si="195"/>
        <v>1</v>
      </c>
    </row>
    <row r="12537" spans="1:4" x14ac:dyDescent="0.3">
      <c r="A12537" s="34">
        <v>71598</v>
      </c>
      <c r="B12537" s="35">
        <v>1</v>
      </c>
      <c r="C12537" s="35">
        <v>0</v>
      </c>
      <c r="D12537" s="2">
        <f t="shared" si="195"/>
        <v>1</v>
      </c>
    </row>
    <row r="12538" spans="1:4" x14ac:dyDescent="0.3">
      <c r="A12538" s="34">
        <v>71603</v>
      </c>
      <c r="B12538" s="35">
        <v>1</v>
      </c>
      <c r="C12538" s="35">
        <v>0</v>
      </c>
      <c r="D12538" s="2">
        <f t="shared" si="195"/>
        <v>1</v>
      </c>
    </row>
    <row r="12539" spans="1:4" x14ac:dyDescent="0.3">
      <c r="A12539" s="34">
        <v>71604</v>
      </c>
      <c r="B12539" s="35">
        <v>1</v>
      </c>
      <c r="C12539" s="35">
        <v>0</v>
      </c>
      <c r="D12539" s="2">
        <f t="shared" si="195"/>
        <v>1</v>
      </c>
    </row>
    <row r="12540" spans="1:4" x14ac:dyDescent="0.3">
      <c r="A12540" s="34">
        <v>71607</v>
      </c>
      <c r="B12540" s="35">
        <v>1</v>
      </c>
      <c r="C12540" s="35">
        <v>0</v>
      </c>
      <c r="D12540" s="2">
        <f t="shared" si="195"/>
        <v>1</v>
      </c>
    </row>
    <row r="12541" spans="1:4" x14ac:dyDescent="0.3">
      <c r="A12541" s="34">
        <v>71608</v>
      </c>
      <c r="B12541" s="35">
        <v>1</v>
      </c>
      <c r="C12541" s="35">
        <v>1</v>
      </c>
      <c r="D12541" s="2">
        <f t="shared" si="195"/>
        <v>2</v>
      </c>
    </row>
    <row r="12542" spans="1:4" x14ac:dyDescent="0.3">
      <c r="A12542" s="34">
        <v>71610</v>
      </c>
      <c r="B12542" s="35">
        <v>1</v>
      </c>
      <c r="C12542" s="35">
        <v>0</v>
      </c>
      <c r="D12542" s="2">
        <f t="shared" si="195"/>
        <v>1</v>
      </c>
    </row>
    <row r="12543" spans="1:4" x14ac:dyDescent="0.3">
      <c r="A12543" s="34">
        <v>71611</v>
      </c>
      <c r="B12543" s="35">
        <v>1</v>
      </c>
      <c r="C12543" s="35">
        <v>0</v>
      </c>
      <c r="D12543" s="2">
        <f t="shared" si="195"/>
        <v>1</v>
      </c>
    </row>
    <row r="12544" spans="1:4" x14ac:dyDescent="0.3">
      <c r="A12544" s="34">
        <v>71612</v>
      </c>
      <c r="B12544" s="35">
        <v>1</v>
      </c>
      <c r="C12544" s="35">
        <v>0</v>
      </c>
      <c r="D12544" s="2">
        <f t="shared" si="195"/>
        <v>1</v>
      </c>
    </row>
    <row r="12545" spans="1:4" x14ac:dyDescent="0.3">
      <c r="A12545" s="34">
        <v>71616</v>
      </c>
      <c r="B12545" s="35">
        <v>1</v>
      </c>
      <c r="C12545" s="35">
        <v>0</v>
      </c>
      <c r="D12545" s="2">
        <f t="shared" si="195"/>
        <v>1</v>
      </c>
    </row>
    <row r="12546" spans="1:4" x14ac:dyDescent="0.3">
      <c r="A12546" s="34">
        <v>71618</v>
      </c>
      <c r="B12546" s="35">
        <v>1</v>
      </c>
      <c r="C12546" s="35">
        <v>0</v>
      </c>
      <c r="D12546" s="2">
        <f t="shared" si="195"/>
        <v>1</v>
      </c>
    </row>
    <row r="12547" spans="1:4" x14ac:dyDescent="0.3">
      <c r="A12547" s="34">
        <v>71619</v>
      </c>
      <c r="B12547" s="35">
        <v>1</v>
      </c>
      <c r="C12547" s="35">
        <v>1</v>
      </c>
      <c r="D12547" s="2">
        <f t="shared" ref="D12547:D12610" si="196">B12547+C12547</f>
        <v>2</v>
      </c>
    </row>
    <row r="12548" spans="1:4" x14ac:dyDescent="0.3">
      <c r="A12548" s="34">
        <v>71621</v>
      </c>
      <c r="B12548" s="35">
        <v>1</v>
      </c>
      <c r="C12548" s="35">
        <v>0</v>
      </c>
      <c r="D12548" s="2">
        <f t="shared" si="196"/>
        <v>1</v>
      </c>
    </row>
    <row r="12549" spans="1:4" x14ac:dyDescent="0.3">
      <c r="A12549" s="34">
        <v>71622</v>
      </c>
      <c r="B12549" s="35">
        <v>1</v>
      </c>
      <c r="C12549" s="35">
        <v>0</v>
      </c>
      <c r="D12549" s="2">
        <f t="shared" si="196"/>
        <v>1</v>
      </c>
    </row>
    <row r="12550" spans="1:4" x14ac:dyDescent="0.3">
      <c r="A12550" s="34">
        <v>71623</v>
      </c>
      <c r="B12550" s="35">
        <v>1</v>
      </c>
      <c r="C12550" s="35">
        <v>0</v>
      </c>
      <c r="D12550" s="2">
        <f t="shared" si="196"/>
        <v>1</v>
      </c>
    </row>
    <row r="12551" spans="1:4" x14ac:dyDescent="0.3">
      <c r="A12551" s="34">
        <v>71626</v>
      </c>
      <c r="B12551" s="35">
        <v>1</v>
      </c>
      <c r="C12551" s="35">
        <v>0</v>
      </c>
      <c r="D12551" s="2">
        <f t="shared" si="196"/>
        <v>1</v>
      </c>
    </row>
    <row r="12552" spans="1:4" x14ac:dyDescent="0.3">
      <c r="A12552" s="34">
        <v>71627</v>
      </c>
      <c r="B12552" s="35">
        <v>1</v>
      </c>
      <c r="C12552" s="35">
        <v>0</v>
      </c>
      <c r="D12552" s="2">
        <f t="shared" si="196"/>
        <v>1</v>
      </c>
    </row>
    <row r="12553" spans="1:4" x14ac:dyDescent="0.3">
      <c r="A12553" s="34">
        <v>71628</v>
      </c>
      <c r="B12553" s="35">
        <v>1</v>
      </c>
      <c r="C12553" s="35">
        <v>0</v>
      </c>
      <c r="D12553" s="2">
        <f t="shared" si="196"/>
        <v>1</v>
      </c>
    </row>
    <row r="12554" spans="1:4" x14ac:dyDescent="0.3">
      <c r="A12554" s="34">
        <v>71629</v>
      </c>
      <c r="B12554" s="35">
        <v>1</v>
      </c>
      <c r="C12554" s="35">
        <v>0</v>
      </c>
      <c r="D12554" s="2">
        <f t="shared" si="196"/>
        <v>1</v>
      </c>
    </row>
    <row r="12555" spans="1:4" x14ac:dyDescent="0.3">
      <c r="A12555" s="34">
        <v>71630</v>
      </c>
      <c r="B12555" s="35">
        <v>1</v>
      </c>
      <c r="C12555" s="35">
        <v>0</v>
      </c>
      <c r="D12555" s="2">
        <f t="shared" si="196"/>
        <v>1</v>
      </c>
    </row>
    <row r="12556" spans="1:4" x14ac:dyDescent="0.3">
      <c r="A12556" s="34">
        <v>71631</v>
      </c>
      <c r="B12556" s="35">
        <v>1</v>
      </c>
      <c r="C12556" s="35">
        <v>0</v>
      </c>
      <c r="D12556" s="2">
        <f t="shared" si="196"/>
        <v>1</v>
      </c>
    </row>
    <row r="12557" spans="1:4" x14ac:dyDescent="0.3">
      <c r="A12557" s="34">
        <v>71634</v>
      </c>
      <c r="B12557" s="35">
        <v>1</v>
      </c>
      <c r="C12557" s="35">
        <v>0</v>
      </c>
      <c r="D12557" s="2">
        <f t="shared" si="196"/>
        <v>1</v>
      </c>
    </row>
    <row r="12558" spans="1:4" x14ac:dyDescent="0.3">
      <c r="A12558" s="34">
        <v>71636</v>
      </c>
      <c r="B12558" s="35">
        <v>1</v>
      </c>
      <c r="C12558" s="35">
        <v>0</v>
      </c>
      <c r="D12558" s="2">
        <f t="shared" si="196"/>
        <v>1</v>
      </c>
    </row>
    <row r="12559" spans="1:4" x14ac:dyDescent="0.3">
      <c r="A12559" s="34">
        <v>71637</v>
      </c>
      <c r="B12559" s="35">
        <v>1</v>
      </c>
      <c r="C12559" s="35">
        <v>0</v>
      </c>
      <c r="D12559" s="2">
        <f t="shared" si="196"/>
        <v>1</v>
      </c>
    </row>
    <row r="12560" spans="1:4" x14ac:dyDescent="0.3">
      <c r="A12560" s="34">
        <v>71642</v>
      </c>
      <c r="B12560" s="35">
        <v>1</v>
      </c>
      <c r="C12560" s="35">
        <v>0</v>
      </c>
      <c r="D12560" s="2">
        <f t="shared" si="196"/>
        <v>1</v>
      </c>
    </row>
    <row r="12561" spans="1:4" x14ac:dyDescent="0.3">
      <c r="A12561" s="34">
        <v>71647</v>
      </c>
      <c r="B12561" s="35">
        <v>1</v>
      </c>
      <c r="C12561" s="35">
        <v>0</v>
      </c>
      <c r="D12561" s="2">
        <f t="shared" si="196"/>
        <v>1</v>
      </c>
    </row>
    <row r="12562" spans="1:4" x14ac:dyDescent="0.3">
      <c r="A12562" s="34">
        <v>71648</v>
      </c>
      <c r="B12562" s="35">
        <v>1</v>
      </c>
      <c r="C12562" s="35">
        <v>0</v>
      </c>
      <c r="D12562" s="2">
        <f t="shared" si="196"/>
        <v>1</v>
      </c>
    </row>
    <row r="12563" spans="1:4" x14ac:dyDescent="0.3">
      <c r="A12563" s="34">
        <v>71649</v>
      </c>
      <c r="B12563" s="35">
        <v>1</v>
      </c>
      <c r="C12563" s="35">
        <v>0</v>
      </c>
      <c r="D12563" s="2">
        <f t="shared" si="196"/>
        <v>1</v>
      </c>
    </row>
    <row r="12564" spans="1:4" x14ac:dyDescent="0.3">
      <c r="A12564" s="34">
        <v>71652</v>
      </c>
      <c r="B12564" s="35">
        <v>1</v>
      </c>
      <c r="C12564" s="35">
        <v>0</v>
      </c>
      <c r="D12564" s="2">
        <f t="shared" si="196"/>
        <v>1</v>
      </c>
    </row>
    <row r="12565" spans="1:4" x14ac:dyDescent="0.3">
      <c r="A12565" s="34">
        <v>71653</v>
      </c>
      <c r="B12565" s="35">
        <v>1</v>
      </c>
      <c r="C12565" s="35">
        <v>0</v>
      </c>
      <c r="D12565" s="2">
        <f t="shared" si="196"/>
        <v>1</v>
      </c>
    </row>
    <row r="12566" spans="1:4" x14ac:dyDescent="0.3">
      <c r="A12566" s="34">
        <v>71654</v>
      </c>
      <c r="B12566" s="35">
        <v>1</v>
      </c>
      <c r="C12566" s="35">
        <v>0</v>
      </c>
      <c r="D12566" s="2">
        <f t="shared" si="196"/>
        <v>1</v>
      </c>
    </row>
    <row r="12567" spans="1:4" x14ac:dyDescent="0.3">
      <c r="A12567" s="34">
        <v>71664</v>
      </c>
      <c r="B12567" s="35">
        <v>1</v>
      </c>
      <c r="C12567" s="35">
        <v>0</v>
      </c>
      <c r="D12567" s="2">
        <f t="shared" si="196"/>
        <v>1</v>
      </c>
    </row>
    <row r="12568" spans="1:4" x14ac:dyDescent="0.3">
      <c r="A12568" s="34">
        <v>71666</v>
      </c>
      <c r="B12568" s="35">
        <v>1</v>
      </c>
      <c r="C12568" s="35">
        <v>0</v>
      </c>
      <c r="D12568" s="2">
        <f t="shared" si="196"/>
        <v>1</v>
      </c>
    </row>
    <row r="12569" spans="1:4" x14ac:dyDescent="0.3">
      <c r="A12569" s="34">
        <v>71668</v>
      </c>
      <c r="B12569" s="35">
        <v>1</v>
      </c>
      <c r="C12569" s="35">
        <v>1</v>
      </c>
      <c r="D12569" s="2">
        <f t="shared" si="196"/>
        <v>2</v>
      </c>
    </row>
    <row r="12570" spans="1:4" x14ac:dyDescent="0.3">
      <c r="A12570" s="34">
        <v>71669</v>
      </c>
      <c r="B12570" s="35">
        <v>1</v>
      </c>
      <c r="C12570" s="35">
        <v>0</v>
      </c>
      <c r="D12570" s="2">
        <f t="shared" si="196"/>
        <v>1</v>
      </c>
    </row>
    <row r="12571" spans="1:4" x14ac:dyDescent="0.3">
      <c r="A12571" s="34">
        <v>71670</v>
      </c>
      <c r="B12571" s="35">
        <v>1</v>
      </c>
      <c r="C12571" s="35">
        <v>0</v>
      </c>
      <c r="D12571" s="2">
        <f t="shared" si="196"/>
        <v>1</v>
      </c>
    </row>
    <row r="12572" spans="1:4" x14ac:dyDescent="0.3">
      <c r="A12572" s="34">
        <v>71671</v>
      </c>
      <c r="B12572" s="35">
        <v>1</v>
      </c>
      <c r="C12572" s="35">
        <v>0</v>
      </c>
      <c r="D12572" s="2">
        <f t="shared" si="196"/>
        <v>1</v>
      </c>
    </row>
    <row r="12573" spans="1:4" x14ac:dyDescent="0.3">
      <c r="A12573" s="34">
        <v>71672</v>
      </c>
      <c r="B12573" s="35">
        <v>1</v>
      </c>
      <c r="C12573" s="35">
        <v>0</v>
      </c>
      <c r="D12573" s="2">
        <f t="shared" si="196"/>
        <v>1</v>
      </c>
    </row>
    <row r="12574" spans="1:4" x14ac:dyDescent="0.3">
      <c r="A12574" s="34">
        <v>71673</v>
      </c>
      <c r="B12574" s="35">
        <v>1</v>
      </c>
      <c r="C12574" s="35">
        <v>0</v>
      </c>
      <c r="D12574" s="2">
        <f t="shared" si="196"/>
        <v>1</v>
      </c>
    </row>
    <row r="12575" spans="1:4" x14ac:dyDescent="0.3">
      <c r="A12575" s="34">
        <v>71674</v>
      </c>
      <c r="B12575" s="35">
        <v>1</v>
      </c>
      <c r="C12575" s="35">
        <v>0</v>
      </c>
      <c r="D12575" s="2">
        <f t="shared" si="196"/>
        <v>1</v>
      </c>
    </row>
    <row r="12576" spans="1:4" x14ac:dyDescent="0.3">
      <c r="A12576" s="34">
        <v>71675</v>
      </c>
      <c r="B12576" s="35">
        <v>1</v>
      </c>
      <c r="C12576" s="35">
        <v>0</v>
      </c>
      <c r="D12576" s="2">
        <f t="shared" si="196"/>
        <v>1</v>
      </c>
    </row>
    <row r="12577" spans="1:4" x14ac:dyDescent="0.3">
      <c r="A12577" s="34">
        <v>71676</v>
      </c>
      <c r="B12577" s="35">
        <v>1</v>
      </c>
      <c r="C12577" s="35">
        <v>0</v>
      </c>
      <c r="D12577" s="2">
        <f t="shared" si="196"/>
        <v>1</v>
      </c>
    </row>
    <row r="12578" spans="1:4" x14ac:dyDescent="0.3">
      <c r="A12578" s="34">
        <v>71677</v>
      </c>
      <c r="B12578" s="35">
        <v>1</v>
      </c>
      <c r="C12578" s="35">
        <v>0</v>
      </c>
      <c r="D12578" s="2">
        <f t="shared" si="196"/>
        <v>1</v>
      </c>
    </row>
    <row r="12579" spans="1:4" x14ac:dyDescent="0.3">
      <c r="A12579" s="34">
        <v>71678</v>
      </c>
      <c r="B12579" s="35">
        <v>1</v>
      </c>
      <c r="C12579" s="35">
        <v>0</v>
      </c>
      <c r="D12579" s="2">
        <f t="shared" si="196"/>
        <v>1</v>
      </c>
    </row>
    <row r="12580" spans="1:4" x14ac:dyDescent="0.3">
      <c r="A12580" s="34">
        <v>71681</v>
      </c>
      <c r="B12580" s="35">
        <v>1</v>
      </c>
      <c r="C12580" s="35">
        <v>0</v>
      </c>
      <c r="D12580" s="2">
        <f t="shared" si="196"/>
        <v>1</v>
      </c>
    </row>
    <row r="12581" spans="1:4" x14ac:dyDescent="0.3">
      <c r="A12581" s="34">
        <v>71682</v>
      </c>
      <c r="B12581" s="35">
        <v>1</v>
      </c>
      <c r="C12581" s="35">
        <v>0</v>
      </c>
      <c r="D12581" s="2">
        <f t="shared" si="196"/>
        <v>1</v>
      </c>
    </row>
    <row r="12582" spans="1:4" x14ac:dyDescent="0.3">
      <c r="A12582" s="34">
        <v>71688</v>
      </c>
      <c r="B12582" s="35">
        <v>1</v>
      </c>
      <c r="C12582" s="35">
        <v>0</v>
      </c>
      <c r="D12582" s="2">
        <f t="shared" si="196"/>
        <v>1</v>
      </c>
    </row>
    <row r="12583" spans="1:4" x14ac:dyDescent="0.3">
      <c r="A12583" s="34">
        <v>71695</v>
      </c>
      <c r="B12583" s="35">
        <v>1</v>
      </c>
      <c r="C12583" s="35">
        <v>0</v>
      </c>
      <c r="D12583" s="2">
        <f t="shared" si="196"/>
        <v>1</v>
      </c>
    </row>
    <row r="12584" spans="1:4" x14ac:dyDescent="0.3">
      <c r="A12584" s="34">
        <v>71697</v>
      </c>
      <c r="B12584" s="35">
        <v>1</v>
      </c>
      <c r="C12584" s="35">
        <v>0</v>
      </c>
      <c r="D12584" s="2">
        <f t="shared" si="196"/>
        <v>1</v>
      </c>
    </row>
    <row r="12585" spans="1:4" x14ac:dyDescent="0.3">
      <c r="A12585" s="34">
        <v>71698</v>
      </c>
      <c r="B12585" s="35">
        <v>1</v>
      </c>
      <c r="C12585" s="35">
        <v>0</v>
      </c>
      <c r="D12585" s="2">
        <f t="shared" si="196"/>
        <v>1</v>
      </c>
    </row>
    <row r="12586" spans="1:4" x14ac:dyDescent="0.3">
      <c r="A12586" s="34">
        <v>71700</v>
      </c>
      <c r="B12586" s="35">
        <v>1</v>
      </c>
      <c r="C12586" s="35">
        <v>0</v>
      </c>
      <c r="D12586" s="2">
        <f t="shared" si="196"/>
        <v>1</v>
      </c>
    </row>
    <row r="12587" spans="1:4" x14ac:dyDescent="0.3">
      <c r="A12587" s="34">
        <v>71703</v>
      </c>
      <c r="B12587" s="35">
        <v>1</v>
      </c>
      <c r="C12587" s="35">
        <v>0</v>
      </c>
      <c r="D12587" s="2">
        <f t="shared" si="196"/>
        <v>1</v>
      </c>
    </row>
    <row r="12588" spans="1:4" x14ac:dyDescent="0.3">
      <c r="A12588" s="34">
        <v>71705</v>
      </c>
      <c r="B12588" s="35">
        <v>1</v>
      </c>
      <c r="C12588" s="35">
        <v>0</v>
      </c>
      <c r="D12588" s="2">
        <f t="shared" si="196"/>
        <v>1</v>
      </c>
    </row>
    <row r="12589" spans="1:4" x14ac:dyDescent="0.3">
      <c r="A12589" s="34">
        <v>71708</v>
      </c>
      <c r="B12589" s="35">
        <v>1</v>
      </c>
      <c r="C12589" s="35">
        <v>0</v>
      </c>
      <c r="D12589" s="2">
        <f t="shared" si="196"/>
        <v>1</v>
      </c>
    </row>
    <row r="12590" spans="1:4" x14ac:dyDescent="0.3">
      <c r="A12590" s="34">
        <v>71710</v>
      </c>
      <c r="B12590" s="35">
        <v>1</v>
      </c>
      <c r="C12590" s="35">
        <v>0</v>
      </c>
      <c r="D12590" s="2">
        <f t="shared" si="196"/>
        <v>1</v>
      </c>
    </row>
    <row r="12591" spans="1:4" x14ac:dyDescent="0.3">
      <c r="A12591" s="34">
        <v>71715</v>
      </c>
      <c r="B12591" s="35">
        <v>1</v>
      </c>
      <c r="C12591" s="35">
        <v>0</v>
      </c>
      <c r="D12591" s="2">
        <f t="shared" si="196"/>
        <v>1</v>
      </c>
    </row>
    <row r="12592" spans="1:4" x14ac:dyDescent="0.3">
      <c r="A12592" s="34">
        <v>71716</v>
      </c>
      <c r="B12592" s="35">
        <v>1</v>
      </c>
      <c r="C12592" s="35">
        <v>0</v>
      </c>
      <c r="D12592" s="2">
        <f t="shared" si="196"/>
        <v>1</v>
      </c>
    </row>
    <row r="12593" spans="1:4" x14ac:dyDescent="0.3">
      <c r="A12593" s="34">
        <v>71719</v>
      </c>
      <c r="B12593" s="35">
        <v>1</v>
      </c>
      <c r="C12593" s="35">
        <v>0</v>
      </c>
      <c r="D12593" s="2">
        <f t="shared" si="196"/>
        <v>1</v>
      </c>
    </row>
    <row r="12594" spans="1:4" x14ac:dyDescent="0.3">
      <c r="A12594" s="34">
        <v>71720</v>
      </c>
      <c r="B12594" s="35">
        <v>1</v>
      </c>
      <c r="C12594" s="35">
        <v>1</v>
      </c>
      <c r="D12594" s="2">
        <f t="shared" si="196"/>
        <v>2</v>
      </c>
    </row>
    <row r="12595" spans="1:4" x14ac:dyDescent="0.3">
      <c r="A12595" s="34">
        <v>71721</v>
      </c>
      <c r="B12595" s="35">
        <v>1</v>
      </c>
      <c r="C12595" s="35">
        <v>0</v>
      </c>
      <c r="D12595" s="2">
        <f t="shared" si="196"/>
        <v>1</v>
      </c>
    </row>
    <row r="12596" spans="1:4" x14ac:dyDescent="0.3">
      <c r="A12596" s="34">
        <v>71724</v>
      </c>
      <c r="B12596" s="35">
        <v>1</v>
      </c>
      <c r="C12596" s="35">
        <v>0</v>
      </c>
      <c r="D12596" s="2">
        <f t="shared" si="196"/>
        <v>1</v>
      </c>
    </row>
    <row r="12597" spans="1:4" x14ac:dyDescent="0.3">
      <c r="A12597" s="34">
        <v>71728</v>
      </c>
      <c r="B12597" s="35">
        <v>1</v>
      </c>
      <c r="C12597" s="35">
        <v>1</v>
      </c>
      <c r="D12597" s="2">
        <f t="shared" si="196"/>
        <v>2</v>
      </c>
    </row>
    <row r="12598" spans="1:4" x14ac:dyDescent="0.3">
      <c r="A12598" s="34">
        <v>71729</v>
      </c>
      <c r="B12598" s="35">
        <v>1</v>
      </c>
      <c r="C12598" s="35">
        <v>0</v>
      </c>
      <c r="D12598" s="2">
        <f t="shared" si="196"/>
        <v>1</v>
      </c>
    </row>
    <row r="12599" spans="1:4" x14ac:dyDescent="0.3">
      <c r="A12599" s="34">
        <v>71732</v>
      </c>
      <c r="B12599" s="35">
        <v>1</v>
      </c>
      <c r="C12599" s="35">
        <v>1</v>
      </c>
      <c r="D12599" s="2">
        <f t="shared" si="196"/>
        <v>2</v>
      </c>
    </row>
    <row r="12600" spans="1:4" x14ac:dyDescent="0.3">
      <c r="A12600" s="34">
        <v>71736</v>
      </c>
      <c r="B12600" s="35">
        <v>1</v>
      </c>
      <c r="C12600" s="35">
        <v>0</v>
      </c>
      <c r="D12600" s="2">
        <f t="shared" si="196"/>
        <v>1</v>
      </c>
    </row>
    <row r="12601" spans="1:4" x14ac:dyDescent="0.3">
      <c r="A12601" s="34">
        <v>71737</v>
      </c>
      <c r="B12601" s="35">
        <v>1</v>
      </c>
      <c r="C12601" s="35">
        <v>0</v>
      </c>
      <c r="D12601" s="2">
        <f t="shared" si="196"/>
        <v>1</v>
      </c>
    </row>
    <row r="12602" spans="1:4" x14ac:dyDescent="0.3">
      <c r="A12602" s="34">
        <v>71738</v>
      </c>
      <c r="B12602" s="35">
        <v>1</v>
      </c>
      <c r="C12602" s="35">
        <v>0</v>
      </c>
      <c r="D12602" s="2">
        <f t="shared" si="196"/>
        <v>1</v>
      </c>
    </row>
    <row r="12603" spans="1:4" x14ac:dyDescent="0.3">
      <c r="A12603" s="34">
        <v>71742</v>
      </c>
      <c r="B12603" s="35">
        <v>1</v>
      </c>
      <c r="C12603" s="35">
        <v>0</v>
      </c>
      <c r="D12603" s="2">
        <f t="shared" si="196"/>
        <v>1</v>
      </c>
    </row>
    <row r="12604" spans="1:4" x14ac:dyDescent="0.3">
      <c r="A12604" s="34">
        <v>71747</v>
      </c>
      <c r="B12604" s="35">
        <v>1</v>
      </c>
      <c r="C12604" s="35">
        <v>0</v>
      </c>
      <c r="D12604" s="2">
        <f t="shared" si="196"/>
        <v>1</v>
      </c>
    </row>
    <row r="12605" spans="1:4" x14ac:dyDescent="0.3">
      <c r="A12605" s="34">
        <v>71748</v>
      </c>
      <c r="B12605" s="35">
        <v>1</v>
      </c>
      <c r="C12605" s="35">
        <v>0</v>
      </c>
      <c r="D12605" s="2">
        <f t="shared" si="196"/>
        <v>1</v>
      </c>
    </row>
    <row r="12606" spans="1:4" x14ac:dyDescent="0.3">
      <c r="A12606" s="34">
        <v>71754</v>
      </c>
      <c r="B12606" s="35">
        <v>2</v>
      </c>
      <c r="C12606" s="35">
        <v>2</v>
      </c>
      <c r="D12606" s="2">
        <f t="shared" si="196"/>
        <v>4</v>
      </c>
    </row>
    <row r="12607" spans="1:4" x14ac:dyDescent="0.3">
      <c r="A12607" s="34">
        <v>71756</v>
      </c>
      <c r="B12607" s="35">
        <v>1</v>
      </c>
      <c r="C12607" s="35">
        <v>0</v>
      </c>
      <c r="D12607" s="2">
        <f t="shared" si="196"/>
        <v>1</v>
      </c>
    </row>
    <row r="12608" spans="1:4" x14ac:dyDescent="0.3">
      <c r="A12608" s="34">
        <v>71757</v>
      </c>
      <c r="B12608" s="35">
        <v>1</v>
      </c>
      <c r="C12608" s="35">
        <v>0</v>
      </c>
      <c r="D12608" s="2">
        <f t="shared" si="196"/>
        <v>1</v>
      </c>
    </row>
    <row r="12609" spans="1:4" x14ac:dyDescent="0.3">
      <c r="A12609" s="34">
        <v>71758</v>
      </c>
      <c r="B12609" s="35">
        <v>1</v>
      </c>
      <c r="C12609" s="35">
        <v>0</v>
      </c>
      <c r="D12609" s="2">
        <f t="shared" si="196"/>
        <v>1</v>
      </c>
    </row>
    <row r="12610" spans="1:4" x14ac:dyDescent="0.3">
      <c r="A12610" s="34">
        <v>71759</v>
      </c>
      <c r="B12610" s="35">
        <v>1</v>
      </c>
      <c r="C12610" s="35">
        <v>0</v>
      </c>
      <c r="D12610" s="2">
        <f t="shared" si="196"/>
        <v>1</v>
      </c>
    </row>
    <row r="12611" spans="1:4" x14ac:dyDescent="0.3">
      <c r="A12611" s="34">
        <v>71765</v>
      </c>
      <c r="B12611" s="35">
        <v>1</v>
      </c>
      <c r="C12611" s="35">
        <v>1</v>
      </c>
      <c r="D12611" s="2">
        <f t="shared" ref="D12611:D12674" si="197">B12611+C12611</f>
        <v>2</v>
      </c>
    </row>
    <row r="12612" spans="1:4" x14ac:dyDescent="0.3">
      <c r="A12612" s="34">
        <v>71766</v>
      </c>
      <c r="B12612" s="35">
        <v>1</v>
      </c>
      <c r="C12612" s="35">
        <v>0</v>
      </c>
      <c r="D12612" s="2">
        <f t="shared" si="197"/>
        <v>1</v>
      </c>
    </row>
    <row r="12613" spans="1:4" x14ac:dyDescent="0.3">
      <c r="A12613" s="34">
        <v>71767</v>
      </c>
      <c r="B12613" s="35">
        <v>1</v>
      </c>
      <c r="C12613" s="35">
        <v>0</v>
      </c>
      <c r="D12613" s="2">
        <f t="shared" si="197"/>
        <v>1</v>
      </c>
    </row>
    <row r="12614" spans="1:4" x14ac:dyDescent="0.3">
      <c r="A12614" s="34">
        <v>71768</v>
      </c>
      <c r="B12614" s="35">
        <v>1</v>
      </c>
      <c r="C12614" s="35">
        <v>0</v>
      </c>
      <c r="D12614" s="2">
        <f t="shared" si="197"/>
        <v>1</v>
      </c>
    </row>
    <row r="12615" spans="1:4" x14ac:dyDescent="0.3">
      <c r="A12615" s="34">
        <v>71770</v>
      </c>
      <c r="B12615" s="35">
        <v>1</v>
      </c>
      <c r="C12615" s="35">
        <v>0</v>
      </c>
      <c r="D12615" s="2">
        <f t="shared" si="197"/>
        <v>1</v>
      </c>
    </row>
    <row r="12616" spans="1:4" x14ac:dyDescent="0.3">
      <c r="A12616" s="34">
        <v>71771</v>
      </c>
      <c r="B12616" s="35">
        <v>1</v>
      </c>
      <c r="C12616" s="35">
        <v>0</v>
      </c>
      <c r="D12616" s="2">
        <f t="shared" si="197"/>
        <v>1</v>
      </c>
    </row>
    <row r="12617" spans="1:4" x14ac:dyDescent="0.3">
      <c r="A12617" s="34">
        <v>71772</v>
      </c>
      <c r="B12617" s="35">
        <v>1</v>
      </c>
      <c r="C12617" s="35">
        <v>0</v>
      </c>
      <c r="D12617" s="2">
        <f t="shared" si="197"/>
        <v>1</v>
      </c>
    </row>
    <row r="12618" spans="1:4" x14ac:dyDescent="0.3">
      <c r="A12618" s="34">
        <v>71773</v>
      </c>
      <c r="B12618" s="35">
        <v>1</v>
      </c>
      <c r="C12618" s="35">
        <v>0</v>
      </c>
      <c r="D12618" s="2">
        <f t="shared" si="197"/>
        <v>1</v>
      </c>
    </row>
    <row r="12619" spans="1:4" x14ac:dyDescent="0.3">
      <c r="A12619" s="34">
        <v>71775</v>
      </c>
      <c r="B12619" s="35">
        <v>1</v>
      </c>
      <c r="C12619" s="35">
        <v>0</v>
      </c>
      <c r="D12619" s="2">
        <f t="shared" si="197"/>
        <v>1</v>
      </c>
    </row>
    <row r="12620" spans="1:4" x14ac:dyDescent="0.3">
      <c r="A12620" s="34">
        <v>71776</v>
      </c>
      <c r="B12620" s="35">
        <v>1</v>
      </c>
      <c r="C12620" s="35">
        <v>0</v>
      </c>
      <c r="D12620" s="2">
        <f t="shared" si="197"/>
        <v>1</v>
      </c>
    </row>
    <row r="12621" spans="1:4" x14ac:dyDescent="0.3">
      <c r="A12621" s="34">
        <v>71777</v>
      </c>
      <c r="B12621" s="35">
        <v>1</v>
      </c>
      <c r="C12621" s="35">
        <v>0</v>
      </c>
      <c r="D12621" s="2">
        <f t="shared" si="197"/>
        <v>1</v>
      </c>
    </row>
    <row r="12622" spans="1:4" x14ac:dyDescent="0.3">
      <c r="A12622" s="34">
        <v>71779</v>
      </c>
      <c r="B12622" s="35">
        <v>1</v>
      </c>
      <c r="C12622" s="35">
        <v>0</v>
      </c>
      <c r="D12622" s="2">
        <f t="shared" si="197"/>
        <v>1</v>
      </c>
    </row>
    <row r="12623" spans="1:4" x14ac:dyDescent="0.3">
      <c r="A12623" s="34">
        <v>71780</v>
      </c>
      <c r="B12623" s="35">
        <v>1</v>
      </c>
      <c r="C12623" s="35">
        <v>0</v>
      </c>
      <c r="D12623" s="2">
        <f t="shared" si="197"/>
        <v>1</v>
      </c>
    </row>
    <row r="12624" spans="1:4" x14ac:dyDescent="0.3">
      <c r="A12624" s="34">
        <v>71781</v>
      </c>
      <c r="B12624" s="35">
        <v>1</v>
      </c>
      <c r="C12624" s="35">
        <v>0</v>
      </c>
      <c r="D12624" s="2">
        <f t="shared" si="197"/>
        <v>1</v>
      </c>
    </row>
    <row r="12625" spans="1:4" x14ac:dyDescent="0.3">
      <c r="A12625" s="34">
        <v>71790</v>
      </c>
      <c r="B12625" s="35">
        <v>1</v>
      </c>
      <c r="C12625" s="35">
        <v>1</v>
      </c>
      <c r="D12625" s="2">
        <f t="shared" si="197"/>
        <v>2</v>
      </c>
    </row>
    <row r="12626" spans="1:4" x14ac:dyDescent="0.3">
      <c r="A12626" s="34">
        <v>71792</v>
      </c>
      <c r="B12626" s="35">
        <v>1</v>
      </c>
      <c r="C12626" s="35">
        <v>1</v>
      </c>
      <c r="D12626" s="2">
        <f t="shared" si="197"/>
        <v>2</v>
      </c>
    </row>
    <row r="12627" spans="1:4" x14ac:dyDescent="0.3">
      <c r="A12627" s="34">
        <v>71793</v>
      </c>
      <c r="B12627" s="35">
        <v>1</v>
      </c>
      <c r="C12627" s="35">
        <v>1</v>
      </c>
      <c r="D12627" s="2">
        <f t="shared" si="197"/>
        <v>2</v>
      </c>
    </row>
    <row r="12628" spans="1:4" x14ac:dyDescent="0.3">
      <c r="A12628" s="34">
        <v>71796</v>
      </c>
      <c r="B12628" s="35">
        <v>1</v>
      </c>
      <c r="C12628" s="35">
        <v>0</v>
      </c>
      <c r="D12628" s="2">
        <f t="shared" si="197"/>
        <v>1</v>
      </c>
    </row>
    <row r="12629" spans="1:4" x14ac:dyDescent="0.3">
      <c r="A12629" s="34">
        <v>71797</v>
      </c>
      <c r="B12629" s="35">
        <v>1</v>
      </c>
      <c r="C12629" s="35">
        <v>0</v>
      </c>
      <c r="D12629" s="2">
        <f t="shared" si="197"/>
        <v>1</v>
      </c>
    </row>
    <row r="12630" spans="1:4" x14ac:dyDescent="0.3">
      <c r="A12630" s="34">
        <v>71798</v>
      </c>
      <c r="B12630" s="35">
        <v>1</v>
      </c>
      <c r="C12630" s="35">
        <v>0</v>
      </c>
      <c r="D12630" s="2">
        <f t="shared" si="197"/>
        <v>1</v>
      </c>
    </row>
    <row r="12631" spans="1:4" x14ac:dyDescent="0.3">
      <c r="A12631" s="34">
        <v>71800</v>
      </c>
      <c r="B12631" s="35">
        <v>1</v>
      </c>
      <c r="C12631" s="35">
        <v>0</v>
      </c>
      <c r="D12631" s="2">
        <f t="shared" si="197"/>
        <v>1</v>
      </c>
    </row>
    <row r="12632" spans="1:4" x14ac:dyDescent="0.3">
      <c r="A12632" s="34">
        <v>71802</v>
      </c>
      <c r="B12632" s="35">
        <v>1</v>
      </c>
      <c r="C12632" s="35">
        <v>0</v>
      </c>
      <c r="D12632" s="2">
        <f t="shared" si="197"/>
        <v>1</v>
      </c>
    </row>
    <row r="12633" spans="1:4" x14ac:dyDescent="0.3">
      <c r="A12633" s="34">
        <v>71804</v>
      </c>
      <c r="B12633" s="35">
        <v>1</v>
      </c>
      <c r="C12633" s="35">
        <v>0</v>
      </c>
      <c r="D12633" s="2">
        <f t="shared" si="197"/>
        <v>1</v>
      </c>
    </row>
    <row r="12634" spans="1:4" x14ac:dyDescent="0.3">
      <c r="A12634" s="34">
        <v>71805</v>
      </c>
      <c r="B12634" s="35">
        <v>1</v>
      </c>
      <c r="C12634" s="35">
        <v>0</v>
      </c>
      <c r="D12634" s="2">
        <f t="shared" si="197"/>
        <v>1</v>
      </c>
    </row>
    <row r="12635" spans="1:4" x14ac:dyDescent="0.3">
      <c r="A12635" s="34">
        <v>71807</v>
      </c>
      <c r="B12635" s="35">
        <v>1</v>
      </c>
      <c r="C12635" s="35">
        <v>0</v>
      </c>
      <c r="D12635" s="2">
        <f t="shared" si="197"/>
        <v>1</v>
      </c>
    </row>
    <row r="12636" spans="1:4" x14ac:dyDescent="0.3">
      <c r="A12636" s="34">
        <v>71808</v>
      </c>
      <c r="B12636" s="35">
        <v>1</v>
      </c>
      <c r="C12636" s="35">
        <v>0</v>
      </c>
      <c r="D12636" s="2">
        <f t="shared" si="197"/>
        <v>1</v>
      </c>
    </row>
    <row r="12637" spans="1:4" x14ac:dyDescent="0.3">
      <c r="A12637" s="34">
        <v>71809</v>
      </c>
      <c r="B12637" s="35">
        <v>1</v>
      </c>
      <c r="C12637" s="35">
        <v>0</v>
      </c>
      <c r="D12637" s="2">
        <f t="shared" si="197"/>
        <v>1</v>
      </c>
    </row>
    <row r="12638" spans="1:4" x14ac:dyDescent="0.3">
      <c r="A12638" s="34">
        <v>71811</v>
      </c>
      <c r="B12638" s="35">
        <v>1</v>
      </c>
      <c r="C12638" s="35">
        <v>0</v>
      </c>
      <c r="D12638" s="2">
        <f t="shared" si="197"/>
        <v>1</v>
      </c>
    </row>
    <row r="12639" spans="1:4" x14ac:dyDescent="0.3">
      <c r="A12639" s="34">
        <v>71812</v>
      </c>
      <c r="B12639" s="35">
        <v>1</v>
      </c>
      <c r="C12639" s="35">
        <v>0</v>
      </c>
      <c r="D12639" s="2">
        <f t="shared" si="197"/>
        <v>1</v>
      </c>
    </row>
    <row r="12640" spans="1:4" x14ac:dyDescent="0.3">
      <c r="A12640" s="34">
        <v>71813</v>
      </c>
      <c r="B12640" s="35">
        <v>1</v>
      </c>
      <c r="C12640" s="35">
        <v>0</v>
      </c>
      <c r="D12640" s="2">
        <f t="shared" si="197"/>
        <v>1</v>
      </c>
    </row>
    <row r="12641" spans="1:4" x14ac:dyDescent="0.3">
      <c r="A12641" s="34">
        <v>71816</v>
      </c>
      <c r="B12641" s="35">
        <v>1</v>
      </c>
      <c r="C12641" s="35">
        <v>0</v>
      </c>
      <c r="D12641" s="2">
        <f t="shared" si="197"/>
        <v>1</v>
      </c>
    </row>
    <row r="12642" spans="1:4" x14ac:dyDescent="0.3">
      <c r="A12642" s="34">
        <v>71817</v>
      </c>
      <c r="B12642" s="35">
        <v>1</v>
      </c>
      <c r="C12642" s="35">
        <v>0</v>
      </c>
      <c r="D12642" s="2">
        <f t="shared" si="197"/>
        <v>1</v>
      </c>
    </row>
    <row r="12643" spans="1:4" x14ac:dyDescent="0.3">
      <c r="A12643" s="34">
        <v>71818</v>
      </c>
      <c r="B12643" s="35">
        <v>1</v>
      </c>
      <c r="C12643" s="35">
        <v>0</v>
      </c>
      <c r="D12643" s="2">
        <f t="shared" si="197"/>
        <v>1</v>
      </c>
    </row>
    <row r="12644" spans="1:4" x14ac:dyDescent="0.3">
      <c r="A12644" s="34">
        <v>71819</v>
      </c>
      <c r="B12644" s="35">
        <v>1</v>
      </c>
      <c r="C12644" s="35">
        <v>0</v>
      </c>
      <c r="D12644" s="2">
        <f t="shared" si="197"/>
        <v>1</v>
      </c>
    </row>
    <row r="12645" spans="1:4" x14ac:dyDescent="0.3">
      <c r="A12645" s="34">
        <v>71820</v>
      </c>
      <c r="B12645" s="35">
        <v>1</v>
      </c>
      <c r="C12645" s="35">
        <v>1</v>
      </c>
      <c r="D12645" s="2">
        <f t="shared" si="197"/>
        <v>2</v>
      </c>
    </row>
    <row r="12646" spans="1:4" x14ac:dyDescent="0.3">
      <c r="A12646" s="34">
        <v>71821</v>
      </c>
      <c r="B12646" s="35">
        <v>1</v>
      </c>
      <c r="C12646" s="35">
        <v>1</v>
      </c>
      <c r="D12646" s="2">
        <f t="shared" si="197"/>
        <v>2</v>
      </c>
    </row>
    <row r="12647" spans="1:4" x14ac:dyDescent="0.3">
      <c r="A12647" s="34">
        <v>71822</v>
      </c>
      <c r="B12647" s="35">
        <v>1</v>
      </c>
      <c r="C12647" s="35">
        <v>0</v>
      </c>
      <c r="D12647" s="2">
        <f t="shared" si="197"/>
        <v>1</v>
      </c>
    </row>
    <row r="12648" spans="1:4" x14ac:dyDescent="0.3">
      <c r="A12648" s="34">
        <v>71823</v>
      </c>
      <c r="B12648" s="35">
        <v>1</v>
      </c>
      <c r="C12648" s="35">
        <v>1</v>
      </c>
      <c r="D12648" s="2">
        <f t="shared" si="197"/>
        <v>2</v>
      </c>
    </row>
    <row r="12649" spans="1:4" x14ac:dyDescent="0.3">
      <c r="A12649" s="34">
        <v>71824</v>
      </c>
      <c r="B12649" s="35">
        <v>1</v>
      </c>
      <c r="C12649" s="35">
        <v>1</v>
      </c>
      <c r="D12649" s="2">
        <f t="shared" si="197"/>
        <v>2</v>
      </c>
    </row>
    <row r="12650" spans="1:4" x14ac:dyDescent="0.3">
      <c r="A12650" s="34">
        <v>71825</v>
      </c>
      <c r="B12650" s="35">
        <v>1</v>
      </c>
      <c r="C12650" s="35">
        <v>0</v>
      </c>
      <c r="D12650" s="2">
        <f t="shared" si="197"/>
        <v>1</v>
      </c>
    </row>
    <row r="12651" spans="1:4" x14ac:dyDescent="0.3">
      <c r="A12651" s="34">
        <v>71828</v>
      </c>
      <c r="B12651" s="35">
        <v>1</v>
      </c>
      <c r="C12651" s="35">
        <v>0</v>
      </c>
      <c r="D12651" s="2">
        <f t="shared" si="197"/>
        <v>1</v>
      </c>
    </row>
    <row r="12652" spans="1:4" x14ac:dyDescent="0.3">
      <c r="A12652" s="34">
        <v>71829</v>
      </c>
      <c r="B12652" s="35">
        <v>1</v>
      </c>
      <c r="C12652" s="35">
        <v>0</v>
      </c>
      <c r="D12652" s="2">
        <f t="shared" si="197"/>
        <v>1</v>
      </c>
    </row>
    <row r="12653" spans="1:4" x14ac:dyDescent="0.3">
      <c r="A12653" s="34">
        <v>71830</v>
      </c>
      <c r="B12653" s="35">
        <v>1</v>
      </c>
      <c r="C12653" s="35">
        <v>0</v>
      </c>
      <c r="D12653" s="2">
        <f t="shared" si="197"/>
        <v>1</v>
      </c>
    </row>
    <row r="12654" spans="1:4" x14ac:dyDescent="0.3">
      <c r="A12654" s="34">
        <v>71831</v>
      </c>
      <c r="B12654" s="35">
        <v>1</v>
      </c>
      <c r="C12654" s="35">
        <v>0</v>
      </c>
      <c r="D12654" s="2">
        <f t="shared" si="197"/>
        <v>1</v>
      </c>
    </row>
    <row r="12655" spans="1:4" x14ac:dyDescent="0.3">
      <c r="A12655" s="34">
        <v>71832</v>
      </c>
      <c r="B12655" s="35">
        <v>1</v>
      </c>
      <c r="C12655" s="35">
        <v>0</v>
      </c>
      <c r="D12655" s="2">
        <f t="shared" si="197"/>
        <v>1</v>
      </c>
    </row>
    <row r="12656" spans="1:4" x14ac:dyDescent="0.3">
      <c r="A12656" s="34">
        <v>71833</v>
      </c>
      <c r="B12656" s="35">
        <v>1</v>
      </c>
      <c r="C12656" s="35">
        <v>0</v>
      </c>
      <c r="D12656" s="2">
        <f t="shared" si="197"/>
        <v>1</v>
      </c>
    </row>
    <row r="12657" spans="1:4" x14ac:dyDescent="0.3">
      <c r="A12657" s="34">
        <v>71835</v>
      </c>
      <c r="B12657" s="35">
        <v>1</v>
      </c>
      <c r="C12657" s="35">
        <v>0</v>
      </c>
      <c r="D12657" s="2">
        <f t="shared" si="197"/>
        <v>1</v>
      </c>
    </row>
    <row r="12658" spans="1:4" x14ac:dyDescent="0.3">
      <c r="A12658" s="34">
        <v>71836</v>
      </c>
      <c r="B12658" s="35">
        <v>1</v>
      </c>
      <c r="C12658" s="35">
        <v>0</v>
      </c>
      <c r="D12658" s="2">
        <f t="shared" si="197"/>
        <v>1</v>
      </c>
    </row>
    <row r="12659" spans="1:4" x14ac:dyDescent="0.3">
      <c r="A12659" s="34">
        <v>71837</v>
      </c>
      <c r="B12659" s="35">
        <v>1</v>
      </c>
      <c r="C12659" s="35">
        <v>0</v>
      </c>
      <c r="D12659" s="2">
        <f t="shared" si="197"/>
        <v>1</v>
      </c>
    </row>
    <row r="12660" spans="1:4" x14ac:dyDescent="0.3">
      <c r="A12660" s="34">
        <v>71838</v>
      </c>
      <c r="B12660" s="35">
        <v>1</v>
      </c>
      <c r="C12660" s="35">
        <v>0</v>
      </c>
      <c r="D12660" s="2">
        <f t="shared" si="197"/>
        <v>1</v>
      </c>
    </row>
    <row r="12661" spans="1:4" x14ac:dyDescent="0.3">
      <c r="A12661" s="34">
        <v>71839</v>
      </c>
      <c r="B12661" s="35">
        <v>1</v>
      </c>
      <c r="C12661" s="35">
        <v>1</v>
      </c>
      <c r="D12661" s="2">
        <f t="shared" si="197"/>
        <v>2</v>
      </c>
    </row>
    <row r="12662" spans="1:4" x14ac:dyDescent="0.3">
      <c r="A12662" s="34">
        <v>71840</v>
      </c>
      <c r="B12662" s="35">
        <v>1</v>
      </c>
      <c r="C12662" s="35">
        <v>1</v>
      </c>
      <c r="D12662" s="2">
        <f t="shared" si="197"/>
        <v>2</v>
      </c>
    </row>
    <row r="12663" spans="1:4" x14ac:dyDescent="0.3">
      <c r="A12663" s="34">
        <v>71842</v>
      </c>
      <c r="B12663" s="35">
        <v>1</v>
      </c>
      <c r="C12663" s="35">
        <v>0</v>
      </c>
      <c r="D12663" s="2">
        <f t="shared" si="197"/>
        <v>1</v>
      </c>
    </row>
    <row r="12664" spans="1:4" x14ac:dyDescent="0.3">
      <c r="A12664" s="34">
        <v>71843</v>
      </c>
      <c r="B12664" s="35">
        <v>1</v>
      </c>
      <c r="C12664" s="35">
        <v>0</v>
      </c>
      <c r="D12664" s="2">
        <f t="shared" si="197"/>
        <v>1</v>
      </c>
    </row>
    <row r="12665" spans="1:4" x14ac:dyDescent="0.3">
      <c r="A12665" s="34">
        <v>71844</v>
      </c>
      <c r="B12665" s="35">
        <v>1</v>
      </c>
      <c r="C12665" s="35">
        <v>0</v>
      </c>
      <c r="D12665" s="2">
        <f t="shared" si="197"/>
        <v>1</v>
      </c>
    </row>
    <row r="12666" spans="1:4" x14ac:dyDescent="0.3">
      <c r="A12666" s="34">
        <v>71845</v>
      </c>
      <c r="B12666" s="35">
        <v>1</v>
      </c>
      <c r="C12666" s="35">
        <v>0</v>
      </c>
      <c r="D12666" s="2">
        <f t="shared" si="197"/>
        <v>1</v>
      </c>
    </row>
    <row r="12667" spans="1:4" x14ac:dyDescent="0.3">
      <c r="A12667" s="34">
        <v>71847</v>
      </c>
      <c r="B12667" s="35">
        <v>1</v>
      </c>
      <c r="C12667" s="35">
        <v>0</v>
      </c>
      <c r="D12667" s="2">
        <f t="shared" si="197"/>
        <v>1</v>
      </c>
    </row>
    <row r="12668" spans="1:4" x14ac:dyDescent="0.3">
      <c r="A12668" s="34">
        <v>71849</v>
      </c>
      <c r="B12668" s="35">
        <v>1</v>
      </c>
      <c r="C12668" s="35">
        <v>0</v>
      </c>
      <c r="D12668" s="2">
        <f t="shared" si="197"/>
        <v>1</v>
      </c>
    </row>
    <row r="12669" spans="1:4" x14ac:dyDescent="0.3">
      <c r="A12669" s="34">
        <v>71851</v>
      </c>
      <c r="B12669" s="35">
        <v>1</v>
      </c>
      <c r="C12669" s="35">
        <v>1</v>
      </c>
      <c r="D12669" s="2">
        <f t="shared" si="197"/>
        <v>2</v>
      </c>
    </row>
    <row r="12670" spans="1:4" x14ac:dyDescent="0.3">
      <c r="A12670" s="34">
        <v>71852</v>
      </c>
      <c r="B12670" s="35">
        <v>1</v>
      </c>
      <c r="C12670" s="35">
        <v>0</v>
      </c>
      <c r="D12670" s="2">
        <f t="shared" si="197"/>
        <v>1</v>
      </c>
    </row>
    <row r="12671" spans="1:4" x14ac:dyDescent="0.3">
      <c r="A12671" s="34">
        <v>71854</v>
      </c>
      <c r="B12671" s="35">
        <v>1</v>
      </c>
      <c r="C12671" s="35">
        <v>0</v>
      </c>
      <c r="D12671" s="2">
        <f t="shared" si="197"/>
        <v>1</v>
      </c>
    </row>
    <row r="12672" spans="1:4" x14ac:dyDescent="0.3">
      <c r="A12672" s="34">
        <v>71856</v>
      </c>
      <c r="B12672" s="35">
        <v>1</v>
      </c>
      <c r="C12672" s="35">
        <v>0</v>
      </c>
      <c r="D12672" s="2">
        <f t="shared" si="197"/>
        <v>1</v>
      </c>
    </row>
    <row r="12673" spans="1:4" x14ac:dyDescent="0.3">
      <c r="A12673" s="34">
        <v>71857</v>
      </c>
      <c r="B12673" s="35">
        <v>1</v>
      </c>
      <c r="C12673" s="35">
        <v>0</v>
      </c>
      <c r="D12673" s="2">
        <f t="shared" si="197"/>
        <v>1</v>
      </c>
    </row>
    <row r="12674" spans="1:4" x14ac:dyDescent="0.3">
      <c r="A12674" s="34">
        <v>71871</v>
      </c>
      <c r="B12674" s="35">
        <v>1</v>
      </c>
      <c r="C12674" s="35">
        <v>0</v>
      </c>
      <c r="D12674" s="2">
        <f t="shared" si="197"/>
        <v>1</v>
      </c>
    </row>
    <row r="12675" spans="1:4" x14ac:dyDescent="0.3">
      <c r="A12675" s="34">
        <v>71873</v>
      </c>
      <c r="B12675" s="35">
        <v>1</v>
      </c>
      <c r="C12675" s="35">
        <v>0</v>
      </c>
      <c r="D12675" s="2">
        <f t="shared" ref="D12675:D12738" si="198">B12675+C12675</f>
        <v>1</v>
      </c>
    </row>
    <row r="12676" spans="1:4" x14ac:dyDescent="0.3">
      <c r="A12676" s="34">
        <v>71875</v>
      </c>
      <c r="B12676" s="35">
        <v>1</v>
      </c>
      <c r="C12676" s="35">
        <v>0</v>
      </c>
      <c r="D12676" s="2">
        <f t="shared" si="198"/>
        <v>1</v>
      </c>
    </row>
    <row r="12677" spans="1:4" x14ac:dyDescent="0.3">
      <c r="A12677" s="34">
        <v>71877</v>
      </c>
      <c r="B12677" s="35">
        <v>1</v>
      </c>
      <c r="C12677" s="35">
        <v>0</v>
      </c>
      <c r="D12677" s="2">
        <f t="shared" si="198"/>
        <v>1</v>
      </c>
    </row>
    <row r="12678" spans="1:4" x14ac:dyDescent="0.3">
      <c r="A12678" s="34">
        <v>71878</v>
      </c>
      <c r="B12678" s="35">
        <v>1</v>
      </c>
      <c r="C12678" s="35">
        <v>0</v>
      </c>
      <c r="D12678" s="2">
        <f t="shared" si="198"/>
        <v>1</v>
      </c>
    </row>
    <row r="12679" spans="1:4" x14ac:dyDescent="0.3">
      <c r="A12679" s="34">
        <v>71881</v>
      </c>
      <c r="B12679" s="35">
        <v>1</v>
      </c>
      <c r="C12679" s="35">
        <v>0</v>
      </c>
      <c r="D12679" s="2">
        <f t="shared" si="198"/>
        <v>1</v>
      </c>
    </row>
    <row r="12680" spans="1:4" x14ac:dyDescent="0.3">
      <c r="A12680" s="34">
        <v>71882</v>
      </c>
      <c r="B12680" s="35">
        <v>1</v>
      </c>
      <c r="C12680" s="35">
        <v>0</v>
      </c>
      <c r="D12680" s="2">
        <f t="shared" si="198"/>
        <v>1</v>
      </c>
    </row>
    <row r="12681" spans="1:4" x14ac:dyDescent="0.3">
      <c r="A12681" s="34">
        <v>71888</v>
      </c>
      <c r="B12681" s="35">
        <v>1</v>
      </c>
      <c r="C12681" s="35">
        <v>0</v>
      </c>
      <c r="D12681" s="2">
        <f t="shared" si="198"/>
        <v>1</v>
      </c>
    </row>
    <row r="12682" spans="1:4" x14ac:dyDescent="0.3">
      <c r="A12682" s="34">
        <v>71891</v>
      </c>
      <c r="B12682" s="35">
        <v>1</v>
      </c>
      <c r="C12682" s="35">
        <v>0</v>
      </c>
      <c r="D12682" s="2">
        <f t="shared" si="198"/>
        <v>1</v>
      </c>
    </row>
    <row r="12683" spans="1:4" x14ac:dyDescent="0.3">
      <c r="A12683" s="34">
        <v>71892</v>
      </c>
      <c r="B12683" s="35">
        <v>1</v>
      </c>
      <c r="C12683" s="35">
        <v>0</v>
      </c>
      <c r="D12683" s="2">
        <f t="shared" si="198"/>
        <v>1</v>
      </c>
    </row>
    <row r="12684" spans="1:4" x14ac:dyDescent="0.3">
      <c r="A12684" s="34">
        <v>71895</v>
      </c>
      <c r="B12684" s="35">
        <v>1</v>
      </c>
      <c r="C12684" s="35">
        <v>0</v>
      </c>
      <c r="D12684" s="2">
        <f t="shared" si="198"/>
        <v>1</v>
      </c>
    </row>
    <row r="12685" spans="1:4" x14ac:dyDescent="0.3">
      <c r="A12685" s="34">
        <v>71896</v>
      </c>
      <c r="B12685" s="35">
        <v>1</v>
      </c>
      <c r="C12685" s="35">
        <v>0</v>
      </c>
      <c r="D12685" s="2">
        <f t="shared" si="198"/>
        <v>1</v>
      </c>
    </row>
    <row r="12686" spans="1:4" x14ac:dyDescent="0.3">
      <c r="A12686" s="34">
        <v>71899</v>
      </c>
      <c r="B12686" s="35">
        <v>1</v>
      </c>
      <c r="C12686" s="35">
        <v>0</v>
      </c>
      <c r="D12686" s="2">
        <f t="shared" si="198"/>
        <v>1</v>
      </c>
    </row>
    <row r="12687" spans="1:4" x14ac:dyDescent="0.3">
      <c r="A12687" s="34">
        <v>71900</v>
      </c>
      <c r="B12687" s="35">
        <v>1</v>
      </c>
      <c r="C12687" s="35">
        <v>0</v>
      </c>
      <c r="D12687" s="2">
        <f t="shared" si="198"/>
        <v>1</v>
      </c>
    </row>
    <row r="12688" spans="1:4" x14ac:dyDescent="0.3">
      <c r="A12688" s="34">
        <v>71902</v>
      </c>
      <c r="B12688" s="35">
        <v>1</v>
      </c>
      <c r="C12688" s="35">
        <v>0</v>
      </c>
      <c r="D12688" s="2">
        <f t="shared" si="198"/>
        <v>1</v>
      </c>
    </row>
    <row r="12689" spans="1:4" x14ac:dyDescent="0.3">
      <c r="A12689" s="34">
        <v>71904</v>
      </c>
      <c r="B12689" s="35">
        <v>1</v>
      </c>
      <c r="C12689" s="35">
        <v>0</v>
      </c>
      <c r="D12689" s="2">
        <f t="shared" si="198"/>
        <v>1</v>
      </c>
    </row>
    <row r="12690" spans="1:4" x14ac:dyDescent="0.3">
      <c r="A12690" s="34">
        <v>71905</v>
      </c>
      <c r="B12690" s="35">
        <v>1</v>
      </c>
      <c r="C12690" s="35">
        <v>0</v>
      </c>
      <c r="D12690" s="2">
        <f t="shared" si="198"/>
        <v>1</v>
      </c>
    </row>
    <row r="12691" spans="1:4" x14ac:dyDescent="0.3">
      <c r="A12691" s="34">
        <v>71906</v>
      </c>
      <c r="B12691" s="35">
        <v>1</v>
      </c>
      <c r="C12691" s="35">
        <v>0</v>
      </c>
      <c r="D12691" s="2">
        <f t="shared" si="198"/>
        <v>1</v>
      </c>
    </row>
    <row r="12692" spans="1:4" x14ac:dyDescent="0.3">
      <c r="A12692" s="34">
        <v>71908</v>
      </c>
      <c r="B12692" s="35">
        <v>1</v>
      </c>
      <c r="C12692" s="35">
        <v>1</v>
      </c>
      <c r="D12692" s="2">
        <f t="shared" si="198"/>
        <v>2</v>
      </c>
    </row>
    <row r="12693" spans="1:4" x14ac:dyDescent="0.3">
      <c r="A12693" s="34">
        <v>71909</v>
      </c>
      <c r="B12693" s="35">
        <v>1</v>
      </c>
      <c r="C12693" s="35">
        <v>1</v>
      </c>
      <c r="D12693" s="2">
        <f t="shared" si="198"/>
        <v>2</v>
      </c>
    </row>
    <row r="12694" spans="1:4" x14ac:dyDescent="0.3">
      <c r="A12694" s="34">
        <v>71912</v>
      </c>
      <c r="B12694" s="35">
        <v>1</v>
      </c>
      <c r="C12694" s="35">
        <v>1</v>
      </c>
      <c r="D12694" s="2">
        <f t="shared" si="198"/>
        <v>2</v>
      </c>
    </row>
    <row r="12695" spans="1:4" x14ac:dyDescent="0.3">
      <c r="A12695" s="34">
        <v>71915</v>
      </c>
      <c r="B12695" s="35">
        <v>1</v>
      </c>
      <c r="C12695" s="35">
        <v>0</v>
      </c>
      <c r="D12695" s="2">
        <f t="shared" si="198"/>
        <v>1</v>
      </c>
    </row>
    <row r="12696" spans="1:4" x14ac:dyDescent="0.3">
      <c r="A12696" s="34">
        <v>71920</v>
      </c>
      <c r="B12696" s="35">
        <v>1</v>
      </c>
      <c r="C12696" s="35">
        <v>0</v>
      </c>
      <c r="D12696" s="2">
        <f t="shared" si="198"/>
        <v>1</v>
      </c>
    </row>
    <row r="12697" spans="1:4" x14ac:dyDescent="0.3">
      <c r="A12697" s="34">
        <v>71923</v>
      </c>
      <c r="B12697" s="35">
        <v>1</v>
      </c>
      <c r="C12697" s="35">
        <v>0</v>
      </c>
      <c r="D12697" s="2">
        <f t="shared" si="198"/>
        <v>1</v>
      </c>
    </row>
    <row r="12698" spans="1:4" x14ac:dyDescent="0.3">
      <c r="A12698" s="34">
        <v>71924</v>
      </c>
      <c r="B12698" s="35">
        <v>1</v>
      </c>
      <c r="C12698" s="35">
        <v>0</v>
      </c>
      <c r="D12698" s="2">
        <f t="shared" si="198"/>
        <v>1</v>
      </c>
    </row>
    <row r="12699" spans="1:4" x14ac:dyDescent="0.3">
      <c r="A12699" s="34">
        <v>71927</v>
      </c>
      <c r="B12699" s="35">
        <v>1</v>
      </c>
      <c r="C12699" s="35">
        <v>0</v>
      </c>
      <c r="D12699" s="2">
        <f t="shared" si="198"/>
        <v>1</v>
      </c>
    </row>
    <row r="12700" spans="1:4" x14ac:dyDescent="0.3">
      <c r="A12700" s="34">
        <v>71928</v>
      </c>
      <c r="B12700" s="35">
        <v>1</v>
      </c>
      <c r="C12700" s="35">
        <v>0</v>
      </c>
      <c r="D12700" s="2">
        <f t="shared" si="198"/>
        <v>1</v>
      </c>
    </row>
    <row r="12701" spans="1:4" x14ac:dyDescent="0.3">
      <c r="A12701" s="34">
        <v>71929</v>
      </c>
      <c r="B12701" s="35">
        <v>1</v>
      </c>
      <c r="C12701" s="35">
        <v>0</v>
      </c>
      <c r="D12701" s="2">
        <f t="shared" si="198"/>
        <v>1</v>
      </c>
    </row>
    <row r="12702" spans="1:4" x14ac:dyDescent="0.3">
      <c r="A12702" s="34">
        <v>71943</v>
      </c>
      <c r="B12702" s="35">
        <v>1</v>
      </c>
      <c r="C12702" s="35">
        <v>0</v>
      </c>
      <c r="D12702" s="2">
        <f t="shared" si="198"/>
        <v>1</v>
      </c>
    </row>
    <row r="12703" spans="1:4" x14ac:dyDescent="0.3">
      <c r="A12703" s="34">
        <v>71945</v>
      </c>
      <c r="B12703" s="35">
        <v>1</v>
      </c>
      <c r="C12703" s="35">
        <v>0</v>
      </c>
      <c r="D12703" s="2">
        <f t="shared" si="198"/>
        <v>1</v>
      </c>
    </row>
    <row r="12704" spans="1:4" x14ac:dyDescent="0.3">
      <c r="A12704" s="34">
        <v>71948</v>
      </c>
      <c r="B12704" s="35">
        <v>1</v>
      </c>
      <c r="C12704" s="35">
        <v>0</v>
      </c>
      <c r="D12704" s="2">
        <f t="shared" si="198"/>
        <v>1</v>
      </c>
    </row>
    <row r="12705" spans="1:4" x14ac:dyDescent="0.3">
      <c r="A12705" s="34">
        <v>71955</v>
      </c>
      <c r="B12705" s="35">
        <v>1</v>
      </c>
      <c r="C12705" s="35">
        <v>0</v>
      </c>
      <c r="D12705" s="2">
        <f t="shared" si="198"/>
        <v>1</v>
      </c>
    </row>
    <row r="12706" spans="1:4" x14ac:dyDescent="0.3">
      <c r="A12706" s="34">
        <v>71956</v>
      </c>
      <c r="B12706" s="35">
        <v>1</v>
      </c>
      <c r="C12706" s="35">
        <v>0</v>
      </c>
      <c r="D12706" s="2">
        <f t="shared" si="198"/>
        <v>1</v>
      </c>
    </row>
    <row r="12707" spans="1:4" x14ac:dyDescent="0.3">
      <c r="A12707" s="34">
        <v>71961</v>
      </c>
      <c r="B12707" s="35">
        <v>1</v>
      </c>
      <c r="C12707" s="35">
        <v>0</v>
      </c>
      <c r="D12707" s="2">
        <f t="shared" si="198"/>
        <v>1</v>
      </c>
    </row>
    <row r="12708" spans="1:4" x14ac:dyDescent="0.3">
      <c r="A12708" s="34">
        <v>71962</v>
      </c>
      <c r="B12708" s="35">
        <v>1</v>
      </c>
      <c r="C12708" s="35">
        <v>0</v>
      </c>
      <c r="D12708" s="2">
        <f t="shared" si="198"/>
        <v>1</v>
      </c>
    </row>
    <row r="12709" spans="1:4" x14ac:dyDescent="0.3">
      <c r="A12709" s="34">
        <v>71964</v>
      </c>
      <c r="B12709" s="35">
        <v>1</v>
      </c>
      <c r="C12709" s="35">
        <v>0</v>
      </c>
      <c r="D12709" s="2">
        <f t="shared" si="198"/>
        <v>1</v>
      </c>
    </row>
    <row r="12710" spans="1:4" x14ac:dyDescent="0.3">
      <c r="A12710" s="34">
        <v>71965</v>
      </c>
      <c r="B12710" s="35">
        <v>1</v>
      </c>
      <c r="C12710" s="35">
        <v>0</v>
      </c>
      <c r="D12710" s="2">
        <f t="shared" si="198"/>
        <v>1</v>
      </c>
    </row>
    <row r="12711" spans="1:4" x14ac:dyDescent="0.3">
      <c r="A12711" s="34">
        <v>71966</v>
      </c>
      <c r="B12711" s="35">
        <v>1</v>
      </c>
      <c r="C12711" s="35">
        <v>1</v>
      </c>
      <c r="D12711" s="2">
        <f t="shared" si="198"/>
        <v>2</v>
      </c>
    </row>
    <row r="12712" spans="1:4" x14ac:dyDescent="0.3">
      <c r="A12712" s="34">
        <v>71968</v>
      </c>
      <c r="B12712" s="35">
        <v>1</v>
      </c>
      <c r="C12712" s="35">
        <v>0</v>
      </c>
      <c r="D12712" s="2">
        <f t="shared" si="198"/>
        <v>1</v>
      </c>
    </row>
    <row r="12713" spans="1:4" x14ac:dyDescent="0.3">
      <c r="A12713" s="34">
        <v>71969</v>
      </c>
      <c r="B12713" s="35">
        <v>1</v>
      </c>
      <c r="C12713" s="35">
        <v>0</v>
      </c>
      <c r="D12713" s="2">
        <f t="shared" si="198"/>
        <v>1</v>
      </c>
    </row>
    <row r="12714" spans="1:4" x14ac:dyDescent="0.3">
      <c r="A12714" s="34">
        <v>71970</v>
      </c>
      <c r="B12714" s="35">
        <v>1</v>
      </c>
      <c r="C12714" s="35">
        <v>0</v>
      </c>
      <c r="D12714" s="2">
        <f t="shared" si="198"/>
        <v>1</v>
      </c>
    </row>
    <row r="12715" spans="1:4" x14ac:dyDescent="0.3">
      <c r="A12715" s="34">
        <v>71971</v>
      </c>
      <c r="B12715" s="35">
        <v>1</v>
      </c>
      <c r="C12715" s="35">
        <v>0</v>
      </c>
      <c r="D12715" s="2">
        <f t="shared" si="198"/>
        <v>1</v>
      </c>
    </row>
    <row r="12716" spans="1:4" x14ac:dyDescent="0.3">
      <c r="A12716" s="34">
        <v>71972</v>
      </c>
      <c r="B12716" s="35">
        <v>1</v>
      </c>
      <c r="C12716" s="35">
        <v>0</v>
      </c>
      <c r="D12716" s="2">
        <f t="shared" si="198"/>
        <v>1</v>
      </c>
    </row>
    <row r="12717" spans="1:4" x14ac:dyDescent="0.3">
      <c r="A12717" s="34">
        <v>71973</v>
      </c>
      <c r="B12717" s="35">
        <v>1</v>
      </c>
      <c r="C12717" s="35">
        <v>0</v>
      </c>
      <c r="D12717" s="2">
        <f t="shared" si="198"/>
        <v>1</v>
      </c>
    </row>
    <row r="12718" spans="1:4" x14ac:dyDescent="0.3">
      <c r="A12718" s="34">
        <v>71975</v>
      </c>
      <c r="B12718" s="35">
        <v>1</v>
      </c>
      <c r="C12718" s="35">
        <v>0</v>
      </c>
      <c r="D12718" s="2">
        <f t="shared" si="198"/>
        <v>1</v>
      </c>
    </row>
    <row r="12719" spans="1:4" x14ac:dyDescent="0.3">
      <c r="A12719" s="34">
        <v>71976</v>
      </c>
      <c r="B12719" s="35">
        <v>1</v>
      </c>
      <c r="C12719" s="35">
        <v>0</v>
      </c>
      <c r="D12719" s="2">
        <f t="shared" si="198"/>
        <v>1</v>
      </c>
    </row>
    <row r="12720" spans="1:4" x14ac:dyDescent="0.3">
      <c r="A12720" s="34">
        <v>71977</v>
      </c>
      <c r="B12720" s="35">
        <v>1</v>
      </c>
      <c r="C12720" s="35">
        <v>0</v>
      </c>
      <c r="D12720" s="2">
        <f t="shared" si="198"/>
        <v>1</v>
      </c>
    </row>
    <row r="12721" spans="1:4" x14ac:dyDescent="0.3">
      <c r="A12721" s="34">
        <v>71981</v>
      </c>
      <c r="B12721" s="35">
        <v>1</v>
      </c>
      <c r="C12721" s="35">
        <v>0</v>
      </c>
      <c r="D12721" s="2">
        <f t="shared" si="198"/>
        <v>1</v>
      </c>
    </row>
    <row r="12722" spans="1:4" x14ac:dyDescent="0.3">
      <c r="A12722" s="34">
        <v>71984</v>
      </c>
      <c r="B12722" s="35">
        <v>1</v>
      </c>
      <c r="C12722" s="35">
        <v>1</v>
      </c>
      <c r="D12722" s="2">
        <f t="shared" si="198"/>
        <v>2</v>
      </c>
    </row>
    <row r="12723" spans="1:4" x14ac:dyDescent="0.3">
      <c r="A12723" s="34">
        <v>71986</v>
      </c>
      <c r="B12723" s="35">
        <v>1</v>
      </c>
      <c r="C12723" s="35">
        <v>0</v>
      </c>
      <c r="D12723" s="2">
        <f t="shared" si="198"/>
        <v>1</v>
      </c>
    </row>
    <row r="12724" spans="1:4" x14ac:dyDescent="0.3">
      <c r="A12724" s="34">
        <v>71987</v>
      </c>
      <c r="B12724" s="35">
        <v>1</v>
      </c>
      <c r="C12724" s="35">
        <v>1</v>
      </c>
      <c r="D12724" s="2">
        <f t="shared" si="198"/>
        <v>2</v>
      </c>
    </row>
    <row r="12725" spans="1:4" x14ac:dyDescent="0.3">
      <c r="A12725" s="34">
        <v>71988</v>
      </c>
      <c r="B12725" s="35">
        <v>1</v>
      </c>
      <c r="C12725" s="35">
        <v>0</v>
      </c>
      <c r="D12725" s="2">
        <f t="shared" si="198"/>
        <v>1</v>
      </c>
    </row>
    <row r="12726" spans="1:4" x14ac:dyDescent="0.3">
      <c r="A12726" s="34">
        <v>71998</v>
      </c>
      <c r="B12726" s="35">
        <v>1</v>
      </c>
      <c r="C12726" s="35">
        <v>0</v>
      </c>
      <c r="D12726" s="2">
        <f t="shared" si="198"/>
        <v>1</v>
      </c>
    </row>
    <row r="12727" spans="1:4" x14ac:dyDescent="0.3">
      <c r="A12727" s="34">
        <v>72000</v>
      </c>
      <c r="B12727" s="35">
        <v>1</v>
      </c>
      <c r="C12727" s="35">
        <v>0</v>
      </c>
      <c r="D12727" s="2">
        <f t="shared" si="198"/>
        <v>1</v>
      </c>
    </row>
    <row r="12728" spans="1:4" x14ac:dyDescent="0.3">
      <c r="A12728" s="34">
        <v>72002</v>
      </c>
      <c r="B12728" s="35">
        <v>1</v>
      </c>
      <c r="C12728" s="35">
        <v>0</v>
      </c>
      <c r="D12728" s="2">
        <f t="shared" si="198"/>
        <v>1</v>
      </c>
    </row>
    <row r="12729" spans="1:4" x14ac:dyDescent="0.3">
      <c r="A12729" s="34">
        <v>72005</v>
      </c>
      <c r="B12729" s="35">
        <v>1</v>
      </c>
      <c r="C12729" s="35">
        <v>1</v>
      </c>
      <c r="D12729" s="2">
        <f t="shared" si="198"/>
        <v>2</v>
      </c>
    </row>
    <row r="12730" spans="1:4" x14ac:dyDescent="0.3">
      <c r="A12730" s="34">
        <v>72006</v>
      </c>
      <c r="B12730" s="35">
        <v>1</v>
      </c>
      <c r="C12730" s="35">
        <v>0</v>
      </c>
      <c r="D12730" s="2">
        <f t="shared" si="198"/>
        <v>1</v>
      </c>
    </row>
    <row r="12731" spans="1:4" x14ac:dyDescent="0.3">
      <c r="A12731" s="34">
        <v>72012</v>
      </c>
      <c r="B12731" s="35">
        <v>1</v>
      </c>
      <c r="C12731" s="35">
        <v>0</v>
      </c>
      <c r="D12731" s="2">
        <f t="shared" si="198"/>
        <v>1</v>
      </c>
    </row>
    <row r="12732" spans="1:4" x14ac:dyDescent="0.3">
      <c r="A12732" s="34">
        <v>72013</v>
      </c>
      <c r="B12732" s="35">
        <v>1</v>
      </c>
      <c r="C12732" s="35">
        <v>0</v>
      </c>
      <c r="D12732" s="2">
        <f t="shared" si="198"/>
        <v>1</v>
      </c>
    </row>
    <row r="12733" spans="1:4" x14ac:dyDescent="0.3">
      <c r="A12733" s="34">
        <v>72018</v>
      </c>
      <c r="B12733" s="35">
        <v>1</v>
      </c>
      <c r="C12733" s="35">
        <v>0</v>
      </c>
      <c r="D12733" s="2">
        <f t="shared" si="198"/>
        <v>1</v>
      </c>
    </row>
    <row r="12734" spans="1:4" x14ac:dyDescent="0.3">
      <c r="A12734" s="34">
        <v>72019</v>
      </c>
      <c r="B12734" s="35">
        <v>1</v>
      </c>
      <c r="C12734" s="35">
        <v>0</v>
      </c>
      <c r="D12734" s="2">
        <f t="shared" si="198"/>
        <v>1</v>
      </c>
    </row>
    <row r="12735" spans="1:4" x14ac:dyDescent="0.3">
      <c r="A12735" s="34">
        <v>72022</v>
      </c>
      <c r="B12735" s="35">
        <v>1</v>
      </c>
      <c r="C12735" s="35">
        <v>0</v>
      </c>
      <c r="D12735" s="2">
        <f t="shared" si="198"/>
        <v>1</v>
      </c>
    </row>
    <row r="12736" spans="1:4" x14ac:dyDescent="0.3">
      <c r="A12736" s="34">
        <v>72025</v>
      </c>
      <c r="B12736" s="35">
        <v>1</v>
      </c>
      <c r="C12736" s="35">
        <v>0</v>
      </c>
      <c r="D12736" s="2">
        <f t="shared" si="198"/>
        <v>1</v>
      </c>
    </row>
    <row r="12737" spans="1:4" x14ac:dyDescent="0.3">
      <c r="A12737" s="34">
        <v>72029</v>
      </c>
      <c r="B12737" s="35">
        <v>1</v>
      </c>
      <c r="C12737" s="35">
        <v>0</v>
      </c>
      <c r="D12737" s="2">
        <f t="shared" si="198"/>
        <v>1</v>
      </c>
    </row>
    <row r="12738" spans="1:4" x14ac:dyDescent="0.3">
      <c r="A12738" s="34">
        <v>72032</v>
      </c>
      <c r="B12738" s="35">
        <v>1</v>
      </c>
      <c r="C12738" s="35">
        <v>0</v>
      </c>
      <c r="D12738" s="2">
        <f t="shared" si="198"/>
        <v>1</v>
      </c>
    </row>
    <row r="12739" spans="1:4" x14ac:dyDescent="0.3">
      <c r="A12739" s="34">
        <v>72034</v>
      </c>
      <c r="B12739" s="35">
        <v>1</v>
      </c>
      <c r="C12739" s="35">
        <v>0</v>
      </c>
      <c r="D12739" s="2">
        <f t="shared" ref="D12739:D12802" si="199">B12739+C12739</f>
        <v>1</v>
      </c>
    </row>
    <row r="12740" spans="1:4" x14ac:dyDescent="0.3">
      <c r="A12740" s="34">
        <v>72035</v>
      </c>
      <c r="B12740" s="35">
        <v>1</v>
      </c>
      <c r="C12740" s="35">
        <v>0</v>
      </c>
      <c r="D12740" s="2">
        <f t="shared" si="199"/>
        <v>1</v>
      </c>
    </row>
    <row r="12741" spans="1:4" x14ac:dyDescent="0.3">
      <c r="A12741" s="34">
        <v>72038</v>
      </c>
      <c r="B12741" s="35">
        <v>1</v>
      </c>
      <c r="C12741" s="35">
        <v>1</v>
      </c>
      <c r="D12741" s="2">
        <f t="shared" si="199"/>
        <v>2</v>
      </c>
    </row>
    <row r="12742" spans="1:4" x14ac:dyDescent="0.3">
      <c r="A12742" s="34">
        <v>72045</v>
      </c>
      <c r="B12742" s="35">
        <v>1</v>
      </c>
      <c r="C12742" s="35">
        <v>0</v>
      </c>
      <c r="D12742" s="2">
        <f t="shared" si="199"/>
        <v>1</v>
      </c>
    </row>
    <row r="12743" spans="1:4" x14ac:dyDescent="0.3">
      <c r="A12743" s="34">
        <v>72046</v>
      </c>
      <c r="B12743" s="35">
        <v>1</v>
      </c>
      <c r="C12743" s="35">
        <v>0</v>
      </c>
      <c r="D12743" s="2">
        <f t="shared" si="199"/>
        <v>1</v>
      </c>
    </row>
    <row r="12744" spans="1:4" x14ac:dyDescent="0.3">
      <c r="A12744" s="34">
        <v>72047</v>
      </c>
      <c r="B12744" s="35">
        <v>1</v>
      </c>
      <c r="C12744" s="35">
        <v>0</v>
      </c>
      <c r="D12744" s="2">
        <f t="shared" si="199"/>
        <v>1</v>
      </c>
    </row>
    <row r="12745" spans="1:4" x14ac:dyDescent="0.3">
      <c r="A12745" s="34">
        <v>72050</v>
      </c>
      <c r="B12745" s="35">
        <v>1</v>
      </c>
      <c r="C12745" s="35">
        <v>0</v>
      </c>
      <c r="D12745" s="2">
        <f t="shared" si="199"/>
        <v>1</v>
      </c>
    </row>
    <row r="12746" spans="1:4" x14ac:dyDescent="0.3">
      <c r="A12746" s="34">
        <v>72058</v>
      </c>
      <c r="B12746" s="35">
        <v>2</v>
      </c>
      <c r="C12746" s="35">
        <v>1</v>
      </c>
      <c r="D12746" s="2">
        <f t="shared" si="199"/>
        <v>3</v>
      </c>
    </row>
    <row r="12747" spans="1:4" x14ac:dyDescent="0.3">
      <c r="A12747" s="34">
        <v>72059</v>
      </c>
      <c r="B12747" s="35">
        <v>1</v>
      </c>
      <c r="C12747" s="35">
        <v>0</v>
      </c>
      <c r="D12747" s="2">
        <f t="shared" si="199"/>
        <v>1</v>
      </c>
    </row>
    <row r="12748" spans="1:4" x14ac:dyDescent="0.3">
      <c r="A12748" s="34">
        <v>72060</v>
      </c>
      <c r="B12748" s="35">
        <v>1</v>
      </c>
      <c r="C12748" s="35">
        <v>0</v>
      </c>
      <c r="D12748" s="2">
        <f t="shared" si="199"/>
        <v>1</v>
      </c>
    </row>
    <row r="12749" spans="1:4" x14ac:dyDescent="0.3">
      <c r="A12749" s="34">
        <v>72063</v>
      </c>
      <c r="B12749" s="35">
        <v>1</v>
      </c>
      <c r="C12749" s="35">
        <v>0</v>
      </c>
      <c r="D12749" s="2">
        <f t="shared" si="199"/>
        <v>1</v>
      </c>
    </row>
    <row r="12750" spans="1:4" x14ac:dyDescent="0.3">
      <c r="A12750" s="34">
        <v>72066</v>
      </c>
      <c r="B12750" s="35">
        <v>1</v>
      </c>
      <c r="C12750" s="35">
        <v>0</v>
      </c>
      <c r="D12750" s="2">
        <f t="shared" si="199"/>
        <v>1</v>
      </c>
    </row>
    <row r="12751" spans="1:4" x14ac:dyDescent="0.3">
      <c r="A12751" s="34">
        <v>72068</v>
      </c>
      <c r="B12751" s="35">
        <v>1</v>
      </c>
      <c r="C12751" s="35">
        <v>0</v>
      </c>
      <c r="D12751" s="2">
        <f t="shared" si="199"/>
        <v>1</v>
      </c>
    </row>
    <row r="12752" spans="1:4" x14ac:dyDescent="0.3">
      <c r="A12752" s="34">
        <v>72071</v>
      </c>
      <c r="B12752" s="35">
        <v>1</v>
      </c>
      <c r="C12752" s="35">
        <v>0</v>
      </c>
      <c r="D12752" s="2">
        <f t="shared" si="199"/>
        <v>1</v>
      </c>
    </row>
    <row r="12753" spans="1:4" x14ac:dyDescent="0.3">
      <c r="A12753" s="34">
        <v>72072</v>
      </c>
      <c r="B12753" s="35">
        <v>1</v>
      </c>
      <c r="C12753" s="35">
        <v>0</v>
      </c>
      <c r="D12753" s="2">
        <f t="shared" si="199"/>
        <v>1</v>
      </c>
    </row>
    <row r="12754" spans="1:4" x14ac:dyDescent="0.3">
      <c r="A12754" s="34">
        <v>72075</v>
      </c>
      <c r="B12754" s="35">
        <v>1</v>
      </c>
      <c r="C12754" s="35">
        <v>0</v>
      </c>
      <c r="D12754" s="2">
        <f t="shared" si="199"/>
        <v>1</v>
      </c>
    </row>
    <row r="12755" spans="1:4" x14ac:dyDescent="0.3">
      <c r="A12755" s="34">
        <v>72077</v>
      </c>
      <c r="B12755" s="35">
        <v>1</v>
      </c>
      <c r="C12755" s="35">
        <v>0</v>
      </c>
      <c r="D12755" s="2">
        <f t="shared" si="199"/>
        <v>1</v>
      </c>
    </row>
    <row r="12756" spans="1:4" x14ac:dyDescent="0.3">
      <c r="A12756" s="34">
        <v>72078</v>
      </c>
      <c r="B12756" s="35">
        <v>1</v>
      </c>
      <c r="C12756" s="35">
        <v>0</v>
      </c>
      <c r="D12756" s="2">
        <f t="shared" si="199"/>
        <v>1</v>
      </c>
    </row>
    <row r="12757" spans="1:4" x14ac:dyDescent="0.3">
      <c r="A12757" s="34">
        <v>72081</v>
      </c>
      <c r="B12757" s="35">
        <v>1</v>
      </c>
      <c r="C12757" s="35">
        <v>0</v>
      </c>
      <c r="D12757" s="2">
        <f t="shared" si="199"/>
        <v>1</v>
      </c>
    </row>
    <row r="12758" spans="1:4" x14ac:dyDescent="0.3">
      <c r="A12758" s="34">
        <v>72082</v>
      </c>
      <c r="B12758" s="35">
        <v>1</v>
      </c>
      <c r="C12758" s="35">
        <v>0</v>
      </c>
      <c r="D12758" s="2">
        <f t="shared" si="199"/>
        <v>1</v>
      </c>
    </row>
    <row r="12759" spans="1:4" x14ac:dyDescent="0.3">
      <c r="A12759" s="34">
        <v>72090</v>
      </c>
      <c r="B12759" s="35">
        <v>1</v>
      </c>
      <c r="C12759" s="35">
        <v>0</v>
      </c>
      <c r="D12759" s="2">
        <f t="shared" si="199"/>
        <v>1</v>
      </c>
    </row>
    <row r="12760" spans="1:4" x14ac:dyDescent="0.3">
      <c r="A12760" s="34">
        <v>72093</v>
      </c>
      <c r="B12760" s="35">
        <v>1</v>
      </c>
      <c r="C12760" s="35">
        <v>0</v>
      </c>
      <c r="D12760" s="2">
        <f t="shared" si="199"/>
        <v>1</v>
      </c>
    </row>
    <row r="12761" spans="1:4" x14ac:dyDescent="0.3">
      <c r="A12761" s="34">
        <v>72095</v>
      </c>
      <c r="B12761" s="35">
        <v>1</v>
      </c>
      <c r="C12761" s="35">
        <v>1</v>
      </c>
      <c r="D12761" s="2">
        <f t="shared" si="199"/>
        <v>2</v>
      </c>
    </row>
    <row r="12762" spans="1:4" x14ac:dyDescent="0.3">
      <c r="A12762" s="34">
        <v>72100</v>
      </c>
      <c r="B12762" s="35">
        <v>1</v>
      </c>
      <c r="C12762" s="35">
        <v>0</v>
      </c>
      <c r="D12762" s="2">
        <f t="shared" si="199"/>
        <v>1</v>
      </c>
    </row>
    <row r="12763" spans="1:4" x14ac:dyDescent="0.3">
      <c r="A12763" s="34">
        <v>72102</v>
      </c>
      <c r="B12763" s="35">
        <v>1</v>
      </c>
      <c r="C12763" s="35">
        <v>1</v>
      </c>
      <c r="D12763" s="2">
        <f t="shared" si="199"/>
        <v>2</v>
      </c>
    </row>
    <row r="12764" spans="1:4" x14ac:dyDescent="0.3">
      <c r="A12764" s="34">
        <v>72105</v>
      </c>
      <c r="B12764" s="35">
        <v>1</v>
      </c>
      <c r="C12764" s="35">
        <v>1</v>
      </c>
      <c r="D12764" s="2">
        <f t="shared" si="199"/>
        <v>2</v>
      </c>
    </row>
    <row r="12765" spans="1:4" x14ac:dyDescent="0.3">
      <c r="A12765" s="34">
        <v>72110</v>
      </c>
      <c r="B12765" s="35">
        <v>1</v>
      </c>
      <c r="C12765" s="35">
        <v>0</v>
      </c>
      <c r="D12765" s="2">
        <f t="shared" si="199"/>
        <v>1</v>
      </c>
    </row>
    <row r="12766" spans="1:4" x14ac:dyDescent="0.3">
      <c r="A12766" s="34">
        <v>72111</v>
      </c>
      <c r="B12766" s="35">
        <v>1</v>
      </c>
      <c r="C12766" s="35">
        <v>0</v>
      </c>
      <c r="D12766" s="2">
        <f t="shared" si="199"/>
        <v>1</v>
      </c>
    </row>
    <row r="12767" spans="1:4" x14ac:dyDescent="0.3">
      <c r="A12767" s="34">
        <v>72114</v>
      </c>
      <c r="B12767" s="35">
        <v>1</v>
      </c>
      <c r="C12767" s="35">
        <v>0</v>
      </c>
      <c r="D12767" s="2">
        <f t="shared" si="199"/>
        <v>1</v>
      </c>
    </row>
    <row r="12768" spans="1:4" x14ac:dyDescent="0.3">
      <c r="A12768" s="34">
        <v>72134</v>
      </c>
      <c r="B12768" s="35">
        <v>1</v>
      </c>
      <c r="C12768" s="35">
        <v>0</v>
      </c>
      <c r="D12768" s="2">
        <f t="shared" si="199"/>
        <v>1</v>
      </c>
    </row>
    <row r="12769" spans="1:4" x14ac:dyDescent="0.3">
      <c r="A12769" s="34">
        <v>72137</v>
      </c>
      <c r="B12769" s="35">
        <v>1</v>
      </c>
      <c r="C12769" s="35">
        <v>0</v>
      </c>
      <c r="D12769" s="2">
        <f t="shared" si="199"/>
        <v>1</v>
      </c>
    </row>
    <row r="12770" spans="1:4" x14ac:dyDescent="0.3">
      <c r="A12770" s="34">
        <v>72138</v>
      </c>
      <c r="B12770" s="35">
        <v>1</v>
      </c>
      <c r="C12770" s="35">
        <v>0</v>
      </c>
      <c r="D12770" s="2">
        <f t="shared" si="199"/>
        <v>1</v>
      </c>
    </row>
    <row r="12771" spans="1:4" x14ac:dyDescent="0.3">
      <c r="A12771" s="34">
        <v>72142</v>
      </c>
      <c r="B12771" s="35">
        <v>1</v>
      </c>
      <c r="C12771" s="35">
        <v>0</v>
      </c>
      <c r="D12771" s="2">
        <f t="shared" si="199"/>
        <v>1</v>
      </c>
    </row>
    <row r="12772" spans="1:4" x14ac:dyDescent="0.3">
      <c r="A12772" s="34">
        <v>72143</v>
      </c>
      <c r="B12772" s="35">
        <v>1</v>
      </c>
      <c r="C12772" s="35">
        <v>0</v>
      </c>
      <c r="D12772" s="2">
        <f t="shared" si="199"/>
        <v>1</v>
      </c>
    </row>
    <row r="12773" spans="1:4" x14ac:dyDescent="0.3">
      <c r="A12773" s="34">
        <v>72144</v>
      </c>
      <c r="B12773" s="35">
        <v>1</v>
      </c>
      <c r="C12773" s="35">
        <v>0</v>
      </c>
      <c r="D12773" s="2">
        <f t="shared" si="199"/>
        <v>1</v>
      </c>
    </row>
    <row r="12774" spans="1:4" x14ac:dyDescent="0.3">
      <c r="A12774" s="34">
        <v>72145</v>
      </c>
      <c r="B12774" s="35">
        <v>1</v>
      </c>
      <c r="C12774" s="35">
        <v>0</v>
      </c>
      <c r="D12774" s="2">
        <f t="shared" si="199"/>
        <v>1</v>
      </c>
    </row>
    <row r="12775" spans="1:4" x14ac:dyDescent="0.3">
      <c r="A12775" s="34">
        <v>72146</v>
      </c>
      <c r="B12775" s="35">
        <v>1</v>
      </c>
      <c r="C12775" s="35">
        <v>0</v>
      </c>
      <c r="D12775" s="2">
        <f t="shared" si="199"/>
        <v>1</v>
      </c>
    </row>
    <row r="12776" spans="1:4" x14ac:dyDescent="0.3">
      <c r="A12776" s="34">
        <v>72147</v>
      </c>
      <c r="B12776" s="35">
        <v>1</v>
      </c>
      <c r="C12776" s="35">
        <v>0</v>
      </c>
      <c r="D12776" s="2">
        <f t="shared" si="199"/>
        <v>1</v>
      </c>
    </row>
    <row r="12777" spans="1:4" x14ac:dyDescent="0.3">
      <c r="A12777" s="34">
        <v>72148</v>
      </c>
      <c r="B12777" s="35">
        <v>1</v>
      </c>
      <c r="C12777" s="35">
        <v>0</v>
      </c>
      <c r="D12777" s="2">
        <f t="shared" si="199"/>
        <v>1</v>
      </c>
    </row>
    <row r="12778" spans="1:4" x14ac:dyDescent="0.3">
      <c r="A12778" s="34">
        <v>72149</v>
      </c>
      <c r="B12778" s="35">
        <v>1</v>
      </c>
      <c r="C12778" s="35">
        <v>0</v>
      </c>
      <c r="D12778" s="2">
        <f t="shared" si="199"/>
        <v>1</v>
      </c>
    </row>
    <row r="12779" spans="1:4" x14ac:dyDescent="0.3">
      <c r="A12779" s="34">
        <v>72150</v>
      </c>
      <c r="B12779" s="35">
        <v>1</v>
      </c>
      <c r="C12779" s="35">
        <v>1</v>
      </c>
      <c r="D12779" s="2">
        <f t="shared" si="199"/>
        <v>2</v>
      </c>
    </row>
    <row r="12780" spans="1:4" x14ac:dyDescent="0.3">
      <c r="A12780" s="34">
        <v>72151</v>
      </c>
      <c r="B12780" s="35">
        <v>1</v>
      </c>
      <c r="C12780" s="35">
        <v>0</v>
      </c>
      <c r="D12780" s="2">
        <f t="shared" si="199"/>
        <v>1</v>
      </c>
    </row>
    <row r="12781" spans="1:4" x14ac:dyDescent="0.3">
      <c r="A12781" s="34">
        <v>72163</v>
      </c>
      <c r="B12781" s="35">
        <v>1</v>
      </c>
      <c r="C12781" s="35">
        <v>0</v>
      </c>
      <c r="D12781" s="2">
        <f t="shared" si="199"/>
        <v>1</v>
      </c>
    </row>
    <row r="12782" spans="1:4" x14ac:dyDescent="0.3">
      <c r="A12782" s="34">
        <v>72164</v>
      </c>
      <c r="B12782" s="35">
        <v>1</v>
      </c>
      <c r="C12782" s="35">
        <v>0</v>
      </c>
      <c r="D12782" s="2">
        <f t="shared" si="199"/>
        <v>1</v>
      </c>
    </row>
    <row r="12783" spans="1:4" x14ac:dyDescent="0.3">
      <c r="A12783" s="34">
        <v>72166</v>
      </c>
      <c r="B12783" s="35">
        <v>1</v>
      </c>
      <c r="C12783" s="35">
        <v>0</v>
      </c>
      <c r="D12783" s="2">
        <f t="shared" si="199"/>
        <v>1</v>
      </c>
    </row>
    <row r="12784" spans="1:4" x14ac:dyDescent="0.3">
      <c r="A12784" s="34">
        <v>72168</v>
      </c>
      <c r="B12784" s="35">
        <v>1</v>
      </c>
      <c r="C12784" s="35">
        <v>0</v>
      </c>
      <c r="D12784" s="2">
        <f t="shared" si="199"/>
        <v>1</v>
      </c>
    </row>
    <row r="12785" spans="1:4" x14ac:dyDescent="0.3">
      <c r="A12785" s="34">
        <v>72169</v>
      </c>
      <c r="B12785" s="35">
        <v>1</v>
      </c>
      <c r="C12785" s="35">
        <v>0</v>
      </c>
      <c r="D12785" s="2">
        <f t="shared" si="199"/>
        <v>1</v>
      </c>
    </row>
    <row r="12786" spans="1:4" x14ac:dyDescent="0.3">
      <c r="A12786" s="34">
        <v>72171</v>
      </c>
      <c r="B12786" s="35">
        <v>1</v>
      </c>
      <c r="C12786" s="35">
        <v>0</v>
      </c>
      <c r="D12786" s="2">
        <f t="shared" si="199"/>
        <v>1</v>
      </c>
    </row>
    <row r="12787" spans="1:4" x14ac:dyDescent="0.3">
      <c r="A12787" s="34">
        <v>72174</v>
      </c>
      <c r="B12787" s="35">
        <v>1</v>
      </c>
      <c r="C12787" s="35">
        <v>0</v>
      </c>
      <c r="D12787" s="2">
        <f t="shared" si="199"/>
        <v>1</v>
      </c>
    </row>
    <row r="12788" spans="1:4" x14ac:dyDescent="0.3">
      <c r="A12788" s="34">
        <v>72175</v>
      </c>
      <c r="B12788" s="35">
        <v>1</v>
      </c>
      <c r="C12788" s="35">
        <v>0</v>
      </c>
      <c r="D12788" s="2">
        <f t="shared" si="199"/>
        <v>1</v>
      </c>
    </row>
    <row r="12789" spans="1:4" x14ac:dyDescent="0.3">
      <c r="A12789" s="34">
        <v>72176</v>
      </c>
      <c r="B12789" s="35">
        <v>1</v>
      </c>
      <c r="C12789" s="35">
        <v>1</v>
      </c>
      <c r="D12789" s="2">
        <f t="shared" si="199"/>
        <v>2</v>
      </c>
    </row>
    <row r="12790" spans="1:4" x14ac:dyDescent="0.3">
      <c r="A12790" s="34">
        <v>72177</v>
      </c>
      <c r="B12790" s="35">
        <v>1</v>
      </c>
      <c r="C12790" s="35">
        <v>1</v>
      </c>
      <c r="D12790" s="2">
        <f t="shared" si="199"/>
        <v>2</v>
      </c>
    </row>
    <row r="12791" spans="1:4" x14ac:dyDescent="0.3">
      <c r="A12791" s="34">
        <v>72178</v>
      </c>
      <c r="B12791" s="35">
        <v>1</v>
      </c>
      <c r="C12791" s="35">
        <v>0</v>
      </c>
      <c r="D12791" s="2">
        <f t="shared" si="199"/>
        <v>1</v>
      </c>
    </row>
    <row r="12792" spans="1:4" x14ac:dyDescent="0.3">
      <c r="A12792" s="34">
        <v>72179</v>
      </c>
      <c r="B12792" s="35">
        <v>1</v>
      </c>
      <c r="C12792" s="35">
        <v>0</v>
      </c>
      <c r="D12792" s="2">
        <f t="shared" si="199"/>
        <v>1</v>
      </c>
    </row>
    <row r="12793" spans="1:4" x14ac:dyDescent="0.3">
      <c r="A12793" s="34">
        <v>72181</v>
      </c>
      <c r="B12793" s="35">
        <v>1</v>
      </c>
      <c r="C12793" s="35">
        <v>0</v>
      </c>
      <c r="D12793" s="2">
        <f t="shared" si="199"/>
        <v>1</v>
      </c>
    </row>
    <row r="12794" spans="1:4" x14ac:dyDescent="0.3">
      <c r="A12794" s="34">
        <v>72187</v>
      </c>
      <c r="B12794" s="35">
        <v>1</v>
      </c>
      <c r="C12794" s="35">
        <v>0</v>
      </c>
      <c r="D12794" s="2">
        <f t="shared" si="199"/>
        <v>1</v>
      </c>
    </row>
    <row r="12795" spans="1:4" x14ac:dyDescent="0.3">
      <c r="A12795" s="34">
        <v>72189</v>
      </c>
      <c r="B12795" s="35">
        <v>1</v>
      </c>
      <c r="C12795" s="35">
        <v>1</v>
      </c>
      <c r="D12795" s="2">
        <f t="shared" si="199"/>
        <v>2</v>
      </c>
    </row>
    <row r="12796" spans="1:4" x14ac:dyDescent="0.3">
      <c r="A12796" s="34">
        <v>72190</v>
      </c>
      <c r="B12796" s="35">
        <v>1</v>
      </c>
      <c r="C12796" s="35">
        <v>0</v>
      </c>
      <c r="D12796" s="2">
        <f t="shared" si="199"/>
        <v>1</v>
      </c>
    </row>
    <row r="12797" spans="1:4" x14ac:dyDescent="0.3">
      <c r="A12797" s="34">
        <v>72191</v>
      </c>
      <c r="B12797" s="35">
        <v>1</v>
      </c>
      <c r="C12797" s="35">
        <v>0</v>
      </c>
      <c r="D12797" s="2">
        <f t="shared" si="199"/>
        <v>1</v>
      </c>
    </row>
    <row r="12798" spans="1:4" x14ac:dyDescent="0.3">
      <c r="A12798" s="34">
        <v>72192</v>
      </c>
      <c r="B12798" s="35">
        <v>1</v>
      </c>
      <c r="C12798" s="35">
        <v>0</v>
      </c>
      <c r="D12798" s="2">
        <f t="shared" si="199"/>
        <v>1</v>
      </c>
    </row>
    <row r="12799" spans="1:4" x14ac:dyDescent="0.3">
      <c r="A12799" s="34">
        <v>72205</v>
      </c>
      <c r="B12799" s="35">
        <v>1</v>
      </c>
      <c r="C12799" s="35">
        <v>0</v>
      </c>
      <c r="D12799" s="2">
        <f t="shared" si="199"/>
        <v>1</v>
      </c>
    </row>
    <row r="12800" spans="1:4" x14ac:dyDescent="0.3">
      <c r="A12800" s="34">
        <v>72217</v>
      </c>
      <c r="B12800" s="35">
        <v>1</v>
      </c>
      <c r="C12800" s="35">
        <v>0</v>
      </c>
      <c r="D12800" s="2">
        <f t="shared" si="199"/>
        <v>1</v>
      </c>
    </row>
    <row r="12801" spans="1:4" x14ac:dyDescent="0.3">
      <c r="A12801" s="34">
        <v>72218</v>
      </c>
      <c r="B12801" s="35">
        <v>1</v>
      </c>
      <c r="C12801" s="35">
        <v>0</v>
      </c>
      <c r="D12801" s="2">
        <f t="shared" si="199"/>
        <v>1</v>
      </c>
    </row>
    <row r="12802" spans="1:4" x14ac:dyDescent="0.3">
      <c r="A12802" s="34">
        <v>72219</v>
      </c>
      <c r="B12802" s="35">
        <v>1</v>
      </c>
      <c r="C12802" s="35">
        <v>0</v>
      </c>
      <c r="D12802" s="2">
        <f t="shared" si="199"/>
        <v>1</v>
      </c>
    </row>
    <row r="12803" spans="1:4" x14ac:dyDescent="0.3">
      <c r="A12803" s="34">
        <v>72221</v>
      </c>
      <c r="B12803" s="35">
        <v>1</v>
      </c>
      <c r="C12803" s="35">
        <v>0</v>
      </c>
      <c r="D12803" s="2">
        <f t="shared" ref="D12803:D12866" si="200">B12803+C12803</f>
        <v>1</v>
      </c>
    </row>
    <row r="12804" spans="1:4" x14ac:dyDescent="0.3">
      <c r="A12804" s="34">
        <v>72225</v>
      </c>
      <c r="B12804" s="35">
        <v>1</v>
      </c>
      <c r="C12804" s="35">
        <v>0</v>
      </c>
      <c r="D12804" s="2">
        <f t="shared" si="200"/>
        <v>1</v>
      </c>
    </row>
    <row r="12805" spans="1:4" x14ac:dyDescent="0.3">
      <c r="A12805" s="34">
        <v>72228</v>
      </c>
      <c r="B12805" s="35">
        <v>1</v>
      </c>
      <c r="C12805" s="35">
        <v>0</v>
      </c>
      <c r="D12805" s="2">
        <f t="shared" si="200"/>
        <v>1</v>
      </c>
    </row>
    <row r="12806" spans="1:4" x14ac:dyDescent="0.3">
      <c r="A12806" s="34">
        <v>72229</v>
      </c>
      <c r="B12806" s="35">
        <v>1</v>
      </c>
      <c r="C12806" s="35">
        <v>0</v>
      </c>
      <c r="D12806" s="2">
        <f t="shared" si="200"/>
        <v>1</v>
      </c>
    </row>
    <row r="12807" spans="1:4" x14ac:dyDescent="0.3">
      <c r="A12807" s="34">
        <v>72231</v>
      </c>
      <c r="B12807" s="35">
        <v>1</v>
      </c>
      <c r="C12807" s="35">
        <v>0</v>
      </c>
      <c r="D12807" s="2">
        <f t="shared" si="200"/>
        <v>1</v>
      </c>
    </row>
    <row r="12808" spans="1:4" x14ac:dyDescent="0.3">
      <c r="A12808" s="34">
        <v>72235</v>
      </c>
      <c r="B12808" s="35">
        <v>1</v>
      </c>
      <c r="C12808" s="35">
        <v>0</v>
      </c>
      <c r="D12808" s="2">
        <f t="shared" si="200"/>
        <v>1</v>
      </c>
    </row>
    <row r="12809" spans="1:4" x14ac:dyDescent="0.3">
      <c r="A12809" s="34">
        <v>72237</v>
      </c>
      <c r="B12809" s="35">
        <v>1</v>
      </c>
      <c r="C12809" s="35">
        <v>0</v>
      </c>
      <c r="D12809" s="2">
        <f t="shared" si="200"/>
        <v>1</v>
      </c>
    </row>
    <row r="12810" spans="1:4" x14ac:dyDescent="0.3">
      <c r="A12810" s="34">
        <v>72238</v>
      </c>
      <c r="B12810" s="35">
        <v>1</v>
      </c>
      <c r="C12810" s="35">
        <v>0</v>
      </c>
      <c r="D12810" s="2">
        <f t="shared" si="200"/>
        <v>1</v>
      </c>
    </row>
    <row r="12811" spans="1:4" x14ac:dyDescent="0.3">
      <c r="A12811" s="34">
        <v>72239</v>
      </c>
      <c r="B12811" s="35">
        <v>1</v>
      </c>
      <c r="C12811" s="35">
        <v>0</v>
      </c>
      <c r="D12811" s="2">
        <f t="shared" si="200"/>
        <v>1</v>
      </c>
    </row>
    <row r="12812" spans="1:4" x14ac:dyDescent="0.3">
      <c r="A12812" s="34">
        <v>72240</v>
      </c>
      <c r="B12812" s="35">
        <v>1</v>
      </c>
      <c r="C12812" s="35">
        <v>0</v>
      </c>
      <c r="D12812" s="2">
        <f t="shared" si="200"/>
        <v>1</v>
      </c>
    </row>
    <row r="12813" spans="1:4" x14ac:dyDescent="0.3">
      <c r="A12813" s="34">
        <v>72246</v>
      </c>
      <c r="B12813" s="35">
        <v>1</v>
      </c>
      <c r="C12813" s="35">
        <v>0</v>
      </c>
      <c r="D12813" s="2">
        <f t="shared" si="200"/>
        <v>1</v>
      </c>
    </row>
    <row r="12814" spans="1:4" x14ac:dyDescent="0.3">
      <c r="A12814" s="34">
        <v>72248</v>
      </c>
      <c r="B12814" s="35">
        <v>1</v>
      </c>
      <c r="C12814" s="35">
        <v>0</v>
      </c>
      <c r="D12814" s="2">
        <f t="shared" si="200"/>
        <v>1</v>
      </c>
    </row>
    <row r="12815" spans="1:4" x14ac:dyDescent="0.3">
      <c r="A12815" s="34">
        <v>72249</v>
      </c>
      <c r="B12815" s="35">
        <v>1</v>
      </c>
      <c r="C12815" s="35">
        <v>0</v>
      </c>
      <c r="D12815" s="2">
        <f t="shared" si="200"/>
        <v>1</v>
      </c>
    </row>
    <row r="12816" spans="1:4" x14ac:dyDescent="0.3">
      <c r="A12816" s="34">
        <v>72250</v>
      </c>
      <c r="B12816" s="35">
        <v>1</v>
      </c>
      <c r="C12816" s="35">
        <v>0</v>
      </c>
      <c r="D12816" s="2">
        <f t="shared" si="200"/>
        <v>1</v>
      </c>
    </row>
    <row r="12817" spans="1:4" x14ac:dyDescent="0.3">
      <c r="A12817" s="34">
        <v>72252</v>
      </c>
      <c r="B12817" s="35">
        <v>1</v>
      </c>
      <c r="C12817" s="35">
        <v>0</v>
      </c>
      <c r="D12817" s="2">
        <f t="shared" si="200"/>
        <v>1</v>
      </c>
    </row>
    <row r="12818" spans="1:4" x14ac:dyDescent="0.3">
      <c r="A12818" s="34">
        <v>72253</v>
      </c>
      <c r="B12818" s="35">
        <v>1</v>
      </c>
      <c r="C12818" s="35">
        <v>0</v>
      </c>
      <c r="D12818" s="2">
        <f t="shared" si="200"/>
        <v>1</v>
      </c>
    </row>
    <row r="12819" spans="1:4" x14ac:dyDescent="0.3">
      <c r="A12819" s="34">
        <v>72254</v>
      </c>
      <c r="B12819" s="35">
        <v>1</v>
      </c>
      <c r="C12819" s="35">
        <v>0</v>
      </c>
      <c r="D12819" s="2">
        <f t="shared" si="200"/>
        <v>1</v>
      </c>
    </row>
    <row r="12820" spans="1:4" x14ac:dyDescent="0.3">
      <c r="A12820" s="34">
        <v>72255</v>
      </c>
      <c r="B12820" s="35">
        <v>1</v>
      </c>
      <c r="C12820" s="35">
        <v>0</v>
      </c>
      <c r="D12820" s="2">
        <f t="shared" si="200"/>
        <v>1</v>
      </c>
    </row>
    <row r="12821" spans="1:4" x14ac:dyDescent="0.3">
      <c r="A12821" s="34">
        <v>72256</v>
      </c>
      <c r="B12821" s="35">
        <v>1</v>
      </c>
      <c r="C12821" s="35">
        <v>0</v>
      </c>
      <c r="D12821" s="2">
        <f t="shared" si="200"/>
        <v>1</v>
      </c>
    </row>
    <row r="12822" spans="1:4" x14ac:dyDescent="0.3">
      <c r="A12822" s="34">
        <v>72257</v>
      </c>
      <c r="B12822" s="35">
        <v>1</v>
      </c>
      <c r="C12822" s="35">
        <v>0</v>
      </c>
      <c r="D12822" s="2">
        <f t="shared" si="200"/>
        <v>1</v>
      </c>
    </row>
    <row r="12823" spans="1:4" x14ac:dyDescent="0.3">
      <c r="A12823" s="34">
        <v>72259</v>
      </c>
      <c r="B12823" s="35">
        <v>1</v>
      </c>
      <c r="C12823" s="35">
        <v>0</v>
      </c>
      <c r="D12823" s="2">
        <f t="shared" si="200"/>
        <v>1</v>
      </c>
    </row>
    <row r="12824" spans="1:4" x14ac:dyDescent="0.3">
      <c r="A12824" s="34">
        <v>72260</v>
      </c>
      <c r="B12824" s="35">
        <v>1</v>
      </c>
      <c r="C12824" s="35">
        <v>0</v>
      </c>
      <c r="D12824" s="2">
        <f t="shared" si="200"/>
        <v>1</v>
      </c>
    </row>
    <row r="12825" spans="1:4" x14ac:dyDescent="0.3">
      <c r="A12825" s="34">
        <v>72263</v>
      </c>
      <c r="B12825" s="35">
        <v>1</v>
      </c>
      <c r="C12825" s="35">
        <v>0</v>
      </c>
      <c r="D12825" s="2">
        <f t="shared" si="200"/>
        <v>1</v>
      </c>
    </row>
    <row r="12826" spans="1:4" x14ac:dyDescent="0.3">
      <c r="A12826" s="34">
        <v>72264</v>
      </c>
      <c r="B12826" s="35">
        <v>1</v>
      </c>
      <c r="C12826" s="35">
        <v>0</v>
      </c>
      <c r="D12826" s="2">
        <f t="shared" si="200"/>
        <v>1</v>
      </c>
    </row>
    <row r="12827" spans="1:4" x14ac:dyDescent="0.3">
      <c r="A12827" s="34">
        <v>72266</v>
      </c>
      <c r="B12827" s="35">
        <v>1</v>
      </c>
      <c r="C12827" s="35">
        <v>0</v>
      </c>
      <c r="D12827" s="2">
        <f t="shared" si="200"/>
        <v>1</v>
      </c>
    </row>
    <row r="12828" spans="1:4" x14ac:dyDescent="0.3">
      <c r="A12828" s="34">
        <v>72268</v>
      </c>
      <c r="B12828" s="35">
        <v>1</v>
      </c>
      <c r="C12828" s="35">
        <v>0</v>
      </c>
      <c r="D12828" s="2">
        <f t="shared" si="200"/>
        <v>1</v>
      </c>
    </row>
    <row r="12829" spans="1:4" x14ac:dyDescent="0.3">
      <c r="A12829" s="34">
        <v>72269</v>
      </c>
      <c r="B12829" s="35">
        <v>1</v>
      </c>
      <c r="C12829" s="35">
        <v>1</v>
      </c>
      <c r="D12829" s="2">
        <f t="shared" si="200"/>
        <v>2</v>
      </c>
    </row>
    <row r="12830" spans="1:4" x14ac:dyDescent="0.3">
      <c r="A12830" s="34">
        <v>72271</v>
      </c>
      <c r="B12830" s="35">
        <v>1</v>
      </c>
      <c r="C12830" s="35">
        <v>0</v>
      </c>
      <c r="D12830" s="2">
        <f t="shared" si="200"/>
        <v>1</v>
      </c>
    </row>
    <row r="12831" spans="1:4" x14ac:dyDescent="0.3">
      <c r="A12831" s="34">
        <v>72272</v>
      </c>
      <c r="B12831" s="35">
        <v>1</v>
      </c>
      <c r="C12831" s="35">
        <v>0</v>
      </c>
      <c r="D12831" s="2">
        <f t="shared" si="200"/>
        <v>1</v>
      </c>
    </row>
    <row r="12832" spans="1:4" x14ac:dyDescent="0.3">
      <c r="A12832" s="34">
        <v>72273</v>
      </c>
      <c r="B12832" s="35">
        <v>1</v>
      </c>
      <c r="C12832" s="35">
        <v>0</v>
      </c>
      <c r="D12832" s="2">
        <f t="shared" si="200"/>
        <v>1</v>
      </c>
    </row>
    <row r="12833" spans="1:4" x14ac:dyDescent="0.3">
      <c r="A12833" s="34">
        <v>72275</v>
      </c>
      <c r="B12833" s="35">
        <v>1</v>
      </c>
      <c r="C12833" s="35">
        <v>0</v>
      </c>
      <c r="D12833" s="2">
        <f t="shared" si="200"/>
        <v>1</v>
      </c>
    </row>
    <row r="12834" spans="1:4" x14ac:dyDescent="0.3">
      <c r="A12834" s="34">
        <v>72277</v>
      </c>
      <c r="B12834" s="35">
        <v>1</v>
      </c>
      <c r="C12834" s="35">
        <v>0</v>
      </c>
      <c r="D12834" s="2">
        <f t="shared" si="200"/>
        <v>1</v>
      </c>
    </row>
    <row r="12835" spans="1:4" x14ac:dyDescent="0.3">
      <c r="A12835" s="34">
        <v>72280</v>
      </c>
      <c r="B12835" s="35">
        <v>1</v>
      </c>
      <c r="C12835" s="35">
        <v>0</v>
      </c>
      <c r="D12835" s="2">
        <f t="shared" si="200"/>
        <v>1</v>
      </c>
    </row>
    <row r="12836" spans="1:4" x14ac:dyDescent="0.3">
      <c r="A12836" s="34">
        <v>72283</v>
      </c>
      <c r="B12836" s="35">
        <v>1</v>
      </c>
      <c r="C12836" s="35">
        <v>0</v>
      </c>
      <c r="D12836" s="2">
        <f t="shared" si="200"/>
        <v>1</v>
      </c>
    </row>
    <row r="12837" spans="1:4" x14ac:dyDescent="0.3">
      <c r="A12837" s="34">
        <v>72284</v>
      </c>
      <c r="B12837" s="35">
        <v>1</v>
      </c>
      <c r="C12837" s="35">
        <v>0</v>
      </c>
      <c r="D12837" s="2">
        <f t="shared" si="200"/>
        <v>1</v>
      </c>
    </row>
    <row r="12838" spans="1:4" x14ac:dyDescent="0.3">
      <c r="A12838" s="34">
        <v>72285</v>
      </c>
      <c r="B12838" s="35">
        <v>1</v>
      </c>
      <c r="C12838" s="35">
        <v>0</v>
      </c>
      <c r="D12838" s="2">
        <f t="shared" si="200"/>
        <v>1</v>
      </c>
    </row>
    <row r="12839" spans="1:4" x14ac:dyDescent="0.3">
      <c r="A12839" s="34">
        <v>72286</v>
      </c>
      <c r="B12839" s="35">
        <v>1</v>
      </c>
      <c r="C12839" s="35">
        <v>0</v>
      </c>
      <c r="D12839" s="2">
        <f t="shared" si="200"/>
        <v>1</v>
      </c>
    </row>
    <row r="12840" spans="1:4" x14ac:dyDescent="0.3">
      <c r="A12840" s="34">
        <v>72287</v>
      </c>
      <c r="B12840" s="35">
        <v>1</v>
      </c>
      <c r="C12840" s="35">
        <v>0</v>
      </c>
      <c r="D12840" s="2">
        <f t="shared" si="200"/>
        <v>1</v>
      </c>
    </row>
    <row r="12841" spans="1:4" x14ac:dyDescent="0.3">
      <c r="A12841" s="34">
        <v>72288</v>
      </c>
      <c r="B12841" s="35">
        <v>1</v>
      </c>
      <c r="C12841" s="35">
        <v>0</v>
      </c>
      <c r="D12841" s="2">
        <f t="shared" si="200"/>
        <v>1</v>
      </c>
    </row>
    <row r="12842" spans="1:4" x14ac:dyDescent="0.3">
      <c r="A12842" s="34">
        <v>72289</v>
      </c>
      <c r="B12842" s="35">
        <v>1</v>
      </c>
      <c r="C12842" s="35">
        <v>0</v>
      </c>
      <c r="D12842" s="2">
        <f t="shared" si="200"/>
        <v>1</v>
      </c>
    </row>
    <row r="12843" spans="1:4" x14ac:dyDescent="0.3">
      <c r="A12843" s="34">
        <v>72295</v>
      </c>
      <c r="B12843" s="35">
        <v>1</v>
      </c>
      <c r="C12843" s="35">
        <v>0</v>
      </c>
      <c r="D12843" s="2">
        <f t="shared" si="200"/>
        <v>1</v>
      </c>
    </row>
    <row r="12844" spans="1:4" x14ac:dyDescent="0.3">
      <c r="A12844" s="34">
        <v>72297</v>
      </c>
      <c r="B12844" s="35">
        <v>1</v>
      </c>
      <c r="C12844" s="35">
        <v>0</v>
      </c>
      <c r="D12844" s="2">
        <f t="shared" si="200"/>
        <v>1</v>
      </c>
    </row>
    <row r="12845" spans="1:4" x14ac:dyDescent="0.3">
      <c r="A12845" s="34">
        <v>72298</v>
      </c>
      <c r="B12845" s="35">
        <v>1</v>
      </c>
      <c r="C12845" s="35">
        <v>0</v>
      </c>
      <c r="D12845" s="2">
        <f t="shared" si="200"/>
        <v>1</v>
      </c>
    </row>
    <row r="12846" spans="1:4" x14ac:dyDescent="0.3">
      <c r="A12846" s="34">
        <v>72299</v>
      </c>
      <c r="B12846" s="35">
        <v>1</v>
      </c>
      <c r="C12846" s="35">
        <v>0</v>
      </c>
      <c r="D12846" s="2">
        <f t="shared" si="200"/>
        <v>1</v>
      </c>
    </row>
    <row r="12847" spans="1:4" x14ac:dyDescent="0.3">
      <c r="A12847" s="34">
        <v>72300</v>
      </c>
      <c r="B12847" s="35">
        <v>1</v>
      </c>
      <c r="C12847" s="35">
        <v>0</v>
      </c>
      <c r="D12847" s="2">
        <f t="shared" si="200"/>
        <v>1</v>
      </c>
    </row>
    <row r="12848" spans="1:4" x14ac:dyDescent="0.3">
      <c r="A12848" s="34">
        <v>72301</v>
      </c>
      <c r="B12848" s="35">
        <v>1</v>
      </c>
      <c r="C12848" s="35">
        <v>1</v>
      </c>
      <c r="D12848" s="2">
        <f t="shared" si="200"/>
        <v>2</v>
      </c>
    </row>
    <row r="12849" spans="1:4" x14ac:dyDescent="0.3">
      <c r="A12849" s="34">
        <v>72304</v>
      </c>
      <c r="B12849" s="35">
        <v>1</v>
      </c>
      <c r="C12849" s="35">
        <v>0</v>
      </c>
      <c r="D12849" s="2">
        <f t="shared" si="200"/>
        <v>1</v>
      </c>
    </row>
    <row r="12850" spans="1:4" x14ac:dyDescent="0.3">
      <c r="A12850" s="34">
        <v>72305</v>
      </c>
      <c r="B12850" s="35">
        <v>1</v>
      </c>
      <c r="C12850" s="35">
        <v>0</v>
      </c>
      <c r="D12850" s="2">
        <f t="shared" si="200"/>
        <v>1</v>
      </c>
    </row>
    <row r="12851" spans="1:4" x14ac:dyDescent="0.3">
      <c r="A12851" s="34">
        <v>72306</v>
      </c>
      <c r="B12851" s="35">
        <v>1</v>
      </c>
      <c r="C12851" s="35">
        <v>1</v>
      </c>
      <c r="D12851" s="2">
        <f t="shared" si="200"/>
        <v>2</v>
      </c>
    </row>
    <row r="12852" spans="1:4" x14ac:dyDescent="0.3">
      <c r="A12852" s="34">
        <v>72308</v>
      </c>
      <c r="B12852" s="35">
        <v>1</v>
      </c>
      <c r="C12852" s="35">
        <v>0</v>
      </c>
      <c r="D12852" s="2">
        <f t="shared" si="200"/>
        <v>1</v>
      </c>
    </row>
    <row r="12853" spans="1:4" x14ac:dyDescent="0.3">
      <c r="A12853" s="34">
        <v>72309</v>
      </c>
      <c r="B12853" s="35">
        <v>1</v>
      </c>
      <c r="C12853" s="35">
        <v>0</v>
      </c>
      <c r="D12853" s="2">
        <f t="shared" si="200"/>
        <v>1</v>
      </c>
    </row>
    <row r="12854" spans="1:4" x14ac:dyDescent="0.3">
      <c r="A12854" s="34">
        <v>72313</v>
      </c>
      <c r="B12854" s="35">
        <v>1</v>
      </c>
      <c r="C12854" s="35">
        <v>1</v>
      </c>
      <c r="D12854" s="2">
        <f t="shared" si="200"/>
        <v>2</v>
      </c>
    </row>
    <row r="12855" spans="1:4" x14ac:dyDescent="0.3">
      <c r="A12855" s="34">
        <v>72314</v>
      </c>
      <c r="B12855" s="35">
        <v>1</v>
      </c>
      <c r="C12855" s="35">
        <v>0</v>
      </c>
      <c r="D12855" s="2">
        <f t="shared" si="200"/>
        <v>1</v>
      </c>
    </row>
    <row r="12856" spans="1:4" x14ac:dyDescent="0.3">
      <c r="A12856" s="34">
        <v>72316</v>
      </c>
      <c r="B12856" s="35">
        <v>1</v>
      </c>
      <c r="C12856" s="35">
        <v>1</v>
      </c>
      <c r="D12856" s="2">
        <f t="shared" si="200"/>
        <v>2</v>
      </c>
    </row>
    <row r="12857" spans="1:4" x14ac:dyDescent="0.3">
      <c r="A12857" s="34">
        <v>72319</v>
      </c>
      <c r="B12857" s="35">
        <v>1</v>
      </c>
      <c r="C12857" s="35">
        <v>0</v>
      </c>
      <c r="D12857" s="2">
        <f t="shared" si="200"/>
        <v>1</v>
      </c>
    </row>
    <row r="12858" spans="1:4" x14ac:dyDescent="0.3">
      <c r="A12858" s="34">
        <v>72320</v>
      </c>
      <c r="B12858" s="35">
        <v>1</v>
      </c>
      <c r="C12858" s="35">
        <v>0</v>
      </c>
      <c r="D12858" s="2">
        <f t="shared" si="200"/>
        <v>1</v>
      </c>
    </row>
    <row r="12859" spans="1:4" x14ac:dyDescent="0.3">
      <c r="A12859" s="34">
        <v>72322</v>
      </c>
      <c r="B12859" s="35">
        <v>1</v>
      </c>
      <c r="C12859" s="35">
        <v>0</v>
      </c>
      <c r="D12859" s="2">
        <f t="shared" si="200"/>
        <v>1</v>
      </c>
    </row>
    <row r="12860" spans="1:4" x14ac:dyDescent="0.3">
      <c r="A12860" s="34">
        <v>72323</v>
      </c>
      <c r="B12860" s="35">
        <v>1</v>
      </c>
      <c r="C12860" s="35">
        <v>1</v>
      </c>
      <c r="D12860" s="2">
        <f t="shared" si="200"/>
        <v>2</v>
      </c>
    </row>
    <row r="12861" spans="1:4" x14ac:dyDescent="0.3">
      <c r="A12861" s="34">
        <v>72324</v>
      </c>
      <c r="B12861" s="35">
        <v>1</v>
      </c>
      <c r="C12861" s="35">
        <v>0</v>
      </c>
      <c r="D12861" s="2">
        <f t="shared" si="200"/>
        <v>1</v>
      </c>
    </row>
    <row r="12862" spans="1:4" x14ac:dyDescent="0.3">
      <c r="A12862" s="34">
        <v>72325</v>
      </c>
      <c r="B12862" s="35">
        <v>1</v>
      </c>
      <c r="C12862" s="35">
        <v>0</v>
      </c>
      <c r="D12862" s="2">
        <f t="shared" si="200"/>
        <v>1</v>
      </c>
    </row>
    <row r="12863" spans="1:4" x14ac:dyDescent="0.3">
      <c r="A12863" s="34">
        <v>72326</v>
      </c>
      <c r="B12863" s="35">
        <v>1</v>
      </c>
      <c r="C12863" s="35">
        <v>0</v>
      </c>
      <c r="D12863" s="2">
        <f t="shared" si="200"/>
        <v>1</v>
      </c>
    </row>
    <row r="12864" spans="1:4" x14ac:dyDescent="0.3">
      <c r="A12864" s="34">
        <v>72329</v>
      </c>
      <c r="B12864" s="35">
        <v>1</v>
      </c>
      <c r="C12864" s="35">
        <v>0</v>
      </c>
      <c r="D12864" s="2">
        <f t="shared" si="200"/>
        <v>1</v>
      </c>
    </row>
    <row r="12865" spans="1:4" x14ac:dyDescent="0.3">
      <c r="A12865" s="34">
        <v>72330</v>
      </c>
      <c r="B12865" s="35">
        <v>1</v>
      </c>
      <c r="C12865" s="35">
        <v>0</v>
      </c>
      <c r="D12865" s="2">
        <f t="shared" si="200"/>
        <v>1</v>
      </c>
    </row>
    <row r="12866" spans="1:4" x14ac:dyDescent="0.3">
      <c r="A12866" s="34">
        <v>72331</v>
      </c>
      <c r="B12866" s="35">
        <v>1</v>
      </c>
      <c r="C12866" s="35">
        <v>1</v>
      </c>
      <c r="D12866" s="2">
        <f t="shared" si="200"/>
        <v>2</v>
      </c>
    </row>
    <row r="12867" spans="1:4" x14ac:dyDescent="0.3">
      <c r="A12867" s="34">
        <v>72332</v>
      </c>
      <c r="B12867" s="35">
        <v>1</v>
      </c>
      <c r="C12867" s="35">
        <v>0</v>
      </c>
      <c r="D12867" s="2">
        <f t="shared" ref="D12867:D12930" si="201">B12867+C12867</f>
        <v>1</v>
      </c>
    </row>
    <row r="12868" spans="1:4" x14ac:dyDescent="0.3">
      <c r="A12868" s="34">
        <v>72333</v>
      </c>
      <c r="B12868" s="35">
        <v>1</v>
      </c>
      <c r="C12868" s="35">
        <v>0</v>
      </c>
      <c r="D12868" s="2">
        <f t="shared" si="201"/>
        <v>1</v>
      </c>
    </row>
    <row r="12869" spans="1:4" x14ac:dyDescent="0.3">
      <c r="A12869" s="34">
        <v>72343</v>
      </c>
      <c r="B12869" s="35">
        <v>1</v>
      </c>
      <c r="C12869" s="35">
        <v>0</v>
      </c>
      <c r="D12869" s="2">
        <f t="shared" si="201"/>
        <v>1</v>
      </c>
    </row>
    <row r="12870" spans="1:4" x14ac:dyDescent="0.3">
      <c r="A12870" s="34">
        <v>72344</v>
      </c>
      <c r="B12870" s="35">
        <v>1</v>
      </c>
      <c r="C12870" s="35">
        <v>0</v>
      </c>
      <c r="D12870" s="2">
        <f t="shared" si="201"/>
        <v>1</v>
      </c>
    </row>
    <row r="12871" spans="1:4" x14ac:dyDescent="0.3">
      <c r="A12871" s="34">
        <v>72345</v>
      </c>
      <c r="B12871" s="35">
        <v>1</v>
      </c>
      <c r="C12871" s="35">
        <v>0</v>
      </c>
      <c r="D12871" s="2">
        <f t="shared" si="201"/>
        <v>1</v>
      </c>
    </row>
    <row r="12872" spans="1:4" x14ac:dyDescent="0.3">
      <c r="A12872" s="34">
        <v>72450</v>
      </c>
      <c r="B12872" s="35">
        <v>1</v>
      </c>
      <c r="C12872" s="35">
        <v>0</v>
      </c>
      <c r="D12872" s="2">
        <f t="shared" si="201"/>
        <v>1</v>
      </c>
    </row>
    <row r="12873" spans="1:4" x14ac:dyDescent="0.3">
      <c r="A12873" s="34">
        <v>72452</v>
      </c>
      <c r="B12873" s="35">
        <v>1</v>
      </c>
      <c r="C12873" s="35">
        <v>0</v>
      </c>
      <c r="D12873" s="2">
        <f t="shared" si="201"/>
        <v>1</v>
      </c>
    </row>
    <row r="12874" spans="1:4" x14ac:dyDescent="0.3">
      <c r="A12874" s="34">
        <v>72455</v>
      </c>
      <c r="B12874" s="35">
        <v>1</v>
      </c>
      <c r="C12874" s="35">
        <v>0</v>
      </c>
      <c r="D12874" s="2">
        <f t="shared" si="201"/>
        <v>1</v>
      </c>
    </row>
    <row r="12875" spans="1:4" x14ac:dyDescent="0.3">
      <c r="A12875" s="34">
        <v>72457</v>
      </c>
      <c r="B12875" s="35">
        <v>1</v>
      </c>
      <c r="C12875" s="35">
        <v>0</v>
      </c>
      <c r="D12875" s="2">
        <f t="shared" si="201"/>
        <v>1</v>
      </c>
    </row>
    <row r="12876" spans="1:4" x14ac:dyDescent="0.3">
      <c r="A12876" s="34">
        <v>72458</v>
      </c>
      <c r="B12876" s="35">
        <v>1</v>
      </c>
      <c r="C12876" s="35">
        <v>0</v>
      </c>
      <c r="D12876" s="2">
        <f t="shared" si="201"/>
        <v>1</v>
      </c>
    </row>
    <row r="12877" spans="1:4" x14ac:dyDescent="0.3">
      <c r="A12877" s="34">
        <v>72460</v>
      </c>
      <c r="B12877" s="35">
        <v>1</v>
      </c>
      <c r="C12877" s="35">
        <v>0</v>
      </c>
      <c r="D12877" s="2">
        <f t="shared" si="201"/>
        <v>1</v>
      </c>
    </row>
    <row r="12878" spans="1:4" x14ac:dyDescent="0.3">
      <c r="A12878" s="34">
        <v>72462</v>
      </c>
      <c r="B12878" s="35">
        <v>1</v>
      </c>
      <c r="C12878" s="35">
        <v>0</v>
      </c>
      <c r="D12878" s="2">
        <f t="shared" si="201"/>
        <v>1</v>
      </c>
    </row>
    <row r="12879" spans="1:4" x14ac:dyDescent="0.3">
      <c r="A12879" s="34">
        <v>72467</v>
      </c>
      <c r="B12879" s="35">
        <v>1</v>
      </c>
      <c r="C12879" s="35">
        <v>0</v>
      </c>
      <c r="D12879" s="2">
        <f t="shared" si="201"/>
        <v>1</v>
      </c>
    </row>
    <row r="12880" spans="1:4" x14ac:dyDescent="0.3">
      <c r="A12880" s="34">
        <v>72469</v>
      </c>
      <c r="B12880" s="35">
        <v>1</v>
      </c>
      <c r="C12880" s="35">
        <v>0</v>
      </c>
      <c r="D12880" s="2">
        <f t="shared" si="201"/>
        <v>1</v>
      </c>
    </row>
    <row r="12881" spans="1:4" x14ac:dyDescent="0.3">
      <c r="A12881" s="34">
        <v>72470</v>
      </c>
      <c r="B12881" s="35">
        <v>1</v>
      </c>
      <c r="C12881" s="35">
        <v>0</v>
      </c>
      <c r="D12881" s="2">
        <f t="shared" si="201"/>
        <v>1</v>
      </c>
    </row>
    <row r="12882" spans="1:4" x14ac:dyDescent="0.3">
      <c r="A12882" s="34">
        <v>72472</v>
      </c>
      <c r="B12882" s="35">
        <v>1</v>
      </c>
      <c r="C12882" s="35">
        <v>1</v>
      </c>
      <c r="D12882" s="2">
        <f t="shared" si="201"/>
        <v>2</v>
      </c>
    </row>
    <row r="12883" spans="1:4" x14ac:dyDescent="0.3">
      <c r="A12883" s="34">
        <v>72474</v>
      </c>
      <c r="B12883" s="35">
        <v>1</v>
      </c>
      <c r="C12883" s="35">
        <v>0</v>
      </c>
      <c r="D12883" s="2">
        <f t="shared" si="201"/>
        <v>1</v>
      </c>
    </row>
    <row r="12884" spans="1:4" x14ac:dyDescent="0.3">
      <c r="A12884" s="34">
        <v>72475</v>
      </c>
      <c r="B12884" s="35">
        <v>1</v>
      </c>
      <c r="C12884" s="35">
        <v>0</v>
      </c>
      <c r="D12884" s="2">
        <f t="shared" si="201"/>
        <v>1</v>
      </c>
    </row>
    <row r="12885" spans="1:4" x14ac:dyDescent="0.3">
      <c r="A12885" s="34">
        <v>72477</v>
      </c>
      <c r="B12885" s="35">
        <v>1</v>
      </c>
      <c r="C12885" s="35">
        <v>0</v>
      </c>
      <c r="D12885" s="2">
        <f t="shared" si="201"/>
        <v>1</v>
      </c>
    </row>
    <row r="12886" spans="1:4" x14ac:dyDescent="0.3">
      <c r="A12886" s="34">
        <v>72480</v>
      </c>
      <c r="B12886" s="35">
        <v>1</v>
      </c>
      <c r="C12886" s="35">
        <v>0</v>
      </c>
      <c r="D12886" s="2">
        <f t="shared" si="201"/>
        <v>1</v>
      </c>
    </row>
    <row r="12887" spans="1:4" x14ac:dyDescent="0.3">
      <c r="A12887" s="34">
        <v>72481</v>
      </c>
      <c r="B12887" s="35">
        <v>1</v>
      </c>
      <c r="C12887" s="35">
        <v>1</v>
      </c>
      <c r="D12887" s="2">
        <f t="shared" si="201"/>
        <v>2</v>
      </c>
    </row>
    <row r="12888" spans="1:4" x14ac:dyDescent="0.3">
      <c r="A12888" s="34">
        <v>72482</v>
      </c>
      <c r="B12888" s="35">
        <v>1</v>
      </c>
      <c r="C12888" s="35">
        <v>1</v>
      </c>
      <c r="D12888" s="2">
        <f t="shared" si="201"/>
        <v>2</v>
      </c>
    </row>
    <row r="12889" spans="1:4" x14ac:dyDescent="0.3">
      <c r="A12889" s="34">
        <v>72489</v>
      </c>
      <c r="B12889" s="35">
        <v>1</v>
      </c>
      <c r="C12889" s="35">
        <v>0</v>
      </c>
      <c r="D12889" s="2">
        <f t="shared" si="201"/>
        <v>1</v>
      </c>
    </row>
    <row r="12890" spans="1:4" x14ac:dyDescent="0.3">
      <c r="A12890" s="34">
        <v>72490</v>
      </c>
      <c r="B12890" s="35">
        <v>1</v>
      </c>
      <c r="C12890" s="35">
        <v>0</v>
      </c>
      <c r="D12890" s="2">
        <f t="shared" si="201"/>
        <v>1</v>
      </c>
    </row>
    <row r="12891" spans="1:4" x14ac:dyDescent="0.3">
      <c r="A12891" s="34">
        <v>72492</v>
      </c>
      <c r="B12891" s="35">
        <v>1</v>
      </c>
      <c r="C12891" s="35">
        <v>0</v>
      </c>
      <c r="D12891" s="2">
        <f t="shared" si="201"/>
        <v>1</v>
      </c>
    </row>
    <row r="12892" spans="1:4" x14ac:dyDescent="0.3">
      <c r="A12892" s="34">
        <v>72493</v>
      </c>
      <c r="B12892" s="35">
        <v>1</v>
      </c>
      <c r="C12892" s="35">
        <v>1</v>
      </c>
      <c r="D12892" s="2">
        <f t="shared" si="201"/>
        <v>2</v>
      </c>
    </row>
    <row r="12893" spans="1:4" x14ac:dyDescent="0.3">
      <c r="A12893" s="34">
        <v>72494</v>
      </c>
      <c r="B12893" s="35">
        <v>1</v>
      </c>
      <c r="C12893" s="35">
        <v>0</v>
      </c>
      <c r="D12893" s="2">
        <f t="shared" si="201"/>
        <v>1</v>
      </c>
    </row>
    <row r="12894" spans="1:4" x14ac:dyDescent="0.3">
      <c r="A12894" s="34">
        <v>72497</v>
      </c>
      <c r="B12894" s="35">
        <v>1</v>
      </c>
      <c r="C12894" s="35">
        <v>0</v>
      </c>
      <c r="D12894" s="2">
        <f t="shared" si="201"/>
        <v>1</v>
      </c>
    </row>
    <row r="12895" spans="1:4" x14ac:dyDescent="0.3">
      <c r="A12895" s="34">
        <v>72501</v>
      </c>
      <c r="B12895" s="35">
        <v>1</v>
      </c>
      <c r="C12895" s="35">
        <v>0</v>
      </c>
      <c r="D12895" s="2">
        <f t="shared" si="201"/>
        <v>1</v>
      </c>
    </row>
    <row r="12896" spans="1:4" x14ac:dyDescent="0.3">
      <c r="A12896" s="34">
        <v>72503</v>
      </c>
      <c r="B12896" s="35">
        <v>1</v>
      </c>
      <c r="C12896" s="35">
        <v>0</v>
      </c>
      <c r="D12896" s="2">
        <f t="shared" si="201"/>
        <v>1</v>
      </c>
    </row>
    <row r="12897" spans="1:4" x14ac:dyDescent="0.3">
      <c r="A12897" s="34">
        <v>72504</v>
      </c>
      <c r="B12897" s="35">
        <v>1</v>
      </c>
      <c r="C12897" s="35">
        <v>0</v>
      </c>
      <c r="D12897" s="2">
        <f t="shared" si="201"/>
        <v>1</v>
      </c>
    </row>
    <row r="12898" spans="1:4" x14ac:dyDescent="0.3">
      <c r="A12898" s="34">
        <v>72505</v>
      </c>
      <c r="B12898" s="35">
        <v>2</v>
      </c>
      <c r="C12898" s="35">
        <v>0</v>
      </c>
      <c r="D12898" s="2">
        <f t="shared" si="201"/>
        <v>2</v>
      </c>
    </row>
    <row r="12899" spans="1:4" x14ac:dyDescent="0.3">
      <c r="A12899" s="34">
        <v>72506</v>
      </c>
      <c r="B12899" s="35">
        <v>1</v>
      </c>
      <c r="C12899" s="35">
        <v>0</v>
      </c>
      <c r="D12899" s="2">
        <f t="shared" si="201"/>
        <v>1</v>
      </c>
    </row>
    <row r="12900" spans="1:4" x14ac:dyDescent="0.3">
      <c r="A12900" s="34">
        <v>72513</v>
      </c>
      <c r="B12900" s="35">
        <v>1</v>
      </c>
      <c r="C12900" s="35">
        <v>0</v>
      </c>
      <c r="D12900" s="2">
        <f t="shared" si="201"/>
        <v>1</v>
      </c>
    </row>
    <row r="12901" spans="1:4" x14ac:dyDescent="0.3">
      <c r="A12901" s="34">
        <v>72515</v>
      </c>
      <c r="B12901" s="35">
        <v>1</v>
      </c>
      <c r="C12901" s="35">
        <v>0</v>
      </c>
      <c r="D12901" s="2">
        <f t="shared" si="201"/>
        <v>1</v>
      </c>
    </row>
    <row r="12902" spans="1:4" x14ac:dyDescent="0.3">
      <c r="A12902" s="34">
        <v>72516</v>
      </c>
      <c r="B12902" s="35">
        <v>1</v>
      </c>
      <c r="C12902" s="35">
        <v>0</v>
      </c>
      <c r="D12902" s="2">
        <f t="shared" si="201"/>
        <v>1</v>
      </c>
    </row>
    <row r="12903" spans="1:4" x14ac:dyDescent="0.3">
      <c r="A12903" s="34">
        <v>72517</v>
      </c>
      <c r="B12903" s="35">
        <v>1</v>
      </c>
      <c r="C12903" s="35">
        <v>0</v>
      </c>
      <c r="D12903" s="2">
        <f t="shared" si="201"/>
        <v>1</v>
      </c>
    </row>
    <row r="12904" spans="1:4" x14ac:dyDescent="0.3">
      <c r="A12904" s="34">
        <v>72518</v>
      </c>
      <c r="B12904" s="35">
        <v>1</v>
      </c>
      <c r="C12904" s="35">
        <v>0</v>
      </c>
      <c r="D12904" s="2">
        <f t="shared" si="201"/>
        <v>1</v>
      </c>
    </row>
    <row r="12905" spans="1:4" x14ac:dyDescent="0.3">
      <c r="A12905" s="34">
        <v>72520</v>
      </c>
      <c r="B12905" s="35">
        <v>1</v>
      </c>
      <c r="C12905" s="35">
        <v>0</v>
      </c>
      <c r="D12905" s="2">
        <f t="shared" si="201"/>
        <v>1</v>
      </c>
    </row>
    <row r="12906" spans="1:4" x14ac:dyDescent="0.3">
      <c r="A12906" s="34">
        <v>72522</v>
      </c>
      <c r="B12906" s="35">
        <v>1</v>
      </c>
      <c r="C12906" s="35">
        <v>0</v>
      </c>
      <c r="D12906" s="2">
        <f t="shared" si="201"/>
        <v>1</v>
      </c>
    </row>
    <row r="12907" spans="1:4" x14ac:dyDescent="0.3">
      <c r="A12907" s="34">
        <v>72523</v>
      </c>
      <c r="B12907" s="35">
        <v>1</v>
      </c>
      <c r="C12907" s="35">
        <v>0</v>
      </c>
      <c r="D12907" s="2">
        <f t="shared" si="201"/>
        <v>1</v>
      </c>
    </row>
    <row r="12908" spans="1:4" x14ac:dyDescent="0.3">
      <c r="A12908" s="34">
        <v>72528</v>
      </c>
      <c r="B12908" s="35">
        <v>1</v>
      </c>
      <c r="C12908" s="35">
        <v>0</v>
      </c>
      <c r="D12908" s="2">
        <f t="shared" si="201"/>
        <v>1</v>
      </c>
    </row>
    <row r="12909" spans="1:4" x14ac:dyDescent="0.3">
      <c r="A12909" s="34">
        <v>72531</v>
      </c>
      <c r="B12909" s="35">
        <v>1</v>
      </c>
      <c r="C12909" s="35">
        <v>0</v>
      </c>
      <c r="D12909" s="2">
        <f t="shared" si="201"/>
        <v>1</v>
      </c>
    </row>
    <row r="12910" spans="1:4" x14ac:dyDescent="0.3">
      <c r="A12910" s="34">
        <v>72532</v>
      </c>
      <c r="B12910" s="35">
        <v>1</v>
      </c>
      <c r="C12910" s="35">
        <v>0</v>
      </c>
      <c r="D12910" s="2">
        <f t="shared" si="201"/>
        <v>1</v>
      </c>
    </row>
    <row r="12911" spans="1:4" x14ac:dyDescent="0.3">
      <c r="A12911" s="34">
        <v>72539</v>
      </c>
      <c r="B12911" s="35">
        <v>1</v>
      </c>
      <c r="C12911" s="35">
        <v>1</v>
      </c>
      <c r="D12911" s="2">
        <f t="shared" si="201"/>
        <v>2</v>
      </c>
    </row>
    <row r="12912" spans="1:4" x14ac:dyDescent="0.3">
      <c r="A12912" s="34">
        <v>72541</v>
      </c>
      <c r="B12912" s="35">
        <v>1</v>
      </c>
      <c r="C12912" s="35">
        <v>0</v>
      </c>
      <c r="D12912" s="2">
        <f t="shared" si="201"/>
        <v>1</v>
      </c>
    </row>
    <row r="12913" spans="1:4" x14ac:dyDescent="0.3">
      <c r="A12913" s="34">
        <v>72542</v>
      </c>
      <c r="B12913" s="35">
        <v>1</v>
      </c>
      <c r="C12913" s="35">
        <v>0</v>
      </c>
      <c r="D12913" s="2">
        <f t="shared" si="201"/>
        <v>1</v>
      </c>
    </row>
    <row r="12914" spans="1:4" x14ac:dyDescent="0.3">
      <c r="A12914" s="34">
        <v>72543</v>
      </c>
      <c r="B12914" s="35">
        <v>1</v>
      </c>
      <c r="C12914" s="35">
        <v>0</v>
      </c>
      <c r="D12914" s="2">
        <f t="shared" si="201"/>
        <v>1</v>
      </c>
    </row>
    <row r="12915" spans="1:4" x14ac:dyDescent="0.3">
      <c r="A12915" s="34">
        <v>72544</v>
      </c>
      <c r="B12915" s="35">
        <v>1</v>
      </c>
      <c r="C12915" s="35">
        <v>0</v>
      </c>
      <c r="D12915" s="2">
        <f t="shared" si="201"/>
        <v>1</v>
      </c>
    </row>
    <row r="12916" spans="1:4" x14ac:dyDescent="0.3">
      <c r="A12916" s="34">
        <v>72545</v>
      </c>
      <c r="B12916" s="35">
        <v>2</v>
      </c>
      <c r="C12916" s="35">
        <v>0</v>
      </c>
      <c r="D12916" s="2">
        <f t="shared" si="201"/>
        <v>2</v>
      </c>
    </row>
    <row r="12917" spans="1:4" x14ac:dyDescent="0.3">
      <c r="A12917" s="34">
        <v>72553</v>
      </c>
      <c r="B12917" s="35">
        <v>1</v>
      </c>
      <c r="C12917" s="35">
        <v>0</v>
      </c>
      <c r="D12917" s="2">
        <f t="shared" si="201"/>
        <v>1</v>
      </c>
    </row>
    <row r="12918" spans="1:4" x14ac:dyDescent="0.3">
      <c r="A12918" s="34">
        <v>72556</v>
      </c>
      <c r="B12918" s="35">
        <v>1</v>
      </c>
      <c r="C12918" s="35">
        <v>0</v>
      </c>
      <c r="D12918" s="2">
        <f t="shared" si="201"/>
        <v>1</v>
      </c>
    </row>
    <row r="12919" spans="1:4" x14ac:dyDescent="0.3">
      <c r="A12919" s="34">
        <v>72560</v>
      </c>
      <c r="B12919" s="35">
        <v>1</v>
      </c>
      <c r="C12919" s="35">
        <v>1</v>
      </c>
      <c r="D12919" s="2">
        <f t="shared" si="201"/>
        <v>2</v>
      </c>
    </row>
    <row r="12920" spans="1:4" x14ac:dyDescent="0.3">
      <c r="A12920" s="34">
        <v>72566</v>
      </c>
      <c r="B12920" s="35">
        <v>2</v>
      </c>
      <c r="C12920" s="35">
        <v>0</v>
      </c>
      <c r="D12920" s="2">
        <f t="shared" si="201"/>
        <v>2</v>
      </c>
    </row>
    <row r="12921" spans="1:4" x14ac:dyDescent="0.3">
      <c r="A12921" s="34">
        <v>72567</v>
      </c>
      <c r="B12921" s="35">
        <v>1</v>
      </c>
      <c r="C12921" s="35">
        <v>0</v>
      </c>
      <c r="D12921" s="2">
        <f t="shared" si="201"/>
        <v>1</v>
      </c>
    </row>
    <row r="12922" spans="1:4" x14ac:dyDescent="0.3">
      <c r="A12922" s="34">
        <v>72568</v>
      </c>
      <c r="B12922" s="35">
        <v>1</v>
      </c>
      <c r="C12922" s="35">
        <v>0</v>
      </c>
      <c r="D12922" s="2">
        <f t="shared" si="201"/>
        <v>1</v>
      </c>
    </row>
    <row r="12923" spans="1:4" x14ac:dyDescent="0.3">
      <c r="A12923" s="34">
        <v>72569</v>
      </c>
      <c r="B12923" s="35">
        <v>1</v>
      </c>
      <c r="C12923" s="35">
        <v>0</v>
      </c>
      <c r="D12923" s="2">
        <f t="shared" si="201"/>
        <v>1</v>
      </c>
    </row>
    <row r="12924" spans="1:4" x14ac:dyDescent="0.3">
      <c r="A12924" s="34">
        <v>72570</v>
      </c>
      <c r="B12924" s="35">
        <v>1</v>
      </c>
      <c r="C12924" s="35">
        <v>0</v>
      </c>
      <c r="D12924" s="2">
        <f t="shared" si="201"/>
        <v>1</v>
      </c>
    </row>
    <row r="12925" spans="1:4" x14ac:dyDescent="0.3">
      <c r="A12925" s="34">
        <v>72571</v>
      </c>
      <c r="B12925" s="35">
        <v>1</v>
      </c>
      <c r="C12925" s="35">
        <v>0</v>
      </c>
      <c r="D12925" s="2">
        <f t="shared" si="201"/>
        <v>1</v>
      </c>
    </row>
    <row r="12926" spans="1:4" x14ac:dyDescent="0.3">
      <c r="A12926" s="34">
        <v>72572</v>
      </c>
      <c r="B12926" s="35">
        <v>1</v>
      </c>
      <c r="C12926" s="35">
        <v>0</v>
      </c>
      <c r="D12926" s="2">
        <f t="shared" si="201"/>
        <v>1</v>
      </c>
    </row>
    <row r="12927" spans="1:4" x14ac:dyDescent="0.3">
      <c r="A12927" s="34">
        <v>72573</v>
      </c>
      <c r="B12927" s="35">
        <v>1</v>
      </c>
      <c r="C12927" s="35">
        <v>1</v>
      </c>
      <c r="D12927" s="2">
        <f t="shared" si="201"/>
        <v>2</v>
      </c>
    </row>
    <row r="12928" spans="1:4" x14ac:dyDescent="0.3">
      <c r="A12928" s="34">
        <v>72575</v>
      </c>
      <c r="B12928" s="35">
        <v>2</v>
      </c>
      <c r="C12928" s="35">
        <v>1</v>
      </c>
      <c r="D12928" s="2">
        <f t="shared" si="201"/>
        <v>3</v>
      </c>
    </row>
    <row r="12929" spans="1:4" x14ac:dyDescent="0.3">
      <c r="A12929" s="34">
        <v>72576</v>
      </c>
      <c r="B12929" s="35">
        <v>1</v>
      </c>
      <c r="C12929" s="35">
        <v>0</v>
      </c>
      <c r="D12929" s="2">
        <f t="shared" si="201"/>
        <v>1</v>
      </c>
    </row>
    <row r="12930" spans="1:4" x14ac:dyDescent="0.3">
      <c r="A12930" s="34">
        <v>72578</v>
      </c>
      <c r="B12930" s="35">
        <v>2</v>
      </c>
      <c r="C12930" s="35">
        <v>1</v>
      </c>
      <c r="D12930" s="2">
        <f t="shared" si="201"/>
        <v>3</v>
      </c>
    </row>
    <row r="12931" spans="1:4" x14ac:dyDescent="0.3">
      <c r="A12931" s="34">
        <v>72582</v>
      </c>
      <c r="B12931" s="35">
        <v>1</v>
      </c>
      <c r="C12931" s="35">
        <v>0</v>
      </c>
      <c r="D12931" s="2">
        <f t="shared" ref="D12931:D12994" si="202">B12931+C12931</f>
        <v>1</v>
      </c>
    </row>
    <row r="12932" spans="1:4" x14ac:dyDescent="0.3">
      <c r="A12932" s="34">
        <v>72583</v>
      </c>
      <c r="B12932" s="35">
        <v>2</v>
      </c>
      <c r="C12932" s="35">
        <v>2</v>
      </c>
      <c r="D12932" s="2">
        <f t="shared" si="202"/>
        <v>4</v>
      </c>
    </row>
    <row r="12933" spans="1:4" x14ac:dyDescent="0.3">
      <c r="A12933" s="34">
        <v>72584</v>
      </c>
      <c r="B12933" s="35">
        <v>1</v>
      </c>
      <c r="C12933" s="35">
        <v>0</v>
      </c>
      <c r="D12933" s="2">
        <f t="shared" si="202"/>
        <v>1</v>
      </c>
    </row>
    <row r="12934" spans="1:4" x14ac:dyDescent="0.3">
      <c r="A12934" s="34">
        <v>72585</v>
      </c>
      <c r="B12934" s="35">
        <v>1</v>
      </c>
      <c r="C12934" s="35">
        <v>0</v>
      </c>
      <c r="D12934" s="2">
        <f t="shared" si="202"/>
        <v>1</v>
      </c>
    </row>
    <row r="12935" spans="1:4" x14ac:dyDescent="0.3">
      <c r="A12935" s="34">
        <v>72586</v>
      </c>
      <c r="B12935" s="35">
        <v>1</v>
      </c>
      <c r="C12935" s="35">
        <v>0</v>
      </c>
      <c r="D12935" s="2">
        <f t="shared" si="202"/>
        <v>1</v>
      </c>
    </row>
    <row r="12936" spans="1:4" x14ac:dyDescent="0.3">
      <c r="A12936" s="34">
        <v>72589</v>
      </c>
      <c r="B12936" s="35">
        <v>1</v>
      </c>
      <c r="C12936" s="35">
        <v>0</v>
      </c>
      <c r="D12936" s="2">
        <f t="shared" si="202"/>
        <v>1</v>
      </c>
    </row>
    <row r="12937" spans="1:4" x14ac:dyDescent="0.3">
      <c r="A12937" s="34">
        <v>72590</v>
      </c>
      <c r="B12937" s="35">
        <v>1</v>
      </c>
      <c r="C12937" s="35">
        <v>0</v>
      </c>
      <c r="D12937" s="2">
        <f t="shared" si="202"/>
        <v>1</v>
      </c>
    </row>
    <row r="12938" spans="1:4" x14ac:dyDescent="0.3">
      <c r="A12938" s="34">
        <v>72592</v>
      </c>
      <c r="B12938" s="35">
        <v>1</v>
      </c>
      <c r="C12938" s="35">
        <v>0</v>
      </c>
      <c r="D12938" s="2">
        <f t="shared" si="202"/>
        <v>1</v>
      </c>
    </row>
    <row r="12939" spans="1:4" x14ac:dyDescent="0.3">
      <c r="A12939" s="34">
        <v>72593</v>
      </c>
      <c r="B12939" s="35">
        <v>1</v>
      </c>
      <c r="C12939" s="35">
        <v>0</v>
      </c>
      <c r="D12939" s="2">
        <f t="shared" si="202"/>
        <v>1</v>
      </c>
    </row>
    <row r="12940" spans="1:4" x14ac:dyDescent="0.3">
      <c r="A12940" s="34">
        <v>72599</v>
      </c>
      <c r="B12940" s="35">
        <v>1</v>
      </c>
      <c r="C12940" s="35">
        <v>1</v>
      </c>
      <c r="D12940" s="2">
        <f t="shared" si="202"/>
        <v>2</v>
      </c>
    </row>
    <row r="12941" spans="1:4" x14ac:dyDescent="0.3">
      <c r="A12941" s="34">
        <v>72603</v>
      </c>
      <c r="B12941" s="35">
        <v>1</v>
      </c>
      <c r="C12941" s="35">
        <v>0</v>
      </c>
      <c r="D12941" s="2">
        <f t="shared" si="202"/>
        <v>1</v>
      </c>
    </row>
    <row r="12942" spans="1:4" x14ac:dyDescent="0.3">
      <c r="A12942" s="34">
        <v>72604</v>
      </c>
      <c r="B12942" s="35">
        <v>1</v>
      </c>
      <c r="C12942" s="35">
        <v>0</v>
      </c>
      <c r="D12942" s="2">
        <f t="shared" si="202"/>
        <v>1</v>
      </c>
    </row>
    <row r="12943" spans="1:4" x14ac:dyDescent="0.3">
      <c r="A12943" s="34">
        <v>72609</v>
      </c>
      <c r="B12943" s="35">
        <v>1</v>
      </c>
      <c r="C12943" s="35">
        <v>0</v>
      </c>
      <c r="D12943" s="2">
        <f t="shared" si="202"/>
        <v>1</v>
      </c>
    </row>
    <row r="12944" spans="1:4" x14ac:dyDescent="0.3">
      <c r="A12944" s="34">
        <v>72610</v>
      </c>
      <c r="B12944" s="35">
        <v>1</v>
      </c>
      <c r="C12944" s="35">
        <v>0</v>
      </c>
      <c r="D12944" s="2">
        <f t="shared" si="202"/>
        <v>1</v>
      </c>
    </row>
    <row r="12945" spans="1:4" x14ac:dyDescent="0.3">
      <c r="A12945" s="34">
        <v>72611</v>
      </c>
      <c r="B12945" s="35">
        <v>1</v>
      </c>
      <c r="C12945" s="35">
        <v>0</v>
      </c>
      <c r="D12945" s="2">
        <f t="shared" si="202"/>
        <v>1</v>
      </c>
    </row>
    <row r="12946" spans="1:4" x14ac:dyDescent="0.3">
      <c r="A12946" s="34">
        <v>72612</v>
      </c>
      <c r="B12946" s="35">
        <v>1</v>
      </c>
      <c r="C12946" s="35">
        <v>1</v>
      </c>
      <c r="D12946" s="2">
        <f t="shared" si="202"/>
        <v>2</v>
      </c>
    </row>
    <row r="12947" spans="1:4" x14ac:dyDescent="0.3">
      <c r="A12947" s="34">
        <v>72613</v>
      </c>
      <c r="B12947" s="35">
        <v>1</v>
      </c>
      <c r="C12947" s="35">
        <v>0</v>
      </c>
      <c r="D12947" s="2">
        <f t="shared" si="202"/>
        <v>1</v>
      </c>
    </row>
    <row r="12948" spans="1:4" x14ac:dyDescent="0.3">
      <c r="A12948" s="34">
        <v>72614</v>
      </c>
      <c r="B12948" s="35">
        <v>1</v>
      </c>
      <c r="C12948" s="35">
        <v>0</v>
      </c>
      <c r="D12948" s="2">
        <f t="shared" si="202"/>
        <v>1</v>
      </c>
    </row>
    <row r="12949" spans="1:4" x14ac:dyDescent="0.3">
      <c r="A12949" s="34">
        <v>72615</v>
      </c>
      <c r="B12949" s="35">
        <v>1</v>
      </c>
      <c r="C12949" s="35">
        <v>0</v>
      </c>
      <c r="D12949" s="2">
        <f t="shared" si="202"/>
        <v>1</v>
      </c>
    </row>
    <row r="12950" spans="1:4" x14ac:dyDescent="0.3">
      <c r="A12950" s="34">
        <v>72619</v>
      </c>
      <c r="B12950" s="35">
        <v>1</v>
      </c>
      <c r="C12950" s="35">
        <v>0</v>
      </c>
      <c r="D12950" s="2">
        <f t="shared" si="202"/>
        <v>1</v>
      </c>
    </row>
    <row r="12951" spans="1:4" x14ac:dyDescent="0.3">
      <c r="A12951" s="34">
        <v>72622</v>
      </c>
      <c r="B12951" s="35">
        <v>1</v>
      </c>
      <c r="C12951" s="35">
        <v>0</v>
      </c>
      <c r="D12951" s="2">
        <f t="shared" si="202"/>
        <v>1</v>
      </c>
    </row>
    <row r="12952" spans="1:4" x14ac:dyDescent="0.3">
      <c r="A12952" s="34">
        <v>72623</v>
      </c>
      <c r="B12952" s="35">
        <v>1</v>
      </c>
      <c r="C12952" s="35">
        <v>0</v>
      </c>
      <c r="D12952" s="2">
        <f t="shared" si="202"/>
        <v>1</v>
      </c>
    </row>
    <row r="12953" spans="1:4" x14ac:dyDescent="0.3">
      <c r="A12953" s="34">
        <v>72624</v>
      </c>
      <c r="B12953" s="35">
        <v>1</v>
      </c>
      <c r="C12953" s="35">
        <v>0</v>
      </c>
      <c r="D12953" s="2">
        <f t="shared" si="202"/>
        <v>1</v>
      </c>
    </row>
    <row r="12954" spans="1:4" x14ac:dyDescent="0.3">
      <c r="A12954" s="34">
        <v>72628</v>
      </c>
      <c r="B12954" s="35">
        <v>1</v>
      </c>
      <c r="C12954" s="35">
        <v>0</v>
      </c>
      <c r="D12954" s="2">
        <f t="shared" si="202"/>
        <v>1</v>
      </c>
    </row>
    <row r="12955" spans="1:4" x14ac:dyDescent="0.3">
      <c r="A12955" s="34">
        <v>72630</v>
      </c>
      <c r="B12955" s="35">
        <v>1</v>
      </c>
      <c r="C12955" s="35">
        <v>0</v>
      </c>
      <c r="D12955" s="2">
        <f t="shared" si="202"/>
        <v>1</v>
      </c>
    </row>
    <row r="12956" spans="1:4" x14ac:dyDescent="0.3">
      <c r="A12956" s="34">
        <v>72632</v>
      </c>
      <c r="B12956" s="35">
        <v>1</v>
      </c>
      <c r="C12956" s="35">
        <v>0</v>
      </c>
      <c r="D12956" s="2">
        <f t="shared" si="202"/>
        <v>1</v>
      </c>
    </row>
    <row r="12957" spans="1:4" x14ac:dyDescent="0.3">
      <c r="A12957" s="34">
        <v>72633</v>
      </c>
      <c r="B12957" s="35">
        <v>1</v>
      </c>
      <c r="C12957" s="35">
        <v>1</v>
      </c>
      <c r="D12957" s="2">
        <f t="shared" si="202"/>
        <v>2</v>
      </c>
    </row>
    <row r="12958" spans="1:4" x14ac:dyDescent="0.3">
      <c r="A12958" s="34">
        <v>72640</v>
      </c>
      <c r="B12958" s="35">
        <v>1</v>
      </c>
      <c r="C12958" s="35">
        <v>0</v>
      </c>
      <c r="D12958" s="2">
        <f t="shared" si="202"/>
        <v>1</v>
      </c>
    </row>
    <row r="12959" spans="1:4" x14ac:dyDescent="0.3">
      <c r="A12959" s="34">
        <v>72641</v>
      </c>
      <c r="B12959" s="35">
        <v>1</v>
      </c>
      <c r="C12959" s="35">
        <v>0</v>
      </c>
      <c r="D12959" s="2">
        <f t="shared" si="202"/>
        <v>1</v>
      </c>
    </row>
    <row r="12960" spans="1:4" x14ac:dyDescent="0.3">
      <c r="A12960" s="34">
        <v>72644</v>
      </c>
      <c r="B12960" s="35">
        <v>1</v>
      </c>
      <c r="C12960" s="35">
        <v>0</v>
      </c>
      <c r="D12960" s="2">
        <f t="shared" si="202"/>
        <v>1</v>
      </c>
    </row>
    <row r="12961" spans="1:4" x14ac:dyDescent="0.3">
      <c r="A12961" s="34">
        <v>72645</v>
      </c>
      <c r="B12961" s="35">
        <v>1</v>
      </c>
      <c r="C12961" s="35">
        <v>0</v>
      </c>
      <c r="D12961" s="2">
        <f t="shared" si="202"/>
        <v>1</v>
      </c>
    </row>
    <row r="12962" spans="1:4" x14ac:dyDescent="0.3">
      <c r="A12962" s="34">
        <v>72648</v>
      </c>
      <c r="B12962" s="35">
        <v>1</v>
      </c>
      <c r="C12962" s="35">
        <v>0</v>
      </c>
      <c r="D12962" s="2">
        <f t="shared" si="202"/>
        <v>1</v>
      </c>
    </row>
    <row r="12963" spans="1:4" x14ac:dyDescent="0.3">
      <c r="A12963" s="34">
        <v>72653</v>
      </c>
      <c r="B12963" s="35">
        <v>2</v>
      </c>
      <c r="C12963" s="35">
        <v>0</v>
      </c>
      <c r="D12963" s="2">
        <f t="shared" si="202"/>
        <v>2</v>
      </c>
    </row>
    <row r="12964" spans="1:4" x14ac:dyDescent="0.3">
      <c r="A12964" s="34">
        <v>72654</v>
      </c>
      <c r="B12964" s="35">
        <v>1</v>
      </c>
      <c r="C12964" s="35">
        <v>0</v>
      </c>
      <c r="D12964" s="2">
        <f t="shared" si="202"/>
        <v>1</v>
      </c>
    </row>
    <row r="12965" spans="1:4" x14ac:dyDescent="0.3">
      <c r="A12965" s="34">
        <v>72655</v>
      </c>
      <c r="B12965" s="35">
        <v>1</v>
      </c>
      <c r="C12965" s="35">
        <v>0</v>
      </c>
      <c r="D12965" s="2">
        <f t="shared" si="202"/>
        <v>1</v>
      </c>
    </row>
    <row r="12966" spans="1:4" x14ac:dyDescent="0.3">
      <c r="A12966" s="34">
        <v>72657</v>
      </c>
      <c r="B12966" s="35">
        <v>1</v>
      </c>
      <c r="C12966" s="35">
        <v>0</v>
      </c>
      <c r="D12966" s="2">
        <f t="shared" si="202"/>
        <v>1</v>
      </c>
    </row>
    <row r="12967" spans="1:4" x14ac:dyDescent="0.3">
      <c r="A12967" s="34">
        <v>72658</v>
      </c>
      <c r="B12967" s="35">
        <v>1</v>
      </c>
      <c r="C12967" s="35">
        <v>0</v>
      </c>
      <c r="D12967" s="2">
        <f t="shared" si="202"/>
        <v>1</v>
      </c>
    </row>
    <row r="12968" spans="1:4" x14ac:dyDescent="0.3">
      <c r="A12968" s="34">
        <v>72659</v>
      </c>
      <c r="B12968" s="35">
        <v>1</v>
      </c>
      <c r="C12968" s="35">
        <v>0</v>
      </c>
      <c r="D12968" s="2">
        <f t="shared" si="202"/>
        <v>1</v>
      </c>
    </row>
    <row r="12969" spans="1:4" x14ac:dyDescent="0.3">
      <c r="A12969" s="34">
        <v>72665</v>
      </c>
      <c r="B12969" s="35">
        <v>1</v>
      </c>
      <c r="C12969" s="35">
        <v>0</v>
      </c>
      <c r="D12969" s="2">
        <f t="shared" si="202"/>
        <v>1</v>
      </c>
    </row>
    <row r="12970" spans="1:4" x14ac:dyDescent="0.3">
      <c r="A12970" s="34">
        <v>72666</v>
      </c>
      <c r="B12970" s="35">
        <v>1</v>
      </c>
      <c r="C12970" s="35">
        <v>0</v>
      </c>
      <c r="D12970" s="2">
        <f t="shared" si="202"/>
        <v>1</v>
      </c>
    </row>
    <row r="12971" spans="1:4" x14ac:dyDescent="0.3">
      <c r="A12971" s="34">
        <v>72667</v>
      </c>
      <c r="B12971" s="35">
        <v>1</v>
      </c>
      <c r="C12971" s="35">
        <v>0</v>
      </c>
      <c r="D12971" s="2">
        <f t="shared" si="202"/>
        <v>1</v>
      </c>
    </row>
    <row r="12972" spans="1:4" x14ac:dyDescent="0.3">
      <c r="A12972" s="34">
        <v>72668</v>
      </c>
      <c r="B12972" s="35">
        <v>1</v>
      </c>
      <c r="C12972" s="35">
        <v>0</v>
      </c>
      <c r="D12972" s="2">
        <f t="shared" si="202"/>
        <v>1</v>
      </c>
    </row>
    <row r="12973" spans="1:4" x14ac:dyDescent="0.3">
      <c r="A12973" s="34">
        <v>72672</v>
      </c>
      <c r="B12973" s="35">
        <v>1</v>
      </c>
      <c r="C12973" s="35">
        <v>0</v>
      </c>
      <c r="D12973" s="2">
        <f t="shared" si="202"/>
        <v>1</v>
      </c>
    </row>
    <row r="12974" spans="1:4" x14ac:dyDescent="0.3">
      <c r="A12974" s="34">
        <v>72674</v>
      </c>
      <c r="B12974" s="35">
        <v>1</v>
      </c>
      <c r="C12974" s="35">
        <v>0</v>
      </c>
      <c r="D12974" s="2">
        <f t="shared" si="202"/>
        <v>1</v>
      </c>
    </row>
    <row r="12975" spans="1:4" x14ac:dyDescent="0.3">
      <c r="A12975" s="34">
        <v>72675</v>
      </c>
      <c r="B12975" s="35">
        <v>1</v>
      </c>
      <c r="C12975" s="35">
        <v>0</v>
      </c>
      <c r="D12975" s="2">
        <f t="shared" si="202"/>
        <v>1</v>
      </c>
    </row>
    <row r="12976" spans="1:4" x14ac:dyDescent="0.3">
      <c r="A12976" s="34">
        <v>72676</v>
      </c>
      <c r="B12976" s="35">
        <v>1</v>
      </c>
      <c r="C12976" s="35">
        <v>0</v>
      </c>
      <c r="D12976" s="2">
        <f t="shared" si="202"/>
        <v>1</v>
      </c>
    </row>
    <row r="12977" spans="1:4" x14ac:dyDescent="0.3">
      <c r="A12977" s="34">
        <v>72677</v>
      </c>
      <c r="B12977" s="35">
        <v>1</v>
      </c>
      <c r="C12977" s="35">
        <v>0</v>
      </c>
      <c r="D12977" s="2">
        <f t="shared" si="202"/>
        <v>1</v>
      </c>
    </row>
    <row r="12978" spans="1:4" x14ac:dyDescent="0.3">
      <c r="A12978" s="34">
        <v>72678</v>
      </c>
      <c r="B12978" s="35">
        <v>1</v>
      </c>
      <c r="C12978" s="35">
        <v>0</v>
      </c>
      <c r="D12978" s="2">
        <f t="shared" si="202"/>
        <v>1</v>
      </c>
    </row>
    <row r="12979" spans="1:4" x14ac:dyDescent="0.3">
      <c r="A12979" s="34">
        <v>72679</v>
      </c>
      <c r="B12979" s="35">
        <v>1</v>
      </c>
      <c r="C12979" s="35">
        <v>0</v>
      </c>
      <c r="D12979" s="2">
        <f t="shared" si="202"/>
        <v>1</v>
      </c>
    </row>
    <row r="12980" spans="1:4" x14ac:dyDescent="0.3">
      <c r="A12980" s="34">
        <v>72680</v>
      </c>
      <c r="B12980" s="35">
        <v>1</v>
      </c>
      <c r="C12980" s="35">
        <v>0</v>
      </c>
      <c r="D12980" s="2">
        <f t="shared" si="202"/>
        <v>1</v>
      </c>
    </row>
    <row r="12981" spans="1:4" x14ac:dyDescent="0.3">
      <c r="A12981" s="34">
        <v>72681</v>
      </c>
      <c r="B12981" s="35">
        <v>1</v>
      </c>
      <c r="C12981" s="35">
        <v>0</v>
      </c>
      <c r="D12981" s="2">
        <f t="shared" si="202"/>
        <v>1</v>
      </c>
    </row>
    <row r="12982" spans="1:4" x14ac:dyDescent="0.3">
      <c r="A12982" s="34">
        <v>72682</v>
      </c>
      <c r="B12982" s="35">
        <v>1</v>
      </c>
      <c r="C12982" s="35">
        <v>0</v>
      </c>
      <c r="D12982" s="2">
        <f t="shared" si="202"/>
        <v>1</v>
      </c>
    </row>
    <row r="12983" spans="1:4" x14ac:dyDescent="0.3">
      <c r="A12983" s="34">
        <v>72683</v>
      </c>
      <c r="B12983" s="35">
        <v>1</v>
      </c>
      <c r="C12983" s="35">
        <v>0</v>
      </c>
      <c r="D12983" s="2">
        <f t="shared" si="202"/>
        <v>1</v>
      </c>
    </row>
    <row r="12984" spans="1:4" x14ac:dyDescent="0.3">
      <c r="A12984" s="34">
        <v>72684</v>
      </c>
      <c r="B12984" s="35">
        <v>1</v>
      </c>
      <c r="C12984" s="35">
        <v>0</v>
      </c>
      <c r="D12984" s="2">
        <f t="shared" si="202"/>
        <v>1</v>
      </c>
    </row>
    <row r="12985" spans="1:4" x14ac:dyDescent="0.3">
      <c r="A12985" s="34">
        <v>72685</v>
      </c>
      <c r="B12985" s="35">
        <v>1</v>
      </c>
      <c r="C12985" s="35">
        <v>0</v>
      </c>
      <c r="D12985" s="2">
        <f t="shared" si="202"/>
        <v>1</v>
      </c>
    </row>
    <row r="12986" spans="1:4" x14ac:dyDescent="0.3">
      <c r="A12986" s="34">
        <v>72686</v>
      </c>
      <c r="B12986" s="35">
        <v>1</v>
      </c>
      <c r="C12986" s="35">
        <v>0</v>
      </c>
      <c r="D12986" s="2">
        <f t="shared" si="202"/>
        <v>1</v>
      </c>
    </row>
    <row r="12987" spans="1:4" x14ac:dyDescent="0.3">
      <c r="A12987" s="34">
        <v>72687</v>
      </c>
      <c r="B12987" s="35">
        <v>1</v>
      </c>
      <c r="C12987" s="35">
        <v>1</v>
      </c>
      <c r="D12987" s="2">
        <f t="shared" si="202"/>
        <v>2</v>
      </c>
    </row>
    <row r="12988" spans="1:4" x14ac:dyDescent="0.3">
      <c r="A12988" s="34">
        <v>72688</v>
      </c>
      <c r="B12988" s="35">
        <v>1</v>
      </c>
      <c r="C12988" s="35">
        <v>0</v>
      </c>
      <c r="D12988" s="2">
        <f t="shared" si="202"/>
        <v>1</v>
      </c>
    </row>
    <row r="12989" spans="1:4" x14ac:dyDescent="0.3">
      <c r="A12989" s="34">
        <v>72689</v>
      </c>
      <c r="B12989" s="35">
        <v>1</v>
      </c>
      <c r="C12989" s="35">
        <v>0</v>
      </c>
      <c r="D12989" s="2">
        <f t="shared" si="202"/>
        <v>1</v>
      </c>
    </row>
    <row r="12990" spans="1:4" x14ac:dyDescent="0.3">
      <c r="A12990" s="34">
        <v>72690</v>
      </c>
      <c r="B12990" s="35">
        <v>1</v>
      </c>
      <c r="C12990" s="35">
        <v>0</v>
      </c>
      <c r="D12990" s="2">
        <f t="shared" si="202"/>
        <v>1</v>
      </c>
    </row>
    <row r="12991" spans="1:4" x14ac:dyDescent="0.3">
      <c r="A12991" s="34">
        <v>72691</v>
      </c>
      <c r="B12991" s="35">
        <v>1</v>
      </c>
      <c r="C12991" s="35">
        <v>0</v>
      </c>
      <c r="D12991" s="2">
        <f t="shared" si="202"/>
        <v>1</v>
      </c>
    </row>
    <row r="12992" spans="1:4" x14ac:dyDescent="0.3">
      <c r="A12992" s="34">
        <v>72692</v>
      </c>
      <c r="B12992" s="35">
        <v>1</v>
      </c>
      <c r="C12992" s="35">
        <v>0</v>
      </c>
      <c r="D12992" s="2">
        <f t="shared" si="202"/>
        <v>1</v>
      </c>
    </row>
    <row r="12993" spans="1:4" x14ac:dyDescent="0.3">
      <c r="A12993" s="34">
        <v>72693</v>
      </c>
      <c r="B12993" s="35">
        <v>2</v>
      </c>
      <c r="C12993" s="35">
        <v>1</v>
      </c>
      <c r="D12993" s="2">
        <f t="shared" si="202"/>
        <v>3</v>
      </c>
    </row>
    <row r="12994" spans="1:4" x14ac:dyDescent="0.3">
      <c r="A12994" s="34">
        <v>72694</v>
      </c>
      <c r="B12994" s="35">
        <v>1</v>
      </c>
      <c r="C12994" s="35">
        <v>0</v>
      </c>
      <c r="D12994" s="2">
        <f t="shared" si="202"/>
        <v>1</v>
      </c>
    </row>
    <row r="12995" spans="1:4" x14ac:dyDescent="0.3">
      <c r="A12995" s="34">
        <v>72696</v>
      </c>
      <c r="B12995" s="35">
        <v>1</v>
      </c>
      <c r="C12995" s="35">
        <v>0</v>
      </c>
      <c r="D12995" s="2">
        <f t="shared" ref="D12995:D13058" si="203">B12995+C12995</f>
        <v>1</v>
      </c>
    </row>
    <row r="12996" spans="1:4" x14ac:dyDescent="0.3">
      <c r="A12996" s="34">
        <v>72697</v>
      </c>
      <c r="B12996" s="35">
        <v>1</v>
      </c>
      <c r="C12996" s="35">
        <v>0</v>
      </c>
      <c r="D12996" s="2">
        <f t="shared" si="203"/>
        <v>1</v>
      </c>
    </row>
    <row r="12997" spans="1:4" x14ac:dyDescent="0.3">
      <c r="A12997" s="34">
        <v>72698</v>
      </c>
      <c r="B12997" s="35">
        <v>1</v>
      </c>
      <c r="C12997" s="35">
        <v>0</v>
      </c>
      <c r="D12997" s="2">
        <f t="shared" si="203"/>
        <v>1</v>
      </c>
    </row>
    <row r="12998" spans="1:4" x14ac:dyDescent="0.3">
      <c r="A12998" s="34">
        <v>72699</v>
      </c>
      <c r="B12998" s="35">
        <v>1</v>
      </c>
      <c r="C12998" s="35">
        <v>0</v>
      </c>
      <c r="D12998" s="2">
        <f t="shared" si="203"/>
        <v>1</v>
      </c>
    </row>
    <row r="12999" spans="1:4" x14ac:dyDescent="0.3">
      <c r="A12999" s="34">
        <v>72701</v>
      </c>
      <c r="B12999" s="35">
        <v>1</v>
      </c>
      <c r="C12999" s="35">
        <v>1</v>
      </c>
      <c r="D12999" s="2">
        <f t="shared" si="203"/>
        <v>2</v>
      </c>
    </row>
    <row r="13000" spans="1:4" x14ac:dyDescent="0.3">
      <c r="A13000" s="34">
        <v>72703</v>
      </c>
      <c r="B13000" s="35">
        <v>1</v>
      </c>
      <c r="C13000" s="35">
        <v>1</v>
      </c>
      <c r="D13000" s="2">
        <f t="shared" si="203"/>
        <v>2</v>
      </c>
    </row>
    <row r="13001" spans="1:4" x14ac:dyDescent="0.3">
      <c r="A13001" s="34">
        <v>72704</v>
      </c>
      <c r="B13001" s="35">
        <v>1</v>
      </c>
      <c r="C13001" s="35">
        <v>0</v>
      </c>
      <c r="D13001" s="2">
        <f t="shared" si="203"/>
        <v>1</v>
      </c>
    </row>
    <row r="13002" spans="1:4" x14ac:dyDescent="0.3">
      <c r="A13002" s="34">
        <v>72705</v>
      </c>
      <c r="B13002" s="35">
        <v>1</v>
      </c>
      <c r="C13002" s="35">
        <v>0</v>
      </c>
      <c r="D13002" s="2">
        <f t="shared" si="203"/>
        <v>1</v>
      </c>
    </row>
    <row r="13003" spans="1:4" x14ac:dyDescent="0.3">
      <c r="A13003" s="34">
        <v>72713</v>
      </c>
      <c r="B13003" s="35">
        <v>1</v>
      </c>
      <c r="C13003" s="35">
        <v>0</v>
      </c>
      <c r="D13003" s="2">
        <f t="shared" si="203"/>
        <v>1</v>
      </c>
    </row>
    <row r="13004" spans="1:4" x14ac:dyDescent="0.3">
      <c r="A13004" s="34">
        <v>72714</v>
      </c>
      <c r="B13004" s="35">
        <v>1</v>
      </c>
      <c r="C13004" s="35">
        <v>0</v>
      </c>
      <c r="D13004" s="2">
        <f t="shared" si="203"/>
        <v>1</v>
      </c>
    </row>
    <row r="13005" spans="1:4" x14ac:dyDescent="0.3">
      <c r="A13005" s="34">
        <v>72715</v>
      </c>
      <c r="B13005" s="35">
        <v>1</v>
      </c>
      <c r="C13005" s="35">
        <v>0</v>
      </c>
      <c r="D13005" s="2">
        <f t="shared" si="203"/>
        <v>1</v>
      </c>
    </row>
    <row r="13006" spans="1:4" x14ac:dyDescent="0.3">
      <c r="A13006" s="34">
        <v>72716</v>
      </c>
      <c r="B13006" s="35">
        <v>1</v>
      </c>
      <c r="C13006" s="35">
        <v>0</v>
      </c>
      <c r="D13006" s="2">
        <f t="shared" si="203"/>
        <v>1</v>
      </c>
    </row>
    <row r="13007" spans="1:4" x14ac:dyDescent="0.3">
      <c r="A13007" s="34">
        <v>72717</v>
      </c>
      <c r="B13007" s="35">
        <v>3</v>
      </c>
      <c r="C13007" s="35">
        <v>3</v>
      </c>
      <c r="D13007" s="2">
        <f t="shared" si="203"/>
        <v>6</v>
      </c>
    </row>
    <row r="13008" spans="1:4" x14ac:dyDescent="0.3">
      <c r="A13008" s="34">
        <v>72718</v>
      </c>
      <c r="B13008" s="35">
        <v>1</v>
      </c>
      <c r="C13008" s="35">
        <v>0</v>
      </c>
      <c r="D13008" s="2">
        <f t="shared" si="203"/>
        <v>1</v>
      </c>
    </row>
    <row r="13009" spans="1:4" x14ac:dyDescent="0.3">
      <c r="A13009" s="34">
        <v>72719</v>
      </c>
      <c r="B13009" s="35">
        <v>1</v>
      </c>
      <c r="C13009" s="35">
        <v>0</v>
      </c>
      <c r="D13009" s="2">
        <f t="shared" si="203"/>
        <v>1</v>
      </c>
    </row>
    <row r="13010" spans="1:4" x14ac:dyDescent="0.3">
      <c r="A13010" s="34">
        <v>72720</v>
      </c>
      <c r="B13010" s="35">
        <v>1</v>
      </c>
      <c r="C13010" s="35">
        <v>0</v>
      </c>
      <c r="D13010" s="2">
        <f t="shared" si="203"/>
        <v>1</v>
      </c>
    </row>
    <row r="13011" spans="1:4" x14ac:dyDescent="0.3">
      <c r="A13011" s="34">
        <v>72721</v>
      </c>
      <c r="B13011" s="35">
        <v>1</v>
      </c>
      <c r="C13011" s="35">
        <v>0</v>
      </c>
      <c r="D13011" s="2">
        <f t="shared" si="203"/>
        <v>1</v>
      </c>
    </row>
    <row r="13012" spans="1:4" x14ac:dyDescent="0.3">
      <c r="A13012" s="34">
        <v>72722</v>
      </c>
      <c r="B13012" s="35">
        <v>1</v>
      </c>
      <c r="C13012" s="35">
        <v>0</v>
      </c>
      <c r="D13012" s="2">
        <f t="shared" si="203"/>
        <v>1</v>
      </c>
    </row>
    <row r="13013" spans="1:4" x14ac:dyDescent="0.3">
      <c r="A13013" s="34">
        <v>72725</v>
      </c>
      <c r="B13013" s="35">
        <v>1</v>
      </c>
      <c r="C13013" s="35">
        <v>0</v>
      </c>
      <c r="D13013" s="2">
        <f t="shared" si="203"/>
        <v>1</v>
      </c>
    </row>
    <row r="13014" spans="1:4" x14ac:dyDescent="0.3">
      <c r="A13014" s="34">
        <v>72726</v>
      </c>
      <c r="B13014" s="35">
        <v>1</v>
      </c>
      <c r="C13014" s="35">
        <v>0</v>
      </c>
      <c r="D13014" s="2">
        <f t="shared" si="203"/>
        <v>1</v>
      </c>
    </row>
    <row r="13015" spans="1:4" x14ac:dyDescent="0.3">
      <c r="A13015" s="34">
        <v>72728</v>
      </c>
      <c r="B13015" s="35">
        <v>1</v>
      </c>
      <c r="C13015" s="35">
        <v>0</v>
      </c>
      <c r="D13015" s="2">
        <f t="shared" si="203"/>
        <v>1</v>
      </c>
    </row>
    <row r="13016" spans="1:4" x14ac:dyDescent="0.3">
      <c r="A13016" s="34">
        <v>72729</v>
      </c>
      <c r="B13016" s="35">
        <v>1</v>
      </c>
      <c r="C13016" s="35">
        <v>1</v>
      </c>
      <c r="D13016" s="2">
        <f t="shared" si="203"/>
        <v>2</v>
      </c>
    </row>
    <row r="13017" spans="1:4" x14ac:dyDescent="0.3">
      <c r="A13017" s="34">
        <v>72731</v>
      </c>
      <c r="B13017" s="35">
        <v>1</v>
      </c>
      <c r="C13017" s="35">
        <v>1</v>
      </c>
      <c r="D13017" s="2">
        <f t="shared" si="203"/>
        <v>2</v>
      </c>
    </row>
    <row r="13018" spans="1:4" x14ac:dyDescent="0.3">
      <c r="A13018" s="34">
        <v>72734</v>
      </c>
      <c r="B13018" s="35">
        <v>1</v>
      </c>
      <c r="C13018" s="35">
        <v>0</v>
      </c>
      <c r="D13018" s="2">
        <f t="shared" si="203"/>
        <v>1</v>
      </c>
    </row>
    <row r="13019" spans="1:4" x14ac:dyDescent="0.3">
      <c r="A13019" s="34">
        <v>72735</v>
      </c>
      <c r="B13019" s="35">
        <v>1</v>
      </c>
      <c r="C13019" s="35">
        <v>0</v>
      </c>
      <c r="D13019" s="2">
        <f t="shared" si="203"/>
        <v>1</v>
      </c>
    </row>
    <row r="13020" spans="1:4" x14ac:dyDescent="0.3">
      <c r="A13020" s="34">
        <v>72736</v>
      </c>
      <c r="B13020" s="35">
        <v>1</v>
      </c>
      <c r="C13020" s="35">
        <v>0</v>
      </c>
      <c r="D13020" s="2">
        <f t="shared" si="203"/>
        <v>1</v>
      </c>
    </row>
    <row r="13021" spans="1:4" x14ac:dyDescent="0.3">
      <c r="A13021" s="34">
        <v>72739</v>
      </c>
      <c r="B13021" s="35">
        <v>1</v>
      </c>
      <c r="C13021" s="35">
        <v>0</v>
      </c>
      <c r="D13021" s="2">
        <f t="shared" si="203"/>
        <v>1</v>
      </c>
    </row>
    <row r="13022" spans="1:4" x14ac:dyDescent="0.3">
      <c r="A13022" s="34">
        <v>72740</v>
      </c>
      <c r="B13022" s="35">
        <v>1</v>
      </c>
      <c r="C13022" s="35">
        <v>1</v>
      </c>
      <c r="D13022" s="2">
        <f t="shared" si="203"/>
        <v>2</v>
      </c>
    </row>
    <row r="13023" spans="1:4" x14ac:dyDescent="0.3">
      <c r="A13023" s="34">
        <v>72742</v>
      </c>
      <c r="B13023" s="35">
        <v>1</v>
      </c>
      <c r="C13023" s="35">
        <v>0</v>
      </c>
      <c r="D13023" s="2">
        <f t="shared" si="203"/>
        <v>1</v>
      </c>
    </row>
    <row r="13024" spans="1:4" x14ac:dyDescent="0.3">
      <c r="A13024" s="34">
        <v>72743</v>
      </c>
      <c r="B13024" s="35">
        <v>1</v>
      </c>
      <c r="C13024" s="35">
        <v>0</v>
      </c>
      <c r="D13024" s="2">
        <f t="shared" si="203"/>
        <v>1</v>
      </c>
    </row>
    <row r="13025" spans="1:4" x14ac:dyDescent="0.3">
      <c r="A13025" s="34">
        <v>72746</v>
      </c>
      <c r="B13025" s="35">
        <v>1</v>
      </c>
      <c r="C13025" s="35">
        <v>0</v>
      </c>
      <c r="D13025" s="2">
        <f t="shared" si="203"/>
        <v>1</v>
      </c>
    </row>
    <row r="13026" spans="1:4" x14ac:dyDescent="0.3">
      <c r="A13026" s="34">
        <v>72821</v>
      </c>
      <c r="B13026" s="35">
        <v>1</v>
      </c>
      <c r="C13026" s="35">
        <v>0</v>
      </c>
      <c r="D13026" s="2">
        <f t="shared" si="203"/>
        <v>1</v>
      </c>
    </row>
    <row r="13027" spans="1:4" x14ac:dyDescent="0.3">
      <c r="A13027" s="34">
        <v>72823</v>
      </c>
      <c r="B13027" s="35">
        <v>1</v>
      </c>
      <c r="C13027" s="35">
        <v>0</v>
      </c>
      <c r="D13027" s="2">
        <f t="shared" si="203"/>
        <v>1</v>
      </c>
    </row>
    <row r="13028" spans="1:4" x14ac:dyDescent="0.3">
      <c r="A13028" s="34">
        <v>72825</v>
      </c>
      <c r="B13028" s="35">
        <v>1</v>
      </c>
      <c r="C13028" s="35">
        <v>0</v>
      </c>
      <c r="D13028" s="2">
        <f t="shared" si="203"/>
        <v>1</v>
      </c>
    </row>
    <row r="13029" spans="1:4" x14ac:dyDescent="0.3">
      <c r="A13029" s="34">
        <v>72826</v>
      </c>
      <c r="B13029" s="35">
        <v>1</v>
      </c>
      <c r="C13029" s="35">
        <v>0</v>
      </c>
      <c r="D13029" s="2">
        <f t="shared" si="203"/>
        <v>1</v>
      </c>
    </row>
    <row r="13030" spans="1:4" x14ac:dyDescent="0.3">
      <c r="A13030" s="34">
        <v>72828</v>
      </c>
      <c r="B13030" s="35">
        <v>1</v>
      </c>
      <c r="C13030" s="35">
        <v>0</v>
      </c>
      <c r="D13030" s="2">
        <f t="shared" si="203"/>
        <v>1</v>
      </c>
    </row>
    <row r="13031" spans="1:4" x14ac:dyDescent="0.3">
      <c r="A13031" s="34">
        <v>72832</v>
      </c>
      <c r="B13031" s="35">
        <v>1</v>
      </c>
      <c r="C13031" s="35">
        <v>0</v>
      </c>
      <c r="D13031" s="2">
        <f t="shared" si="203"/>
        <v>1</v>
      </c>
    </row>
    <row r="13032" spans="1:4" x14ac:dyDescent="0.3">
      <c r="A13032" s="34">
        <v>72838</v>
      </c>
      <c r="B13032" s="35">
        <v>1</v>
      </c>
      <c r="C13032" s="35">
        <v>0</v>
      </c>
      <c r="D13032" s="2">
        <f t="shared" si="203"/>
        <v>1</v>
      </c>
    </row>
    <row r="13033" spans="1:4" x14ac:dyDescent="0.3">
      <c r="A13033" s="34">
        <v>72839</v>
      </c>
      <c r="B13033" s="35">
        <v>1</v>
      </c>
      <c r="C13033" s="35">
        <v>0</v>
      </c>
      <c r="D13033" s="2">
        <f t="shared" si="203"/>
        <v>1</v>
      </c>
    </row>
    <row r="13034" spans="1:4" x14ac:dyDescent="0.3">
      <c r="A13034" s="34">
        <v>72841</v>
      </c>
      <c r="B13034" s="35">
        <v>1</v>
      </c>
      <c r="C13034" s="35">
        <v>0</v>
      </c>
      <c r="D13034" s="2">
        <f t="shared" si="203"/>
        <v>1</v>
      </c>
    </row>
    <row r="13035" spans="1:4" x14ac:dyDescent="0.3">
      <c r="A13035" s="34">
        <v>72842</v>
      </c>
      <c r="B13035" s="35">
        <v>1</v>
      </c>
      <c r="C13035" s="35">
        <v>0</v>
      </c>
      <c r="D13035" s="2">
        <f t="shared" si="203"/>
        <v>1</v>
      </c>
    </row>
    <row r="13036" spans="1:4" x14ac:dyDescent="0.3">
      <c r="A13036" s="34">
        <v>72844</v>
      </c>
      <c r="B13036" s="35">
        <v>1</v>
      </c>
      <c r="C13036" s="35">
        <v>0</v>
      </c>
      <c r="D13036" s="2">
        <f t="shared" si="203"/>
        <v>1</v>
      </c>
    </row>
    <row r="13037" spans="1:4" x14ac:dyDescent="0.3">
      <c r="A13037" s="34">
        <v>72847</v>
      </c>
      <c r="B13037" s="35">
        <v>2</v>
      </c>
      <c r="C13037" s="35">
        <v>1</v>
      </c>
      <c r="D13037" s="2">
        <f t="shared" si="203"/>
        <v>3</v>
      </c>
    </row>
    <row r="13038" spans="1:4" x14ac:dyDescent="0.3">
      <c r="A13038" s="34">
        <v>72848</v>
      </c>
      <c r="B13038" s="35">
        <v>1</v>
      </c>
      <c r="C13038" s="35">
        <v>0</v>
      </c>
      <c r="D13038" s="2">
        <f t="shared" si="203"/>
        <v>1</v>
      </c>
    </row>
    <row r="13039" spans="1:4" x14ac:dyDescent="0.3">
      <c r="A13039" s="34">
        <v>72850</v>
      </c>
      <c r="B13039" s="35">
        <v>1</v>
      </c>
      <c r="C13039" s="35">
        <v>0</v>
      </c>
      <c r="D13039" s="2">
        <f t="shared" si="203"/>
        <v>1</v>
      </c>
    </row>
    <row r="13040" spans="1:4" x14ac:dyDescent="0.3">
      <c r="A13040" s="34">
        <v>72851</v>
      </c>
      <c r="B13040" s="35">
        <v>2</v>
      </c>
      <c r="C13040" s="35">
        <v>1</v>
      </c>
      <c r="D13040" s="2">
        <f t="shared" si="203"/>
        <v>3</v>
      </c>
    </row>
    <row r="13041" spans="1:4" x14ac:dyDescent="0.3">
      <c r="A13041" s="34">
        <v>72852</v>
      </c>
      <c r="B13041" s="35">
        <v>1</v>
      </c>
      <c r="C13041" s="35">
        <v>0</v>
      </c>
      <c r="D13041" s="2">
        <f t="shared" si="203"/>
        <v>1</v>
      </c>
    </row>
    <row r="13042" spans="1:4" x14ac:dyDescent="0.3">
      <c r="A13042" s="34">
        <v>72854</v>
      </c>
      <c r="B13042" s="35">
        <v>1</v>
      </c>
      <c r="C13042" s="35">
        <v>0</v>
      </c>
      <c r="D13042" s="2">
        <f t="shared" si="203"/>
        <v>1</v>
      </c>
    </row>
    <row r="13043" spans="1:4" x14ac:dyDescent="0.3">
      <c r="A13043" s="34">
        <v>72856</v>
      </c>
      <c r="B13043" s="35">
        <v>1</v>
      </c>
      <c r="C13043" s="35">
        <v>1</v>
      </c>
      <c r="D13043" s="2">
        <f t="shared" si="203"/>
        <v>2</v>
      </c>
    </row>
    <row r="13044" spans="1:4" x14ac:dyDescent="0.3">
      <c r="A13044" s="34">
        <v>72857</v>
      </c>
      <c r="B13044" s="35">
        <v>1</v>
      </c>
      <c r="C13044" s="35">
        <v>1</v>
      </c>
      <c r="D13044" s="2">
        <f t="shared" si="203"/>
        <v>2</v>
      </c>
    </row>
    <row r="13045" spans="1:4" x14ac:dyDescent="0.3">
      <c r="A13045" s="34">
        <v>72859</v>
      </c>
      <c r="B13045" s="35">
        <v>1</v>
      </c>
      <c r="C13045" s="35">
        <v>0</v>
      </c>
      <c r="D13045" s="2">
        <f t="shared" si="203"/>
        <v>1</v>
      </c>
    </row>
    <row r="13046" spans="1:4" x14ac:dyDescent="0.3">
      <c r="A13046" s="34">
        <v>72863</v>
      </c>
      <c r="B13046" s="35">
        <v>1</v>
      </c>
      <c r="C13046" s="35">
        <v>0</v>
      </c>
      <c r="D13046" s="2">
        <f t="shared" si="203"/>
        <v>1</v>
      </c>
    </row>
    <row r="13047" spans="1:4" x14ac:dyDescent="0.3">
      <c r="A13047" s="34">
        <v>72864</v>
      </c>
      <c r="B13047" s="35">
        <v>1</v>
      </c>
      <c r="C13047" s="35">
        <v>0</v>
      </c>
      <c r="D13047" s="2">
        <f t="shared" si="203"/>
        <v>1</v>
      </c>
    </row>
    <row r="13048" spans="1:4" x14ac:dyDescent="0.3">
      <c r="A13048" s="34">
        <v>72865</v>
      </c>
      <c r="B13048" s="35">
        <v>1</v>
      </c>
      <c r="C13048" s="35">
        <v>0</v>
      </c>
      <c r="D13048" s="2">
        <f t="shared" si="203"/>
        <v>1</v>
      </c>
    </row>
    <row r="13049" spans="1:4" x14ac:dyDescent="0.3">
      <c r="A13049" s="34">
        <v>72866</v>
      </c>
      <c r="B13049" s="35">
        <v>1</v>
      </c>
      <c r="C13049" s="35">
        <v>0</v>
      </c>
      <c r="D13049" s="2">
        <f t="shared" si="203"/>
        <v>1</v>
      </c>
    </row>
    <row r="13050" spans="1:4" x14ac:dyDescent="0.3">
      <c r="A13050" s="34">
        <v>72868</v>
      </c>
      <c r="B13050" s="35">
        <v>1</v>
      </c>
      <c r="C13050" s="35">
        <v>0</v>
      </c>
      <c r="D13050" s="2">
        <f t="shared" si="203"/>
        <v>1</v>
      </c>
    </row>
    <row r="13051" spans="1:4" x14ac:dyDescent="0.3">
      <c r="A13051" s="34">
        <v>72869</v>
      </c>
      <c r="B13051" s="35">
        <v>1</v>
      </c>
      <c r="C13051" s="35">
        <v>0</v>
      </c>
      <c r="D13051" s="2">
        <f t="shared" si="203"/>
        <v>1</v>
      </c>
    </row>
    <row r="13052" spans="1:4" x14ac:dyDescent="0.3">
      <c r="A13052" s="34">
        <v>72871</v>
      </c>
      <c r="B13052" s="35">
        <v>1</v>
      </c>
      <c r="C13052" s="35">
        <v>1</v>
      </c>
      <c r="D13052" s="2">
        <f t="shared" si="203"/>
        <v>2</v>
      </c>
    </row>
    <row r="13053" spans="1:4" x14ac:dyDescent="0.3">
      <c r="A13053" s="34">
        <v>72877</v>
      </c>
      <c r="B13053" s="35">
        <v>2</v>
      </c>
      <c r="C13053" s="35">
        <v>2</v>
      </c>
      <c r="D13053" s="2">
        <f t="shared" si="203"/>
        <v>4</v>
      </c>
    </row>
    <row r="13054" spans="1:4" x14ac:dyDescent="0.3">
      <c r="A13054" s="34">
        <v>72881</v>
      </c>
      <c r="B13054" s="35">
        <v>1</v>
      </c>
      <c r="C13054" s="35">
        <v>1</v>
      </c>
      <c r="D13054" s="2">
        <f t="shared" si="203"/>
        <v>2</v>
      </c>
    </row>
    <row r="13055" spans="1:4" x14ac:dyDescent="0.3">
      <c r="A13055" s="34">
        <v>72889</v>
      </c>
      <c r="B13055" s="35">
        <v>1</v>
      </c>
      <c r="C13055" s="35">
        <v>0</v>
      </c>
      <c r="D13055" s="2">
        <f t="shared" si="203"/>
        <v>1</v>
      </c>
    </row>
    <row r="13056" spans="1:4" x14ac:dyDescent="0.3">
      <c r="A13056" s="34">
        <v>72890</v>
      </c>
      <c r="B13056" s="35">
        <v>1</v>
      </c>
      <c r="C13056" s="35">
        <v>0</v>
      </c>
      <c r="D13056" s="2">
        <f t="shared" si="203"/>
        <v>1</v>
      </c>
    </row>
    <row r="13057" spans="1:4" x14ac:dyDescent="0.3">
      <c r="A13057" s="34">
        <v>72897</v>
      </c>
      <c r="B13057" s="35">
        <v>1</v>
      </c>
      <c r="C13057" s="35">
        <v>0</v>
      </c>
      <c r="D13057" s="2">
        <f t="shared" si="203"/>
        <v>1</v>
      </c>
    </row>
    <row r="13058" spans="1:4" x14ac:dyDescent="0.3">
      <c r="A13058" s="34">
        <v>72900</v>
      </c>
      <c r="B13058" s="35">
        <v>1</v>
      </c>
      <c r="C13058" s="35">
        <v>0</v>
      </c>
      <c r="D13058" s="2">
        <f t="shared" si="203"/>
        <v>1</v>
      </c>
    </row>
    <row r="13059" spans="1:4" x14ac:dyDescent="0.3">
      <c r="A13059" s="34">
        <v>72901</v>
      </c>
      <c r="B13059" s="35">
        <v>1</v>
      </c>
      <c r="C13059" s="35">
        <v>0</v>
      </c>
      <c r="D13059" s="2">
        <f t="shared" ref="D13059:D13122" si="204">B13059+C13059</f>
        <v>1</v>
      </c>
    </row>
    <row r="13060" spans="1:4" x14ac:dyDescent="0.3">
      <c r="A13060" s="34">
        <v>72902</v>
      </c>
      <c r="B13060" s="35">
        <v>1</v>
      </c>
      <c r="C13060" s="35">
        <v>0</v>
      </c>
      <c r="D13060" s="2">
        <f t="shared" si="204"/>
        <v>1</v>
      </c>
    </row>
    <row r="13061" spans="1:4" x14ac:dyDescent="0.3">
      <c r="A13061" s="34">
        <v>72903</v>
      </c>
      <c r="B13061" s="35">
        <v>1</v>
      </c>
      <c r="C13061" s="35">
        <v>1</v>
      </c>
      <c r="D13061" s="2">
        <f t="shared" si="204"/>
        <v>2</v>
      </c>
    </row>
    <row r="13062" spans="1:4" x14ac:dyDescent="0.3">
      <c r="A13062" s="34">
        <v>72904</v>
      </c>
      <c r="B13062" s="35">
        <v>1</v>
      </c>
      <c r="C13062" s="35">
        <v>0</v>
      </c>
      <c r="D13062" s="2">
        <f t="shared" si="204"/>
        <v>1</v>
      </c>
    </row>
    <row r="13063" spans="1:4" x14ac:dyDescent="0.3">
      <c r="A13063" s="34">
        <v>72905</v>
      </c>
      <c r="B13063" s="35">
        <v>1</v>
      </c>
      <c r="C13063" s="35">
        <v>0</v>
      </c>
      <c r="D13063" s="2">
        <f t="shared" si="204"/>
        <v>1</v>
      </c>
    </row>
    <row r="13064" spans="1:4" x14ac:dyDescent="0.3">
      <c r="A13064" s="34">
        <v>72906</v>
      </c>
      <c r="B13064" s="35">
        <v>1</v>
      </c>
      <c r="C13064" s="35">
        <v>0</v>
      </c>
      <c r="D13064" s="2">
        <f t="shared" si="204"/>
        <v>1</v>
      </c>
    </row>
    <row r="13065" spans="1:4" x14ac:dyDescent="0.3">
      <c r="A13065" s="34">
        <v>72907</v>
      </c>
      <c r="B13065" s="35">
        <v>1</v>
      </c>
      <c r="C13065" s="35">
        <v>0</v>
      </c>
      <c r="D13065" s="2">
        <f t="shared" si="204"/>
        <v>1</v>
      </c>
    </row>
    <row r="13066" spans="1:4" x14ac:dyDescent="0.3">
      <c r="A13066" s="34">
        <v>72908</v>
      </c>
      <c r="B13066" s="35">
        <v>1</v>
      </c>
      <c r="C13066" s="35">
        <v>0</v>
      </c>
      <c r="D13066" s="2">
        <f t="shared" si="204"/>
        <v>1</v>
      </c>
    </row>
    <row r="13067" spans="1:4" x14ac:dyDescent="0.3">
      <c r="A13067" s="34">
        <v>72909</v>
      </c>
      <c r="B13067" s="35">
        <v>1</v>
      </c>
      <c r="C13067" s="35">
        <v>0</v>
      </c>
      <c r="D13067" s="2">
        <f t="shared" si="204"/>
        <v>1</v>
      </c>
    </row>
    <row r="13068" spans="1:4" x14ac:dyDescent="0.3">
      <c r="A13068" s="34">
        <v>72910</v>
      </c>
      <c r="B13068" s="35">
        <v>1</v>
      </c>
      <c r="C13068" s="35">
        <v>0</v>
      </c>
      <c r="D13068" s="2">
        <f t="shared" si="204"/>
        <v>1</v>
      </c>
    </row>
    <row r="13069" spans="1:4" x14ac:dyDescent="0.3">
      <c r="A13069" s="34">
        <v>72911</v>
      </c>
      <c r="B13069" s="35">
        <v>1</v>
      </c>
      <c r="C13069" s="35">
        <v>0</v>
      </c>
      <c r="D13069" s="2">
        <f t="shared" si="204"/>
        <v>1</v>
      </c>
    </row>
    <row r="13070" spans="1:4" x14ac:dyDescent="0.3">
      <c r="A13070" s="34">
        <v>72913</v>
      </c>
      <c r="B13070" s="35">
        <v>1</v>
      </c>
      <c r="C13070" s="35">
        <v>0</v>
      </c>
      <c r="D13070" s="2">
        <f t="shared" si="204"/>
        <v>1</v>
      </c>
    </row>
    <row r="13071" spans="1:4" x14ac:dyDescent="0.3">
      <c r="A13071" s="34">
        <v>72914</v>
      </c>
      <c r="B13071" s="35">
        <v>1</v>
      </c>
      <c r="C13071" s="35">
        <v>0</v>
      </c>
      <c r="D13071" s="2">
        <f t="shared" si="204"/>
        <v>1</v>
      </c>
    </row>
    <row r="13072" spans="1:4" x14ac:dyDescent="0.3">
      <c r="A13072" s="34">
        <v>72915</v>
      </c>
      <c r="B13072" s="35">
        <v>1</v>
      </c>
      <c r="C13072" s="35">
        <v>0</v>
      </c>
      <c r="D13072" s="2">
        <f t="shared" si="204"/>
        <v>1</v>
      </c>
    </row>
    <row r="13073" spans="1:4" x14ac:dyDescent="0.3">
      <c r="A13073" s="34">
        <v>72916</v>
      </c>
      <c r="B13073" s="35">
        <v>1</v>
      </c>
      <c r="C13073" s="35">
        <v>0</v>
      </c>
      <c r="D13073" s="2">
        <f t="shared" si="204"/>
        <v>1</v>
      </c>
    </row>
    <row r="13074" spans="1:4" x14ac:dyDescent="0.3">
      <c r="A13074" s="34">
        <v>72917</v>
      </c>
      <c r="B13074" s="35">
        <v>1</v>
      </c>
      <c r="C13074" s="35">
        <v>0</v>
      </c>
      <c r="D13074" s="2">
        <f t="shared" si="204"/>
        <v>1</v>
      </c>
    </row>
    <row r="13075" spans="1:4" x14ac:dyDescent="0.3">
      <c r="A13075" s="34">
        <v>72920</v>
      </c>
      <c r="B13075" s="35">
        <v>1</v>
      </c>
      <c r="C13075" s="35">
        <v>0</v>
      </c>
      <c r="D13075" s="2">
        <f t="shared" si="204"/>
        <v>1</v>
      </c>
    </row>
    <row r="13076" spans="1:4" x14ac:dyDescent="0.3">
      <c r="A13076" s="34">
        <v>72921</v>
      </c>
      <c r="B13076" s="35">
        <v>1</v>
      </c>
      <c r="C13076" s="35">
        <v>0</v>
      </c>
      <c r="D13076" s="2">
        <f t="shared" si="204"/>
        <v>1</v>
      </c>
    </row>
    <row r="13077" spans="1:4" x14ac:dyDescent="0.3">
      <c r="A13077" s="34">
        <v>72924</v>
      </c>
      <c r="B13077" s="35">
        <v>1</v>
      </c>
      <c r="C13077" s="35">
        <v>0</v>
      </c>
      <c r="D13077" s="2">
        <f t="shared" si="204"/>
        <v>1</v>
      </c>
    </row>
    <row r="13078" spans="1:4" x14ac:dyDescent="0.3">
      <c r="A13078" s="34">
        <v>72927</v>
      </c>
      <c r="B13078" s="35">
        <v>1</v>
      </c>
      <c r="C13078" s="35">
        <v>0</v>
      </c>
      <c r="D13078" s="2">
        <f t="shared" si="204"/>
        <v>1</v>
      </c>
    </row>
    <row r="13079" spans="1:4" x14ac:dyDescent="0.3">
      <c r="A13079" s="34">
        <v>72928</v>
      </c>
      <c r="B13079" s="35">
        <v>1</v>
      </c>
      <c r="C13079" s="35">
        <v>1</v>
      </c>
      <c r="D13079" s="2">
        <f t="shared" si="204"/>
        <v>2</v>
      </c>
    </row>
    <row r="13080" spans="1:4" x14ac:dyDescent="0.3">
      <c r="A13080" s="34">
        <v>72929</v>
      </c>
      <c r="B13080" s="35">
        <v>1</v>
      </c>
      <c r="C13080" s="35">
        <v>1</v>
      </c>
      <c r="D13080" s="2">
        <f t="shared" si="204"/>
        <v>2</v>
      </c>
    </row>
    <row r="13081" spans="1:4" x14ac:dyDescent="0.3">
      <c r="A13081" s="34">
        <v>72932</v>
      </c>
      <c r="B13081" s="35">
        <v>1</v>
      </c>
      <c r="C13081" s="35">
        <v>0</v>
      </c>
      <c r="D13081" s="2">
        <f t="shared" si="204"/>
        <v>1</v>
      </c>
    </row>
    <row r="13082" spans="1:4" x14ac:dyDescent="0.3">
      <c r="A13082" s="34">
        <v>72934</v>
      </c>
      <c r="B13082" s="35">
        <v>1</v>
      </c>
      <c r="C13082" s="35">
        <v>0</v>
      </c>
      <c r="D13082" s="2">
        <f t="shared" si="204"/>
        <v>1</v>
      </c>
    </row>
    <row r="13083" spans="1:4" x14ac:dyDescent="0.3">
      <c r="A13083" s="34">
        <v>72935</v>
      </c>
      <c r="B13083" s="35">
        <v>1</v>
      </c>
      <c r="C13083" s="35">
        <v>0</v>
      </c>
      <c r="D13083" s="2">
        <f t="shared" si="204"/>
        <v>1</v>
      </c>
    </row>
    <row r="13084" spans="1:4" x14ac:dyDescent="0.3">
      <c r="A13084" s="34">
        <v>72936</v>
      </c>
      <c r="B13084" s="35">
        <v>1</v>
      </c>
      <c r="C13084" s="35">
        <v>0</v>
      </c>
      <c r="D13084" s="2">
        <f t="shared" si="204"/>
        <v>1</v>
      </c>
    </row>
    <row r="13085" spans="1:4" x14ac:dyDescent="0.3">
      <c r="A13085" s="34">
        <v>72937</v>
      </c>
      <c r="B13085" s="35">
        <v>1</v>
      </c>
      <c r="C13085" s="35">
        <v>1</v>
      </c>
      <c r="D13085" s="2">
        <f t="shared" si="204"/>
        <v>2</v>
      </c>
    </row>
    <row r="13086" spans="1:4" x14ac:dyDescent="0.3">
      <c r="A13086" s="34">
        <v>72940</v>
      </c>
      <c r="B13086" s="35">
        <v>1</v>
      </c>
      <c r="C13086" s="35">
        <v>0</v>
      </c>
      <c r="D13086" s="2">
        <f t="shared" si="204"/>
        <v>1</v>
      </c>
    </row>
    <row r="13087" spans="1:4" x14ac:dyDescent="0.3">
      <c r="A13087" s="34">
        <v>72941</v>
      </c>
      <c r="B13087" s="35">
        <v>2</v>
      </c>
      <c r="C13087" s="35">
        <v>2</v>
      </c>
      <c r="D13087" s="2">
        <f t="shared" si="204"/>
        <v>4</v>
      </c>
    </row>
    <row r="13088" spans="1:4" x14ac:dyDescent="0.3">
      <c r="A13088" s="34">
        <v>72943</v>
      </c>
      <c r="B13088" s="35">
        <v>1</v>
      </c>
      <c r="C13088" s="35">
        <v>0</v>
      </c>
      <c r="D13088" s="2">
        <f t="shared" si="204"/>
        <v>1</v>
      </c>
    </row>
    <row r="13089" spans="1:4" x14ac:dyDescent="0.3">
      <c r="A13089" s="34">
        <v>72945</v>
      </c>
      <c r="B13089" s="35">
        <v>1</v>
      </c>
      <c r="C13089" s="35">
        <v>0</v>
      </c>
      <c r="D13089" s="2">
        <f t="shared" si="204"/>
        <v>1</v>
      </c>
    </row>
    <row r="13090" spans="1:4" x14ac:dyDescent="0.3">
      <c r="A13090" s="34">
        <v>72948</v>
      </c>
      <c r="B13090" s="35">
        <v>1</v>
      </c>
      <c r="C13090" s="35">
        <v>0</v>
      </c>
      <c r="D13090" s="2">
        <f t="shared" si="204"/>
        <v>1</v>
      </c>
    </row>
    <row r="13091" spans="1:4" x14ac:dyDescent="0.3">
      <c r="A13091" s="34">
        <v>72957</v>
      </c>
      <c r="B13091" s="35">
        <v>1</v>
      </c>
      <c r="C13091" s="35">
        <v>1</v>
      </c>
      <c r="D13091" s="2">
        <f t="shared" si="204"/>
        <v>2</v>
      </c>
    </row>
    <row r="13092" spans="1:4" x14ac:dyDescent="0.3">
      <c r="A13092" s="34">
        <v>72960</v>
      </c>
      <c r="B13092" s="35">
        <v>1</v>
      </c>
      <c r="C13092" s="35">
        <v>1</v>
      </c>
      <c r="D13092" s="2">
        <f t="shared" si="204"/>
        <v>2</v>
      </c>
    </row>
    <row r="13093" spans="1:4" x14ac:dyDescent="0.3">
      <c r="A13093" s="34">
        <v>72962</v>
      </c>
      <c r="B13093" s="35">
        <v>1</v>
      </c>
      <c r="C13093" s="35">
        <v>0</v>
      </c>
      <c r="D13093" s="2">
        <f t="shared" si="204"/>
        <v>1</v>
      </c>
    </row>
    <row r="13094" spans="1:4" x14ac:dyDescent="0.3">
      <c r="A13094" s="34">
        <v>72963</v>
      </c>
      <c r="B13094" s="35">
        <v>1</v>
      </c>
      <c r="C13094" s="35">
        <v>0</v>
      </c>
      <c r="D13094" s="2">
        <f t="shared" si="204"/>
        <v>1</v>
      </c>
    </row>
    <row r="13095" spans="1:4" x14ac:dyDescent="0.3">
      <c r="A13095" s="34">
        <v>72967</v>
      </c>
      <c r="B13095" s="35">
        <v>1</v>
      </c>
      <c r="C13095" s="35">
        <v>0</v>
      </c>
      <c r="D13095" s="2">
        <f t="shared" si="204"/>
        <v>1</v>
      </c>
    </row>
    <row r="13096" spans="1:4" x14ac:dyDescent="0.3">
      <c r="A13096" s="34">
        <v>72974</v>
      </c>
      <c r="B13096" s="35">
        <v>1</v>
      </c>
      <c r="C13096" s="35">
        <v>0</v>
      </c>
      <c r="D13096" s="2">
        <f t="shared" si="204"/>
        <v>1</v>
      </c>
    </row>
    <row r="13097" spans="1:4" x14ac:dyDescent="0.3">
      <c r="A13097" s="34">
        <v>72975</v>
      </c>
      <c r="B13097" s="35">
        <v>1</v>
      </c>
      <c r="C13097" s="35">
        <v>0</v>
      </c>
      <c r="D13097" s="2">
        <f t="shared" si="204"/>
        <v>1</v>
      </c>
    </row>
    <row r="13098" spans="1:4" x14ac:dyDescent="0.3">
      <c r="A13098" s="34">
        <v>72976</v>
      </c>
      <c r="B13098" s="35">
        <v>1</v>
      </c>
      <c r="C13098" s="35">
        <v>0</v>
      </c>
      <c r="D13098" s="2">
        <f t="shared" si="204"/>
        <v>1</v>
      </c>
    </row>
    <row r="13099" spans="1:4" x14ac:dyDescent="0.3">
      <c r="A13099" s="34">
        <v>72977</v>
      </c>
      <c r="B13099" s="35">
        <v>1</v>
      </c>
      <c r="C13099" s="35">
        <v>0</v>
      </c>
      <c r="D13099" s="2">
        <f t="shared" si="204"/>
        <v>1</v>
      </c>
    </row>
    <row r="13100" spans="1:4" x14ac:dyDescent="0.3">
      <c r="A13100" s="34">
        <v>72979</v>
      </c>
      <c r="B13100" s="35">
        <v>1</v>
      </c>
      <c r="C13100" s="35">
        <v>0</v>
      </c>
      <c r="D13100" s="2">
        <f t="shared" si="204"/>
        <v>1</v>
      </c>
    </row>
    <row r="13101" spans="1:4" x14ac:dyDescent="0.3">
      <c r="A13101" s="34">
        <v>72980</v>
      </c>
      <c r="B13101" s="35">
        <v>1</v>
      </c>
      <c r="C13101" s="35">
        <v>0</v>
      </c>
      <c r="D13101" s="2">
        <f t="shared" si="204"/>
        <v>1</v>
      </c>
    </row>
    <row r="13102" spans="1:4" x14ac:dyDescent="0.3">
      <c r="A13102" s="34">
        <v>72982</v>
      </c>
      <c r="B13102" s="35">
        <v>1</v>
      </c>
      <c r="C13102" s="35">
        <v>0</v>
      </c>
      <c r="D13102" s="2">
        <f t="shared" si="204"/>
        <v>1</v>
      </c>
    </row>
    <row r="13103" spans="1:4" x14ac:dyDescent="0.3">
      <c r="A13103" s="34">
        <v>72983</v>
      </c>
      <c r="B13103" s="35">
        <v>1</v>
      </c>
      <c r="C13103" s="35">
        <v>0</v>
      </c>
      <c r="D13103" s="2">
        <f t="shared" si="204"/>
        <v>1</v>
      </c>
    </row>
    <row r="13104" spans="1:4" x14ac:dyDescent="0.3">
      <c r="A13104" s="34">
        <v>72988</v>
      </c>
      <c r="B13104" s="35">
        <v>1</v>
      </c>
      <c r="C13104" s="35">
        <v>0</v>
      </c>
      <c r="D13104" s="2">
        <f t="shared" si="204"/>
        <v>1</v>
      </c>
    </row>
    <row r="13105" spans="1:4" x14ac:dyDescent="0.3">
      <c r="A13105" s="34">
        <v>72997</v>
      </c>
      <c r="B13105" s="35">
        <v>1</v>
      </c>
      <c r="C13105" s="35">
        <v>0</v>
      </c>
      <c r="D13105" s="2">
        <f t="shared" si="204"/>
        <v>1</v>
      </c>
    </row>
    <row r="13106" spans="1:4" x14ac:dyDescent="0.3">
      <c r="A13106" s="34">
        <v>72998</v>
      </c>
      <c r="B13106" s="35">
        <v>1</v>
      </c>
      <c r="C13106" s="35">
        <v>0</v>
      </c>
      <c r="D13106" s="2">
        <f t="shared" si="204"/>
        <v>1</v>
      </c>
    </row>
    <row r="13107" spans="1:4" x14ac:dyDescent="0.3">
      <c r="A13107" s="34">
        <v>73000</v>
      </c>
      <c r="B13107" s="35">
        <v>1</v>
      </c>
      <c r="C13107" s="35">
        <v>1</v>
      </c>
      <c r="D13107" s="2">
        <f t="shared" si="204"/>
        <v>2</v>
      </c>
    </row>
    <row r="13108" spans="1:4" x14ac:dyDescent="0.3">
      <c r="A13108" s="34">
        <v>73008</v>
      </c>
      <c r="B13108" s="35">
        <v>1</v>
      </c>
      <c r="C13108" s="35">
        <v>0</v>
      </c>
      <c r="D13108" s="2">
        <f t="shared" si="204"/>
        <v>1</v>
      </c>
    </row>
    <row r="13109" spans="1:4" x14ac:dyDescent="0.3">
      <c r="A13109" s="34">
        <v>73011</v>
      </c>
      <c r="B13109" s="35">
        <v>1</v>
      </c>
      <c r="C13109" s="35">
        <v>0</v>
      </c>
      <c r="D13109" s="2">
        <f t="shared" si="204"/>
        <v>1</v>
      </c>
    </row>
    <row r="13110" spans="1:4" x14ac:dyDescent="0.3">
      <c r="A13110" s="34">
        <v>73026</v>
      </c>
      <c r="B13110" s="35">
        <v>1</v>
      </c>
      <c r="C13110" s="35">
        <v>0</v>
      </c>
      <c r="D13110" s="2">
        <f t="shared" si="204"/>
        <v>1</v>
      </c>
    </row>
    <row r="13111" spans="1:4" x14ac:dyDescent="0.3">
      <c r="A13111" s="34">
        <v>73028</v>
      </c>
      <c r="B13111" s="35">
        <v>1</v>
      </c>
      <c r="C13111" s="35">
        <v>0</v>
      </c>
      <c r="D13111" s="2">
        <f t="shared" si="204"/>
        <v>1</v>
      </c>
    </row>
    <row r="13112" spans="1:4" x14ac:dyDescent="0.3">
      <c r="A13112" s="34">
        <v>73033</v>
      </c>
      <c r="B13112" s="35">
        <v>1</v>
      </c>
      <c r="C13112" s="35">
        <v>0</v>
      </c>
      <c r="D13112" s="2">
        <f t="shared" si="204"/>
        <v>1</v>
      </c>
    </row>
    <row r="13113" spans="1:4" x14ac:dyDescent="0.3">
      <c r="A13113" s="34">
        <v>73035</v>
      </c>
      <c r="B13113" s="35">
        <v>1</v>
      </c>
      <c r="C13113" s="35">
        <v>0</v>
      </c>
      <c r="D13113" s="2">
        <f t="shared" si="204"/>
        <v>1</v>
      </c>
    </row>
    <row r="13114" spans="1:4" x14ac:dyDescent="0.3">
      <c r="A13114" s="34">
        <v>73036</v>
      </c>
      <c r="B13114" s="35">
        <v>1</v>
      </c>
      <c r="C13114" s="35">
        <v>0</v>
      </c>
      <c r="D13114" s="2">
        <f t="shared" si="204"/>
        <v>1</v>
      </c>
    </row>
    <row r="13115" spans="1:4" x14ac:dyDescent="0.3">
      <c r="A13115" s="34">
        <v>73037</v>
      </c>
      <c r="B13115" s="35">
        <v>2</v>
      </c>
      <c r="C13115" s="35">
        <v>1</v>
      </c>
      <c r="D13115" s="2">
        <f t="shared" si="204"/>
        <v>3</v>
      </c>
    </row>
    <row r="13116" spans="1:4" x14ac:dyDescent="0.3">
      <c r="A13116" s="34">
        <v>73043</v>
      </c>
      <c r="B13116" s="35">
        <v>1</v>
      </c>
      <c r="C13116" s="35">
        <v>1</v>
      </c>
      <c r="D13116" s="2">
        <f t="shared" si="204"/>
        <v>2</v>
      </c>
    </row>
    <row r="13117" spans="1:4" x14ac:dyDescent="0.3">
      <c r="A13117" s="34">
        <v>73044</v>
      </c>
      <c r="B13117" s="35">
        <v>1</v>
      </c>
      <c r="C13117" s="35">
        <v>0</v>
      </c>
      <c r="D13117" s="2">
        <f t="shared" si="204"/>
        <v>1</v>
      </c>
    </row>
    <row r="13118" spans="1:4" x14ac:dyDescent="0.3">
      <c r="A13118" s="34">
        <v>73045</v>
      </c>
      <c r="B13118" s="35">
        <v>1</v>
      </c>
      <c r="C13118" s="35">
        <v>0</v>
      </c>
      <c r="D13118" s="2">
        <f t="shared" si="204"/>
        <v>1</v>
      </c>
    </row>
    <row r="13119" spans="1:4" x14ac:dyDescent="0.3">
      <c r="A13119" s="34">
        <v>73048</v>
      </c>
      <c r="B13119" s="35">
        <v>1</v>
      </c>
      <c r="C13119" s="35">
        <v>0</v>
      </c>
      <c r="D13119" s="2">
        <f t="shared" si="204"/>
        <v>1</v>
      </c>
    </row>
    <row r="13120" spans="1:4" x14ac:dyDescent="0.3">
      <c r="A13120" s="34">
        <v>73049</v>
      </c>
      <c r="B13120" s="35">
        <v>1</v>
      </c>
      <c r="C13120" s="35">
        <v>0</v>
      </c>
      <c r="D13120" s="2">
        <f t="shared" si="204"/>
        <v>1</v>
      </c>
    </row>
    <row r="13121" spans="1:4" x14ac:dyDescent="0.3">
      <c r="A13121" s="34">
        <v>73053</v>
      </c>
      <c r="B13121" s="35">
        <v>1</v>
      </c>
      <c r="C13121" s="35">
        <v>0</v>
      </c>
      <c r="D13121" s="2">
        <f t="shared" si="204"/>
        <v>1</v>
      </c>
    </row>
    <row r="13122" spans="1:4" x14ac:dyDescent="0.3">
      <c r="A13122" s="34">
        <v>73055</v>
      </c>
      <c r="B13122" s="35">
        <v>1</v>
      </c>
      <c r="C13122" s="35">
        <v>0</v>
      </c>
      <c r="D13122" s="2">
        <f t="shared" si="204"/>
        <v>1</v>
      </c>
    </row>
    <row r="13123" spans="1:4" x14ac:dyDescent="0.3">
      <c r="A13123" s="34">
        <v>73059</v>
      </c>
      <c r="B13123" s="35">
        <v>1</v>
      </c>
      <c r="C13123" s="35">
        <v>0</v>
      </c>
      <c r="D13123" s="2">
        <f t="shared" ref="D13123:D13186" si="205">B13123+C13123</f>
        <v>1</v>
      </c>
    </row>
    <row r="13124" spans="1:4" x14ac:dyDescent="0.3">
      <c r="A13124" s="34">
        <v>73061</v>
      </c>
      <c r="B13124" s="35">
        <v>2</v>
      </c>
      <c r="C13124" s="35">
        <v>0</v>
      </c>
      <c r="D13124" s="2">
        <f t="shared" si="205"/>
        <v>2</v>
      </c>
    </row>
    <row r="13125" spans="1:4" x14ac:dyDescent="0.3">
      <c r="A13125" s="34">
        <v>73071</v>
      </c>
      <c r="B13125" s="35">
        <v>1</v>
      </c>
      <c r="C13125" s="35">
        <v>0</v>
      </c>
      <c r="D13125" s="2">
        <f t="shared" si="205"/>
        <v>1</v>
      </c>
    </row>
    <row r="13126" spans="1:4" x14ac:dyDescent="0.3">
      <c r="A13126" s="34">
        <v>73076</v>
      </c>
      <c r="B13126" s="35">
        <v>1</v>
      </c>
      <c r="C13126" s="35">
        <v>0</v>
      </c>
      <c r="D13126" s="2">
        <f t="shared" si="205"/>
        <v>1</v>
      </c>
    </row>
    <row r="13127" spans="1:4" x14ac:dyDescent="0.3">
      <c r="A13127" s="34">
        <v>73077</v>
      </c>
      <c r="B13127" s="35">
        <v>1</v>
      </c>
      <c r="C13127" s="35">
        <v>0</v>
      </c>
      <c r="D13127" s="2">
        <f t="shared" si="205"/>
        <v>1</v>
      </c>
    </row>
    <row r="13128" spans="1:4" x14ac:dyDescent="0.3">
      <c r="A13128" s="34">
        <v>73081</v>
      </c>
      <c r="B13128" s="35">
        <v>1</v>
      </c>
      <c r="C13128" s="35">
        <v>0</v>
      </c>
      <c r="D13128" s="2">
        <f t="shared" si="205"/>
        <v>1</v>
      </c>
    </row>
    <row r="13129" spans="1:4" x14ac:dyDescent="0.3">
      <c r="A13129" s="34">
        <v>73082</v>
      </c>
      <c r="B13129" s="35">
        <v>1</v>
      </c>
      <c r="C13129" s="35">
        <v>0</v>
      </c>
      <c r="D13129" s="2">
        <f t="shared" si="205"/>
        <v>1</v>
      </c>
    </row>
    <row r="13130" spans="1:4" x14ac:dyDescent="0.3">
      <c r="A13130" s="34">
        <v>73083</v>
      </c>
      <c r="B13130" s="35">
        <v>1</v>
      </c>
      <c r="C13130" s="35">
        <v>0</v>
      </c>
      <c r="D13130" s="2">
        <f t="shared" si="205"/>
        <v>1</v>
      </c>
    </row>
    <row r="13131" spans="1:4" x14ac:dyDescent="0.3">
      <c r="A13131" s="34">
        <v>73101</v>
      </c>
      <c r="B13131" s="35">
        <v>2</v>
      </c>
      <c r="C13131" s="35">
        <v>2</v>
      </c>
      <c r="D13131" s="2">
        <f t="shared" si="205"/>
        <v>4</v>
      </c>
    </row>
    <row r="13132" spans="1:4" x14ac:dyDescent="0.3">
      <c r="A13132" s="34">
        <v>73102</v>
      </c>
      <c r="B13132" s="35">
        <v>1</v>
      </c>
      <c r="C13132" s="35">
        <v>0</v>
      </c>
      <c r="D13132" s="2">
        <f t="shared" si="205"/>
        <v>1</v>
      </c>
    </row>
    <row r="13133" spans="1:4" x14ac:dyDescent="0.3">
      <c r="A13133" s="34">
        <v>73112</v>
      </c>
      <c r="B13133" s="35">
        <v>1</v>
      </c>
      <c r="C13133" s="35">
        <v>1</v>
      </c>
      <c r="D13133" s="2">
        <f t="shared" si="205"/>
        <v>2</v>
      </c>
    </row>
    <row r="13134" spans="1:4" x14ac:dyDescent="0.3">
      <c r="A13134" s="34">
        <v>73127</v>
      </c>
      <c r="B13134" s="35">
        <v>1</v>
      </c>
      <c r="C13134" s="35">
        <v>0</v>
      </c>
      <c r="D13134" s="2">
        <f t="shared" si="205"/>
        <v>1</v>
      </c>
    </row>
    <row r="13135" spans="1:4" x14ac:dyDescent="0.3">
      <c r="A13135" s="34">
        <v>73152</v>
      </c>
      <c r="B13135" s="35">
        <v>1</v>
      </c>
      <c r="C13135" s="35">
        <v>0</v>
      </c>
      <c r="D13135" s="2">
        <f t="shared" si="205"/>
        <v>1</v>
      </c>
    </row>
    <row r="13136" spans="1:4" x14ac:dyDescent="0.3">
      <c r="A13136" s="34">
        <v>73153</v>
      </c>
      <c r="B13136" s="35">
        <v>1</v>
      </c>
      <c r="C13136" s="35">
        <v>0</v>
      </c>
      <c r="D13136" s="2">
        <f t="shared" si="205"/>
        <v>1</v>
      </c>
    </row>
    <row r="13137" spans="1:4" x14ac:dyDescent="0.3">
      <c r="A13137" s="34">
        <v>73154</v>
      </c>
      <c r="B13137" s="35">
        <v>1</v>
      </c>
      <c r="C13137" s="35">
        <v>1</v>
      </c>
      <c r="D13137" s="2">
        <f t="shared" si="205"/>
        <v>2</v>
      </c>
    </row>
    <row r="13138" spans="1:4" x14ac:dyDescent="0.3">
      <c r="A13138" s="34">
        <v>73167</v>
      </c>
      <c r="B13138" s="35">
        <v>1</v>
      </c>
      <c r="C13138" s="35">
        <v>0</v>
      </c>
      <c r="D13138" s="2">
        <f t="shared" si="205"/>
        <v>1</v>
      </c>
    </row>
    <row r="13139" spans="1:4" x14ac:dyDescent="0.3">
      <c r="A13139" s="34">
        <v>73175</v>
      </c>
      <c r="B13139" s="35">
        <v>1</v>
      </c>
      <c r="C13139" s="35">
        <v>0</v>
      </c>
      <c r="D13139" s="2">
        <f t="shared" si="205"/>
        <v>1</v>
      </c>
    </row>
    <row r="13140" spans="1:4" x14ac:dyDescent="0.3">
      <c r="A13140" s="34">
        <v>73193</v>
      </c>
      <c r="B13140" s="35">
        <v>1</v>
      </c>
      <c r="C13140" s="35">
        <v>0</v>
      </c>
      <c r="D13140" s="2">
        <f t="shared" si="205"/>
        <v>1</v>
      </c>
    </row>
    <row r="13141" spans="1:4" x14ac:dyDescent="0.3">
      <c r="A13141" s="34">
        <v>73194</v>
      </c>
      <c r="B13141" s="35">
        <v>1</v>
      </c>
      <c r="C13141" s="35">
        <v>0</v>
      </c>
      <c r="D13141" s="2">
        <f t="shared" si="205"/>
        <v>1</v>
      </c>
    </row>
    <row r="13142" spans="1:4" x14ac:dyDescent="0.3">
      <c r="A13142" s="34">
        <v>73195</v>
      </c>
      <c r="B13142" s="35">
        <v>1</v>
      </c>
      <c r="C13142" s="35">
        <v>0</v>
      </c>
      <c r="D13142" s="2">
        <f t="shared" si="205"/>
        <v>1</v>
      </c>
    </row>
    <row r="13143" spans="1:4" x14ac:dyDescent="0.3">
      <c r="A13143" s="34">
        <v>73196</v>
      </c>
      <c r="B13143" s="35">
        <v>1</v>
      </c>
      <c r="C13143" s="35">
        <v>0</v>
      </c>
      <c r="D13143" s="2">
        <f t="shared" si="205"/>
        <v>1</v>
      </c>
    </row>
    <row r="13144" spans="1:4" x14ac:dyDescent="0.3">
      <c r="A13144" s="34">
        <v>73205</v>
      </c>
      <c r="B13144" s="35">
        <v>1</v>
      </c>
      <c r="C13144" s="35">
        <v>0</v>
      </c>
      <c r="D13144" s="2">
        <f t="shared" si="205"/>
        <v>1</v>
      </c>
    </row>
    <row r="13145" spans="1:4" x14ac:dyDescent="0.3">
      <c r="A13145" s="34">
        <v>73206</v>
      </c>
      <c r="B13145" s="35">
        <v>1</v>
      </c>
      <c r="C13145" s="35">
        <v>0</v>
      </c>
      <c r="D13145" s="2">
        <f t="shared" si="205"/>
        <v>1</v>
      </c>
    </row>
    <row r="13146" spans="1:4" x14ac:dyDescent="0.3">
      <c r="A13146" s="34">
        <v>73208</v>
      </c>
      <c r="B13146" s="35">
        <v>1</v>
      </c>
      <c r="C13146" s="35">
        <v>0</v>
      </c>
      <c r="D13146" s="2">
        <f t="shared" si="205"/>
        <v>1</v>
      </c>
    </row>
    <row r="13147" spans="1:4" x14ac:dyDescent="0.3">
      <c r="A13147" s="34">
        <v>73211</v>
      </c>
      <c r="B13147" s="35">
        <v>1</v>
      </c>
      <c r="C13147" s="35">
        <v>0</v>
      </c>
      <c r="D13147" s="2">
        <f t="shared" si="205"/>
        <v>1</v>
      </c>
    </row>
    <row r="13148" spans="1:4" x14ac:dyDescent="0.3">
      <c r="A13148" s="34">
        <v>73215</v>
      </c>
      <c r="B13148" s="35">
        <v>1</v>
      </c>
      <c r="C13148" s="35">
        <v>0</v>
      </c>
      <c r="D13148" s="2">
        <f t="shared" si="205"/>
        <v>1</v>
      </c>
    </row>
    <row r="13149" spans="1:4" x14ac:dyDescent="0.3">
      <c r="A13149" s="34">
        <v>73221</v>
      </c>
      <c r="B13149" s="35">
        <v>1</v>
      </c>
      <c r="C13149" s="35">
        <v>0</v>
      </c>
      <c r="D13149" s="2">
        <f t="shared" si="205"/>
        <v>1</v>
      </c>
    </row>
    <row r="13150" spans="1:4" x14ac:dyDescent="0.3">
      <c r="A13150" s="34">
        <v>73224</v>
      </c>
      <c r="B13150" s="35">
        <v>1</v>
      </c>
      <c r="C13150" s="35">
        <v>0</v>
      </c>
      <c r="D13150" s="2">
        <f t="shared" si="205"/>
        <v>1</v>
      </c>
    </row>
    <row r="13151" spans="1:4" x14ac:dyDescent="0.3">
      <c r="A13151" s="34">
        <v>73228</v>
      </c>
      <c r="B13151" s="35">
        <v>1</v>
      </c>
      <c r="C13151" s="35">
        <v>0</v>
      </c>
      <c r="D13151" s="2">
        <f t="shared" si="205"/>
        <v>1</v>
      </c>
    </row>
    <row r="13152" spans="1:4" x14ac:dyDescent="0.3">
      <c r="A13152" s="34">
        <v>73229</v>
      </c>
      <c r="B13152" s="35">
        <v>1</v>
      </c>
      <c r="C13152" s="35">
        <v>0</v>
      </c>
      <c r="D13152" s="2">
        <f t="shared" si="205"/>
        <v>1</v>
      </c>
    </row>
    <row r="13153" spans="1:4" x14ac:dyDescent="0.3">
      <c r="A13153" s="34">
        <v>73247</v>
      </c>
      <c r="B13153" s="35">
        <v>1</v>
      </c>
      <c r="C13153" s="35">
        <v>0</v>
      </c>
      <c r="D13153" s="2">
        <f t="shared" si="205"/>
        <v>1</v>
      </c>
    </row>
    <row r="13154" spans="1:4" x14ac:dyDescent="0.3">
      <c r="A13154" s="34">
        <v>73250</v>
      </c>
      <c r="B13154" s="35">
        <v>1</v>
      </c>
      <c r="C13154" s="35">
        <v>0</v>
      </c>
      <c r="D13154" s="2">
        <f t="shared" si="205"/>
        <v>1</v>
      </c>
    </row>
    <row r="13155" spans="1:4" x14ac:dyDescent="0.3">
      <c r="A13155" s="34">
        <v>73251</v>
      </c>
      <c r="B13155" s="35">
        <v>1</v>
      </c>
      <c r="C13155" s="35">
        <v>0</v>
      </c>
      <c r="D13155" s="2">
        <f t="shared" si="205"/>
        <v>1</v>
      </c>
    </row>
    <row r="13156" spans="1:4" x14ac:dyDescent="0.3">
      <c r="A13156" s="34">
        <v>73254</v>
      </c>
      <c r="B13156" s="35">
        <v>1</v>
      </c>
      <c r="C13156" s="35">
        <v>0</v>
      </c>
      <c r="D13156" s="2">
        <f t="shared" si="205"/>
        <v>1</v>
      </c>
    </row>
    <row r="13157" spans="1:4" x14ac:dyDescent="0.3">
      <c r="A13157" s="34">
        <v>73255</v>
      </c>
      <c r="B13157" s="35">
        <v>1</v>
      </c>
      <c r="C13157" s="35">
        <v>0</v>
      </c>
      <c r="D13157" s="2">
        <f t="shared" si="205"/>
        <v>1</v>
      </c>
    </row>
    <row r="13158" spans="1:4" x14ac:dyDescent="0.3">
      <c r="A13158" s="34">
        <v>73268</v>
      </c>
      <c r="B13158" s="35">
        <v>1</v>
      </c>
      <c r="C13158" s="35">
        <v>0</v>
      </c>
      <c r="D13158" s="2">
        <f t="shared" si="205"/>
        <v>1</v>
      </c>
    </row>
    <row r="13159" spans="1:4" x14ac:dyDescent="0.3">
      <c r="A13159" s="34">
        <v>73269</v>
      </c>
      <c r="B13159" s="35">
        <v>1</v>
      </c>
      <c r="C13159" s="35">
        <v>0</v>
      </c>
      <c r="D13159" s="2">
        <f t="shared" si="205"/>
        <v>1</v>
      </c>
    </row>
    <row r="13160" spans="1:4" x14ac:dyDescent="0.3">
      <c r="A13160" s="34">
        <v>73270</v>
      </c>
      <c r="B13160" s="35">
        <v>1</v>
      </c>
      <c r="C13160" s="35">
        <v>0</v>
      </c>
      <c r="D13160" s="2">
        <f t="shared" si="205"/>
        <v>1</v>
      </c>
    </row>
    <row r="13161" spans="1:4" x14ac:dyDescent="0.3">
      <c r="A13161" s="34">
        <v>73271</v>
      </c>
      <c r="B13161" s="35">
        <v>1</v>
      </c>
      <c r="C13161" s="35">
        <v>0</v>
      </c>
      <c r="D13161" s="2">
        <f t="shared" si="205"/>
        <v>1</v>
      </c>
    </row>
    <row r="13162" spans="1:4" x14ac:dyDescent="0.3">
      <c r="A13162" s="34">
        <v>73272</v>
      </c>
      <c r="B13162" s="35">
        <v>1</v>
      </c>
      <c r="C13162" s="35">
        <v>0</v>
      </c>
      <c r="D13162" s="2">
        <f t="shared" si="205"/>
        <v>1</v>
      </c>
    </row>
    <row r="13163" spans="1:4" x14ac:dyDescent="0.3">
      <c r="A13163" s="34">
        <v>73273</v>
      </c>
      <c r="B13163" s="35">
        <v>1</v>
      </c>
      <c r="C13163" s="35">
        <v>0</v>
      </c>
      <c r="D13163" s="2">
        <f t="shared" si="205"/>
        <v>1</v>
      </c>
    </row>
    <row r="13164" spans="1:4" x14ac:dyDescent="0.3">
      <c r="A13164" s="34">
        <v>73274</v>
      </c>
      <c r="B13164" s="35">
        <v>1</v>
      </c>
      <c r="C13164" s="35">
        <v>0</v>
      </c>
      <c r="D13164" s="2">
        <f t="shared" si="205"/>
        <v>1</v>
      </c>
    </row>
    <row r="13165" spans="1:4" x14ac:dyDescent="0.3">
      <c r="A13165" s="34">
        <v>73275</v>
      </c>
      <c r="B13165" s="35">
        <v>1</v>
      </c>
      <c r="C13165" s="35">
        <v>0</v>
      </c>
      <c r="D13165" s="2">
        <f t="shared" si="205"/>
        <v>1</v>
      </c>
    </row>
    <row r="13166" spans="1:4" x14ac:dyDescent="0.3">
      <c r="A13166" s="34">
        <v>73277</v>
      </c>
      <c r="B13166" s="35">
        <v>1</v>
      </c>
      <c r="C13166" s="35">
        <v>0</v>
      </c>
      <c r="D13166" s="2">
        <f t="shared" si="205"/>
        <v>1</v>
      </c>
    </row>
    <row r="13167" spans="1:4" x14ac:dyDescent="0.3">
      <c r="A13167" s="34">
        <v>73279</v>
      </c>
      <c r="B13167" s="35">
        <v>1</v>
      </c>
      <c r="C13167" s="35">
        <v>0</v>
      </c>
      <c r="D13167" s="2">
        <f t="shared" si="205"/>
        <v>1</v>
      </c>
    </row>
    <row r="13168" spans="1:4" x14ac:dyDescent="0.3">
      <c r="A13168" s="34">
        <v>73290</v>
      </c>
      <c r="B13168" s="35">
        <v>1</v>
      </c>
      <c r="C13168" s="35">
        <v>0</v>
      </c>
      <c r="D13168" s="2">
        <f t="shared" si="205"/>
        <v>1</v>
      </c>
    </row>
    <row r="13169" spans="1:4" x14ac:dyDescent="0.3">
      <c r="A13169" s="34">
        <v>73291</v>
      </c>
      <c r="B13169" s="35">
        <v>1</v>
      </c>
      <c r="C13169" s="35">
        <v>0</v>
      </c>
      <c r="D13169" s="2">
        <f t="shared" si="205"/>
        <v>1</v>
      </c>
    </row>
    <row r="13170" spans="1:4" x14ac:dyDescent="0.3">
      <c r="A13170" s="34">
        <v>73313</v>
      </c>
      <c r="B13170" s="35">
        <v>1</v>
      </c>
      <c r="C13170" s="35">
        <v>0</v>
      </c>
      <c r="D13170" s="2">
        <f t="shared" si="205"/>
        <v>1</v>
      </c>
    </row>
    <row r="13171" spans="1:4" x14ac:dyDescent="0.3">
      <c r="A13171" s="34">
        <v>73318</v>
      </c>
      <c r="B13171" s="35">
        <v>1</v>
      </c>
      <c r="C13171" s="35">
        <v>0</v>
      </c>
      <c r="D13171" s="2">
        <f t="shared" si="205"/>
        <v>1</v>
      </c>
    </row>
    <row r="13172" spans="1:4" x14ac:dyDescent="0.3">
      <c r="A13172" s="34">
        <v>73328</v>
      </c>
      <c r="B13172" s="35">
        <v>1</v>
      </c>
      <c r="C13172" s="35">
        <v>0</v>
      </c>
      <c r="D13172" s="2">
        <f t="shared" si="205"/>
        <v>1</v>
      </c>
    </row>
    <row r="13173" spans="1:4" x14ac:dyDescent="0.3">
      <c r="A13173" s="34">
        <v>73331</v>
      </c>
      <c r="B13173" s="35">
        <v>1</v>
      </c>
      <c r="C13173" s="35">
        <v>0</v>
      </c>
      <c r="D13173" s="2">
        <f t="shared" si="205"/>
        <v>1</v>
      </c>
    </row>
    <row r="13174" spans="1:4" x14ac:dyDescent="0.3">
      <c r="A13174" s="34">
        <v>73332</v>
      </c>
      <c r="B13174" s="35">
        <v>1</v>
      </c>
      <c r="C13174" s="35">
        <v>0</v>
      </c>
      <c r="D13174" s="2">
        <f t="shared" si="205"/>
        <v>1</v>
      </c>
    </row>
    <row r="13175" spans="1:4" x14ac:dyDescent="0.3">
      <c r="A13175" s="34">
        <v>73335</v>
      </c>
      <c r="B13175" s="35">
        <v>1</v>
      </c>
      <c r="C13175" s="35">
        <v>0</v>
      </c>
      <c r="D13175" s="2">
        <f t="shared" si="205"/>
        <v>1</v>
      </c>
    </row>
    <row r="13176" spans="1:4" x14ac:dyDescent="0.3">
      <c r="A13176" s="34">
        <v>73337</v>
      </c>
      <c r="B13176" s="35">
        <v>1</v>
      </c>
      <c r="C13176" s="35">
        <v>0</v>
      </c>
      <c r="D13176" s="2">
        <f t="shared" si="205"/>
        <v>1</v>
      </c>
    </row>
    <row r="13177" spans="1:4" x14ac:dyDescent="0.3">
      <c r="A13177" s="34">
        <v>73340</v>
      </c>
      <c r="B13177" s="35">
        <v>1</v>
      </c>
      <c r="C13177" s="35">
        <v>0</v>
      </c>
      <c r="D13177" s="2">
        <f t="shared" si="205"/>
        <v>1</v>
      </c>
    </row>
    <row r="13178" spans="1:4" x14ac:dyDescent="0.3">
      <c r="A13178" s="34">
        <v>73341</v>
      </c>
      <c r="B13178" s="35">
        <v>1</v>
      </c>
      <c r="C13178" s="35">
        <v>0</v>
      </c>
      <c r="D13178" s="2">
        <f t="shared" si="205"/>
        <v>1</v>
      </c>
    </row>
    <row r="13179" spans="1:4" x14ac:dyDescent="0.3">
      <c r="A13179" s="34">
        <v>73344</v>
      </c>
      <c r="B13179" s="35">
        <v>1</v>
      </c>
      <c r="C13179" s="35">
        <v>1</v>
      </c>
      <c r="D13179" s="2">
        <f t="shared" si="205"/>
        <v>2</v>
      </c>
    </row>
    <row r="13180" spans="1:4" x14ac:dyDescent="0.3">
      <c r="A13180" s="34">
        <v>73348</v>
      </c>
      <c r="B13180" s="35">
        <v>1</v>
      </c>
      <c r="C13180" s="35">
        <v>0</v>
      </c>
      <c r="D13180" s="2">
        <f t="shared" si="205"/>
        <v>1</v>
      </c>
    </row>
    <row r="13181" spans="1:4" x14ac:dyDescent="0.3">
      <c r="A13181" s="34">
        <v>73349</v>
      </c>
      <c r="B13181" s="35">
        <v>1</v>
      </c>
      <c r="C13181" s="35">
        <v>1</v>
      </c>
      <c r="D13181" s="2">
        <f t="shared" si="205"/>
        <v>2</v>
      </c>
    </row>
    <row r="13182" spans="1:4" x14ac:dyDescent="0.3">
      <c r="A13182" s="34">
        <v>73350</v>
      </c>
      <c r="B13182" s="35">
        <v>1</v>
      </c>
      <c r="C13182" s="35">
        <v>0</v>
      </c>
      <c r="D13182" s="2">
        <f t="shared" si="205"/>
        <v>1</v>
      </c>
    </row>
    <row r="13183" spans="1:4" x14ac:dyDescent="0.3">
      <c r="A13183" s="34">
        <v>73370</v>
      </c>
      <c r="B13183" s="35">
        <v>1</v>
      </c>
      <c r="C13183" s="35">
        <v>0</v>
      </c>
      <c r="D13183" s="2">
        <f t="shared" si="205"/>
        <v>1</v>
      </c>
    </row>
    <row r="13184" spans="1:4" x14ac:dyDescent="0.3">
      <c r="A13184" s="34">
        <v>73371</v>
      </c>
      <c r="B13184" s="35">
        <v>1</v>
      </c>
      <c r="C13184" s="35">
        <v>0</v>
      </c>
      <c r="D13184" s="2">
        <f t="shared" si="205"/>
        <v>1</v>
      </c>
    </row>
    <row r="13185" spans="1:4" x14ac:dyDescent="0.3">
      <c r="A13185" s="34">
        <v>73372</v>
      </c>
      <c r="B13185" s="35">
        <v>1</v>
      </c>
      <c r="C13185" s="35">
        <v>0</v>
      </c>
      <c r="D13185" s="2">
        <f t="shared" si="205"/>
        <v>1</v>
      </c>
    </row>
    <row r="13186" spans="1:4" x14ac:dyDescent="0.3">
      <c r="A13186" s="34">
        <v>73373</v>
      </c>
      <c r="B13186" s="35">
        <v>1</v>
      </c>
      <c r="C13186" s="35">
        <v>0</v>
      </c>
      <c r="D13186" s="2">
        <f t="shared" si="205"/>
        <v>1</v>
      </c>
    </row>
    <row r="13187" spans="1:4" x14ac:dyDescent="0.3">
      <c r="A13187" s="34">
        <v>73376</v>
      </c>
      <c r="B13187" s="35">
        <v>1</v>
      </c>
      <c r="C13187" s="35">
        <v>0</v>
      </c>
      <c r="D13187" s="2">
        <f t="shared" ref="D13187:D13250" si="206">B13187+C13187</f>
        <v>1</v>
      </c>
    </row>
    <row r="13188" spans="1:4" x14ac:dyDescent="0.3">
      <c r="A13188" s="34">
        <v>73378</v>
      </c>
      <c r="B13188" s="35">
        <v>1</v>
      </c>
      <c r="C13188" s="35">
        <v>0</v>
      </c>
      <c r="D13188" s="2">
        <f t="shared" si="206"/>
        <v>1</v>
      </c>
    </row>
    <row r="13189" spans="1:4" x14ac:dyDescent="0.3">
      <c r="A13189" s="34">
        <v>73383</v>
      </c>
      <c r="B13189" s="35">
        <v>1</v>
      </c>
      <c r="C13189" s="35">
        <v>0</v>
      </c>
      <c r="D13189" s="2">
        <f t="shared" si="206"/>
        <v>1</v>
      </c>
    </row>
    <row r="13190" spans="1:4" x14ac:dyDescent="0.3">
      <c r="A13190" s="34">
        <v>73384</v>
      </c>
      <c r="B13190" s="35">
        <v>1</v>
      </c>
      <c r="C13190" s="35">
        <v>0</v>
      </c>
      <c r="D13190" s="2">
        <f t="shared" si="206"/>
        <v>1</v>
      </c>
    </row>
    <row r="13191" spans="1:4" x14ac:dyDescent="0.3">
      <c r="A13191" s="34">
        <v>73388</v>
      </c>
      <c r="B13191" s="35">
        <v>1</v>
      </c>
      <c r="C13191" s="35">
        <v>0</v>
      </c>
      <c r="D13191" s="2">
        <f t="shared" si="206"/>
        <v>1</v>
      </c>
    </row>
    <row r="13192" spans="1:4" x14ac:dyDescent="0.3">
      <c r="A13192" s="34">
        <v>73401</v>
      </c>
      <c r="B13192" s="35">
        <v>1</v>
      </c>
      <c r="C13192" s="35">
        <v>0</v>
      </c>
      <c r="D13192" s="2">
        <f t="shared" si="206"/>
        <v>1</v>
      </c>
    </row>
    <row r="13193" spans="1:4" x14ac:dyDescent="0.3">
      <c r="A13193" s="34">
        <v>73403</v>
      </c>
      <c r="B13193" s="35">
        <v>1</v>
      </c>
      <c r="C13193" s="35">
        <v>1</v>
      </c>
      <c r="D13193" s="2">
        <f t="shared" si="206"/>
        <v>2</v>
      </c>
    </row>
    <row r="13194" spans="1:4" x14ac:dyDescent="0.3">
      <c r="A13194" s="34">
        <v>73410</v>
      </c>
      <c r="B13194" s="35">
        <v>3</v>
      </c>
      <c r="C13194" s="35">
        <v>1</v>
      </c>
      <c r="D13194" s="2">
        <f t="shared" si="206"/>
        <v>4</v>
      </c>
    </row>
    <row r="13195" spans="1:4" x14ac:dyDescent="0.3">
      <c r="A13195" s="34">
        <v>73416</v>
      </c>
      <c r="B13195" s="35">
        <v>3</v>
      </c>
      <c r="C13195" s="35">
        <v>1</v>
      </c>
      <c r="D13195" s="2">
        <f t="shared" si="206"/>
        <v>4</v>
      </c>
    </row>
    <row r="13196" spans="1:4" x14ac:dyDescent="0.3">
      <c r="A13196" s="34">
        <v>73417</v>
      </c>
      <c r="B13196" s="35">
        <v>1</v>
      </c>
      <c r="C13196" s="35">
        <v>1</v>
      </c>
      <c r="D13196" s="2">
        <f t="shared" si="206"/>
        <v>2</v>
      </c>
    </row>
    <row r="13197" spans="1:4" x14ac:dyDescent="0.3">
      <c r="A13197" s="34">
        <v>73418</v>
      </c>
      <c r="B13197" s="35">
        <v>1</v>
      </c>
      <c r="C13197" s="35">
        <v>0</v>
      </c>
      <c r="D13197" s="2">
        <f t="shared" si="206"/>
        <v>1</v>
      </c>
    </row>
    <row r="13198" spans="1:4" x14ac:dyDescent="0.3">
      <c r="A13198" s="34">
        <v>73421</v>
      </c>
      <c r="B13198" s="35">
        <v>1</v>
      </c>
      <c r="C13198" s="35">
        <v>0</v>
      </c>
      <c r="D13198" s="2">
        <f t="shared" si="206"/>
        <v>1</v>
      </c>
    </row>
    <row r="13199" spans="1:4" x14ac:dyDescent="0.3">
      <c r="A13199" s="34">
        <v>73422</v>
      </c>
      <c r="B13199" s="35">
        <v>1</v>
      </c>
      <c r="C13199" s="35">
        <v>0</v>
      </c>
      <c r="D13199" s="2">
        <f t="shared" si="206"/>
        <v>1</v>
      </c>
    </row>
    <row r="13200" spans="1:4" x14ac:dyDescent="0.3">
      <c r="A13200" s="34">
        <v>73423</v>
      </c>
      <c r="B13200" s="35">
        <v>1</v>
      </c>
      <c r="C13200" s="35">
        <v>0</v>
      </c>
      <c r="D13200" s="2">
        <f t="shared" si="206"/>
        <v>1</v>
      </c>
    </row>
    <row r="13201" spans="1:4" x14ac:dyDescent="0.3">
      <c r="A13201" s="34">
        <v>73429</v>
      </c>
      <c r="B13201" s="35">
        <v>1</v>
      </c>
      <c r="C13201" s="35">
        <v>0</v>
      </c>
      <c r="D13201" s="2">
        <f t="shared" si="206"/>
        <v>1</v>
      </c>
    </row>
    <row r="13202" spans="1:4" x14ac:dyDescent="0.3">
      <c r="A13202" s="34">
        <v>73430</v>
      </c>
      <c r="B13202" s="35">
        <v>1</v>
      </c>
      <c r="C13202" s="35">
        <v>0</v>
      </c>
      <c r="D13202" s="2">
        <f t="shared" si="206"/>
        <v>1</v>
      </c>
    </row>
    <row r="13203" spans="1:4" x14ac:dyDescent="0.3">
      <c r="A13203" s="34">
        <v>73431</v>
      </c>
      <c r="B13203" s="35">
        <v>1</v>
      </c>
      <c r="C13203" s="35">
        <v>0</v>
      </c>
      <c r="D13203" s="2">
        <f t="shared" si="206"/>
        <v>1</v>
      </c>
    </row>
    <row r="13204" spans="1:4" x14ac:dyDescent="0.3">
      <c r="A13204" s="34">
        <v>73432</v>
      </c>
      <c r="B13204" s="35">
        <v>1</v>
      </c>
      <c r="C13204" s="35">
        <v>0</v>
      </c>
      <c r="D13204" s="2">
        <f t="shared" si="206"/>
        <v>1</v>
      </c>
    </row>
    <row r="13205" spans="1:4" x14ac:dyDescent="0.3">
      <c r="A13205" s="34">
        <v>73441</v>
      </c>
      <c r="B13205" s="35">
        <v>1</v>
      </c>
      <c r="C13205" s="35">
        <v>0</v>
      </c>
      <c r="D13205" s="2">
        <f t="shared" si="206"/>
        <v>1</v>
      </c>
    </row>
    <row r="13206" spans="1:4" x14ac:dyDescent="0.3">
      <c r="A13206" s="34">
        <v>73442</v>
      </c>
      <c r="B13206" s="35">
        <v>1</v>
      </c>
      <c r="C13206" s="35">
        <v>0</v>
      </c>
      <c r="D13206" s="2">
        <f t="shared" si="206"/>
        <v>1</v>
      </c>
    </row>
    <row r="13207" spans="1:4" x14ac:dyDescent="0.3">
      <c r="A13207" s="34">
        <v>73443</v>
      </c>
      <c r="B13207" s="35">
        <v>1</v>
      </c>
      <c r="C13207" s="35">
        <v>0</v>
      </c>
      <c r="D13207" s="2">
        <f t="shared" si="206"/>
        <v>1</v>
      </c>
    </row>
    <row r="13208" spans="1:4" x14ac:dyDescent="0.3">
      <c r="A13208" s="34">
        <v>73447</v>
      </c>
      <c r="B13208" s="35">
        <v>1</v>
      </c>
      <c r="C13208" s="35">
        <v>0</v>
      </c>
      <c r="D13208" s="2">
        <f t="shared" si="206"/>
        <v>1</v>
      </c>
    </row>
    <row r="13209" spans="1:4" x14ac:dyDescent="0.3">
      <c r="A13209" s="34">
        <v>73449</v>
      </c>
      <c r="B13209" s="35">
        <v>1</v>
      </c>
      <c r="C13209" s="35">
        <v>0</v>
      </c>
      <c r="D13209" s="2">
        <f t="shared" si="206"/>
        <v>1</v>
      </c>
    </row>
    <row r="13210" spans="1:4" x14ac:dyDescent="0.3">
      <c r="A13210" s="34">
        <v>73454</v>
      </c>
      <c r="B13210" s="35">
        <v>1</v>
      </c>
      <c r="C13210" s="35">
        <v>0</v>
      </c>
      <c r="D13210" s="2">
        <f t="shared" si="206"/>
        <v>1</v>
      </c>
    </row>
    <row r="13211" spans="1:4" x14ac:dyDescent="0.3">
      <c r="A13211" s="34">
        <v>73455</v>
      </c>
      <c r="B13211" s="35">
        <v>1</v>
      </c>
      <c r="C13211" s="35">
        <v>0</v>
      </c>
      <c r="D13211" s="2">
        <f t="shared" si="206"/>
        <v>1</v>
      </c>
    </row>
    <row r="13212" spans="1:4" x14ac:dyDescent="0.3">
      <c r="A13212" s="34">
        <v>73456</v>
      </c>
      <c r="B13212" s="35">
        <v>1</v>
      </c>
      <c r="C13212" s="35">
        <v>0</v>
      </c>
      <c r="D13212" s="2">
        <f t="shared" si="206"/>
        <v>1</v>
      </c>
    </row>
    <row r="13213" spans="1:4" x14ac:dyDescent="0.3">
      <c r="A13213" s="34">
        <v>73464</v>
      </c>
      <c r="B13213" s="35">
        <v>1</v>
      </c>
      <c r="C13213" s="35">
        <v>0</v>
      </c>
      <c r="D13213" s="2">
        <f t="shared" si="206"/>
        <v>1</v>
      </c>
    </row>
    <row r="13214" spans="1:4" x14ac:dyDescent="0.3">
      <c r="A13214" s="34">
        <v>73485</v>
      </c>
      <c r="B13214" s="35">
        <v>1</v>
      </c>
      <c r="C13214" s="35">
        <v>0</v>
      </c>
      <c r="D13214" s="2">
        <f t="shared" si="206"/>
        <v>1</v>
      </c>
    </row>
    <row r="13215" spans="1:4" x14ac:dyDescent="0.3">
      <c r="A13215" s="34">
        <v>73486</v>
      </c>
      <c r="B13215" s="35">
        <v>1</v>
      </c>
      <c r="C13215" s="35">
        <v>0</v>
      </c>
      <c r="D13215" s="2">
        <f t="shared" si="206"/>
        <v>1</v>
      </c>
    </row>
    <row r="13216" spans="1:4" x14ac:dyDescent="0.3">
      <c r="A13216" s="34">
        <v>73487</v>
      </c>
      <c r="B13216" s="35">
        <v>1</v>
      </c>
      <c r="C13216" s="35">
        <v>0</v>
      </c>
      <c r="D13216" s="2">
        <f t="shared" si="206"/>
        <v>1</v>
      </c>
    </row>
    <row r="13217" spans="1:4" x14ac:dyDescent="0.3">
      <c r="A13217" s="34">
        <v>73488</v>
      </c>
      <c r="B13217" s="35">
        <v>1</v>
      </c>
      <c r="C13217" s="35">
        <v>0</v>
      </c>
      <c r="D13217" s="2">
        <f t="shared" si="206"/>
        <v>1</v>
      </c>
    </row>
    <row r="13218" spans="1:4" x14ac:dyDescent="0.3">
      <c r="A13218" s="34">
        <v>73490</v>
      </c>
      <c r="B13218" s="35">
        <v>1</v>
      </c>
      <c r="C13218" s="35">
        <v>0</v>
      </c>
      <c r="D13218" s="2">
        <f t="shared" si="206"/>
        <v>1</v>
      </c>
    </row>
    <row r="13219" spans="1:4" x14ac:dyDescent="0.3">
      <c r="A13219" s="34">
        <v>73495</v>
      </c>
      <c r="B13219" s="35">
        <v>1</v>
      </c>
      <c r="C13219" s="35">
        <v>0</v>
      </c>
      <c r="D13219" s="2">
        <f t="shared" si="206"/>
        <v>1</v>
      </c>
    </row>
    <row r="13220" spans="1:4" x14ac:dyDescent="0.3">
      <c r="A13220" s="34">
        <v>73496</v>
      </c>
      <c r="B13220" s="35">
        <v>1</v>
      </c>
      <c r="C13220" s="35">
        <v>0</v>
      </c>
      <c r="D13220" s="2">
        <f t="shared" si="206"/>
        <v>1</v>
      </c>
    </row>
    <row r="13221" spans="1:4" x14ac:dyDescent="0.3">
      <c r="A13221" s="34">
        <v>73497</v>
      </c>
      <c r="B13221" s="35">
        <v>1</v>
      </c>
      <c r="C13221" s="35">
        <v>0</v>
      </c>
      <c r="D13221" s="2">
        <f t="shared" si="206"/>
        <v>1</v>
      </c>
    </row>
    <row r="13222" spans="1:4" x14ac:dyDescent="0.3">
      <c r="A13222" s="34">
        <v>73498</v>
      </c>
      <c r="B13222" s="35">
        <v>1</v>
      </c>
      <c r="C13222" s="35">
        <v>0</v>
      </c>
      <c r="D13222" s="2">
        <f t="shared" si="206"/>
        <v>1</v>
      </c>
    </row>
    <row r="13223" spans="1:4" x14ac:dyDescent="0.3">
      <c r="A13223" s="34">
        <v>73499</v>
      </c>
      <c r="B13223" s="35">
        <v>1</v>
      </c>
      <c r="C13223" s="35">
        <v>0</v>
      </c>
      <c r="D13223" s="2">
        <f t="shared" si="206"/>
        <v>1</v>
      </c>
    </row>
    <row r="13224" spans="1:4" x14ac:dyDescent="0.3">
      <c r="A13224" s="34">
        <v>73500</v>
      </c>
      <c r="B13224" s="35">
        <v>1</v>
      </c>
      <c r="C13224" s="35">
        <v>0</v>
      </c>
      <c r="D13224" s="2">
        <f t="shared" si="206"/>
        <v>1</v>
      </c>
    </row>
    <row r="13225" spans="1:4" x14ac:dyDescent="0.3">
      <c r="A13225" s="34">
        <v>73501</v>
      </c>
      <c r="B13225" s="35">
        <v>1</v>
      </c>
      <c r="C13225" s="35">
        <v>0</v>
      </c>
      <c r="D13225" s="2">
        <f t="shared" si="206"/>
        <v>1</v>
      </c>
    </row>
    <row r="13226" spans="1:4" x14ac:dyDescent="0.3">
      <c r="A13226" s="34">
        <v>73503</v>
      </c>
      <c r="B13226" s="35">
        <v>2</v>
      </c>
      <c r="C13226" s="35">
        <v>1</v>
      </c>
      <c r="D13226" s="2">
        <f t="shared" si="206"/>
        <v>3</v>
      </c>
    </row>
    <row r="13227" spans="1:4" x14ac:dyDescent="0.3">
      <c r="A13227" s="34">
        <v>73504</v>
      </c>
      <c r="B13227" s="35">
        <v>1</v>
      </c>
      <c r="C13227" s="35">
        <v>1</v>
      </c>
      <c r="D13227" s="2">
        <f t="shared" si="206"/>
        <v>2</v>
      </c>
    </row>
    <row r="13228" spans="1:4" x14ac:dyDescent="0.3">
      <c r="A13228" s="34">
        <v>73505</v>
      </c>
      <c r="B13228" s="35">
        <v>1</v>
      </c>
      <c r="C13228" s="35">
        <v>0</v>
      </c>
      <c r="D13228" s="2">
        <f t="shared" si="206"/>
        <v>1</v>
      </c>
    </row>
    <row r="13229" spans="1:4" x14ac:dyDescent="0.3">
      <c r="A13229" s="34">
        <v>73507</v>
      </c>
      <c r="B13229" s="35">
        <v>2</v>
      </c>
      <c r="C13229" s="35">
        <v>1</v>
      </c>
      <c r="D13229" s="2">
        <f t="shared" si="206"/>
        <v>3</v>
      </c>
    </row>
    <row r="13230" spans="1:4" x14ac:dyDescent="0.3">
      <c r="A13230" s="34">
        <v>73508</v>
      </c>
      <c r="B13230" s="35">
        <v>1</v>
      </c>
      <c r="C13230" s="35">
        <v>0</v>
      </c>
      <c r="D13230" s="2">
        <f t="shared" si="206"/>
        <v>1</v>
      </c>
    </row>
    <row r="13231" spans="1:4" x14ac:dyDescent="0.3">
      <c r="A13231" s="34">
        <v>73510</v>
      </c>
      <c r="B13231" s="35">
        <v>1</v>
      </c>
      <c r="C13231" s="35">
        <v>0</v>
      </c>
      <c r="D13231" s="2">
        <f t="shared" si="206"/>
        <v>1</v>
      </c>
    </row>
    <row r="13232" spans="1:4" x14ac:dyDescent="0.3">
      <c r="A13232" s="34">
        <v>73512</v>
      </c>
      <c r="B13232" s="35">
        <v>1</v>
      </c>
      <c r="C13232" s="35">
        <v>0</v>
      </c>
      <c r="D13232" s="2">
        <f t="shared" si="206"/>
        <v>1</v>
      </c>
    </row>
    <row r="13233" spans="1:4" x14ac:dyDescent="0.3">
      <c r="A13233" s="34">
        <v>73514</v>
      </c>
      <c r="B13233" s="35">
        <v>1</v>
      </c>
      <c r="C13233" s="35">
        <v>0</v>
      </c>
      <c r="D13233" s="2">
        <f t="shared" si="206"/>
        <v>1</v>
      </c>
    </row>
    <row r="13234" spans="1:4" x14ac:dyDescent="0.3">
      <c r="A13234" s="34">
        <v>73516</v>
      </c>
      <c r="B13234" s="35">
        <v>1</v>
      </c>
      <c r="C13234" s="35">
        <v>0</v>
      </c>
      <c r="D13234" s="2">
        <f t="shared" si="206"/>
        <v>1</v>
      </c>
    </row>
    <row r="13235" spans="1:4" x14ac:dyDescent="0.3">
      <c r="A13235" s="34">
        <v>73517</v>
      </c>
      <c r="B13235" s="35">
        <v>1</v>
      </c>
      <c r="C13235" s="35">
        <v>1</v>
      </c>
      <c r="D13235" s="2">
        <f t="shared" si="206"/>
        <v>2</v>
      </c>
    </row>
    <row r="13236" spans="1:4" x14ac:dyDescent="0.3">
      <c r="A13236" s="34">
        <v>73518</v>
      </c>
      <c r="B13236" s="35">
        <v>1</v>
      </c>
      <c r="C13236" s="35">
        <v>1</v>
      </c>
      <c r="D13236" s="2">
        <f t="shared" si="206"/>
        <v>2</v>
      </c>
    </row>
    <row r="13237" spans="1:4" x14ac:dyDescent="0.3">
      <c r="A13237" s="34">
        <v>73520</v>
      </c>
      <c r="B13237" s="35">
        <v>1</v>
      </c>
      <c r="C13237" s="35">
        <v>0</v>
      </c>
      <c r="D13237" s="2">
        <f t="shared" si="206"/>
        <v>1</v>
      </c>
    </row>
    <row r="13238" spans="1:4" x14ac:dyDescent="0.3">
      <c r="A13238" s="34">
        <v>73521</v>
      </c>
      <c r="B13238" s="35">
        <v>1</v>
      </c>
      <c r="C13238" s="35">
        <v>0</v>
      </c>
      <c r="D13238" s="2">
        <f t="shared" si="206"/>
        <v>1</v>
      </c>
    </row>
    <row r="13239" spans="1:4" x14ac:dyDescent="0.3">
      <c r="A13239" s="34">
        <v>73523</v>
      </c>
      <c r="B13239" s="35">
        <v>1</v>
      </c>
      <c r="C13239" s="35">
        <v>0</v>
      </c>
      <c r="D13239" s="2">
        <f t="shared" si="206"/>
        <v>1</v>
      </c>
    </row>
    <row r="13240" spans="1:4" x14ac:dyDescent="0.3">
      <c r="A13240" s="34">
        <v>73525</v>
      </c>
      <c r="B13240" s="35">
        <v>1</v>
      </c>
      <c r="C13240" s="35">
        <v>0</v>
      </c>
      <c r="D13240" s="2">
        <f t="shared" si="206"/>
        <v>1</v>
      </c>
    </row>
    <row r="13241" spans="1:4" x14ac:dyDescent="0.3">
      <c r="A13241" s="34">
        <v>73527</v>
      </c>
      <c r="B13241" s="35">
        <v>1</v>
      </c>
      <c r="C13241" s="35">
        <v>0</v>
      </c>
      <c r="D13241" s="2">
        <f t="shared" si="206"/>
        <v>1</v>
      </c>
    </row>
    <row r="13242" spans="1:4" x14ac:dyDescent="0.3">
      <c r="A13242" s="34">
        <v>73531</v>
      </c>
      <c r="B13242" s="35">
        <v>1</v>
      </c>
      <c r="C13242" s="35">
        <v>0</v>
      </c>
      <c r="D13242" s="2">
        <f t="shared" si="206"/>
        <v>1</v>
      </c>
    </row>
    <row r="13243" spans="1:4" x14ac:dyDescent="0.3">
      <c r="A13243" s="34">
        <v>73532</v>
      </c>
      <c r="B13243" s="35">
        <v>1</v>
      </c>
      <c r="C13243" s="35">
        <v>0</v>
      </c>
      <c r="D13243" s="2">
        <f t="shared" si="206"/>
        <v>1</v>
      </c>
    </row>
    <row r="13244" spans="1:4" x14ac:dyDescent="0.3">
      <c r="A13244" s="34">
        <v>73535</v>
      </c>
      <c r="B13244" s="35">
        <v>1</v>
      </c>
      <c r="C13244" s="35">
        <v>0</v>
      </c>
      <c r="D13244" s="2">
        <f t="shared" si="206"/>
        <v>1</v>
      </c>
    </row>
    <row r="13245" spans="1:4" x14ac:dyDescent="0.3">
      <c r="A13245" s="34">
        <v>73537</v>
      </c>
      <c r="B13245" s="35">
        <v>1</v>
      </c>
      <c r="C13245" s="35">
        <v>0</v>
      </c>
      <c r="D13245" s="2">
        <f t="shared" si="206"/>
        <v>1</v>
      </c>
    </row>
    <row r="13246" spans="1:4" x14ac:dyDescent="0.3">
      <c r="A13246" s="34">
        <v>73538</v>
      </c>
      <c r="B13246" s="35">
        <v>1</v>
      </c>
      <c r="C13246" s="35">
        <v>0</v>
      </c>
      <c r="D13246" s="2">
        <f t="shared" si="206"/>
        <v>1</v>
      </c>
    </row>
    <row r="13247" spans="1:4" x14ac:dyDescent="0.3">
      <c r="A13247" s="34">
        <v>73539</v>
      </c>
      <c r="B13247" s="35">
        <v>1</v>
      </c>
      <c r="C13247" s="35">
        <v>1</v>
      </c>
      <c r="D13247" s="2">
        <f t="shared" si="206"/>
        <v>2</v>
      </c>
    </row>
    <row r="13248" spans="1:4" x14ac:dyDescent="0.3">
      <c r="A13248" s="34">
        <v>73543</v>
      </c>
      <c r="B13248" s="35">
        <v>1</v>
      </c>
      <c r="C13248" s="35">
        <v>0</v>
      </c>
      <c r="D13248" s="2">
        <f t="shared" si="206"/>
        <v>1</v>
      </c>
    </row>
    <row r="13249" spans="1:4" x14ac:dyDescent="0.3">
      <c r="A13249" s="34">
        <v>73544</v>
      </c>
      <c r="B13249" s="35">
        <v>1</v>
      </c>
      <c r="C13249" s="35">
        <v>0</v>
      </c>
      <c r="D13249" s="2">
        <f t="shared" si="206"/>
        <v>1</v>
      </c>
    </row>
    <row r="13250" spans="1:4" x14ac:dyDescent="0.3">
      <c r="A13250" s="34">
        <v>73545</v>
      </c>
      <c r="B13250" s="35">
        <v>1</v>
      </c>
      <c r="C13250" s="35">
        <v>0</v>
      </c>
      <c r="D13250" s="2">
        <f t="shared" si="206"/>
        <v>1</v>
      </c>
    </row>
    <row r="13251" spans="1:4" x14ac:dyDescent="0.3">
      <c r="A13251" s="34">
        <v>73546</v>
      </c>
      <c r="B13251" s="35">
        <v>1</v>
      </c>
      <c r="C13251" s="35">
        <v>0</v>
      </c>
      <c r="D13251" s="2">
        <f t="shared" ref="D13251:D13314" si="207">B13251+C13251</f>
        <v>1</v>
      </c>
    </row>
    <row r="13252" spans="1:4" x14ac:dyDescent="0.3">
      <c r="A13252" s="34">
        <v>73547</v>
      </c>
      <c r="B13252" s="35">
        <v>1</v>
      </c>
      <c r="C13252" s="35">
        <v>0</v>
      </c>
      <c r="D13252" s="2">
        <f t="shared" si="207"/>
        <v>1</v>
      </c>
    </row>
    <row r="13253" spans="1:4" x14ac:dyDescent="0.3">
      <c r="A13253" s="34">
        <v>73549</v>
      </c>
      <c r="B13253" s="35">
        <v>1</v>
      </c>
      <c r="C13253" s="35">
        <v>0</v>
      </c>
      <c r="D13253" s="2">
        <f t="shared" si="207"/>
        <v>1</v>
      </c>
    </row>
    <row r="13254" spans="1:4" x14ac:dyDescent="0.3">
      <c r="A13254" s="34">
        <v>73550</v>
      </c>
      <c r="B13254" s="35">
        <v>1</v>
      </c>
      <c r="C13254" s="35">
        <v>0</v>
      </c>
      <c r="D13254" s="2">
        <f t="shared" si="207"/>
        <v>1</v>
      </c>
    </row>
    <row r="13255" spans="1:4" x14ac:dyDescent="0.3">
      <c r="A13255" s="34">
        <v>73551</v>
      </c>
      <c r="B13255" s="35">
        <v>1</v>
      </c>
      <c r="C13255" s="35">
        <v>0</v>
      </c>
      <c r="D13255" s="2">
        <f t="shared" si="207"/>
        <v>1</v>
      </c>
    </row>
    <row r="13256" spans="1:4" x14ac:dyDescent="0.3">
      <c r="A13256" s="34">
        <v>73553</v>
      </c>
      <c r="B13256" s="35">
        <v>1</v>
      </c>
      <c r="C13256" s="35">
        <v>0</v>
      </c>
      <c r="D13256" s="2">
        <f t="shared" si="207"/>
        <v>1</v>
      </c>
    </row>
    <row r="13257" spans="1:4" x14ac:dyDescent="0.3">
      <c r="A13257" s="34">
        <v>73554</v>
      </c>
      <c r="B13257" s="35">
        <v>1</v>
      </c>
      <c r="C13257" s="35">
        <v>0</v>
      </c>
      <c r="D13257" s="2">
        <f t="shared" si="207"/>
        <v>1</v>
      </c>
    </row>
    <row r="13258" spans="1:4" x14ac:dyDescent="0.3">
      <c r="A13258" s="34">
        <v>73600</v>
      </c>
      <c r="B13258" s="35">
        <v>1</v>
      </c>
      <c r="C13258" s="35">
        <v>0</v>
      </c>
      <c r="D13258" s="2">
        <f t="shared" si="207"/>
        <v>1</v>
      </c>
    </row>
    <row r="13259" spans="1:4" x14ac:dyDescent="0.3">
      <c r="A13259" s="34">
        <v>73602</v>
      </c>
      <c r="B13259" s="35">
        <v>1</v>
      </c>
      <c r="C13259" s="35">
        <v>0</v>
      </c>
      <c r="D13259" s="2">
        <f t="shared" si="207"/>
        <v>1</v>
      </c>
    </row>
    <row r="13260" spans="1:4" x14ac:dyDescent="0.3">
      <c r="A13260" s="34">
        <v>73623</v>
      </c>
      <c r="B13260" s="35">
        <v>1</v>
      </c>
      <c r="C13260" s="35">
        <v>0</v>
      </c>
      <c r="D13260" s="2">
        <f t="shared" si="207"/>
        <v>1</v>
      </c>
    </row>
    <row r="13261" spans="1:4" x14ac:dyDescent="0.3">
      <c r="A13261" s="34">
        <v>73624</v>
      </c>
      <c r="B13261" s="35">
        <v>1</v>
      </c>
      <c r="C13261" s="35">
        <v>0</v>
      </c>
      <c r="D13261" s="2">
        <f t="shared" si="207"/>
        <v>1</v>
      </c>
    </row>
    <row r="13262" spans="1:4" x14ac:dyDescent="0.3">
      <c r="A13262" s="34">
        <v>73625</v>
      </c>
      <c r="B13262" s="35">
        <v>2</v>
      </c>
      <c r="C13262" s="35">
        <v>0</v>
      </c>
      <c r="D13262" s="2">
        <f t="shared" si="207"/>
        <v>2</v>
      </c>
    </row>
    <row r="13263" spans="1:4" x14ac:dyDescent="0.3">
      <c r="A13263" s="34">
        <v>73645</v>
      </c>
      <c r="B13263" s="35">
        <v>1</v>
      </c>
      <c r="C13263" s="35">
        <v>0</v>
      </c>
      <c r="D13263" s="2">
        <f t="shared" si="207"/>
        <v>1</v>
      </c>
    </row>
    <row r="13264" spans="1:4" x14ac:dyDescent="0.3">
      <c r="A13264" s="34">
        <v>73646</v>
      </c>
      <c r="B13264" s="35">
        <v>1</v>
      </c>
      <c r="C13264" s="35">
        <v>0</v>
      </c>
      <c r="D13264" s="2">
        <f t="shared" si="207"/>
        <v>1</v>
      </c>
    </row>
    <row r="13265" spans="1:4" x14ac:dyDescent="0.3">
      <c r="A13265" s="34">
        <v>73647</v>
      </c>
      <c r="B13265" s="35">
        <v>1</v>
      </c>
      <c r="C13265" s="35">
        <v>0</v>
      </c>
      <c r="D13265" s="2">
        <f t="shared" si="207"/>
        <v>1</v>
      </c>
    </row>
    <row r="13266" spans="1:4" x14ac:dyDescent="0.3">
      <c r="A13266" s="34">
        <v>73648</v>
      </c>
      <c r="B13266" s="35">
        <v>1</v>
      </c>
      <c r="C13266" s="35">
        <v>0</v>
      </c>
      <c r="D13266" s="2">
        <f t="shared" si="207"/>
        <v>1</v>
      </c>
    </row>
    <row r="13267" spans="1:4" x14ac:dyDescent="0.3">
      <c r="A13267" s="34">
        <v>73649</v>
      </c>
      <c r="B13267" s="35">
        <v>1</v>
      </c>
      <c r="C13267" s="35">
        <v>0</v>
      </c>
      <c r="D13267" s="2">
        <f t="shared" si="207"/>
        <v>1</v>
      </c>
    </row>
    <row r="13268" spans="1:4" x14ac:dyDescent="0.3">
      <c r="A13268" s="34">
        <v>73693</v>
      </c>
      <c r="B13268" s="35">
        <v>1</v>
      </c>
      <c r="C13268" s="35">
        <v>0</v>
      </c>
      <c r="D13268" s="2">
        <f t="shared" si="207"/>
        <v>1</v>
      </c>
    </row>
    <row r="13269" spans="1:4" x14ac:dyDescent="0.3">
      <c r="A13269" s="34">
        <v>73694</v>
      </c>
      <c r="B13269" s="35">
        <v>1</v>
      </c>
      <c r="C13269" s="35">
        <v>0</v>
      </c>
      <c r="D13269" s="2">
        <f t="shared" si="207"/>
        <v>1</v>
      </c>
    </row>
    <row r="13270" spans="1:4" x14ac:dyDescent="0.3">
      <c r="A13270" s="34">
        <v>73695</v>
      </c>
      <c r="B13270" s="35">
        <v>1</v>
      </c>
      <c r="C13270" s="35">
        <v>1</v>
      </c>
      <c r="D13270" s="2">
        <f t="shared" si="207"/>
        <v>2</v>
      </c>
    </row>
    <row r="13271" spans="1:4" x14ac:dyDescent="0.3">
      <c r="A13271" s="34">
        <v>73696</v>
      </c>
      <c r="B13271" s="35">
        <v>1</v>
      </c>
      <c r="C13271" s="35">
        <v>0</v>
      </c>
      <c r="D13271" s="2">
        <f t="shared" si="207"/>
        <v>1</v>
      </c>
    </row>
    <row r="13272" spans="1:4" x14ac:dyDescent="0.3">
      <c r="A13272" s="34">
        <v>73697</v>
      </c>
      <c r="B13272" s="35">
        <v>1</v>
      </c>
      <c r="C13272" s="35">
        <v>0</v>
      </c>
      <c r="D13272" s="2">
        <f t="shared" si="207"/>
        <v>1</v>
      </c>
    </row>
    <row r="13273" spans="1:4" x14ac:dyDescent="0.3">
      <c r="A13273" s="34">
        <v>73699</v>
      </c>
      <c r="B13273" s="35">
        <v>1</v>
      </c>
      <c r="C13273" s="35">
        <v>0</v>
      </c>
      <c r="D13273" s="2">
        <f t="shared" si="207"/>
        <v>1</v>
      </c>
    </row>
    <row r="13274" spans="1:4" x14ac:dyDescent="0.3">
      <c r="A13274" s="34">
        <v>73703</v>
      </c>
      <c r="B13274" s="35">
        <v>1</v>
      </c>
      <c r="C13274" s="35">
        <v>1</v>
      </c>
      <c r="D13274" s="2">
        <f t="shared" si="207"/>
        <v>2</v>
      </c>
    </row>
    <row r="13275" spans="1:4" x14ac:dyDescent="0.3">
      <c r="A13275" s="34">
        <v>73704</v>
      </c>
      <c r="B13275" s="35">
        <v>1</v>
      </c>
      <c r="C13275" s="35">
        <v>0</v>
      </c>
      <c r="D13275" s="2">
        <f t="shared" si="207"/>
        <v>1</v>
      </c>
    </row>
    <row r="13276" spans="1:4" x14ac:dyDescent="0.3">
      <c r="A13276" s="34">
        <v>73705</v>
      </c>
      <c r="B13276" s="35">
        <v>1</v>
      </c>
      <c r="C13276" s="35">
        <v>0</v>
      </c>
      <c r="D13276" s="2">
        <f t="shared" si="207"/>
        <v>1</v>
      </c>
    </row>
    <row r="13277" spans="1:4" x14ac:dyDescent="0.3">
      <c r="A13277" s="34">
        <v>73706</v>
      </c>
      <c r="B13277" s="35">
        <v>1</v>
      </c>
      <c r="C13277" s="35">
        <v>0</v>
      </c>
      <c r="D13277" s="2">
        <f t="shared" si="207"/>
        <v>1</v>
      </c>
    </row>
    <row r="13278" spans="1:4" x14ac:dyDescent="0.3">
      <c r="A13278" s="34">
        <v>73707</v>
      </c>
      <c r="B13278" s="35">
        <v>1</v>
      </c>
      <c r="C13278" s="35">
        <v>0</v>
      </c>
      <c r="D13278" s="2">
        <f t="shared" si="207"/>
        <v>1</v>
      </c>
    </row>
    <row r="13279" spans="1:4" x14ac:dyDescent="0.3">
      <c r="A13279" s="34">
        <v>73708</v>
      </c>
      <c r="B13279" s="35">
        <v>1</v>
      </c>
      <c r="C13279" s="35">
        <v>0</v>
      </c>
      <c r="D13279" s="2">
        <f t="shared" si="207"/>
        <v>1</v>
      </c>
    </row>
    <row r="13280" spans="1:4" x14ac:dyDescent="0.3">
      <c r="A13280" s="34">
        <v>73709</v>
      </c>
      <c r="B13280" s="35">
        <v>1</v>
      </c>
      <c r="C13280" s="35">
        <v>1</v>
      </c>
      <c r="D13280" s="2">
        <f t="shared" si="207"/>
        <v>2</v>
      </c>
    </row>
    <row r="13281" spans="1:4" x14ac:dyDescent="0.3">
      <c r="A13281" s="34">
        <v>73710</v>
      </c>
      <c r="B13281" s="35">
        <v>1</v>
      </c>
      <c r="C13281" s="35">
        <v>0</v>
      </c>
      <c r="D13281" s="2">
        <f t="shared" si="207"/>
        <v>1</v>
      </c>
    </row>
    <row r="13282" spans="1:4" x14ac:dyDescent="0.3">
      <c r="A13282" s="34">
        <v>73711</v>
      </c>
      <c r="B13282" s="35">
        <v>1</v>
      </c>
      <c r="C13282" s="35">
        <v>1</v>
      </c>
      <c r="D13282" s="2">
        <f t="shared" si="207"/>
        <v>2</v>
      </c>
    </row>
    <row r="13283" spans="1:4" x14ac:dyDescent="0.3">
      <c r="A13283" s="34">
        <v>73715</v>
      </c>
      <c r="B13283" s="35">
        <v>1</v>
      </c>
      <c r="C13283" s="35">
        <v>1</v>
      </c>
      <c r="D13283" s="2">
        <f t="shared" si="207"/>
        <v>2</v>
      </c>
    </row>
    <row r="13284" spans="1:4" x14ac:dyDescent="0.3">
      <c r="A13284" s="34">
        <v>73716</v>
      </c>
      <c r="B13284" s="35">
        <v>1</v>
      </c>
      <c r="C13284" s="35">
        <v>0</v>
      </c>
      <c r="D13284" s="2">
        <f t="shared" si="207"/>
        <v>1</v>
      </c>
    </row>
    <row r="13285" spans="1:4" x14ac:dyDescent="0.3">
      <c r="A13285" s="34">
        <v>73717</v>
      </c>
      <c r="B13285" s="35">
        <v>1</v>
      </c>
      <c r="C13285" s="35">
        <v>0</v>
      </c>
      <c r="D13285" s="2">
        <f t="shared" si="207"/>
        <v>1</v>
      </c>
    </row>
    <row r="13286" spans="1:4" x14ac:dyDescent="0.3">
      <c r="A13286" s="34">
        <v>73718</v>
      </c>
      <c r="B13286" s="35">
        <v>1</v>
      </c>
      <c r="C13286" s="35">
        <v>0</v>
      </c>
      <c r="D13286" s="2">
        <f t="shared" si="207"/>
        <v>1</v>
      </c>
    </row>
    <row r="13287" spans="1:4" x14ac:dyDescent="0.3">
      <c r="A13287" s="34">
        <v>73720</v>
      </c>
      <c r="B13287" s="35">
        <v>1</v>
      </c>
      <c r="C13287" s="35">
        <v>1</v>
      </c>
      <c r="D13287" s="2">
        <f t="shared" si="207"/>
        <v>2</v>
      </c>
    </row>
    <row r="13288" spans="1:4" x14ac:dyDescent="0.3">
      <c r="A13288" s="34">
        <v>73721</v>
      </c>
      <c r="B13288" s="35">
        <v>1</v>
      </c>
      <c r="C13288" s="35">
        <v>0</v>
      </c>
      <c r="D13288" s="2">
        <f t="shared" si="207"/>
        <v>1</v>
      </c>
    </row>
    <row r="13289" spans="1:4" x14ac:dyDescent="0.3">
      <c r="A13289" s="34">
        <v>73729</v>
      </c>
      <c r="B13289" s="35">
        <v>2</v>
      </c>
      <c r="C13289" s="35">
        <v>2</v>
      </c>
      <c r="D13289" s="2">
        <f t="shared" si="207"/>
        <v>4</v>
      </c>
    </row>
    <row r="13290" spans="1:4" x14ac:dyDescent="0.3">
      <c r="A13290" s="34">
        <v>73730</v>
      </c>
      <c r="B13290" s="35">
        <v>1</v>
      </c>
      <c r="C13290" s="35">
        <v>0</v>
      </c>
      <c r="D13290" s="2">
        <f t="shared" si="207"/>
        <v>1</v>
      </c>
    </row>
    <row r="13291" spans="1:4" x14ac:dyDescent="0.3">
      <c r="A13291" s="34">
        <v>73731</v>
      </c>
      <c r="B13291" s="35">
        <v>1</v>
      </c>
      <c r="C13291" s="35">
        <v>0</v>
      </c>
      <c r="D13291" s="2">
        <f t="shared" si="207"/>
        <v>1</v>
      </c>
    </row>
    <row r="13292" spans="1:4" x14ac:dyDescent="0.3">
      <c r="A13292" s="34">
        <v>73732</v>
      </c>
      <c r="B13292" s="35">
        <v>1</v>
      </c>
      <c r="C13292" s="35">
        <v>0</v>
      </c>
      <c r="D13292" s="2">
        <f t="shared" si="207"/>
        <v>1</v>
      </c>
    </row>
    <row r="13293" spans="1:4" x14ac:dyDescent="0.3">
      <c r="A13293" s="34">
        <v>73733</v>
      </c>
      <c r="B13293" s="35">
        <v>1</v>
      </c>
      <c r="C13293" s="35">
        <v>0</v>
      </c>
      <c r="D13293" s="2">
        <f t="shared" si="207"/>
        <v>1</v>
      </c>
    </row>
    <row r="13294" spans="1:4" x14ac:dyDescent="0.3">
      <c r="A13294" s="34">
        <v>73735</v>
      </c>
      <c r="B13294" s="35">
        <v>1</v>
      </c>
      <c r="C13294" s="35">
        <v>0</v>
      </c>
      <c r="D13294" s="2">
        <f t="shared" si="207"/>
        <v>1</v>
      </c>
    </row>
    <row r="13295" spans="1:4" x14ac:dyDescent="0.3">
      <c r="A13295" s="34">
        <v>73736</v>
      </c>
      <c r="B13295" s="35">
        <v>1</v>
      </c>
      <c r="C13295" s="35">
        <v>0</v>
      </c>
      <c r="D13295" s="2">
        <f t="shared" si="207"/>
        <v>1</v>
      </c>
    </row>
    <row r="13296" spans="1:4" x14ac:dyDescent="0.3">
      <c r="A13296" s="34">
        <v>73737</v>
      </c>
      <c r="B13296" s="35">
        <v>1</v>
      </c>
      <c r="C13296" s="35">
        <v>0</v>
      </c>
      <c r="D13296" s="2">
        <f t="shared" si="207"/>
        <v>1</v>
      </c>
    </row>
    <row r="13297" spans="1:4" x14ac:dyDescent="0.3">
      <c r="A13297" s="34">
        <v>73738</v>
      </c>
      <c r="B13297" s="35">
        <v>1</v>
      </c>
      <c r="C13297" s="35">
        <v>1</v>
      </c>
      <c r="D13297" s="2">
        <f t="shared" si="207"/>
        <v>2</v>
      </c>
    </row>
    <row r="13298" spans="1:4" x14ac:dyDescent="0.3">
      <c r="A13298" s="34">
        <v>73740</v>
      </c>
      <c r="B13298" s="35">
        <v>1</v>
      </c>
      <c r="C13298" s="35">
        <v>0</v>
      </c>
      <c r="D13298" s="2">
        <f t="shared" si="207"/>
        <v>1</v>
      </c>
    </row>
    <row r="13299" spans="1:4" x14ac:dyDescent="0.3">
      <c r="A13299" s="34">
        <v>73741</v>
      </c>
      <c r="B13299" s="35">
        <v>1</v>
      </c>
      <c r="C13299" s="35">
        <v>0</v>
      </c>
      <c r="D13299" s="2">
        <f t="shared" si="207"/>
        <v>1</v>
      </c>
    </row>
    <row r="13300" spans="1:4" x14ac:dyDescent="0.3">
      <c r="A13300" s="34">
        <v>73742</v>
      </c>
      <c r="B13300" s="35">
        <v>1</v>
      </c>
      <c r="C13300" s="35">
        <v>0</v>
      </c>
      <c r="D13300" s="2">
        <f t="shared" si="207"/>
        <v>1</v>
      </c>
    </row>
    <row r="13301" spans="1:4" x14ac:dyDescent="0.3">
      <c r="A13301" s="34">
        <v>73743</v>
      </c>
      <c r="B13301" s="35">
        <v>1</v>
      </c>
      <c r="C13301" s="35">
        <v>0</v>
      </c>
      <c r="D13301" s="2">
        <f t="shared" si="207"/>
        <v>1</v>
      </c>
    </row>
    <row r="13302" spans="1:4" x14ac:dyDescent="0.3">
      <c r="A13302" s="34">
        <v>73747</v>
      </c>
      <c r="B13302" s="35">
        <v>1</v>
      </c>
      <c r="C13302" s="35">
        <v>1</v>
      </c>
      <c r="D13302" s="2">
        <f t="shared" si="207"/>
        <v>2</v>
      </c>
    </row>
    <row r="13303" spans="1:4" x14ac:dyDescent="0.3">
      <c r="A13303" s="34">
        <v>73748</v>
      </c>
      <c r="B13303" s="35">
        <v>1</v>
      </c>
      <c r="C13303" s="35">
        <v>1</v>
      </c>
      <c r="D13303" s="2">
        <f t="shared" si="207"/>
        <v>2</v>
      </c>
    </row>
    <row r="13304" spans="1:4" x14ac:dyDescent="0.3">
      <c r="A13304" s="34">
        <v>73749</v>
      </c>
      <c r="B13304" s="35">
        <v>1</v>
      </c>
      <c r="C13304" s="35">
        <v>0</v>
      </c>
      <c r="D13304" s="2">
        <f t="shared" si="207"/>
        <v>1</v>
      </c>
    </row>
    <row r="13305" spans="1:4" x14ac:dyDescent="0.3">
      <c r="A13305" s="34">
        <v>73750</v>
      </c>
      <c r="B13305" s="35">
        <v>1</v>
      </c>
      <c r="C13305" s="35">
        <v>0</v>
      </c>
      <c r="D13305" s="2">
        <f t="shared" si="207"/>
        <v>1</v>
      </c>
    </row>
    <row r="13306" spans="1:4" x14ac:dyDescent="0.3">
      <c r="A13306" s="34">
        <v>73751</v>
      </c>
      <c r="B13306" s="35">
        <v>1</v>
      </c>
      <c r="C13306" s="35">
        <v>0</v>
      </c>
      <c r="D13306" s="2">
        <f t="shared" si="207"/>
        <v>1</v>
      </c>
    </row>
    <row r="13307" spans="1:4" x14ac:dyDescent="0.3">
      <c r="A13307" s="34">
        <v>73752</v>
      </c>
      <c r="B13307" s="35">
        <v>1</v>
      </c>
      <c r="C13307" s="35">
        <v>0</v>
      </c>
      <c r="D13307" s="2">
        <f t="shared" si="207"/>
        <v>1</v>
      </c>
    </row>
    <row r="13308" spans="1:4" x14ac:dyDescent="0.3">
      <c r="A13308" s="34">
        <v>73753</v>
      </c>
      <c r="B13308" s="35">
        <v>1</v>
      </c>
      <c r="C13308" s="35">
        <v>0</v>
      </c>
      <c r="D13308" s="2">
        <f t="shared" si="207"/>
        <v>1</v>
      </c>
    </row>
    <row r="13309" spans="1:4" x14ac:dyDescent="0.3">
      <c r="A13309" s="34">
        <v>73755</v>
      </c>
      <c r="B13309" s="35">
        <v>1</v>
      </c>
      <c r="C13309" s="35">
        <v>1</v>
      </c>
      <c r="D13309" s="2">
        <f t="shared" si="207"/>
        <v>2</v>
      </c>
    </row>
    <row r="13310" spans="1:4" x14ac:dyDescent="0.3">
      <c r="A13310" s="34">
        <v>73758</v>
      </c>
      <c r="B13310" s="35">
        <v>1</v>
      </c>
      <c r="C13310" s="35">
        <v>1</v>
      </c>
      <c r="D13310" s="2">
        <f t="shared" si="207"/>
        <v>2</v>
      </c>
    </row>
    <row r="13311" spans="1:4" x14ac:dyDescent="0.3">
      <c r="A13311" s="34">
        <v>73759</v>
      </c>
      <c r="B13311" s="35">
        <v>1</v>
      </c>
      <c r="C13311" s="35">
        <v>0</v>
      </c>
      <c r="D13311" s="2">
        <f t="shared" si="207"/>
        <v>1</v>
      </c>
    </row>
    <row r="13312" spans="1:4" x14ac:dyDescent="0.3">
      <c r="A13312" s="34">
        <v>73761</v>
      </c>
      <c r="B13312" s="35">
        <v>1</v>
      </c>
      <c r="C13312" s="35">
        <v>0</v>
      </c>
      <c r="D13312" s="2">
        <f t="shared" si="207"/>
        <v>1</v>
      </c>
    </row>
    <row r="13313" spans="1:4" x14ac:dyDescent="0.3">
      <c r="A13313" s="34">
        <v>73764</v>
      </c>
      <c r="B13313" s="35">
        <v>1</v>
      </c>
      <c r="C13313" s="35">
        <v>0</v>
      </c>
      <c r="D13313" s="2">
        <f t="shared" si="207"/>
        <v>1</v>
      </c>
    </row>
    <row r="13314" spans="1:4" x14ac:dyDescent="0.3">
      <c r="A13314" s="34">
        <v>73765</v>
      </c>
      <c r="B13314" s="35">
        <v>2</v>
      </c>
      <c r="C13314" s="35">
        <v>0</v>
      </c>
      <c r="D13314" s="2">
        <f t="shared" si="207"/>
        <v>2</v>
      </c>
    </row>
    <row r="13315" spans="1:4" x14ac:dyDescent="0.3">
      <c r="A13315" s="34">
        <v>73782</v>
      </c>
      <c r="B13315" s="35">
        <v>1</v>
      </c>
      <c r="C13315" s="35">
        <v>0</v>
      </c>
      <c r="D13315" s="2">
        <f t="shared" ref="D13315:D13378" si="208">B13315+C13315</f>
        <v>1</v>
      </c>
    </row>
    <row r="13316" spans="1:4" x14ac:dyDescent="0.3">
      <c r="A13316" s="34">
        <v>73783</v>
      </c>
      <c r="B13316" s="35">
        <v>1</v>
      </c>
      <c r="C13316" s="35">
        <v>0</v>
      </c>
      <c r="D13316" s="2">
        <f t="shared" si="208"/>
        <v>1</v>
      </c>
    </row>
    <row r="13317" spans="1:4" x14ac:dyDescent="0.3">
      <c r="A13317" s="34">
        <v>73784</v>
      </c>
      <c r="B13317" s="35">
        <v>1</v>
      </c>
      <c r="C13317" s="35">
        <v>0</v>
      </c>
      <c r="D13317" s="2">
        <f t="shared" si="208"/>
        <v>1</v>
      </c>
    </row>
    <row r="13318" spans="1:4" x14ac:dyDescent="0.3">
      <c r="A13318" s="34">
        <v>73785</v>
      </c>
      <c r="B13318" s="35">
        <v>1</v>
      </c>
      <c r="C13318" s="35">
        <v>0</v>
      </c>
      <c r="D13318" s="2">
        <f t="shared" si="208"/>
        <v>1</v>
      </c>
    </row>
    <row r="13319" spans="1:4" x14ac:dyDescent="0.3">
      <c r="A13319" s="34">
        <v>73786</v>
      </c>
      <c r="B13319" s="35">
        <v>1</v>
      </c>
      <c r="C13319" s="35">
        <v>0</v>
      </c>
      <c r="D13319" s="2">
        <f t="shared" si="208"/>
        <v>1</v>
      </c>
    </row>
    <row r="13320" spans="1:4" x14ac:dyDescent="0.3">
      <c r="A13320" s="34">
        <v>73788</v>
      </c>
      <c r="B13320" s="35">
        <v>1</v>
      </c>
      <c r="C13320" s="35">
        <v>0</v>
      </c>
      <c r="D13320" s="2">
        <f t="shared" si="208"/>
        <v>1</v>
      </c>
    </row>
    <row r="13321" spans="1:4" x14ac:dyDescent="0.3">
      <c r="A13321" s="34">
        <v>73793</v>
      </c>
      <c r="B13321" s="35">
        <v>1</v>
      </c>
      <c r="C13321" s="35">
        <v>0</v>
      </c>
      <c r="D13321" s="2">
        <f t="shared" si="208"/>
        <v>1</v>
      </c>
    </row>
    <row r="13322" spans="1:4" x14ac:dyDescent="0.3">
      <c r="A13322" s="34">
        <v>73797</v>
      </c>
      <c r="B13322" s="35">
        <v>1</v>
      </c>
      <c r="C13322" s="35">
        <v>0</v>
      </c>
      <c r="D13322" s="2">
        <f t="shared" si="208"/>
        <v>1</v>
      </c>
    </row>
    <row r="13323" spans="1:4" x14ac:dyDescent="0.3">
      <c r="A13323" s="34">
        <v>73799</v>
      </c>
      <c r="B13323" s="35">
        <v>1</v>
      </c>
      <c r="C13323" s="35">
        <v>0</v>
      </c>
      <c r="D13323" s="2">
        <f t="shared" si="208"/>
        <v>1</v>
      </c>
    </row>
    <row r="13324" spans="1:4" x14ac:dyDescent="0.3">
      <c r="A13324" s="34">
        <v>73801</v>
      </c>
      <c r="B13324" s="35">
        <v>1</v>
      </c>
      <c r="C13324" s="35">
        <v>1</v>
      </c>
      <c r="D13324" s="2">
        <f t="shared" si="208"/>
        <v>2</v>
      </c>
    </row>
    <row r="13325" spans="1:4" x14ac:dyDescent="0.3">
      <c r="A13325" s="34">
        <v>73802</v>
      </c>
      <c r="B13325" s="35">
        <v>1</v>
      </c>
      <c r="C13325" s="35">
        <v>0</v>
      </c>
      <c r="D13325" s="2">
        <f t="shared" si="208"/>
        <v>1</v>
      </c>
    </row>
    <row r="13326" spans="1:4" x14ac:dyDescent="0.3">
      <c r="A13326" s="34">
        <v>73803</v>
      </c>
      <c r="B13326" s="35">
        <v>1</v>
      </c>
      <c r="C13326" s="35">
        <v>0</v>
      </c>
      <c r="D13326" s="2">
        <f t="shared" si="208"/>
        <v>1</v>
      </c>
    </row>
    <row r="13327" spans="1:4" x14ac:dyDescent="0.3">
      <c r="A13327" s="34">
        <v>73808</v>
      </c>
      <c r="B13327" s="35">
        <v>1</v>
      </c>
      <c r="C13327" s="35">
        <v>1</v>
      </c>
      <c r="D13327" s="2">
        <f t="shared" si="208"/>
        <v>2</v>
      </c>
    </row>
    <row r="13328" spans="1:4" x14ac:dyDescent="0.3">
      <c r="A13328" s="34">
        <v>73809</v>
      </c>
      <c r="B13328" s="35">
        <v>1</v>
      </c>
      <c r="C13328" s="35">
        <v>0</v>
      </c>
      <c r="D13328" s="2">
        <f t="shared" si="208"/>
        <v>1</v>
      </c>
    </row>
    <row r="13329" spans="1:4" x14ac:dyDescent="0.3">
      <c r="A13329" s="34">
        <v>73810</v>
      </c>
      <c r="B13329" s="35">
        <v>1</v>
      </c>
      <c r="C13329" s="35">
        <v>0</v>
      </c>
      <c r="D13329" s="2">
        <f t="shared" si="208"/>
        <v>1</v>
      </c>
    </row>
    <row r="13330" spans="1:4" x14ac:dyDescent="0.3">
      <c r="A13330" s="34">
        <v>73811</v>
      </c>
      <c r="B13330" s="35">
        <v>1</v>
      </c>
      <c r="C13330" s="35">
        <v>0</v>
      </c>
      <c r="D13330" s="2">
        <f t="shared" si="208"/>
        <v>1</v>
      </c>
    </row>
    <row r="13331" spans="1:4" x14ac:dyDescent="0.3">
      <c r="A13331" s="34">
        <v>73812</v>
      </c>
      <c r="B13331" s="35">
        <v>1</v>
      </c>
      <c r="C13331" s="35">
        <v>0</v>
      </c>
      <c r="D13331" s="2">
        <f t="shared" si="208"/>
        <v>1</v>
      </c>
    </row>
    <row r="13332" spans="1:4" x14ac:dyDescent="0.3">
      <c r="A13332" s="34">
        <v>73822</v>
      </c>
      <c r="B13332" s="35">
        <v>1</v>
      </c>
      <c r="C13332" s="35">
        <v>0</v>
      </c>
      <c r="D13332" s="2">
        <f t="shared" si="208"/>
        <v>1</v>
      </c>
    </row>
    <row r="13333" spans="1:4" x14ac:dyDescent="0.3">
      <c r="A13333" s="34">
        <v>73824</v>
      </c>
      <c r="B13333" s="35">
        <v>1</v>
      </c>
      <c r="C13333" s="35">
        <v>0</v>
      </c>
      <c r="D13333" s="2">
        <f t="shared" si="208"/>
        <v>1</v>
      </c>
    </row>
    <row r="13334" spans="1:4" x14ac:dyDescent="0.3">
      <c r="A13334" s="34">
        <v>73825</v>
      </c>
      <c r="B13334" s="35">
        <v>1</v>
      </c>
      <c r="C13334" s="35">
        <v>0</v>
      </c>
      <c r="D13334" s="2">
        <f t="shared" si="208"/>
        <v>1</v>
      </c>
    </row>
    <row r="13335" spans="1:4" x14ac:dyDescent="0.3">
      <c r="A13335" s="34">
        <v>73829</v>
      </c>
      <c r="B13335" s="35">
        <v>1</v>
      </c>
      <c r="C13335" s="35">
        <v>0</v>
      </c>
      <c r="D13335" s="2">
        <f t="shared" si="208"/>
        <v>1</v>
      </c>
    </row>
    <row r="13336" spans="1:4" x14ac:dyDescent="0.3">
      <c r="A13336" s="34">
        <v>73832</v>
      </c>
      <c r="B13336" s="35">
        <v>1</v>
      </c>
      <c r="C13336" s="35">
        <v>1</v>
      </c>
      <c r="D13336" s="2">
        <f t="shared" si="208"/>
        <v>2</v>
      </c>
    </row>
    <row r="13337" spans="1:4" x14ac:dyDescent="0.3">
      <c r="A13337" s="34">
        <v>73833</v>
      </c>
      <c r="B13337" s="35">
        <v>1</v>
      </c>
      <c r="C13337" s="35">
        <v>0</v>
      </c>
      <c r="D13337" s="2">
        <f t="shared" si="208"/>
        <v>1</v>
      </c>
    </row>
    <row r="13338" spans="1:4" x14ac:dyDescent="0.3">
      <c r="A13338" s="34">
        <v>73838</v>
      </c>
      <c r="B13338" s="35">
        <v>1</v>
      </c>
      <c r="C13338" s="35">
        <v>0</v>
      </c>
      <c r="D13338" s="2">
        <f t="shared" si="208"/>
        <v>1</v>
      </c>
    </row>
    <row r="13339" spans="1:4" x14ac:dyDescent="0.3">
      <c r="A13339" s="34">
        <v>73843</v>
      </c>
      <c r="B13339" s="35">
        <v>2</v>
      </c>
      <c r="C13339" s="35">
        <v>1</v>
      </c>
      <c r="D13339" s="2">
        <f t="shared" si="208"/>
        <v>3</v>
      </c>
    </row>
    <row r="13340" spans="1:4" x14ac:dyDescent="0.3">
      <c r="A13340" s="34">
        <v>73845</v>
      </c>
      <c r="B13340" s="35">
        <v>1</v>
      </c>
      <c r="C13340" s="35">
        <v>0</v>
      </c>
      <c r="D13340" s="2">
        <f t="shared" si="208"/>
        <v>1</v>
      </c>
    </row>
    <row r="13341" spans="1:4" x14ac:dyDescent="0.3">
      <c r="A13341" s="34">
        <v>73846</v>
      </c>
      <c r="B13341" s="35">
        <v>2</v>
      </c>
      <c r="C13341" s="35">
        <v>1</v>
      </c>
      <c r="D13341" s="2">
        <f t="shared" si="208"/>
        <v>3</v>
      </c>
    </row>
    <row r="13342" spans="1:4" x14ac:dyDescent="0.3">
      <c r="A13342" s="34">
        <v>73847</v>
      </c>
      <c r="B13342" s="35">
        <v>1</v>
      </c>
      <c r="C13342" s="35">
        <v>0</v>
      </c>
      <c r="D13342" s="2">
        <f t="shared" si="208"/>
        <v>1</v>
      </c>
    </row>
    <row r="13343" spans="1:4" x14ac:dyDescent="0.3">
      <c r="A13343" s="34">
        <v>73848</v>
      </c>
      <c r="B13343" s="35">
        <v>1</v>
      </c>
      <c r="C13343" s="35">
        <v>0</v>
      </c>
      <c r="D13343" s="2">
        <f t="shared" si="208"/>
        <v>1</v>
      </c>
    </row>
    <row r="13344" spans="1:4" x14ac:dyDescent="0.3">
      <c r="A13344" s="34">
        <v>73849</v>
      </c>
      <c r="B13344" s="35">
        <v>1</v>
      </c>
      <c r="C13344" s="35">
        <v>0</v>
      </c>
      <c r="D13344" s="2">
        <f t="shared" si="208"/>
        <v>1</v>
      </c>
    </row>
    <row r="13345" spans="1:4" x14ac:dyDescent="0.3">
      <c r="A13345" s="34">
        <v>73874</v>
      </c>
      <c r="B13345" s="35">
        <v>1</v>
      </c>
      <c r="C13345" s="35">
        <v>0</v>
      </c>
      <c r="D13345" s="2">
        <f t="shared" si="208"/>
        <v>1</v>
      </c>
    </row>
    <row r="13346" spans="1:4" x14ac:dyDescent="0.3">
      <c r="A13346" s="34">
        <v>73882</v>
      </c>
      <c r="B13346" s="35">
        <v>1</v>
      </c>
      <c r="C13346" s="35">
        <v>0</v>
      </c>
      <c r="D13346" s="2">
        <f t="shared" si="208"/>
        <v>1</v>
      </c>
    </row>
    <row r="13347" spans="1:4" x14ac:dyDescent="0.3">
      <c r="A13347" s="34">
        <v>73883</v>
      </c>
      <c r="B13347" s="35">
        <v>1</v>
      </c>
      <c r="C13347" s="35">
        <v>0</v>
      </c>
      <c r="D13347" s="2">
        <f t="shared" si="208"/>
        <v>1</v>
      </c>
    </row>
    <row r="13348" spans="1:4" x14ac:dyDescent="0.3">
      <c r="A13348" s="34">
        <v>73884</v>
      </c>
      <c r="B13348" s="35">
        <v>1</v>
      </c>
      <c r="C13348" s="35">
        <v>1</v>
      </c>
      <c r="D13348" s="2">
        <f t="shared" si="208"/>
        <v>2</v>
      </c>
    </row>
    <row r="13349" spans="1:4" x14ac:dyDescent="0.3">
      <c r="A13349" s="34">
        <v>73886</v>
      </c>
      <c r="B13349" s="35">
        <v>1</v>
      </c>
      <c r="C13349" s="35">
        <v>0</v>
      </c>
      <c r="D13349" s="2">
        <f t="shared" si="208"/>
        <v>1</v>
      </c>
    </row>
    <row r="13350" spans="1:4" x14ac:dyDescent="0.3">
      <c r="A13350" s="34">
        <v>73890</v>
      </c>
      <c r="B13350" s="35">
        <v>1</v>
      </c>
      <c r="C13350" s="35">
        <v>0</v>
      </c>
      <c r="D13350" s="2">
        <f t="shared" si="208"/>
        <v>1</v>
      </c>
    </row>
    <row r="13351" spans="1:4" x14ac:dyDescent="0.3">
      <c r="A13351" s="34">
        <v>73898</v>
      </c>
      <c r="B13351" s="35">
        <v>1</v>
      </c>
      <c r="C13351" s="35">
        <v>0</v>
      </c>
      <c r="D13351" s="2">
        <f t="shared" si="208"/>
        <v>1</v>
      </c>
    </row>
    <row r="13352" spans="1:4" x14ac:dyDescent="0.3">
      <c r="A13352" s="34">
        <v>73899</v>
      </c>
      <c r="B13352" s="35">
        <v>1</v>
      </c>
      <c r="C13352" s="35">
        <v>0</v>
      </c>
      <c r="D13352" s="2">
        <f t="shared" si="208"/>
        <v>1</v>
      </c>
    </row>
    <row r="13353" spans="1:4" x14ac:dyDescent="0.3">
      <c r="A13353" s="34">
        <v>73914</v>
      </c>
      <c r="B13353" s="35">
        <v>1</v>
      </c>
      <c r="C13353" s="35">
        <v>1</v>
      </c>
      <c r="D13353" s="2">
        <f t="shared" si="208"/>
        <v>2</v>
      </c>
    </row>
    <row r="13354" spans="1:4" x14ac:dyDescent="0.3">
      <c r="A13354" s="34">
        <v>73915</v>
      </c>
      <c r="B13354" s="35">
        <v>1</v>
      </c>
      <c r="C13354" s="35">
        <v>0</v>
      </c>
      <c r="D13354" s="2">
        <f t="shared" si="208"/>
        <v>1</v>
      </c>
    </row>
    <row r="13355" spans="1:4" x14ac:dyDescent="0.3">
      <c r="A13355" s="34">
        <v>73916</v>
      </c>
      <c r="B13355" s="35">
        <v>1</v>
      </c>
      <c r="C13355" s="35">
        <v>0</v>
      </c>
      <c r="D13355" s="2">
        <f t="shared" si="208"/>
        <v>1</v>
      </c>
    </row>
    <row r="13356" spans="1:4" x14ac:dyDescent="0.3">
      <c r="A13356" s="34">
        <v>73917</v>
      </c>
      <c r="B13356" s="35">
        <v>1</v>
      </c>
      <c r="C13356" s="35">
        <v>0</v>
      </c>
      <c r="D13356" s="2">
        <f t="shared" si="208"/>
        <v>1</v>
      </c>
    </row>
    <row r="13357" spans="1:4" x14ac:dyDescent="0.3">
      <c r="A13357" s="34">
        <v>73920</v>
      </c>
      <c r="B13357" s="35">
        <v>1</v>
      </c>
      <c r="C13357" s="35">
        <v>0</v>
      </c>
      <c r="D13357" s="2">
        <f t="shared" si="208"/>
        <v>1</v>
      </c>
    </row>
    <row r="13358" spans="1:4" x14ac:dyDescent="0.3">
      <c r="A13358" s="34">
        <v>73924</v>
      </c>
      <c r="B13358" s="35">
        <v>1</v>
      </c>
      <c r="C13358" s="35">
        <v>0</v>
      </c>
      <c r="D13358" s="2">
        <f t="shared" si="208"/>
        <v>1</v>
      </c>
    </row>
    <row r="13359" spans="1:4" x14ac:dyDescent="0.3">
      <c r="A13359" s="34">
        <v>73925</v>
      </c>
      <c r="B13359" s="35">
        <v>1</v>
      </c>
      <c r="C13359" s="35">
        <v>0</v>
      </c>
      <c r="D13359" s="2">
        <f t="shared" si="208"/>
        <v>1</v>
      </c>
    </row>
    <row r="13360" spans="1:4" x14ac:dyDescent="0.3">
      <c r="A13360" s="34">
        <v>73926</v>
      </c>
      <c r="B13360" s="35">
        <v>1</v>
      </c>
      <c r="C13360" s="35">
        <v>0</v>
      </c>
      <c r="D13360" s="2">
        <f t="shared" si="208"/>
        <v>1</v>
      </c>
    </row>
    <row r="13361" spans="1:4" x14ac:dyDescent="0.3">
      <c r="A13361" s="34">
        <v>73931</v>
      </c>
      <c r="B13361" s="35">
        <v>1</v>
      </c>
      <c r="C13361" s="35">
        <v>0</v>
      </c>
      <c r="D13361" s="2">
        <f t="shared" si="208"/>
        <v>1</v>
      </c>
    </row>
    <row r="13362" spans="1:4" x14ac:dyDescent="0.3">
      <c r="A13362" s="34">
        <v>73934</v>
      </c>
      <c r="B13362" s="35">
        <v>1</v>
      </c>
      <c r="C13362" s="35">
        <v>0</v>
      </c>
      <c r="D13362" s="2">
        <f t="shared" si="208"/>
        <v>1</v>
      </c>
    </row>
    <row r="13363" spans="1:4" x14ac:dyDescent="0.3">
      <c r="A13363" s="34">
        <v>73937</v>
      </c>
      <c r="B13363" s="35">
        <v>1</v>
      </c>
      <c r="C13363" s="35">
        <v>0</v>
      </c>
      <c r="D13363" s="2">
        <f t="shared" si="208"/>
        <v>1</v>
      </c>
    </row>
    <row r="13364" spans="1:4" x14ac:dyDescent="0.3">
      <c r="A13364" s="34">
        <v>73938</v>
      </c>
      <c r="B13364" s="35">
        <v>1</v>
      </c>
      <c r="C13364" s="35">
        <v>0</v>
      </c>
      <c r="D13364" s="2">
        <f t="shared" si="208"/>
        <v>1</v>
      </c>
    </row>
    <row r="13365" spans="1:4" x14ac:dyDescent="0.3">
      <c r="A13365" s="34">
        <v>73939</v>
      </c>
      <c r="B13365" s="35">
        <v>1</v>
      </c>
      <c r="C13365" s="35">
        <v>0</v>
      </c>
      <c r="D13365" s="2">
        <f t="shared" si="208"/>
        <v>1</v>
      </c>
    </row>
    <row r="13366" spans="1:4" x14ac:dyDescent="0.3">
      <c r="A13366" s="34">
        <v>73940</v>
      </c>
      <c r="B13366" s="35">
        <v>1</v>
      </c>
      <c r="C13366" s="35">
        <v>0</v>
      </c>
      <c r="D13366" s="2">
        <f t="shared" si="208"/>
        <v>1</v>
      </c>
    </row>
    <row r="13367" spans="1:4" x14ac:dyDescent="0.3">
      <c r="A13367" s="34">
        <v>73941</v>
      </c>
      <c r="B13367" s="35">
        <v>1</v>
      </c>
      <c r="C13367" s="35">
        <v>0</v>
      </c>
      <c r="D13367" s="2">
        <f t="shared" si="208"/>
        <v>1</v>
      </c>
    </row>
    <row r="13368" spans="1:4" x14ac:dyDescent="0.3">
      <c r="A13368" s="34">
        <v>73942</v>
      </c>
      <c r="B13368" s="35">
        <v>1</v>
      </c>
      <c r="C13368" s="35">
        <v>0</v>
      </c>
      <c r="D13368" s="2">
        <f t="shared" si="208"/>
        <v>1</v>
      </c>
    </row>
    <row r="13369" spans="1:4" x14ac:dyDescent="0.3">
      <c r="A13369" s="34">
        <v>73944</v>
      </c>
      <c r="B13369" s="35">
        <v>1</v>
      </c>
      <c r="C13369" s="35">
        <v>0</v>
      </c>
      <c r="D13369" s="2">
        <f t="shared" si="208"/>
        <v>1</v>
      </c>
    </row>
    <row r="13370" spans="1:4" x14ac:dyDescent="0.3">
      <c r="A13370" s="34">
        <v>73945</v>
      </c>
      <c r="B13370" s="35">
        <v>1</v>
      </c>
      <c r="C13370" s="35">
        <v>0</v>
      </c>
      <c r="D13370" s="2">
        <f t="shared" si="208"/>
        <v>1</v>
      </c>
    </row>
    <row r="13371" spans="1:4" x14ac:dyDescent="0.3">
      <c r="A13371" s="34">
        <v>73946</v>
      </c>
      <c r="B13371" s="35">
        <v>1</v>
      </c>
      <c r="C13371" s="35">
        <v>0</v>
      </c>
      <c r="D13371" s="2">
        <f t="shared" si="208"/>
        <v>1</v>
      </c>
    </row>
    <row r="13372" spans="1:4" x14ac:dyDescent="0.3">
      <c r="A13372" s="34">
        <v>73947</v>
      </c>
      <c r="B13372" s="35">
        <v>1</v>
      </c>
      <c r="C13372" s="35">
        <v>0</v>
      </c>
      <c r="D13372" s="2">
        <f t="shared" si="208"/>
        <v>1</v>
      </c>
    </row>
    <row r="13373" spans="1:4" x14ac:dyDescent="0.3">
      <c r="A13373" s="34">
        <v>73951</v>
      </c>
      <c r="B13373" s="35">
        <v>1</v>
      </c>
      <c r="C13373" s="35">
        <v>0</v>
      </c>
      <c r="D13373" s="2">
        <f t="shared" si="208"/>
        <v>1</v>
      </c>
    </row>
    <row r="13374" spans="1:4" x14ac:dyDescent="0.3">
      <c r="A13374" s="34">
        <v>73953</v>
      </c>
      <c r="B13374" s="35">
        <v>1</v>
      </c>
      <c r="C13374" s="35">
        <v>0</v>
      </c>
      <c r="D13374" s="2">
        <f t="shared" si="208"/>
        <v>1</v>
      </c>
    </row>
    <row r="13375" spans="1:4" x14ac:dyDescent="0.3">
      <c r="A13375" s="34">
        <v>73955</v>
      </c>
      <c r="B13375" s="35">
        <v>1</v>
      </c>
      <c r="C13375" s="35">
        <v>0</v>
      </c>
      <c r="D13375" s="2">
        <f t="shared" si="208"/>
        <v>1</v>
      </c>
    </row>
    <row r="13376" spans="1:4" x14ac:dyDescent="0.3">
      <c r="A13376" s="34">
        <v>73959</v>
      </c>
      <c r="B13376" s="35">
        <v>1</v>
      </c>
      <c r="C13376" s="35">
        <v>0</v>
      </c>
      <c r="D13376" s="2">
        <f t="shared" si="208"/>
        <v>1</v>
      </c>
    </row>
    <row r="13377" spans="1:4" x14ac:dyDescent="0.3">
      <c r="A13377" s="34">
        <v>73964</v>
      </c>
      <c r="B13377" s="35">
        <v>1</v>
      </c>
      <c r="C13377" s="35">
        <v>0</v>
      </c>
      <c r="D13377" s="2">
        <f t="shared" si="208"/>
        <v>1</v>
      </c>
    </row>
    <row r="13378" spans="1:4" x14ac:dyDescent="0.3">
      <c r="A13378" s="34">
        <v>73965</v>
      </c>
      <c r="B13378" s="35">
        <v>2</v>
      </c>
      <c r="C13378" s="35">
        <v>2</v>
      </c>
      <c r="D13378" s="2">
        <f t="shared" si="208"/>
        <v>4</v>
      </c>
    </row>
    <row r="13379" spans="1:4" x14ac:dyDescent="0.3">
      <c r="A13379" s="34">
        <v>73966</v>
      </c>
      <c r="B13379" s="35">
        <v>1</v>
      </c>
      <c r="C13379" s="35">
        <v>1</v>
      </c>
      <c r="D13379" s="2">
        <f t="shared" ref="D13379:D13442" si="209">B13379+C13379</f>
        <v>2</v>
      </c>
    </row>
    <row r="13380" spans="1:4" x14ac:dyDescent="0.3">
      <c r="A13380" s="34">
        <v>73967</v>
      </c>
      <c r="B13380" s="35">
        <v>1</v>
      </c>
      <c r="C13380" s="35">
        <v>0</v>
      </c>
      <c r="D13380" s="2">
        <f t="shared" si="209"/>
        <v>1</v>
      </c>
    </row>
    <row r="13381" spans="1:4" x14ac:dyDescent="0.3">
      <c r="A13381" s="34">
        <v>74000</v>
      </c>
      <c r="B13381" s="35">
        <v>1</v>
      </c>
      <c r="C13381" s="35">
        <v>1</v>
      </c>
      <c r="D13381" s="2">
        <f t="shared" si="209"/>
        <v>2</v>
      </c>
    </row>
    <row r="13382" spans="1:4" x14ac:dyDescent="0.3">
      <c r="A13382" s="34">
        <v>74002</v>
      </c>
      <c r="B13382" s="35">
        <v>1</v>
      </c>
      <c r="C13382" s="35">
        <v>0</v>
      </c>
      <c r="D13382" s="2">
        <f t="shared" si="209"/>
        <v>1</v>
      </c>
    </row>
    <row r="13383" spans="1:4" x14ac:dyDescent="0.3">
      <c r="A13383" s="34">
        <v>74003</v>
      </c>
      <c r="B13383" s="35">
        <v>1</v>
      </c>
      <c r="C13383" s="35">
        <v>0</v>
      </c>
      <c r="D13383" s="2">
        <f t="shared" si="209"/>
        <v>1</v>
      </c>
    </row>
    <row r="13384" spans="1:4" x14ac:dyDescent="0.3">
      <c r="A13384" s="34">
        <v>74005</v>
      </c>
      <c r="B13384" s="35">
        <v>1</v>
      </c>
      <c r="C13384" s="35">
        <v>0</v>
      </c>
      <c r="D13384" s="2">
        <f t="shared" si="209"/>
        <v>1</v>
      </c>
    </row>
    <row r="13385" spans="1:4" x14ac:dyDescent="0.3">
      <c r="A13385" s="34">
        <v>74006</v>
      </c>
      <c r="B13385" s="35">
        <v>1</v>
      </c>
      <c r="C13385" s="35">
        <v>0</v>
      </c>
      <c r="D13385" s="2">
        <f t="shared" si="209"/>
        <v>1</v>
      </c>
    </row>
    <row r="13386" spans="1:4" x14ac:dyDescent="0.3">
      <c r="A13386" s="34">
        <v>74007</v>
      </c>
      <c r="B13386" s="35">
        <v>1</v>
      </c>
      <c r="C13386" s="35">
        <v>0</v>
      </c>
      <c r="D13386" s="2">
        <f t="shared" si="209"/>
        <v>1</v>
      </c>
    </row>
    <row r="13387" spans="1:4" x14ac:dyDescent="0.3">
      <c r="A13387" s="34">
        <v>74008</v>
      </c>
      <c r="B13387" s="35">
        <v>1</v>
      </c>
      <c r="C13387" s="35">
        <v>0</v>
      </c>
      <c r="D13387" s="2">
        <f t="shared" si="209"/>
        <v>1</v>
      </c>
    </row>
    <row r="13388" spans="1:4" x14ac:dyDescent="0.3">
      <c r="A13388" s="34">
        <v>74009</v>
      </c>
      <c r="B13388" s="35">
        <v>1</v>
      </c>
      <c r="C13388" s="35">
        <v>0</v>
      </c>
      <c r="D13388" s="2">
        <f t="shared" si="209"/>
        <v>1</v>
      </c>
    </row>
    <row r="13389" spans="1:4" x14ac:dyDescent="0.3">
      <c r="A13389" s="34">
        <v>74010</v>
      </c>
      <c r="B13389" s="35">
        <v>1</v>
      </c>
      <c r="C13389" s="35">
        <v>0</v>
      </c>
      <c r="D13389" s="2">
        <f t="shared" si="209"/>
        <v>1</v>
      </c>
    </row>
    <row r="13390" spans="1:4" x14ac:dyDescent="0.3">
      <c r="A13390" s="34">
        <v>74044</v>
      </c>
      <c r="B13390" s="35">
        <v>1</v>
      </c>
      <c r="C13390" s="35">
        <v>0</v>
      </c>
      <c r="D13390" s="2">
        <f t="shared" si="209"/>
        <v>1</v>
      </c>
    </row>
    <row r="13391" spans="1:4" x14ac:dyDescent="0.3">
      <c r="A13391" s="34">
        <v>74045</v>
      </c>
      <c r="B13391" s="35">
        <v>1</v>
      </c>
      <c r="C13391" s="35">
        <v>0</v>
      </c>
      <c r="D13391" s="2">
        <f t="shared" si="209"/>
        <v>1</v>
      </c>
    </row>
    <row r="13392" spans="1:4" x14ac:dyDescent="0.3">
      <c r="A13392" s="34">
        <v>74049</v>
      </c>
      <c r="B13392" s="35">
        <v>1</v>
      </c>
      <c r="C13392" s="35">
        <v>0</v>
      </c>
      <c r="D13392" s="2">
        <f t="shared" si="209"/>
        <v>1</v>
      </c>
    </row>
    <row r="13393" spans="1:4" x14ac:dyDescent="0.3">
      <c r="A13393" s="34">
        <v>74054</v>
      </c>
      <c r="B13393" s="35">
        <v>1</v>
      </c>
      <c r="C13393" s="35">
        <v>1</v>
      </c>
      <c r="D13393" s="2">
        <f t="shared" si="209"/>
        <v>2</v>
      </c>
    </row>
    <row r="13394" spans="1:4" x14ac:dyDescent="0.3">
      <c r="A13394" s="34">
        <v>74058</v>
      </c>
      <c r="B13394" s="35">
        <v>1</v>
      </c>
      <c r="C13394" s="35">
        <v>0</v>
      </c>
      <c r="D13394" s="2">
        <f t="shared" si="209"/>
        <v>1</v>
      </c>
    </row>
    <row r="13395" spans="1:4" x14ac:dyDescent="0.3">
      <c r="A13395" s="34">
        <v>74059</v>
      </c>
      <c r="B13395" s="35">
        <v>1</v>
      </c>
      <c r="C13395" s="35">
        <v>0</v>
      </c>
      <c r="D13395" s="2">
        <f t="shared" si="209"/>
        <v>1</v>
      </c>
    </row>
    <row r="13396" spans="1:4" x14ac:dyDescent="0.3">
      <c r="A13396" s="34">
        <v>74063</v>
      </c>
      <c r="B13396" s="35">
        <v>1</v>
      </c>
      <c r="C13396" s="35">
        <v>0</v>
      </c>
      <c r="D13396" s="2">
        <f t="shared" si="209"/>
        <v>1</v>
      </c>
    </row>
    <row r="13397" spans="1:4" x14ac:dyDescent="0.3">
      <c r="A13397" s="34">
        <v>74065</v>
      </c>
      <c r="B13397" s="35">
        <v>1</v>
      </c>
      <c r="C13397" s="35">
        <v>0</v>
      </c>
      <c r="D13397" s="2">
        <f t="shared" si="209"/>
        <v>1</v>
      </c>
    </row>
    <row r="13398" spans="1:4" x14ac:dyDescent="0.3">
      <c r="A13398" s="34">
        <v>74067</v>
      </c>
      <c r="B13398" s="35">
        <v>1</v>
      </c>
      <c r="C13398" s="35">
        <v>0</v>
      </c>
      <c r="D13398" s="2">
        <f t="shared" si="209"/>
        <v>1</v>
      </c>
    </row>
    <row r="13399" spans="1:4" x14ac:dyDescent="0.3">
      <c r="A13399" s="34">
        <v>74068</v>
      </c>
      <c r="B13399" s="35">
        <v>1</v>
      </c>
      <c r="C13399" s="35">
        <v>0</v>
      </c>
      <c r="D13399" s="2">
        <f t="shared" si="209"/>
        <v>1</v>
      </c>
    </row>
    <row r="13400" spans="1:4" x14ac:dyDescent="0.3">
      <c r="A13400" s="34">
        <v>74077</v>
      </c>
      <c r="B13400" s="35">
        <v>1</v>
      </c>
      <c r="C13400" s="35">
        <v>0</v>
      </c>
      <c r="D13400" s="2">
        <f t="shared" si="209"/>
        <v>1</v>
      </c>
    </row>
    <row r="13401" spans="1:4" x14ac:dyDescent="0.3">
      <c r="A13401" s="34">
        <v>74078</v>
      </c>
      <c r="B13401" s="35">
        <v>2</v>
      </c>
      <c r="C13401" s="35">
        <v>1</v>
      </c>
      <c r="D13401" s="2">
        <f t="shared" si="209"/>
        <v>3</v>
      </c>
    </row>
    <row r="13402" spans="1:4" x14ac:dyDescent="0.3">
      <c r="A13402" s="34">
        <v>74080</v>
      </c>
      <c r="B13402" s="35">
        <v>1</v>
      </c>
      <c r="C13402" s="35">
        <v>1</v>
      </c>
      <c r="D13402" s="2">
        <f t="shared" si="209"/>
        <v>2</v>
      </c>
    </row>
    <row r="13403" spans="1:4" x14ac:dyDescent="0.3">
      <c r="A13403" s="34">
        <v>74082</v>
      </c>
      <c r="B13403" s="35">
        <v>1</v>
      </c>
      <c r="C13403" s="35">
        <v>0</v>
      </c>
      <c r="D13403" s="2">
        <f t="shared" si="209"/>
        <v>1</v>
      </c>
    </row>
    <row r="13404" spans="1:4" x14ac:dyDescent="0.3">
      <c r="A13404" s="34">
        <v>74083</v>
      </c>
      <c r="B13404" s="35">
        <v>1</v>
      </c>
      <c r="C13404" s="35">
        <v>0</v>
      </c>
      <c r="D13404" s="2">
        <f t="shared" si="209"/>
        <v>1</v>
      </c>
    </row>
    <row r="13405" spans="1:4" x14ac:dyDescent="0.3">
      <c r="A13405" s="34">
        <v>74086</v>
      </c>
      <c r="B13405" s="35">
        <v>1</v>
      </c>
      <c r="C13405" s="35">
        <v>0</v>
      </c>
      <c r="D13405" s="2">
        <f t="shared" si="209"/>
        <v>1</v>
      </c>
    </row>
    <row r="13406" spans="1:4" x14ac:dyDescent="0.3">
      <c r="A13406" s="34">
        <v>74087</v>
      </c>
      <c r="B13406" s="35">
        <v>1</v>
      </c>
      <c r="C13406" s="35">
        <v>0</v>
      </c>
      <c r="D13406" s="2">
        <f t="shared" si="209"/>
        <v>1</v>
      </c>
    </row>
    <row r="13407" spans="1:4" x14ac:dyDescent="0.3">
      <c r="A13407" s="34">
        <v>74088</v>
      </c>
      <c r="B13407" s="35">
        <v>1</v>
      </c>
      <c r="C13407" s="35">
        <v>0</v>
      </c>
      <c r="D13407" s="2">
        <f t="shared" si="209"/>
        <v>1</v>
      </c>
    </row>
    <row r="13408" spans="1:4" x14ac:dyDescent="0.3">
      <c r="A13408" s="34">
        <v>74089</v>
      </c>
      <c r="B13408" s="35">
        <v>1</v>
      </c>
      <c r="C13408" s="35">
        <v>0</v>
      </c>
      <c r="D13408" s="2">
        <f t="shared" si="209"/>
        <v>1</v>
      </c>
    </row>
    <row r="13409" spans="1:4" x14ac:dyDescent="0.3">
      <c r="A13409" s="34">
        <v>74090</v>
      </c>
      <c r="B13409" s="35">
        <v>1</v>
      </c>
      <c r="C13409" s="35">
        <v>0</v>
      </c>
      <c r="D13409" s="2">
        <f t="shared" si="209"/>
        <v>1</v>
      </c>
    </row>
    <row r="13410" spans="1:4" x14ac:dyDescent="0.3">
      <c r="A13410" s="34">
        <v>74092</v>
      </c>
      <c r="B13410" s="35">
        <v>1</v>
      </c>
      <c r="C13410" s="35">
        <v>0</v>
      </c>
      <c r="D13410" s="2">
        <f t="shared" si="209"/>
        <v>1</v>
      </c>
    </row>
    <row r="13411" spans="1:4" x14ac:dyDescent="0.3">
      <c r="A13411" s="34">
        <v>74094</v>
      </c>
      <c r="B13411" s="35">
        <v>1</v>
      </c>
      <c r="C13411" s="35">
        <v>0</v>
      </c>
      <c r="D13411" s="2">
        <f t="shared" si="209"/>
        <v>1</v>
      </c>
    </row>
    <row r="13412" spans="1:4" x14ac:dyDescent="0.3">
      <c r="A13412" s="34">
        <v>74095</v>
      </c>
      <c r="B13412" s="35">
        <v>1</v>
      </c>
      <c r="C13412" s="35">
        <v>0</v>
      </c>
      <c r="D13412" s="2">
        <f t="shared" si="209"/>
        <v>1</v>
      </c>
    </row>
    <row r="13413" spans="1:4" x14ac:dyDescent="0.3">
      <c r="A13413" s="34">
        <v>74097</v>
      </c>
      <c r="B13413" s="35">
        <v>3</v>
      </c>
      <c r="C13413" s="35">
        <v>2</v>
      </c>
      <c r="D13413" s="2">
        <f t="shared" si="209"/>
        <v>5</v>
      </c>
    </row>
    <row r="13414" spans="1:4" x14ac:dyDescent="0.3">
      <c r="A13414" s="34">
        <v>74099</v>
      </c>
      <c r="B13414" s="35">
        <v>1</v>
      </c>
      <c r="C13414" s="35">
        <v>0</v>
      </c>
      <c r="D13414" s="2">
        <f t="shared" si="209"/>
        <v>1</v>
      </c>
    </row>
    <row r="13415" spans="1:4" x14ac:dyDescent="0.3">
      <c r="A13415" s="34">
        <v>74104</v>
      </c>
      <c r="B13415" s="35">
        <v>1</v>
      </c>
      <c r="C13415" s="35">
        <v>0</v>
      </c>
      <c r="D13415" s="2">
        <f t="shared" si="209"/>
        <v>1</v>
      </c>
    </row>
    <row r="13416" spans="1:4" x14ac:dyDescent="0.3">
      <c r="A13416" s="34">
        <v>74105</v>
      </c>
      <c r="B13416" s="35">
        <v>1</v>
      </c>
      <c r="C13416" s="35">
        <v>0</v>
      </c>
      <c r="D13416" s="2">
        <f t="shared" si="209"/>
        <v>1</v>
      </c>
    </row>
    <row r="13417" spans="1:4" x14ac:dyDescent="0.3">
      <c r="A13417" s="34">
        <v>74106</v>
      </c>
      <c r="B13417" s="35">
        <v>1</v>
      </c>
      <c r="C13417" s="35">
        <v>0</v>
      </c>
      <c r="D13417" s="2">
        <f t="shared" si="209"/>
        <v>1</v>
      </c>
    </row>
    <row r="13418" spans="1:4" x14ac:dyDescent="0.3">
      <c r="A13418" s="34">
        <v>74107</v>
      </c>
      <c r="B13418" s="35">
        <v>1</v>
      </c>
      <c r="C13418" s="35">
        <v>0</v>
      </c>
      <c r="D13418" s="2">
        <f t="shared" si="209"/>
        <v>1</v>
      </c>
    </row>
    <row r="13419" spans="1:4" x14ac:dyDescent="0.3">
      <c r="A13419" s="34">
        <v>74111</v>
      </c>
      <c r="B13419" s="35">
        <v>1</v>
      </c>
      <c r="C13419" s="35">
        <v>0</v>
      </c>
      <c r="D13419" s="2">
        <f t="shared" si="209"/>
        <v>1</v>
      </c>
    </row>
    <row r="13420" spans="1:4" x14ac:dyDescent="0.3">
      <c r="A13420" s="34">
        <v>74113</v>
      </c>
      <c r="B13420" s="35">
        <v>1</v>
      </c>
      <c r="C13420" s="35">
        <v>0</v>
      </c>
      <c r="D13420" s="2">
        <f t="shared" si="209"/>
        <v>1</v>
      </c>
    </row>
    <row r="13421" spans="1:4" x14ac:dyDescent="0.3">
      <c r="A13421" s="34">
        <v>74114</v>
      </c>
      <c r="B13421" s="35">
        <v>1</v>
      </c>
      <c r="C13421" s="35">
        <v>0</v>
      </c>
      <c r="D13421" s="2">
        <f t="shared" si="209"/>
        <v>1</v>
      </c>
    </row>
    <row r="13422" spans="1:4" x14ac:dyDescent="0.3">
      <c r="A13422" s="34">
        <v>74116</v>
      </c>
      <c r="B13422" s="35">
        <v>1</v>
      </c>
      <c r="C13422" s="35">
        <v>0</v>
      </c>
      <c r="D13422" s="2">
        <f t="shared" si="209"/>
        <v>1</v>
      </c>
    </row>
    <row r="13423" spans="1:4" x14ac:dyDescent="0.3">
      <c r="A13423" s="34">
        <v>74117</v>
      </c>
      <c r="B13423" s="35">
        <v>1</v>
      </c>
      <c r="C13423" s="35">
        <v>0</v>
      </c>
      <c r="D13423" s="2">
        <f t="shared" si="209"/>
        <v>1</v>
      </c>
    </row>
    <row r="13424" spans="1:4" x14ac:dyDescent="0.3">
      <c r="A13424" s="34">
        <v>74118</v>
      </c>
      <c r="B13424" s="35">
        <v>1</v>
      </c>
      <c r="C13424" s="35">
        <v>0</v>
      </c>
      <c r="D13424" s="2">
        <f t="shared" si="209"/>
        <v>1</v>
      </c>
    </row>
    <row r="13425" spans="1:4" x14ac:dyDescent="0.3">
      <c r="A13425" s="34">
        <v>74119</v>
      </c>
      <c r="B13425" s="35">
        <v>1</v>
      </c>
      <c r="C13425" s="35">
        <v>0</v>
      </c>
      <c r="D13425" s="2">
        <f t="shared" si="209"/>
        <v>1</v>
      </c>
    </row>
    <row r="13426" spans="1:4" x14ac:dyDescent="0.3">
      <c r="A13426" s="34">
        <v>74120</v>
      </c>
      <c r="B13426" s="35">
        <v>1</v>
      </c>
      <c r="C13426" s="35">
        <v>0</v>
      </c>
      <c r="D13426" s="2">
        <f t="shared" si="209"/>
        <v>1</v>
      </c>
    </row>
    <row r="13427" spans="1:4" x14ac:dyDescent="0.3">
      <c r="A13427" s="34">
        <v>74121</v>
      </c>
      <c r="B13427" s="35">
        <v>1</v>
      </c>
      <c r="C13427" s="35">
        <v>1</v>
      </c>
      <c r="D13427" s="2">
        <f t="shared" si="209"/>
        <v>2</v>
      </c>
    </row>
    <row r="13428" spans="1:4" x14ac:dyDescent="0.3">
      <c r="A13428" s="34">
        <v>74122</v>
      </c>
      <c r="B13428" s="35">
        <v>1</v>
      </c>
      <c r="C13428" s="35">
        <v>0</v>
      </c>
      <c r="D13428" s="2">
        <f t="shared" si="209"/>
        <v>1</v>
      </c>
    </row>
    <row r="13429" spans="1:4" x14ac:dyDescent="0.3">
      <c r="A13429" s="34">
        <v>74124</v>
      </c>
      <c r="B13429" s="35">
        <v>1</v>
      </c>
      <c r="C13429" s="35">
        <v>0</v>
      </c>
      <c r="D13429" s="2">
        <f t="shared" si="209"/>
        <v>1</v>
      </c>
    </row>
    <row r="13430" spans="1:4" x14ac:dyDescent="0.3">
      <c r="A13430" s="34">
        <v>74125</v>
      </c>
      <c r="B13430" s="35">
        <v>1</v>
      </c>
      <c r="C13430" s="35">
        <v>0</v>
      </c>
      <c r="D13430" s="2">
        <f t="shared" si="209"/>
        <v>1</v>
      </c>
    </row>
    <row r="13431" spans="1:4" x14ac:dyDescent="0.3">
      <c r="A13431" s="34">
        <v>74126</v>
      </c>
      <c r="B13431" s="35">
        <v>1</v>
      </c>
      <c r="C13431" s="35">
        <v>0</v>
      </c>
      <c r="D13431" s="2">
        <f t="shared" si="209"/>
        <v>1</v>
      </c>
    </row>
    <row r="13432" spans="1:4" x14ac:dyDescent="0.3">
      <c r="A13432" s="34">
        <v>74127</v>
      </c>
      <c r="B13432" s="35">
        <v>1</v>
      </c>
      <c r="C13432" s="35">
        <v>0</v>
      </c>
      <c r="D13432" s="2">
        <f t="shared" si="209"/>
        <v>1</v>
      </c>
    </row>
    <row r="13433" spans="1:4" x14ac:dyDescent="0.3">
      <c r="A13433" s="34">
        <v>74128</v>
      </c>
      <c r="B13433" s="35">
        <v>1</v>
      </c>
      <c r="C13433" s="35">
        <v>0</v>
      </c>
      <c r="D13433" s="2">
        <f t="shared" si="209"/>
        <v>1</v>
      </c>
    </row>
    <row r="13434" spans="1:4" x14ac:dyDescent="0.3">
      <c r="A13434" s="34">
        <v>74140</v>
      </c>
      <c r="B13434" s="35">
        <v>1</v>
      </c>
      <c r="C13434" s="35">
        <v>0</v>
      </c>
      <c r="D13434" s="2">
        <f t="shared" si="209"/>
        <v>1</v>
      </c>
    </row>
    <row r="13435" spans="1:4" x14ac:dyDescent="0.3">
      <c r="A13435" s="34">
        <v>74141</v>
      </c>
      <c r="B13435" s="35">
        <v>1</v>
      </c>
      <c r="C13435" s="35">
        <v>0</v>
      </c>
      <c r="D13435" s="2">
        <f t="shared" si="209"/>
        <v>1</v>
      </c>
    </row>
    <row r="13436" spans="1:4" x14ac:dyDescent="0.3">
      <c r="A13436" s="34">
        <v>74142</v>
      </c>
      <c r="B13436" s="35">
        <v>1</v>
      </c>
      <c r="C13436" s="35">
        <v>0</v>
      </c>
      <c r="D13436" s="2">
        <f t="shared" si="209"/>
        <v>1</v>
      </c>
    </row>
    <row r="13437" spans="1:4" x14ac:dyDescent="0.3">
      <c r="A13437" s="34">
        <v>74143</v>
      </c>
      <c r="B13437" s="35">
        <v>1</v>
      </c>
      <c r="C13437" s="35">
        <v>0</v>
      </c>
      <c r="D13437" s="2">
        <f t="shared" si="209"/>
        <v>1</v>
      </c>
    </row>
    <row r="13438" spans="1:4" x14ac:dyDescent="0.3">
      <c r="A13438" s="34">
        <v>74144</v>
      </c>
      <c r="B13438" s="35">
        <v>1</v>
      </c>
      <c r="C13438" s="35">
        <v>1</v>
      </c>
      <c r="D13438" s="2">
        <f t="shared" si="209"/>
        <v>2</v>
      </c>
    </row>
    <row r="13439" spans="1:4" x14ac:dyDescent="0.3">
      <c r="A13439" s="34">
        <v>74145</v>
      </c>
      <c r="B13439" s="35">
        <v>1</v>
      </c>
      <c r="C13439" s="35">
        <v>0</v>
      </c>
      <c r="D13439" s="2">
        <f t="shared" si="209"/>
        <v>1</v>
      </c>
    </row>
    <row r="13440" spans="1:4" x14ac:dyDescent="0.3">
      <c r="A13440" s="34">
        <v>74146</v>
      </c>
      <c r="B13440" s="35">
        <v>1</v>
      </c>
      <c r="C13440" s="35">
        <v>0</v>
      </c>
      <c r="D13440" s="2">
        <f t="shared" si="209"/>
        <v>1</v>
      </c>
    </row>
    <row r="13441" spans="1:4" x14ac:dyDescent="0.3">
      <c r="A13441" s="34">
        <v>74152</v>
      </c>
      <c r="B13441" s="35">
        <v>1</v>
      </c>
      <c r="C13441" s="35">
        <v>0</v>
      </c>
      <c r="D13441" s="2">
        <f t="shared" si="209"/>
        <v>1</v>
      </c>
    </row>
    <row r="13442" spans="1:4" x14ac:dyDescent="0.3">
      <c r="A13442" s="34">
        <v>74153</v>
      </c>
      <c r="B13442" s="35">
        <v>1</v>
      </c>
      <c r="C13442" s="35">
        <v>0</v>
      </c>
      <c r="D13442" s="2">
        <f t="shared" si="209"/>
        <v>1</v>
      </c>
    </row>
    <row r="13443" spans="1:4" x14ac:dyDescent="0.3">
      <c r="A13443" s="34">
        <v>74154</v>
      </c>
      <c r="B13443" s="35">
        <v>1</v>
      </c>
      <c r="C13443" s="35">
        <v>0</v>
      </c>
      <c r="D13443" s="2">
        <f t="shared" ref="D13443:D13506" si="210">B13443+C13443</f>
        <v>1</v>
      </c>
    </row>
    <row r="13444" spans="1:4" x14ac:dyDescent="0.3">
      <c r="A13444" s="34">
        <v>74156</v>
      </c>
      <c r="B13444" s="35">
        <v>1</v>
      </c>
      <c r="C13444" s="35">
        <v>0</v>
      </c>
      <c r="D13444" s="2">
        <f t="shared" si="210"/>
        <v>1</v>
      </c>
    </row>
    <row r="13445" spans="1:4" x14ac:dyDescent="0.3">
      <c r="A13445" s="34">
        <v>74158</v>
      </c>
      <c r="B13445" s="35">
        <v>3</v>
      </c>
      <c r="C13445" s="35">
        <v>1</v>
      </c>
      <c r="D13445" s="2">
        <f t="shared" si="210"/>
        <v>4</v>
      </c>
    </row>
    <row r="13446" spans="1:4" x14ac:dyDescent="0.3">
      <c r="A13446" s="34">
        <v>74159</v>
      </c>
      <c r="B13446" s="35">
        <v>1</v>
      </c>
      <c r="C13446" s="35">
        <v>0</v>
      </c>
      <c r="D13446" s="2">
        <f t="shared" si="210"/>
        <v>1</v>
      </c>
    </row>
    <row r="13447" spans="1:4" x14ac:dyDescent="0.3">
      <c r="A13447" s="34">
        <v>74160</v>
      </c>
      <c r="B13447" s="35">
        <v>1</v>
      </c>
      <c r="C13447" s="35">
        <v>0</v>
      </c>
      <c r="D13447" s="2">
        <f t="shared" si="210"/>
        <v>1</v>
      </c>
    </row>
    <row r="13448" spans="1:4" x14ac:dyDescent="0.3">
      <c r="A13448" s="34">
        <v>74162</v>
      </c>
      <c r="B13448" s="35">
        <v>1</v>
      </c>
      <c r="C13448" s="35">
        <v>0</v>
      </c>
      <c r="D13448" s="2">
        <f t="shared" si="210"/>
        <v>1</v>
      </c>
    </row>
    <row r="13449" spans="1:4" x14ac:dyDescent="0.3">
      <c r="A13449" s="34">
        <v>74163</v>
      </c>
      <c r="B13449" s="35">
        <v>1</v>
      </c>
      <c r="C13449" s="35">
        <v>0</v>
      </c>
      <c r="D13449" s="2">
        <f t="shared" si="210"/>
        <v>1</v>
      </c>
    </row>
    <row r="13450" spans="1:4" x14ac:dyDescent="0.3">
      <c r="A13450" s="34">
        <v>74166</v>
      </c>
      <c r="B13450" s="35">
        <v>1</v>
      </c>
      <c r="C13450" s="35">
        <v>0</v>
      </c>
      <c r="D13450" s="2">
        <f t="shared" si="210"/>
        <v>1</v>
      </c>
    </row>
    <row r="13451" spans="1:4" x14ac:dyDescent="0.3">
      <c r="A13451" s="34">
        <v>74167</v>
      </c>
      <c r="B13451" s="35">
        <v>1</v>
      </c>
      <c r="C13451" s="35">
        <v>0</v>
      </c>
      <c r="D13451" s="2">
        <f t="shared" si="210"/>
        <v>1</v>
      </c>
    </row>
    <row r="13452" spans="1:4" x14ac:dyDescent="0.3">
      <c r="A13452" s="34">
        <v>74176</v>
      </c>
      <c r="B13452" s="35">
        <v>1</v>
      </c>
      <c r="C13452" s="35">
        <v>0</v>
      </c>
      <c r="D13452" s="2">
        <f t="shared" si="210"/>
        <v>1</v>
      </c>
    </row>
    <row r="13453" spans="1:4" x14ac:dyDescent="0.3">
      <c r="A13453" s="34">
        <v>74177</v>
      </c>
      <c r="B13453" s="35">
        <v>1</v>
      </c>
      <c r="C13453" s="35">
        <v>0</v>
      </c>
      <c r="D13453" s="2">
        <f t="shared" si="210"/>
        <v>1</v>
      </c>
    </row>
    <row r="13454" spans="1:4" x14ac:dyDescent="0.3">
      <c r="A13454" s="34">
        <v>74178</v>
      </c>
      <c r="B13454" s="35">
        <v>1</v>
      </c>
      <c r="C13454" s="35">
        <v>1</v>
      </c>
      <c r="D13454" s="2">
        <f t="shared" si="210"/>
        <v>2</v>
      </c>
    </row>
    <row r="13455" spans="1:4" x14ac:dyDescent="0.3">
      <c r="A13455" s="34">
        <v>74179</v>
      </c>
      <c r="B13455" s="35">
        <v>2</v>
      </c>
      <c r="C13455" s="35">
        <v>0</v>
      </c>
      <c r="D13455" s="2">
        <f t="shared" si="210"/>
        <v>2</v>
      </c>
    </row>
    <row r="13456" spans="1:4" x14ac:dyDescent="0.3">
      <c r="A13456" s="34">
        <v>74181</v>
      </c>
      <c r="B13456" s="35">
        <v>1</v>
      </c>
      <c r="C13456" s="35">
        <v>0</v>
      </c>
      <c r="D13456" s="2">
        <f t="shared" si="210"/>
        <v>1</v>
      </c>
    </row>
    <row r="13457" spans="1:4" x14ac:dyDescent="0.3">
      <c r="A13457" s="34">
        <v>74182</v>
      </c>
      <c r="B13457" s="35">
        <v>1</v>
      </c>
      <c r="C13457" s="35">
        <v>0</v>
      </c>
      <c r="D13457" s="2">
        <f t="shared" si="210"/>
        <v>1</v>
      </c>
    </row>
    <row r="13458" spans="1:4" x14ac:dyDescent="0.3">
      <c r="A13458" s="34">
        <v>74183</v>
      </c>
      <c r="B13458" s="35">
        <v>1</v>
      </c>
      <c r="C13458" s="35">
        <v>0</v>
      </c>
      <c r="D13458" s="2">
        <f t="shared" si="210"/>
        <v>1</v>
      </c>
    </row>
    <row r="13459" spans="1:4" x14ac:dyDescent="0.3">
      <c r="A13459" s="34">
        <v>74187</v>
      </c>
      <c r="B13459" s="35">
        <v>1</v>
      </c>
      <c r="C13459" s="35">
        <v>0</v>
      </c>
      <c r="D13459" s="2">
        <f t="shared" si="210"/>
        <v>1</v>
      </c>
    </row>
    <row r="13460" spans="1:4" x14ac:dyDescent="0.3">
      <c r="A13460" s="34">
        <v>74188</v>
      </c>
      <c r="B13460" s="35">
        <v>1</v>
      </c>
      <c r="C13460" s="35">
        <v>0</v>
      </c>
      <c r="D13460" s="2">
        <f t="shared" si="210"/>
        <v>1</v>
      </c>
    </row>
    <row r="13461" spans="1:4" x14ac:dyDescent="0.3">
      <c r="A13461" s="34">
        <v>74190</v>
      </c>
      <c r="B13461" s="35">
        <v>1</v>
      </c>
      <c r="C13461" s="35">
        <v>0</v>
      </c>
      <c r="D13461" s="2">
        <f t="shared" si="210"/>
        <v>1</v>
      </c>
    </row>
    <row r="13462" spans="1:4" x14ac:dyDescent="0.3">
      <c r="A13462" s="34">
        <v>74193</v>
      </c>
      <c r="B13462" s="35">
        <v>1</v>
      </c>
      <c r="C13462" s="35">
        <v>0</v>
      </c>
      <c r="D13462" s="2">
        <f t="shared" si="210"/>
        <v>1</v>
      </c>
    </row>
    <row r="13463" spans="1:4" x14ac:dyDescent="0.3">
      <c r="A13463" s="34">
        <v>74194</v>
      </c>
      <c r="B13463" s="35">
        <v>1</v>
      </c>
      <c r="C13463" s="35">
        <v>0</v>
      </c>
      <c r="D13463" s="2">
        <f t="shared" si="210"/>
        <v>1</v>
      </c>
    </row>
    <row r="13464" spans="1:4" x14ac:dyDescent="0.3">
      <c r="A13464" s="34">
        <v>74195</v>
      </c>
      <c r="B13464" s="35">
        <v>1</v>
      </c>
      <c r="C13464" s="35">
        <v>0</v>
      </c>
      <c r="D13464" s="2">
        <f t="shared" si="210"/>
        <v>1</v>
      </c>
    </row>
    <row r="13465" spans="1:4" x14ac:dyDescent="0.3">
      <c r="A13465" s="34">
        <v>74197</v>
      </c>
      <c r="B13465" s="35">
        <v>1</v>
      </c>
      <c r="C13465" s="35">
        <v>0</v>
      </c>
      <c r="D13465" s="2">
        <f t="shared" si="210"/>
        <v>1</v>
      </c>
    </row>
    <row r="13466" spans="1:4" x14ac:dyDescent="0.3">
      <c r="A13466" s="34">
        <v>74198</v>
      </c>
      <c r="B13466" s="35">
        <v>1</v>
      </c>
      <c r="C13466" s="35">
        <v>0</v>
      </c>
      <c r="D13466" s="2">
        <f t="shared" si="210"/>
        <v>1</v>
      </c>
    </row>
    <row r="13467" spans="1:4" x14ac:dyDescent="0.3">
      <c r="A13467" s="34">
        <v>74199</v>
      </c>
      <c r="B13467" s="35">
        <v>1</v>
      </c>
      <c r="C13467" s="35">
        <v>0</v>
      </c>
      <c r="D13467" s="2">
        <f t="shared" si="210"/>
        <v>1</v>
      </c>
    </row>
    <row r="13468" spans="1:4" x14ac:dyDescent="0.3">
      <c r="A13468" s="34">
        <v>74201</v>
      </c>
      <c r="B13468" s="35">
        <v>1</v>
      </c>
      <c r="C13468" s="35">
        <v>0</v>
      </c>
      <c r="D13468" s="2">
        <f t="shared" si="210"/>
        <v>1</v>
      </c>
    </row>
    <row r="13469" spans="1:4" x14ac:dyDescent="0.3">
      <c r="A13469" s="34">
        <v>74202</v>
      </c>
      <c r="B13469" s="35">
        <v>1</v>
      </c>
      <c r="C13469" s="35">
        <v>0</v>
      </c>
      <c r="D13469" s="2">
        <f t="shared" si="210"/>
        <v>1</v>
      </c>
    </row>
    <row r="13470" spans="1:4" x14ac:dyDescent="0.3">
      <c r="A13470" s="34">
        <v>74204</v>
      </c>
      <c r="B13470" s="35">
        <v>1</v>
      </c>
      <c r="C13470" s="35">
        <v>1</v>
      </c>
      <c r="D13470" s="2">
        <f t="shared" si="210"/>
        <v>2</v>
      </c>
    </row>
    <row r="13471" spans="1:4" x14ac:dyDescent="0.3">
      <c r="A13471" s="34">
        <v>74206</v>
      </c>
      <c r="B13471" s="35">
        <v>1</v>
      </c>
      <c r="C13471" s="35">
        <v>0</v>
      </c>
      <c r="D13471" s="2">
        <f t="shared" si="210"/>
        <v>1</v>
      </c>
    </row>
    <row r="13472" spans="1:4" x14ac:dyDescent="0.3">
      <c r="A13472" s="34">
        <v>74207</v>
      </c>
      <c r="B13472" s="35">
        <v>1</v>
      </c>
      <c r="C13472" s="35">
        <v>1</v>
      </c>
      <c r="D13472" s="2">
        <f t="shared" si="210"/>
        <v>2</v>
      </c>
    </row>
    <row r="13473" spans="1:4" x14ac:dyDescent="0.3">
      <c r="A13473" s="34">
        <v>74208</v>
      </c>
      <c r="B13473" s="35">
        <v>1</v>
      </c>
      <c r="C13473" s="35">
        <v>0</v>
      </c>
      <c r="D13473" s="2">
        <f t="shared" si="210"/>
        <v>1</v>
      </c>
    </row>
    <row r="13474" spans="1:4" x14ac:dyDescent="0.3">
      <c r="A13474" s="34">
        <v>74210</v>
      </c>
      <c r="B13474" s="35">
        <v>1</v>
      </c>
      <c r="C13474" s="35">
        <v>0</v>
      </c>
      <c r="D13474" s="2">
        <f t="shared" si="210"/>
        <v>1</v>
      </c>
    </row>
    <row r="13475" spans="1:4" x14ac:dyDescent="0.3">
      <c r="A13475" s="34">
        <v>74211</v>
      </c>
      <c r="B13475" s="35">
        <v>1</v>
      </c>
      <c r="C13475" s="35">
        <v>0</v>
      </c>
      <c r="D13475" s="2">
        <f t="shared" si="210"/>
        <v>1</v>
      </c>
    </row>
    <row r="13476" spans="1:4" x14ac:dyDescent="0.3">
      <c r="A13476" s="34">
        <v>74213</v>
      </c>
      <c r="B13476" s="35">
        <v>1</v>
      </c>
      <c r="C13476" s="35">
        <v>0</v>
      </c>
      <c r="D13476" s="2">
        <f t="shared" si="210"/>
        <v>1</v>
      </c>
    </row>
    <row r="13477" spans="1:4" x14ac:dyDescent="0.3">
      <c r="A13477" s="34">
        <v>74214</v>
      </c>
      <c r="B13477" s="35">
        <v>1</v>
      </c>
      <c r="C13477" s="35">
        <v>0</v>
      </c>
      <c r="D13477" s="2">
        <f t="shared" si="210"/>
        <v>1</v>
      </c>
    </row>
    <row r="13478" spans="1:4" x14ac:dyDescent="0.3">
      <c r="A13478" s="34">
        <v>74216</v>
      </c>
      <c r="B13478" s="35">
        <v>1</v>
      </c>
      <c r="C13478" s="35">
        <v>0</v>
      </c>
      <c r="D13478" s="2">
        <f t="shared" si="210"/>
        <v>1</v>
      </c>
    </row>
    <row r="13479" spans="1:4" x14ac:dyDescent="0.3">
      <c r="A13479" s="34">
        <v>74217</v>
      </c>
      <c r="B13479" s="35">
        <v>1</v>
      </c>
      <c r="C13479" s="35">
        <v>0</v>
      </c>
      <c r="D13479" s="2">
        <f t="shared" si="210"/>
        <v>1</v>
      </c>
    </row>
    <row r="13480" spans="1:4" x14ac:dyDescent="0.3">
      <c r="A13480" s="34">
        <v>74220</v>
      </c>
      <c r="B13480" s="35">
        <v>1</v>
      </c>
      <c r="C13480" s="35">
        <v>1</v>
      </c>
      <c r="D13480" s="2">
        <f t="shared" si="210"/>
        <v>2</v>
      </c>
    </row>
    <row r="13481" spans="1:4" x14ac:dyDescent="0.3">
      <c r="A13481" s="34">
        <v>74221</v>
      </c>
      <c r="B13481" s="35">
        <v>1</v>
      </c>
      <c r="C13481" s="35">
        <v>0</v>
      </c>
      <c r="D13481" s="2">
        <f t="shared" si="210"/>
        <v>1</v>
      </c>
    </row>
    <row r="13482" spans="1:4" x14ac:dyDescent="0.3">
      <c r="A13482" s="34">
        <v>74222</v>
      </c>
      <c r="B13482" s="35">
        <v>1</v>
      </c>
      <c r="C13482" s="35">
        <v>0</v>
      </c>
      <c r="D13482" s="2">
        <f t="shared" si="210"/>
        <v>1</v>
      </c>
    </row>
    <row r="13483" spans="1:4" x14ac:dyDescent="0.3">
      <c r="A13483" s="34">
        <v>74223</v>
      </c>
      <c r="B13483" s="35">
        <v>1</v>
      </c>
      <c r="C13483" s="35">
        <v>0</v>
      </c>
      <c r="D13483" s="2">
        <f t="shared" si="210"/>
        <v>1</v>
      </c>
    </row>
    <row r="13484" spans="1:4" x14ac:dyDescent="0.3">
      <c r="A13484" s="34">
        <v>74226</v>
      </c>
      <c r="B13484" s="35">
        <v>1</v>
      </c>
      <c r="C13484" s="35">
        <v>0</v>
      </c>
      <c r="D13484" s="2">
        <f t="shared" si="210"/>
        <v>1</v>
      </c>
    </row>
    <row r="13485" spans="1:4" x14ac:dyDescent="0.3">
      <c r="A13485" s="34">
        <v>74235</v>
      </c>
      <c r="B13485" s="35">
        <v>1</v>
      </c>
      <c r="C13485" s="35">
        <v>1</v>
      </c>
      <c r="D13485" s="2">
        <f t="shared" si="210"/>
        <v>2</v>
      </c>
    </row>
    <row r="13486" spans="1:4" x14ac:dyDescent="0.3">
      <c r="A13486" s="34">
        <v>74238</v>
      </c>
      <c r="B13486" s="35">
        <v>1</v>
      </c>
      <c r="C13486" s="35">
        <v>0</v>
      </c>
      <c r="D13486" s="2">
        <f t="shared" si="210"/>
        <v>1</v>
      </c>
    </row>
    <row r="13487" spans="1:4" x14ac:dyDescent="0.3">
      <c r="A13487" s="34">
        <v>74239</v>
      </c>
      <c r="B13487" s="35">
        <v>1</v>
      </c>
      <c r="C13487" s="35">
        <v>0</v>
      </c>
      <c r="D13487" s="2">
        <f t="shared" si="210"/>
        <v>1</v>
      </c>
    </row>
    <row r="13488" spans="1:4" x14ac:dyDescent="0.3">
      <c r="A13488" s="34">
        <v>74240</v>
      </c>
      <c r="B13488" s="35">
        <v>1</v>
      </c>
      <c r="C13488" s="35">
        <v>0</v>
      </c>
      <c r="D13488" s="2">
        <f t="shared" si="210"/>
        <v>1</v>
      </c>
    </row>
    <row r="13489" spans="1:4" x14ac:dyDescent="0.3">
      <c r="A13489" s="34">
        <v>74242</v>
      </c>
      <c r="B13489" s="35">
        <v>1</v>
      </c>
      <c r="C13489" s="35">
        <v>1</v>
      </c>
      <c r="D13489" s="2">
        <f t="shared" si="210"/>
        <v>2</v>
      </c>
    </row>
    <row r="13490" spans="1:4" x14ac:dyDescent="0.3">
      <c r="A13490" s="34">
        <v>74243</v>
      </c>
      <c r="B13490" s="35">
        <v>1</v>
      </c>
      <c r="C13490" s="35">
        <v>0</v>
      </c>
      <c r="D13490" s="2">
        <f t="shared" si="210"/>
        <v>1</v>
      </c>
    </row>
    <row r="13491" spans="1:4" x14ac:dyDescent="0.3">
      <c r="A13491" s="34">
        <v>74244</v>
      </c>
      <c r="B13491" s="35">
        <v>1</v>
      </c>
      <c r="C13491" s="35">
        <v>0</v>
      </c>
      <c r="D13491" s="2">
        <f t="shared" si="210"/>
        <v>1</v>
      </c>
    </row>
    <row r="13492" spans="1:4" x14ac:dyDescent="0.3">
      <c r="A13492" s="34">
        <v>74245</v>
      </c>
      <c r="B13492" s="35">
        <v>1</v>
      </c>
      <c r="C13492" s="35">
        <v>0</v>
      </c>
      <c r="D13492" s="2">
        <f t="shared" si="210"/>
        <v>1</v>
      </c>
    </row>
    <row r="13493" spans="1:4" x14ac:dyDescent="0.3">
      <c r="A13493" s="34">
        <v>74251</v>
      </c>
      <c r="B13493" s="35">
        <v>1</v>
      </c>
      <c r="C13493" s="35">
        <v>1</v>
      </c>
      <c r="D13493" s="2">
        <f t="shared" si="210"/>
        <v>2</v>
      </c>
    </row>
    <row r="13494" spans="1:4" x14ac:dyDescent="0.3">
      <c r="A13494" s="34">
        <v>74254</v>
      </c>
      <c r="B13494" s="35">
        <v>1</v>
      </c>
      <c r="C13494" s="35">
        <v>0</v>
      </c>
      <c r="D13494" s="2">
        <f t="shared" si="210"/>
        <v>1</v>
      </c>
    </row>
    <row r="13495" spans="1:4" x14ac:dyDescent="0.3">
      <c r="A13495" s="34">
        <v>74258</v>
      </c>
      <c r="B13495" s="35">
        <v>1</v>
      </c>
      <c r="C13495" s="35">
        <v>0</v>
      </c>
      <c r="D13495" s="2">
        <f t="shared" si="210"/>
        <v>1</v>
      </c>
    </row>
    <row r="13496" spans="1:4" x14ac:dyDescent="0.3">
      <c r="A13496" s="34">
        <v>74259</v>
      </c>
      <c r="B13496" s="35">
        <v>1</v>
      </c>
      <c r="C13496" s="35">
        <v>0</v>
      </c>
      <c r="D13496" s="2">
        <f t="shared" si="210"/>
        <v>1</v>
      </c>
    </row>
    <row r="13497" spans="1:4" x14ac:dyDescent="0.3">
      <c r="A13497" s="34">
        <v>74260</v>
      </c>
      <c r="B13497" s="35">
        <v>1</v>
      </c>
      <c r="C13497" s="35">
        <v>0</v>
      </c>
      <c r="D13497" s="2">
        <f t="shared" si="210"/>
        <v>1</v>
      </c>
    </row>
    <row r="13498" spans="1:4" x14ac:dyDescent="0.3">
      <c r="A13498" s="34">
        <v>74261</v>
      </c>
      <c r="B13498" s="35">
        <v>1</v>
      </c>
      <c r="C13498" s="35">
        <v>0</v>
      </c>
      <c r="D13498" s="2">
        <f t="shared" si="210"/>
        <v>1</v>
      </c>
    </row>
    <row r="13499" spans="1:4" x14ac:dyDescent="0.3">
      <c r="A13499" s="34">
        <v>74262</v>
      </c>
      <c r="B13499" s="35">
        <v>1</v>
      </c>
      <c r="C13499" s="35">
        <v>0</v>
      </c>
      <c r="D13499" s="2">
        <f t="shared" si="210"/>
        <v>1</v>
      </c>
    </row>
    <row r="13500" spans="1:4" x14ac:dyDescent="0.3">
      <c r="A13500" s="34">
        <v>74265</v>
      </c>
      <c r="B13500" s="35">
        <v>1</v>
      </c>
      <c r="C13500" s="35">
        <v>0</v>
      </c>
      <c r="D13500" s="2">
        <f t="shared" si="210"/>
        <v>1</v>
      </c>
    </row>
    <row r="13501" spans="1:4" x14ac:dyDescent="0.3">
      <c r="A13501" s="34">
        <v>74266</v>
      </c>
      <c r="B13501" s="35">
        <v>1</v>
      </c>
      <c r="C13501" s="35">
        <v>1</v>
      </c>
      <c r="D13501" s="2">
        <f t="shared" si="210"/>
        <v>2</v>
      </c>
    </row>
    <row r="13502" spans="1:4" x14ac:dyDescent="0.3">
      <c r="A13502" s="34">
        <v>74268</v>
      </c>
      <c r="B13502" s="35">
        <v>1</v>
      </c>
      <c r="C13502" s="35">
        <v>0</v>
      </c>
      <c r="D13502" s="2">
        <f t="shared" si="210"/>
        <v>1</v>
      </c>
    </row>
    <row r="13503" spans="1:4" x14ac:dyDescent="0.3">
      <c r="A13503" s="34">
        <v>74270</v>
      </c>
      <c r="B13503" s="35">
        <v>1</v>
      </c>
      <c r="C13503" s="35">
        <v>0</v>
      </c>
      <c r="D13503" s="2">
        <f t="shared" si="210"/>
        <v>1</v>
      </c>
    </row>
    <row r="13504" spans="1:4" x14ac:dyDescent="0.3">
      <c r="A13504" s="34">
        <v>74271</v>
      </c>
      <c r="B13504" s="35">
        <v>1</v>
      </c>
      <c r="C13504" s="35">
        <v>0</v>
      </c>
      <c r="D13504" s="2">
        <f t="shared" si="210"/>
        <v>1</v>
      </c>
    </row>
    <row r="13505" spans="1:4" x14ac:dyDescent="0.3">
      <c r="A13505" s="34">
        <v>74272</v>
      </c>
      <c r="B13505" s="35">
        <v>1</v>
      </c>
      <c r="C13505" s="35">
        <v>0</v>
      </c>
      <c r="D13505" s="2">
        <f t="shared" si="210"/>
        <v>1</v>
      </c>
    </row>
    <row r="13506" spans="1:4" x14ac:dyDescent="0.3">
      <c r="A13506" s="34">
        <v>74273</v>
      </c>
      <c r="B13506" s="35">
        <v>1</v>
      </c>
      <c r="C13506" s="35">
        <v>0</v>
      </c>
      <c r="D13506" s="2">
        <f t="shared" si="210"/>
        <v>1</v>
      </c>
    </row>
    <row r="13507" spans="1:4" x14ac:dyDescent="0.3">
      <c r="A13507" s="34">
        <v>74274</v>
      </c>
      <c r="B13507" s="35">
        <v>1</v>
      </c>
      <c r="C13507" s="35">
        <v>0</v>
      </c>
      <c r="D13507" s="2">
        <f t="shared" ref="D13507:D13570" si="211">B13507+C13507</f>
        <v>1</v>
      </c>
    </row>
    <row r="13508" spans="1:4" x14ac:dyDescent="0.3">
      <c r="A13508" s="34">
        <v>74275</v>
      </c>
      <c r="B13508" s="35">
        <v>1</v>
      </c>
      <c r="C13508" s="35">
        <v>0</v>
      </c>
      <c r="D13508" s="2">
        <f t="shared" si="211"/>
        <v>1</v>
      </c>
    </row>
    <row r="13509" spans="1:4" x14ac:dyDescent="0.3">
      <c r="A13509" s="34">
        <v>74276</v>
      </c>
      <c r="B13509" s="35">
        <v>1</v>
      </c>
      <c r="C13509" s="35">
        <v>0</v>
      </c>
      <c r="D13509" s="2">
        <f t="shared" si="211"/>
        <v>1</v>
      </c>
    </row>
    <row r="13510" spans="1:4" x14ac:dyDescent="0.3">
      <c r="A13510" s="34">
        <v>74277</v>
      </c>
      <c r="B13510" s="35">
        <v>1</v>
      </c>
      <c r="C13510" s="35">
        <v>0</v>
      </c>
      <c r="D13510" s="2">
        <f t="shared" si="211"/>
        <v>1</v>
      </c>
    </row>
    <row r="13511" spans="1:4" x14ac:dyDescent="0.3">
      <c r="A13511" s="34">
        <v>74278</v>
      </c>
      <c r="B13511" s="35">
        <v>1</v>
      </c>
      <c r="C13511" s="35">
        <v>0</v>
      </c>
      <c r="D13511" s="2">
        <f t="shared" si="211"/>
        <v>1</v>
      </c>
    </row>
    <row r="13512" spans="1:4" x14ac:dyDescent="0.3">
      <c r="A13512" s="34">
        <v>74279</v>
      </c>
      <c r="B13512" s="35">
        <v>1</v>
      </c>
      <c r="C13512" s="35">
        <v>0</v>
      </c>
      <c r="D13512" s="2">
        <f t="shared" si="211"/>
        <v>1</v>
      </c>
    </row>
    <row r="13513" spans="1:4" x14ac:dyDescent="0.3">
      <c r="A13513" s="34">
        <v>74280</v>
      </c>
      <c r="B13513" s="35">
        <v>1</v>
      </c>
      <c r="C13513" s="35">
        <v>0</v>
      </c>
      <c r="D13513" s="2">
        <f t="shared" si="211"/>
        <v>1</v>
      </c>
    </row>
    <row r="13514" spans="1:4" x14ac:dyDescent="0.3">
      <c r="A13514" s="34">
        <v>74281</v>
      </c>
      <c r="B13514" s="35">
        <v>1</v>
      </c>
      <c r="C13514" s="35">
        <v>1</v>
      </c>
      <c r="D13514" s="2">
        <f t="shared" si="211"/>
        <v>2</v>
      </c>
    </row>
    <row r="13515" spans="1:4" x14ac:dyDescent="0.3">
      <c r="A13515" s="34">
        <v>74282</v>
      </c>
      <c r="B13515" s="35">
        <v>1</v>
      </c>
      <c r="C13515" s="35">
        <v>0</v>
      </c>
      <c r="D13515" s="2">
        <f t="shared" si="211"/>
        <v>1</v>
      </c>
    </row>
    <row r="13516" spans="1:4" x14ac:dyDescent="0.3">
      <c r="A13516" s="34">
        <v>74283</v>
      </c>
      <c r="B13516" s="35">
        <v>1</v>
      </c>
      <c r="C13516" s="35">
        <v>0</v>
      </c>
      <c r="D13516" s="2">
        <f t="shared" si="211"/>
        <v>1</v>
      </c>
    </row>
    <row r="13517" spans="1:4" x14ac:dyDescent="0.3">
      <c r="A13517" s="34">
        <v>74285</v>
      </c>
      <c r="B13517" s="35">
        <v>1</v>
      </c>
      <c r="C13517" s="35">
        <v>0</v>
      </c>
      <c r="D13517" s="2">
        <f t="shared" si="211"/>
        <v>1</v>
      </c>
    </row>
    <row r="13518" spans="1:4" x14ac:dyDescent="0.3">
      <c r="A13518" s="34">
        <v>74287</v>
      </c>
      <c r="B13518" s="35">
        <v>1</v>
      </c>
      <c r="C13518" s="35">
        <v>0</v>
      </c>
      <c r="D13518" s="2">
        <f t="shared" si="211"/>
        <v>1</v>
      </c>
    </row>
    <row r="13519" spans="1:4" x14ac:dyDescent="0.3">
      <c r="A13519" s="34">
        <v>74288</v>
      </c>
      <c r="B13519" s="35">
        <v>1</v>
      </c>
      <c r="C13519" s="35">
        <v>0</v>
      </c>
      <c r="D13519" s="2">
        <f t="shared" si="211"/>
        <v>1</v>
      </c>
    </row>
    <row r="13520" spans="1:4" x14ac:dyDescent="0.3">
      <c r="A13520" s="34">
        <v>74289</v>
      </c>
      <c r="B13520" s="35">
        <v>2</v>
      </c>
      <c r="C13520" s="35">
        <v>2</v>
      </c>
      <c r="D13520" s="2">
        <f t="shared" si="211"/>
        <v>4</v>
      </c>
    </row>
    <row r="13521" spans="1:4" x14ac:dyDescent="0.3">
      <c r="A13521" s="34">
        <v>74290</v>
      </c>
      <c r="B13521" s="35">
        <v>1</v>
      </c>
      <c r="C13521" s="35">
        <v>0</v>
      </c>
      <c r="D13521" s="2">
        <f t="shared" si="211"/>
        <v>1</v>
      </c>
    </row>
    <row r="13522" spans="1:4" x14ac:dyDescent="0.3">
      <c r="A13522" s="34">
        <v>74291</v>
      </c>
      <c r="B13522" s="35">
        <v>1</v>
      </c>
      <c r="C13522" s="35">
        <v>0</v>
      </c>
      <c r="D13522" s="2">
        <f t="shared" si="211"/>
        <v>1</v>
      </c>
    </row>
    <row r="13523" spans="1:4" x14ac:dyDescent="0.3">
      <c r="A13523" s="34">
        <v>74295</v>
      </c>
      <c r="B13523" s="35">
        <v>1</v>
      </c>
      <c r="C13523" s="35">
        <v>0</v>
      </c>
      <c r="D13523" s="2">
        <f t="shared" si="211"/>
        <v>1</v>
      </c>
    </row>
    <row r="13524" spans="1:4" x14ac:dyDescent="0.3">
      <c r="A13524" s="34">
        <v>74296</v>
      </c>
      <c r="B13524" s="35">
        <v>1</v>
      </c>
      <c r="C13524" s="35">
        <v>0</v>
      </c>
      <c r="D13524" s="2">
        <f t="shared" si="211"/>
        <v>1</v>
      </c>
    </row>
    <row r="13525" spans="1:4" x14ac:dyDescent="0.3">
      <c r="A13525" s="34">
        <v>74298</v>
      </c>
      <c r="B13525" s="35">
        <v>1</v>
      </c>
      <c r="C13525" s="35">
        <v>0</v>
      </c>
      <c r="D13525" s="2">
        <f t="shared" si="211"/>
        <v>1</v>
      </c>
    </row>
    <row r="13526" spans="1:4" x14ac:dyDescent="0.3">
      <c r="A13526" s="34">
        <v>74326</v>
      </c>
      <c r="B13526" s="35">
        <v>1</v>
      </c>
      <c r="C13526" s="35">
        <v>0</v>
      </c>
      <c r="D13526" s="2">
        <f t="shared" si="211"/>
        <v>1</v>
      </c>
    </row>
    <row r="13527" spans="1:4" x14ac:dyDescent="0.3">
      <c r="A13527" s="34">
        <v>74329</v>
      </c>
      <c r="B13527" s="35">
        <v>1</v>
      </c>
      <c r="C13527" s="35">
        <v>0</v>
      </c>
      <c r="D13527" s="2">
        <f t="shared" si="211"/>
        <v>1</v>
      </c>
    </row>
    <row r="13528" spans="1:4" x14ac:dyDescent="0.3">
      <c r="A13528" s="34">
        <v>74332</v>
      </c>
      <c r="B13528" s="35">
        <v>1</v>
      </c>
      <c r="C13528" s="35">
        <v>0</v>
      </c>
      <c r="D13528" s="2">
        <f t="shared" si="211"/>
        <v>1</v>
      </c>
    </row>
    <row r="13529" spans="1:4" x14ac:dyDescent="0.3">
      <c r="A13529" s="34">
        <v>74334</v>
      </c>
      <c r="B13529" s="35">
        <v>1</v>
      </c>
      <c r="C13529" s="35">
        <v>1</v>
      </c>
      <c r="D13529" s="2">
        <f t="shared" si="211"/>
        <v>2</v>
      </c>
    </row>
    <row r="13530" spans="1:4" x14ac:dyDescent="0.3">
      <c r="A13530" s="34">
        <v>74335</v>
      </c>
      <c r="B13530" s="35">
        <v>1</v>
      </c>
      <c r="C13530" s="35">
        <v>0</v>
      </c>
      <c r="D13530" s="2">
        <f t="shared" si="211"/>
        <v>1</v>
      </c>
    </row>
    <row r="13531" spans="1:4" x14ac:dyDescent="0.3">
      <c r="A13531" s="34">
        <v>74336</v>
      </c>
      <c r="B13531" s="35">
        <v>1</v>
      </c>
      <c r="C13531" s="35">
        <v>0</v>
      </c>
      <c r="D13531" s="2">
        <f t="shared" si="211"/>
        <v>1</v>
      </c>
    </row>
    <row r="13532" spans="1:4" x14ac:dyDescent="0.3">
      <c r="A13532" s="34">
        <v>74337</v>
      </c>
      <c r="B13532" s="35">
        <v>1</v>
      </c>
      <c r="C13532" s="35">
        <v>0</v>
      </c>
      <c r="D13532" s="2">
        <f t="shared" si="211"/>
        <v>1</v>
      </c>
    </row>
    <row r="13533" spans="1:4" x14ac:dyDescent="0.3">
      <c r="A13533" s="34">
        <v>74339</v>
      </c>
      <c r="B13533" s="35">
        <v>1</v>
      </c>
      <c r="C13533" s="35">
        <v>1</v>
      </c>
      <c r="D13533" s="2">
        <f t="shared" si="211"/>
        <v>2</v>
      </c>
    </row>
    <row r="13534" spans="1:4" x14ac:dyDescent="0.3">
      <c r="A13534" s="34">
        <v>74356</v>
      </c>
      <c r="B13534" s="35">
        <v>1</v>
      </c>
      <c r="C13534" s="35">
        <v>0</v>
      </c>
      <c r="D13534" s="2">
        <f t="shared" si="211"/>
        <v>1</v>
      </c>
    </row>
    <row r="13535" spans="1:4" x14ac:dyDescent="0.3">
      <c r="A13535" s="34">
        <v>74362</v>
      </c>
      <c r="B13535" s="35">
        <v>1</v>
      </c>
      <c r="C13535" s="35">
        <v>0</v>
      </c>
      <c r="D13535" s="2">
        <f t="shared" si="211"/>
        <v>1</v>
      </c>
    </row>
    <row r="13536" spans="1:4" x14ac:dyDescent="0.3">
      <c r="A13536" s="34">
        <v>74363</v>
      </c>
      <c r="B13536" s="35">
        <v>1</v>
      </c>
      <c r="C13536" s="35">
        <v>0</v>
      </c>
      <c r="D13536" s="2">
        <f t="shared" si="211"/>
        <v>1</v>
      </c>
    </row>
    <row r="13537" spans="1:4" x14ac:dyDescent="0.3">
      <c r="A13537" s="34">
        <v>74365</v>
      </c>
      <c r="B13537" s="35">
        <v>1</v>
      </c>
      <c r="C13537" s="35">
        <v>1</v>
      </c>
      <c r="D13537" s="2">
        <f t="shared" si="211"/>
        <v>2</v>
      </c>
    </row>
    <row r="13538" spans="1:4" x14ac:dyDescent="0.3">
      <c r="A13538" s="34">
        <v>74366</v>
      </c>
      <c r="B13538" s="35">
        <v>1</v>
      </c>
      <c r="C13538" s="35">
        <v>0</v>
      </c>
      <c r="D13538" s="2">
        <f t="shared" si="211"/>
        <v>1</v>
      </c>
    </row>
    <row r="13539" spans="1:4" x14ac:dyDescent="0.3">
      <c r="A13539" s="34">
        <v>74368</v>
      </c>
      <c r="B13539" s="35">
        <v>1</v>
      </c>
      <c r="C13539" s="35">
        <v>0</v>
      </c>
      <c r="D13539" s="2">
        <f t="shared" si="211"/>
        <v>1</v>
      </c>
    </row>
    <row r="13540" spans="1:4" x14ac:dyDescent="0.3">
      <c r="A13540" s="34">
        <v>74370</v>
      </c>
      <c r="B13540" s="35">
        <v>1</v>
      </c>
      <c r="C13540" s="35">
        <v>0</v>
      </c>
      <c r="D13540" s="2">
        <f t="shared" si="211"/>
        <v>1</v>
      </c>
    </row>
    <row r="13541" spans="1:4" x14ac:dyDescent="0.3">
      <c r="A13541" s="34">
        <v>74371</v>
      </c>
      <c r="B13541" s="35">
        <v>1</v>
      </c>
      <c r="C13541" s="35">
        <v>0</v>
      </c>
      <c r="D13541" s="2">
        <f t="shared" si="211"/>
        <v>1</v>
      </c>
    </row>
    <row r="13542" spans="1:4" x14ac:dyDescent="0.3">
      <c r="A13542" s="34">
        <v>74373</v>
      </c>
      <c r="B13542" s="35">
        <v>1</v>
      </c>
      <c r="C13542" s="35">
        <v>0</v>
      </c>
      <c r="D13542" s="2">
        <f t="shared" si="211"/>
        <v>1</v>
      </c>
    </row>
    <row r="13543" spans="1:4" x14ac:dyDescent="0.3">
      <c r="A13543" s="34">
        <v>74376</v>
      </c>
      <c r="B13543" s="35">
        <v>1</v>
      </c>
      <c r="C13543" s="35">
        <v>0</v>
      </c>
      <c r="D13543" s="2">
        <f t="shared" si="211"/>
        <v>1</v>
      </c>
    </row>
    <row r="13544" spans="1:4" x14ac:dyDescent="0.3">
      <c r="A13544" s="34">
        <v>74378</v>
      </c>
      <c r="B13544" s="35">
        <v>1</v>
      </c>
      <c r="C13544" s="35">
        <v>0</v>
      </c>
      <c r="D13544" s="2">
        <f t="shared" si="211"/>
        <v>1</v>
      </c>
    </row>
    <row r="13545" spans="1:4" x14ac:dyDescent="0.3">
      <c r="A13545" s="34">
        <v>74379</v>
      </c>
      <c r="B13545" s="35">
        <v>1</v>
      </c>
      <c r="C13545" s="35">
        <v>0</v>
      </c>
      <c r="D13545" s="2">
        <f t="shared" si="211"/>
        <v>1</v>
      </c>
    </row>
    <row r="13546" spans="1:4" x14ac:dyDescent="0.3">
      <c r="A13546" s="34">
        <v>74380</v>
      </c>
      <c r="B13546" s="35">
        <v>1</v>
      </c>
      <c r="C13546" s="35">
        <v>0</v>
      </c>
      <c r="D13546" s="2">
        <f t="shared" si="211"/>
        <v>1</v>
      </c>
    </row>
    <row r="13547" spans="1:4" x14ac:dyDescent="0.3">
      <c r="A13547" s="34">
        <v>74382</v>
      </c>
      <c r="B13547" s="35">
        <v>1</v>
      </c>
      <c r="C13547" s="35">
        <v>0</v>
      </c>
      <c r="D13547" s="2">
        <f t="shared" si="211"/>
        <v>1</v>
      </c>
    </row>
    <row r="13548" spans="1:4" x14ac:dyDescent="0.3">
      <c r="A13548" s="34">
        <v>74388</v>
      </c>
      <c r="B13548" s="35">
        <v>1</v>
      </c>
      <c r="C13548" s="35">
        <v>0</v>
      </c>
      <c r="D13548" s="2">
        <f t="shared" si="211"/>
        <v>1</v>
      </c>
    </row>
    <row r="13549" spans="1:4" x14ac:dyDescent="0.3">
      <c r="A13549" s="34">
        <v>74389</v>
      </c>
      <c r="B13549" s="35">
        <v>1</v>
      </c>
      <c r="C13549" s="35">
        <v>0</v>
      </c>
      <c r="D13549" s="2">
        <f t="shared" si="211"/>
        <v>1</v>
      </c>
    </row>
    <row r="13550" spans="1:4" x14ac:dyDescent="0.3">
      <c r="A13550" s="34">
        <v>74390</v>
      </c>
      <c r="B13550" s="35">
        <v>1</v>
      </c>
      <c r="C13550" s="35">
        <v>1</v>
      </c>
      <c r="D13550" s="2">
        <f t="shared" si="211"/>
        <v>2</v>
      </c>
    </row>
    <row r="13551" spans="1:4" x14ac:dyDescent="0.3">
      <c r="A13551" s="34">
        <v>74391</v>
      </c>
      <c r="B13551" s="35">
        <v>1</v>
      </c>
      <c r="C13551" s="35">
        <v>1</v>
      </c>
      <c r="D13551" s="2">
        <f t="shared" si="211"/>
        <v>2</v>
      </c>
    </row>
    <row r="13552" spans="1:4" x14ac:dyDescent="0.3">
      <c r="A13552" s="34">
        <v>74394</v>
      </c>
      <c r="B13552" s="35">
        <v>1</v>
      </c>
      <c r="C13552" s="35">
        <v>0</v>
      </c>
      <c r="D13552" s="2">
        <f t="shared" si="211"/>
        <v>1</v>
      </c>
    </row>
    <row r="13553" spans="1:4" x14ac:dyDescent="0.3">
      <c r="A13553" s="34">
        <v>74395</v>
      </c>
      <c r="B13553" s="35">
        <v>1</v>
      </c>
      <c r="C13553" s="35">
        <v>1</v>
      </c>
      <c r="D13553" s="2">
        <f t="shared" si="211"/>
        <v>2</v>
      </c>
    </row>
    <row r="13554" spans="1:4" x14ac:dyDescent="0.3">
      <c r="A13554" s="34">
        <v>74396</v>
      </c>
      <c r="B13554" s="35">
        <v>1</v>
      </c>
      <c r="C13554" s="35">
        <v>0</v>
      </c>
      <c r="D13554" s="2">
        <f t="shared" si="211"/>
        <v>1</v>
      </c>
    </row>
    <row r="13555" spans="1:4" x14ac:dyDescent="0.3">
      <c r="A13555" s="34">
        <v>74397</v>
      </c>
      <c r="B13555" s="35">
        <v>1</v>
      </c>
      <c r="C13555" s="35">
        <v>0</v>
      </c>
      <c r="D13555" s="2">
        <f t="shared" si="211"/>
        <v>1</v>
      </c>
    </row>
    <row r="13556" spans="1:4" x14ac:dyDescent="0.3">
      <c r="A13556" s="34">
        <v>74398</v>
      </c>
      <c r="B13556" s="35">
        <v>1</v>
      </c>
      <c r="C13556" s="35">
        <v>0</v>
      </c>
      <c r="D13556" s="2">
        <f t="shared" si="211"/>
        <v>1</v>
      </c>
    </row>
    <row r="13557" spans="1:4" x14ac:dyDescent="0.3">
      <c r="A13557" s="34">
        <v>74399</v>
      </c>
      <c r="B13557" s="35">
        <v>1</v>
      </c>
      <c r="C13557" s="35">
        <v>0</v>
      </c>
      <c r="D13557" s="2">
        <f t="shared" si="211"/>
        <v>1</v>
      </c>
    </row>
    <row r="13558" spans="1:4" x14ac:dyDescent="0.3">
      <c r="A13558" s="34">
        <v>74400</v>
      </c>
      <c r="B13558" s="35">
        <v>1</v>
      </c>
      <c r="C13558" s="35">
        <v>0</v>
      </c>
      <c r="D13558" s="2">
        <f t="shared" si="211"/>
        <v>1</v>
      </c>
    </row>
    <row r="13559" spans="1:4" x14ac:dyDescent="0.3">
      <c r="A13559" s="34">
        <v>74404</v>
      </c>
      <c r="B13559" s="35">
        <v>1</v>
      </c>
      <c r="C13559" s="35">
        <v>0</v>
      </c>
      <c r="D13559" s="2">
        <f t="shared" si="211"/>
        <v>1</v>
      </c>
    </row>
    <row r="13560" spans="1:4" x14ac:dyDescent="0.3">
      <c r="A13560" s="34">
        <v>74406</v>
      </c>
      <c r="B13560" s="35">
        <v>1</v>
      </c>
      <c r="C13560" s="35">
        <v>0</v>
      </c>
      <c r="D13560" s="2">
        <f t="shared" si="211"/>
        <v>1</v>
      </c>
    </row>
    <row r="13561" spans="1:4" x14ac:dyDescent="0.3">
      <c r="A13561" s="34">
        <v>74407</v>
      </c>
      <c r="B13561" s="35">
        <v>1</v>
      </c>
      <c r="C13561" s="35">
        <v>0</v>
      </c>
      <c r="D13561" s="2">
        <f t="shared" si="211"/>
        <v>1</v>
      </c>
    </row>
    <row r="13562" spans="1:4" x14ac:dyDescent="0.3">
      <c r="A13562" s="34">
        <v>74408</v>
      </c>
      <c r="B13562" s="35">
        <v>1</v>
      </c>
      <c r="C13562" s="35">
        <v>0</v>
      </c>
      <c r="D13562" s="2">
        <f t="shared" si="211"/>
        <v>1</v>
      </c>
    </row>
    <row r="13563" spans="1:4" x14ac:dyDescent="0.3">
      <c r="A13563" s="34">
        <v>74409</v>
      </c>
      <c r="B13563" s="35">
        <v>1</v>
      </c>
      <c r="C13563" s="35">
        <v>0</v>
      </c>
      <c r="D13563" s="2">
        <f t="shared" si="211"/>
        <v>1</v>
      </c>
    </row>
    <row r="13564" spans="1:4" x14ac:dyDescent="0.3">
      <c r="A13564" s="34">
        <v>74414</v>
      </c>
      <c r="B13564" s="35">
        <v>1</v>
      </c>
      <c r="C13564" s="35">
        <v>0</v>
      </c>
      <c r="D13564" s="2">
        <f t="shared" si="211"/>
        <v>1</v>
      </c>
    </row>
    <row r="13565" spans="1:4" x14ac:dyDescent="0.3">
      <c r="A13565" s="34">
        <v>74418</v>
      </c>
      <c r="B13565" s="35">
        <v>1</v>
      </c>
      <c r="C13565" s="35">
        <v>0</v>
      </c>
      <c r="D13565" s="2">
        <f t="shared" si="211"/>
        <v>1</v>
      </c>
    </row>
    <row r="13566" spans="1:4" x14ac:dyDescent="0.3">
      <c r="A13566" s="34">
        <v>74419</v>
      </c>
      <c r="B13566" s="35">
        <v>1</v>
      </c>
      <c r="C13566" s="35">
        <v>0</v>
      </c>
      <c r="D13566" s="2">
        <f t="shared" si="211"/>
        <v>1</v>
      </c>
    </row>
    <row r="13567" spans="1:4" x14ac:dyDescent="0.3">
      <c r="A13567" s="34">
        <v>74421</v>
      </c>
      <c r="B13567" s="35">
        <v>1</v>
      </c>
      <c r="C13567" s="35">
        <v>0</v>
      </c>
      <c r="D13567" s="2">
        <f t="shared" si="211"/>
        <v>1</v>
      </c>
    </row>
    <row r="13568" spans="1:4" x14ac:dyDescent="0.3">
      <c r="A13568" s="34">
        <v>74422</v>
      </c>
      <c r="B13568" s="35">
        <v>1</v>
      </c>
      <c r="C13568" s="35">
        <v>0</v>
      </c>
      <c r="D13568" s="2">
        <f t="shared" si="211"/>
        <v>1</v>
      </c>
    </row>
    <row r="13569" spans="1:4" x14ac:dyDescent="0.3">
      <c r="A13569" s="34">
        <v>74423</v>
      </c>
      <c r="B13569" s="35">
        <v>1</v>
      </c>
      <c r="C13569" s="35">
        <v>0</v>
      </c>
      <c r="D13569" s="2">
        <f t="shared" si="211"/>
        <v>1</v>
      </c>
    </row>
    <row r="13570" spans="1:4" x14ac:dyDescent="0.3">
      <c r="A13570" s="34">
        <v>74425</v>
      </c>
      <c r="B13570" s="35">
        <v>1</v>
      </c>
      <c r="C13570" s="35">
        <v>0</v>
      </c>
      <c r="D13570" s="2">
        <f t="shared" si="211"/>
        <v>1</v>
      </c>
    </row>
    <row r="13571" spans="1:4" x14ac:dyDescent="0.3">
      <c r="A13571" s="34">
        <v>74426</v>
      </c>
      <c r="B13571" s="35">
        <v>1</v>
      </c>
      <c r="C13571" s="35">
        <v>0</v>
      </c>
      <c r="D13571" s="2">
        <f t="shared" ref="D13571:D13634" si="212">B13571+C13571</f>
        <v>1</v>
      </c>
    </row>
    <row r="13572" spans="1:4" x14ac:dyDescent="0.3">
      <c r="A13572" s="34">
        <v>74428</v>
      </c>
      <c r="B13572" s="35">
        <v>1</v>
      </c>
      <c r="C13572" s="35">
        <v>1</v>
      </c>
      <c r="D13572" s="2">
        <f t="shared" si="212"/>
        <v>2</v>
      </c>
    </row>
    <row r="13573" spans="1:4" x14ac:dyDescent="0.3">
      <c r="A13573" s="34">
        <v>74429</v>
      </c>
      <c r="B13573" s="35">
        <v>1</v>
      </c>
      <c r="C13573" s="35">
        <v>0</v>
      </c>
      <c r="D13573" s="2">
        <f t="shared" si="212"/>
        <v>1</v>
      </c>
    </row>
    <row r="13574" spans="1:4" x14ac:dyDescent="0.3">
      <c r="A13574" s="34">
        <v>74439</v>
      </c>
      <c r="B13574" s="35">
        <v>1</v>
      </c>
      <c r="C13574" s="35">
        <v>0</v>
      </c>
      <c r="D13574" s="2">
        <f t="shared" si="212"/>
        <v>1</v>
      </c>
    </row>
    <row r="13575" spans="1:4" x14ac:dyDescent="0.3">
      <c r="A13575" s="34">
        <v>74440</v>
      </c>
      <c r="B13575" s="35">
        <v>1</v>
      </c>
      <c r="C13575" s="35">
        <v>0</v>
      </c>
      <c r="D13575" s="2">
        <f t="shared" si="212"/>
        <v>1</v>
      </c>
    </row>
    <row r="13576" spans="1:4" x14ac:dyDescent="0.3">
      <c r="A13576" s="34">
        <v>74441</v>
      </c>
      <c r="B13576" s="35">
        <v>1</v>
      </c>
      <c r="C13576" s="35">
        <v>0</v>
      </c>
      <c r="D13576" s="2">
        <f t="shared" si="212"/>
        <v>1</v>
      </c>
    </row>
    <row r="13577" spans="1:4" x14ac:dyDescent="0.3">
      <c r="A13577" s="34">
        <v>74443</v>
      </c>
      <c r="B13577" s="35">
        <v>1</v>
      </c>
      <c r="C13577" s="35">
        <v>0</v>
      </c>
      <c r="D13577" s="2">
        <f t="shared" si="212"/>
        <v>1</v>
      </c>
    </row>
    <row r="13578" spans="1:4" x14ac:dyDescent="0.3">
      <c r="A13578" s="34">
        <v>74446</v>
      </c>
      <c r="B13578" s="35">
        <v>2</v>
      </c>
      <c r="C13578" s="35">
        <v>1</v>
      </c>
      <c r="D13578" s="2">
        <f t="shared" si="212"/>
        <v>3</v>
      </c>
    </row>
    <row r="13579" spans="1:4" x14ac:dyDescent="0.3">
      <c r="A13579" s="34">
        <v>74448</v>
      </c>
      <c r="B13579" s="35">
        <v>2</v>
      </c>
      <c r="C13579" s="35">
        <v>2</v>
      </c>
      <c r="D13579" s="2">
        <f t="shared" si="212"/>
        <v>4</v>
      </c>
    </row>
    <row r="13580" spans="1:4" x14ac:dyDescent="0.3">
      <c r="A13580" s="34">
        <v>74449</v>
      </c>
      <c r="B13580" s="35">
        <v>1</v>
      </c>
      <c r="C13580" s="35">
        <v>0</v>
      </c>
      <c r="D13580" s="2">
        <f t="shared" si="212"/>
        <v>1</v>
      </c>
    </row>
    <row r="13581" spans="1:4" x14ac:dyDescent="0.3">
      <c r="A13581" s="34">
        <v>74450</v>
      </c>
      <c r="B13581" s="35">
        <v>1</v>
      </c>
      <c r="C13581" s="35">
        <v>0</v>
      </c>
      <c r="D13581" s="2">
        <f t="shared" si="212"/>
        <v>1</v>
      </c>
    </row>
    <row r="13582" spans="1:4" x14ac:dyDescent="0.3">
      <c r="A13582" s="34">
        <v>74451</v>
      </c>
      <c r="B13582" s="35">
        <v>2</v>
      </c>
      <c r="C13582" s="35">
        <v>1</v>
      </c>
      <c r="D13582" s="2">
        <f t="shared" si="212"/>
        <v>3</v>
      </c>
    </row>
    <row r="13583" spans="1:4" x14ac:dyDescent="0.3">
      <c r="A13583" s="34">
        <v>74452</v>
      </c>
      <c r="B13583" s="35">
        <v>1</v>
      </c>
      <c r="C13583" s="35">
        <v>0</v>
      </c>
      <c r="D13583" s="2">
        <f t="shared" si="212"/>
        <v>1</v>
      </c>
    </row>
    <row r="13584" spans="1:4" x14ac:dyDescent="0.3">
      <c r="A13584" s="34">
        <v>74453</v>
      </c>
      <c r="B13584" s="35">
        <v>1</v>
      </c>
      <c r="C13584" s="35">
        <v>0</v>
      </c>
      <c r="D13584" s="2">
        <f t="shared" si="212"/>
        <v>1</v>
      </c>
    </row>
    <row r="13585" spans="1:4" x14ac:dyDescent="0.3">
      <c r="A13585" s="34">
        <v>74454</v>
      </c>
      <c r="B13585" s="35">
        <v>1</v>
      </c>
      <c r="C13585" s="35">
        <v>0</v>
      </c>
      <c r="D13585" s="2">
        <f t="shared" si="212"/>
        <v>1</v>
      </c>
    </row>
    <row r="13586" spans="1:4" x14ac:dyDescent="0.3">
      <c r="A13586" s="34">
        <v>74455</v>
      </c>
      <c r="B13586" s="35">
        <v>1</v>
      </c>
      <c r="C13586" s="35">
        <v>0</v>
      </c>
      <c r="D13586" s="2">
        <f t="shared" si="212"/>
        <v>1</v>
      </c>
    </row>
    <row r="13587" spans="1:4" x14ac:dyDescent="0.3">
      <c r="A13587" s="34">
        <v>74456</v>
      </c>
      <c r="B13587" s="35">
        <v>1</v>
      </c>
      <c r="C13587" s="35">
        <v>0</v>
      </c>
      <c r="D13587" s="2">
        <f t="shared" si="212"/>
        <v>1</v>
      </c>
    </row>
    <row r="13588" spans="1:4" x14ac:dyDescent="0.3">
      <c r="A13588" s="34">
        <v>74458</v>
      </c>
      <c r="B13588" s="35">
        <v>1</v>
      </c>
      <c r="C13588" s="35">
        <v>0</v>
      </c>
      <c r="D13588" s="2">
        <f t="shared" si="212"/>
        <v>1</v>
      </c>
    </row>
    <row r="13589" spans="1:4" x14ac:dyDescent="0.3">
      <c r="A13589" s="34">
        <v>74460</v>
      </c>
      <c r="B13589" s="35">
        <v>1</v>
      </c>
      <c r="C13589" s="35">
        <v>0</v>
      </c>
      <c r="D13589" s="2">
        <f t="shared" si="212"/>
        <v>1</v>
      </c>
    </row>
    <row r="13590" spans="1:4" x14ac:dyDescent="0.3">
      <c r="A13590" s="34">
        <v>74462</v>
      </c>
      <c r="B13590" s="35">
        <v>1</v>
      </c>
      <c r="C13590" s="35">
        <v>0</v>
      </c>
      <c r="D13590" s="2">
        <f t="shared" si="212"/>
        <v>1</v>
      </c>
    </row>
    <row r="13591" spans="1:4" x14ac:dyDescent="0.3">
      <c r="A13591" s="34">
        <v>74463</v>
      </c>
      <c r="B13591" s="35">
        <v>1</v>
      </c>
      <c r="C13591" s="35">
        <v>0</v>
      </c>
      <c r="D13591" s="2">
        <f t="shared" si="212"/>
        <v>1</v>
      </c>
    </row>
    <row r="13592" spans="1:4" x14ac:dyDescent="0.3">
      <c r="A13592" s="34">
        <v>74465</v>
      </c>
      <c r="B13592" s="35">
        <v>1</v>
      </c>
      <c r="C13592" s="35">
        <v>0</v>
      </c>
      <c r="D13592" s="2">
        <f t="shared" si="212"/>
        <v>1</v>
      </c>
    </row>
    <row r="13593" spans="1:4" x14ac:dyDescent="0.3">
      <c r="A13593" s="34">
        <v>74466</v>
      </c>
      <c r="B13593" s="35">
        <v>1</v>
      </c>
      <c r="C13593" s="35">
        <v>0</v>
      </c>
      <c r="D13593" s="2">
        <f t="shared" si="212"/>
        <v>1</v>
      </c>
    </row>
    <row r="13594" spans="1:4" x14ac:dyDescent="0.3">
      <c r="A13594" s="34">
        <v>74467</v>
      </c>
      <c r="B13594" s="35">
        <v>1</v>
      </c>
      <c r="C13594" s="35">
        <v>0</v>
      </c>
      <c r="D13594" s="2">
        <f t="shared" si="212"/>
        <v>1</v>
      </c>
    </row>
    <row r="13595" spans="1:4" x14ac:dyDescent="0.3">
      <c r="A13595" s="34">
        <v>74468</v>
      </c>
      <c r="B13595" s="35">
        <v>1</v>
      </c>
      <c r="C13595" s="35">
        <v>0</v>
      </c>
      <c r="D13595" s="2">
        <f t="shared" si="212"/>
        <v>1</v>
      </c>
    </row>
    <row r="13596" spans="1:4" x14ac:dyDescent="0.3">
      <c r="A13596" s="34">
        <v>74469</v>
      </c>
      <c r="B13596" s="35">
        <v>1</v>
      </c>
      <c r="C13596" s="35">
        <v>0</v>
      </c>
      <c r="D13596" s="2">
        <f t="shared" si="212"/>
        <v>1</v>
      </c>
    </row>
    <row r="13597" spans="1:4" x14ac:dyDescent="0.3">
      <c r="A13597" s="34">
        <v>74470</v>
      </c>
      <c r="B13597" s="35">
        <v>1</v>
      </c>
      <c r="C13597" s="35">
        <v>0</v>
      </c>
      <c r="D13597" s="2">
        <f t="shared" si="212"/>
        <v>1</v>
      </c>
    </row>
    <row r="13598" spans="1:4" x14ac:dyDescent="0.3">
      <c r="A13598" s="34">
        <v>74471</v>
      </c>
      <c r="B13598" s="35">
        <v>1</v>
      </c>
      <c r="C13598" s="35">
        <v>0</v>
      </c>
      <c r="D13598" s="2">
        <f t="shared" si="212"/>
        <v>1</v>
      </c>
    </row>
    <row r="13599" spans="1:4" x14ac:dyDescent="0.3">
      <c r="A13599" s="34">
        <v>74472</v>
      </c>
      <c r="B13599" s="35">
        <v>1</v>
      </c>
      <c r="C13599" s="35">
        <v>0</v>
      </c>
      <c r="D13599" s="2">
        <f t="shared" si="212"/>
        <v>1</v>
      </c>
    </row>
    <row r="13600" spans="1:4" x14ac:dyDescent="0.3">
      <c r="A13600" s="34">
        <v>74473</v>
      </c>
      <c r="B13600" s="35">
        <v>1</v>
      </c>
      <c r="C13600" s="35">
        <v>0</v>
      </c>
      <c r="D13600" s="2">
        <f t="shared" si="212"/>
        <v>1</v>
      </c>
    </row>
    <row r="13601" spans="1:4" x14ac:dyDescent="0.3">
      <c r="A13601" s="34">
        <v>74474</v>
      </c>
      <c r="B13601" s="35">
        <v>2</v>
      </c>
      <c r="C13601" s="35">
        <v>1</v>
      </c>
      <c r="D13601" s="2">
        <f t="shared" si="212"/>
        <v>3</v>
      </c>
    </row>
    <row r="13602" spans="1:4" x14ac:dyDescent="0.3">
      <c r="A13602" s="34">
        <v>74476</v>
      </c>
      <c r="B13602" s="35">
        <v>1</v>
      </c>
      <c r="C13602" s="35">
        <v>0</v>
      </c>
      <c r="D13602" s="2">
        <f t="shared" si="212"/>
        <v>1</v>
      </c>
    </row>
    <row r="13603" spans="1:4" x14ac:dyDescent="0.3">
      <c r="A13603" s="34">
        <v>74477</v>
      </c>
      <c r="B13603" s="35">
        <v>1</v>
      </c>
      <c r="C13603" s="35">
        <v>0</v>
      </c>
      <c r="D13603" s="2">
        <f t="shared" si="212"/>
        <v>1</v>
      </c>
    </row>
    <row r="13604" spans="1:4" x14ac:dyDescent="0.3">
      <c r="A13604" s="34">
        <v>74478</v>
      </c>
      <c r="B13604" s="35">
        <v>1</v>
      </c>
      <c r="C13604" s="35">
        <v>0</v>
      </c>
      <c r="D13604" s="2">
        <f t="shared" si="212"/>
        <v>1</v>
      </c>
    </row>
    <row r="13605" spans="1:4" x14ac:dyDescent="0.3">
      <c r="A13605" s="34">
        <v>74479</v>
      </c>
      <c r="B13605" s="35">
        <v>1</v>
      </c>
      <c r="C13605" s="35">
        <v>0</v>
      </c>
      <c r="D13605" s="2">
        <f t="shared" si="212"/>
        <v>1</v>
      </c>
    </row>
    <row r="13606" spans="1:4" x14ac:dyDescent="0.3">
      <c r="A13606" s="34">
        <v>74480</v>
      </c>
      <c r="B13606" s="35">
        <v>1</v>
      </c>
      <c r="C13606" s="35">
        <v>1</v>
      </c>
      <c r="D13606" s="2">
        <f t="shared" si="212"/>
        <v>2</v>
      </c>
    </row>
    <row r="13607" spans="1:4" x14ac:dyDescent="0.3">
      <c r="A13607" s="34">
        <v>74481</v>
      </c>
      <c r="B13607" s="35">
        <v>1</v>
      </c>
      <c r="C13607" s="35">
        <v>0</v>
      </c>
      <c r="D13607" s="2">
        <f t="shared" si="212"/>
        <v>1</v>
      </c>
    </row>
    <row r="13608" spans="1:4" x14ac:dyDescent="0.3">
      <c r="A13608" s="34">
        <v>74482</v>
      </c>
      <c r="B13608" s="35">
        <v>1</v>
      </c>
      <c r="C13608" s="35">
        <v>0</v>
      </c>
      <c r="D13608" s="2">
        <f t="shared" si="212"/>
        <v>1</v>
      </c>
    </row>
    <row r="13609" spans="1:4" x14ac:dyDescent="0.3">
      <c r="A13609" s="34">
        <v>74483</v>
      </c>
      <c r="B13609" s="35">
        <v>1</v>
      </c>
      <c r="C13609" s="35">
        <v>0</v>
      </c>
      <c r="D13609" s="2">
        <f t="shared" si="212"/>
        <v>1</v>
      </c>
    </row>
    <row r="13610" spans="1:4" x14ac:dyDescent="0.3">
      <c r="A13610" s="34">
        <v>74485</v>
      </c>
      <c r="B13610" s="35">
        <v>1</v>
      </c>
      <c r="C13610" s="35">
        <v>0</v>
      </c>
      <c r="D13610" s="2">
        <f t="shared" si="212"/>
        <v>1</v>
      </c>
    </row>
    <row r="13611" spans="1:4" x14ac:dyDescent="0.3">
      <c r="A13611" s="34">
        <v>74487</v>
      </c>
      <c r="B13611" s="35">
        <v>1</v>
      </c>
      <c r="C13611" s="35">
        <v>0</v>
      </c>
      <c r="D13611" s="2">
        <f t="shared" si="212"/>
        <v>1</v>
      </c>
    </row>
    <row r="13612" spans="1:4" x14ac:dyDescent="0.3">
      <c r="A13612" s="34">
        <v>74488</v>
      </c>
      <c r="B13612" s="35">
        <v>1</v>
      </c>
      <c r="C13612" s="35">
        <v>0</v>
      </c>
      <c r="D13612" s="2">
        <f t="shared" si="212"/>
        <v>1</v>
      </c>
    </row>
    <row r="13613" spans="1:4" x14ac:dyDescent="0.3">
      <c r="A13613" s="34">
        <v>74489</v>
      </c>
      <c r="B13613" s="35">
        <v>1</v>
      </c>
      <c r="C13613" s="35">
        <v>0</v>
      </c>
      <c r="D13613" s="2">
        <f t="shared" si="212"/>
        <v>1</v>
      </c>
    </row>
    <row r="13614" spans="1:4" x14ac:dyDescent="0.3">
      <c r="A13614" s="34">
        <v>74491</v>
      </c>
      <c r="B13614" s="35">
        <v>1</v>
      </c>
      <c r="C13614" s="35">
        <v>0</v>
      </c>
      <c r="D13614" s="2">
        <f t="shared" si="212"/>
        <v>1</v>
      </c>
    </row>
    <row r="13615" spans="1:4" x14ac:dyDescent="0.3">
      <c r="A13615" s="34">
        <v>74492</v>
      </c>
      <c r="B13615" s="35">
        <v>1</v>
      </c>
      <c r="C13615" s="35">
        <v>1</v>
      </c>
      <c r="D13615" s="2">
        <f t="shared" si="212"/>
        <v>2</v>
      </c>
    </row>
    <row r="13616" spans="1:4" x14ac:dyDescent="0.3">
      <c r="A13616" s="34">
        <v>74493</v>
      </c>
      <c r="B13616" s="35">
        <v>1</v>
      </c>
      <c r="C13616" s="35">
        <v>0</v>
      </c>
      <c r="D13616" s="2">
        <f t="shared" si="212"/>
        <v>1</v>
      </c>
    </row>
    <row r="13617" spans="1:4" x14ac:dyDescent="0.3">
      <c r="A13617" s="34">
        <v>74494</v>
      </c>
      <c r="B13617" s="35">
        <v>1</v>
      </c>
      <c r="C13617" s="35">
        <v>0</v>
      </c>
      <c r="D13617" s="2">
        <f t="shared" si="212"/>
        <v>1</v>
      </c>
    </row>
    <row r="13618" spans="1:4" x14ac:dyDescent="0.3">
      <c r="A13618" s="34">
        <v>74495</v>
      </c>
      <c r="B13618" s="35">
        <v>1</v>
      </c>
      <c r="C13618" s="35">
        <v>0</v>
      </c>
      <c r="D13618" s="2">
        <f t="shared" si="212"/>
        <v>1</v>
      </c>
    </row>
    <row r="13619" spans="1:4" x14ac:dyDescent="0.3">
      <c r="A13619" s="34">
        <v>74496</v>
      </c>
      <c r="B13619" s="35">
        <v>1</v>
      </c>
      <c r="C13619" s="35">
        <v>0</v>
      </c>
      <c r="D13619" s="2">
        <f t="shared" si="212"/>
        <v>1</v>
      </c>
    </row>
    <row r="13620" spans="1:4" x14ac:dyDescent="0.3">
      <c r="A13620" s="34">
        <v>74497</v>
      </c>
      <c r="B13620" s="35">
        <v>1</v>
      </c>
      <c r="C13620" s="35">
        <v>0</v>
      </c>
      <c r="D13620" s="2">
        <f t="shared" si="212"/>
        <v>1</v>
      </c>
    </row>
    <row r="13621" spans="1:4" x14ac:dyDescent="0.3">
      <c r="A13621" s="34">
        <v>74498</v>
      </c>
      <c r="B13621" s="35">
        <v>1</v>
      </c>
      <c r="C13621" s="35">
        <v>0</v>
      </c>
      <c r="D13621" s="2">
        <f t="shared" si="212"/>
        <v>1</v>
      </c>
    </row>
    <row r="13622" spans="1:4" x14ac:dyDescent="0.3">
      <c r="A13622" s="34">
        <v>74500</v>
      </c>
      <c r="B13622" s="35">
        <v>2</v>
      </c>
      <c r="C13622" s="35">
        <v>1</v>
      </c>
      <c r="D13622" s="2">
        <f t="shared" si="212"/>
        <v>3</v>
      </c>
    </row>
    <row r="13623" spans="1:4" x14ac:dyDescent="0.3">
      <c r="A13623" s="34">
        <v>74506</v>
      </c>
      <c r="B13623" s="35">
        <v>1</v>
      </c>
      <c r="C13623" s="35">
        <v>0</v>
      </c>
      <c r="D13623" s="2">
        <f t="shared" si="212"/>
        <v>1</v>
      </c>
    </row>
    <row r="13624" spans="1:4" x14ac:dyDescent="0.3">
      <c r="A13624" s="34">
        <v>74507</v>
      </c>
      <c r="B13624" s="35">
        <v>1</v>
      </c>
      <c r="C13624" s="35">
        <v>1</v>
      </c>
      <c r="D13624" s="2">
        <f t="shared" si="212"/>
        <v>2</v>
      </c>
    </row>
    <row r="13625" spans="1:4" x14ac:dyDescent="0.3">
      <c r="A13625" s="34">
        <v>74509</v>
      </c>
      <c r="B13625" s="35">
        <v>1</v>
      </c>
      <c r="C13625" s="35">
        <v>0</v>
      </c>
      <c r="D13625" s="2">
        <f t="shared" si="212"/>
        <v>1</v>
      </c>
    </row>
    <row r="13626" spans="1:4" x14ac:dyDescent="0.3">
      <c r="A13626" s="34">
        <v>74510</v>
      </c>
      <c r="B13626" s="35">
        <v>1</v>
      </c>
      <c r="C13626" s="35">
        <v>0</v>
      </c>
      <c r="D13626" s="2">
        <f t="shared" si="212"/>
        <v>1</v>
      </c>
    </row>
    <row r="13627" spans="1:4" x14ac:dyDescent="0.3">
      <c r="A13627" s="34">
        <v>74511</v>
      </c>
      <c r="B13627" s="35">
        <v>1</v>
      </c>
      <c r="C13627" s="35">
        <v>0</v>
      </c>
      <c r="D13627" s="2">
        <f t="shared" si="212"/>
        <v>1</v>
      </c>
    </row>
    <row r="13628" spans="1:4" x14ac:dyDescent="0.3">
      <c r="A13628" s="34">
        <v>74512</v>
      </c>
      <c r="B13628" s="35">
        <v>1</v>
      </c>
      <c r="C13628" s="35">
        <v>0</v>
      </c>
      <c r="D13628" s="2">
        <f t="shared" si="212"/>
        <v>1</v>
      </c>
    </row>
    <row r="13629" spans="1:4" x14ac:dyDescent="0.3">
      <c r="A13629" s="34">
        <v>74513</v>
      </c>
      <c r="B13629" s="35">
        <v>1</v>
      </c>
      <c r="C13629" s="35">
        <v>1</v>
      </c>
      <c r="D13629" s="2">
        <f t="shared" si="212"/>
        <v>2</v>
      </c>
    </row>
    <row r="13630" spans="1:4" x14ac:dyDescent="0.3">
      <c r="A13630" s="34">
        <v>74514</v>
      </c>
      <c r="B13630" s="35">
        <v>1</v>
      </c>
      <c r="C13630" s="35">
        <v>0</v>
      </c>
      <c r="D13630" s="2">
        <f t="shared" si="212"/>
        <v>1</v>
      </c>
    </row>
    <row r="13631" spans="1:4" x14ac:dyDescent="0.3">
      <c r="A13631" s="34">
        <v>74515</v>
      </c>
      <c r="B13631" s="35">
        <v>1</v>
      </c>
      <c r="C13631" s="35">
        <v>1</v>
      </c>
      <c r="D13631" s="2">
        <f t="shared" si="212"/>
        <v>2</v>
      </c>
    </row>
    <row r="13632" spans="1:4" x14ac:dyDescent="0.3">
      <c r="A13632" s="34">
        <v>74517</v>
      </c>
      <c r="B13632" s="35">
        <v>1</v>
      </c>
      <c r="C13632" s="35">
        <v>0</v>
      </c>
      <c r="D13632" s="2">
        <f t="shared" si="212"/>
        <v>1</v>
      </c>
    </row>
    <row r="13633" spans="1:4" x14ac:dyDescent="0.3">
      <c r="A13633" s="34">
        <v>74518</v>
      </c>
      <c r="B13633" s="35">
        <v>1</v>
      </c>
      <c r="C13633" s="35">
        <v>1</v>
      </c>
      <c r="D13633" s="2">
        <f t="shared" si="212"/>
        <v>2</v>
      </c>
    </row>
    <row r="13634" spans="1:4" x14ac:dyDescent="0.3">
      <c r="A13634" s="34">
        <v>74519</v>
      </c>
      <c r="B13634" s="35">
        <v>1</v>
      </c>
      <c r="C13634" s="35">
        <v>0</v>
      </c>
      <c r="D13634" s="2">
        <f t="shared" si="212"/>
        <v>1</v>
      </c>
    </row>
    <row r="13635" spans="1:4" x14ac:dyDescent="0.3">
      <c r="A13635" s="34">
        <v>74520</v>
      </c>
      <c r="B13635" s="35">
        <v>1</v>
      </c>
      <c r="C13635" s="35">
        <v>0</v>
      </c>
      <c r="D13635" s="2">
        <f t="shared" ref="D13635:D13698" si="213">B13635+C13635</f>
        <v>1</v>
      </c>
    </row>
    <row r="13636" spans="1:4" x14ac:dyDescent="0.3">
      <c r="A13636" s="34">
        <v>74522</v>
      </c>
      <c r="B13636" s="35">
        <v>1</v>
      </c>
      <c r="C13636" s="35">
        <v>1</v>
      </c>
      <c r="D13636" s="2">
        <f t="shared" si="213"/>
        <v>2</v>
      </c>
    </row>
    <row r="13637" spans="1:4" x14ac:dyDescent="0.3">
      <c r="A13637" s="34">
        <v>74523</v>
      </c>
      <c r="B13637" s="35">
        <v>1</v>
      </c>
      <c r="C13637" s="35">
        <v>0</v>
      </c>
      <c r="D13637" s="2">
        <f t="shared" si="213"/>
        <v>1</v>
      </c>
    </row>
    <row r="13638" spans="1:4" x14ac:dyDescent="0.3">
      <c r="A13638" s="34">
        <v>74524</v>
      </c>
      <c r="B13638" s="35">
        <v>1</v>
      </c>
      <c r="C13638" s="35">
        <v>0</v>
      </c>
      <c r="D13638" s="2">
        <f t="shared" si="213"/>
        <v>1</v>
      </c>
    </row>
    <row r="13639" spans="1:4" x14ac:dyDescent="0.3">
      <c r="A13639" s="34">
        <v>74525</v>
      </c>
      <c r="B13639" s="35">
        <v>1</v>
      </c>
      <c r="C13639" s="35">
        <v>0</v>
      </c>
      <c r="D13639" s="2">
        <f t="shared" si="213"/>
        <v>1</v>
      </c>
    </row>
    <row r="13640" spans="1:4" x14ac:dyDescent="0.3">
      <c r="A13640" s="34">
        <v>74526</v>
      </c>
      <c r="B13640" s="35">
        <v>1</v>
      </c>
      <c r="C13640" s="35">
        <v>0</v>
      </c>
      <c r="D13640" s="2">
        <f t="shared" si="213"/>
        <v>1</v>
      </c>
    </row>
    <row r="13641" spans="1:4" x14ac:dyDescent="0.3">
      <c r="A13641" s="34">
        <v>74527</v>
      </c>
      <c r="B13641" s="35">
        <v>1</v>
      </c>
      <c r="C13641" s="35">
        <v>0</v>
      </c>
      <c r="D13641" s="2">
        <f t="shared" si="213"/>
        <v>1</v>
      </c>
    </row>
    <row r="13642" spans="1:4" x14ac:dyDescent="0.3">
      <c r="A13642" s="34">
        <v>74528</v>
      </c>
      <c r="B13642" s="35">
        <v>1</v>
      </c>
      <c r="C13642" s="35">
        <v>0</v>
      </c>
      <c r="D13642" s="2">
        <f t="shared" si="213"/>
        <v>1</v>
      </c>
    </row>
    <row r="13643" spans="1:4" x14ac:dyDescent="0.3">
      <c r="A13643" s="34">
        <v>74529</v>
      </c>
      <c r="B13643" s="35">
        <v>1</v>
      </c>
      <c r="C13643" s="35">
        <v>0</v>
      </c>
      <c r="D13643" s="2">
        <f t="shared" si="213"/>
        <v>1</v>
      </c>
    </row>
    <row r="13644" spans="1:4" x14ac:dyDescent="0.3">
      <c r="A13644" s="34">
        <v>74532</v>
      </c>
      <c r="B13644" s="35">
        <v>1</v>
      </c>
      <c r="C13644" s="35">
        <v>0</v>
      </c>
      <c r="D13644" s="2">
        <f t="shared" si="213"/>
        <v>1</v>
      </c>
    </row>
    <row r="13645" spans="1:4" x14ac:dyDescent="0.3">
      <c r="A13645" s="34">
        <v>74533</v>
      </c>
      <c r="B13645" s="35">
        <v>1</v>
      </c>
      <c r="C13645" s="35">
        <v>0</v>
      </c>
      <c r="D13645" s="2">
        <f t="shared" si="213"/>
        <v>1</v>
      </c>
    </row>
    <row r="13646" spans="1:4" x14ac:dyDescent="0.3">
      <c r="A13646" s="34">
        <v>74534</v>
      </c>
      <c r="B13646" s="35">
        <v>1</v>
      </c>
      <c r="C13646" s="35">
        <v>0</v>
      </c>
      <c r="D13646" s="2">
        <f t="shared" si="213"/>
        <v>1</v>
      </c>
    </row>
    <row r="13647" spans="1:4" x14ac:dyDescent="0.3">
      <c r="A13647" s="34">
        <v>74535</v>
      </c>
      <c r="B13647" s="35">
        <v>1</v>
      </c>
      <c r="C13647" s="35">
        <v>0</v>
      </c>
      <c r="D13647" s="2">
        <f t="shared" si="213"/>
        <v>1</v>
      </c>
    </row>
    <row r="13648" spans="1:4" x14ac:dyDescent="0.3">
      <c r="A13648" s="34">
        <v>74536</v>
      </c>
      <c r="B13648" s="35">
        <v>1</v>
      </c>
      <c r="C13648" s="35">
        <v>0</v>
      </c>
      <c r="D13648" s="2">
        <f t="shared" si="213"/>
        <v>1</v>
      </c>
    </row>
    <row r="13649" spans="1:4" x14ac:dyDescent="0.3">
      <c r="A13649" s="34">
        <v>74537</v>
      </c>
      <c r="B13649" s="35">
        <v>1</v>
      </c>
      <c r="C13649" s="35">
        <v>0</v>
      </c>
      <c r="D13649" s="2">
        <f t="shared" si="213"/>
        <v>1</v>
      </c>
    </row>
    <row r="13650" spans="1:4" x14ac:dyDescent="0.3">
      <c r="A13650" s="34">
        <v>74539</v>
      </c>
      <c r="B13650" s="35">
        <v>1</v>
      </c>
      <c r="C13650" s="35">
        <v>0</v>
      </c>
      <c r="D13650" s="2">
        <f t="shared" si="213"/>
        <v>1</v>
      </c>
    </row>
    <row r="13651" spans="1:4" x14ac:dyDescent="0.3">
      <c r="A13651" s="34">
        <v>74540</v>
      </c>
      <c r="B13651" s="35">
        <v>1</v>
      </c>
      <c r="C13651" s="35">
        <v>0</v>
      </c>
      <c r="D13651" s="2">
        <f t="shared" si="213"/>
        <v>1</v>
      </c>
    </row>
    <row r="13652" spans="1:4" x14ac:dyDescent="0.3">
      <c r="A13652" s="34">
        <v>74541</v>
      </c>
      <c r="B13652" s="35">
        <v>1</v>
      </c>
      <c r="C13652" s="35">
        <v>0</v>
      </c>
      <c r="D13652" s="2">
        <f t="shared" si="213"/>
        <v>1</v>
      </c>
    </row>
    <row r="13653" spans="1:4" x14ac:dyDescent="0.3">
      <c r="A13653" s="34">
        <v>74542</v>
      </c>
      <c r="B13653" s="35">
        <v>1</v>
      </c>
      <c r="C13653" s="35">
        <v>0</v>
      </c>
      <c r="D13653" s="2">
        <f t="shared" si="213"/>
        <v>1</v>
      </c>
    </row>
    <row r="13654" spans="1:4" x14ac:dyDescent="0.3">
      <c r="A13654" s="34">
        <v>74544</v>
      </c>
      <c r="B13654" s="35">
        <v>1</v>
      </c>
      <c r="C13654" s="35">
        <v>1</v>
      </c>
      <c r="D13654" s="2">
        <f t="shared" si="213"/>
        <v>2</v>
      </c>
    </row>
    <row r="13655" spans="1:4" x14ac:dyDescent="0.3">
      <c r="A13655" s="34">
        <v>74545</v>
      </c>
      <c r="B13655" s="35">
        <v>1</v>
      </c>
      <c r="C13655" s="35">
        <v>0</v>
      </c>
      <c r="D13655" s="2">
        <f t="shared" si="213"/>
        <v>1</v>
      </c>
    </row>
    <row r="13656" spans="1:4" x14ac:dyDescent="0.3">
      <c r="A13656" s="34">
        <v>74546</v>
      </c>
      <c r="B13656" s="35">
        <v>1</v>
      </c>
      <c r="C13656" s="35">
        <v>0</v>
      </c>
      <c r="D13656" s="2">
        <f t="shared" si="213"/>
        <v>1</v>
      </c>
    </row>
    <row r="13657" spans="1:4" x14ac:dyDescent="0.3">
      <c r="A13657" s="34">
        <v>74547</v>
      </c>
      <c r="B13657" s="35">
        <v>1</v>
      </c>
      <c r="C13657" s="35">
        <v>0</v>
      </c>
      <c r="D13657" s="2">
        <f t="shared" si="213"/>
        <v>1</v>
      </c>
    </row>
    <row r="13658" spans="1:4" x14ac:dyDescent="0.3">
      <c r="A13658" s="34">
        <v>74548</v>
      </c>
      <c r="B13658" s="35">
        <v>1</v>
      </c>
      <c r="C13658" s="35">
        <v>0</v>
      </c>
      <c r="D13658" s="2">
        <f t="shared" si="213"/>
        <v>1</v>
      </c>
    </row>
    <row r="13659" spans="1:4" x14ac:dyDescent="0.3">
      <c r="A13659" s="34">
        <v>74549</v>
      </c>
      <c r="B13659" s="35">
        <v>1</v>
      </c>
      <c r="C13659" s="35">
        <v>0</v>
      </c>
      <c r="D13659" s="2">
        <f t="shared" si="213"/>
        <v>1</v>
      </c>
    </row>
    <row r="13660" spans="1:4" x14ac:dyDescent="0.3">
      <c r="A13660" s="34">
        <v>74550</v>
      </c>
      <c r="B13660" s="35">
        <v>1</v>
      </c>
      <c r="C13660" s="35">
        <v>0</v>
      </c>
      <c r="D13660" s="2">
        <f t="shared" si="213"/>
        <v>1</v>
      </c>
    </row>
    <row r="13661" spans="1:4" x14ac:dyDescent="0.3">
      <c r="A13661" s="34">
        <v>74551</v>
      </c>
      <c r="B13661" s="35">
        <v>1</v>
      </c>
      <c r="C13661" s="35">
        <v>0</v>
      </c>
      <c r="D13661" s="2">
        <f t="shared" si="213"/>
        <v>1</v>
      </c>
    </row>
    <row r="13662" spans="1:4" x14ac:dyDescent="0.3">
      <c r="A13662" s="34">
        <v>74552</v>
      </c>
      <c r="B13662" s="35">
        <v>1</v>
      </c>
      <c r="C13662" s="35">
        <v>0</v>
      </c>
      <c r="D13662" s="2">
        <f t="shared" si="213"/>
        <v>1</v>
      </c>
    </row>
    <row r="13663" spans="1:4" x14ac:dyDescent="0.3">
      <c r="A13663" s="34">
        <v>74553</v>
      </c>
      <c r="B13663" s="35">
        <v>1</v>
      </c>
      <c r="C13663" s="35">
        <v>0</v>
      </c>
      <c r="D13663" s="2">
        <f t="shared" si="213"/>
        <v>1</v>
      </c>
    </row>
    <row r="13664" spans="1:4" x14ac:dyDescent="0.3">
      <c r="A13664" s="34">
        <v>74554</v>
      </c>
      <c r="B13664" s="35">
        <v>1</v>
      </c>
      <c r="C13664" s="35">
        <v>0</v>
      </c>
      <c r="D13664" s="2">
        <f t="shared" si="213"/>
        <v>1</v>
      </c>
    </row>
    <row r="13665" spans="1:4" x14ac:dyDescent="0.3">
      <c r="A13665" s="34">
        <v>74556</v>
      </c>
      <c r="B13665" s="35">
        <v>1</v>
      </c>
      <c r="C13665" s="35">
        <v>0</v>
      </c>
      <c r="D13665" s="2">
        <f t="shared" si="213"/>
        <v>1</v>
      </c>
    </row>
    <row r="13666" spans="1:4" x14ac:dyDescent="0.3">
      <c r="A13666" s="34">
        <v>74557</v>
      </c>
      <c r="B13666" s="35">
        <v>1</v>
      </c>
      <c r="C13666" s="35">
        <v>0</v>
      </c>
      <c r="D13666" s="2">
        <f t="shared" si="213"/>
        <v>1</v>
      </c>
    </row>
    <row r="13667" spans="1:4" x14ac:dyDescent="0.3">
      <c r="A13667" s="34">
        <v>74558</v>
      </c>
      <c r="B13667" s="35">
        <v>1</v>
      </c>
      <c r="C13667" s="35">
        <v>0</v>
      </c>
      <c r="D13667" s="2">
        <f t="shared" si="213"/>
        <v>1</v>
      </c>
    </row>
    <row r="13668" spans="1:4" x14ac:dyDescent="0.3">
      <c r="A13668" s="34">
        <v>74565</v>
      </c>
      <c r="B13668" s="35">
        <v>1</v>
      </c>
      <c r="C13668" s="35">
        <v>0</v>
      </c>
      <c r="D13668" s="2">
        <f t="shared" si="213"/>
        <v>1</v>
      </c>
    </row>
    <row r="13669" spans="1:4" x14ac:dyDescent="0.3">
      <c r="A13669" s="34">
        <v>74566</v>
      </c>
      <c r="B13669" s="35">
        <v>1</v>
      </c>
      <c r="C13669" s="35">
        <v>1</v>
      </c>
      <c r="D13669" s="2">
        <f t="shared" si="213"/>
        <v>2</v>
      </c>
    </row>
    <row r="13670" spans="1:4" x14ac:dyDescent="0.3">
      <c r="A13670" s="34">
        <v>74567</v>
      </c>
      <c r="B13670" s="35">
        <v>1</v>
      </c>
      <c r="C13670" s="35">
        <v>0</v>
      </c>
      <c r="D13670" s="2">
        <f t="shared" si="213"/>
        <v>1</v>
      </c>
    </row>
    <row r="13671" spans="1:4" x14ac:dyDescent="0.3">
      <c r="A13671" s="34">
        <v>74568</v>
      </c>
      <c r="B13671" s="35">
        <v>1</v>
      </c>
      <c r="C13671" s="35">
        <v>0</v>
      </c>
      <c r="D13671" s="2">
        <f t="shared" si="213"/>
        <v>1</v>
      </c>
    </row>
    <row r="13672" spans="1:4" x14ac:dyDescent="0.3">
      <c r="A13672" s="34">
        <v>74569</v>
      </c>
      <c r="B13672" s="35">
        <v>1</v>
      </c>
      <c r="C13672" s="35">
        <v>0</v>
      </c>
      <c r="D13672" s="2">
        <f t="shared" si="213"/>
        <v>1</v>
      </c>
    </row>
    <row r="13673" spans="1:4" x14ac:dyDescent="0.3">
      <c r="A13673" s="34">
        <v>74570</v>
      </c>
      <c r="B13673" s="35">
        <v>1</v>
      </c>
      <c r="C13673" s="35">
        <v>0</v>
      </c>
      <c r="D13673" s="2">
        <f t="shared" si="213"/>
        <v>1</v>
      </c>
    </row>
    <row r="13674" spans="1:4" x14ac:dyDescent="0.3">
      <c r="A13674" s="34">
        <v>74571</v>
      </c>
      <c r="B13674" s="35">
        <v>1</v>
      </c>
      <c r="C13674" s="35">
        <v>0</v>
      </c>
      <c r="D13674" s="2">
        <f t="shared" si="213"/>
        <v>1</v>
      </c>
    </row>
    <row r="13675" spans="1:4" x14ac:dyDescent="0.3">
      <c r="A13675" s="34">
        <v>74572</v>
      </c>
      <c r="B13675" s="35">
        <v>1</v>
      </c>
      <c r="C13675" s="35">
        <v>0</v>
      </c>
      <c r="D13675" s="2">
        <f t="shared" si="213"/>
        <v>1</v>
      </c>
    </row>
    <row r="13676" spans="1:4" x14ac:dyDescent="0.3">
      <c r="A13676" s="34">
        <v>74573</v>
      </c>
      <c r="B13676" s="35">
        <v>1</v>
      </c>
      <c r="C13676" s="35">
        <v>0</v>
      </c>
      <c r="D13676" s="2">
        <f t="shared" si="213"/>
        <v>1</v>
      </c>
    </row>
    <row r="13677" spans="1:4" x14ac:dyDescent="0.3">
      <c r="A13677" s="34">
        <v>74574</v>
      </c>
      <c r="B13677" s="35">
        <v>1</v>
      </c>
      <c r="C13677" s="35">
        <v>0</v>
      </c>
      <c r="D13677" s="2">
        <f t="shared" si="213"/>
        <v>1</v>
      </c>
    </row>
    <row r="13678" spans="1:4" x14ac:dyDescent="0.3">
      <c r="A13678" s="34">
        <v>74575</v>
      </c>
      <c r="B13678" s="35">
        <v>1</v>
      </c>
      <c r="C13678" s="35">
        <v>0</v>
      </c>
      <c r="D13678" s="2">
        <f t="shared" si="213"/>
        <v>1</v>
      </c>
    </row>
    <row r="13679" spans="1:4" x14ac:dyDescent="0.3">
      <c r="A13679" s="34">
        <v>74576</v>
      </c>
      <c r="B13679" s="35">
        <v>1</v>
      </c>
      <c r="C13679" s="35">
        <v>0</v>
      </c>
      <c r="D13679" s="2">
        <f t="shared" si="213"/>
        <v>1</v>
      </c>
    </row>
    <row r="13680" spans="1:4" x14ac:dyDescent="0.3">
      <c r="A13680" s="34">
        <v>74577</v>
      </c>
      <c r="B13680" s="35">
        <v>1</v>
      </c>
      <c r="C13680" s="35">
        <v>0</v>
      </c>
      <c r="D13680" s="2">
        <f t="shared" si="213"/>
        <v>1</v>
      </c>
    </row>
    <row r="13681" spans="1:4" x14ac:dyDescent="0.3">
      <c r="A13681" s="34">
        <v>74578</v>
      </c>
      <c r="B13681" s="35">
        <v>1</v>
      </c>
      <c r="C13681" s="35">
        <v>1</v>
      </c>
      <c r="D13681" s="2">
        <f t="shared" si="213"/>
        <v>2</v>
      </c>
    </row>
    <row r="13682" spans="1:4" x14ac:dyDescent="0.3">
      <c r="A13682" s="34">
        <v>74580</v>
      </c>
      <c r="B13682" s="35">
        <v>1</v>
      </c>
      <c r="C13682" s="35">
        <v>0</v>
      </c>
      <c r="D13682" s="2">
        <f t="shared" si="213"/>
        <v>1</v>
      </c>
    </row>
    <row r="13683" spans="1:4" x14ac:dyDescent="0.3">
      <c r="A13683" s="34">
        <v>74583</v>
      </c>
      <c r="B13683" s="35">
        <v>1</v>
      </c>
      <c r="C13683" s="35">
        <v>0</v>
      </c>
      <c r="D13683" s="2">
        <f t="shared" si="213"/>
        <v>1</v>
      </c>
    </row>
    <row r="13684" spans="1:4" x14ac:dyDescent="0.3">
      <c r="A13684" s="34">
        <v>74584</v>
      </c>
      <c r="B13684" s="35">
        <v>1</v>
      </c>
      <c r="C13684" s="35">
        <v>1</v>
      </c>
      <c r="D13684" s="2">
        <f t="shared" si="213"/>
        <v>2</v>
      </c>
    </row>
    <row r="13685" spans="1:4" x14ac:dyDescent="0.3">
      <c r="A13685" s="34">
        <v>74586</v>
      </c>
      <c r="B13685" s="35">
        <v>1</v>
      </c>
      <c r="C13685" s="35">
        <v>1</v>
      </c>
      <c r="D13685" s="2">
        <f t="shared" si="213"/>
        <v>2</v>
      </c>
    </row>
    <row r="13686" spans="1:4" x14ac:dyDescent="0.3">
      <c r="A13686" s="34">
        <v>74587</v>
      </c>
      <c r="B13686" s="35">
        <v>1</v>
      </c>
      <c r="C13686" s="35">
        <v>0</v>
      </c>
      <c r="D13686" s="2">
        <f t="shared" si="213"/>
        <v>1</v>
      </c>
    </row>
    <row r="13687" spans="1:4" x14ac:dyDescent="0.3">
      <c r="A13687" s="34">
        <v>74589</v>
      </c>
      <c r="B13687" s="35">
        <v>1</v>
      </c>
      <c r="C13687" s="35">
        <v>0</v>
      </c>
      <c r="D13687" s="2">
        <f t="shared" si="213"/>
        <v>1</v>
      </c>
    </row>
    <row r="13688" spans="1:4" x14ac:dyDescent="0.3">
      <c r="A13688" s="34">
        <v>74593</v>
      </c>
      <c r="B13688" s="35">
        <v>2</v>
      </c>
      <c r="C13688" s="35">
        <v>2</v>
      </c>
      <c r="D13688" s="2">
        <f t="shared" si="213"/>
        <v>4</v>
      </c>
    </row>
    <row r="13689" spans="1:4" x14ac:dyDescent="0.3">
      <c r="A13689" s="34">
        <v>74594</v>
      </c>
      <c r="B13689" s="35">
        <v>1</v>
      </c>
      <c r="C13689" s="35">
        <v>1</v>
      </c>
      <c r="D13689" s="2">
        <f t="shared" si="213"/>
        <v>2</v>
      </c>
    </row>
    <row r="13690" spans="1:4" x14ac:dyDescent="0.3">
      <c r="A13690" s="34">
        <v>74595</v>
      </c>
      <c r="B13690" s="35">
        <v>1</v>
      </c>
      <c r="C13690" s="35">
        <v>0</v>
      </c>
      <c r="D13690" s="2">
        <f t="shared" si="213"/>
        <v>1</v>
      </c>
    </row>
    <row r="13691" spans="1:4" x14ac:dyDescent="0.3">
      <c r="A13691" s="34">
        <v>74596</v>
      </c>
      <c r="B13691" s="35">
        <v>1</v>
      </c>
      <c r="C13691" s="35">
        <v>0</v>
      </c>
      <c r="D13691" s="2">
        <f t="shared" si="213"/>
        <v>1</v>
      </c>
    </row>
    <row r="13692" spans="1:4" x14ac:dyDescent="0.3">
      <c r="A13692" s="34">
        <v>74597</v>
      </c>
      <c r="B13692" s="35">
        <v>1</v>
      </c>
      <c r="C13692" s="35">
        <v>0</v>
      </c>
      <c r="D13692" s="2">
        <f t="shared" si="213"/>
        <v>1</v>
      </c>
    </row>
    <row r="13693" spans="1:4" x14ac:dyDescent="0.3">
      <c r="A13693" s="34">
        <v>74598</v>
      </c>
      <c r="B13693" s="35">
        <v>1</v>
      </c>
      <c r="C13693" s="35">
        <v>0</v>
      </c>
      <c r="D13693" s="2">
        <f t="shared" si="213"/>
        <v>1</v>
      </c>
    </row>
    <row r="13694" spans="1:4" x14ac:dyDescent="0.3">
      <c r="A13694" s="34">
        <v>74599</v>
      </c>
      <c r="B13694" s="35">
        <v>1</v>
      </c>
      <c r="C13694" s="35">
        <v>0</v>
      </c>
      <c r="D13694" s="2">
        <f t="shared" si="213"/>
        <v>1</v>
      </c>
    </row>
    <row r="13695" spans="1:4" x14ac:dyDescent="0.3">
      <c r="A13695" s="34">
        <v>74600</v>
      </c>
      <c r="B13695" s="35">
        <v>1</v>
      </c>
      <c r="C13695" s="35">
        <v>0</v>
      </c>
      <c r="D13695" s="2">
        <f t="shared" si="213"/>
        <v>1</v>
      </c>
    </row>
    <row r="13696" spans="1:4" x14ac:dyDescent="0.3">
      <c r="A13696" s="34">
        <v>74601</v>
      </c>
      <c r="B13696" s="35">
        <v>1</v>
      </c>
      <c r="C13696" s="35">
        <v>0</v>
      </c>
      <c r="D13696" s="2">
        <f t="shared" si="213"/>
        <v>1</v>
      </c>
    </row>
    <row r="13697" spans="1:4" x14ac:dyDescent="0.3">
      <c r="A13697" s="34">
        <v>74602</v>
      </c>
      <c r="B13697" s="35">
        <v>1</v>
      </c>
      <c r="C13697" s="35">
        <v>1</v>
      </c>
      <c r="D13697" s="2">
        <f t="shared" si="213"/>
        <v>2</v>
      </c>
    </row>
    <row r="13698" spans="1:4" x14ac:dyDescent="0.3">
      <c r="A13698" s="34">
        <v>74603</v>
      </c>
      <c r="B13698" s="35">
        <v>1</v>
      </c>
      <c r="C13698" s="35">
        <v>1</v>
      </c>
      <c r="D13698" s="2">
        <f t="shared" si="213"/>
        <v>2</v>
      </c>
    </row>
    <row r="13699" spans="1:4" x14ac:dyDescent="0.3">
      <c r="A13699" s="34">
        <v>74610</v>
      </c>
      <c r="B13699" s="35">
        <v>1</v>
      </c>
      <c r="C13699" s="35">
        <v>1</v>
      </c>
      <c r="D13699" s="2">
        <f t="shared" ref="D13699:D13762" si="214">B13699+C13699</f>
        <v>2</v>
      </c>
    </row>
    <row r="13700" spans="1:4" x14ac:dyDescent="0.3">
      <c r="A13700" s="34">
        <v>74611</v>
      </c>
      <c r="B13700" s="35">
        <v>1</v>
      </c>
      <c r="C13700" s="35">
        <v>1</v>
      </c>
      <c r="D13700" s="2">
        <f t="shared" si="214"/>
        <v>2</v>
      </c>
    </row>
    <row r="13701" spans="1:4" x14ac:dyDescent="0.3">
      <c r="A13701" s="34">
        <v>74614</v>
      </c>
      <c r="B13701" s="35">
        <v>1</v>
      </c>
      <c r="C13701" s="35">
        <v>0</v>
      </c>
      <c r="D13701" s="2">
        <f t="shared" si="214"/>
        <v>1</v>
      </c>
    </row>
    <row r="13702" spans="1:4" x14ac:dyDescent="0.3">
      <c r="A13702" s="34">
        <v>74630</v>
      </c>
      <c r="B13702" s="35">
        <v>1</v>
      </c>
      <c r="C13702" s="35">
        <v>0</v>
      </c>
      <c r="D13702" s="2">
        <f t="shared" si="214"/>
        <v>1</v>
      </c>
    </row>
    <row r="13703" spans="1:4" x14ac:dyDescent="0.3">
      <c r="A13703" s="34">
        <v>74710</v>
      </c>
      <c r="B13703" s="35">
        <v>1</v>
      </c>
      <c r="C13703" s="35">
        <v>0</v>
      </c>
      <c r="D13703" s="2">
        <f t="shared" si="214"/>
        <v>1</v>
      </c>
    </row>
    <row r="13704" spans="1:4" x14ac:dyDescent="0.3">
      <c r="A13704" s="34">
        <v>74711</v>
      </c>
      <c r="B13704" s="35">
        <v>2</v>
      </c>
      <c r="C13704" s="35">
        <v>1</v>
      </c>
      <c r="D13704" s="2">
        <f t="shared" si="214"/>
        <v>3</v>
      </c>
    </row>
    <row r="13705" spans="1:4" x14ac:dyDescent="0.3">
      <c r="A13705" s="34">
        <v>74712</v>
      </c>
      <c r="B13705" s="35">
        <v>1</v>
      </c>
      <c r="C13705" s="35">
        <v>0</v>
      </c>
      <c r="D13705" s="2">
        <f t="shared" si="214"/>
        <v>1</v>
      </c>
    </row>
    <row r="13706" spans="1:4" x14ac:dyDescent="0.3">
      <c r="A13706" s="34">
        <v>74717</v>
      </c>
      <c r="B13706" s="35">
        <v>1</v>
      </c>
      <c r="C13706" s="35">
        <v>0</v>
      </c>
      <c r="D13706" s="2">
        <f t="shared" si="214"/>
        <v>1</v>
      </c>
    </row>
    <row r="13707" spans="1:4" x14ac:dyDescent="0.3">
      <c r="A13707" s="34">
        <v>74719</v>
      </c>
      <c r="B13707" s="35">
        <v>1</v>
      </c>
      <c r="C13707" s="35">
        <v>0</v>
      </c>
      <c r="D13707" s="2">
        <f t="shared" si="214"/>
        <v>1</v>
      </c>
    </row>
    <row r="13708" spans="1:4" x14ac:dyDescent="0.3">
      <c r="A13708" s="34">
        <v>74722</v>
      </c>
      <c r="B13708" s="35">
        <v>1</v>
      </c>
      <c r="C13708" s="35">
        <v>0</v>
      </c>
      <c r="D13708" s="2">
        <f t="shared" si="214"/>
        <v>1</v>
      </c>
    </row>
    <row r="13709" spans="1:4" x14ac:dyDescent="0.3">
      <c r="A13709" s="34">
        <v>74724</v>
      </c>
      <c r="B13709" s="35">
        <v>1</v>
      </c>
      <c r="C13709" s="35">
        <v>0</v>
      </c>
      <c r="D13709" s="2">
        <f t="shared" si="214"/>
        <v>1</v>
      </c>
    </row>
    <row r="13710" spans="1:4" x14ac:dyDescent="0.3">
      <c r="A13710" s="34">
        <v>74725</v>
      </c>
      <c r="B13710" s="35">
        <v>1</v>
      </c>
      <c r="C13710" s="35">
        <v>0</v>
      </c>
      <c r="D13710" s="2">
        <f t="shared" si="214"/>
        <v>1</v>
      </c>
    </row>
    <row r="13711" spans="1:4" x14ac:dyDescent="0.3">
      <c r="A13711" s="34">
        <v>74728</v>
      </c>
      <c r="B13711" s="35">
        <v>1</v>
      </c>
      <c r="C13711" s="35">
        <v>0</v>
      </c>
      <c r="D13711" s="2">
        <f t="shared" si="214"/>
        <v>1</v>
      </c>
    </row>
    <row r="13712" spans="1:4" x14ac:dyDescent="0.3">
      <c r="A13712" s="34">
        <v>74730</v>
      </c>
      <c r="B13712" s="35">
        <v>1</v>
      </c>
      <c r="C13712" s="35">
        <v>0</v>
      </c>
      <c r="D13712" s="2">
        <f t="shared" si="214"/>
        <v>1</v>
      </c>
    </row>
    <row r="13713" spans="1:4" x14ac:dyDescent="0.3">
      <c r="A13713" s="34">
        <v>74732</v>
      </c>
      <c r="B13713" s="35">
        <v>1</v>
      </c>
      <c r="C13713" s="35">
        <v>0</v>
      </c>
      <c r="D13713" s="2">
        <f t="shared" si="214"/>
        <v>1</v>
      </c>
    </row>
    <row r="13714" spans="1:4" x14ac:dyDescent="0.3">
      <c r="A13714" s="34">
        <v>74734</v>
      </c>
      <c r="B13714" s="35">
        <v>1</v>
      </c>
      <c r="C13714" s="35">
        <v>0</v>
      </c>
      <c r="D13714" s="2">
        <f t="shared" si="214"/>
        <v>1</v>
      </c>
    </row>
    <row r="13715" spans="1:4" x14ac:dyDescent="0.3">
      <c r="A13715" s="34">
        <v>74735</v>
      </c>
      <c r="B13715" s="35">
        <v>1</v>
      </c>
      <c r="C13715" s="35">
        <v>0</v>
      </c>
      <c r="D13715" s="2">
        <f t="shared" si="214"/>
        <v>1</v>
      </c>
    </row>
    <row r="13716" spans="1:4" x14ac:dyDescent="0.3">
      <c r="A13716" s="34">
        <v>74736</v>
      </c>
      <c r="B13716" s="35">
        <v>1</v>
      </c>
      <c r="C13716" s="35">
        <v>0</v>
      </c>
      <c r="D13716" s="2">
        <f t="shared" si="214"/>
        <v>1</v>
      </c>
    </row>
    <row r="13717" spans="1:4" x14ac:dyDescent="0.3">
      <c r="A13717" s="34">
        <v>74737</v>
      </c>
      <c r="B13717" s="35">
        <v>1</v>
      </c>
      <c r="C13717" s="35">
        <v>1</v>
      </c>
      <c r="D13717" s="2">
        <f t="shared" si="214"/>
        <v>2</v>
      </c>
    </row>
    <row r="13718" spans="1:4" x14ac:dyDescent="0.3">
      <c r="A13718" s="34">
        <v>74739</v>
      </c>
      <c r="B13718" s="35">
        <v>1</v>
      </c>
      <c r="C13718" s="35">
        <v>0</v>
      </c>
      <c r="D13718" s="2">
        <f t="shared" si="214"/>
        <v>1</v>
      </c>
    </row>
    <row r="13719" spans="1:4" x14ac:dyDescent="0.3">
      <c r="A13719" s="34">
        <v>74740</v>
      </c>
      <c r="B13719" s="35">
        <v>1</v>
      </c>
      <c r="C13719" s="35">
        <v>0</v>
      </c>
      <c r="D13719" s="2">
        <f t="shared" si="214"/>
        <v>1</v>
      </c>
    </row>
    <row r="13720" spans="1:4" x14ac:dyDescent="0.3">
      <c r="A13720" s="34">
        <v>74742</v>
      </c>
      <c r="B13720" s="35">
        <v>1</v>
      </c>
      <c r="C13720" s="35">
        <v>0</v>
      </c>
      <c r="D13720" s="2">
        <f t="shared" si="214"/>
        <v>1</v>
      </c>
    </row>
    <row r="13721" spans="1:4" x14ac:dyDescent="0.3">
      <c r="A13721" s="34">
        <v>74743</v>
      </c>
      <c r="B13721" s="35">
        <v>1</v>
      </c>
      <c r="C13721" s="35">
        <v>0</v>
      </c>
      <c r="D13721" s="2">
        <f t="shared" si="214"/>
        <v>1</v>
      </c>
    </row>
    <row r="13722" spans="1:4" x14ac:dyDescent="0.3">
      <c r="A13722" s="34">
        <v>74744</v>
      </c>
      <c r="B13722" s="35">
        <v>1</v>
      </c>
      <c r="C13722" s="35">
        <v>0</v>
      </c>
      <c r="D13722" s="2">
        <f t="shared" si="214"/>
        <v>1</v>
      </c>
    </row>
    <row r="13723" spans="1:4" x14ac:dyDescent="0.3">
      <c r="A13723" s="34">
        <v>74745</v>
      </c>
      <c r="B13723" s="35">
        <v>1</v>
      </c>
      <c r="C13723" s="35">
        <v>0</v>
      </c>
      <c r="D13723" s="2">
        <f t="shared" si="214"/>
        <v>1</v>
      </c>
    </row>
    <row r="13724" spans="1:4" x14ac:dyDescent="0.3">
      <c r="A13724" s="34">
        <v>74746</v>
      </c>
      <c r="B13724" s="35">
        <v>1</v>
      </c>
      <c r="C13724" s="35">
        <v>0</v>
      </c>
      <c r="D13724" s="2">
        <f t="shared" si="214"/>
        <v>1</v>
      </c>
    </row>
    <row r="13725" spans="1:4" x14ac:dyDescent="0.3">
      <c r="A13725" s="34">
        <v>74748</v>
      </c>
      <c r="B13725" s="35">
        <v>1</v>
      </c>
      <c r="C13725" s="35">
        <v>0</v>
      </c>
      <c r="D13725" s="2">
        <f t="shared" si="214"/>
        <v>1</v>
      </c>
    </row>
    <row r="13726" spans="1:4" x14ac:dyDescent="0.3">
      <c r="A13726" s="34">
        <v>74749</v>
      </c>
      <c r="B13726" s="35">
        <v>1</v>
      </c>
      <c r="C13726" s="35">
        <v>0</v>
      </c>
      <c r="D13726" s="2">
        <f t="shared" si="214"/>
        <v>1</v>
      </c>
    </row>
    <row r="13727" spans="1:4" x14ac:dyDescent="0.3">
      <c r="A13727" s="34">
        <v>74750</v>
      </c>
      <c r="B13727" s="35">
        <v>1</v>
      </c>
      <c r="C13727" s="35">
        <v>0</v>
      </c>
      <c r="D13727" s="2">
        <f t="shared" si="214"/>
        <v>1</v>
      </c>
    </row>
    <row r="13728" spans="1:4" x14ac:dyDescent="0.3">
      <c r="A13728" s="34">
        <v>74751</v>
      </c>
      <c r="B13728" s="35">
        <v>1</v>
      </c>
      <c r="C13728" s="35">
        <v>0</v>
      </c>
      <c r="D13728" s="2">
        <f t="shared" si="214"/>
        <v>1</v>
      </c>
    </row>
    <row r="13729" spans="1:4" x14ac:dyDescent="0.3">
      <c r="A13729" s="34">
        <v>74752</v>
      </c>
      <c r="B13729" s="35">
        <v>1</v>
      </c>
      <c r="C13729" s="35">
        <v>1</v>
      </c>
      <c r="D13729" s="2">
        <f t="shared" si="214"/>
        <v>2</v>
      </c>
    </row>
    <row r="13730" spans="1:4" x14ac:dyDescent="0.3">
      <c r="A13730" s="34">
        <v>74754</v>
      </c>
      <c r="B13730" s="35">
        <v>1</v>
      </c>
      <c r="C13730" s="35">
        <v>0</v>
      </c>
      <c r="D13730" s="2">
        <f t="shared" si="214"/>
        <v>1</v>
      </c>
    </row>
    <row r="13731" spans="1:4" x14ac:dyDescent="0.3">
      <c r="A13731" s="34">
        <v>74755</v>
      </c>
      <c r="B13731" s="35">
        <v>1</v>
      </c>
      <c r="C13731" s="35">
        <v>0</v>
      </c>
      <c r="D13731" s="2">
        <f t="shared" si="214"/>
        <v>1</v>
      </c>
    </row>
    <row r="13732" spans="1:4" x14ac:dyDescent="0.3">
      <c r="A13732" s="34">
        <v>74756</v>
      </c>
      <c r="B13732" s="35">
        <v>2</v>
      </c>
      <c r="C13732" s="35">
        <v>0</v>
      </c>
      <c r="D13732" s="2">
        <f t="shared" si="214"/>
        <v>2</v>
      </c>
    </row>
    <row r="13733" spans="1:4" x14ac:dyDescent="0.3">
      <c r="A13733" s="34">
        <v>74757</v>
      </c>
      <c r="B13733" s="35">
        <v>1</v>
      </c>
      <c r="C13733" s="35">
        <v>0</v>
      </c>
      <c r="D13733" s="2">
        <f t="shared" si="214"/>
        <v>1</v>
      </c>
    </row>
    <row r="13734" spans="1:4" x14ac:dyDescent="0.3">
      <c r="A13734" s="34">
        <v>74760</v>
      </c>
      <c r="B13734" s="35">
        <v>1</v>
      </c>
      <c r="C13734" s="35">
        <v>1</v>
      </c>
      <c r="D13734" s="2">
        <f t="shared" si="214"/>
        <v>2</v>
      </c>
    </row>
    <row r="13735" spans="1:4" x14ac:dyDescent="0.3">
      <c r="A13735" s="34">
        <v>74761</v>
      </c>
      <c r="B13735" s="35">
        <v>1</v>
      </c>
      <c r="C13735" s="35">
        <v>0</v>
      </c>
      <c r="D13735" s="2">
        <f t="shared" si="214"/>
        <v>1</v>
      </c>
    </row>
    <row r="13736" spans="1:4" x14ac:dyDescent="0.3">
      <c r="A13736" s="34">
        <v>74762</v>
      </c>
      <c r="B13736" s="35">
        <v>1</v>
      </c>
      <c r="C13736" s="35">
        <v>0</v>
      </c>
      <c r="D13736" s="2">
        <f t="shared" si="214"/>
        <v>1</v>
      </c>
    </row>
    <row r="13737" spans="1:4" x14ac:dyDescent="0.3">
      <c r="A13737" s="34">
        <v>74763</v>
      </c>
      <c r="B13737" s="35">
        <v>1</v>
      </c>
      <c r="C13737" s="35">
        <v>0</v>
      </c>
      <c r="D13737" s="2">
        <f t="shared" si="214"/>
        <v>1</v>
      </c>
    </row>
    <row r="13738" spans="1:4" x14ac:dyDescent="0.3">
      <c r="A13738" s="34">
        <v>74764</v>
      </c>
      <c r="B13738" s="35">
        <v>1</v>
      </c>
      <c r="C13738" s="35">
        <v>0</v>
      </c>
      <c r="D13738" s="2">
        <f t="shared" si="214"/>
        <v>1</v>
      </c>
    </row>
    <row r="13739" spans="1:4" x14ac:dyDescent="0.3">
      <c r="A13739" s="34">
        <v>74765</v>
      </c>
      <c r="B13739" s="35">
        <v>1</v>
      </c>
      <c r="C13739" s="35">
        <v>0</v>
      </c>
      <c r="D13739" s="2">
        <f t="shared" si="214"/>
        <v>1</v>
      </c>
    </row>
    <row r="13740" spans="1:4" x14ac:dyDescent="0.3">
      <c r="A13740" s="34">
        <v>74766</v>
      </c>
      <c r="B13740" s="35">
        <v>1</v>
      </c>
      <c r="C13740" s="35">
        <v>0</v>
      </c>
      <c r="D13740" s="2">
        <f t="shared" si="214"/>
        <v>1</v>
      </c>
    </row>
    <row r="13741" spans="1:4" x14ac:dyDescent="0.3">
      <c r="A13741" s="34">
        <v>74767</v>
      </c>
      <c r="B13741" s="35">
        <v>1</v>
      </c>
      <c r="C13741" s="35">
        <v>0</v>
      </c>
      <c r="D13741" s="2">
        <f t="shared" si="214"/>
        <v>1</v>
      </c>
    </row>
    <row r="13742" spans="1:4" x14ac:dyDescent="0.3">
      <c r="A13742" s="34">
        <v>74768</v>
      </c>
      <c r="B13742" s="35">
        <v>1</v>
      </c>
      <c r="C13742" s="35">
        <v>0</v>
      </c>
      <c r="D13742" s="2">
        <f t="shared" si="214"/>
        <v>1</v>
      </c>
    </row>
    <row r="13743" spans="1:4" x14ac:dyDescent="0.3">
      <c r="A13743" s="34">
        <v>74769</v>
      </c>
      <c r="B13743" s="35">
        <v>1</v>
      </c>
      <c r="C13743" s="35">
        <v>0</v>
      </c>
      <c r="D13743" s="2">
        <f t="shared" si="214"/>
        <v>1</v>
      </c>
    </row>
    <row r="13744" spans="1:4" x14ac:dyDescent="0.3">
      <c r="A13744" s="34">
        <v>74770</v>
      </c>
      <c r="B13744" s="35">
        <v>1</v>
      </c>
      <c r="C13744" s="35">
        <v>0</v>
      </c>
      <c r="D13744" s="2">
        <f t="shared" si="214"/>
        <v>1</v>
      </c>
    </row>
    <row r="13745" spans="1:4" x14ac:dyDescent="0.3">
      <c r="A13745" s="34">
        <v>74771</v>
      </c>
      <c r="B13745" s="35">
        <v>1</v>
      </c>
      <c r="C13745" s="35">
        <v>0</v>
      </c>
      <c r="D13745" s="2">
        <f t="shared" si="214"/>
        <v>1</v>
      </c>
    </row>
    <row r="13746" spans="1:4" x14ac:dyDescent="0.3">
      <c r="A13746" s="34">
        <v>74772</v>
      </c>
      <c r="B13746" s="35">
        <v>1</v>
      </c>
      <c r="C13746" s="35">
        <v>0</v>
      </c>
      <c r="D13746" s="2">
        <f t="shared" si="214"/>
        <v>1</v>
      </c>
    </row>
    <row r="13747" spans="1:4" x14ac:dyDescent="0.3">
      <c r="A13747" s="34">
        <v>74775</v>
      </c>
      <c r="B13747" s="35">
        <v>1</v>
      </c>
      <c r="C13747" s="35">
        <v>0</v>
      </c>
      <c r="D13747" s="2">
        <f t="shared" si="214"/>
        <v>1</v>
      </c>
    </row>
    <row r="13748" spans="1:4" x14ac:dyDescent="0.3">
      <c r="A13748" s="34">
        <v>74776</v>
      </c>
      <c r="B13748" s="35">
        <v>1</v>
      </c>
      <c r="C13748" s="35">
        <v>0</v>
      </c>
      <c r="D13748" s="2">
        <f t="shared" si="214"/>
        <v>1</v>
      </c>
    </row>
    <row r="13749" spans="1:4" x14ac:dyDescent="0.3">
      <c r="A13749" s="34">
        <v>74777</v>
      </c>
      <c r="B13749" s="35">
        <v>1</v>
      </c>
      <c r="C13749" s="35">
        <v>0</v>
      </c>
      <c r="D13749" s="2">
        <f t="shared" si="214"/>
        <v>1</v>
      </c>
    </row>
    <row r="13750" spans="1:4" x14ac:dyDescent="0.3">
      <c r="A13750" s="34">
        <v>74779</v>
      </c>
      <c r="B13750" s="35">
        <v>1</v>
      </c>
      <c r="C13750" s="35">
        <v>0</v>
      </c>
      <c r="D13750" s="2">
        <f t="shared" si="214"/>
        <v>1</v>
      </c>
    </row>
    <row r="13751" spans="1:4" x14ac:dyDescent="0.3">
      <c r="A13751" s="34">
        <v>74780</v>
      </c>
      <c r="B13751" s="35">
        <v>1</v>
      </c>
      <c r="C13751" s="35">
        <v>0</v>
      </c>
      <c r="D13751" s="2">
        <f t="shared" si="214"/>
        <v>1</v>
      </c>
    </row>
    <row r="13752" spans="1:4" x14ac:dyDescent="0.3">
      <c r="A13752" s="34">
        <v>74784</v>
      </c>
      <c r="B13752" s="35">
        <v>1</v>
      </c>
      <c r="C13752" s="35">
        <v>1</v>
      </c>
      <c r="D13752" s="2">
        <f t="shared" si="214"/>
        <v>2</v>
      </c>
    </row>
    <row r="13753" spans="1:4" x14ac:dyDescent="0.3">
      <c r="A13753" s="34">
        <v>74785</v>
      </c>
      <c r="B13753" s="35">
        <v>1</v>
      </c>
      <c r="C13753" s="35">
        <v>0</v>
      </c>
      <c r="D13753" s="2">
        <f t="shared" si="214"/>
        <v>1</v>
      </c>
    </row>
    <row r="13754" spans="1:4" x14ac:dyDescent="0.3">
      <c r="A13754" s="34">
        <v>74786</v>
      </c>
      <c r="B13754" s="35">
        <v>1</v>
      </c>
      <c r="C13754" s="35">
        <v>0</v>
      </c>
      <c r="D13754" s="2">
        <f t="shared" si="214"/>
        <v>1</v>
      </c>
    </row>
    <row r="13755" spans="1:4" x14ac:dyDescent="0.3">
      <c r="A13755" s="34">
        <v>74789</v>
      </c>
      <c r="B13755" s="35">
        <v>1</v>
      </c>
      <c r="C13755" s="35">
        <v>0</v>
      </c>
      <c r="D13755" s="2">
        <f t="shared" si="214"/>
        <v>1</v>
      </c>
    </row>
    <row r="13756" spans="1:4" x14ac:dyDescent="0.3">
      <c r="A13756" s="34">
        <v>74790</v>
      </c>
      <c r="B13756" s="35">
        <v>1</v>
      </c>
      <c r="C13756" s="35">
        <v>0</v>
      </c>
      <c r="D13756" s="2">
        <f t="shared" si="214"/>
        <v>1</v>
      </c>
    </row>
    <row r="13757" spans="1:4" x14ac:dyDescent="0.3">
      <c r="A13757" s="34">
        <v>74792</v>
      </c>
      <c r="B13757" s="35">
        <v>1</v>
      </c>
      <c r="C13757" s="35">
        <v>0</v>
      </c>
      <c r="D13757" s="2">
        <f t="shared" si="214"/>
        <v>1</v>
      </c>
    </row>
    <row r="13758" spans="1:4" x14ac:dyDescent="0.3">
      <c r="A13758" s="34">
        <v>74793</v>
      </c>
      <c r="B13758" s="35">
        <v>1</v>
      </c>
      <c r="C13758" s="35">
        <v>0</v>
      </c>
      <c r="D13758" s="2">
        <f t="shared" si="214"/>
        <v>1</v>
      </c>
    </row>
    <row r="13759" spans="1:4" x14ac:dyDescent="0.3">
      <c r="A13759" s="34">
        <v>74794</v>
      </c>
      <c r="B13759" s="35">
        <v>1</v>
      </c>
      <c r="C13759" s="35">
        <v>0</v>
      </c>
      <c r="D13759" s="2">
        <f t="shared" si="214"/>
        <v>1</v>
      </c>
    </row>
    <row r="13760" spans="1:4" x14ac:dyDescent="0.3">
      <c r="A13760" s="34">
        <v>74795</v>
      </c>
      <c r="B13760" s="35">
        <v>1</v>
      </c>
      <c r="C13760" s="35">
        <v>0</v>
      </c>
      <c r="D13760" s="2">
        <f t="shared" si="214"/>
        <v>1</v>
      </c>
    </row>
    <row r="13761" spans="1:4" x14ac:dyDescent="0.3">
      <c r="A13761" s="34">
        <v>74796</v>
      </c>
      <c r="B13761" s="35">
        <v>1</v>
      </c>
      <c r="C13761" s="35">
        <v>0</v>
      </c>
      <c r="D13761" s="2">
        <f t="shared" si="214"/>
        <v>1</v>
      </c>
    </row>
    <row r="13762" spans="1:4" x14ac:dyDescent="0.3">
      <c r="A13762" s="34">
        <v>74797</v>
      </c>
      <c r="B13762" s="35">
        <v>1</v>
      </c>
      <c r="C13762" s="35">
        <v>0</v>
      </c>
      <c r="D13762" s="2">
        <f t="shared" si="214"/>
        <v>1</v>
      </c>
    </row>
    <row r="13763" spans="1:4" x14ac:dyDescent="0.3">
      <c r="A13763" s="34">
        <v>74799</v>
      </c>
      <c r="B13763" s="35">
        <v>1</v>
      </c>
      <c r="C13763" s="35">
        <v>0</v>
      </c>
      <c r="D13763" s="2">
        <f t="shared" ref="D13763:D13826" si="215">B13763+C13763</f>
        <v>1</v>
      </c>
    </row>
    <row r="13764" spans="1:4" x14ac:dyDescent="0.3">
      <c r="A13764" s="34">
        <v>74800</v>
      </c>
      <c r="B13764" s="35">
        <v>1</v>
      </c>
      <c r="C13764" s="35">
        <v>0</v>
      </c>
      <c r="D13764" s="2">
        <f t="shared" si="215"/>
        <v>1</v>
      </c>
    </row>
    <row r="13765" spans="1:4" x14ac:dyDescent="0.3">
      <c r="A13765" s="34">
        <v>74801</v>
      </c>
      <c r="B13765" s="35">
        <v>1</v>
      </c>
      <c r="C13765" s="35">
        <v>1</v>
      </c>
      <c r="D13765" s="2">
        <f t="shared" si="215"/>
        <v>2</v>
      </c>
    </row>
    <row r="13766" spans="1:4" x14ac:dyDescent="0.3">
      <c r="A13766" s="34">
        <v>74802</v>
      </c>
      <c r="B13766" s="35">
        <v>1</v>
      </c>
      <c r="C13766" s="35">
        <v>1</v>
      </c>
      <c r="D13766" s="2">
        <f t="shared" si="215"/>
        <v>2</v>
      </c>
    </row>
    <row r="13767" spans="1:4" x14ac:dyDescent="0.3">
      <c r="A13767" s="34">
        <v>74803</v>
      </c>
      <c r="B13767" s="35">
        <v>1</v>
      </c>
      <c r="C13767" s="35">
        <v>0</v>
      </c>
      <c r="D13767" s="2">
        <f t="shared" si="215"/>
        <v>1</v>
      </c>
    </row>
    <row r="13768" spans="1:4" x14ac:dyDescent="0.3">
      <c r="A13768" s="34">
        <v>74804</v>
      </c>
      <c r="B13768" s="35">
        <v>1</v>
      </c>
      <c r="C13768" s="35">
        <v>0</v>
      </c>
      <c r="D13768" s="2">
        <f t="shared" si="215"/>
        <v>1</v>
      </c>
    </row>
    <row r="13769" spans="1:4" x14ac:dyDescent="0.3">
      <c r="A13769" s="34">
        <v>74812</v>
      </c>
      <c r="B13769" s="35">
        <v>1</v>
      </c>
      <c r="C13769" s="35">
        <v>0</v>
      </c>
      <c r="D13769" s="2">
        <f t="shared" si="215"/>
        <v>1</v>
      </c>
    </row>
    <row r="13770" spans="1:4" x14ac:dyDescent="0.3">
      <c r="A13770" s="34">
        <v>74816</v>
      </c>
      <c r="B13770" s="35">
        <v>1</v>
      </c>
      <c r="C13770" s="35">
        <v>0</v>
      </c>
      <c r="D13770" s="2">
        <f t="shared" si="215"/>
        <v>1</v>
      </c>
    </row>
    <row r="13771" spans="1:4" x14ac:dyDescent="0.3">
      <c r="A13771" s="34">
        <v>74819</v>
      </c>
      <c r="B13771" s="35">
        <v>1</v>
      </c>
      <c r="C13771" s="35">
        <v>0</v>
      </c>
      <c r="D13771" s="2">
        <f t="shared" si="215"/>
        <v>1</v>
      </c>
    </row>
    <row r="13772" spans="1:4" x14ac:dyDescent="0.3">
      <c r="A13772" s="34">
        <v>74821</v>
      </c>
      <c r="B13772" s="35">
        <v>1</v>
      </c>
      <c r="C13772" s="35">
        <v>0</v>
      </c>
      <c r="D13772" s="2">
        <f t="shared" si="215"/>
        <v>1</v>
      </c>
    </row>
    <row r="13773" spans="1:4" x14ac:dyDescent="0.3">
      <c r="A13773" s="34">
        <v>74822</v>
      </c>
      <c r="B13773" s="35">
        <v>1</v>
      </c>
      <c r="C13773" s="35">
        <v>0</v>
      </c>
      <c r="D13773" s="2">
        <f t="shared" si="215"/>
        <v>1</v>
      </c>
    </row>
    <row r="13774" spans="1:4" x14ac:dyDescent="0.3">
      <c r="A13774" s="34">
        <v>74823</v>
      </c>
      <c r="B13774" s="35">
        <v>1</v>
      </c>
      <c r="C13774" s="35">
        <v>0</v>
      </c>
      <c r="D13774" s="2">
        <f t="shared" si="215"/>
        <v>1</v>
      </c>
    </row>
    <row r="13775" spans="1:4" x14ac:dyDescent="0.3">
      <c r="A13775" s="34">
        <v>74824</v>
      </c>
      <c r="B13775" s="35">
        <v>1</v>
      </c>
      <c r="C13775" s="35">
        <v>0</v>
      </c>
      <c r="D13775" s="2">
        <f t="shared" si="215"/>
        <v>1</v>
      </c>
    </row>
    <row r="13776" spans="1:4" x14ac:dyDescent="0.3">
      <c r="A13776" s="34">
        <v>74825</v>
      </c>
      <c r="B13776" s="35">
        <v>1</v>
      </c>
      <c r="C13776" s="35">
        <v>0</v>
      </c>
      <c r="D13776" s="2">
        <f t="shared" si="215"/>
        <v>1</v>
      </c>
    </row>
    <row r="13777" spans="1:4" x14ac:dyDescent="0.3">
      <c r="A13777" s="34">
        <v>74826</v>
      </c>
      <c r="B13777" s="35">
        <v>1</v>
      </c>
      <c r="C13777" s="35">
        <v>1</v>
      </c>
      <c r="D13777" s="2">
        <f t="shared" si="215"/>
        <v>2</v>
      </c>
    </row>
    <row r="13778" spans="1:4" x14ac:dyDescent="0.3">
      <c r="A13778" s="34">
        <v>74827</v>
      </c>
      <c r="B13778" s="35">
        <v>1</v>
      </c>
      <c r="C13778" s="35">
        <v>0</v>
      </c>
      <c r="D13778" s="2">
        <f t="shared" si="215"/>
        <v>1</v>
      </c>
    </row>
    <row r="13779" spans="1:4" x14ac:dyDescent="0.3">
      <c r="A13779" s="34">
        <v>74828</v>
      </c>
      <c r="B13779" s="35">
        <v>2</v>
      </c>
      <c r="C13779" s="35">
        <v>2</v>
      </c>
      <c r="D13779" s="2">
        <f t="shared" si="215"/>
        <v>4</v>
      </c>
    </row>
    <row r="13780" spans="1:4" x14ac:dyDescent="0.3">
      <c r="A13780" s="34">
        <v>74829</v>
      </c>
      <c r="B13780" s="35">
        <v>1</v>
      </c>
      <c r="C13780" s="35">
        <v>1</v>
      </c>
      <c r="D13780" s="2">
        <f t="shared" si="215"/>
        <v>2</v>
      </c>
    </row>
    <row r="13781" spans="1:4" x14ac:dyDescent="0.3">
      <c r="A13781" s="34">
        <v>74832</v>
      </c>
      <c r="B13781" s="35">
        <v>1</v>
      </c>
      <c r="C13781" s="35">
        <v>0</v>
      </c>
      <c r="D13781" s="2">
        <f t="shared" si="215"/>
        <v>1</v>
      </c>
    </row>
    <row r="13782" spans="1:4" x14ac:dyDescent="0.3">
      <c r="A13782" s="34">
        <v>74836</v>
      </c>
      <c r="B13782" s="35">
        <v>1</v>
      </c>
      <c r="C13782" s="35">
        <v>0</v>
      </c>
      <c r="D13782" s="2">
        <f t="shared" si="215"/>
        <v>1</v>
      </c>
    </row>
    <row r="13783" spans="1:4" x14ac:dyDescent="0.3">
      <c r="A13783" s="34">
        <v>74840</v>
      </c>
      <c r="B13783" s="35">
        <v>1</v>
      </c>
      <c r="C13783" s="35">
        <v>0</v>
      </c>
      <c r="D13783" s="2">
        <f t="shared" si="215"/>
        <v>1</v>
      </c>
    </row>
    <row r="13784" spans="1:4" x14ac:dyDescent="0.3">
      <c r="A13784" s="34">
        <v>74843</v>
      </c>
      <c r="B13784" s="35">
        <v>1</v>
      </c>
      <c r="C13784" s="35">
        <v>1</v>
      </c>
      <c r="D13784" s="2">
        <f t="shared" si="215"/>
        <v>2</v>
      </c>
    </row>
    <row r="13785" spans="1:4" x14ac:dyDescent="0.3">
      <c r="A13785" s="34">
        <v>74847</v>
      </c>
      <c r="B13785" s="35">
        <v>1</v>
      </c>
      <c r="C13785" s="35">
        <v>0</v>
      </c>
      <c r="D13785" s="2">
        <f t="shared" si="215"/>
        <v>1</v>
      </c>
    </row>
    <row r="13786" spans="1:4" x14ac:dyDescent="0.3">
      <c r="A13786" s="34">
        <v>74848</v>
      </c>
      <c r="B13786" s="35">
        <v>1</v>
      </c>
      <c r="C13786" s="35">
        <v>0</v>
      </c>
      <c r="D13786" s="2">
        <f t="shared" si="215"/>
        <v>1</v>
      </c>
    </row>
    <row r="13787" spans="1:4" x14ac:dyDescent="0.3">
      <c r="A13787" s="34">
        <v>74849</v>
      </c>
      <c r="B13787" s="35">
        <v>1</v>
      </c>
      <c r="C13787" s="35">
        <v>0</v>
      </c>
      <c r="D13787" s="2">
        <f t="shared" si="215"/>
        <v>1</v>
      </c>
    </row>
    <row r="13788" spans="1:4" x14ac:dyDescent="0.3">
      <c r="A13788" s="34">
        <v>74851</v>
      </c>
      <c r="B13788" s="35">
        <v>1</v>
      </c>
      <c r="C13788" s="35">
        <v>0</v>
      </c>
      <c r="D13788" s="2">
        <f t="shared" si="215"/>
        <v>1</v>
      </c>
    </row>
    <row r="13789" spans="1:4" x14ac:dyDescent="0.3">
      <c r="A13789" s="34">
        <v>74852</v>
      </c>
      <c r="B13789" s="35">
        <v>2</v>
      </c>
      <c r="C13789" s="35">
        <v>1</v>
      </c>
      <c r="D13789" s="2">
        <f t="shared" si="215"/>
        <v>3</v>
      </c>
    </row>
    <row r="13790" spans="1:4" x14ac:dyDescent="0.3">
      <c r="A13790" s="34">
        <v>74854</v>
      </c>
      <c r="B13790" s="35">
        <v>1</v>
      </c>
      <c r="C13790" s="35">
        <v>0</v>
      </c>
      <c r="D13790" s="2">
        <f t="shared" si="215"/>
        <v>1</v>
      </c>
    </row>
    <row r="13791" spans="1:4" x14ac:dyDescent="0.3">
      <c r="A13791" s="34">
        <v>74856</v>
      </c>
      <c r="B13791" s="35">
        <v>1</v>
      </c>
      <c r="C13791" s="35">
        <v>0</v>
      </c>
      <c r="D13791" s="2">
        <f t="shared" si="215"/>
        <v>1</v>
      </c>
    </row>
    <row r="13792" spans="1:4" x14ac:dyDescent="0.3">
      <c r="A13792" s="34">
        <v>74857</v>
      </c>
      <c r="B13792" s="35">
        <v>1</v>
      </c>
      <c r="C13792" s="35">
        <v>0</v>
      </c>
      <c r="D13792" s="2">
        <f t="shared" si="215"/>
        <v>1</v>
      </c>
    </row>
    <row r="13793" spans="1:4" x14ac:dyDescent="0.3">
      <c r="A13793" s="34">
        <v>74859</v>
      </c>
      <c r="B13793" s="35">
        <v>1</v>
      </c>
      <c r="C13793" s="35">
        <v>1</v>
      </c>
      <c r="D13793" s="2">
        <f t="shared" si="215"/>
        <v>2</v>
      </c>
    </row>
    <row r="13794" spans="1:4" x14ac:dyDescent="0.3">
      <c r="A13794" s="34">
        <v>74860</v>
      </c>
      <c r="B13794" s="35">
        <v>1</v>
      </c>
      <c r="C13794" s="35">
        <v>0</v>
      </c>
      <c r="D13794" s="2">
        <f t="shared" si="215"/>
        <v>1</v>
      </c>
    </row>
    <row r="13795" spans="1:4" x14ac:dyDescent="0.3">
      <c r="A13795" s="34">
        <v>74865</v>
      </c>
      <c r="B13795" s="35">
        <v>1</v>
      </c>
      <c r="C13795" s="35">
        <v>0</v>
      </c>
      <c r="D13795" s="2">
        <f t="shared" si="215"/>
        <v>1</v>
      </c>
    </row>
    <row r="13796" spans="1:4" x14ac:dyDescent="0.3">
      <c r="A13796" s="34">
        <v>74866</v>
      </c>
      <c r="B13796" s="35">
        <v>1</v>
      </c>
      <c r="C13796" s="35">
        <v>0</v>
      </c>
      <c r="D13796" s="2">
        <f t="shared" si="215"/>
        <v>1</v>
      </c>
    </row>
    <row r="13797" spans="1:4" x14ac:dyDescent="0.3">
      <c r="A13797" s="34">
        <v>74867</v>
      </c>
      <c r="B13797" s="35">
        <v>1</v>
      </c>
      <c r="C13797" s="35">
        <v>0</v>
      </c>
      <c r="D13797" s="2">
        <f t="shared" si="215"/>
        <v>1</v>
      </c>
    </row>
    <row r="13798" spans="1:4" x14ac:dyDescent="0.3">
      <c r="A13798" s="34">
        <v>74869</v>
      </c>
      <c r="B13798" s="35">
        <v>1</v>
      </c>
      <c r="C13798" s="35">
        <v>0</v>
      </c>
      <c r="D13798" s="2">
        <f t="shared" si="215"/>
        <v>1</v>
      </c>
    </row>
    <row r="13799" spans="1:4" x14ac:dyDescent="0.3">
      <c r="A13799" s="34">
        <v>74874</v>
      </c>
      <c r="B13799" s="35">
        <v>1</v>
      </c>
      <c r="C13799" s="35">
        <v>0</v>
      </c>
      <c r="D13799" s="2">
        <f t="shared" si="215"/>
        <v>1</v>
      </c>
    </row>
    <row r="13800" spans="1:4" x14ac:dyDescent="0.3">
      <c r="A13800" s="34">
        <v>74877</v>
      </c>
      <c r="B13800" s="35">
        <v>1</v>
      </c>
      <c r="C13800" s="35">
        <v>0</v>
      </c>
      <c r="D13800" s="2">
        <f t="shared" si="215"/>
        <v>1</v>
      </c>
    </row>
    <row r="13801" spans="1:4" x14ac:dyDescent="0.3">
      <c r="A13801" s="34">
        <v>74881</v>
      </c>
      <c r="B13801" s="35">
        <v>1</v>
      </c>
      <c r="C13801" s="35">
        <v>0</v>
      </c>
      <c r="D13801" s="2">
        <f t="shared" si="215"/>
        <v>1</v>
      </c>
    </row>
    <row r="13802" spans="1:4" x14ac:dyDescent="0.3">
      <c r="A13802" s="34">
        <v>74883</v>
      </c>
      <c r="B13802" s="35">
        <v>1</v>
      </c>
      <c r="C13802" s="35">
        <v>0</v>
      </c>
      <c r="D13802" s="2">
        <f t="shared" si="215"/>
        <v>1</v>
      </c>
    </row>
    <row r="13803" spans="1:4" x14ac:dyDescent="0.3">
      <c r="A13803" s="34">
        <v>74885</v>
      </c>
      <c r="B13803" s="35">
        <v>1</v>
      </c>
      <c r="C13803" s="35">
        <v>0</v>
      </c>
      <c r="D13803" s="2">
        <f t="shared" si="215"/>
        <v>1</v>
      </c>
    </row>
    <row r="13804" spans="1:4" x14ac:dyDescent="0.3">
      <c r="A13804" s="34">
        <v>74886</v>
      </c>
      <c r="B13804" s="35">
        <v>1</v>
      </c>
      <c r="C13804" s="35">
        <v>0</v>
      </c>
      <c r="D13804" s="2">
        <f t="shared" si="215"/>
        <v>1</v>
      </c>
    </row>
    <row r="13805" spans="1:4" x14ac:dyDescent="0.3">
      <c r="A13805" s="34">
        <v>74887</v>
      </c>
      <c r="B13805" s="35">
        <v>2</v>
      </c>
      <c r="C13805" s="35">
        <v>2</v>
      </c>
      <c r="D13805" s="2">
        <f t="shared" si="215"/>
        <v>4</v>
      </c>
    </row>
    <row r="13806" spans="1:4" x14ac:dyDescent="0.3">
      <c r="A13806" s="34">
        <v>74888</v>
      </c>
      <c r="B13806" s="35">
        <v>1</v>
      </c>
      <c r="C13806" s="35">
        <v>0</v>
      </c>
      <c r="D13806" s="2">
        <f t="shared" si="215"/>
        <v>1</v>
      </c>
    </row>
    <row r="13807" spans="1:4" x14ac:dyDescent="0.3">
      <c r="A13807" s="34">
        <v>74889</v>
      </c>
      <c r="B13807" s="35">
        <v>1</v>
      </c>
      <c r="C13807" s="35">
        <v>1</v>
      </c>
      <c r="D13807" s="2">
        <f t="shared" si="215"/>
        <v>2</v>
      </c>
    </row>
    <row r="13808" spans="1:4" x14ac:dyDescent="0.3">
      <c r="A13808" s="34">
        <v>74893</v>
      </c>
      <c r="B13808" s="35">
        <v>3</v>
      </c>
      <c r="C13808" s="35">
        <v>2</v>
      </c>
      <c r="D13808" s="2">
        <f t="shared" si="215"/>
        <v>5</v>
      </c>
    </row>
    <row r="13809" spans="1:4" x14ac:dyDescent="0.3">
      <c r="A13809" s="34">
        <v>74897</v>
      </c>
      <c r="B13809" s="35">
        <v>1</v>
      </c>
      <c r="C13809" s="35">
        <v>0</v>
      </c>
      <c r="D13809" s="2">
        <f t="shared" si="215"/>
        <v>1</v>
      </c>
    </row>
    <row r="13810" spans="1:4" x14ac:dyDescent="0.3">
      <c r="A13810" s="34">
        <v>74902</v>
      </c>
      <c r="B13810" s="35">
        <v>1</v>
      </c>
      <c r="C13810" s="35">
        <v>0</v>
      </c>
      <c r="D13810" s="2">
        <f t="shared" si="215"/>
        <v>1</v>
      </c>
    </row>
    <row r="13811" spans="1:4" x14ac:dyDescent="0.3">
      <c r="A13811" s="34">
        <v>74904</v>
      </c>
      <c r="B13811" s="35">
        <v>1</v>
      </c>
      <c r="C13811" s="35">
        <v>0</v>
      </c>
      <c r="D13811" s="2">
        <f t="shared" si="215"/>
        <v>1</v>
      </c>
    </row>
    <row r="13812" spans="1:4" x14ac:dyDescent="0.3">
      <c r="A13812" s="34">
        <v>74906</v>
      </c>
      <c r="B13812" s="35">
        <v>1</v>
      </c>
      <c r="C13812" s="35">
        <v>0</v>
      </c>
      <c r="D13812" s="2">
        <f t="shared" si="215"/>
        <v>1</v>
      </c>
    </row>
    <row r="13813" spans="1:4" x14ac:dyDescent="0.3">
      <c r="A13813" s="34">
        <v>74907</v>
      </c>
      <c r="B13813" s="35">
        <v>1</v>
      </c>
      <c r="C13813" s="35">
        <v>0</v>
      </c>
      <c r="D13813" s="2">
        <f t="shared" si="215"/>
        <v>1</v>
      </c>
    </row>
    <row r="13814" spans="1:4" x14ac:dyDescent="0.3">
      <c r="A13814" s="34">
        <v>74908</v>
      </c>
      <c r="B13814" s="35">
        <v>1</v>
      </c>
      <c r="C13814" s="35">
        <v>0</v>
      </c>
      <c r="D13814" s="2">
        <f t="shared" si="215"/>
        <v>1</v>
      </c>
    </row>
    <row r="13815" spans="1:4" x14ac:dyDescent="0.3">
      <c r="A13815" s="34">
        <v>74910</v>
      </c>
      <c r="B13815" s="35">
        <v>1</v>
      </c>
      <c r="C13815" s="35">
        <v>0</v>
      </c>
      <c r="D13815" s="2">
        <f t="shared" si="215"/>
        <v>1</v>
      </c>
    </row>
    <row r="13816" spans="1:4" x14ac:dyDescent="0.3">
      <c r="A13816" s="34">
        <v>74911</v>
      </c>
      <c r="B13816" s="35">
        <v>1</v>
      </c>
      <c r="C13816" s="35">
        <v>0</v>
      </c>
      <c r="D13816" s="2">
        <f t="shared" si="215"/>
        <v>1</v>
      </c>
    </row>
    <row r="13817" spans="1:4" x14ac:dyDescent="0.3">
      <c r="A13817" s="34">
        <v>74913</v>
      </c>
      <c r="B13817" s="35">
        <v>1</v>
      </c>
      <c r="C13817" s="35">
        <v>0</v>
      </c>
      <c r="D13817" s="2">
        <f t="shared" si="215"/>
        <v>1</v>
      </c>
    </row>
    <row r="13818" spans="1:4" x14ac:dyDescent="0.3">
      <c r="A13818" s="34">
        <v>74914</v>
      </c>
      <c r="B13818" s="35">
        <v>1</v>
      </c>
      <c r="C13818" s="35">
        <v>0</v>
      </c>
      <c r="D13818" s="2">
        <f t="shared" si="215"/>
        <v>1</v>
      </c>
    </row>
    <row r="13819" spans="1:4" x14ac:dyDescent="0.3">
      <c r="A13819" s="34">
        <v>74916</v>
      </c>
      <c r="B13819" s="35">
        <v>1</v>
      </c>
      <c r="C13819" s="35">
        <v>0</v>
      </c>
      <c r="D13819" s="2">
        <f t="shared" si="215"/>
        <v>1</v>
      </c>
    </row>
    <row r="13820" spans="1:4" x14ac:dyDescent="0.3">
      <c r="A13820" s="34">
        <v>74918</v>
      </c>
      <c r="B13820" s="35">
        <v>1</v>
      </c>
      <c r="C13820" s="35">
        <v>0</v>
      </c>
      <c r="D13820" s="2">
        <f t="shared" si="215"/>
        <v>1</v>
      </c>
    </row>
    <row r="13821" spans="1:4" x14ac:dyDescent="0.3">
      <c r="A13821" s="34">
        <v>74919</v>
      </c>
      <c r="B13821" s="35">
        <v>1</v>
      </c>
      <c r="C13821" s="35">
        <v>0</v>
      </c>
      <c r="D13821" s="2">
        <f t="shared" si="215"/>
        <v>1</v>
      </c>
    </row>
    <row r="13822" spans="1:4" x14ac:dyDescent="0.3">
      <c r="A13822" s="34">
        <v>74921</v>
      </c>
      <c r="B13822" s="35">
        <v>1</v>
      </c>
      <c r="C13822" s="35">
        <v>0</v>
      </c>
      <c r="D13822" s="2">
        <f t="shared" si="215"/>
        <v>1</v>
      </c>
    </row>
    <row r="13823" spans="1:4" x14ac:dyDescent="0.3">
      <c r="A13823" s="34">
        <v>74922</v>
      </c>
      <c r="B13823" s="35">
        <v>1</v>
      </c>
      <c r="C13823" s="35">
        <v>0</v>
      </c>
      <c r="D13823" s="2">
        <f t="shared" si="215"/>
        <v>1</v>
      </c>
    </row>
    <row r="13824" spans="1:4" x14ac:dyDescent="0.3">
      <c r="A13824" s="34">
        <v>74923</v>
      </c>
      <c r="B13824" s="35">
        <v>1</v>
      </c>
      <c r="C13824" s="35">
        <v>1</v>
      </c>
      <c r="D13824" s="2">
        <f t="shared" si="215"/>
        <v>2</v>
      </c>
    </row>
    <row r="13825" spans="1:4" x14ac:dyDescent="0.3">
      <c r="A13825" s="34">
        <v>74924</v>
      </c>
      <c r="B13825" s="35">
        <v>1</v>
      </c>
      <c r="C13825" s="35">
        <v>0</v>
      </c>
      <c r="D13825" s="2">
        <f t="shared" si="215"/>
        <v>1</v>
      </c>
    </row>
    <row r="13826" spans="1:4" x14ac:dyDescent="0.3">
      <c r="A13826" s="34">
        <v>74925</v>
      </c>
      <c r="B13826" s="35">
        <v>1</v>
      </c>
      <c r="C13826" s="35">
        <v>0</v>
      </c>
      <c r="D13826" s="2">
        <f t="shared" si="215"/>
        <v>1</v>
      </c>
    </row>
    <row r="13827" spans="1:4" x14ac:dyDescent="0.3">
      <c r="A13827" s="34">
        <v>74926</v>
      </c>
      <c r="B13827" s="35">
        <v>1</v>
      </c>
      <c r="C13827" s="35">
        <v>1</v>
      </c>
      <c r="D13827" s="2">
        <f t="shared" ref="D13827:D13890" si="216">B13827+C13827</f>
        <v>2</v>
      </c>
    </row>
    <row r="13828" spans="1:4" x14ac:dyDescent="0.3">
      <c r="A13828" s="34">
        <v>74928</v>
      </c>
      <c r="B13828" s="35">
        <v>1</v>
      </c>
      <c r="C13828" s="35">
        <v>0</v>
      </c>
      <c r="D13828" s="2">
        <f t="shared" si="216"/>
        <v>1</v>
      </c>
    </row>
    <row r="13829" spans="1:4" x14ac:dyDescent="0.3">
      <c r="A13829" s="34">
        <v>74929</v>
      </c>
      <c r="B13829" s="35">
        <v>1</v>
      </c>
      <c r="C13829" s="35">
        <v>0</v>
      </c>
      <c r="D13829" s="2">
        <f t="shared" si="216"/>
        <v>1</v>
      </c>
    </row>
    <row r="13830" spans="1:4" x14ac:dyDescent="0.3">
      <c r="A13830" s="34">
        <v>74934</v>
      </c>
      <c r="B13830" s="35">
        <v>1</v>
      </c>
      <c r="C13830" s="35">
        <v>0</v>
      </c>
      <c r="D13830" s="2">
        <f t="shared" si="216"/>
        <v>1</v>
      </c>
    </row>
    <row r="13831" spans="1:4" x14ac:dyDescent="0.3">
      <c r="A13831" s="34">
        <v>74935</v>
      </c>
      <c r="B13831" s="35">
        <v>1</v>
      </c>
      <c r="C13831" s="35">
        <v>0</v>
      </c>
      <c r="D13831" s="2">
        <f t="shared" si="216"/>
        <v>1</v>
      </c>
    </row>
    <row r="13832" spans="1:4" x14ac:dyDescent="0.3">
      <c r="A13832" s="34">
        <v>74936</v>
      </c>
      <c r="B13832" s="35">
        <v>1</v>
      </c>
      <c r="C13832" s="35">
        <v>0</v>
      </c>
      <c r="D13832" s="2">
        <f t="shared" si="216"/>
        <v>1</v>
      </c>
    </row>
    <row r="13833" spans="1:4" x14ac:dyDescent="0.3">
      <c r="A13833" s="34">
        <v>74938</v>
      </c>
      <c r="B13833" s="35">
        <v>1</v>
      </c>
      <c r="C13833" s="35">
        <v>0</v>
      </c>
      <c r="D13833" s="2">
        <f t="shared" si="216"/>
        <v>1</v>
      </c>
    </row>
    <row r="13834" spans="1:4" x14ac:dyDescent="0.3">
      <c r="A13834" s="34">
        <v>74939</v>
      </c>
      <c r="B13834" s="35">
        <v>1</v>
      </c>
      <c r="C13834" s="35">
        <v>0</v>
      </c>
      <c r="D13834" s="2">
        <f t="shared" si="216"/>
        <v>1</v>
      </c>
    </row>
    <row r="13835" spans="1:4" x14ac:dyDescent="0.3">
      <c r="A13835" s="34">
        <v>74940</v>
      </c>
      <c r="B13835" s="35">
        <v>1</v>
      </c>
      <c r="C13835" s="35">
        <v>0</v>
      </c>
      <c r="D13835" s="2">
        <f t="shared" si="216"/>
        <v>1</v>
      </c>
    </row>
    <row r="13836" spans="1:4" x14ac:dyDescent="0.3">
      <c r="A13836" s="34">
        <v>74941</v>
      </c>
      <c r="B13836" s="35">
        <v>1</v>
      </c>
      <c r="C13836" s="35">
        <v>0</v>
      </c>
      <c r="D13836" s="2">
        <f t="shared" si="216"/>
        <v>1</v>
      </c>
    </row>
    <row r="13837" spans="1:4" x14ac:dyDescent="0.3">
      <c r="A13837" s="34">
        <v>74942</v>
      </c>
      <c r="B13837" s="35">
        <v>1</v>
      </c>
      <c r="C13837" s="35">
        <v>0</v>
      </c>
      <c r="D13837" s="2">
        <f t="shared" si="216"/>
        <v>1</v>
      </c>
    </row>
    <row r="13838" spans="1:4" x14ac:dyDescent="0.3">
      <c r="A13838" s="34">
        <v>74943</v>
      </c>
      <c r="B13838" s="35">
        <v>1</v>
      </c>
      <c r="C13838" s="35">
        <v>0</v>
      </c>
      <c r="D13838" s="2">
        <f t="shared" si="216"/>
        <v>1</v>
      </c>
    </row>
    <row r="13839" spans="1:4" x14ac:dyDescent="0.3">
      <c r="A13839" s="34">
        <v>74944</v>
      </c>
      <c r="B13839" s="35">
        <v>1</v>
      </c>
      <c r="C13839" s="35">
        <v>0</v>
      </c>
      <c r="D13839" s="2">
        <f t="shared" si="216"/>
        <v>1</v>
      </c>
    </row>
    <row r="13840" spans="1:4" x14ac:dyDescent="0.3">
      <c r="A13840" s="34">
        <v>74945</v>
      </c>
      <c r="B13840" s="35">
        <v>1</v>
      </c>
      <c r="C13840" s="35">
        <v>0</v>
      </c>
      <c r="D13840" s="2">
        <f t="shared" si="216"/>
        <v>1</v>
      </c>
    </row>
    <row r="13841" spans="1:4" x14ac:dyDescent="0.3">
      <c r="A13841" s="34">
        <v>74946</v>
      </c>
      <c r="B13841" s="35">
        <v>1</v>
      </c>
      <c r="C13841" s="35">
        <v>0</v>
      </c>
      <c r="D13841" s="2">
        <f t="shared" si="216"/>
        <v>1</v>
      </c>
    </row>
    <row r="13842" spans="1:4" x14ac:dyDescent="0.3">
      <c r="A13842" s="34">
        <v>74947</v>
      </c>
      <c r="B13842" s="35">
        <v>1</v>
      </c>
      <c r="C13842" s="35">
        <v>0</v>
      </c>
      <c r="D13842" s="2">
        <f t="shared" si="216"/>
        <v>1</v>
      </c>
    </row>
    <row r="13843" spans="1:4" x14ac:dyDescent="0.3">
      <c r="A13843" s="34">
        <v>74948</v>
      </c>
      <c r="B13843" s="35">
        <v>1</v>
      </c>
      <c r="C13843" s="35">
        <v>0</v>
      </c>
      <c r="D13843" s="2">
        <f t="shared" si="216"/>
        <v>1</v>
      </c>
    </row>
    <row r="13844" spans="1:4" x14ac:dyDescent="0.3">
      <c r="A13844" s="34">
        <v>74949</v>
      </c>
      <c r="B13844" s="35">
        <v>1</v>
      </c>
      <c r="C13844" s="35">
        <v>0</v>
      </c>
      <c r="D13844" s="2">
        <f t="shared" si="216"/>
        <v>1</v>
      </c>
    </row>
    <row r="13845" spans="1:4" x14ac:dyDescent="0.3">
      <c r="A13845" s="34">
        <v>74950</v>
      </c>
      <c r="B13845" s="35">
        <v>2</v>
      </c>
      <c r="C13845" s="35">
        <v>1</v>
      </c>
      <c r="D13845" s="2">
        <f t="shared" si="216"/>
        <v>3</v>
      </c>
    </row>
    <row r="13846" spans="1:4" x14ac:dyDescent="0.3">
      <c r="A13846" s="34">
        <v>74952</v>
      </c>
      <c r="B13846" s="35">
        <v>1</v>
      </c>
      <c r="C13846" s="35">
        <v>0</v>
      </c>
      <c r="D13846" s="2">
        <f t="shared" si="216"/>
        <v>1</v>
      </c>
    </row>
    <row r="13847" spans="1:4" x14ac:dyDescent="0.3">
      <c r="A13847" s="34">
        <v>74954</v>
      </c>
      <c r="B13847" s="35">
        <v>1</v>
      </c>
      <c r="C13847" s="35">
        <v>0</v>
      </c>
      <c r="D13847" s="2">
        <f t="shared" si="216"/>
        <v>1</v>
      </c>
    </row>
    <row r="13848" spans="1:4" x14ac:dyDescent="0.3">
      <c r="A13848" s="34">
        <v>74955</v>
      </c>
      <c r="B13848" s="35">
        <v>1</v>
      </c>
      <c r="C13848" s="35">
        <v>1</v>
      </c>
      <c r="D13848" s="2">
        <f t="shared" si="216"/>
        <v>2</v>
      </c>
    </row>
    <row r="13849" spans="1:4" x14ac:dyDescent="0.3">
      <c r="A13849" s="34">
        <v>74956</v>
      </c>
      <c r="B13849" s="35">
        <v>1</v>
      </c>
      <c r="C13849" s="35">
        <v>1</v>
      </c>
      <c r="D13849" s="2">
        <f t="shared" si="216"/>
        <v>2</v>
      </c>
    </row>
    <row r="13850" spans="1:4" x14ac:dyDescent="0.3">
      <c r="A13850" s="34">
        <v>74959</v>
      </c>
      <c r="B13850" s="35">
        <v>1</v>
      </c>
      <c r="C13850" s="35">
        <v>0</v>
      </c>
      <c r="D13850" s="2">
        <f t="shared" si="216"/>
        <v>1</v>
      </c>
    </row>
    <row r="13851" spans="1:4" x14ac:dyDescent="0.3">
      <c r="A13851" s="34">
        <v>74960</v>
      </c>
      <c r="B13851" s="35">
        <v>1</v>
      </c>
      <c r="C13851" s="35">
        <v>0</v>
      </c>
      <c r="D13851" s="2">
        <f t="shared" si="216"/>
        <v>1</v>
      </c>
    </row>
    <row r="13852" spans="1:4" x14ac:dyDescent="0.3">
      <c r="A13852" s="34">
        <v>74961</v>
      </c>
      <c r="B13852" s="35">
        <v>1</v>
      </c>
      <c r="C13852" s="35">
        <v>0</v>
      </c>
      <c r="D13852" s="2">
        <f t="shared" si="216"/>
        <v>1</v>
      </c>
    </row>
    <row r="13853" spans="1:4" x14ac:dyDescent="0.3">
      <c r="A13853" s="34">
        <v>74962</v>
      </c>
      <c r="B13853" s="35">
        <v>1</v>
      </c>
      <c r="C13853" s="35">
        <v>0</v>
      </c>
      <c r="D13853" s="2">
        <f t="shared" si="216"/>
        <v>1</v>
      </c>
    </row>
    <row r="13854" spans="1:4" x14ac:dyDescent="0.3">
      <c r="A13854" s="34">
        <v>74963</v>
      </c>
      <c r="B13854" s="35">
        <v>1</v>
      </c>
      <c r="C13854" s="35">
        <v>0</v>
      </c>
      <c r="D13854" s="2">
        <f t="shared" si="216"/>
        <v>1</v>
      </c>
    </row>
    <row r="13855" spans="1:4" x14ac:dyDescent="0.3">
      <c r="A13855" s="34">
        <v>74964</v>
      </c>
      <c r="B13855" s="35">
        <v>1</v>
      </c>
      <c r="C13855" s="35">
        <v>0</v>
      </c>
      <c r="D13855" s="2">
        <f t="shared" si="216"/>
        <v>1</v>
      </c>
    </row>
    <row r="13856" spans="1:4" x14ac:dyDescent="0.3">
      <c r="A13856" s="34">
        <v>74965</v>
      </c>
      <c r="B13856" s="35">
        <v>1</v>
      </c>
      <c r="C13856" s="35">
        <v>0</v>
      </c>
      <c r="D13856" s="2">
        <f t="shared" si="216"/>
        <v>1</v>
      </c>
    </row>
    <row r="13857" spans="1:4" x14ac:dyDescent="0.3">
      <c r="A13857" s="34">
        <v>74966</v>
      </c>
      <c r="B13857" s="35">
        <v>1</v>
      </c>
      <c r="C13857" s="35">
        <v>0</v>
      </c>
      <c r="D13857" s="2">
        <f t="shared" si="216"/>
        <v>1</v>
      </c>
    </row>
    <row r="13858" spans="1:4" x14ac:dyDescent="0.3">
      <c r="A13858" s="34">
        <v>74968</v>
      </c>
      <c r="B13858" s="35">
        <v>1</v>
      </c>
      <c r="C13858" s="35">
        <v>0</v>
      </c>
      <c r="D13858" s="2">
        <f t="shared" si="216"/>
        <v>1</v>
      </c>
    </row>
    <row r="13859" spans="1:4" x14ac:dyDescent="0.3">
      <c r="A13859" s="34">
        <v>74969</v>
      </c>
      <c r="B13859" s="35">
        <v>1</v>
      </c>
      <c r="C13859" s="35">
        <v>0</v>
      </c>
      <c r="D13859" s="2">
        <f t="shared" si="216"/>
        <v>1</v>
      </c>
    </row>
    <row r="13860" spans="1:4" x14ac:dyDescent="0.3">
      <c r="A13860" s="34">
        <v>74970</v>
      </c>
      <c r="B13860" s="35">
        <v>1</v>
      </c>
      <c r="C13860" s="35">
        <v>0</v>
      </c>
      <c r="D13860" s="2">
        <f t="shared" si="216"/>
        <v>1</v>
      </c>
    </row>
    <row r="13861" spans="1:4" x14ac:dyDescent="0.3">
      <c r="A13861" s="34">
        <v>74971</v>
      </c>
      <c r="B13861" s="35">
        <v>1</v>
      </c>
      <c r="C13861" s="35">
        <v>0</v>
      </c>
      <c r="D13861" s="2">
        <f t="shared" si="216"/>
        <v>1</v>
      </c>
    </row>
    <row r="13862" spans="1:4" x14ac:dyDescent="0.3">
      <c r="A13862" s="34">
        <v>74973</v>
      </c>
      <c r="B13862" s="35">
        <v>1</v>
      </c>
      <c r="C13862" s="35">
        <v>0</v>
      </c>
      <c r="D13862" s="2">
        <f t="shared" si="216"/>
        <v>1</v>
      </c>
    </row>
    <row r="13863" spans="1:4" x14ac:dyDescent="0.3">
      <c r="A13863" s="34">
        <v>74982</v>
      </c>
      <c r="B13863" s="35">
        <v>1</v>
      </c>
      <c r="C13863" s="35">
        <v>0</v>
      </c>
      <c r="D13863" s="2">
        <f t="shared" si="216"/>
        <v>1</v>
      </c>
    </row>
    <row r="13864" spans="1:4" x14ac:dyDescent="0.3">
      <c r="A13864" s="34">
        <v>75027</v>
      </c>
      <c r="B13864" s="35">
        <v>1</v>
      </c>
      <c r="C13864" s="35">
        <v>0</v>
      </c>
      <c r="D13864" s="2">
        <f t="shared" si="216"/>
        <v>1</v>
      </c>
    </row>
    <row r="13865" spans="1:4" x14ac:dyDescent="0.3">
      <c r="A13865" s="34">
        <v>75028</v>
      </c>
      <c r="B13865" s="35">
        <v>1</v>
      </c>
      <c r="C13865" s="35">
        <v>0</v>
      </c>
      <c r="D13865" s="2">
        <f t="shared" si="216"/>
        <v>1</v>
      </c>
    </row>
    <row r="13866" spans="1:4" x14ac:dyDescent="0.3">
      <c r="A13866" s="34">
        <v>75029</v>
      </c>
      <c r="B13866" s="35">
        <v>1</v>
      </c>
      <c r="C13866" s="35">
        <v>0</v>
      </c>
      <c r="D13866" s="2">
        <f t="shared" si="216"/>
        <v>1</v>
      </c>
    </row>
    <row r="13867" spans="1:4" x14ac:dyDescent="0.3">
      <c r="A13867" s="34">
        <v>75030</v>
      </c>
      <c r="B13867" s="35">
        <v>2</v>
      </c>
      <c r="C13867" s="35">
        <v>1</v>
      </c>
      <c r="D13867" s="2">
        <f t="shared" si="216"/>
        <v>3</v>
      </c>
    </row>
    <row r="13868" spans="1:4" x14ac:dyDescent="0.3">
      <c r="A13868" s="34">
        <v>75034</v>
      </c>
      <c r="B13868" s="35">
        <v>1</v>
      </c>
      <c r="C13868" s="35">
        <v>0</v>
      </c>
      <c r="D13868" s="2">
        <f t="shared" si="216"/>
        <v>1</v>
      </c>
    </row>
    <row r="13869" spans="1:4" x14ac:dyDescent="0.3">
      <c r="A13869" s="34">
        <v>75037</v>
      </c>
      <c r="B13869" s="35">
        <v>1</v>
      </c>
      <c r="C13869" s="35">
        <v>0</v>
      </c>
      <c r="D13869" s="2">
        <f t="shared" si="216"/>
        <v>1</v>
      </c>
    </row>
    <row r="13870" spans="1:4" x14ac:dyDescent="0.3">
      <c r="A13870" s="34">
        <v>75038</v>
      </c>
      <c r="B13870" s="35">
        <v>1</v>
      </c>
      <c r="C13870" s="35">
        <v>0</v>
      </c>
      <c r="D13870" s="2">
        <f t="shared" si="216"/>
        <v>1</v>
      </c>
    </row>
    <row r="13871" spans="1:4" x14ac:dyDescent="0.3">
      <c r="A13871" s="34">
        <v>75039</v>
      </c>
      <c r="B13871" s="35">
        <v>1</v>
      </c>
      <c r="C13871" s="35">
        <v>0</v>
      </c>
      <c r="D13871" s="2">
        <f t="shared" si="216"/>
        <v>1</v>
      </c>
    </row>
    <row r="13872" spans="1:4" x14ac:dyDescent="0.3">
      <c r="A13872" s="34">
        <v>75040</v>
      </c>
      <c r="B13872" s="35">
        <v>1</v>
      </c>
      <c r="C13872" s="35">
        <v>0</v>
      </c>
      <c r="D13872" s="2">
        <f t="shared" si="216"/>
        <v>1</v>
      </c>
    </row>
    <row r="13873" spans="1:4" x14ac:dyDescent="0.3">
      <c r="A13873" s="34">
        <v>75041</v>
      </c>
      <c r="B13873" s="35">
        <v>1</v>
      </c>
      <c r="C13873" s="35">
        <v>0</v>
      </c>
      <c r="D13873" s="2">
        <f t="shared" si="216"/>
        <v>1</v>
      </c>
    </row>
    <row r="13874" spans="1:4" x14ac:dyDescent="0.3">
      <c r="A13874" s="34">
        <v>75042</v>
      </c>
      <c r="B13874" s="35">
        <v>1</v>
      </c>
      <c r="C13874" s="35">
        <v>1</v>
      </c>
      <c r="D13874" s="2">
        <f t="shared" si="216"/>
        <v>2</v>
      </c>
    </row>
    <row r="13875" spans="1:4" x14ac:dyDescent="0.3">
      <c r="A13875" s="34">
        <v>75044</v>
      </c>
      <c r="B13875" s="35">
        <v>1</v>
      </c>
      <c r="C13875" s="35">
        <v>0</v>
      </c>
      <c r="D13875" s="2">
        <f t="shared" si="216"/>
        <v>1</v>
      </c>
    </row>
    <row r="13876" spans="1:4" x14ac:dyDescent="0.3">
      <c r="A13876" s="34">
        <v>75046</v>
      </c>
      <c r="B13876" s="35">
        <v>1</v>
      </c>
      <c r="C13876" s="35">
        <v>1</v>
      </c>
      <c r="D13876" s="2">
        <f t="shared" si="216"/>
        <v>2</v>
      </c>
    </row>
    <row r="13877" spans="1:4" x14ac:dyDescent="0.3">
      <c r="A13877" s="34">
        <v>75047</v>
      </c>
      <c r="B13877" s="35">
        <v>1</v>
      </c>
      <c r="C13877" s="35">
        <v>0</v>
      </c>
      <c r="D13877" s="2">
        <f t="shared" si="216"/>
        <v>1</v>
      </c>
    </row>
    <row r="13878" spans="1:4" x14ac:dyDescent="0.3">
      <c r="A13878" s="34">
        <v>75048</v>
      </c>
      <c r="B13878" s="35">
        <v>1</v>
      </c>
      <c r="C13878" s="35">
        <v>0</v>
      </c>
      <c r="D13878" s="2">
        <f t="shared" si="216"/>
        <v>1</v>
      </c>
    </row>
    <row r="13879" spans="1:4" x14ac:dyDescent="0.3">
      <c r="A13879" s="34">
        <v>75049</v>
      </c>
      <c r="B13879" s="35">
        <v>1</v>
      </c>
      <c r="C13879" s="35">
        <v>0</v>
      </c>
      <c r="D13879" s="2">
        <f t="shared" si="216"/>
        <v>1</v>
      </c>
    </row>
    <row r="13880" spans="1:4" x14ac:dyDescent="0.3">
      <c r="A13880" s="34">
        <v>75050</v>
      </c>
      <c r="B13880" s="35">
        <v>1</v>
      </c>
      <c r="C13880" s="35">
        <v>0</v>
      </c>
      <c r="D13880" s="2">
        <f t="shared" si="216"/>
        <v>1</v>
      </c>
    </row>
    <row r="13881" spans="1:4" x14ac:dyDescent="0.3">
      <c r="A13881" s="34">
        <v>75051</v>
      </c>
      <c r="B13881" s="35">
        <v>1</v>
      </c>
      <c r="C13881" s="35">
        <v>0</v>
      </c>
      <c r="D13881" s="2">
        <f t="shared" si="216"/>
        <v>1</v>
      </c>
    </row>
    <row r="13882" spans="1:4" x14ac:dyDescent="0.3">
      <c r="A13882" s="34">
        <v>75052</v>
      </c>
      <c r="B13882" s="35">
        <v>1</v>
      </c>
      <c r="C13882" s="35">
        <v>0</v>
      </c>
      <c r="D13882" s="2">
        <f t="shared" si="216"/>
        <v>1</v>
      </c>
    </row>
    <row r="13883" spans="1:4" x14ac:dyDescent="0.3">
      <c r="A13883" s="34">
        <v>75053</v>
      </c>
      <c r="B13883" s="35">
        <v>1</v>
      </c>
      <c r="C13883" s="35">
        <v>0</v>
      </c>
      <c r="D13883" s="2">
        <f t="shared" si="216"/>
        <v>1</v>
      </c>
    </row>
    <row r="13884" spans="1:4" x14ac:dyDescent="0.3">
      <c r="A13884" s="34">
        <v>75055</v>
      </c>
      <c r="B13884" s="35">
        <v>1</v>
      </c>
      <c r="C13884" s="35">
        <v>0</v>
      </c>
      <c r="D13884" s="2">
        <f t="shared" si="216"/>
        <v>1</v>
      </c>
    </row>
    <row r="13885" spans="1:4" x14ac:dyDescent="0.3">
      <c r="A13885" s="34">
        <v>75056</v>
      </c>
      <c r="B13885" s="35">
        <v>1</v>
      </c>
      <c r="C13885" s="35">
        <v>0</v>
      </c>
      <c r="D13885" s="2">
        <f t="shared" si="216"/>
        <v>1</v>
      </c>
    </row>
    <row r="13886" spans="1:4" x14ac:dyDescent="0.3">
      <c r="A13886" s="34">
        <v>75057</v>
      </c>
      <c r="B13886" s="35">
        <v>1</v>
      </c>
      <c r="C13886" s="35">
        <v>0</v>
      </c>
      <c r="D13886" s="2">
        <f t="shared" si="216"/>
        <v>1</v>
      </c>
    </row>
    <row r="13887" spans="1:4" x14ac:dyDescent="0.3">
      <c r="A13887" s="34">
        <v>75059</v>
      </c>
      <c r="B13887" s="35">
        <v>1</v>
      </c>
      <c r="C13887" s="35">
        <v>1</v>
      </c>
      <c r="D13887" s="2">
        <f t="shared" si="216"/>
        <v>2</v>
      </c>
    </row>
    <row r="13888" spans="1:4" x14ac:dyDescent="0.3">
      <c r="A13888" s="34">
        <v>75060</v>
      </c>
      <c r="B13888" s="35">
        <v>1</v>
      </c>
      <c r="C13888" s="35">
        <v>1</v>
      </c>
      <c r="D13888" s="2">
        <f t="shared" si="216"/>
        <v>2</v>
      </c>
    </row>
    <row r="13889" spans="1:4" x14ac:dyDescent="0.3">
      <c r="A13889" s="34">
        <v>75062</v>
      </c>
      <c r="B13889" s="35">
        <v>1</v>
      </c>
      <c r="C13889" s="35">
        <v>0</v>
      </c>
      <c r="D13889" s="2">
        <f t="shared" si="216"/>
        <v>1</v>
      </c>
    </row>
    <row r="13890" spans="1:4" x14ac:dyDescent="0.3">
      <c r="A13890" s="34">
        <v>75063</v>
      </c>
      <c r="B13890" s="35">
        <v>1</v>
      </c>
      <c r="C13890" s="35">
        <v>1</v>
      </c>
      <c r="D13890" s="2">
        <f t="shared" si="216"/>
        <v>2</v>
      </c>
    </row>
    <row r="13891" spans="1:4" x14ac:dyDescent="0.3">
      <c r="A13891" s="34">
        <v>75064</v>
      </c>
      <c r="B13891" s="35">
        <v>1</v>
      </c>
      <c r="C13891" s="35">
        <v>0</v>
      </c>
      <c r="D13891" s="2">
        <f t="shared" ref="D13891:D13954" si="217">B13891+C13891</f>
        <v>1</v>
      </c>
    </row>
    <row r="13892" spans="1:4" x14ac:dyDescent="0.3">
      <c r="A13892" s="34">
        <v>75065</v>
      </c>
      <c r="B13892" s="35">
        <v>1</v>
      </c>
      <c r="C13892" s="35">
        <v>0</v>
      </c>
      <c r="D13892" s="2">
        <f t="shared" si="217"/>
        <v>1</v>
      </c>
    </row>
    <row r="13893" spans="1:4" x14ac:dyDescent="0.3">
      <c r="A13893" s="34">
        <v>75067</v>
      </c>
      <c r="B13893" s="35">
        <v>1</v>
      </c>
      <c r="C13893" s="35">
        <v>0</v>
      </c>
      <c r="D13893" s="2">
        <f t="shared" si="217"/>
        <v>1</v>
      </c>
    </row>
    <row r="13894" spans="1:4" x14ac:dyDescent="0.3">
      <c r="A13894" s="34">
        <v>75068</v>
      </c>
      <c r="B13894" s="35">
        <v>1</v>
      </c>
      <c r="C13894" s="35">
        <v>0</v>
      </c>
      <c r="D13894" s="2">
        <f t="shared" si="217"/>
        <v>1</v>
      </c>
    </row>
    <row r="13895" spans="1:4" x14ac:dyDescent="0.3">
      <c r="A13895" s="34">
        <v>75070</v>
      </c>
      <c r="B13895" s="35">
        <v>1</v>
      </c>
      <c r="C13895" s="35">
        <v>1</v>
      </c>
      <c r="D13895" s="2">
        <f t="shared" si="217"/>
        <v>2</v>
      </c>
    </row>
    <row r="13896" spans="1:4" x14ac:dyDescent="0.3">
      <c r="A13896" s="34">
        <v>75073</v>
      </c>
      <c r="B13896" s="35">
        <v>1</v>
      </c>
      <c r="C13896" s="35">
        <v>0</v>
      </c>
      <c r="D13896" s="2">
        <f t="shared" si="217"/>
        <v>1</v>
      </c>
    </row>
    <row r="13897" spans="1:4" x14ac:dyDescent="0.3">
      <c r="A13897" s="34">
        <v>75075</v>
      </c>
      <c r="B13897" s="35">
        <v>1</v>
      </c>
      <c r="C13897" s="35">
        <v>0</v>
      </c>
      <c r="D13897" s="2">
        <f t="shared" si="217"/>
        <v>1</v>
      </c>
    </row>
    <row r="13898" spans="1:4" x14ac:dyDescent="0.3">
      <c r="A13898" s="34">
        <v>75076</v>
      </c>
      <c r="B13898" s="35">
        <v>1</v>
      </c>
      <c r="C13898" s="35">
        <v>1</v>
      </c>
      <c r="D13898" s="2">
        <f t="shared" si="217"/>
        <v>2</v>
      </c>
    </row>
    <row r="13899" spans="1:4" x14ac:dyDescent="0.3">
      <c r="A13899" s="34">
        <v>75078</v>
      </c>
      <c r="B13899" s="35">
        <v>1</v>
      </c>
      <c r="C13899" s="35">
        <v>0</v>
      </c>
      <c r="D13899" s="2">
        <f t="shared" si="217"/>
        <v>1</v>
      </c>
    </row>
    <row r="13900" spans="1:4" x14ac:dyDescent="0.3">
      <c r="A13900" s="34">
        <v>75079</v>
      </c>
      <c r="B13900" s="35">
        <v>1</v>
      </c>
      <c r="C13900" s="35">
        <v>1</v>
      </c>
      <c r="D13900" s="2">
        <f t="shared" si="217"/>
        <v>2</v>
      </c>
    </row>
    <row r="13901" spans="1:4" x14ac:dyDescent="0.3">
      <c r="A13901" s="34">
        <v>75080</v>
      </c>
      <c r="B13901" s="35">
        <v>1</v>
      </c>
      <c r="C13901" s="35">
        <v>0</v>
      </c>
      <c r="D13901" s="2">
        <f t="shared" si="217"/>
        <v>1</v>
      </c>
    </row>
    <row r="13902" spans="1:4" x14ac:dyDescent="0.3">
      <c r="A13902" s="34">
        <v>75082</v>
      </c>
      <c r="B13902" s="35">
        <v>1</v>
      </c>
      <c r="C13902" s="35">
        <v>0</v>
      </c>
      <c r="D13902" s="2">
        <f t="shared" si="217"/>
        <v>1</v>
      </c>
    </row>
    <row r="13903" spans="1:4" x14ac:dyDescent="0.3">
      <c r="A13903" s="34">
        <v>75084</v>
      </c>
      <c r="B13903" s="35">
        <v>1</v>
      </c>
      <c r="C13903" s="35">
        <v>0</v>
      </c>
      <c r="D13903" s="2">
        <f t="shared" si="217"/>
        <v>1</v>
      </c>
    </row>
    <row r="13904" spans="1:4" x14ac:dyDescent="0.3">
      <c r="A13904" s="34">
        <v>75085</v>
      </c>
      <c r="B13904" s="35">
        <v>1</v>
      </c>
      <c r="C13904" s="35">
        <v>0</v>
      </c>
      <c r="D13904" s="2">
        <f t="shared" si="217"/>
        <v>1</v>
      </c>
    </row>
    <row r="13905" spans="1:4" x14ac:dyDescent="0.3">
      <c r="A13905" s="34">
        <v>75088</v>
      </c>
      <c r="B13905" s="35">
        <v>1</v>
      </c>
      <c r="C13905" s="35">
        <v>0</v>
      </c>
      <c r="D13905" s="2">
        <f t="shared" si="217"/>
        <v>1</v>
      </c>
    </row>
    <row r="13906" spans="1:4" x14ac:dyDescent="0.3">
      <c r="A13906" s="34">
        <v>75090</v>
      </c>
      <c r="B13906" s="35">
        <v>1</v>
      </c>
      <c r="C13906" s="35">
        <v>0</v>
      </c>
      <c r="D13906" s="2">
        <f t="shared" si="217"/>
        <v>1</v>
      </c>
    </row>
    <row r="13907" spans="1:4" x14ac:dyDescent="0.3">
      <c r="A13907" s="34">
        <v>75091</v>
      </c>
      <c r="B13907" s="35">
        <v>1</v>
      </c>
      <c r="C13907" s="35">
        <v>0</v>
      </c>
      <c r="D13907" s="2">
        <f t="shared" si="217"/>
        <v>1</v>
      </c>
    </row>
    <row r="13908" spans="1:4" x14ac:dyDescent="0.3">
      <c r="A13908" s="34">
        <v>75092</v>
      </c>
      <c r="B13908" s="35">
        <v>1</v>
      </c>
      <c r="C13908" s="35">
        <v>1</v>
      </c>
      <c r="D13908" s="2">
        <f t="shared" si="217"/>
        <v>2</v>
      </c>
    </row>
    <row r="13909" spans="1:4" x14ac:dyDescent="0.3">
      <c r="A13909" s="34">
        <v>75094</v>
      </c>
      <c r="B13909" s="35">
        <v>1</v>
      </c>
      <c r="C13909" s="35">
        <v>0</v>
      </c>
      <c r="D13909" s="2">
        <f t="shared" si="217"/>
        <v>1</v>
      </c>
    </row>
    <row r="13910" spans="1:4" x14ac:dyDescent="0.3">
      <c r="A13910" s="34">
        <v>75096</v>
      </c>
      <c r="B13910" s="35">
        <v>1</v>
      </c>
      <c r="C13910" s="35">
        <v>0</v>
      </c>
      <c r="D13910" s="2">
        <f t="shared" si="217"/>
        <v>1</v>
      </c>
    </row>
    <row r="13911" spans="1:4" x14ac:dyDescent="0.3">
      <c r="A13911" s="34">
        <v>75097</v>
      </c>
      <c r="B13911" s="35">
        <v>1</v>
      </c>
      <c r="C13911" s="35">
        <v>0</v>
      </c>
      <c r="D13911" s="2">
        <f t="shared" si="217"/>
        <v>1</v>
      </c>
    </row>
    <row r="13912" spans="1:4" x14ac:dyDescent="0.3">
      <c r="A13912" s="34">
        <v>75098</v>
      </c>
      <c r="B13912" s="35">
        <v>1</v>
      </c>
      <c r="C13912" s="35">
        <v>0</v>
      </c>
      <c r="D13912" s="2">
        <f t="shared" si="217"/>
        <v>1</v>
      </c>
    </row>
    <row r="13913" spans="1:4" x14ac:dyDescent="0.3">
      <c r="A13913" s="34">
        <v>75101</v>
      </c>
      <c r="B13913" s="35">
        <v>2</v>
      </c>
      <c r="C13913" s="35">
        <v>0</v>
      </c>
      <c r="D13913" s="2">
        <f t="shared" si="217"/>
        <v>2</v>
      </c>
    </row>
    <row r="13914" spans="1:4" x14ac:dyDescent="0.3">
      <c r="A13914" s="34">
        <v>75102</v>
      </c>
      <c r="B13914" s="35">
        <v>1</v>
      </c>
      <c r="C13914" s="35">
        <v>0</v>
      </c>
      <c r="D13914" s="2">
        <f t="shared" si="217"/>
        <v>1</v>
      </c>
    </row>
    <row r="13915" spans="1:4" x14ac:dyDescent="0.3">
      <c r="A13915" s="34">
        <v>75104</v>
      </c>
      <c r="B13915" s="35">
        <v>1</v>
      </c>
      <c r="C13915" s="35">
        <v>0</v>
      </c>
      <c r="D13915" s="2">
        <f t="shared" si="217"/>
        <v>1</v>
      </c>
    </row>
    <row r="13916" spans="1:4" x14ac:dyDescent="0.3">
      <c r="A13916" s="34">
        <v>75106</v>
      </c>
      <c r="B13916" s="35">
        <v>2</v>
      </c>
      <c r="C13916" s="35">
        <v>1</v>
      </c>
      <c r="D13916" s="2">
        <f t="shared" si="217"/>
        <v>3</v>
      </c>
    </row>
    <row r="13917" spans="1:4" x14ac:dyDescent="0.3">
      <c r="A13917" s="34">
        <v>75109</v>
      </c>
      <c r="B13917" s="35">
        <v>1</v>
      </c>
      <c r="C13917" s="35">
        <v>0</v>
      </c>
      <c r="D13917" s="2">
        <f t="shared" si="217"/>
        <v>1</v>
      </c>
    </row>
    <row r="13918" spans="1:4" x14ac:dyDescent="0.3">
      <c r="A13918" s="34">
        <v>75110</v>
      </c>
      <c r="B13918" s="35">
        <v>1</v>
      </c>
      <c r="C13918" s="35">
        <v>1</v>
      </c>
      <c r="D13918" s="2">
        <f t="shared" si="217"/>
        <v>2</v>
      </c>
    </row>
    <row r="13919" spans="1:4" x14ac:dyDescent="0.3">
      <c r="A13919" s="34">
        <v>75112</v>
      </c>
      <c r="B13919" s="35">
        <v>1</v>
      </c>
      <c r="C13919" s="35">
        <v>0</v>
      </c>
      <c r="D13919" s="2">
        <f t="shared" si="217"/>
        <v>1</v>
      </c>
    </row>
    <row r="13920" spans="1:4" x14ac:dyDescent="0.3">
      <c r="A13920" s="34">
        <v>75113</v>
      </c>
      <c r="B13920" s="35">
        <v>1</v>
      </c>
      <c r="C13920" s="35">
        <v>0</v>
      </c>
      <c r="D13920" s="2">
        <f t="shared" si="217"/>
        <v>1</v>
      </c>
    </row>
    <row r="13921" spans="1:4" x14ac:dyDescent="0.3">
      <c r="A13921" s="34">
        <v>75114</v>
      </c>
      <c r="B13921" s="35">
        <v>1</v>
      </c>
      <c r="C13921" s="35">
        <v>0</v>
      </c>
      <c r="D13921" s="2">
        <f t="shared" si="217"/>
        <v>1</v>
      </c>
    </row>
    <row r="13922" spans="1:4" x14ac:dyDescent="0.3">
      <c r="A13922" s="34">
        <v>75115</v>
      </c>
      <c r="B13922" s="35">
        <v>1</v>
      </c>
      <c r="C13922" s="35">
        <v>0</v>
      </c>
      <c r="D13922" s="2">
        <f t="shared" si="217"/>
        <v>1</v>
      </c>
    </row>
    <row r="13923" spans="1:4" x14ac:dyDescent="0.3">
      <c r="A13923" s="34">
        <v>75116</v>
      </c>
      <c r="B13923" s="35">
        <v>1</v>
      </c>
      <c r="C13923" s="35">
        <v>1</v>
      </c>
      <c r="D13923" s="2">
        <f t="shared" si="217"/>
        <v>2</v>
      </c>
    </row>
    <row r="13924" spans="1:4" x14ac:dyDescent="0.3">
      <c r="A13924" s="34">
        <v>75119</v>
      </c>
      <c r="B13924" s="35">
        <v>1</v>
      </c>
      <c r="C13924" s="35">
        <v>0</v>
      </c>
      <c r="D13924" s="2">
        <f t="shared" si="217"/>
        <v>1</v>
      </c>
    </row>
    <row r="13925" spans="1:4" x14ac:dyDescent="0.3">
      <c r="A13925" s="34">
        <v>75120</v>
      </c>
      <c r="B13925" s="35">
        <v>1</v>
      </c>
      <c r="C13925" s="35">
        <v>0</v>
      </c>
      <c r="D13925" s="2">
        <f t="shared" si="217"/>
        <v>1</v>
      </c>
    </row>
    <row r="13926" spans="1:4" x14ac:dyDescent="0.3">
      <c r="A13926" s="34">
        <v>75121</v>
      </c>
      <c r="B13926" s="35">
        <v>1</v>
      </c>
      <c r="C13926" s="35">
        <v>0</v>
      </c>
      <c r="D13926" s="2">
        <f t="shared" si="217"/>
        <v>1</v>
      </c>
    </row>
    <row r="13927" spans="1:4" x14ac:dyDescent="0.3">
      <c r="A13927" s="34">
        <v>75122</v>
      </c>
      <c r="B13927" s="35">
        <v>1</v>
      </c>
      <c r="C13927" s="35">
        <v>0</v>
      </c>
      <c r="D13927" s="2">
        <f t="shared" si="217"/>
        <v>1</v>
      </c>
    </row>
    <row r="13928" spans="1:4" x14ac:dyDescent="0.3">
      <c r="A13928" s="34">
        <v>75123</v>
      </c>
      <c r="B13928" s="35">
        <v>1</v>
      </c>
      <c r="C13928" s="35">
        <v>0</v>
      </c>
      <c r="D13928" s="2">
        <f t="shared" si="217"/>
        <v>1</v>
      </c>
    </row>
    <row r="13929" spans="1:4" x14ac:dyDescent="0.3">
      <c r="A13929" s="34">
        <v>75124</v>
      </c>
      <c r="B13929" s="35">
        <v>1</v>
      </c>
      <c r="C13929" s="35">
        <v>0</v>
      </c>
      <c r="D13929" s="2">
        <f t="shared" si="217"/>
        <v>1</v>
      </c>
    </row>
    <row r="13930" spans="1:4" x14ac:dyDescent="0.3">
      <c r="A13930" s="34">
        <v>75125</v>
      </c>
      <c r="B13930" s="35">
        <v>1</v>
      </c>
      <c r="C13930" s="35">
        <v>1</v>
      </c>
      <c r="D13930" s="2">
        <f t="shared" si="217"/>
        <v>2</v>
      </c>
    </row>
    <row r="13931" spans="1:4" x14ac:dyDescent="0.3">
      <c r="A13931" s="34">
        <v>75126</v>
      </c>
      <c r="B13931" s="35">
        <v>1</v>
      </c>
      <c r="C13931" s="35">
        <v>0</v>
      </c>
      <c r="D13931" s="2">
        <f t="shared" si="217"/>
        <v>1</v>
      </c>
    </row>
    <row r="13932" spans="1:4" x14ac:dyDescent="0.3">
      <c r="A13932" s="34">
        <v>75127</v>
      </c>
      <c r="B13932" s="35">
        <v>1</v>
      </c>
      <c r="C13932" s="35">
        <v>0</v>
      </c>
      <c r="D13932" s="2">
        <f t="shared" si="217"/>
        <v>1</v>
      </c>
    </row>
    <row r="13933" spans="1:4" x14ac:dyDescent="0.3">
      <c r="A13933" s="34">
        <v>75130</v>
      </c>
      <c r="B13933" s="35">
        <v>1</v>
      </c>
      <c r="C13933" s="35">
        <v>0</v>
      </c>
      <c r="D13933" s="2">
        <f t="shared" si="217"/>
        <v>1</v>
      </c>
    </row>
    <row r="13934" spans="1:4" x14ac:dyDescent="0.3">
      <c r="A13934" s="34">
        <v>75131</v>
      </c>
      <c r="B13934" s="35">
        <v>1</v>
      </c>
      <c r="C13934" s="35">
        <v>0</v>
      </c>
      <c r="D13934" s="2">
        <f t="shared" si="217"/>
        <v>1</v>
      </c>
    </row>
    <row r="13935" spans="1:4" x14ac:dyDescent="0.3">
      <c r="A13935" s="34">
        <v>75132</v>
      </c>
      <c r="B13935" s="35">
        <v>1</v>
      </c>
      <c r="C13935" s="35">
        <v>0</v>
      </c>
      <c r="D13935" s="2">
        <f t="shared" si="217"/>
        <v>1</v>
      </c>
    </row>
    <row r="13936" spans="1:4" x14ac:dyDescent="0.3">
      <c r="A13936" s="34">
        <v>75134</v>
      </c>
      <c r="B13936" s="35">
        <v>1</v>
      </c>
      <c r="C13936" s="35">
        <v>0</v>
      </c>
      <c r="D13936" s="2">
        <f t="shared" si="217"/>
        <v>1</v>
      </c>
    </row>
    <row r="13937" spans="1:4" x14ac:dyDescent="0.3">
      <c r="A13937" s="34">
        <v>75135</v>
      </c>
      <c r="B13937" s="35">
        <v>1</v>
      </c>
      <c r="C13937" s="35">
        <v>0</v>
      </c>
      <c r="D13937" s="2">
        <f t="shared" si="217"/>
        <v>1</v>
      </c>
    </row>
    <row r="13938" spans="1:4" x14ac:dyDescent="0.3">
      <c r="A13938" s="34">
        <v>75136</v>
      </c>
      <c r="B13938" s="35">
        <v>1</v>
      </c>
      <c r="C13938" s="35">
        <v>0</v>
      </c>
      <c r="D13938" s="2">
        <f t="shared" si="217"/>
        <v>1</v>
      </c>
    </row>
    <row r="13939" spans="1:4" x14ac:dyDescent="0.3">
      <c r="A13939" s="34">
        <v>75137</v>
      </c>
      <c r="B13939" s="35">
        <v>1</v>
      </c>
      <c r="C13939" s="35">
        <v>1</v>
      </c>
      <c r="D13939" s="2">
        <f t="shared" si="217"/>
        <v>2</v>
      </c>
    </row>
    <row r="13940" spans="1:4" x14ac:dyDescent="0.3">
      <c r="A13940" s="34">
        <v>75138</v>
      </c>
      <c r="B13940" s="35">
        <v>1</v>
      </c>
      <c r="C13940" s="35">
        <v>0</v>
      </c>
      <c r="D13940" s="2">
        <f t="shared" si="217"/>
        <v>1</v>
      </c>
    </row>
    <row r="13941" spans="1:4" x14ac:dyDescent="0.3">
      <c r="A13941" s="34">
        <v>75140</v>
      </c>
      <c r="B13941" s="35">
        <v>1</v>
      </c>
      <c r="C13941" s="35">
        <v>0</v>
      </c>
      <c r="D13941" s="2">
        <f t="shared" si="217"/>
        <v>1</v>
      </c>
    </row>
    <row r="13942" spans="1:4" x14ac:dyDescent="0.3">
      <c r="A13942" s="34">
        <v>75142</v>
      </c>
      <c r="B13942" s="35">
        <v>1</v>
      </c>
      <c r="C13942" s="35">
        <v>0</v>
      </c>
      <c r="D13942" s="2">
        <f t="shared" si="217"/>
        <v>1</v>
      </c>
    </row>
    <row r="13943" spans="1:4" x14ac:dyDescent="0.3">
      <c r="A13943" s="34">
        <v>75143</v>
      </c>
      <c r="B13943" s="35">
        <v>1</v>
      </c>
      <c r="C13943" s="35">
        <v>0</v>
      </c>
      <c r="D13943" s="2">
        <f t="shared" si="217"/>
        <v>1</v>
      </c>
    </row>
    <row r="13944" spans="1:4" x14ac:dyDescent="0.3">
      <c r="A13944" s="34">
        <v>75145</v>
      </c>
      <c r="B13944" s="35">
        <v>1</v>
      </c>
      <c r="C13944" s="35">
        <v>0</v>
      </c>
      <c r="D13944" s="2">
        <f t="shared" si="217"/>
        <v>1</v>
      </c>
    </row>
    <row r="13945" spans="1:4" x14ac:dyDescent="0.3">
      <c r="A13945" s="34">
        <v>75147</v>
      </c>
      <c r="B13945" s="35">
        <v>1</v>
      </c>
      <c r="C13945" s="35">
        <v>0</v>
      </c>
      <c r="D13945" s="2">
        <f t="shared" si="217"/>
        <v>1</v>
      </c>
    </row>
    <row r="13946" spans="1:4" x14ac:dyDescent="0.3">
      <c r="A13946" s="34">
        <v>75149</v>
      </c>
      <c r="B13946" s="35">
        <v>1</v>
      </c>
      <c r="C13946" s="35">
        <v>0</v>
      </c>
      <c r="D13946" s="2">
        <f t="shared" si="217"/>
        <v>1</v>
      </c>
    </row>
    <row r="13947" spans="1:4" x14ac:dyDescent="0.3">
      <c r="A13947" s="34">
        <v>75150</v>
      </c>
      <c r="B13947" s="35">
        <v>1</v>
      </c>
      <c r="C13947" s="35">
        <v>0</v>
      </c>
      <c r="D13947" s="2">
        <f t="shared" si="217"/>
        <v>1</v>
      </c>
    </row>
    <row r="13948" spans="1:4" x14ac:dyDescent="0.3">
      <c r="A13948" s="34">
        <v>75152</v>
      </c>
      <c r="B13948" s="35">
        <v>1</v>
      </c>
      <c r="C13948" s="35">
        <v>0</v>
      </c>
      <c r="D13948" s="2">
        <f t="shared" si="217"/>
        <v>1</v>
      </c>
    </row>
    <row r="13949" spans="1:4" x14ac:dyDescent="0.3">
      <c r="A13949" s="34">
        <v>75154</v>
      </c>
      <c r="B13949" s="35">
        <v>1</v>
      </c>
      <c r="C13949" s="35">
        <v>0</v>
      </c>
      <c r="D13949" s="2">
        <f t="shared" si="217"/>
        <v>1</v>
      </c>
    </row>
    <row r="13950" spans="1:4" x14ac:dyDescent="0.3">
      <c r="A13950" s="34">
        <v>75181</v>
      </c>
      <c r="B13950" s="35">
        <v>1</v>
      </c>
      <c r="C13950" s="35">
        <v>0</v>
      </c>
      <c r="D13950" s="2">
        <f t="shared" si="217"/>
        <v>1</v>
      </c>
    </row>
    <row r="13951" spans="1:4" x14ac:dyDescent="0.3">
      <c r="A13951" s="34">
        <v>75182</v>
      </c>
      <c r="B13951" s="35">
        <v>1</v>
      </c>
      <c r="C13951" s="35">
        <v>0</v>
      </c>
      <c r="D13951" s="2">
        <f t="shared" si="217"/>
        <v>1</v>
      </c>
    </row>
    <row r="13952" spans="1:4" x14ac:dyDescent="0.3">
      <c r="A13952" s="34">
        <v>75183</v>
      </c>
      <c r="B13952" s="35">
        <v>1</v>
      </c>
      <c r="C13952" s="35">
        <v>0</v>
      </c>
      <c r="D13952" s="2">
        <f t="shared" si="217"/>
        <v>1</v>
      </c>
    </row>
    <row r="13953" spans="1:4" x14ac:dyDescent="0.3">
      <c r="A13953" s="34">
        <v>75184</v>
      </c>
      <c r="B13953" s="35">
        <v>1</v>
      </c>
      <c r="C13953" s="35">
        <v>1</v>
      </c>
      <c r="D13953" s="2">
        <f t="shared" si="217"/>
        <v>2</v>
      </c>
    </row>
    <row r="13954" spans="1:4" x14ac:dyDescent="0.3">
      <c r="A13954" s="34">
        <v>75185</v>
      </c>
      <c r="B13954" s="35">
        <v>1</v>
      </c>
      <c r="C13954" s="35">
        <v>0</v>
      </c>
      <c r="D13954" s="2">
        <f t="shared" si="217"/>
        <v>1</v>
      </c>
    </row>
    <row r="13955" spans="1:4" x14ac:dyDescent="0.3">
      <c r="A13955" s="34">
        <v>75187</v>
      </c>
      <c r="B13955" s="35">
        <v>1</v>
      </c>
      <c r="C13955" s="35">
        <v>0</v>
      </c>
      <c r="D13955" s="2">
        <f t="shared" ref="D13955:D14018" si="218">B13955+C13955</f>
        <v>1</v>
      </c>
    </row>
    <row r="13956" spans="1:4" x14ac:dyDescent="0.3">
      <c r="A13956" s="34">
        <v>75190</v>
      </c>
      <c r="B13956" s="35">
        <v>1</v>
      </c>
      <c r="C13956" s="35">
        <v>0</v>
      </c>
      <c r="D13956" s="2">
        <f t="shared" si="218"/>
        <v>1</v>
      </c>
    </row>
    <row r="13957" spans="1:4" x14ac:dyDescent="0.3">
      <c r="A13957" s="34">
        <v>75192</v>
      </c>
      <c r="B13957" s="35">
        <v>1</v>
      </c>
      <c r="C13957" s="35">
        <v>0</v>
      </c>
      <c r="D13957" s="2">
        <f t="shared" si="218"/>
        <v>1</v>
      </c>
    </row>
    <row r="13958" spans="1:4" x14ac:dyDescent="0.3">
      <c r="A13958" s="34">
        <v>75193</v>
      </c>
      <c r="B13958" s="35">
        <v>1</v>
      </c>
      <c r="C13958" s="35">
        <v>0</v>
      </c>
      <c r="D13958" s="2">
        <f t="shared" si="218"/>
        <v>1</v>
      </c>
    </row>
    <row r="13959" spans="1:4" x14ac:dyDescent="0.3">
      <c r="A13959" s="34">
        <v>75194</v>
      </c>
      <c r="B13959" s="35">
        <v>1</v>
      </c>
      <c r="C13959" s="35">
        <v>0</v>
      </c>
      <c r="D13959" s="2">
        <f t="shared" si="218"/>
        <v>1</v>
      </c>
    </row>
    <row r="13960" spans="1:4" x14ac:dyDescent="0.3">
      <c r="A13960" s="34">
        <v>75195</v>
      </c>
      <c r="B13960" s="35">
        <v>1</v>
      </c>
      <c r="C13960" s="35">
        <v>0</v>
      </c>
      <c r="D13960" s="2">
        <f t="shared" si="218"/>
        <v>1</v>
      </c>
    </row>
    <row r="13961" spans="1:4" x14ac:dyDescent="0.3">
      <c r="A13961" s="34">
        <v>75196</v>
      </c>
      <c r="B13961" s="35">
        <v>1</v>
      </c>
      <c r="C13961" s="35">
        <v>0</v>
      </c>
      <c r="D13961" s="2">
        <f t="shared" si="218"/>
        <v>1</v>
      </c>
    </row>
    <row r="13962" spans="1:4" x14ac:dyDescent="0.3">
      <c r="A13962" s="34">
        <v>75197</v>
      </c>
      <c r="B13962" s="35">
        <v>1</v>
      </c>
      <c r="C13962" s="35">
        <v>0</v>
      </c>
      <c r="D13962" s="2">
        <f t="shared" si="218"/>
        <v>1</v>
      </c>
    </row>
    <row r="13963" spans="1:4" x14ac:dyDescent="0.3">
      <c r="A13963" s="34">
        <v>75200</v>
      </c>
      <c r="B13963" s="35">
        <v>1</v>
      </c>
      <c r="C13963" s="35">
        <v>0</v>
      </c>
      <c r="D13963" s="2">
        <f t="shared" si="218"/>
        <v>1</v>
      </c>
    </row>
    <row r="13964" spans="1:4" x14ac:dyDescent="0.3">
      <c r="A13964" s="34">
        <v>75201</v>
      </c>
      <c r="B13964" s="35">
        <v>1</v>
      </c>
      <c r="C13964" s="35">
        <v>0</v>
      </c>
      <c r="D13964" s="2">
        <f t="shared" si="218"/>
        <v>1</v>
      </c>
    </row>
    <row r="13965" spans="1:4" x14ac:dyDescent="0.3">
      <c r="A13965" s="34">
        <v>75202</v>
      </c>
      <c r="B13965" s="35">
        <v>1</v>
      </c>
      <c r="C13965" s="35">
        <v>0</v>
      </c>
      <c r="D13965" s="2">
        <f t="shared" si="218"/>
        <v>1</v>
      </c>
    </row>
    <row r="13966" spans="1:4" x14ac:dyDescent="0.3">
      <c r="A13966" s="34">
        <v>75207</v>
      </c>
      <c r="B13966" s="35">
        <v>1</v>
      </c>
      <c r="C13966" s="35">
        <v>0</v>
      </c>
      <c r="D13966" s="2">
        <f t="shared" si="218"/>
        <v>1</v>
      </c>
    </row>
    <row r="13967" spans="1:4" x14ac:dyDescent="0.3">
      <c r="A13967" s="34">
        <v>75208</v>
      </c>
      <c r="B13967" s="35">
        <v>1</v>
      </c>
      <c r="C13967" s="35">
        <v>0</v>
      </c>
      <c r="D13967" s="2">
        <f t="shared" si="218"/>
        <v>1</v>
      </c>
    </row>
    <row r="13968" spans="1:4" x14ac:dyDescent="0.3">
      <c r="A13968" s="34">
        <v>75244</v>
      </c>
      <c r="B13968" s="35">
        <v>1</v>
      </c>
      <c r="C13968" s="35">
        <v>0</v>
      </c>
      <c r="D13968" s="2">
        <f t="shared" si="218"/>
        <v>1</v>
      </c>
    </row>
    <row r="13969" spans="1:4" x14ac:dyDescent="0.3">
      <c r="A13969" s="34">
        <v>75247</v>
      </c>
      <c r="B13969" s="35">
        <v>1</v>
      </c>
      <c r="C13969" s="35">
        <v>0</v>
      </c>
      <c r="D13969" s="2">
        <f t="shared" si="218"/>
        <v>1</v>
      </c>
    </row>
    <row r="13970" spans="1:4" x14ac:dyDescent="0.3">
      <c r="A13970" s="34">
        <v>75250</v>
      </c>
      <c r="B13970" s="35">
        <v>1</v>
      </c>
      <c r="C13970" s="35">
        <v>0</v>
      </c>
      <c r="D13970" s="2">
        <f t="shared" si="218"/>
        <v>1</v>
      </c>
    </row>
    <row r="13971" spans="1:4" x14ac:dyDescent="0.3">
      <c r="A13971" s="34">
        <v>75252</v>
      </c>
      <c r="B13971" s="35">
        <v>1</v>
      </c>
      <c r="C13971" s="35">
        <v>0</v>
      </c>
      <c r="D13971" s="2">
        <f t="shared" si="218"/>
        <v>1</v>
      </c>
    </row>
    <row r="13972" spans="1:4" x14ac:dyDescent="0.3">
      <c r="A13972" s="34">
        <v>75253</v>
      </c>
      <c r="B13972" s="35">
        <v>1</v>
      </c>
      <c r="C13972" s="35">
        <v>0</v>
      </c>
      <c r="D13972" s="2">
        <f t="shared" si="218"/>
        <v>1</v>
      </c>
    </row>
    <row r="13973" spans="1:4" x14ac:dyDescent="0.3">
      <c r="A13973" s="34">
        <v>75254</v>
      </c>
      <c r="B13973" s="35">
        <v>1</v>
      </c>
      <c r="C13973" s="35">
        <v>0</v>
      </c>
      <c r="D13973" s="2">
        <f t="shared" si="218"/>
        <v>1</v>
      </c>
    </row>
    <row r="13974" spans="1:4" x14ac:dyDescent="0.3">
      <c r="A13974" s="34">
        <v>75255</v>
      </c>
      <c r="B13974" s="35">
        <v>1</v>
      </c>
      <c r="C13974" s="35">
        <v>0</v>
      </c>
      <c r="D13974" s="2">
        <f t="shared" si="218"/>
        <v>1</v>
      </c>
    </row>
    <row r="13975" spans="1:4" x14ac:dyDescent="0.3">
      <c r="A13975" s="34">
        <v>75257</v>
      </c>
      <c r="B13975" s="35">
        <v>1</v>
      </c>
      <c r="C13975" s="35">
        <v>0</v>
      </c>
      <c r="D13975" s="2">
        <f t="shared" si="218"/>
        <v>1</v>
      </c>
    </row>
    <row r="13976" spans="1:4" x14ac:dyDescent="0.3">
      <c r="A13976" s="34">
        <v>75258</v>
      </c>
      <c r="B13976" s="35">
        <v>1</v>
      </c>
      <c r="C13976" s="35">
        <v>0</v>
      </c>
      <c r="D13976" s="2">
        <f t="shared" si="218"/>
        <v>1</v>
      </c>
    </row>
    <row r="13977" spans="1:4" x14ac:dyDescent="0.3">
      <c r="A13977" s="34">
        <v>75259</v>
      </c>
      <c r="B13977" s="35">
        <v>1</v>
      </c>
      <c r="C13977" s="35">
        <v>0</v>
      </c>
      <c r="D13977" s="2">
        <f t="shared" si="218"/>
        <v>1</v>
      </c>
    </row>
    <row r="13978" spans="1:4" x14ac:dyDescent="0.3">
      <c r="A13978" s="34">
        <v>75260</v>
      </c>
      <c r="B13978" s="35">
        <v>1</v>
      </c>
      <c r="C13978" s="35">
        <v>0</v>
      </c>
      <c r="D13978" s="2">
        <f t="shared" si="218"/>
        <v>1</v>
      </c>
    </row>
    <row r="13979" spans="1:4" x14ac:dyDescent="0.3">
      <c r="A13979" s="34">
        <v>75261</v>
      </c>
      <c r="B13979" s="35">
        <v>1</v>
      </c>
      <c r="C13979" s="35">
        <v>0</v>
      </c>
      <c r="D13979" s="2">
        <f t="shared" si="218"/>
        <v>1</v>
      </c>
    </row>
    <row r="13980" spans="1:4" x14ac:dyDescent="0.3">
      <c r="A13980" s="34">
        <v>75262</v>
      </c>
      <c r="B13980" s="35">
        <v>1</v>
      </c>
      <c r="C13980" s="35">
        <v>0</v>
      </c>
      <c r="D13980" s="2">
        <f t="shared" si="218"/>
        <v>1</v>
      </c>
    </row>
    <row r="13981" spans="1:4" x14ac:dyDescent="0.3">
      <c r="A13981" s="34">
        <v>75263</v>
      </c>
      <c r="B13981" s="35">
        <v>1</v>
      </c>
      <c r="C13981" s="35">
        <v>1</v>
      </c>
      <c r="D13981" s="2">
        <f t="shared" si="218"/>
        <v>2</v>
      </c>
    </row>
    <row r="13982" spans="1:4" x14ac:dyDescent="0.3">
      <c r="A13982" s="34">
        <v>75266</v>
      </c>
      <c r="B13982" s="35">
        <v>1</v>
      </c>
      <c r="C13982" s="35">
        <v>0</v>
      </c>
      <c r="D13982" s="2">
        <f t="shared" si="218"/>
        <v>1</v>
      </c>
    </row>
    <row r="13983" spans="1:4" x14ac:dyDescent="0.3">
      <c r="A13983" s="34">
        <v>75267</v>
      </c>
      <c r="B13983" s="35">
        <v>1</v>
      </c>
      <c r="C13983" s="35">
        <v>0</v>
      </c>
      <c r="D13983" s="2">
        <f t="shared" si="218"/>
        <v>1</v>
      </c>
    </row>
    <row r="13984" spans="1:4" x14ac:dyDescent="0.3">
      <c r="A13984" s="34">
        <v>75268</v>
      </c>
      <c r="B13984" s="35">
        <v>1</v>
      </c>
      <c r="C13984" s="35">
        <v>0</v>
      </c>
      <c r="D13984" s="2">
        <f t="shared" si="218"/>
        <v>1</v>
      </c>
    </row>
    <row r="13985" spans="1:4" x14ac:dyDescent="0.3">
      <c r="A13985" s="34">
        <v>75269</v>
      </c>
      <c r="B13985" s="35">
        <v>1</v>
      </c>
      <c r="C13985" s="35">
        <v>0</v>
      </c>
      <c r="D13985" s="2">
        <f t="shared" si="218"/>
        <v>1</v>
      </c>
    </row>
    <row r="13986" spans="1:4" x14ac:dyDescent="0.3">
      <c r="A13986" s="34">
        <v>75270</v>
      </c>
      <c r="B13986" s="35">
        <v>1</v>
      </c>
      <c r="C13986" s="35">
        <v>0</v>
      </c>
      <c r="D13986" s="2">
        <f t="shared" si="218"/>
        <v>1</v>
      </c>
    </row>
    <row r="13987" spans="1:4" x14ac:dyDescent="0.3">
      <c r="A13987" s="34">
        <v>75271</v>
      </c>
      <c r="B13987" s="35">
        <v>1</v>
      </c>
      <c r="C13987" s="35">
        <v>0</v>
      </c>
      <c r="D13987" s="2">
        <f t="shared" si="218"/>
        <v>1</v>
      </c>
    </row>
    <row r="13988" spans="1:4" x14ac:dyDescent="0.3">
      <c r="A13988" s="34">
        <v>75272</v>
      </c>
      <c r="B13988" s="35">
        <v>1</v>
      </c>
      <c r="C13988" s="35">
        <v>1</v>
      </c>
      <c r="D13988" s="2">
        <f t="shared" si="218"/>
        <v>2</v>
      </c>
    </row>
    <row r="13989" spans="1:4" x14ac:dyDescent="0.3">
      <c r="A13989" s="34">
        <v>75273</v>
      </c>
      <c r="B13989" s="35">
        <v>1</v>
      </c>
      <c r="C13989" s="35">
        <v>0</v>
      </c>
      <c r="D13989" s="2">
        <f t="shared" si="218"/>
        <v>1</v>
      </c>
    </row>
    <row r="13990" spans="1:4" x14ac:dyDescent="0.3">
      <c r="A13990" s="34">
        <v>75276</v>
      </c>
      <c r="B13990" s="35">
        <v>1</v>
      </c>
      <c r="C13990" s="35">
        <v>0</v>
      </c>
      <c r="D13990" s="2">
        <f t="shared" si="218"/>
        <v>1</v>
      </c>
    </row>
    <row r="13991" spans="1:4" x14ac:dyDescent="0.3">
      <c r="A13991" s="34">
        <v>75280</v>
      </c>
      <c r="B13991" s="35">
        <v>1</v>
      </c>
      <c r="C13991" s="35">
        <v>0</v>
      </c>
      <c r="D13991" s="2">
        <f t="shared" si="218"/>
        <v>1</v>
      </c>
    </row>
    <row r="13992" spans="1:4" x14ac:dyDescent="0.3">
      <c r="A13992" s="34">
        <v>75281</v>
      </c>
      <c r="B13992" s="35">
        <v>1</v>
      </c>
      <c r="C13992" s="35">
        <v>0</v>
      </c>
      <c r="D13992" s="2">
        <f t="shared" si="218"/>
        <v>1</v>
      </c>
    </row>
    <row r="13993" spans="1:4" x14ac:dyDescent="0.3">
      <c r="A13993" s="34">
        <v>75284</v>
      </c>
      <c r="B13993" s="35">
        <v>1</v>
      </c>
      <c r="C13993" s="35">
        <v>0</v>
      </c>
      <c r="D13993" s="2">
        <f t="shared" si="218"/>
        <v>1</v>
      </c>
    </row>
    <row r="13994" spans="1:4" x14ac:dyDescent="0.3">
      <c r="A13994" s="34">
        <v>75285</v>
      </c>
      <c r="B13994" s="35">
        <v>1</v>
      </c>
      <c r="C13994" s="35">
        <v>1</v>
      </c>
      <c r="D13994" s="2">
        <f t="shared" si="218"/>
        <v>2</v>
      </c>
    </row>
    <row r="13995" spans="1:4" x14ac:dyDescent="0.3">
      <c r="A13995" s="34">
        <v>75286</v>
      </c>
      <c r="B13995" s="35">
        <v>1</v>
      </c>
      <c r="C13995" s="35">
        <v>0</v>
      </c>
      <c r="D13995" s="2">
        <f t="shared" si="218"/>
        <v>1</v>
      </c>
    </row>
    <row r="13996" spans="1:4" x14ac:dyDescent="0.3">
      <c r="A13996" s="34">
        <v>75287</v>
      </c>
      <c r="B13996" s="35">
        <v>1</v>
      </c>
      <c r="C13996" s="35">
        <v>0</v>
      </c>
      <c r="D13996" s="2">
        <f t="shared" si="218"/>
        <v>1</v>
      </c>
    </row>
    <row r="13997" spans="1:4" x14ac:dyDescent="0.3">
      <c r="A13997" s="34">
        <v>75288</v>
      </c>
      <c r="B13997" s="35">
        <v>1</v>
      </c>
      <c r="C13997" s="35">
        <v>0</v>
      </c>
      <c r="D13997" s="2">
        <f t="shared" si="218"/>
        <v>1</v>
      </c>
    </row>
    <row r="13998" spans="1:4" x14ac:dyDescent="0.3">
      <c r="A13998" s="34">
        <v>75291</v>
      </c>
      <c r="B13998" s="35">
        <v>1</v>
      </c>
      <c r="C13998" s="35">
        <v>0</v>
      </c>
      <c r="D13998" s="2">
        <f t="shared" si="218"/>
        <v>1</v>
      </c>
    </row>
    <row r="13999" spans="1:4" x14ac:dyDescent="0.3">
      <c r="A13999" s="34">
        <v>75292</v>
      </c>
      <c r="B13999" s="35">
        <v>1</v>
      </c>
      <c r="C13999" s="35">
        <v>0</v>
      </c>
      <c r="D13999" s="2">
        <f t="shared" si="218"/>
        <v>1</v>
      </c>
    </row>
    <row r="14000" spans="1:4" x14ac:dyDescent="0.3">
      <c r="A14000" s="34">
        <v>75293</v>
      </c>
      <c r="B14000" s="35">
        <v>1</v>
      </c>
      <c r="C14000" s="35">
        <v>0</v>
      </c>
      <c r="D14000" s="2">
        <f t="shared" si="218"/>
        <v>1</v>
      </c>
    </row>
    <row r="14001" spans="1:4" x14ac:dyDescent="0.3">
      <c r="A14001" s="34">
        <v>75294</v>
      </c>
      <c r="B14001" s="35">
        <v>1</v>
      </c>
      <c r="C14001" s="35">
        <v>0</v>
      </c>
      <c r="D14001" s="2">
        <f t="shared" si="218"/>
        <v>1</v>
      </c>
    </row>
    <row r="14002" spans="1:4" x14ac:dyDescent="0.3">
      <c r="A14002" s="34">
        <v>75295</v>
      </c>
      <c r="B14002" s="35">
        <v>1</v>
      </c>
      <c r="C14002" s="35">
        <v>0</v>
      </c>
      <c r="D14002" s="2">
        <f t="shared" si="218"/>
        <v>1</v>
      </c>
    </row>
    <row r="14003" spans="1:4" x14ac:dyDescent="0.3">
      <c r="A14003" s="34">
        <v>75297</v>
      </c>
      <c r="B14003" s="35">
        <v>1</v>
      </c>
      <c r="C14003" s="35">
        <v>0</v>
      </c>
      <c r="D14003" s="2">
        <f t="shared" si="218"/>
        <v>1</v>
      </c>
    </row>
    <row r="14004" spans="1:4" x14ac:dyDescent="0.3">
      <c r="A14004" s="34">
        <v>75298</v>
      </c>
      <c r="B14004" s="35">
        <v>1</v>
      </c>
      <c r="C14004" s="35">
        <v>0</v>
      </c>
      <c r="D14004" s="2">
        <f t="shared" si="218"/>
        <v>1</v>
      </c>
    </row>
    <row r="14005" spans="1:4" x14ac:dyDescent="0.3">
      <c r="A14005" s="34">
        <v>75299</v>
      </c>
      <c r="B14005" s="35">
        <v>1</v>
      </c>
      <c r="C14005" s="35">
        <v>1</v>
      </c>
      <c r="D14005" s="2">
        <f t="shared" si="218"/>
        <v>2</v>
      </c>
    </row>
    <row r="14006" spans="1:4" x14ac:dyDescent="0.3">
      <c r="A14006" s="34">
        <v>75300</v>
      </c>
      <c r="B14006" s="35">
        <v>1</v>
      </c>
      <c r="C14006" s="35">
        <v>0</v>
      </c>
      <c r="D14006" s="2">
        <f t="shared" si="218"/>
        <v>1</v>
      </c>
    </row>
    <row r="14007" spans="1:4" x14ac:dyDescent="0.3">
      <c r="A14007" s="34">
        <v>75302</v>
      </c>
      <c r="B14007" s="35">
        <v>1</v>
      </c>
      <c r="C14007" s="35">
        <v>0</v>
      </c>
      <c r="D14007" s="2">
        <f t="shared" si="218"/>
        <v>1</v>
      </c>
    </row>
    <row r="14008" spans="1:4" x14ac:dyDescent="0.3">
      <c r="A14008" s="34">
        <v>75310</v>
      </c>
      <c r="B14008" s="35">
        <v>1</v>
      </c>
      <c r="C14008" s="35">
        <v>0</v>
      </c>
      <c r="D14008" s="2">
        <f t="shared" si="218"/>
        <v>1</v>
      </c>
    </row>
    <row r="14009" spans="1:4" x14ac:dyDescent="0.3">
      <c r="A14009" s="34">
        <v>75313</v>
      </c>
      <c r="B14009" s="35">
        <v>1</v>
      </c>
      <c r="C14009" s="35">
        <v>0</v>
      </c>
      <c r="D14009" s="2">
        <f t="shared" si="218"/>
        <v>1</v>
      </c>
    </row>
    <row r="14010" spans="1:4" x14ac:dyDescent="0.3">
      <c r="A14010" s="34">
        <v>75314</v>
      </c>
      <c r="B14010" s="35">
        <v>1</v>
      </c>
      <c r="C14010" s="35">
        <v>0</v>
      </c>
      <c r="D14010" s="2">
        <f t="shared" si="218"/>
        <v>1</v>
      </c>
    </row>
    <row r="14011" spans="1:4" x14ac:dyDescent="0.3">
      <c r="A14011" s="34">
        <v>75316</v>
      </c>
      <c r="B14011" s="35">
        <v>1</v>
      </c>
      <c r="C14011" s="35">
        <v>0</v>
      </c>
      <c r="D14011" s="2">
        <f t="shared" si="218"/>
        <v>1</v>
      </c>
    </row>
    <row r="14012" spans="1:4" x14ac:dyDescent="0.3">
      <c r="A14012" s="34">
        <v>75317</v>
      </c>
      <c r="B14012" s="35">
        <v>1</v>
      </c>
      <c r="C14012" s="35">
        <v>0</v>
      </c>
      <c r="D14012" s="2">
        <f t="shared" si="218"/>
        <v>1</v>
      </c>
    </row>
    <row r="14013" spans="1:4" x14ac:dyDescent="0.3">
      <c r="A14013" s="34">
        <v>75318</v>
      </c>
      <c r="B14013" s="35">
        <v>1</v>
      </c>
      <c r="C14013" s="35">
        <v>0</v>
      </c>
      <c r="D14013" s="2">
        <f t="shared" si="218"/>
        <v>1</v>
      </c>
    </row>
    <row r="14014" spans="1:4" x14ac:dyDescent="0.3">
      <c r="A14014" s="34">
        <v>75319</v>
      </c>
      <c r="B14014" s="35">
        <v>1</v>
      </c>
      <c r="C14014" s="35">
        <v>0</v>
      </c>
      <c r="D14014" s="2">
        <f t="shared" si="218"/>
        <v>1</v>
      </c>
    </row>
    <row r="14015" spans="1:4" x14ac:dyDescent="0.3">
      <c r="A14015" s="34">
        <v>75320</v>
      </c>
      <c r="B14015" s="35">
        <v>1</v>
      </c>
      <c r="C14015" s="35">
        <v>0</v>
      </c>
      <c r="D14015" s="2">
        <f t="shared" si="218"/>
        <v>1</v>
      </c>
    </row>
    <row r="14016" spans="1:4" x14ac:dyDescent="0.3">
      <c r="A14016" s="34">
        <v>75321</v>
      </c>
      <c r="B14016" s="35">
        <v>1</v>
      </c>
      <c r="C14016" s="35">
        <v>1</v>
      </c>
      <c r="D14016" s="2">
        <f t="shared" si="218"/>
        <v>2</v>
      </c>
    </row>
    <row r="14017" spans="1:4" x14ac:dyDescent="0.3">
      <c r="A14017" s="34">
        <v>75323</v>
      </c>
      <c r="B14017" s="35">
        <v>1</v>
      </c>
      <c r="C14017" s="35">
        <v>0</v>
      </c>
      <c r="D14017" s="2">
        <f t="shared" si="218"/>
        <v>1</v>
      </c>
    </row>
    <row r="14018" spans="1:4" x14ac:dyDescent="0.3">
      <c r="A14018" s="34">
        <v>75324</v>
      </c>
      <c r="B14018" s="35">
        <v>1</v>
      </c>
      <c r="C14018" s="35">
        <v>0</v>
      </c>
      <c r="D14018" s="2">
        <f t="shared" si="218"/>
        <v>1</v>
      </c>
    </row>
    <row r="14019" spans="1:4" x14ac:dyDescent="0.3">
      <c r="A14019" s="34">
        <v>75325</v>
      </c>
      <c r="B14019" s="35">
        <v>1</v>
      </c>
      <c r="C14019" s="35">
        <v>0</v>
      </c>
      <c r="D14019" s="2">
        <f t="shared" ref="D14019:D14082" si="219">B14019+C14019</f>
        <v>1</v>
      </c>
    </row>
    <row r="14020" spans="1:4" x14ac:dyDescent="0.3">
      <c r="A14020" s="34">
        <v>75326</v>
      </c>
      <c r="B14020" s="35">
        <v>1</v>
      </c>
      <c r="C14020" s="35">
        <v>0</v>
      </c>
      <c r="D14020" s="2">
        <f t="shared" si="219"/>
        <v>1</v>
      </c>
    </row>
    <row r="14021" spans="1:4" x14ac:dyDescent="0.3">
      <c r="A14021" s="34">
        <v>75327</v>
      </c>
      <c r="B14021" s="35">
        <v>1</v>
      </c>
      <c r="C14021" s="35">
        <v>0</v>
      </c>
      <c r="D14021" s="2">
        <f t="shared" si="219"/>
        <v>1</v>
      </c>
    </row>
    <row r="14022" spans="1:4" x14ac:dyDescent="0.3">
      <c r="A14022" s="34">
        <v>75328</v>
      </c>
      <c r="B14022" s="35">
        <v>1</v>
      </c>
      <c r="C14022" s="35">
        <v>0</v>
      </c>
      <c r="D14022" s="2">
        <f t="shared" si="219"/>
        <v>1</v>
      </c>
    </row>
    <row r="14023" spans="1:4" x14ac:dyDescent="0.3">
      <c r="A14023" s="34">
        <v>75329</v>
      </c>
      <c r="B14023" s="35">
        <v>1</v>
      </c>
      <c r="C14023" s="35">
        <v>0</v>
      </c>
      <c r="D14023" s="2">
        <f t="shared" si="219"/>
        <v>1</v>
      </c>
    </row>
    <row r="14024" spans="1:4" x14ac:dyDescent="0.3">
      <c r="A14024" s="34">
        <v>75331</v>
      </c>
      <c r="B14024" s="35">
        <v>1</v>
      </c>
      <c r="C14024" s="35">
        <v>0</v>
      </c>
      <c r="D14024" s="2">
        <f t="shared" si="219"/>
        <v>1</v>
      </c>
    </row>
    <row r="14025" spans="1:4" x14ac:dyDescent="0.3">
      <c r="A14025" s="34">
        <v>75332</v>
      </c>
      <c r="B14025" s="35">
        <v>1</v>
      </c>
      <c r="C14025" s="35">
        <v>0</v>
      </c>
      <c r="D14025" s="2">
        <f t="shared" si="219"/>
        <v>1</v>
      </c>
    </row>
    <row r="14026" spans="1:4" x14ac:dyDescent="0.3">
      <c r="A14026" s="34">
        <v>75333</v>
      </c>
      <c r="B14026" s="35">
        <v>1</v>
      </c>
      <c r="C14026" s="35">
        <v>0</v>
      </c>
      <c r="D14026" s="2">
        <f t="shared" si="219"/>
        <v>1</v>
      </c>
    </row>
    <row r="14027" spans="1:4" x14ac:dyDescent="0.3">
      <c r="A14027" s="34">
        <v>75334</v>
      </c>
      <c r="B14027" s="35">
        <v>1</v>
      </c>
      <c r="C14027" s="35">
        <v>0</v>
      </c>
      <c r="D14027" s="2">
        <f t="shared" si="219"/>
        <v>1</v>
      </c>
    </row>
    <row r="14028" spans="1:4" x14ac:dyDescent="0.3">
      <c r="A14028" s="34">
        <v>75335</v>
      </c>
      <c r="B14028" s="35">
        <v>1</v>
      </c>
      <c r="C14028" s="35">
        <v>0</v>
      </c>
      <c r="D14028" s="2">
        <f t="shared" si="219"/>
        <v>1</v>
      </c>
    </row>
    <row r="14029" spans="1:4" x14ac:dyDescent="0.3">
      <c r="A14029" s="34">
        <v>75336</v>
      </c>
      <c r="B14029" s="35">
        <v>1</v>
      </c>
      <c r="C14029" s="35">
        <v>0</v>
      </c>
      <c r="D14029" s="2">
        <f t="shared" si="219"/>
        <v>1</v>
      </c>
    </row>
    <row r="14030" spans="1:4" x14ac:dyDescent="0.3">
      <c r="A14030" s="34">
        <v>75337</v>
      </c>
      <c r="B14030" s="35">
        <v>1</v>
      </c>
      <c r="C14030" s="35">
        <v>0</v>
      </c>
      <c r="D14030" s="2">
        <f t="shared" si="219"/>
        <v>1</v>
      </c>
    </row>
    <row r="14031" spans="1:4" x14ac:dyDescent="0.3">
      <c r="A14031" s="34">
        <v>75343</v>
      </c>
      <c r="B14031" s="35">
        <v>1</v>
      </c>
      <c r="C14031" s="35">
        <v>0</v>
      </c>
      <c r="D14031" s="2">
        <f t="shared" si="219"/>
        <v>1</v>
      </c>
    </row>
    <row r="14032" spans="1:4" x14ac:dyDescent="0.3">
      <c r="A14032" s="34">
        <v>75344</v>
      </c>
      <c r="B14032" s="35">
        <v>1</v>
      </c>
      <c r="C14032" s="35">
        <v>0</v>
      </c>
      <c r="D14032" s="2">
        <f t="shared" si="219"/>
        <v>1</v>
      </c>
    </row>
    <row r="14033" spans="1:4" x14ac:dyDescent="0.3">
      <c r="A14033" s="34">
        <v>75345</v>
      </c>
      <c r="B14033" s="35">
        <v>1</v>
      </c>
      <c r="C14033" s="35">
        <v>0</v>
      </c>
      <c r="D14033" s="2">
        <f t="shared" si="219"/>
        <v>1</v>
      </c>
    </row>
    <row r="14034" spans="1:4" x14ac:dyDescent="0.3">
      <c r="A14034" s="34">
        <v>75346</v>
      </c>
      <c r="B14034" s="35">
        <v>1</v>
      </c>
      <c r="C14034" s="35">
        <v>0</v>
      </c>
      <c r="D14034" s="2">
        <f t="shared" si="219"/>
        <v>1</v>
      </c>
    </row>
    <row r="14035" spans="1:4" x14ac:dyDescent="0.3">
      <c r="A14035" s="34">
        <v>75347</v>
      </c>
      <c r="B14035" s="35">
        <v>1</v>
      </c>
      <c r="C14035" s="35">
        <v>0</v>
      </c>
      <c r="D14035" s="2">
        <f t="shared" si="219"/>
        <v>1</v>
      </c>
    </row>
    <row r="14036" spans="1:4" x14ac:dyDescent="0.3">
      <c r="A14036" s="34">
        <v>75349</v>
      </c>
      <c r="B14036" s="35">
        <v>1</v>
      </c>
      <c r="C14036" s="35">
        <v>0</v>
      </c>
      <c r="D14036" s="2">
        <f t="shared" si="219"/>
        <v>1</v>
      </c>
    </row>
    <row r="14037" spans="1:4" x14ac:dyDescent="0.3">
      <c r="A14037" s="34">
        <v>75350</v>
      </c>
      <c r="B14037" s="35">
        <v>1</v>
      </c>
      <c r="C14037" s="35">
        <v>0</v>
      </c>
      <c r="D14037" s="2">
        <f t="shared" si="219"/>
        <v>1</v>
      </c>
    </row>
    <row r="14038" spans="1:4" x14ac:dyDescent="0.3">
      <c r="A14038" s="34">
        <v>75351</v>
      </c>
      <c r="B14038" s="35">
        <v>1</v>
      </c>
      <c r="C14038" s="35">
        <v>0</v>
      </c>
      <c r="D14038" s="2">
        <f t="shared" si="219"/>
        <v>1</v>
      </c>
    </row>
    <row r="14039" spans="1:4" x14ac:dyDescent="0.3">
      <c r="A14039" s="34">
        <v>75352</v>
      </c>
      <c r="B14039" s="35">
        <v>1</v>
      </c>
      <c r="C14039" s="35">
        <v>0</v>
      </c>
      <c r="D14039" s="2">
        <f t="shared" si="219"/>
        <v>1</v>
      </c>
    </row>
    <row r="14040" spans="1:4" x14ac:dyDescent="0.3">
      <c r="A14040" s="34">
        <v>75353</v>
      </c>
      <c r="B14040" s="35">
        <v>1</v>
      </c>
      <c r="C14040" s="35">
        <v>0</v>
      </c>
      <c r="D14040" s="2">
        <f t="shared" si="219"/>
        <v>1</v>
      </c>
    </row>
    <row r="14041" spans="1:4" x14ac:dyDescent="0.3">
      <c r="A14041" s="34">
        <v>75354</v>
      </c>
      <c r="B14041" s="35">
        <v>1</v>
      </c>
      <c r="C14041" s="35">
        <v>0</v>
      </c>
      <c r="D14041" s="2">
        <f t="shared" si="219"/>
        <v>1</v>
      </c>
    </row>
    <row r="14042" spans="1:4" x14ac:dyDescent="0.3">
      <c r="A14042" s="34">
        <v>75355</v>
      </c>
      <c r="B14042" s="35">
        <v>1</v>
      </c>
      <c r="C14042" s="35">
        <v>0</v>
      </c>
      <c r="D14042" s="2">
        <f t="shared" si="219"/>
        <v>1</v>
      </c>
    </row>
    <row r="14043" spans="1:4" x14ac:dyDescent="0.3">
      <c r="A14043" s="34">
        <v>75357</v>
      </c>
      <c r="B14043" s="35">
        <v>1</v>
      </c>
      <c r="C14043" s="35">
        <v>0</v>
      </c>
      <c r="D14043" s="2">
        <f t="shared" si="219"/>
        <v>1</v>
      </c>
    </row>
    <row r="14044" spans="1:4" x14ac:dyDescent="0.3">
      <c r="A14044" s="34">
        <v>75358</v>
      </c>
      <c r="B14044" s="35">
        <v>1</v>
      </c>
      <c r="C14044" s="35">
        <v>0</v>
      </c>
      <c r="D14044" s="2">
        <f t="shared" si="219"/>
        <v>1</v>
      </c>
    </row>
    <row r="14045" spans="1:4" x14ac:dyDescent="0.3">
      <c r="A14045" s="34">
        <v>75359</v>
      </c>
      <c r="B14045" s="35">
        <v>1</v>
      </c>
      <c r="C14045" s="35">
        <v>0</v>
      </c>
      <c r="D14045" s="2">
        <f t="shared" si="219"/>
        <v>1</v>
      </c>
    </row>
    <row r="14046" spans="1:4" x14ac:dyDescent="0.3">
      <c r="A14046" s="34">
        <v>75360</v>
      </c>
      <c r="B14046" s="35">
        <v>1</v>
      </c>
      <c r="C14046" s="35">
        <v>1</v>
      </c>
      <c r="D14046" s="2">
        <f t="shared" si="219"/>
        <v>2</v>
      </c>
    </row>
    <row r="14047" spans="1:4" x14ac:dyDescent="0.3">
      <c r="A14047" s="34">
        <v>75363</v>
      </c>
      <c r="B14047" s="35">
        <v>1</v>
      </c>
      <c r="C14047" s="35">
        <v>0</v>
      </c>
      <c r="D14047" s="2">
        <f t="shared" si="219"/>
        <v>1</v>
      </c>
    </row>
    <row r="14048" spans="1:4" x14ac:dyDescent="0.3">
      <c r="A14048" s="34">
        <v>75364</v>
      </c>
      <c r="B14048" s="35">
        <v>1</v>
      </c>
      <c r="C14048" s="35">
        <v>0</v>
      </c>
      <c r="D14048" s="2">
        <f t="shared" si="219"/>
        <v>1</v>
      </c>
    </row>
    <row r="14049" spans="1:4" x14ac:dyDescent="0.3">
      <c r="A14049" s="34">
        <v>75365</v>
      </c>
      <c r="B14049" s="35">
        <v>1</v>
      </c>
      <c r="C14049" s="35">
        <v>0</v>
      </c>
      <c r="D14049" s="2">
        <f t="shared" si="219"/>
        <v>1</v>
      </c>
    </row>
    <row r="14050" spans="1:4" x14ac:dyDescent="0.3">
      <c r="A14050" s="34">
        <v>75366</v>
      </c>
      <c r="B14050" s="35">
        <v>1</v>
      </c>
      <c r="C14050" s="35">
        <v>1</v>
      </c>
      <c r="D14050" s="2">
        <f t="shared" si="219"/>
        <v>2</v>
      </c>
    </row>
    <row r="14051" spans="1:4" x14ac:dyDescent="0.3">
      <c r="A14051" s="34">
        <v>75385</v>
      </c>
      <c r="B14051" s="35">
        <v>1</v>
      </c>
      <c r="C14051" s="35">
        <v>0</v>
      </c>
      <c r="D14051" s="2">
        <f t="shared" si="219"/>
        <v>1</v>
      </c>
    </row>
    <row r="14052" spans="1:4" x14ac:dyDescent="0.3">
      <c r="A14052" s="34">
        <v>75386</v>
      </c>
      <c r="B14052" s="35">
        <v>1</v>
      </c>
      <c r="C14052" s="35">
        <v>0</v>
      </c>
      <c r="D14052" s="2">
        <f t="shared" si="219"/>
        <v>1</v>
      </c>
    </row>
    <row r="14053" spans="1:4" x14ac:dyDescent="0.3">
      <c r="A14053" s="34">
        <v>75388</v>
      </c>
      <c r="B14053" s="35">
        <v>1</v>
      </c>
      <c r="C14053" s="35">
        <v>0</v>
      </c>
      <c r="D14053" s="2">
        <f t="shared" si="219"/>
        <v>1</v>
      </c>
    </row>
    <row r="14054" spans="1:4" x14ac:dyDescent="0.3">
      <c r="A14054" s="34">
        <v>75390</v>
      </c>
      <c r="B14054" s="35">
        <v>1</v>
      </c>
      <c r="C14054" s="35">
        <v>0</v>
      </c>
      <c r="D14054" s="2">
        <f t="shared" si="219"/>
        <v>1</v>
      </c>
    </row>
    <row r="14055" spans="1:4" x14ac:dyDescent="0.3">
      <c r="A14055" s="34">
        <v>75391</v>
      </c>
      <c r="B14055" s="35">
        <v>1</v>
      </c>
      <c r="C14055" s="35">
        <v>0</v>
      </c>
      <c r="D14055" s="2">
        <f t="shared" si="219"/>
        <v>1</v>
      </c>
    </row>
    <row r="14056" spans="1:4" x14ac:dyDescent="0.3">
      <c r="A14056" s="34">
        <v>75392</v>
      </c>
      <c r="B14056" s="35">
        <v>1</v>
      </c>
      <c r="C14056" s="35">
        <v>1</v>
      </c>
      <c r="D14056" s="2">
        <f t="shared" si="219"/>
        <v>2</v>
      </c>
    </row>
    <row r="14057" spans="1:4" x14ac:dyDescent="0.3">
      <c r="A14057" s="34">
        <v>75393</v>
      </c>
      <c r="B14057" s="35">
        <v>1</v>
      </c>
      <c r="C14057" s="35">
        <v>0</v>
      </c>
      <c r="D14057" s="2">
        <f t="shared" si="219"/>
        <v>1</v>
      </c>
    </row>
    <row r="14058" spans="1:4" x14ac:dyDescent="0.3">
      <c r="A14058" s="34">
        <v>75394</v>
      </c>
      <c r="B14058" s="35">
        <v>1</v>
      </c>
      <c r="C14058" s="35">
        <v>0</v>
      </c>
      <c r="D14058" s="2">
        <f t="shared" si="219"/>
        <v>1</v>
      </c>
    </row>
    <row r="14059" spans="1:4" x14ac:dyDescent="0.3">
      <c r="A14059" s="34">
        <v>75395</v>
      </c>
      <c r="B14059" s="35">
        <v>1</v>
      </c>
      <c r="C14059" s="35">
        <v>0</v>
      </c>
      <c r="D14059" s="2">
        <f t="shared" si="219"/>
        <v>1</v>
      </c>
    </row>
    <row r="14060" spans="1:4" x14ac:dyDescent="0.3">
      <c r="A14060" s="34">
        <v>75396</v>
      </c>
      <c r="B14060" s="35">
        <v>1</v>
      </c>
      <c r="C14060" s="35">
        <v>0</v>
      </c>
      <c r="D14060" s="2">
        <f t="shared" si="219"/>
        <v>1</v>
      </c>
    </row>
    <row r="14061" spans="1:4" x14ac:dyDescent="0.3">
      <c r="A14061" s="34">
        <v>75397</v>
      </c>
      <c r="B14061" s="35">
        <v>1</v>
      </c>
      <c r="C14061" s="35">
        <v>1</v>
      </c>
      <c r="D14061" s="2">
        <f t="shared" si="219"/>
        <v>2</v>
      </c>
    </row>
    <row r="14062" spans="1:4" x14ac:dyDescent="0.3">
      <c r="A14062" s="34">
        <v>75399</v>
      </c>
      <c r="B14062" s="35">
        <v>1</v>
      </c>
      <c r="C14062" s="35">
        <v>0</v>
      </c>
      <c r="D14062" s="2">
        <f t="shared" si="219"/>
        <v>1</v>
      </c>
    </row>
    <row r="14063" spans="1:4" x14ac:dyDescent="0.3">
      <c r="A14063" s="34">
        <v>75400</v>
      </c>
      <c r="B14063" s="35">
        <v>1</v>
      </c>
      <c r="C14063" s="35">
        <v>0</v>
      </c>
      <c r="D14063" s="2">
        <f t="shared" si="219"/>
        <v>1</v>
      </c>
    </row>
    <row r="14064" spans="1:4" x14ac:dyDescent="0.3">
      <c r="A14064" s="34">
        <v>75401</v>
      </c>
      <c r="B14064" s="35">
        <v>1</v>
      </c>
      <c r="C14064" s="35">
        <v>0</v>
      </c>
      <c r="D14064" s="2">
        <f t="shared" si="219"/>
        <v>1</v>
      </c>
    </row>
    <row r="14065" spans="1:4" x14ac:dyDescent="0.3">
      <c r="A14065" s="34">
        <v>75402</v>
      </c>
      <c r="B14065" s="35">
        <v>1</v>
      </c>
      <c r="C14065" s="35">
        <v>0</v>
      </c>
      <c r="D14065" s="2">
        <f t="shared" si="219"/>
        <v>1</v>
      </c>
    </row>
    <row r="14066" spans="1:4" x14ac:dyDescent="0.3">
      <c r="A14066" s="34">
        <v>75403</v>
      </c>
      <c r="B14066" s="35">
        <v>1</v>
      </c>
      <c r="C14066" s="35">
        <v>0</v>
      </c>
      <c r="D14066" s="2">
        <f t="shared" si="219"/>
        <v>1</v>
      </c>
    </row>
    <row r="14067" spans="1:4" x14ac:dyDescent="0.3">
      <c r="A14067" s="34">
        <v>75404</v>
      </c>
      <c r="B14067" s="35">
        <v>1</v>
      </c>
      <c r="C14067" s="35">
        <v>0</v>
      </c>
      <c r="D14067" s="2">
        <f t="shared" si="219"/>
        <v>1</v>
      </c>
    </row>
    <row r="14068" spans="1:4" x14ac:dyDescent="0.3">
      <c r="A14068" s="34">
        <v>75405</v>
      </c>
      <c r="B14068" s="35">
        <v>1</v>
      </c>
      <c r="C14068" s="35">
        <v>0</v>
      </c>
      <c r="D14068" s="2">
        <f t="shared" si="219"/>
        <v>1</v>
      </c>
    </row>
    <row r="14069" spans="1:4" x14ac:dyDescent="0.3">
      <c r="A14069" s="34">
        <v>75406</v>
      </c>
      <c r="B14069" s="35">
        <v>1</v>
      </c>
      <c r="C14069" s="35">
        <v>0</v>
      </c>
      <c r="D14069" s="2">
        <f t="shared" si="219"/>
        <v>1</v>
      </c>
    </row>
    <row r="14070" spans="1:4" x14ac:dyDescent="0.3">
      <c r="A14070" s="34">
        <v>75407</v>
      </c>
      <c r="B14070" s="35">
        <v>1</v>
      </c>
      <c r="C14070" s="35">
        <v>0</v>
      </c>
      <c r="D14070" s="2">
        <f t="shared" si="219"/>
        <v>1</v>
      </c>
    </row>
    <row r="14071" spans="1:4" x14ac:dyDescent="0.3">
      <c r="A14071" s="34">
        <v>75408</v>
      </c>
      <c r="B14071" s="35">
        <v>1</v>
      </c>
      <c r="C14071" s="35">
        <v>0</v>
      </c>
      <c r="D14071" s="2">
        <f t="shared" si="219"/>
        <v>1</v>
      </c>
    </row>
    <row r="14072" spans="1:4" x14ac:dyDescent="0.3">
      <c r="A14072" s="34">
        <v>75409</v>
      </c>
      <c r="B14072" s="35">
        <v>1</v>
      </c>
      <c r="C14072" s="35">
        <v>0</v>
      </c>
      <c r="D14072" s="2">
        <f t="shared" si="219"/>
        <v>1</v>
      </c>
    </row>
    <row r="14073" spans="1:4" x14ac:dyDescent="0.3">
      <c r="A14073" s="34">
        <v>75410</v>
      </c>
      <c r="B14073" s="35">
        <v>1</v>
      </c>
      <c r="C14073" s="35">
        <v>0</v>
      </c>
      <c r="D14073" s="2">
        <f t="shared" si="219"/>
        <v>1</v>
      </c>
    </row>
    <row r="14074" spans="1:4" x14ac:dyDescent="0.3">
      <c r="A14074" s="34">
        <v>75412</v>
      </c>
      <c r="B14074" s="35">
        <v>1</v>
      </c>
      <c r="C14074" s="35">
        <v>1</v>
      </c>
      <c r="D14074" s="2">
        <f t="shared" si="219"/>
        <v>2</v>
      </c>
    </row>
    <row r="14075" spans="1:4" x14ac:dyDescent="0.3">
      <c r="A14075" s="34">
        <v>75413</v>
      </c>
      <c r="B14075" s="35">
        <v>1</v>
      </c>
      <c r="C14075" s="35">
        <v>0</v>
      </c>
      <c r="D14075" s="2">
        <f t="shared" si="219"/>
        <v>1</v>
      </c>
    </row>
    <row r="14076" spans="1:4" x14ac:dyDescent="0.3">
      <c r="A14076" s="34">
        <v>75414</v>
      </c>
      <c r="B14076" s="35">
        <v>1</v>
      </c>
      <c r="C14076" s="35">
        <v>0</v>
      </c>
      <c r="D14076" s="2">
        <f t="shared" si="219"/>
        <v>1</v>
      </c>
    </row>
    <row r="14077" spans="1:4" x14ac:dyDescent="0.3">
      <c r="A14077" s="34">
        <v>75415</v>
      </c>
      <c r="B14077" s="35">
        <v>1</v>
      </c>
      <c r="C14077" s="35">
        <v>0</v>
      </c>
      <c r="D14077" s="2">
        <f t="shared" si="219"/>
        <v>1</v>
      </c>
    </row>
    <row r="14078" spans="1:4" x14ac:dyDescent="0.3">
      <c r="A14078" s="34">
        <v>75416</v>
      </c>
      <c r="B14078" s="35">
        <v>1</v>
      </c>
      <c r="C14078" s="35">
        <v>0</v>
      </c>
      <c r="D14078" s="2">
        <f t="shared" si="219"/>
        <v>1</v>
      </c>
    </row>
    <row r="14079" spans="1:4" x14ac:dyDescent="0.3">
      <c r="A14079" s="34">
        <v>75417</v>
      </c>
      <c r="B14079" s="35">
        <v>1</v>
      </c>
      <c r="C14079" s="35">
        <v>0</v>
      </c>
      <c r="D14079" s="2">
        <f t="shared" si="219"/>
        <v>1</v>
      </c>
    </row>
    <row r="14080" spans="1:4" x14ac:dyDescent="0.3">
      <c r="A14080" s="34">
        <v>75418</v>
      </c>
      <c r="B14080" s="35">
        <v>1</v>
      </c>
      <c r="C14080" s="35">
        <v>0</v>
      </c>
      <c r="D14080" s="2">
        <f t="shared" si="219"/>
        <v>1</v>
      </c>
    </row>
    <row r="14081" spans="1:4" x14ac:dyDescent="0.3">
      <c r="A14081" s="34">
        <v>75420</v>
      </c>
      <c r="B14081" s="35">
        <v>1</v>
      </c>
      <c r="C14081" s="35">
        <v>0</v>
      </c>
      <c r="D14081" s="2">
        <f t="shared" si="219"/>
        <v>1</v>
      </c>
    </row>
    <row r="14082" spans="1:4" x14ac:dyDescent="0.3">
      <c r="A14082" s="34">
        <v>75421</v>
      </c>
      <c r="B14082" s="35">
        <v>1</v>
      </c>
      <c r="C14082" s="35">
        <v>0</v>
      </c>
      <c r="D14082" s="2">
        <f t="shared" si="219"/>
        <v>1</v>
      </c>
    </row>
    <row r="14083" spans="1:4" x14ac:dyDescent="0.3">
      <c r="A14083" s="34">
        <v>75423</v>
      </c>
      <c r="B14083" s="35">
        <v>1</v>
      </c>
      <c r="C14083" s="35">
        <v>0</v>
      </c>
      <c r="D14083" s="2">
        <f t="shared" ref="D14083:D14146" si="220">B14083+C14083</f>
        <v>1</v>
      </c>
    </row>
    <row r="14084" spans="1:4" x14ac:dyDescent="0.3">
      <c r="A14084" s="34">
        <v>75424</v>
      </c>
      <c r="B14084" s="35">
        <v>2</v>
      </c>
      <c r="C14084" s="35">
        <v>1</v>
      </c>
      <c r="D14084" s="2">
        <f t="shared" si="220"/>
        <v>3</v>
      </c>
    </row>
    <row r="14085" spans="1:4" x14ac:dyDescent="0.3">
      <c r="A14085" s="34">
        <v>75425</v>
      </c>
      <c r="B14085" s="35">
        <v>1</v>
      </c>
      <c r="C14085" s="35">
        <v>0</v>
      </c>
      <c r="D14085" s="2">
        <f t="shared" si="220"/>
        <v>1</v>
      </c>
    </row>
    <row r="14086" spans="1:4" x14ac:dyDescent="0.3">
      <c r="A14086" s="34">
        <v>75426</v>
      </c>
      <c r="B14086" s="35">
        <v>1</v>
      </c>
      <c r="C14086" s="35">
        <v>0</v>
      </c>
      <c r="D14086" s="2">
        <f t="shared" si="220"/>
        <v>1</v>
      </c>
    </row>
    <row r="14087" spans="1:4" x14ac:dyDescent="0.3">
      <c r="A14087" s="34">
        <v>75428</v>
      </c>
      <c r="B14087" s="35">
        <v>1</v>
      </c>
      <c r="C14087" s="35">
        <v>0</v>
      </c>
      <c r="D14087" s="2">
        <f t="shared" si="220"/>
        <v>1</v>
      </c>
    </row>
    <row r="14088" spans="1:4" x14ac:dyDescent="0.3">
      <c r="A14088" s="34">
        <v>75429</v>
      </c>
      <c r="B14088" s="35">
        <v>1</v>
      </c>
      <c r="C14088" s="35">
        <v>0</v>
      </c>
      <c r="D14088" s="2">
        <f t="shared" si="220"/>
        <v>1</v>
      </c>
    </row>
    <row r="14089" spans="1:4" x14ac:dyDescent="0.3">
      <c r="A14089" s="34">
        <v>75430</v>
      </c>
      <c r="B14089" s="35">
        <v>1</v>
      </c>
      <c r="C14089" s="35">
        <v>1</v>
      </c>
      <c r="D14089" s="2">
        <f t="shared" si="220"/>
        <v>2</v>
      </c>
    </row>
    <row r="14090" spans="1:4" x14ac:dyDescent="0.3">
      <c r="A14090" s="34">
        <v>75433</v>
      </c>
      <c r="B14090" s="35">
        <v>1</v>
      </c>
      <c r="C14090" s="35">
        <v>0</v>
      </c>
      <c r="D14090" s="2">
        <f t="shared" si="220"/>
        <v>1</v>
      </c>
    </row>
    <row r="14091" spans="1:4" x14ac:dyDescent="0.3">
      <c r="A14091" s="34">
        <v>75434</v>
      </c>
      <c r="B14091" s="35">
        <v>1</v>
      </c>
      <c r="C14091" s="35">
        <v>0</v>
      </c>
      <c r="D14091" s="2">
        <f t="shared" si="220"/>
        <v>1</v>
      </c>
    </row>
    <row r="14092" spans="1:4" x14ac:dyDescent="0.3">
      <c r="A14092" s="34">
        <v>75436</v>
      </c>
      <c r="B14092" s="35">
        <v>1</v>
      </c>
      <c r="C14092" s="35">
        <v>0</v>
      </c>
      <c r="D14092" s="2">
        <f t="shared" si="220"/>
        <v>1</v>
      </c>
    </row>
    <row r="14093" spans="1:4" x14ac:dyDescent="0.3">
      <c r="A14093" s="34">
        <v>75437</v>
      </c>
      <c r="B14093" s="35">
        <v>1</v>
      </c>
      <c r="C14093" s="35">
        <v>1</v>
      </c>
      <c r="D14093" s="2">
        <f t="shared" si="220"/>
        <v>2</v>
      </c>
    </row>
    <row r="14094" spans="1:4" x14ac:dyDescent="0.3">
      <c r="A14094" s="34">
        <v>75438</v>
      </c>
      <c r="B14094" s="35">
        <v>1</v>
      </c>
      <c r="C14094" s="35">
        <v>0</v>
      </c>
      <c r="D14094" s="2">
        <f t="shared" si="220"/>
        <v>1</v>
      </c>
    </row>
    <row r="14095" spans="1:4" x14ac:dyDescent="0.3">
      <c r="A14095" s="34">
        <v>75439</v>
      </c>
      <c r="B14095" s="35">
        <v>1</v>
      </c>
      <c r="C14095" s="35">
        <v>0</v>
      </c>
      <c r="D14095" s="2">
        <f t="shared" si="220"/>
        <v>1</v>
      </c>
    </row>
    <row r="14096" spans="1:4" x14ac:dyDescent="0.3">
      <c r="A14096" s="34">
        <v>75441</v>
      </c>
      <c r="B14096" s="35">
        <v>1</v>
      </c>
      <c r="C14096" s="35">
        <v>0</v>
      </c>
      <c r="D14096" s="2">
        <f t="shared" si="220"/>
        <v>1</v>
      </c>
    </row>
    <row r="14097" spans="1:4" x14ac:dyDescent="0.3">
      <c r="A14097" s="34">
        <v>75443</v>
      </c>
      <c r="B14097" s="35">
        <v>1</v>
      </c>
      <c r="C14097" s="35">
        <v>0</v>
      </c>
      <c r="D14097" s="2">
        <f t="shared" si="220"/>
        <v>1</v>
      </c>
    </row>
    <row r="14098" spans="1:4" x14ac:dyDescent="0.3">
      <c r="A14098" s="34">
        <v>75445</v>
      </c>
      <c r="B14098" s="35">
        <v>1</v>
      </c>
      <c r="C14098" s="35">
        <v>0</v>
      </c>
      <c r="D14098" s="2">
        <f t="shared" si="220"/>
        <v>1</v>
      </c>
    </row>
    <row r="14099" spans="1:4" x14ac:dyDescent="0.3">
      <c r="A14099" s="34">
        <v>75446</v>
      </c>
      <c r="B14099" s="35">
        <v>1</v>
      </c>
      <c r="C14099" s="35">
        <v>0</v>
      </c>
      <c r="D14099" s="2">
        <f t="shared" si="220"/>
        <v>1</v>
      </c>
    </row>
    <row r="14100" spans="1:4" x14ac:dyDescent="0.3">
      <c r="A14100" s="34">
        <v>75447</v>
      </c>
      <c r="B14100" s="35">
        <v>1</v>
      </c>
      <c r="C14100" s="35">
        <v>0</v>
      </c>
      <c r="D14100" s="2">
        <f t="shared" si="220"/>
        <v>1</v>
      </c>
    </row>
    <row r="14101" spans="1:4" x14ac:dyDescent="0.3">
      <c r="A14101" s="34">
        <v>75448</v>
      </c>
      <c r="B14101" s="35">
        <v>1</v>
      </c>
      <c r="C14101" s="35">
        <v>0</v>
      </c>
      <c r="D14101" s="2">
        <f t="shared" si="220"/>
        <v>1</v>
      </c>
    </row>
    <row r="14102" spans="1:4" x14ac:dyDescent="0.3">
      <c r="A14102" s="34">
        <v>75449</v>
      </c>
      <c r="B14102" s="35">
        <v>1</v>
      </c>
      <c r="C14102" s="35">
        <v>0</v>
      </c>
      <c r="D14102" s="2">
        <f t="shared" si="220"/>
        <v>1</v>
      </c>
    </row>
    <row r="14103" spans="1:4" x14ac:dyDescent="0.3">
      <c r="A14103" s="34">
        <v>75450</v>
      </c>
      <c r="B14103" s="35">
        <v>1</v>
      </c>
      <c r="C14103" s="35">
        <v>1</v>
      </c>
      <c r="D14103" s="2">
        <f t="shared" si="220"/>
        <v>2</v>
      </c>
    </row>
    <row r="14104" spans="1:4" x14ac:dyDescent="0.3">
      <c r="A14104" s="34">
        <v>75451</v>
      </c>
      <c r="B14104" s="35">
        <v>1</v>
      </c>
      <c r="C14104" s="35">
        <v>0</v>
      </c>
      <c r="D14104" s="2">
        <f t="shared" si="220"/>
        <v>1</v>
      </c>
    </row>
    <row r="14105" spans="1:4" x14ac:dyDescent="0.3">
      <c r="A14105" s="34">
        <v>75453</v>
      </c>
      <c r="B14105" s="35">
        <v>1</v>
      </c>
      <c r="C14105" s="35">
        <v>0</v>
      </c>
      <c r="D14105" s="2">
        <f t="shared" si="220"/>
        <v>1</v>
      </c>
    </row>
    <row r="14106" spans="1:4" x14ac:dyDescent="0.3">
      <c r="A14106" s="34">
        <v>75454</v>
      </c>
      <c r="B14106" s="35">
        <v>1</v>
      </c>
      <c r="C14106" s="35">
        <v>0</v>
      </c>
      <c r="D14106" s="2">
        <f t="shared" si="220"/>
        <v>1</v>
      </c>
    </row>
    <row r="14107" spans="1:4" x14ac:dyDescent="0.3">
      <c r="A14107" s="34">
        <v>75455</v>
      </c>
      <c r="B14107" s="35">
        <v>1</v>
      </c>
      <c r="C14107" s="35">
        <v>0</v>
      </c>
      <c r="D14107" s="2">
        <f t="shared" si="220"/>
        <v>1</v>
      </c>
    </row>
    <row r="14108" spans="1:4" x14ac:dyDescent="0.3">
      <c r="A14108" s="34">
        <v>75456</v>
      </c>
      <c r="B14108" s="35">
        <v>1</v>
      </c>
      <c r="C14108" s="35">
        <v>0</v>
      </c>
      <c r="D14108" s="2">
        <f t="shared" si="220"/>
        <v>1</v>
      </c>
    </row>
    <row r="14109" spans="1:4" x14ac:dyDescent="0.3">
      <c r="A14109" s="34">
        <v>75457</v>
      </c>
      <c r="B14109" s="35">
        <v>1</v>
      </c>
      <c r="C14109" s="35">
        <v>0</v>
      </c>
      <c r="D14109" s="2">
        <f t="shared" si="220"/>
        <v>1</v>
      </c>
    </row>
    <row r="14110" spans="1:4" x14ac:dyDescent="0.3">
      <c r="A14110" s="34">
        <v>75459</v>
      </c>
      <c r="B14110" s="35">
        <v>1</v>
      </c>
      <c r="C14110" s="35">
        <v>0</v>
      </c>
      <c r="D14110" s="2">
        <f t="shared" si="220"/>
        <v>1</v>
      </c>
    </row>
    <row r="14111" spans="1:4" x14ac:dyDescent="0.3">
      <c r="A14111" s="34">
        <v>75460</v>
      </c>
      <c r="B14111" s="35">
        <v>1</v>
      </c>
      <c r="C14111" s="35">
        <v>0</v>
      </c>
      <c r="D14111" s="2">
        <f t="shared" si="220"/>
        <v>1</v>
      </c>
    </row>
    <row r="14112" spans="1:4" x14ac:dyDescent="0.3">
      <c r="A14112" s="34">
        <v>75461</v>
      </c>
      <c r="B14112" s="35">
        <v>1</v>
      </c>
      <c r="C14112" s="35">
        <v>0</v>
      </c>
      <c r="D14112" s="2">
        <f t="shared" si="220"/>
        <v>1</v>
      </c>
    </row>
    <row r="14113" spans="1:4" x14ac:dyDescent="0.3">
      <c r="A14113" s="34">
        <v>75462</v>
      </c>
      <c r="B14113" s="35">
        <v>1</v>
      </c>
      <c r="C14113" s="35">
        <v>0</v>
      </c>
      <c r="D14113" s="2">
        <f t="shared" si="220"/>
        <v>1</v>
      </c>
    </row>
    <row r="14114" spans="1:4" x14ac:dyDescent="0.3">
      <c r="A14114" s="34">
        <v>75464</v>
      </c>
      <c r="B14114" s="35">
        <v>1</v>
      </c>
      <c r="C14114" s="35">
        <v>0</v>
      </c>
      <c r="D14114" s="2">
        <f t="shared" si="220"/>
        <v>1</v>
      </c>
    </row>
    <row r="14115" spans="1:4" x14ac:dyDescent="0.3">
      <c r="A14115" s="34">
        <v>75465</v>
      </c>
      <c r="B14115" s="35">
        <v>1</v>
      </c>
      <c r="C14115" s="35">
        <v>0</v>
      </c>
      <c r="D14115" s="2">
        <f t="shared" si="220"/>
        <v>1</v>
      </c>
    </row>
    <row r="14116" spans="1:4" x14ac:dyDescent="0.3">
      <c r="A14116" s="34">
        <v>75466</v>
      </c>
      <c r="B14116" s="35">
        <v>1</v>
      </c>
      <c r="C14116" s="35">
        <v>0</v>
      </c>
      <c r="D14116" s="2">
        <f t="shared" si="220"/>
        <v>1</v>
      </c>
    </row>
    <row r="14117" spans="1:4" x14ac:dyDescent="0.3">
      <c r="A14117" s="34">
        <v>75467</v>
      </c>
      <c r="B14117" s="35">
        <v>1</v>
      </c>
      <c r="C14117" s="35">
        <v>0</v>
      </c>
      <c r="D14117" s="2">
        <f t="shared" si="220"/>
        <v>1</v>
      </c>
    </row>
    <row r="14118" spans="1:4" x14ac:dyDescent="0.3">
      <c r="A14118" s="34">
        <v>75469</v>
      </c>
      <c r="B14118" s="35">
        <v>1</v>
      </c>
      <c r="C14118" s="35">
        <v>0</v>
      </c>
      <c r="D14118" s="2">
        <f t="shared" si="220"/>
        <v>1</v>
      </c>
    </row>
    <row r="14119" spans="1:4" x14ac:dyDescent="0.3">
      <c r="A14119" s="34">
        <v>75470</v>
      </c>
      <c r="B14119" s="35">
        <v>1</v>
      </c>
      <c r="C14119" s="35">
        <v>0</v>
      </c>
      <c r="D14119" s="2">
        <f t="shared" si="220"/>
        <v>1</v>
      </c>
    </row>
    <row r="14120" spans="1:4" x14ac:dyDescent="0.3">
      <c r="A14120" s="34">
        <v>75472</v>
      </c>
      <c r="B14120" s="35">
        <v>1</v>
      </c>
      <c r="C14120" s="35">
        <v>0</v>
      </c>
      <c r="D14120" s="2">
        <f t="shared" si="220"/>
        <v>1</v>
      </c>
    </row>
    <row r="14121" spans="1:4" x14ac:dyDescent="0.3">
      <c r="A14121" s="34">
        <v>75473</v>
      </c>
      <c r="B14121" s="35">
        <v>1</v>
      </c>
      <c r="C14121" s="35">
        <v>1</v>
      </c>
      <c r="D14121" s="2">
        <f t="shared" si="220"/>
        <v>2</v>
      </c>
    </row>
    <row r="14122" spans="1:4" x14ac:dyDescent="0.3">
      <c r="A14122" s="34">
        <v>75477</v>
      </c>
      <c r="B14122" s="35">
        <v>1</v>
      </c>
      <c r="C14122" s="35">
        <v>0</v>
      </c>
      <c r="D14122" s="2">
        <f t="shared" si="220"/>
        <v>1</v>
      </c>
    </row>
    <row r="14123" spans="1:4" x14ac:dyDescent="0.3">
      <c r="A14123" s="34">
        <v>75478</v>
      </c>
      <c r="B14123" s="35">
        <v>1</v>
      </c>
      <c r="C14123" s="35">
        <v>0</v>
      </c>
      <c r="D14123" s="2">
        <f t="shared" si="220"/>
        <v>1</v>
      </c>
    </row>
    <row r="14124" spans="1:4" x14ac:dyDescent="0.3">
      <c r="A14124" s="34">
        <v>75479</v>
      </c>
      <c r="B14124" s="35">
        <v>1</v>
      </c>
      <c r="C14124" s="35">
        <v>0</v>
      </c>
      <c r="D14124" s="2">
        <f t="shared" si="220"/>
        <v>1</v>
      </c>
    </row>
    <row r="14125" spans="1:4" x14ac:dyDescent="0.3">
      <c r="A14125" s="34">
        <v>75480</v>
      </c>
      <c r="B14125" s="35">
        <v>1</v>
      </c>
      <c r="C14125" s="35">
        <v>0</v>
      </c>
      <c r="D14125" s="2">
        <f t="shared" si="220"/>
        <v>1</v>
      </c>
    </row>
    <row r="14126" spans="1:4" x14ac:dyDescent="0.3">
      <c r="A14126" s="34">
        <v>75481</v>
      </c>
      <c r="B14126" s="35">
        <v>1</v>
      </c>
      <c r="C14126" s="35">
        <v>0</v>
      </c>
      <c r="D14126" s="2">
        <f t="shared" si="220"/>
        <v>1</v>
      </c>
    </row>
    <row r="14127" spans="1:4" x14ac:dyDescent="0.3">
      <c r="A14127" s="34">
        <v>75482</v>
      </c>
      <c r="B14127" s="35">
        <v>1</v>
      </c>
      <c r="C14127" s="35">
        <v>0</v>
      </c>
      <c r="D14127" s="2">
        <f t="shared" si="220"/>
        <v>1</v>
      </c>
    </row>
    <row r="14128" spans="1:4" x14ac:dyDescent="0.3">
      <c r="A14128" s="34">
        <v>75483</v>
      </c>
      <c r="B14128" s="35">
        <v>1</v>
      </c>
      <c r="C14128" s="35">
        <v>0</v>
      </c>
      <c r="D14128" s="2">
        <f t="shared" si="220"/>
        <v>1</v>
      </c>
    </row>
    <row r="14129" spans="1:4" x14ac:dyDescent="0.3">
      <c r="A14129" s="34">
        <v>75484</v>
      </c>
      <c r="B14129" s="35">
        <v>1</v>
      </c>
      <c r="C14129" s="35">
        <v>1</v>
      </c>
      <c r="D14129" s="2">
        <f t="shared" si="220"/>
        <v>2</v>
      </c>
    </row>
    <row r="14130" spans="1:4" x14ac:dyDescent="0.3">
      <c r="A14130" s="34">
        <v>75485</v>
      </c>
      <c r="B14130" s="35">
        <v>1</v>
      </c>
      <c r="C14130" s="35">
        <v>0</v>
      </c>
      <c r="D14130" s="2">
        <f t="shared" si="220"/>
        <v>1</v>
      </c>
    </row>
    <row r="14131" spans="1:4" x14ac:dyDescent="0.3">
      <c r="A14131" s="34">
        <v>75487</v>
      </c>
      <c r="B14131" s="35">
        <v>1</v>
      </c>
      <c r="C14131" s="35">
        <v>0</v>
      </c>
      <c r="D14131" s="2">
        <f t="shared" si="220"/>
        <v>1</v>
      </c>
    </row>
    <row r="14132" spans="1:4" x14ac:dyDescent="0.3">
      <c r="A14132" s="34">
        <v>75488</v>
      </c>
      <c r="B14132" s="35">
        <v>1</v>
      </c>
      <c r="C14132" s="35">
        <v>0</v>
      </c>
      <c r="D14132" s="2">
        <f t="shared" si="220"/>
        <v>1</v>
      </c>
    </row>
    <row r="14133" spans="1:4" x14ac:dyDescent="0.3">
      <c r="A14133" s="34">
        <v>75492</v>
      </c>
      <c r="B14133" s="35">
        <v>1</v>
      </c>
      <c r="C14133" s="35">
        <v>0</v>
      </c>
      <c r="D14133" s="2">
        <f t="shared" si="220"/>
        <v>1</v>
      </c>
    </row>
    <row r="14134" spans="1:4" x14ac:dyDescent="0.3">
      <c r="A14134" s="34">
        <v>75493</v>
      </c>
      <c r="B14134" s="35">
        <v>1</v>
      </c>
      <c r="C14134" s="35">
        <v>0</v>
      </c>
      <c r="D14134" s="2">
        <f t="shared" si="220"/>
        <v>1</v>
      </c>
    </row>
    <row r="14135" spans="1:4" x14ac:dyDescent="0.3">
      <c r="A14135" s="34">
        <v>75494</v>
      </c>
      <c r="B14135" s="35">
        <v>1</v>
      </c>
      <c r="C14135" s="35">
        <v>0</v>
      </c>
      <c r="D14135" s="2">
        <f t="shared" si="220"/>
        <v>1</v>
      </c>
    </row>
    <row r="14136" spans="1:4" x14ac:dyDescent="0.3">
      <c r="A14136" s="34">
        <v>75495</v>
      </c>
      <c r="B14136" s="35">
        <v>1</v>
      </c>
      <c r="C14136" s="35">
        <v>0</v>
      </c>
      <c r="D14136" s="2">
        <f t="shared" si="220"/>
        <v>1</v>
      </c>
    </row>
    <row r="14137" spans="1:4" x14ac:dyDescent="0.3">
      <c r="A14137" s="34">
        <v>75496</v>
      </c>
      <c r="B14137" s="35">
        <v>1</v>
      </c>
      <c r="C14137" s="35">
        <v>0</v>
      </c>
      <c r="D14137" s="2">
        <f t="shared" si="220"/>
        <v>1</v>
      </c>
    </row>
    <row r="14138" spans="1:4" x14ac:dyDescent="0.3">
      <c r="A14138" s="34">
        <v>75497</v>
      </c>
      <c r="B14138" s="35">
        <v>1</v>
      </c>
      <c r="C14138" s="35">
        <v>1</v>
      </c>
      <c r="D14138" s="2">
        <f t="shared" si="220"/>
        <v>2</v>
      </c>
    </row>
    <row r="14139" spans="1:4" x14ac:dyDescent="0.3">
      <c r="A14139" s="34">
        <v>75501</v>
      </c>
      <c r="B14139" s="35">
        <v>1</v>
      </c>
      <c r="C14139" s="35">
        <v>0</v>
      </c>
      <c r="D14139" s="2">
        <f t="shared" si="220"/>
        <v>1</v>
      </c>
    </row>
    <row r="14140" spans="1:4" x14ac:dyDescent="0.3">
      <c r="A14140" s="34">
        <v>75503</v>
      </c>
      <c r="B14140" s="35">
        <v>1</v>
      </c>
      <c r="C14140" s="35">
        <v>0</v>
      </c>
      <c r="D14140" s="2">
        <f t="shared" si="220"/>
        <v>1</v>
      </c>
    </row>
    <row r="14141" spans="1:4" x14ac:dyDescent="0.3">
      <c r="A14141" s="34">
        <v>75504</v>
      </c>
      <c r="B14141" s="35">
        <v>1</v>
      </c>
      <c r="C14141" s="35">
        <v>0</v>
      </c>
      <c r="D14141" s="2">
        <f t="shared" si="220"/>
        <v>1</v>
      </c>
    </row>
    <row r="14142" spans="1:4" x14ac:dyDescent="0.3">
      <c r="A14142" s="34">
        <v>75505</v>
      </c>
      <c r="B14142" s="35">
        <v>1</v>
      </c>
      <c r="C14142" s="35">
        <v>0</v>
      </c>
      <c r="D14142" s="2">
        <f t="shared" si="220"/>
        <v>1</v>
      </c>
    </row>
    <row r="14143" spans="1:4" x14ac:dyDescent="0.3">
      <c r="A14143" s="34">
        <v>75507</v>
      </c>
      <c r="B14143" s="35">
        <v>1</v>
      </c>
      <c r="C14143" s="35">
        <v>0</v>
      </c>
      <c r="D14143" s="2">
        <f t="shared" si="220"/>
        <v>1</v>
      </c>
    </row>
    <row r="14144" spans="1:4" x14ac:dyDescent="0.3">
      <c r="A14144" s="34">
        <v>75508</v>
      </c>
      <c r="B14144" s="35">
        <v>1</v>
      </c>
      <c r="C14144" s="35">
        <v>0</v>
      </c>
      <c r="D14144" s="2">
        <f t="shared" si="220"/>
        <v>1</v>
      </c>
    </row>
    <row r="14145" spans="1:4" x14ac:dyDescent="0.3">
      <c r="A14145" s="34">
        <v>75509</v>
      </c>
      <c r="B14145" s="35">
        <v>1</v>
      </c>
      <c r="C14145" s="35">
        <v>0</v>
      </c>
      <c r="D14145" s="2">
        <f t="shared" si="220"/>
        <v>1</v>
      </c>
    </row>
    <row r="14146" spans="1:4" x14ac:dyDescent="0.3">
      <c r="A14146" s="34">
        <v>75512</v>
      </c>
      <c r="B14146" s="35">
        <v>1</v>
      </c>
      <c r="C14146" s="35">
        <v>0</v>
      </c>
      <c r="D14146" s="2">
        <f t="shared" si="220"/>
        <v>1</v>
      </c>
    </row>
    <row r="14147" spans="1:4" x14ac:dyDescent="0.3">
      <c r="A14147" s="34">
        <v>75513</v>
      </c>
      <c r="B14147" s="35">
        <v>2</v>
      </c>
      <c r="C14147" s="35">
        <v>0</v>
      </c>
      <c r="D14147" s="2">
        <f t="shared" ref="D14147:D14210" si="221">B14147+C14147</f>
        <v>2</v>
      </c>
    </row>
    <row r="14148" spans="1:4" x14ac:dyDescent="0.3">
      <c r="A14148" s="34">
        <v>75514</v>
      </c>
      <c r="B14148" s="35">
        <v>1</v>
      </c>
      <c r="C14148" s="35">
        <v>1</v>
      </c>
      <c r="D14148" s="2">
        <f t="shared" si="221"/>
        <v>2</v>
      </c>
    </row>
    <row r="14149" spans="1:4" x14ac:dyDescent="0.3">
      <c r="A14149" s="34">
        <v>75515</v>
      </c>
      <c r="B14149" s="35">
        <v>1</v>
      </c>
      <c r="C14149" s="35">
        <v>1</v>
      </c>
      <c r="D14149" s="2">
        <f t="shared" si="221"/>
        <v>2</v>
      </c>
    </row>
    <row r="14150" spans="1:4" x14ac:dyDescent="0.3">
      <c r="A14150" s="34">
        <v>75516</v>
      </c>
      <c r="B14150" s="35">
        <v>1</v>
      </c>
      <c r="C14150" s="35">
        <v>0</v>
      </c>
      <c r="D14150" s="2">
        <f t="shared" si="221"/>
        <v>1</v>
      </c>
    </row>
    <row r="14151" spans="1:4" x14ac:dyDescent="0.3">
      <c r="A14151" s="34">
        <v>75517</v>
      </c>
      <c r="B14151" s="35">
        <v>2</v>
      </c>
      <c r="C14151" s="35">
        <v>0</v>
      </c>
      <c r="D14151" s="2">
        <f t="shared" si="221"/>
        <v>2</v>
      </c>
    </row>
    <row r="14152" spans="1:4" x14ac:dyDescent="0.3">
      <c r="A14152" s="34">
        <v>75518</v>
      </c>
      <c r="B14152" s="35">
        <v>1</v>
      </c>
      <c r="C14152" s="35">
        <v>0</v>
      </c>
      <c r="D14152" s="2">
        <f t="shared" si="221"/>
        <v>1</v>
      </c>
    </row>
    <row r="14153" spans="1:4" x14ac:dyDescent="0.3">
      <c r="A14153" s="34">
        <v>75520</v>
      </c>
      <c r="B14153" s="35">
        <v>1</v>
      </c>
      <c r="C14153" s="35">
        <v>0</v>
      </c>
      <c r="D14153" s="2">
        <f t="shared" si="221"/>
        <v>1</v>
      </c>
    </row>
    <row r="14154" spans="1:4" x14ac:dyDescent="0.3">
      <c r="A14154" s="34">
        <v>75521</v>
      </c>
      <c r="B14154" s="35">
        <v>1</v>
      </c>
      <c r="C14154" s="35">
        <v>0</v>
      </c>
      <c r="D14154" s="2">
        <f t="shared" si="221"/>
        <v>1</v>
      </c>
    </row>
    <row r="14155" spans="1:4" x14ac:dyDescent="0.3">
      <c r="A14155" s="34">
        <v>75523</v>
      </c>
      <c r="B14155" s="35">
        <v>1</v>
      </c>
      <c r="C14155" s="35">
        <v>0</v>
      </c>
      <c r="D14155" s="2">
        <f t="shared" si="221"/>
        <v>1</v>
      </c>
    </row>
    <row r="14156" spans="1:4" x14ac:dyDescent="0.3">
      <c r="A14156" s="34">
        <v>75524</v>
      </c>
      <c r="B14156" s="35">
        <v>1</v>
      </c>
      <c r="C14156" s="35">
        <v>0</v>
      </c>
      <c r="D14156" s="2">
        <f t="shared" si="221"/>
        <v>1</v>
      </c>
    </row>
    <row r="14157" spans="1:4" x14ac:dyDescent="0.3">
      <c r="A14157" s="34">
        <v>75525</v>
      </c>
      <c r="B14157" s="35">
        <v>1</v>
      </c>
      <c r="C14157" s="35">
        <v>0</v>
      </c>
      <c r="D14157" s="2">
        <f t="shared" si="221"/>
        <v>1</v>
      </c>
    </row>
    <row r="14158" spans="1:4" x14ac:dyDescent="0.3">
      <c r="A14158" s="34">
        <v>75526</v>
      </c>
      <c r="B14158" s="35">
        <v>1</v>
      </c>
      <c r="C14158" s="35">
        <v>0</v>
      </c>
      <c r="D14158" s="2">
        <f t="shared" si="221"/>
        <v>1</v>
      </c>
    </row>
    <row r="14159" spans="1:4" x14ac:dyDescent="0.3">
      <c r="A14159" s="34">
        <v>75560</v>
      </c>
      <c r="B14159" s="35">
        <v>1</v>
      </c>
      <c r="C14159" s="35">
        <v>0</v>
      </c>
      <c r="D14159" s="2">
        <f t="shared" si="221"/>
        <v>1</v>
      </c>
    </row>
    <row r="14160" spans="1:4" x14ac:dyDescent="0.3">
      <c r="A14160" s="34">
        <v>75562</v>
      </c>
      <c r="B14160" s="35">
        <v>1</v>
      </c>
      <c r="C14160" s="35">
        <v>0</v>
      </c>
      <c r="D14160" s="2">
        <f t="shared" si="221"/>
        <v>1</v>
      </c>
    </row>
    <row r="14161" spans="1:4" x14ac:dyDescent="0.3">
      <c r="A14161" s="34">
        <v>75563</v>
      </c>
      <c r="B14161" s="35">
        <v>1</v>
      </c>
      <c r="C14161" s="35">
        <v>0</v>
      </c>
      <c r="D14161" s="2">
        <f t="shared" si="221"/>
        <v>1</v>
      </c>
    </row>
    <row r="14162" spans="1:4" x14ac:dyDescent="0.3">
      <c r="A14162" s="34">
        <v>75564</v>
      </c>
      <c r="B14162" s="35">
        <v>1</v>
      </c>
      <c r="C14162" s="35">
        <v>0</v>
      </c>
      <c r="D14162" s="2">
        <f t="shared" si="221"/>
        <v>1</v>
      </c>
    </row>
    <row r="14163" spans="1:4" x14ac:dyDescent="0.3">
      <c r="A14163" s="34">
        <v>75565</v>
      </c>
      <c r="B14163" s="35">
        <v>1</v>
      </c>
      <c r="C14163" s="35">
        <v>0</v>
      </c>
      <c r="D14163" s="2">
        <f t="shared" si="221"/>
        <v>1</v>
      </c>
    </row>
    <row r="14164" spans="1:4" x14ac:dyDescent="0.3">
      <c r="A14164" s="34">
        <v>75566</v>
      </c>
      <c r="B14164" s="35">
        <v>1</v>
      </c>
      <c r="C14164" s="35">
        <v>0</v>
      </c>
      <c r="D14164" s="2">
        <f t="shared" si="221"/>
        <v>1</v>
      </c>
    </row>
    <row r="14165" spans="1:4" x14ac:dyDescent="0.3">
      <c r="A14165" s="34">
        <v>75567</v>
      </c>
      <c r="B14165" s="35">
        <v>1</v>
      </c>
      <c r="C14165" s="35">
        <v>0</v>
      </c>
      <c r="D14165" s="2">
        <f t="shared" si="221"/>
        <v>1</v>
      </c>
    </row>
    <row r="14166" spans="1:4" x14ac:dyDescent="0.3">
      <c r="A14166" s="34">
        <v>75569</v>
      </c>
      <c r="B14166" s="35">
        <v>1</v>
      </c>
      <c r="C14166" s="35">
        <v>0</v>
      </c>
      <c r="D14166" s="2">
        <f t="shared" si="221"/>
        <v>1</v>
      </c>
    </row>
    <row r="14167" spans="1:4" x14ac:dyDescent="0.3">
      <c r="A14167" s="34">
        <v>75570</v>
      </c>
      <c r="B14167" s="35">
        <v>1</v>
      </c>
      <c r="C14167" s="35">
        <v>0</v>
      </c>
      <c r="D14167" s="2">
        <f t="shared" si="221"/>
        <v>1</v>
      </c>
    </row>
    <row r="14168" spans="1:4" x14ac:dyDescent="0.3">
      <c r="A14168" s="34">
        <v>75571</v>
      </c>
      <c r="B14168" s="35">
        <v>1</v>
      </c>
      <c r="C14168" s="35">
        <v>0</v>
      </c>
      <c r="D14168" s="2">
        <f t="shared" si="221"/>
        <v>1</v>
      </c>
    </row>
    <row r="14169" spans="1:4" x14ac:dyDescent="0.3">
      <c r="A14169" s="34">
        <v>75573</v>
      </c>
      <c r="B14169" s="35">
        <v>1</v>
      </c>
      <c r="C14169" s="35">
        <v>0</v>
      </c>
      <c r="D14169" s="2">
        <f t="shared" si="221"/>
        <v>1</v>
      </c>
    </row>
    <row r="14170" spans="1:4" x14ac:dyDescent="0.3">
      <c r="A14170" s="34">
        <v>75574</v>
      </c>
      <c r="B14170" s="35">
        <v>1</v>
      </c>
      <c r="C14170" s="35">
        <v>0</v>
      </c>
      <c r="D14170" s="2">
        <f t="shared" si="221"/>
        <v>1</v>
      </c>
    </row>
    <row r="14171" spans="1:4" x14ac:dyDescent="0.3">
      <c r="A14171" s="34">
        <v>75575</v>
      </c>
      <c r="B14171" s="35">
        <v>1</v>
      </c>
      <c r="C14171" s="35">
        <v>0</v>
      </c>
      <c r="D14171" s="2">
        <f t="shared" si="221"/>
        <v>1</v>
      </c>
    </row>
    <row r="14172" spans="1:4" x14ac:dyDescent="0.3">
      <c r="A14172" s="34">
        <v>75577</v>
      </c>
      <c r="B14172" s="35">
        <v>1</v>
      </c>
      <c r="C14172" s="35">
        <v>0</v>
      </c>
      <c r="D14172" s="2">
        <f t="shared" si="221"/>
        <v>1</v>
      </c>
    </row>
    <row r="14173" spans="1:4" x14ac:dyDescent="0.3">
      <c r="A14173" s="34">
        <v>75578</v>
      </c>
      <c r="B14173" s="35">
        <v>1</v>
      </c>
      <c r="C14173" s="35">
        <v>0</v>
      </c>
      <c r="D14173" s="2">
        <f t="shared" si="221"/>
        <v>1</v>
      </c>
    </row>
    <row r="14174" spans="1:4" x14ac:dyDescent="0.3">
      <c r="A14174" s="34">
        <v>75580</v>
      </c>
      <c r="B14174" s="35">
        <v>1</v>
      </c>
      <c r="C14174" s="35">
        <v>0</v>
      </c>
      <c r="D14174" s="2">
        <f t="shared" si="221"/>
        <v>1</v>
      </c>
    </row>
    <row r="14175" spans="1:4" x14ac:dyDescent="0.3">
      <c r="A14175" s="34">
        <v>75592</v>
      </c>
      <c r="B14175" s="35">
        <v>1</v>
      </c>
      <c r="C14175" s="35">
        <v>0</v>
      </c>
      <c r="D14175" s="2">
        <f t="shared" si="221"/>
        <v>1</v>
      </c>
    </row>
    <row r="14176" spans="1:4" x14ac:dyDescent="0.3">
      <c r="A14176" s="34">
        <v>75593</v>
      </c>
      <c r="B14176" s="35">
        <v>1</v>
      </c>
      <c r="C14176" s="35">
        <v>0</v>
      </c>
      <c r="D14176" s="2">
        <f t="shared" si="221"/>
        <v>1</v>
      </c>
    </row>
    <row r="14177" spans="1:4" x14ac:dyDescent="0.3">
      <c r="A14177" s="34">
        <v>75596</v>
      </c>
      <c r="B14177" s="35">
        <v>1</v>
      </c>
      <c r="C14177" s="35">
        <v>1</v>
      </c>
      <c r="D14177" s="2">
        <f t="shared" si="221"/>
        <v>2</v>
      </c>
    </row>
    <row r="14178" spans="1:4" x14ac:dyDescent="0.3">
      <c r="A14178" s="34">
        <v>75598</v>
      </c>
      <c r="B14178" s="35">
        <v>1</v>
      </c>
      <c r="C14178" s="35">
        <v>1</v>
      </c>
      <c r="D14178" s="2">
        <f t="shared" si="221"/>
        <v>2</v>
      </c>
    </row>
    <row r="14179" spans="1:4" x14ac:dyDescent="0.3">
      <c r="A14179" s="34">
        <v>75599</v>
      </c>
      <c r="B14179" s="35">
        <v>1</v>
      </c>
      <c r="C14179" s="35">
        <v>0</v>
      </c>
      <c r="D14179" s="2">
        <f t="shared" si="221"/>
        <v>1</v>
      </c>
    </row>
    <row r="14180" spans="1:4" x14ac:dyDescent="0.3">
      <c r="A14180" s="34">
        <v>75600</v>
      </c>
      <c r="B14180" s="35">
        <v>1</v>
      </c>
      <c r="C14180" s="35">
        <v>0</v>
      </c>
      <c r="D14180" s="2">
        <f t="shared" si="221"/>
        <v>1</v>
      </c>
    </row>
    <row r="14181" spans="1:4" x14ac:dyDescent="0.3">
      <c r="A14181" s="34">
        <v>75601</v>
      </c>
      <c r="B14181" s="35">
        <v>2</v>
      </c>
      <c r="C14181" s="35">
        <v>2</v>
      </c>
      <c r="D14181" s="2">
        <f t="shared" si="221"/>
        <v>4</v>
      </c>
    </row>
    <row r="14182" spans="1:4" x14ac:dyDescent="0.3">
      <c r="A14182" s="34">
        <v>75602</v>
      </c>
      <c r="B14182" s="35">
        <v>1</v>
      </c>
      <c r="C14182" s="35">
        <v>0</v>
      </c>
      <c r="D14182" s="2">
        <f t="shared" si="221"/>
        <v>1</v>
      </c>
    </row>
    <row r="14183" spans="1:4" x14ac:dyDescent="0.3">
      <c r="A14183" s="34">
        <v>75603</v>
      </c>
      <c r="B14183" s="35">
        <v>1</v>
      </c>
      <c r="C14183" s="35">
        <v>0</v>
      </c>
      <c r="D14183" s="2">
        <f t="shared" si="221"/>
        <v>1</v>
      </c>
    </row>
    <row r="14184" spans="1:4" x14ac:dyDescent="0.3">
      <c r="A14184" s="34">
        <v>75604</v>
      </c>
      <c r="B14184" s="35">
        <v>1</v>
      </c>
      <c r="C14184" s="35">
        <v>1</v>
      </c>
      <c r="D14184" s="2">
        <f t="shared" si="221"/>
        <v>2</v>
      </c>
    </row>
    <row r="14185" spans="1:4" x14ac:dyDescent="0.3">
      <c r="A14185" s="34">
        <v>75605</v>
      </c>
      <c r="B14185" s="35">
        <v>1</v>
      </c>
      <c r="C14185" s="35">
        <v>0</v>
      </c>
      <c r="D14185" s="2">
        <f t="shared" si="221"/>
        <v>1</v>
      </c>
    </row>
    <row r="14186" spans="1:4" x14ac:dyDescent="0.3">
      <c r="A14186" s="34">
        <v>75606</v>
      </c>
      <c r="B14186" s="35">
        <v>1</v>
      </c>
      <c r="C14186" s="35">
        <v>0</v>
      </c>
      <c r="D14186" s="2">
        <f t="shared" si="221"/>
        <v>1</v>
      </c>
    </row>
    <row r="14187" spans="1:4" x14ac:dyDescent="0.3">
      <c r="A14187" s="34">
        <v>75607</v>
      </c>
      <c r="B14187" s="35">
        <v>1</v>
      </c>
      <c r="C14187" s="35">
        <v>0</v>
      </c>
      <c r="D14187" s="2">
        <f t="shared" si="221"/>
        <v>1</v>
      </c>
    </row>
    <row r="14188" spans="1:4" x14ac:dyDescent="0.3">
      <c r="A14188" s="34">
        <v>75608</v>
      </c>
      <c r="B14188" s="35">
        <v>1</v>
      </c>
      <c r="C14188" s="35">
        <v>1</v>
      </c>
      <c r="D14188" s="2">
        <f t="shared" si="221"/>
        <v>2</v>
      </c>
    </row>
    <row r="14189" spans="1:4" x14ac:dyDescent="0.3">
      <c r="A14189" s="34">
        <v>75609</v>
      </c>
      <c r="B14189" s="35">
        <v>1</v>
      </c>
      <c r="C14189" s="35">
        <v>0</v>
      </c>
      <c r="D14189" s="2">
        <f t="shared" si="221"/>
        <v>1</v>
      </c>
    </row>
    <row r="14190" spans="1:4" x14ac:dyDescent="0.3">
      <c r="A14190" s="34">
        <v>75611</v>
      </c>
      <c r="B14190" s="35">
        <v>1</v>
      </c>
      <c r="C14190" s="35">
        <v>0</v>
      </c>
      <c r="D14190" s="2">
        <f t="shared" si="221"/>
        <v>1</v>
      </c>
    </row>
    <row r="14191" spans="1:4" x14ac:dyDescent="0.3">
      <c r="A14191" s="34">
        <v>75612</v>
      </c>
      <c r="B14191" s="35">
        <v>1</v>
      </c>
      <c r="C14191" s="35">
        <v>0</v>
      </c>
      <c r="D14191" s="2">
        <f t="shared" si="221"/>
        <v>1</v>
      </c>
    </row>
    <row r="14192" spans="1:4" x14ac:dyDescent="0.3">
      <c r="A14192" s="34">
        <v>75613</v>
      </c>
      <c r="B14192" s="35">
        <v>1</v>
      </c>
      <c r="C14192" s="35">
        <v>0</v>
      </c>
      <c r="D14192" s="2">
        <f t="shared" si="221"/>
        <v>1</v>
      </c>
    </row>
    <row r="14193" spans="1:4" x14ac:dyDescent="0.3">
      <c r="A14193" s="34">
        <v>75614</v>
      </c>
      <c r="B14193" s="35">
        <v>1</v>
      </c>
      <c r="C14193" s="35">
        <v>0</v>
      </c>
      <c r="D14193" s="2">
        <f t="shared" si="221"/>
        <v>1</v>
      </c>
    </row>
    <row r="14194" spans="1:4" x14ac:dyDescent="0.3">
      <c r="A14194" s="34">
        <v>75615</v>
      </c>
      <c r="B14194" s="35">
        <v>1</v>
      </c>
      <c r="C14194" s="35">
        <v>0</v>
      </c>
      <c r="D14194" s="2">
        <f t="shared" si="221"/>
        <v>1</v>
      </c>
    </row>
    <row r="14195" spans="1:4" x14ac:dyDescent="0.3">
      <c r="A14195" s="34">
        <v>75616</v>
      </c>
      <c r="B14195" s="35">
        <v>1</v>
      </c>
      <c r="C14195" s="35">
        <v>0</v>
      </c>
      <c r="D14195" s="2">
        <f t="shared" si="221"/>
        <v>1</v>
      </c>
    </row>
    <row r="14196" spans="1:4" x14ac:dyDescent="0.3">
      <c r="A14196" s="34">
        <v>75633</v>
      </c>
      <c r="B14196" s="35">
        <v>1</v>
      </c>
      <c r="C14196" s="35">
        <v>0</v>
      </c>
      <c r="D14196" s="2">
        <f t="shared" si="221"/>
        <v>1</v>
      </c>
    </row>
    <row r="14197" spans="1:4" x14ac:dyDescent="0.3">
      <c r="A14197" s="34">
        <v>75634</v>
      </c>
      <c r="B14197" s="35">
        <v>1</v>
      </c>
      <c r="C14197" s="35">
        <v>0</v>
      </c>
      <c r="D14197" s="2">
        <f t="shared" si="221"/>
        <v>1</v>
      </c>
    </row>
    <row r="14198" spans="1:4" x14ac:dyDescent="0.3">
      <c r="A14198" s="34">
        <v>75635</v>
      </c>
      <c r="B14198" s="35">
        <v>1</v>
      </c>
      <c r="C14198" s="35">
        <v>0</v>
      </c>
      <c r="D14198" s="2">
        <f t="shared" si="221"/>
        <v>1</v>
      </c>
    </row>
    <row r="14199" spans="1:4" x14ac:dyDescent="0.3">
      <c r="A14199" s="34">
        <v>75636</v>
      </c>
      <c r="B14199" s="35">
        <v>1</v>
      </c>
      <c r="C14199" s="35">
        <v>0</v>
      </c>
      <c r="D14199" s="2">
        <f t="shared" si="221"/>
        <v>1</v>
      </c>
    </row>
    <row r="14200" spans="1:4" x14ac:dyDescent="0.3">
      <c r="A14200" s="34">
        <v>75638</v>
      </c>
      <c r="B14200" s="35">
        <v>1</v>
      </c>
      <c r="C14200" s="35">
        <v>0</v>
      </c>
      <c r="D14200" s="2">
        <f t="shared" si="221"/>
        <v>1</v>
      </c>
    </row>
    <row r="14201" spans="1:4" x14ac:dyDescent="0.3">
      <c r="A14201" s="34">
        <v>75639</v>
      </c>
      <c r="B14201" s="35">
        <v>2</v>
      </c>
      <c r="C14201" s="35">
        <v>0</v>
      </c>
      <c r="D14201" s="2">
        <f t="shared" si="221"/>
        <v>2</v>
      </c>
    </row>
    <row r="14202" spans="1:4" x14ac:dyDescent="0.3">
      <c r="A14202" s="34">
        <v>75640</v>
      </c>
      <c r="B14202" s="35">
        <v>1</v>
      </c>
      <c r="C14202" s="35">
        <v>0</v>
      </c>
      <c r="D14202" s="2">
        <f t="shared" si="221"/>
        <v>1</v>
      </c>
    </row>
    <row r="14203" spans="1:4" x14ac:dyDescent="0.3">
      <c r="A14203" s="34">
        <v>75642</v>
      </c>
      <c r="B14203" s="35">
        <v>1</v>
      </c>
      <c r="C14203" s="35">
        <v>0</v>
      </c>
      <c r="D14203" s="2">
        <f t="shared" si="221"/>
        <v>1</v>
      </c>
    </row>
    <row r="14204" spans="1:4" x14ac:dyDescent="0.3">
      <c r="A14204" s="34">
        <v>75644</v>
      </c>
      <c r="B14204" s="35">
        <v>1</v>
      </c>
      <c r="C14204" s="35">
        <v>0</v>
      </c>
      <c r="D14204" s="2">
        <f t="shared" si="221"/>
        <v>1</v>
      </c>
    </row>
    <row r="14205" spans="1:4" x14ac:dyDescent="0.3">
      <c r="A14205" s="34">
        <v>75645</v>
      </c>
      <c r="B14205" s="35">
        <v>1</v>
      </c>
      <c r="C14205" s="35">
        <v>1</v>
      </c>
      <c r="D14205" s="2">
        <f t="shared" si="221"/>
        <v>2</v>
      </c>
    </row>
    <row r="14206" spans="1:4" x14ac:dyDescent="0.3">
      <c r="A14206" s="34">
        <v>75647</v>
      </c>
      <c r="B14206" s="35">
        <v>1</v>
      </c>
      <c r="C14206" s="35">
        <v>0</v>
      </c>
      <c r="D14206" s="2">
        <f t="shared" si="221"/>
        <v>1</v>
      </c>
    </row>
    <row r="14207" spans="1:4" x14ac:dyDescent="0.3">
      <c r="A14207" s="34">
        <v>75648</v>
      </c>
      <c r="B14207" s="35">
        <v>1</v>
      </c>
      <c r="C14207" s="35">
        <v>0</v>
      </c>
      <c r="D14207" s="2">
        <f t="shared" si="221"/>
        <v>1</v>
      </c>
    </row>
    <row r="14208" spans="1:4" x14ac:dyDescent="0.3">
      <c r="A14208" s="34">
        <v>75649</v>
      </c>
      <c r="B14208" s="35">
        <v>1</v>
      </c>
      <c r="C14208" s="35">
        <v>0</v>
      </c>
      <c r="D14208" s="2">
        <f t="shared" si="221"/>
        <v>1</v>
      </c>
    </row>
    <row r="14209" spans="1:4" x14ac:dyDescent="0.3">
      <c r="A14209" s="34">
        <v>75650</v>
      </c>
      <c r="B14209" s="35">
        <v>1</v>
      </c>
      <c r="C14209" s="35">
        <v>1</v>
      </c>
      <c r="D14209" s="2">
        <f t="shared" si="221"/>
        <v>2</v>
      </c>
    </row>
    <row r="14210" spans="1:4" x14ac:dyDescent="0.3">
      <c r="A14210" s="34">
        <v>75651</v>
      </c>
      <c r="B14210" s="35">
        <v>1</v>
      </c>
      <c r="C14210" s="35">
        <v>0</v>
      </c>
      <c r="D14210" s="2">
        <f t="shared" si="221"/>
        <v>1</v>
      </c>
    </row>
    <row r="14211" spans="1:4" x14ac:dyDescent="0.3">
      <c r="A14211" s="34">
        <v>75652</v>
      </c>
      <c r="B14211" s="35">
        <v>1</v>
      </c>
      <c r="C14211" s="35">
        <v>0</v>
      </c>
      <c r="D14211" s="2">
        <f t="shared" ref="D14211:D14274" si="222">B14211+C14211</f>
        <v>1</v>
      </c>
    </row>
    <row r="14212" spans="1:4" x14ac:dyDescent="0.3">
      <c r="A14212" s="34">
        <v>75655</v>
      </c>
      <c r="B14212" s="35">
        <v>1</v>
      </c>
      <c r="C14212" s="35">
        <v>0</v>
      </c>
      <c r="D14212" s="2">
        <f t="shared" si="222"/>
        <v>1</v>
      </c>
    </row>
    <row r="14213" spans="1:4" x14ac:dyDescent="0.3">
      <c r="A14213" s="34">
        <v>75657</v>
      </c>
      <c r="B14213" s="35">
        <v>1</v>
      </c>
      <c r="C14213" s="35">
        <v>0</v>
      </c>
      <c r="D14213" s="2">
        <f t="shared" si="222"/>
        <v>1</v>
      </c>
    </row>
    <row r="14214" spans="1:4" x14ac:dyDescent="0.3">
      <c r="A14214" s="34">
        <v>75658</v>
      </c>
      <c r="B14214" s="35">
        <v>1</v>
      </c>
      <c r="C14214" s="35">
        <v>0</v>
      </c>
      <c r="D14214" s="2">
        <f t="shared" si="222"/>
        <v>1</v>
      </c>
    </row>
    <row r="14215" spans="1:4" x14ac:dyDescent="0.3">
      <c r="A14215" s="34">
        <v>75659</v>
      </c>
      <c r="B14215" s="35">
        <v>1</v>
      </c>
      <c r="C14215" s="35">
        <v>0</v>
      </c>
      <c r="D14215" s="2">
        <f t="shared" si="222"/>
        <v>1</v>
      </c>
    </row>
    <row r="14216" spans="1:4" x14ac:dyDescent="0.3">
      <c r="A14216" s="34">
        <v>75660</v>
      </c>
      <c r="B14216" s="35">
        <v>1</v>
      </c>
      <c r="C14216" s="35">
        <v>0</v>
      </c>
      <c r="D14216" s="2">
        <f t="shared" si="222"/>
        <v>1</v>
      </c>
    </row>
    <row r="14217" spans="1:4" x14ac:dyDescent="0.3">
      <c r="A14217" s="34">
        <v>75661</v>
      </c>
      <c r="B14217" s="35">
        <v>1</v>
      </c>
      <c r="C14217" s="35">
        <v>0</v>
      </c>
      <c r="D14217" s="2">
        <f t="shared" si="222"/>
        <v>1</v>
      </c>
    </row>
    <row r="14218" spans="1:4" x14ac:dyDescent="0.3">
      <c r="A14218" s="34">
        <v>75663</v>
      </c>
      <c r="B14218" s="35">
        <v>2</v>
      </c>
      <c r="C14218" s="35">
        <v>2</v>
      </c>
      <c r="D14218" s="2">
        <f t="shared" si="222"/>
        <v>4</v>
      </c>
    </row>
    <row r="14219" spans="1:4" x14ac:dyDescent="0.3">
      <c r="A14219" s="34">
        <v>75665</v>
      </c>
      <c r="B14219" s="35">
        <v>1</v>
      </c>
      <c r="C14219" s="35">
        <v>0</v>
      </c>
      <c r="D14219" s="2">
        <f t="shared" si="222"/>
        <v>1</v>
      </c>
    </row>
    <row r="14220" spans="1:4" x14ac:dyDescent="0.3">
      <c r="A14220" s="34">
        <v>75668</v>
      </c>
      <c r="B14220" s="35">
        <v>1</v>
      </c>
      <c r="C14220" s="35">
        <v>0</v>
      </c>
      <c r="D14220" s="2">
        <f t="shared" si="222"/>
        <v>1</v>
      </c>
    </row>
    <row r="14221" spans="1:4" x14ac:dyDescent="0.3">
      <c r="A14221" s="34">
        <v>75669</v>
      </c>
      <c r="B14221" s="35">
        <v>1</v>
      </c>
      <c r="C14221" s="35">
        <v>0</v>
      </c>
      <c r="D14221" s="2">
        <f t="shared" si="222"/>
        <v>1</v>
      </c>
    </row>
    <row r="14222" spans="1:4" x14ac:dyDescent="0.3">
      <c r="A14222" s="34">
        <v>75671</v>
      </c>
      <c r="B14222" s="35">
        <v>1</v>
      </c>
      <c r="C14222" s="35">
        <v>0</v>
      </c>
      <c r="D14222" s="2">
        <f t="shared" si="222"/>
        <v>1</v>
      </c>
    </row>
    <row r="14223" spans="1:4" x14ac:dyDescent="0.3">
      <c r="A14223" s="34">
        <v>75672</v>
      </c>
      <c r="B14223" s="35">
        <v>1</v>
      </c>
      <c r="C14223" s="35">
        <v>0</v>
      </c>
      <c r="D14223" s="2">
        <f t="shared" si="222"/>
        <v>1</v>
      </c>
    </row>
    <row r="14224" spans="1:4" x14ac:dyDescent="0.3">
      <c r="A14224" s="34">
        <v>75673</v>
      </c>
      <c r="B14224" s="35">
        <v>1</v>
      </c>
      <c r="C14224" s="35">
        <v>0</v>
      </c>
      <c r="D14224" s="2">
        <f t="shared" si="222"/>
        <v>1</v>
      </c>
    </row>
    <row r="14225" spans="1:4" x14ac:dyDescent="0.3">
      <c r="A14225" s="34">
        <v>75674</v>
      </c>
      <c r="B14225" s="35">
        <v>1</v>
      </c>
      <c r="C14225" s="35">
        <v>0</v>
      </c>
      <c r="D14225" s="2">
        <f t="shared" si="222"/>
        <v>1</v>
      </c>
    </row>
    <row r="14226" spans="1:4" x14ac:dyDescent="0.3">
      <c r="A14226" s="34">
        <v>75675</v>
      </c>
      <c r="B14226" s="35">
        <v>1</v>
      </c>
      <c r="C14226" s="35">
        <v>0</v>
      </c>
      <c r="D14226" s="2">
        <f t="shared" si="222"/>
        <v>1</v>
      </c>
    </row>
    <row r="14227" spans="1:4" x14ac:dyDescent="0.3">
      <c r="A14227" s="34">
        <v>75676</v>
      </c>
      <c r="B14227" s="35">
        <v>1</v>
      </c>
      <c r="C14227" s="35">
        <v>0</v>
      </c>
      <c r="D14227" s="2">
        <f t="shared" si="222"/>
        <v>1</v>
      </c>
    </row>
    <row r="14228" spans="1:4" x14ac:dyDescent="0.3">
      <c r="A14228" s="34">
        <v>75677</v>
      </c>
      <c r="B14228" s="35">
        <v>1</v>
      </c>
      <c r="C14228" s="35">
        <v>0</v>
      </c>
      <c r="D14228" s="2">
        <f t="shared" si="222"/>
        <v>1</v>
      </c>
    </row>
    <row r="14229" spans="1:4" x14ac:dyDescent="0.3">
      <c r="A14229" s="34">
        <v>75678</v>
      </c>
      <c r="B14229" s="35">
        <v>1</v>
      </c>
      <c r="C14229" s="35">
        <v>0</v>
      </c>
      <c r="D14229" s="2">
        <f t="shared" si="222"/>
        <v>1</v>
      </c>
    </row>
    <row r="14230" spans="1:4" x14ac:dyDescent="0.3">
      <c r="A14230" s="34">
        <v>75679</v>
      </c>
      <c r="B14230" s="35">
        <v>1</v>
      </c>
      <c r="C14230" s="35">
        <v>0</v>
      </c>
      <c r="D14230" s="2">
        <f t="shared" si="222"/>
        <v>1</v>
      </c>
    </row>
    <row r="14231" spans="1:4" x14ac:dyDescent="0.3">
      <c r="A14231" s="34">
        <v>75680</v>
      </c>
      <c r="B14231" s="35">
        <v>1</v>
      </c>
      <c r="C14231" s="35">
        <v>0</v>
      </c>
      <c r="D14231" s="2">
        <f t="shared" si="222"/>
        <v>1</v>
      </c>
    </row>
    <row r="14232" spans="1:4" x14ac:dyDescent="0.3">
      <c r="A14232" s="34">
        <v>75681</v>
      </c>
      <c r="B14232" s="35">
        <v>1</v>
      </c>
      <c r="C14232" s="35">
        <v>0</v>
      </c>
      <c r="D14232" s="2">
        <f t="shared" si="222"/>
        <v>1</v>
      </c>
    </row>
    <row r="14233" spans="1:4" x14ac:dyDescent="0.3">
      <c r="A14233" s="34">
        <v>75682</v>
      </c>
      <c r="B14233" s="35">
        <v>1</v>
      </c>
      <c r="C14233" s="35">
        <v>1</v>
      </c>
      <c r="D14233" s="2">
        <f t="shared" si="222"/>
        <v>2</v>
      </c>
    </row>
    <row r="14234" spans="1:4" x14ac:dyDescent="0.3">
      <c r="A14234" s="34">
        <v>75683</v>
      </c>
      <c r="B14234" s="35">
        <v>2</v>
      </c>
      <c r="C14234" s="35">
        <v>0</v>
      </c>
      <c r="D14234" s="2">
        <f t="shared" si="222"/>
        <v>2</v>
      </c>
    </row>
    <row r="14235" spans="1:4" x14ac:dyDescent="0.3">
      <c r="A14235" s="34">
        <v>75684</v>
      </c>
      <c r="B14235" s="35">
        <v>1</v>
      </c>
      <c r="C14235" s="35">
        <v>1</v>
      </c>
      <c r="D14235" s="2">
        <f t="shared" si="222"/>
        <v>2</v>
      </c>
    </row>
    <row r="14236" spans="1:4" x14ac:dyDescent="0.3">
      <c r="A14236" s="34">
        <v>75685</v>
      </c>
      <c r="B14236" s="35">
        <v>1</v>
      </c>
      <c r="C14236" s="35">
        <v>0</v>
      </c>
      <c r="D14236" s="2">
        <f t="shared" si="222"/>
        <v>1</v>
      </c>
    </row>
    <row r="14237" spans="1:4" x14ac:dyDescent="0.3">
      <c r="A14237" s="34">
        <v>75687</v>
      </c>
      <c r="B14237" s="35">
        <v>1</v>
      </c>
      <c r="C14237" s="35">
        <v>1</v>
      </c>
      <c r="D14237" s="2">
        <f t="shared" si="222"/>
        <v>2</v>
      </c>
    </row>
    <row r="14238" spans="1:4" x14ac:dyDescent="0.3">
      <c r="A14238" s="34">
        <v>75688</v>
      </c>
      <c r="B14238" s="35">
        <v>1</v>
      </c>
      <c r="C14238" s="35">
        <v>0</v>
      </c>
      <c r="D14238" s="2">
        <f t="shared" si="222"/>
        <v>1</v>
      </c>
    </row>
    <row r="14239" spans="1:4" x14ac:dyDescent="0.3">
      <c r="A14239" s="34">
        <v>75689</v>
      </c>
      <c r="B14239" s="35">
        <v>1</v>
      </c>
      <c r="C14239" s="35">
        <v>0</v>
      </c>
      <c r="D14239" s="2">
        <f t="shared" si="222"/>
        <v>1</v>
      </c>
    </row>
    <row r="14240" spans="1:4" x14ac:dyDescent="0.3">
      <c r="A14240" s="34">
        <v>75690</v>
      </c>
      <c r="B14240" s="35">
        <v>1</v>
      </c>
      <c r="C14240" s="35">
        <v>0</v>
      </c>
      <c r="D14240" s="2">
        <f t="shared" si="222"/>
        <v>1</v>
      </c>
    </row>
    <row r="14241" spans="1:4" x14ac:dyDescent="0.3">
      <c r="A14241" s="34">
        <v>75691</v>
      </c>
      <c r="B14241" s="35">
        <v>1</v>
      </c>
      <c r="C14241" s="35">
        <v>0</v>
      </c>
      <c r="D14241" s="2">
        <f t="shared" si="222"/>
        <v>1</v>
      </c>
    </row>
    <row r="14242" spans="1:4" x14ac:dyDescent="0.3">
      <c r="A14242" s="34">
        <v>75692</v>
      </c>
      <c r="B14242" s="35">
        <v>1</v>
      </c>
      <c r="C14242" s="35">
        <v>0</v>
      </c>
      <c r="D14242" s="2">
        <f t="shared" si="222"/>
        <v>1</v>
      </c>
    </row>
    <row r="14243" spans="1:4" x14ac:dyDescent="0.3">
      <c r="A14243" s="34">
        <v>75694</v>
      </c>
      <c r="B14243" s="35">
        <v>1</v>
      </c>
      <c r="C14243" s="35">
        <v>0</v>
      </c>
      <c r="D14243" s="2">
        <f t="shared" si="222"/>
        <v>1</v>
      </c>
    </row>
    <row r="14244" spans="1:4" x14ac:dyDescent="0.3">
      <c r="A14244" s="34">
        <v>75695</v>
      </c>
      <c r="B14244" s="35">
        <v>1</v>
      </c>
      <c r="C14244" s="35">
        <v>0</v>
      </c>
      <c r="D14244" s="2">
        <f t="shared" si="222"/>
        <v>1</v>
      </c>
    </row>
    <row r="14245" spans="1:4" x14ac:dyDescent="0.3">
      <c r="A14245" s="34">
        <v>75697</v>
      </c>
      <c r="B14245" s="35">
        <v>1</v>
      </c>
      <c r="C14245" s="35">
        <v>0</v>
      </c>
      <c r="D14245" s="2">
        <f t="shared" si="222"/>
        <v>1</v>
      </c>
    </row>
    <row r="14246" spans="1:4" x14ac:dyDescent="0.3">
      <c r="A14246" s="34">
        <v>75717</v>
      </c>
      <c r="B14246" s="35">
        <v>1</v>
      </c>
      <c r="C14246" s="35">
        <v>0</v>
      </c>
      <c r="D14246" s="2">
        <f t="shared" si="222"/>
        <v>1</v>
      </c>
    </row>
    <row r="14247" spans="1:4" x14ac:dyDescent="0.3">
      <c r="A14247" s="34">
        <v>75719</v>
      </c>
      <c r="B14247" s="35">
        <v>1</v>
      </c>
      <c r="C14247" s="35">
        <v>1</v>
      </c>
      <c r="D14247" s="2">
        <f t="shared" si="222"/>
        <v>2</v>
      </c>
    </row>
    <row r="14248" spans="1:4" x14ac:dyDescent="0.3">
      <c r="A14248" s="34">
        <v>75721</v>
      </c>
      <c r="B14248" s="35">
        <v>1</v>
      </c>
      <c r="C14248" s="35">
        <v>0</v>
      </c>
      <c r="D14248" s="2">
        <f t="shared" si="222"/>
        <v>1</v>
      </c>
    </row>
    <row r="14249" spans="1:4" x14ac:dyDescent="0.3">
      <c r="A14249" s="34">
        <v>75722</v>
      </c>
      <c r="B14249" s="35">
        <v>1</v>
      </c>
      <c r="C14249" s="35">
        <v>0</v>
      </c>
      <c r="D14249" s="2">
        <f t="shared" si="222"/>
        <v>1</v>
      </c>
    </row>
    <row r="14250" spans="1:4" x14ac:dyDescent="0.3">
      <c r="A14250" s="34">
        <v>75723</v>
      </c>
      <c r="B14250" s="35">
        <v>1</v>
      </c>
      <c r="C14250" s="35">
        <v>0</v>
      </c>
      <c r="D14250" s="2">
        <f t="shared" si="222"/>
        <v>1</v>
      </c>
    </row>
    <row r="14251" spans="1:4" x14ac:dyDescent="0.3">
      <c r="A14251" s="34">
        <v>75724</v>
      </c>
      <c r="B14251" s="35">
        <v>1</v>
      </c>
      <c r="C14251" s="35">
        <v>0</v>
      </c>
      <c r="D14251" s="2">
        <f t="shared" si="222"/>
        <v>1</v>
      </c>
    </row>
    <row r="14252" spans="1:4" x14ac:dyDescent="0.3">
      <c r="A14252" s="34">
        <v>75725</v>
      </c>
      <c r="B14252" s="35">
        <v>1</v>
      </c>
      <c r="C14252" s="35">
        <v>0</v>
      </c>
      <c r="D14252" s="2">
        <f t="shared" si="222"/>
        <v>1</v>
      </c>
    </row>
    <row r="14253" spans="1:4" x14ac:dyDescent="0.3">
      <c r="A14253" s="34">
        <v>75726</v>
      </c>
      <c r="B14253" s="35">
        <v>1</v>
      </c>
      <c r="C14253" s="35">
        <v>0</v>
      </c>
      <c r="D14253" s="2">
        <f t="shared" si="222"/>
        <v>1</v>
      </c>
    </row>
    <row r="14254" spans="1:4" x14ac:dyDescent="0.3">
      <c r="A14254" s="34">
        <v>75727</v>
      </c>
      <c r="B14254" s="35">
        <v>1</v>
      </c>
      <c r="C14254" s="35">
        <v>0</v>
      </c>
      <c r="D14254" s="2">
        <f t="shared" si="222"/>
        <v>1</v>
      </c>
    </row>
    <row r="14255" spans="1:4" x14ac:dyDescent="0.3">
      <c r="A14255" s="34">
        <v>75729</v>
      </c>
      <c r="B14255" s="35">
        <v>1</v>
      </c>
      <c r="C14255" s="35">
        <v>0</v>
      </c>
      <c r="D14255" s="2">
        <f t="shared" si="222"/>
        <v>1</v>
      </c>
    </row>
    <row r="14256" spans="1:4" x14ac:dyDescent="0.3">
      <c r="A14256" s="34">
        <v>75730</v>
      </c>
      <c r="B14256" s="35">
        <v>1</v>
      </c>
      <c r="C14256" s="35">
        <v>0</v>
      </c>
      <c r="D14256" s="2">
        <f t="shared" si="222"/>
        <v>1</v>
      </c>
    </row>
    <row r="14257" spans="1:4" x14ac:dyDescent="0.3">
      <c r="A14257" s="34">
        <v>75732</v>
      </c>
      <c r="B14257" s="35">
        <v>1</v>
      </c>
      <c r="C14257" s="35">
        <v>0</v>
      </c>
      <c r="D14257" s="2">
        <f t="shared" si="222"/>
        <v>1</v>
      </c>
    </row>
    <row r="14258" spans="1:4" x14ac:dyDescent="0.3">
      <c r="A14258" s="34">
        <v>75733</v>
      </c>
      <c r="B14258" s="35">
        <v>1</v>
      </c>
      <c r="C14258" s="35">
        <v>0</v>
      </c>
      <c r="D14258" s="2">
        <f t="shared" si="222"/>
        <v>1</v>
      </c>
    </row>
    <row r="14259" spans="1:4" x14ac:dyDescent="0.3">
      <c r="A14259" s="34">
        <v>75734</v>
      </c>
      <c r="B14259" s="35">
        <v>1</v>
      </c>
      <c r="C14259" s="35">
        <v>0</v>
      </c>
      <c r="D14259" s="2">
        <f t="shared" si="222"/>
        <v>1</v>
      </c>
    </row>
    <row r="14260" spans="1:4" x14ac:dyDescent="0.3">
      <c r="A14260" s="34">
        <v>75736</v>
      </c>
      <c r="B14260" s="35">
        <v>1</v>
      </c>
      <c r="C14260" s="35">
        <v>0</v>
      </c>
      <c r="D14260" s="2">
        <f t="shared" si="222"/>
        <v>1</v>
      </c>
    </row>
    <row r="14261" spans="1:4" x14ac:dyDescent="0.3">
      <c r="A14261" s="34">
        <v>75738</v>
      </c>
      <c r="B14261" s="35">
        <v>1</v>
      </c>
      <c r="C14261" s="35">
        <v>0</v>
      </c>
      <c r="D14261" s="2">
        <f t="shared" si="222"/>
        <v>1</v>
      </c>
    </row>
    <row r="14262" spans="1:4" x14ac:dyDescent="0.3">
      <c r="A14262" s="34">
        <v>75739</v>
      </c>
      <c r="B14262" s="35">
        <v>1</v>
      </c>
      <c r="C14262" s="35">
        <v>0</v>
      </c>
      <c r="D14262" s="2">
        <f t="shared" si="222"/>
        <v>1</v>
      </c>
    </row>
    <row r="14263" spans="1:4" x14ac:dyDescent="0.3">
      <c r="A14263" s="34">
        <v>75740</v>
      </c>
      <c r="B14263" s="35">
        <v>1</v>
      </c>
      <c r="C14263" s="35">
        <v>0</v>
      </c>
      <c r="D14263" s="2">
        <f t="shared" si="222"/>
        <v>1</v>
      </c>
    </row>
    <row r="14264" spans="1:4" x14ac:dyDescent="0.3">
      <c r="A14264" s="34">
        <v>75741</v>
      </c>
      <c r="B14264" s="35">
        <v>1</v>
      </c>
      <c r="C14264" s="35">
        <v>0</v>
      </c>
      <c r="D14264" s="2">
        <f t="shared" si="222"/>
        <v>1</v>
      </c>
    </row>
    <row r="14265" spans="1:4" x14ac:dyDescent="0.3">
      <c r="A14265" s="34">
        <v>75742</v>
      </c>
      <c r="B14265" s="35">
        <v>1</v>
      </c>
      <c r="C14265" s="35">
        <v>0</v>
      </c>
      <c r="D14265" s="2">
        <f t="shared" si="222"/>
        <v>1</v>
      </c>
    </row>
    <row r="14266" spans="1:4" x14ac:dyDescent="0.3">
      <c r="A14266" s="34">
        <v>75743</v>
      </c>
      <c r="B14266" s="35">
        <v>1</v>
      </c>
      <c r="C14266" s="35">
        <v>0</v>
      </c>
      <c r="D14266" s="2">
        <f t="shared" si="222"/>
        <v>1</v>
      </c>
    </row>
    <row r="14267" spans="1:4" x14ac:dyDescent="0.3">
      <c r="A14267" s="34">
        <v>75753</v>
      </c>
      <c r="B14267" s="35">
        <v>1</v>
      </c>
      <c r="C14267" s="35">
        <v>0</v>
      </c>
      <c r="D14267" s="2">
        <f t="shared" si="222"/>
        <v>1</v>
      </c>
    </row>
    <row r="14268" spans="1:4" x14ac:dyDescent="0.3">
      <c r="A14268" s="34">
        <v>75754</v>
      </c>
      <c r="B14268" s="35">
        <v>1</v>
      </c>
      <c r="C14268" s="35">
        <v>0</v>
      </c>
      <c r="D14268" s="2">
        <f t="shared" si="222"/>
        <v>1</v>
      </c>
    </row>
    <row r="14269" spans="1:4" x14ac:dyDescent="0.3">
      <c r="A14269" s="34">
        <v>75755</v>
      </c>
      <c r="B14269" s="35">
        <v>1</v>
      </c>
      <c r="C14269" s="35">
        <v>0</v>
      </c>
      <c r="D14269" s="2">
        <f t="shared" si="222"/>
        <v>1</v>
      </c>
    </row>
    <row r="14270" spans="1:4" x14ac:dyDescent="0.3">
      <c r="A14270" s="34">
        <v>75768</v>
      </c>
      <c r="B14270" s="35">
        <v>1</v>
      </c>
      <c r="C14270" s="35">
        <v>0</v>
      </c>
      <c r="D14270" s="2">
        <f t="shared" si="222"/>
        <v>1</v>
      </c>
    </row>
    <row r="14271" spans="1:4" x14ac:dyDescent="0.3">
      <c r="A14271" s="34">
        <v>75769</v>
      </c>
      <c r="B14271" s="35">
        <v>1</v>
      </c>
      <c r="C14271" s="35">
        <v>0</v>
      </c>
      <c r="D14271" s="2">
        <f t="shared" si="222"/>
        <v>1</v>
      </c>
    </row>
    <row r="14272" spans="1:4" x14ac:dyDescent="0.3">
      <c r="A14272" s="34">
        <v>75771</v>
      </c>
      <c r="B14272" s="35">
        <v>1</v>
      </c>
      <c r="C14272" s="35">
        <v>0</v>
      </c>
      <c r="D14272" s="2">
        <f t="shared" si="222"/>
        <v>1</v>
      </c>
    </row>
    <row r="14273" spans="1:4" x14ac:dyDescent="0.3">
      <c r="A14273" s="34">
        <v>75772</v>
      </c>
      <c r="B14273" s="35">
        <v>1</v>
      </c>
      <c r="C14273" s="35">
        <v>0</v>
      </c>
      <c r="D14273" s="2">
        <f t="shared" si="222"/>
        <v>1</v>
      </c>
    </row>
    <row r="14274" spans="1:4" x14ac:dyDescent="0.3">
      <c r="A14274" s="34">
        <v>75773</v>
      </c>
      <c r="B14274" s="35">
        <v>1</v>
      </c>
      <c r="C14274" s="35">
        <v>0</v>
      </c>
      <c r="D14274" s="2">
        <f t="shared" si="222"/>
        <v>1</v>
      </c>
    </row>
    <row r="14275" spans="1:4" x14ac:dyDescent="0.3">
      <c r="A14275" s="34">
        <v>75775</v>
      </c>
      <c r="B14275" s="35">
        <v>1</v>
      </c>
      <c r="C14275" s="35">
        <v>0</v>
      </c>
      <c r="D14275" s="2">
        <f t="shared" ref="D14275:D14338" si="223">B14275+C14275</f>
        <v>1</v>
      </c>
    </row>
    <row r="14276" spans="1:4" x14ac:dyDescent="0.3">
      <c r="A14276" s="34">
        <v>75776</v>
      </c>
      <c r="B14276" s="35">
        <v>1</v>
      </c>
      <c r="C14276" s="35">
        <v>0</v>
      </c>
      <c r="D14276" s="2">
        <f t="shared" si="223"/>
        <v>1</v>
      </c>
    </row>
    <row r="14277" spans="1:4" x14ac:dyDescent="0.3">
      <c r="A14277" s="34">
        <v>75777</v>
      </c>
      <c r="B14277" s="35">
        <v>1</v>
      </c>
      <c r="C14277" s="35">
        <v>0</v>
      </c>
      <c r="D14277" s="2">
        <f t="shared" si="223"/>
        <v>1</v>
      </c>
    </row>
    <row r="14278" spans="1:4" x14ac:dyDescent="0.3">
      <c r="A14278" s="34">
        <v>75778</v>
      </c>
      <c r="B14278" s="35">
        <v>1</v>
      </c>
      <c r="C14278" s="35">
        <v>0</v>
      </c>
      <c r="D14278" s="2">
        <f t="shared" si="223"/>
        <v>1</v>
      </c>
    </row>
    <row r="14279" spans="1:4" x14ac:dyDescent="0.3">
      <c r="A14279" s="34">
        <v>75779</v>
      </c>
      <c r="B14279" s="35">
        <v>1</v>
      </c>
      <c r="C14279" s="35">
        <v>0</v>
      </c>
      <c r="D14279" s="2">
        <f t="shared" si="223"/>
        <v>1</v>
      </c>
    </row>
    <row r="14280" spans="1:4" x14ac:dyDescent="0.3">
      <c r="A14280" s="34">
        <v>75780</v>
      </c>
      <c r="B14280" s="35">
        <v>1</v>
      </c>
      <c r="C14280" s="35">
        <v>0</v>
      </c>
      <c r="D14280" s="2">
        <f t="shared" si="223"/>
        <v>1</v>
      </c>
    </row>
    <row r="14281" spans="1:4" x14ac:dyDescent="0.3">
      <c r="A14281" s="34">
        <v>75781</v>
      </c>
      <c r="B14281" s="35">
        <v>1</v>
      </c>
      <c r="C14281" s="35">
        <v>1</v>
      </c>
      <c r="D14281" s="2">
        <f t="shared" si="223"/>
        <v>2</v>
      </c>
    </row>
    <row r="14282" spans="1:4" x14ac:dyDescent="0.3">
      <c r="A14282" s="34">
        <v>75782</v>
      </c>
      <c r="B14282" s="35">
        <v>1</v>
      </c>
      <c r="C14282" s="35">
        <v>0</v>
      </c>
      <c r="D14282" s="2">
        <f t="shared" si="223"/>
        <v>1</v>
      </c>
    </row>
    <row r="14283" spans="1:4" x14ac:dyDescent="0.3">
      <c r="A14283" s="34">
        <v>75783</v>
      </c>
      <c r="B14283" s="35">
        <v>1</v>
      </c>
      <c r="C14283" s="35">
        <v>0</v>
      </c>
      <c r="D14283" s="2">
        <f t="shared" si="223"/>
        <v>1</v>
      </c>
    </row>
    <row r="14284" spans="1:4" x14ac:dyDescent="0.3">
      <c r="A14284" s="34">
        <v>75784</v>
      </c>
      <c r="B14284" s="35">
        <v>1</v>
      </c>
      <c r="C14284" s="35">
        <v>1</v>
      </c>
      <c r="D14284" s="2">
        <f t="shared" si="223"/>
        <v>2</v>
      </c>
    </row>
    <row r="14285" spans="1:4" x14ac:dyDescent="0.3">
      <c r="A14285" s="34">
        <v>75785</v>
      </c>
      <c r="B14285" s="35">
        <v>1</v>
      </c>
      <c r="C14285" s="35">
        <v>0</v>
      </c>
      <c r="D14285" s="2">
        <f t="shared" si="223"/>
        <v>1</v>
      </c>
    </row>
    <row r="14286" spans="1:4" x14ac:dyDescent="0.3">
      <c r="A14286" s="34">
        <v>75787</v>
      </c>
      <c r="B14286" s="35">
        <v>1</v>
      </c>
      <c r="C14286" s="35">
        <v>1</v>
      </c>
      <c r="D14286" s="2">
        <f t="shared" si="223"/>
        <v>2</v>
      </c>
    </row>
    <row r="14287" spans="1:4" x14ac:dyDescent="0.3">
      <c r="A14287" s="34">
        <v>75788</v>
      </c>
      <c r="B14287" s="35">
        <v>1</v>
      </c>
      <c r="C14287" s="35">
        <v>0</v>
      </c>
      <c r="D14287" s="2">
        <f t="shared" si="223"/>
        <v>1</v>
      </c>
    </row>
    <row r="14288" spans="1:4" x14ac:dyDescent="0.3">
      <c r="A14288" s="34">
        <v>75789</v>
      </c>
      <c r="B14288" s="35">
        <v>1</v>
      </c>
      <c r="C14288" s="35">
        <v>1</v>
      </c>
      <c r="D14288" s="2">
        <f t="shared" si="223"/>
        <v>2</v>
      </c>
    </row>
    <row r="14289" spans="1:4" x14ac:dyDescent="0.3">
      <c r="A14289" s="34">
        <v>75790</v>
      </c>
      <c r="B14289" s="35">
        <v>1</v>
      </c>
      <c r="C14289" s="35">
        <v>0</v>
      </c>
      <c r="D14289" s="2">
        <f t="shared" si="223"/>
        <v>1</v>
      </c>
    </row>
    <row r="14290" spans="1:4" x14ac:dyDescent="0.3">
      <c r="A14290" s="34">
        <v>75791</v>
      </c>
      <c r="B14290" s="35">
        <v>1</v>
      </c>
      <c r="C14290" s="35">
        <v>0</v>
      </c>
      <c r="D14290" s="2">
        <f t="shared" si="223"/>
        <v>1</v>
      </c>
    </row>
    <row r="14291" spans="1:4" x14ac:dyDescent="0.3">
      <c r="A14291" s="34">
        <v>75792</v>
      </c>
      <c r="B14291" s="35">
        <v>1</v>
      </c>
      <c r="C14291" s="35">
        <v>1</v>
      </c>
      <c r="D14291" s="2">
        <f t="shared" si="223"/>
        <v>2</v>
      </c>
    </row>
    <row r="14292" spans="1:4" x14ac:dyDescent="0.3">
      <c r="A14292" s="34">
        <v>75793</v>
      </c>
      <c r="B14292" s="35">
        <v>1</v>
      </c>
      <c r="C14292" s="35">
        <v>1</v>
      </c>
      <c r="D14292" s="2">
        <f t="shared" si="223"/>
        <v>2</v>
      </c>
    </row>
    <row r="14293" spans="1:4" x14ac:dyDescent="0.3">
      <c r="A14293" s="34">
        <v>75794</v>
      </c>
      <c r="B14293" s="35">
        <v>1</v>
      </c>
      <c r="C14293" s="35">
        <v>0</v>
      </c>
      <c r="D14293" s="2">
        <f t="shared" si="223"/>
        <v>1</v>
      </c>
    </row>
    <row r="14294" spans="1:4" x14ac:dyDescent="0.3">
      <c r="A14294" s="34">
        <v>75795</v>
      </c>
      <c r="B14294" s="35">
        <v>1</v>
      </c>
      <c r="C14294" s="35">
        <v>0</v>
      </c>
      <c r="D14294" s="2">
        <f t="shared" si="223"/>
        <v>1</v>
      </c>
    </row>
    <row r="14295" spans="1:4" x14ac:dyDescent="0.3">
      <c r="A14295" s="34">
        <v>75796</v>
      </c>
      <c r="B14295" s="35">
        <v>3</v>
      </c>
      <c r="C14295" s="35">
        <v>2</v>
      </c>
      <c r="D14295" s="2">
        <f t="shared" si="223"/>
        <v>5</v>
      </c>
    </row>
    <row r="14296" spans="1:4" x14ac:dyDescent="0.3">
      <c r="A14296" s="34">
        <v>75798</v>
      </c>
      <c r="B14296" s="35">
        <v>1</v>
      </c>
      <c r="C14296" s="35">
        <v>0</v>
      </c>
      <c r="D14296" s="2">
        <f t="shared" si="223"/>
        <v>1</v>
      </c>
    </row>
    <row r="14297" spans="1:4" x14ac:dyDescent="0.3">
      <c r="A14297" s="34">
        <v>75799</v>
      </c>
      <c r="B14297" s="35">
        <v>1</v>
      </c>
      <c r="C14297" s="35">
        <v>0</v>
      </c>
      <c r="D14297" s="2">
        <f t="shared" si="223"/>
        <v>1</v>
      </c>
    </row>
    <row r="14298" spans="1:4" x14ac:dyDescent="0.3">
      <c r="A14298" s="34">
        <v>75800</v>
      </c>
      <c r="B14298" s="35">
        <v>1</v>
      </c>
      <c r="C14298" s="35">
        <v>0</v>
      </c>
      <c r="D14298" s="2">
        <f t="shared" si="223"/>
        <v>1</v>
      </c>
    </row>
    <row r="14299" spans="1:4" x14ac:dyDescent="0.3">
      <c r="A14299" s="34">
        <v>75801</v>
      </c>
      <c r="B14299" s="35">
        <v>1</v>
      </c>
      <c r="C14299" s="35">
        <v>0</v>
      </c>
      <c r="D14299" s="2">
        <f t="shared" si="223"/>
        <v>1</v>
      </c>
    </row>
    <row r="14300" spans="1:4" x14ac:dyDescent="0.3">
      <c r="A14300" s="34">
        <v>75802</v>
      </c>
      <c r="B14300" s="35">
        <v>1</v>
      </c>
      <c r="C14300" s="35">
        <v>0</v>
      </c>
      <c r="D14300" s="2">
        <f t="shared" si="223"/>
        <v>1</v>
      </c>
    </row>
    <row r="14301" spans="1:4" x14ac:dyDescent="0.3">
      <c r="A14301" s="34">
        <v>75803</v>
      </c>
      <c r="B14301" s="35">
        <v>1</v>
      </c>
      <c r="C14301" s="35">
        <v>0</v>
      </c>
      <c r="D14301" s="2">
        <f t="shared" si="223"/>
        <v>1</v>
      </c>
    </row>
    <row r="14302" spans="1:4" x14ac:dyDescent="0.3">
      <c r="A14302" s="34">
        <v>75828</v>
      </c>
      <c r="B14302" s="35">
        <v>1</v>
      </c>
      <c r="C14302" s="35">
        <v>0</v>
      </c>
      <c r="D14302" s="2">
        <f t="shared" si="223"/>
        <v>1</v>
      </c>
    </row>
    <row r="14303" spans="1:4" x14ac:dyDescent="0.3">
      <c r="A14303" s="34">
        <v>75829</v>
      </c>
      <c r="B14303" s="35">
        <v>1</v>
      </c>
      <c r="C14303" s="35">
        <v>0</v>
      </c>
      <c r="D14303" s="2">
        <f t="shared" si="223"/>
        <v>1</v>
      </c>
    </row>
    <row r="14304" spans="1:4" x14ac:dyDescent="0.3">
      <c r="A14304" s="34">
        <v>75831</v>
      </c>
      <c r="B14304" s="35">
        <v>1</v>
      </c>
      <c r="C14304" s="35">
        <v>0</v>
      </c>
      <c r="D14304" s="2">
        <f t="shared" si="223"/>
        <v>1</v>
      </c>
    </row>
    <row r="14305" spans="1:4" x14ac:dyDescent="0.3">
      <c r="A14305" s="34">
        <v>75832</v>
      </c>
      <c r="B14305" s="35">
        <v>1</v>
      </c>
      <c r="C14305" s="35">
        <v>1</v>
      </c>
      <c r="D14305" s="2">
        <f t="shared" si="223"/>
        <v>2</v>
      </c>
    </row>
    <row r="14306" spans="1:4" x14ac:dyDescent="0.3">
      <c r="A14306" s="34">
        <v>75833</v>
      </c>
      <c r="B14306" s="35">
        <v>1</v>
      </c>
      <c r="C14306" s="35">
        <v>0</v>
      </c>
      <c r="D14306" s="2">
        <f t="shared" si="223"/>
        <v>1</v>
      </c>
    </row>
    <row r="14307" spans="1:4" x14ac:dyDescent="0.3">
      <c r="A14307" s="34">
        <v>75834</v>
      </c>
      <c r="B14307" s="35">
        <v>1</v>
      </c>
      <c r="C14307" s="35">
        <v>0</v>
      </c>
      <c r="D14307" s="2">
        <f t="shared" si="223"/>
        <v>1</v>
      </c>
    </row>
    <row r="14308" spans="1:4" x14ac:dyDescent="0.3">
      <c r="A14308" s="34">
        <v>75835</v>
      </c>
      <c r="B14308" s="35">
        <v>1</v>
      </c>
      <c r="C14308" s="35">
        <v>0</v>
      </c>
      <c r="D14308" s="2">
        <f t="shared" si="223"/>
        <v>1</v>
      </c>
    </row>
    <row r="14309" spans="1:4" x14ac:dyDescent="0.3">
      <c r="A14309" s="34">
        <v>75837</v>
      </c>
      <c r="B14309" s="35">
        <v>1</v>
      </c>
      <c r="C14309" s="35">
        <v>0</v>
      </c>
      <c r="D14309" s="2">
        <f t="shared" si="223"/>
        <v>1</v>
      </c>
    </row>
    <row r="14310" spans="1:4" x14ac:dyDescent="0.3">
      <c r="A14310" s="34">
        <v>75839</v>
      </c>
      <c r="B14310" s="35">
        <v>1</v>
      </c>
      <c r="C14310" s="35">
        <v>1</v>
      </c>
      <c r="D14310" s="2">
        <f t="shared" si="223"/>
        <v>2</v>
      </c>
    </row>
    <row r="14311" spans="1:4" x14ac:dyDescent="0.3">
      <c r="A14311" s="34">
        <v>75840</v>
      </c>
      <c r="B14311" s="35">
        <v>1</v>
      </c>
      <c r="C14311" s="35">
        <v>0</v>
      </c>
      <c r="D14311" s="2">
        <f t="shared" si="223"/>
        <v>1</v>
      </c>
    </row>
    <row r="14312" spans="1:4" x14ac:dyDescent="0.3">
      <c r="A14312" s="34">
        <v>75841</v>
      </c>
      <c r="B14312" s="35">
        <v>1</v>
      </c>
      <c r="C14312" s="35">
        <v>0</v>
      </c>
      <c r="D14312" s="2">
        <f t="shared" si="223"/>
        <v>1</v>
      </c>
    </row>
    <row r="14313" spans="1:4" x14ac:dyDescent="0.3">
      <c r="A14313" s="34">
        <v>75842</v>
      </c>
      <c r="B14313" s="35">
        <v>1</v>
      </c>
      <c r="C14313" s="35">
        <v>0</v>
      </c>
      <c r="D14313" s="2">
        <f t="shared" si="223"/>
        <v>1</v>
      </c>
    </row>
    <row r="14314" spans="1:4" x14ac:dyDescent="0.3">
      <c r="A14314" s="34">
        <v>75843</v>
      </c>
      <c r="B14314" s="35">
        <v>1</v>
      </c>
      <c r="C14314" s="35">
        <v>0</v>
      </c>
      <c r="D14314" s="2">
        <f t="shared" si="223"/>
        <v>1</v>
      </c>
    </row>
    <row r="14315" spans="1:4" x14ac:dyDescent="0.3">
      <c r="A14315" s="34">
        <v>75844</v>
      </c>
      <c r="B14315" s="35">
        <v>1</v>
      </c>
      <c r="C14315" s="35">
        <v>0</v>
      </c>
      <c r="D14315" s="2">
        <f t="shared" si="223"/>
        <v>1</v>
      </c>
    </row>
    <row r="14316" spans="1:4" x14ac:dyDescent="0.3">
      <c r="A14316" s="34">
        <v>75845</v>
      </c>
      <c r="B14316" s="35">
        <v>1</v>
      </c>
      <c r="C14316" s="35">
        <v>1</v>
      </c>
      <c r="D14316" s="2">
        <f t="shared" si="223"/>
        <v>2</v>
      </c>
    </row>
    <row r="14317" spans="1:4" x14ac:dyDescent="0.3">
      <c r="A14317" s="34">
        <v>75846</v>
      </c>
      <c r="B14317" s="35">
        <v>1</v>
      </c>
      <c r="C14317" s="35">
        <v>0</v>
      </c>
      <c r="D14317" s="2">
        <f t="shared" si="223"/>
        <v>1</v>
      </c>
    </row>
    <row r="14318" spans="1:4" x14ac:dyDescent="0.3">
      <c r="A14318" s="34">
        <v>75847</v>
      </c>
      <c r="B14318" s="35">
        <v>1</v>
      </c>
      <c r="C14318" s="35">
        <v>0</v>
      </c>
      <c r="D14318" s="2">
        <f t="shared" si="223"/>
        <v>1</v>
      </c>
    </row>
    <row r="14319" spans="1:4" x14ac:dyDescent="0.3">
      <c r="A14319" s="34">
        <v>75848</v>
      </c>
      <c r="B14319" s="35">
        <v>1</v>
      </c>
      <c r="C14319" s="35">
        <v>0</v>
      </c>
      <c r="D14319" s="2">
        <f t="shared" si="223"/>
        <v>1</v>
      </c>
    </row>
    <row r="14320" spans="1:4" x14ac:dyDescent="0.3">
      <c r="A14320" s="34">
        <v>75849</v>
      </c>
      <c r="B14320" s="35">
        <v>1</v>
      </c>
      <c r="C14320" s="35">
        <v>0</v>
      </c>
      <c r="D14320" s="2">
        <f t="shared" si="223"/>
        <v>1</v>
      </c>
    </row>
    <row r="14321" spans="1:4" x14ac:dyDescent="0.3">
      <c r="A14321" s="34">
        <v>75850</v>
      </c>
      <c r="B14321" s="35">
        <v>1</v>
      </c>
      <c r="C14321" s="35">
        <v>0</v>
      </c>
      <c r="D14321" s="2">
        <f t="shared" si="223"/>
        <v>1</v>
      </c>
    </row>
    <row r="14322" spans="1:4" x14ac:dyDescent="0.3">
      <c r="A14322" s="34">
        <v>75851</v>
      </c>
      <c r="B14322" s="35">
        <v>1</v>
      </c>
      <c r="C14322" s="35">
        <v>0</v>
      </c>
      <c r="D14322" s="2">
        <f t="shared" si="223"/>
        <v>1</v>
      </c>
    </row>
    <row r="14323" spans="1:4" x14ac:dyDescent="0.3">
      <c r="A14323" s="34">
        <v>75852</v>
      </c>
      <c r="B14323" s="35">
        <v>1</v>
      </c>
      <c r="C14323" s="35">
        <v>0</v>
      </c>
      <c r="D14323" s="2">
        <f t="shared" si="223"/>
        <v>1</v>
      </c>
    </row>
    <row r="14324" spans="1:4" x14ac:dyDescent="0.3">
      <c r="A14324" s="34">
        <v>75853</v>
      </c>
      <c r="B14324" s="35">
        <v>1</v>
      </c>
      <c r="C14324" s="35">
        <v>0</v>
      </c>
      <c r="D14324" s="2">
        <f t="shared" si="223"/>
        <v>1</v>
      </c>
    </row>
    <row r="14325" spans="1:4" x14ac:dyDescent="0.3">
      <c r="A14325" s="34">
        <v>75854</v>
      </c>
      <c r="B14325" s="35">
        <v>1</v>
      </c>
      <c r="C14325" s="35">
        <v>0</v>
      </c>
      <c r="D14325" s="2">
        <f t="shared" si="223"/>
        <v>1</v>
      </c>
    </row>
    <row r="14326" spans="1:4" x14ac:dyDescent="0.3">
      <c r="A14326" s="34">
        <v>75873</v>
      </c>
      <c r="B14326" s="35">
        <v>1</v>
      </c>
      <c r="C14326" s="35">
        <v>0</v>
      </c>
      <c r="D14326" s="2">
        <f t="shared" si="223"/>
        <v>1</v>
      </c>
    </row>
    <row r="14327" spans="1:4" x14ac:dyDescent="0.3">
      <c r="A14327" s="34">
        <v>75874</v>
      </c>
      <c r="B14327" s="35">
        <v>1</v>
      </c>
      <c r="C14327" s="35">
        <v>0</v>
      </c>
      <c r="D14327" s="2">
        <f t="shared" si="223"/>
        <v>1</v>
      </c>
    </row>
    <row r="14328" spans="1:4" x14ac:dyDescent="0.3">
      <c r="A14328" s="34">
        <v>75875</v>
      </c>
      <c r="B14328" s="35">
        <v>1</v>
      </c>
      <c r="C14328" s="35">
        <v>0</v>
      </c>
      <c r="D14328" s="2">
        <f t="shared" si="223"/>
        <v>1</v>
      </c>
    </row>
    <row r="14329" spans="1:4" x14ac:dyDescent="0.3">
      <c r="A14329" s="34">
        <v>75876</v>
      </c>
      <c r="B14329" s="35">
        <v>1</v>
      </c>
      <c r="C14329" s="35">
        <v>0</v>
      </c>
      <c r="D14329" s="2">
        <f t="shared" si="223"/>
        <v>1</v>
      </c>
    </row>
    <row r="14330" spans="1:4" x14ac:dyDescent="0.3">
      <c r="A14330" s="34">
        <v>75877</v>
      </c>
      <c r="B14330" s="35">
        <v>1</v>
      </c>
      <c r="C14330" s="35">
        <v>0</v>
      </c>
      <c r="D14330" s="2">
        <f t="shared" si="223"/>
        <v>1</v>
      </c>
    </row>
    <row r="14331" spans="1:4" x14ac:dyDescent="0.3">
      <c r="A14331" s="34">
        <v>75878</v>
      </c>
      <c r="B14331" s="35">
        <v>1</v>
      </c>
      <c r="C14331" s="35">
        <v>0</v>
      </c>
      <c r="D14331" s="2">
        <f t="shared" si="223"/>
        <v>1</v>
      </c>
    </row>
    <row r="14332" spans="1:4" x14ac:dyDescent="0.3">
      <c r="A14332" s="34">
        <v>75879</v>
      </c>
      <c r="B14332" s="35">
        <v>1</v>
      </c>
      <c r="C14332" s="35">
        <v>0</v>
      </c>
      <c r="D14332" s="2">
        <f t="shared" si="223"/>
        <v>1</v>
      </c>
    </row>
    <row r="14333" spans="1:4" x14ac:dyDescent="0.3">
      <c r="A14333" s="34">
        <v>75880</v>
      </c>
      <c r="B14333" s="35">
        <v>1</v>
      </c>
      <c r="C14333" s="35">
        <v>0</v>
      </c>
      <c r="D14333" s="2">
        <f t="shared" si="223"/>
        <v>1</v>
      </c>
    </row>
    <row r="14334" spans="1:4" x14ac:dyDescent="0.3">
      <c r="A14334" s="34">
        <v>75881</v>
      </c>
      <c r="B14334" s="35">
        <v>1</v>
      </c>
      <c r="C14334" s="35">
        <v>0</v>
      </c>
      <c r="D14334" s="2">
        <f t="shared" si="223"/>
        <v>1</v>
      </c>
    </row>
    <row r="14335" spans="1:4" x14ac:dyDescent="0.3">
      <c r="A14335" s="34">
        <v>75885</v>
      </c>
      <c r="B14335" s="35">
        <v>1</v>
      </c>
      <c r="C14335" s="35">
        <v>0</v>
      </c>
      <c r="D14335" s="2">
        <f t="shared" si="223"/>
        <v>1</v>
      </c>
    </row>
    <row r="14336" spans="1:4" x14ac:dyDescent="0.3">
      <c r="A14336" s="34">
        <v>75886</v>
      </c>
      <c r="B14336" s="35">
        <v>1</v>
      </c>
      <c r="C14336" s="35">
        <v>0</v>
      </c>
      <c r="D14336" s="2">
        <f t="shared" si="223"/>
        <v>1</v>
      </c>
    </row>
    <row r="14337" spans="1:4" x14ac:dyDescent="0.3">
      <c r="A14337" s="34">
        <v>75887</v>
      </c>
      <c r="B14337" s="35">
        <v>1</v>
      </c>
      <c r="C14337" s="35">
        <v>0</v>
      </c>
      <c r="D14337" s="2">
        <f t="shared" si="223"/>
        <v>1</v>
      </c>
    </row>
    <row r="14338" spans="1:4" x14ac:dyDescent="0.3">
      <c r="A14338" s="34">
        <v>75888</v>
      </c>
      <c r="B14338" s="35">
        <v>1</v>
      </c>
      <c r="C14338" s="35">
        <v>0</v>
      </c>
      <c r="D14338" s="2">
        <f t="shared" si="223"/>
        <v>1</v>
      </c>
    </row>
    <row r="14339" spans="1:4" x14ac:dyDescent="0.3">
      <c r="A14339" s="34">
        <v>75889</v>
      </c>
      <c r="B14339" s="35">
        <v>1</v>
      </c>
      <c r="C14339" s="35">
        <v>0</v>
      </c>
      <c r="D14339" s="2">
        <f t="shared" ref="D14339:D14402" si="224">B14339+C14339</f>
        <v>1</v>
      </c>
    </row>
    <row r="14340" spans="1:4" x14ac:dyDescent="0.3">
      <c r="A14340" s="34">
        <v>75890</v>
      </c>
      <c r="B14340" s="35">
        <v>1</v>
      </c>
      <c r="C14340" s="35">
        <v>0</v>
      </c>
      <c r="D14340" s="2">
        <f t="shared" si="224"/>
        <v>1</v>
      </c>
    </row>
    <row r="14341" spans="1:4" x14ac:dyDescent="0.3">
      <c r="A14341" s="34">
        <v>75891</v>
      </c>
      <c r="B14341" s="35">
        <v>1</v>
      </c>
      <c r="C14341" s="35">
        <v>0</v>
      </c>
      <c r="D14341" s="2">
        <f t="shared" si="224"/>
        <v>1</v>
      </c>
    </row>
    <row r="14342" spans="1:4" x14ac:dyDescent="0.3">
      <c r="A14342" s="34">
        <v>75892</v>
      </c>
      <c r="B14342" s="35">
        <v>1</v>
      </c>
      <c r="C14342" s="35">
        <v>0</v>
      </c>
      <c r="D14342" s="2">
        <f t="shared" si="224"/>
        <v>1</v>
      </c>
    </row>
    <row r="14343" spans="1:4" x14ac:dyDescent="0.3">
      <c r="A14343" s="34">
        <v>75893</v>
      </c>
      <c r="B14343" s="35">
        <v>1</v>
      </c>
      <c r="C14343" s="35">
        <v>0</v>
      </c>
      <c r="D14343" s="2">
        <f t="shared" si="224"/>
        <v>1</v>
      </c>
    </row>
    <row r="14344" spans="1:4" x14ac:dyDescent="0.3">
      <c r="A14344" s="34">
        <v>75895</v>
      </c>
      <c r="B14344" s="35">
        <v>1</v>
      </c>
      <c r="C14344" s="35">
        <v>0</v>
      </c>
      <c r="D14344" s="2">
        <f t="shared" si="224"/>
        <v>1</v>
      </c>
    </row>
    <row r="14345" spans="1:4" x14ac:dyDescent="0.3">
      <c r="A14345" s="34">
        <v>75896</v>
      </c>
      <c r="B14345" s="35">
        <v>1</v>
      </c>
      <c r="C14345" s="35">
        <v>0</v>
      </c>
      <c r="D14345" s="2">
        <f t="shared" si="224"/>
        <v>1</v>
      </c>
    </row>
    <row r="14346" spans="1:4" x14ac:dyDescent="0.3">
      <c r="A14346" s="34">
        <v>75897</v>
      </c>
      <c r="B14346" s="35">
        <v>1</v>
      </c>
      <c r="C14346" s="35">
        <v>0</v>
      </c>
      <c r="D14346" s="2">
        <f t="shared" si="224"/>
        <v>1</v>
      </c>
    </row>
    <row r="14347" spans="1:4" x14ac:dyDescent="0.3">
      <c r="A14347" s="34">
        <v>75898</v>
      </c>
      <c r="B14347" s="35">
        <v>1</v>
      </c>
      <c r="C14347" s="35">
        <v>0</v>
      </c>
      <c r="D14347" s="2">
        <f t="shared" si="224"/>
        <v>1</v>
      </c>
    </row>
    <row r="14348" spans="1:4" x14ac:dyDescent="0.3">
      <c r="A14348" s="34">
        <v>75899</v>
      </c>
      <c r="B14348" s="35">
        <v>1</v>
      </c>
      <c r="C14348" s="35">
        <v>0</v>
      </c>
      <c r="D14348" s="2">
        <f t="shared" si="224"/>
        <v>1</v>
      </c>
    </row>
    <row r="14349" spans="1:4" x14ac:dyDescent="0.3">
      <c r="A14349" s="34">
        <v>75900</v>
      </c>
      <c r="B14349" s="35">
        <v>1</v>
      </c>
      <c r="C14349" s="35">
        <v>0</v>
      </c>
      <c r="D14349" s="2">
        <f t="shared" si="224"/>
        <v>1</v>
      </c>
    </row>
    <row r="14350" spans="1:4" x14ac:dyDescent="0.3">
      <c r="A14350" s="34">
        <v>75903</v>
      </c>
      <c r="B14350" s="35">
        <v>1</v>
      </c>
      <c r="C14350" s="35">
        <v>0</v>
      </c>
      <c r="D14350" s="2">
        <f t="shared" si="224"/>
        <v>1</v>
      </c>
    </row>
    <row r="14351" spans="1:4" x14ac:dyDescent="0.3">
      <c r="A14351" s="34">
        <v>75904</v>
      </c>
      <c r="B14351" s="35">
        <v>1</v>
      </c>
      <c r="C14351" s="35">
        <v>0</v>
      </c>
      <c r="D14351" s="2">
        <f t="shared" si="224"/>
        <v>1</v>
      </c>
    </row>
    <row r="14352" spans="1:4" x14ac:dyDescent="0.3">
      <c r="A14352" s="34">
        <v>75905</v>
      </c>
      <c r="B14352" s="35">
        <v>1</v>
      </c>
      <c r="C14352" s="35">
        <v>0</v>
      </c>
      <c r="D14352" s="2">
        <f t="shared" si="224"/>
        <v>1</v>
      </c>
    </row>
    <row r="14353" spans="1:4" x14ac:dyDescent="0.3">
      <c r="A14353" s="34">
        <v>75907</v>
      </c>
      <c r="B14353" s="35">
        <v>1</v>
      </c>
      <c r="C14353" s="35">
        <v>1</v>
      </c>
      <c r="D14353" s="2">
        <f t="shared" si="224"/>
        <v>2</v>
      </c>
    </row>
    <row r="14354" spans="1:4" x14ac:dyDescent="0.3">
      <c r="A14354" s="34">
        <v>75908</v>
      </c>
      <c r="B14354" s="35">
        <v>1</v>
      </c>
      <c r="C14354" s="35">
        <v>1</v>
      </c>
      <c r="D14354" s="2">
        <f t="shared" si="224"/>
        <v>2</v>
      </c>
    </row>
    <row r="14355" spans="1:4" x14ac:dyDescent="0.3">
      <c r="A14355" s="34">
        <v>75911</v>
      </c>
      <c r="B14355" s="35">
        <v>1</v>
      </c>
      <c r="C14355" s="35">
        <v>0</v>
      </c>
      <c r="D14355" s="2">
        <f t="shared" si="224"/>
        <v>1</v>
      </c>
    </row>
    <row r="14356" spans="1:4" x14ac:dyDescent="0.3">
      <c r="A14356" s="34">
        <v>75912</v>
      </c>
      <c r="B14356" s="35">
        <v>1</v>
      </c>
      <c r="C14356" s="35">
        <v>0</v>
      </c>
      <c r="D14356" s="2">
        <f t="shared" si="224"/>
        <v>1</v>
      </c>
    </row>
    <row r="14357" spans="1:4" x14ac:dyDescent="0.3">
      <c r="A14357" s="34">
        <v>75913</v>
      </c>
      <c r="B14357" s="35">
        <v>1</v>
      </c>
      <c r="C14357" s="35">
        <v>1</v>
      </c>
      <c r="D14357" s="2">
        <f t="shared" si="224"/>
        <v>2</v>
      </c>
    </row>
    <row r="14358" spans="1:4" x14ac:dyDescent="0.3">
      <c r="A14358" s="34">
        <v>75921</v>
      </c>
      <c r="B14358" s="35">
        <v>1</v>
      </c>
      <c r="C14358" s="35">
        <v>0</v>
      </c>
      <c r="D14358" s="2">
        <f t="shared" si="224"/>
        <v>1</v>
      </c>
    </row>
    <row r="14359" spans="1:4" x14ac:dyDescent="0.3">
      <c r="A14359" s="34">
        <v>75922</v>
      </c>
      <c r="B14359" s="35">
        <v>1</v>
      </c>
      <c r="C14359" s="35">
        <v>0</v>
      </c>
      <c r="D14359" s="2">
        <f t="shared" si="224"/>
        <v>1</v>
      </c>
    </row>
    <row r="14360" spans="1:4" x14ac:dyDescent="0.3">
      <c r="A14360" s="34">
        <v>75924</v>
      </c>
      <c r="B14360" s="35">
        <v>1</v>
      </c>
      <c r="C14360" s="35">
        <v>1</v>
      </c>
      <c r="D14360" s="2">
        <f t="shared" si="224"/>
        <v>2</v>
      </c>
    </row>
    <row r="14361" spans="1:4" x14ac:dyDescent="0.3">
      <c r="A14361" s="34">
        <v>75925</v>
      </c>
      <c r="B14361" s="35">
        <v>1</v>
      </c>
      <c r="C14361" s="35">
        <v>0</v>
      </c>
      <c r="D14361" s="2">
        <f t="shared" si="224"/>
        <v>1</v>
      </c>
    </row>
    <row r="14362" spans="1:4" x14ac:dyDescent="0.3">
      <c r="A14362" s="34">
        <v>75926</v>
      </c>
      <c r="B14362" s="35">
        <v>1</v>
      </c>
      <c r="C14362" s="35">
        <v>1</v>
      </c>
      <c r="D14362" s="2">
        <f t="shared" si="224"/>
        <v>2</v>
      </c>
    </row>
    <row r="14363" spans="1:4" x14ac:dyDescent="0.3">
      <c r="A14363" s="34">
        <v>75927</v>
      </c>
      <c r="B14363" s="35">
        <v>1</v>
      </c>
      <c r="C14363" s="35">
        <v>0</v>
      </c>
      <c r="D14363" s="2">
        <f t="shared" si="224"/>
        <v>1</v>
      </c>
    </row>
    <row r="14364" spans="1:4" x14ac:dyDescent="0.3">
      <c r="A14364" s="34">
        <v>75928</v>
      </c>
      <c r="B14364" s="35">
        <v>1</v>
      </c>
      <c r="C14364" s="35">
        <v>0</v>
      </c>
      <c r="D14364" s="2">
        <f t="shared" si="224"/>
        <v>1</v>
      </c>
    </row>
    <row r="14365" spans="1:4" x14ac:dyDescent="0.3">
      <c r="A14365" s="34">
        <v>75929</v>
      </c>
      <c r="B14365" s="35">
        <v>1</v>
      </c>
      <c r="C14365" s="35">
        <v>1</v>
      </c>
      <c r="D14365" s="2">
        <f t="shared" si="224"/>
        <v>2</v>
      </c>
    </row>
    <row r="14366" spans="1:4" x14ac:dyDescent="0.3">
      <c r="A14366" s="34">
        <v>75930</v>
      </c>
      <c r="B14366" s="35">
        <v>1</v>
      </c>
      <c r="C14366" s="35">
        <v>0</v>
      </c>
      <c r="D14366" s="2">
        <f t="shared" si="224"/>
        <v>1</v>
      </c>
    </row>
    <row r="14367" spans="1:4" x14ac:dyDescent="0.3">
      <c r="A14367" s="34">
        <v>75932</v>
      </c>
      <c r="B14367" s="35">
        <v>1</v>
      </c>
      <c r="C14367" s="35">
        <v>0</v>
      </c>
      <c r="D14367" s="2">
        <f t="shared" si="224"/>
        <v>1</v>
      </c>
    </row>
    <row r="14368" spans="1:4" x14ac:dyDescent="0.3">
      <c r="A14368" s="34">
        <v>75933</v>
      </c>
      <c r="B14368" s="35">
        <v>1</v>
      </c>
      <c r="C14368" s="35">
        <v>1</v>
      </c>
      <c r="D14368" s="2">
        <f t="shared" si="224"/>
        <v>2</v>
      </c>
    </row>
    <row r="14369" spans="1:4" x14ac:dyDescent="0.3">
      <c r="A14369" s="34">
        <v>75935</v>
      </c>
      <c r="B14369" s="35">
        <v>1</v>
      </c>
      <c r="C14369" s="35">
        <v>0</v>
      </c>
      <c r="D14369" s="2">
        <f t="shared" si="224"/>
        <v>1</v>
      </c>
    </row>
    <row r="14370" spans="1:4" x14ac:dyDescent="0.3">
      <c r="A14370" s="34">
        <v>75936</v>
      </c>
      <c r="B14370" s="35">
        <v>1</v>
      </c>
      <c r="C14370" s="35">
        <v>0</v>
      </c>
      <c r="D14370" s="2">
        <f t="shared" si="224"/>
        <v>1</v>
      </c>
    </row>
    <row r="14371" spans="1:4" x14ac:dyDescent="0.3">
      <c r="A14371" s="34">
        <v>75938</v>
      </c>
      <c r="B14371" s="35">
        <v>1</v>
      </c>
      <c r="C14371" s="35">
        <v>0</v>
      </c>
      <c r="D14371" s="2">
        <f t="shared" si="224"/>
        <v>1</v>
      </c>
    </row>
    <row r="14372" spans="1:4" x14ac:dyDescent="0.3">
      <c r="A14372" s="34">
        <v>75939</v>
      </c>
      <c r="B14372" s="35">
        <v>1</v>
      </c>
      <c r="C14372" s="35">
        <v>0</v>
      </c>
      <c r="D14372" s="2">
        <f t="shared" si="224"/>
        <v>1</v>
      </c>
    </row>
    <row r="14373" spans="1:4" x14ac:dyDescent="0.3">
      <c r="A14373" s="34">
        <v>75940</v>
      </c>
      <c r="B14373" s="35">
        <v>1</v>
      </c>
      <c r="C14373" s="35">
        <v>0</v>
      </c>
      <c r="D14373" s="2">
        <f t="shared" si="224"/>
        <v>1</v>
      </c>
    </row>
    <row r="14374" spans="1:4" x14ac:dyDescent="0.3">
      <c r="A14374" s="34">
        <v>75942</v>
      </c>
      <c r="B14374" s="35">
        <v>1</v>
      </c>
      <c r="C14374" s="35">
        <v>0</v>
      </c>
      <c r="D14374" s="2">
        <f t="shared" si="224"/>
        <v>1</v>
      </c>
    </row>
    <row r="14375" spans="1:4" x14ac:dyDescent="0.3">
      <c r="A14375" s="34">
        <v>75943</v>
      </c>
      <c r="B14375" s="35">
        <v>1</v>
      </c>
      <c r="C14375" s="35">
        <v>0</v>
      </c>
      <c r="D14375" s="2">
        <f t="shared" si="224"/>
        <v>1</v>
      </c>
    </row>
    <row r="14376" spans="1:4" x14ac:dyDescent="0.3">
      <c r="A14376" s="34">
        <v>75944</v>
      </c>
      <c r="B14376" s="35">
        <v>1</v>
      </c>
      <c r="C14376" s="35">
        <v>0</v>
      </c>
      <c r="D14376" s="2">
        <f t="shared" si="224"/>
        <v>1</v>
      </c>
    </row>
    <row r="14377" spans="1:4" x14ac:dyDescent="0.3">
      <c r="A14377" s="34">
        <v>75946</v>
      </c>
      <c r="B14377" s="35">
        <v>1</v>
      </c>
      <c r="C14377" s="35">
        <v>0</v>
      </c>
      <c r="D14377" s="2">
        <f t="shared" si="224"/>
        <v>1</v>
      </c>
    </row>
    <row r="14378" spans="1:4" x14ac:dyDescent="0.3">
      <c r="A14378" s="34">
        <v>75948</v>
      </c>
      <c r="B14378" s="35">
        <v>1</v>
      </c>
      <c r="C14378" s="35">
        <v>1</v>
      </c>
      <c r="D14378" s="2">
        <f t="shared" si="224"/>
        <v>2</v>
      </c>
    </row>
    <row r="14379" spans="1:4" x14ac:dyDescent="0.3">
      <c r="A14379" s="34">
        <v>75949</v>
      </c>
      <c r="B14379" s="35">
        <v>1</v>
      </c>
      <c r="C14379" s="35">
        <v>0</v>
      </c>
      <c r="D14379" s="2">
        <f t="shared" si="224"/>
        <v>1</v>
      </c>
    </row>
    <row r="14380" spans="1:4" x14ac:dyDescent="0.3">
      <c r="A14380" s="34">
        <v>75950</v>
      </c>
      <c r="B14380" s="35">
        <v>1</v>
      </c>
      <c r="C14380" s="35">
        <v>0</v>
      </c>
      <c r="D14380" s="2">
        <f t="shared" si="224"/>
        <v>1</v>
      </c>
    </row>
    <row r="14381" spans="1:4" x14ac:dyDescent="0.3">
      <c r="A14381" s="34">
        <v>75951</v>
      </c>
      <c r="B14381" s="35">
        <v>1</v>
      </c>
      <c r="C14381" s="35">
        <v>0</v>
      </c>
      <c r="D14381" s="2">
        <f t="shared" si="224"/>
        <v>1</v>
      </c>
    </row>
    <row r="14382" spans="1:4" x14ac:dyDescent="0.3">
      <c r="A14382" s="34">
        <v>75952</v>
      </c>
      <c r="B14382" s="35">
        <v>1</v>
      </c>
      <c r="C14382" s="35">
        <v>0</v>
      </c>
      <c r="D14382" s="2">
        <f t="shared" si="224"/>
        <v>1</v>
      </c>
    </row>
    <row r="14383" spans="1:4" x14ac:dyDescent="0.3">
      <c r="A14383" s="34">
        <v>75981</v>
      </c>
      <c r="B14383" s="35">
        <v>1</v>
      </c>
      <c r="C14383" s="35">
        <v>0</v>
      </c>
      <c r="D14383" s="2">
        <f t="shared" si="224"/>
        <v>1</v>
      </c>
    </row>
    <row r="14384" spans="1:4" x14ac:dyDescent="0.3">
      <c r="A14384" s="34">
        <v>75984</v>
      </c>
      <c r="B14384" s="35">
        <v>1</v>
      </c>
      <c r="C14384" s="35">
        <v>0</v>
      </c>
      <c r="D14384" s="2">
        <f t="shared" si="224"/>
        <v>1</v>
      </c>
    </row>
    <row r="14385" spans="1:4" x14ac:dyDescent="0.3">
      <c r="A14385" s="34">
        <v>75985</v>
      </c>
      <c r="B14385" s="35">
        <v>1</v>
      </c>
      <c r="C14385" s="35">
        <v>0</v>
      </c>
      <c r="D14385" s="2">
        <f t="shared" si="224"/>
        <v>1</v>
      </c>
    </row>
    <row r="14386" spans="1:4" x14ac:dyDescent="0.3">
      <c r="A14386" s="34">
        <v>75986</v>
      </c>
      <c r="B14386" s="35">
        <v>1</v>
      </c>
      <c r="C14386" s="35">
        <v>0</v>
      </c>
      <c r="D14386" s="2">
        <f t="shared" si="224"/>
        <v>1</v>
      </c>
    </row>
    <row r="14387" spans="1:4" x14ac:dyDescent="0.3">
      <c r="A14387" s="34">
        <v>75990</v>
      </c>
      <c r="B14387" s="35">
        <v>1</v>
      </c>
      <c r="C14387" s="35">
        <v>0</v>
      </c>
      <c r="D14387" s="2">
        <f t="shared" si="224"/>
        <v>1</v>
      </c>
    </row>
    <row r="14388" spans="1:4" x14ac:dyDescent="0.3">
      <c r="A14388" s="34">
        <v>75991</v>
      </c>
      <c r="B14388" s="35">
        <v>1</v>
      </c>
      <c r="C14388" s="35">
        <v>0</v>
      </c>
      <c r="D14388" s="2">
        <f t="shared" si="224"/>
        <v>1</v>
      </c>
    </row>
    <row r="14389" spans="1:4" x14ac:dyDescent="0.3">
      <c r="A14389" s="34">
        <v>75992</v>
      </c>
      <c r="B14389" s="35">
        <v>1</v>
      </c>
      <c r="C14389" s="35">
        <v>0</v>
      </c>
      <c r="D14389" s="2">
        <f t="shared" si="224"/>
        <v>1</v>
      </c>
    </row>
    <row r="14390" spans="1:4" x14ac:dyDescent="0.3">
      <c r="A14390" s="34">
        <v>75994</v>
      </c>
      <c r="B14390" s="35">
        <v>1</v>
      </c>
      <c r="C14390" s="35">
        <v>1</v>
      </c>
      <c r="D14390" s="2">
        <f t="shared" si="224"/>
        <v>2</v>
      </c>
    </row>
    <row r="14391" spans="1:4" x14ac:dyDescent="0.3">
      <c r="A14391" s="34">
        <v>75995</v>
      </c>
      <c r="B14391" s="35">
        <v>1</v>
      </c>
      <c r="C14391" s="35">
        <v>0</v>
      </c>
      <c r="D14391" s="2">
        <f t="shared" si="224"/>
        <v>1</v>
      </c>
    </row>
    <row r="14392" spans="1:4" x14ac:dyDescent="0.3">
      <c r="A14392" s="34">
        <v>75997</v>
      </c>
      <c r="B14392" s="35">
        <v>1</v>
      </c>
      <c r="C14392" s="35">
        <v>0</v>
      </c>
      <c r="D14392" s="2">
        <f t="shared" si="224"/>
        <v>1</v>
      </c>
    </row>
    <row r="14393" spans="1:4" x14ac:dyDescent="0.3">
      <c r="A14393" s="34">
        <v>76002</v>
      </c>
      <c r="B14393" s="35">
        <v>1</v>
      </c>
      <c r="C14393" s="35">
        <v>0</v>
      </c>
      <c r="D14393" s="2">
        <f t="shared" si="224"/>
        <v>1</v>
      </c>
    </row>
    <row r="14394" spans="1:4" x14ac:dyDescent="0.3">
      <c r="A14394" s="34">
        <v>76003</v>
      </c>
      <c r="B14394" s="35">
        <v>1</v>
      </c>
      <c r="C14394" s="35">
        <v>0</v>
      </c>
      <c r="D14394" s="2">
        <f t="shared" si="224"/>
        <v>1</v>
      </c>
    </row>
    <row r="14395" spans="1:4" x14ac:dyDescent="0.3">
      <c r="A14395" s="34">
        <v>76004</v>
      </c>
      <c r="B14395" s="35">
        <v>1</v>
      </c>
      <c r="C14395" s="35">
        <v>0</v>
      </c>
      <c r="D14395" s="2">
        <f t="shared" si="224"/>
        <v>1</v>
      </c>
    </row>
    <row r="14396" spans="1:4" x14ac:dyDescent="0.3">
      <c r="A14396" s="34">
        <v>76005</v>
      </c>
      <c r="B14396" s="35">
        <v>1</v>
      </c>
      <c r="C14396" s="35">
        <v>0</v>
      </c>
      <c r="D14396" s="2">
        <f t="shared" si="224"/>
        <v>1</v>
      </c>
    </row>
    <row r="14397" spans="1:4" x14ac:dyDescent="0.3">
      <c r="A14397" s="34">
        <v>76006</v>
      </c>
      <c r="B14397" s="35">
        <v>1</v>
      </c>
      <c r="C14397" s="35">
        <v>1</v>
      </c>
      <c r="D14397" s="2">
        <f t="shared" si="224"/>
        <v>2</v>
      </c>
    </row>
    <row r="14398" spans="1:4" x14ac:dyDescent="0.3">
      <c r="A14398" s="34">
        <v>76010</v>
      </c>
      <c r="B14398" s="35">
        <v>2</v>
      </c>
      <c r="C14398" s="35">
        <v>0</v>
      </c>
      <c r="D14398" s="2">
        <f t="shared" si="224"/>
        <v>2</v>
      </c>
    </row>
    <row r="14399" spans="1:4" x14ac:dyDescent="0.3">
      <c r="A14399" s="34">
        <v>76012</v>
      </c>
      <c r="B14399" s="35">
        <v>1</v>
      </c>
      <c r="C14399" s="35">
        <v>0</v>
      </c>
      <c r="D14399" s="2">
        <f t="shared" si="224"/>
        <v>1</v>
      </c>
    </row>
    <row r="14400" spans="1:4" x14ac:dyDescent="0.3">
      <c r="A14400" s="34">
        <v>76013</v>
      </c>
      <c r="B14400" s="35">
        <v>1</v>
      </c>
      <c r="C14400" s="35">
        <v>0</v>
      </c>
      <c r="D14400" s="2">
        <f t="shared" si="224"/>
        <v>1</v>
      </c>
    </row>
    <row r="14401" spans="1:4" x14ac:dyDescent="0.3">
      <c r="A14401" s="34">
        <v>76015</v>
      </c>
      <c r="B14401" s="35">
        <v>1</v>
      </c>
      <c r="C14401" s="35">
        <v>0</v>
      </c>
      <c r="D14401" s="2">
        <f t="shared" si="224"/>
        <v>1</v>
      </c>
    </row>
    <row r="14402" spans="1:4" x14ac:dyDescent="0.3">
      <c r="A14402" s="34">
        <v>76016</v>
      </c>
      <c r="B14402" s="35">
        <v>1</v>
      </c>
      <c r="C14402" s="35">
        <v>0</v>
      </c>
      <c r="D14402" s="2">
        <f t="shared" si="224"/>
        <v>1</v>
      </c>
    </row>
    <row r="14403" spans="1:4" x14ac:dyDescent="0.3">
      <c r="A14403" s="34">
        <v>76018</v>
      </c>
      <c r="B14403" s="35">
        <v>1</v>
      </c>
      <c r="C14403" s="35">
        <v>0</v>
      </c>
      <c r="D14403" s="2">
        <f t="shared" ref="D14403:D14466" si="225">B14403+C14403</f>
        <v>1</v>
      </c>
    </row>
    <row r="14404" spans="1:4" x14ac:dyDescent="0.3">
      <c r="A14404" s="34">
        <v>76019</v>
      </c>
      <c r="B14404" s="35">
        <v>1</v>
      </c>
      <c r="C14404" s="35">
        <v>0</v>
      </c>
      <c r="D14404" s="2">
        <f t="shared" si="225"/>
        <v>1</v>
      </c>
    </row>
    <row r="14405" spans="1:4" x14ac:dyDescent="0.3">
      <c r="A14405" s="34">
        <v>76020</v>
      </c>
      <c r="B14405" s="35">
        <v>1</v>
      </c>
      <c r="C14405" s="35">
        <v>0</v>
      </c>
      <c r="D14405" s="2">
        <f t="shared" si="225"/>
        <v>1</v>
      </c>
    </row>
    <row r="14406" spans="1:4" x14ac:dyDescent="0.3">
      <c r="A14406" s="34">
        <v>76022</v>
      </c>
      <c r="B14406" s="35">
        <v>1</v>
      </c>
      <c r="C14406" s="35">
        <v>0</v>
      </c>
      <c r="D14406" s="2">
        <f t="shared" si="225"/>
        <v>1</v>
      </c>
    </row>
    <row r="14407" spans="1:4" x14ac:dyDescent="0.3">
      <c r="A14407" s="34">
        <v>76025</v>
      </c>
      <c r="B14407" s="35">
        <v>1</v>
      </c>
      <c r="C14407" s="35">
        <v>0</v>
      </c>
      <c r="D14407" s="2">
        <f t="shared" si="225"/>
        <v>1</v>
      </c>
    </row>
    <row r="14408" spans="1:4" x14ac:dyDescent="0.3">
      <c r="A14408" s="34">
        <v>76026</v>
      </c>
      <c r="B14408" s="35">
        <v>1</v>
      </c>
      <c r="C14408" s="35">
        <v>0</v>
      </c>
      <c r="D14408" s="2">
        <f t="shared" si="225"/>
        <v>1</v>
      </c>
    </row>
    <row r="14409" spans="1:4" x14ac:dyDescent="0.3">
      <c r="A14409" s="34">
        <v>76029</v>
      </c>
      <c r="B14409" s="35">
        <v>1</v>
      </c>
      <c r="C14409" s="35">
        <v>1</v>
      </c>
      <c r="D14409" s="2">
        <f t="shared" si="225"/>
        <v>2</v>
      </c>
    </row>
    <row r="14410" spans="1:4" x14ac:dyDescent="0.3">
      <c r="A14410" s="34">
        <v>76030</v>
      </c>
      <c r="B14410" s="35">
        <v>1</v>
      </c>
      <c r="C14410" s="35">
        <v>0</v>
      </c>
      <c r="D14410" s="2">
        <f t="shared" si="225"/>
        <v>1</v>
      </c>
    </row>
    <row r="14411" spans="1:4" x14ac:dyDescent="0.3">
      <c r="A14411" s="34">
        <v>76031</v>
      </c>
      <c r="B14411" s="35">
        <v>1</v>
      </c>
      <c r="C14411" s="35">
        <v>0</v>
      </c>
      <c r="D14411" s="2">
        <f t="shared" si="225"/>
        <v>1</v>
      </c>
    </row>
    <row r="14412" spans="1:4" x14ac:dyDescent="0.3">
      <c r="A14412" s="34">
        <v>76034</v>
      </c>
      <c r="B14412" s="35">
        <v>1</v>
      </c>
      <c r="C14412" s="35">
        <v>0</v>
      </c>
      <c r="D14412" s="2">
        <f t="shared" si="225"/>
        <v>1</v>
      </c>
    </row>
    <row r="14413" spans="1:4" x14ac:dyDescent="0.3">
      <c r="A14413" s="34">
        <v>76035</v>
      </c>
      <c r="B14413" s="35">
        <v>1</v>
      </c>
      <c r="C14413" s="35">
        <v>0</v>
      </c>
      <c r="D14413" s="2">
        <f t="shared" si="225"/>
        <v>1</v>
      </c>
    </row>
    <row r="14414" spans="1:4" x14ac:dyDescent="0.3">
      <c r="A14414" s="34">
        <v>76036</v>
      </c>
      <c r="B14414" s="35">
        <v>1</v>
      </c>
      <c r="C14414" s="35">
        <v>0</v>
      </c>
      <c r="D14414" s="2">
        <f t="shared" si="225"/>
        <v>1</v>
      </c>
    </row>
    <row r="14415" spans="1:4" x14ac:dyDescent="0.3">
      <c r="A14415" s="34">
        <v>76038</v>
      </c>
      <c r="B14415" s="35">
        <v>1</v>
      </c>
      <c r="C14415" s="35">
        <v>1</v>
      </c>
      <c r="D14415" s="2">
        <f t="shared" si="225"/>
        <v>2</v>
      </c>
    </row>
    <row r="14416" spans="1:4" x14ac:dyDescent="0.3">
      <c r="A14416" s="34">
        <v>76040</v>
      </c>
      <c r="B14416" s="35">
        <v>1</v>
      </c>
      <c r="C14416" s="35">
        <v>0</v>
      </c>
      <c r="D14416" s="2">
        <f t="shared" si="225"/>
        <v>1</v>
      </c>
    </row>
    <row r="14417" spans="1:4" x14ac:dyDescent="0.3">
      <c r="A14417" s="34">
        <v>76042</v>
      </c>
      <c r="B14417" s="35">
        <v>1</v>
      </c>
      <c r="C14417" s="35">
        <v>0</v>
      </c>
      <c r="D14417" s="2">
        <f t="shared" si="225"/>
        <v>1</v>
      </c>
    </row>
    <row r="14418" spans="1:4" x14ac:dyDescent="0.3">
      <c r="A14418" s="34">
        <v>76043</v>
      </c>
      <c r="B14418" s="35">
        <v>1</v>
      </c>
      <c r="C14418" s="35">
        <v>0</v>
      </c>
      <c r="D14418" s="2">
        <f t="shared" si="225"/>
        <v>1</v>
      </c>
    </row>
    <row r="14419" spans="1:4" x14ac:dyDescent="0.3">
      <c r="A14419" s="34">
        <v>76046</v>
      </c>
      <c r="B14419" s="35">
        <v>1</v>
      </c>
      <c r="C14419" s="35">
        <v>0</v>
      </c>
      <c r="D14419" s="2">
        <f t="shared" si="225"/>
        <v>1</v>
      </c>
    </row>
    <row r="14420" spans="1:4" x14ac:dyDescent="0.3">
      <c r="A14420" s="34">
        <v>76047</v>
      </c>
      <c r="B14420" s="35">
        <v>1</v>
      </c>
      <c r="C14420" s="35">
        <v>1</v>
      </c>
      <c r="D14420" s="2">
        <f t="shared" si="225"/>
        <v>2</v>
      </c>
    </row>
    <row r="14421" spans="1:4" x14ac:dyDescent="0.3">
      <c r="A14421" s="34">
        <v>76048</v>
      </c>
      <c r="B14421" s="35">
        <v>1</v>
      </c>
      <c r="C14421" s="35">
        <v>0</v>
      </c>
      <c r="D14421" s="2">
        <f t="shared" si="225"/>
        <v>1</v>
      </c>
    </row>
    <row r="14422" spans="1:4" x14ac:dyDescent="0.3">
      <c r="A14422" s="34">
        <v>76049</v>
      </c>
      <c r="B14422" s="35">
        <v>1</v>
      </c>
      <c r="C14422" s="35">
        <v>0</v>
      </c>
      <c r="D14422" s="2">
        <f t="shared" si="225"/>
        <v>1</v>
      </c>
    </row>
    <row r="14423" spans="1:4" x14ac:dyDescent="0.3">
      <c r="A14423" s="34">
        <v>76050</v>
      </c>
      <c r="B14423" s="35">
        <v>1</v>
      </c>
      <c r="C14423" s="35">
        <v>0</v>
      </c>
      <c r="D14423" s="2">
        <f t="shared" si="225"/>
        <v>1</v>
      </c>
    </row>
    <row r="14424" spans="1:4" x14ac:dyDescent="0.3">
      <c r="A14424" s="34">
        <v>76051</v>
      </c>
      <c r="B14424" s="35">
        <v>1</v>
      </c>
      <c r="C14424" s="35">
        <v>0</v>
      </c>
      <c r="D14424" s="2">
        <f t="shared" si="225"/>
        <v>1</v>
      </c>
    </row>
    <row r="14425" spans="1:4" x14ac:dyDescent="0.3">
      <c r="A14425" s="34">
        <v>76052</v>
      </c>
      <c r="B14425" s="35">
        <v>1</v>
      </c>
      <c r="C14425" s="35">
        <v>0</v>
      </c>
      <c r="D14425" s="2">
        <f t="shared" si="225"/>
        <v>1</v>
      </c>
    </row>
    <row r="14426" spans="1:4" x14ac:dyDescent="0.3">
      <c r="A14426" s="34">
        <v>76053</v>
      </c>
      <c r="B14426" s="35">
        <v>1</v>
      </c>
      <c r="C14426" s="35">
        <v>0</v>
      </c>
      <c r="D14426" s="2">
        <f t="shared" si="225"/>
        <v>1</v>
      </c>
    </row>
    <row r="14427" spans="1:4" x14ac:dyDescent="0.3">
      <c r="A14427" s="34">
        <v>76058</v>
      </c>
      <c r="B14427" s="35">
        <v>1</v>
      </c>
      <c r="C14427" s="35">
        <v>0</v>
      </c>
      <c r="D14427" s="2">
        <f t="shared" si="225"/>
        <v>1</v>
      </c>
    </row>
    <row r="14428" spans="1:4" x14ac:dyDescent="0.3">
      <c r="A14428" s="34">
        <v>76059</v>
      </c>
      <c r="B14428" s="35">
        <v>1</v>
      </c>
      <c r="C14428" s="35">
        <v>0</v>
      </c>
      <c r="D14428" s="2">
        <f t="shared" si="225"/>
        <v>1</v>
      </c>
    </row>
    <row r="14429" spans="1:4" x14ac:dyDescent="0.3">
      <c r="A14429" s="34">
        <v>76060</v>
      </c>
      <c r="B14429" s="35">
        <v>1</v>
      </c>
      <c r="C14429" s="35">
        <v>1</v>
      </c>
      <c r="D14429" s="2">
        <f t="shared" si="225"/>
        <v>2</v>
      </c>
    </row>
    <row r="14430" spans="1:4" x14ac:dyDescent="0.3">
      <c r="A14430" s="34">
        <v>76061</v>
      </c>
      <c r="B14430" s="35">
        <v>1</v>
      </c>
      <c r="C14430" s="35">
        <v>0</v>
      </c>
      <c r="D14430" s="2">
        <f t="shared" si="225"/>
        <v>1</v>
      </c>
    </row>
    <row r="14431" spans="1:4" x14ac:dyDescent="0.3">
      <c r="A14431" s="34">
        <v>76063</v>
      </c>
      <c r="B14431" s="35">
        <v>2</v>
      </c>
      <c r="C14431" s="35">
        <v>1</v>
      </c>
      <c r="D14431" s="2">
        <f t="shared" si="225"/>
        <v>3</v>
      </c>
    </row>
    <row r="14432" spans="1:4" x14ac:dyDescent="0.3">
      <c r="A14432" s="34">
        <v>76064</v>
      </c>
      <c r="B14432" s="35">
        <v>1</v>
      </c>
      <c r="C14432" s="35">
        <v>0</v>
      </c>
      <c r="D14432" s="2">
        <f t="shared" si="225"/>
        <v>1</v>
      </c>
    </row>
    <row r="14433" spans="1:4" x14ac:dyDescent="0.3">
      <c r="A14433" s="34">
        <v>76065</v>
      </c>
      <c r="B14433" s="35">
        <v>1</v>
      </c>
      <c r="C14433" s="35">
        <v>0</v>
      </c>
      <c r="D14433" s="2">
        <f t="shared" si="225"/>
        <v>1</v>
      </c>
    </row>
    <row r="14434" spans="1:4" x14ac:dyDescent="0.3">
      <c r="A14434" s="34">
        <v>76066</v>
      </c>
      <c r="B14434" s="35">
        <v>1</v>
      </c>
      <c r="C14434" s="35">
        <v>1</v>
      </c>
      <c r="D14434" s="2">
        <f t="shared" si="225"/>
        <v>2</v>
      </c>
    </row>
    <row r="14435" spans="1:4" x14ac:dyDescent="0.3">
      <c r="A14435" s="34">
        <v>76067</v>
      </c>
      <c r="B14435" s="35">
        <v>1</v>
      </c>
      <c r="C14435" s="35">
        <v>0</v>
      </c>
      <c r="D14435" s="2">
        <f t="shared" si="225"/>
        <v>1</v>
      </c>
    </row>
    <row r="14436" spans="1:4" x14ac:dyDescent="0.3">
      <c r="A14436" s="34">
        <v>76068</v>
      </c>
      <c r="B14436" s="35">
        <v>1</v>
      </c>
      <c r="C14436" s="35">
        <v>0</v>
      </c>
      <c r="D14436" s="2">
        <f t="shared" si="225"/>
        <v>1</v>
      </c>
    </row>
    <row r="14437" spans="1:4" x14ac:dyDescent="0.3">
      <c r="A14437" s="34">
        <v>76069</v>
      </c>
      <c r="B14437" s="35">
        <v>1</v>
      </c>
      <c r="C14437" s="35">
        <v>0</v>
      </c>
      <c r="D14437" s="2">
        <f t="shared" si="225"/>
        <v>1</v>
      </c>
    </row>
    <row r="14438" spans="1:4" x14ac:dyDescent="0.3">
      <c r="A14438" s="34">
        <v>76070</v>
      </c>
      <c r="B14438" s="35">
        <v>1</v>
      </c>
      <c r="C14438" s="35">
        <v>0</v>
      </c>
      <c r="D14438" s="2">
        <f t="shared" si="225"/>
        <v>1</v>
      </c>
    </row>
    <row r="14439" spans="1:4" x14ac:dyDescent="0.3">
      <c r="A14439" s="34">
        <v>76071</v>
      </c>
      <c r="B14439" s="35">
        <v>1</v>
      </c>
      <c r="C14439" s="35">
        <v>0</v>
      </c>
      <c r="D14439" s="2">
        <f t="shared" si="225"/>
        <v>1</v>
      </c>
    </row>
    <row r="14440" spans="1:4" x14ac:dyDescent="0.3">
      <c r="A14440" s="34">
        <v>76072</v>
      </c>
      <c r="B14440" s="35">
        <v>1</v>
      </c>
      <c r="C14440" s="35">
        <v>0</v>
      </c>
      <c r="D14440" s="2">
        <f t="shared" si="225"/>
        <v>1</v>
      </c>
    </row>
    <row r="14441" spans="1:4" x14ac:dyDescent="0.3">
      <c r="A14441" s="34">
        <v>76073</v>
      </c>
      <c r="B14441" s="35">
        <v>1</v>
      </c>
      <c r="C14441" s="35">
        <v>0</v>
      </c>
      <c r="D14441" s="2">
        <f t="shared" si="225"/>
        <v>1</v>
      </c>
    </row>
    <row r="14442" spans="1:4" x14ac:dyDescent="0.3">
      <c r="A14442" s="34">
        <v>76074</v>
      </c>
      <c r="B14442" s="35">
        <v>1</v>
      </c>
      <c r="C14442" s="35">
        <v>0</v>
      </c>
      <c r="D14442" s="2">
        <f t="shared" si="225"/>
        <v>1</v>
      </c>
    </row>
    <row r="14443" spans="1:4" x14ac:dyDescent="0.3">
      <c r="A14443" s="34">
        <v>76075</v>
      </c>
      <c r="B14443" s="35">
        <v>1</v>
      </c>
      <c r="C14443" s="35">
        <v>0</v>
      </c>
      <c r="D14443" s="2">
        <f t="shared" si="225"/>
        <v>1</v>
      </c>
    </row>
    <row r="14444" spans="1:4" x14ac:dyDescent="0.3">
      <c r="A14444" s="34">
        <v>76076</v>
      </c>
      <c r="B14444" s="35">
        <v>1</v>
      </c>
      <c r="C14444" s="35">
        <v>0</v>
      </c>
      <c r="D14444" s="2">
        <f t="shared" si="225"/>
        <v>1</v>
      </c>
    </row>
    <row r="14445" spans="1:4" x14ac:dyDescent="0.3">
      <c r="A14445" s="34">
        <v>76077</v>
      </c>
      <c r="B14445" s="35">
        <v>1</v>
      </c>
      <c r="C14445" s="35">
        <v>1</v>
      </c>
      <c r="D14445" s="2">
        <f t="shared" si="225"/>
        <v>2</v>
      </c>
    </row>
    <row r="14446" spans="1:4" x14ac:dyDescent="0.3">
      <c r="A14446" s="34">
        <v>76078</v>
      </c>
      <c r="B14446" s="35">
        <v>1</v>
      </c>
      <c r="C14446" s="35">
        <v>1</v>
      </c>
      <c r="D14446" s="2">
        <f t="shared" si="225"/>
        <v>2</v>
      </c>
    </row>
    <row r="14447" spans="1:4" x14ac:dyDescent="0.3">
      <c r="A14447" s="34">
        <v>76080</v>
      </c>
      <c r="B14447" s="35">
        <v>1</v>
      </c>
      <c r="C14447" s="35">
        <v>1</v>
      </c>
      <c r="D14447" s="2">
        <f t="shared" si="225"/>
        <v>2</v>
      </c>
    </row>
    <row r="14448" spans="1:4" x14ac:dyDescent="0.3">
      <c r="A14448" s="34">
        <v>76081</v>
      </c>
      <c r="B14448" s="35">
        <v>1</v>
      </c>
      <c r="C14448" s="35">
        <v>0</v>
      </c>
      <c r="D14448" s="2">
        <f t="shared" si="225"/>
        <v>1</v>
      </c>
    </row>
    <row r="14449" spans="1:4" x14ac:dyDescent="0.3">
      <c r="A14449" s="34">
        <v>76082</v>
      </c>
      <c r="B14449" s="35">
        <v>1</v>
      </c>
      <c r="C14449" s="35">
        <v>0</v>
      </c>
      <c r="D14449" s="2">
        <f t="shared" si="225"/>
        <v>1</v>
      </c>
    </row>
    <row r="14450" spans="1:4" x14ac:dyDescent="0.3">
      <c r="A14450" s="34">
        <v>76084</v>
      </c>
      <c r="B14450" s="35">
        <v>1</v>
      </c>
      <c r="C14450" s="35">
        <v>0</v>
      </c>
      <c r="D14450" s="2">
        <f t="shared" si="225"/>
        <v>1</v>
      </c>
    </row>
    <row r="14451" spans="1:4" x14ac:dyDescent="0.3">
      <c r="A14451" s="34">
        <v>76085</v>
      </c>
      <c r="B14451" s="35">
        <v>1</v>
      </c>
      <c r="C14451" s="35">
        <v>1</v>
      </c>
      <c r="D14451" s="2">
        <f t="shared" si="225"/>
        <v>2</v>
      </c>
    </row>
    <row r="14452" spans="1:4" x14ac:dyDescent="0.3">
      <c r="A14452" s="34">
        <v>76086</v>
      </c>
      <c r="B14452" s="35">
        <v>1</v>
      </c>
      <c r="C14452" s="35">
        <v>0</v>
      </c>
      <c r="D14452" s="2">
        <f t="shared" si="225"/>
        <v>1</v>
      </c>
    </row>
    <row r="14453" spans="1:4" x14ac:dyDescent="0.3">
      <c r="A14453" s="34">
        <v>76089</v>
      </c>
      <c r="B14453" s="35">
        <v>1</v>
      </c>
      <c r="C14453" s="35">
        <v>0</v>
      </c>
      <c r="D14453" s="2">
        <f t="shared" si="225"/>
        <v>1</v>
      </c>
    </row>
    <row r="14454" spans="1:4" x14ac:dyDescent="0.3">
      <c r="A14454" s="34">
        <v>76090</v>
      </c>
      <c r="B14454" s="35">
        <v>1</v>
      </c>
      <c r="C14454" s="35">
        <v>0</v>
      </c>
      <c r="D14454" s="2">
        <f t="shared" si="225"/>
        <v>1</v>
      </c>
    </row>
    <row r="14455" spans="1:4" x14ac:dyDescent="0.3">
      <c r="A14455" s="34">
        <v>76091</v>
      </c>
      <c r="B14455" s="35">
        <v>1</v>
      </c>
      <c r="C14455" s="35">
        <v>0</v>
      </c>
      <c r="D14455" s="2">
        <f t="shared" si="225"/>
        <v>1</v>
      </c>
    </row>
    <row r="14456" spans="1:4" x14ac:dyDescent="0.3">
      <c r="A14456" s="34">
        <v>76092</v>
      </c>
      <c r="B14456" s="35">
        <v>1</v>
      </c>
      <c r="C14456" s="35">
        <v>0</v>
      </c>
      <c r="D14456" s="2">
        <f t="shared" si="225"/>
        <v>1</v>
      </c>
    </row>
    <row r="14457" spans="1:4" x14ac:dyDescent="0.3">
      <c r="A14457" s="34">
        <v>76093</v>
      </c>
      <c r="B14457" s="35">
        <v>1</v>
      </c>
      <c r="C14457" s="35">
        <v>0</v>
      </c>
      <c r="D14457" s="2">
        <f t="shared" si="225"/>
        <v>1</v>
      </c>
    </row>
    <row r="14458" spans="1:4" x14ac:dyDescent="0.3">
      <c r="A14458" s="34">
        <v>76094</v>
      </c>
      <c r="B14458" s="35">
        <v>1</v>
      </c>
      <c r="C14458" s="35">
        <v>0</v>
      </c>
      <c r="D14458" s="2">
        <f t="shared" si="225"/>
        <v>1</v>
      </c>
    </row>
    <row r="14459" spans="1:4" x14ac:dyDescent="0.3">
      <c r="A14459" s="34">
        <v>76096</v>
      </c>
      <c r="B14459" s="35">
        <v>1</v>
      </c>
      <c r="C14459" s="35">
        <v>0</v>
      </c>
      <c r="D14459" s="2">
        <f t="shared" si="225"/>
        <v>1</v>
      </c>
    </row>
    <row r="14460" spans="1:4" x14ac:dyDescent="0.3">
      <c r="A14460" s="34">
        <v>76097</v>
      </c>
      <c r="B14460" s="35">
        <v>1</v>
      </c>
      <c r="C14460" s="35">
        <v>0</v>
      </c>
      <c r="D14460" s="2">
        <f t="shared" si="225"/>
        <v>1</v>
      </c>
    </row>
    <row r="14461" spans="1:4" x14ac:dyDescent="0.3">
      <c r="A14461" s="34">
        <v>76098</v>
      </c>
      <c r="B14461" s="35">
        <v>1</v>
      </c>
      <c r="C14461" s="35">
        <v>0</v>
      </c>
      <c r="D14461" s="2">
        <f t="shared" si="225"/>
        <v>1</v>
      </c>
    </row>
    <row r="14462" spans="1:4" x14ac:dyDescent="0.3">
      <c r="A14462" s="34">
        <v>76099</v>
      </c>
      <c r="B14462" s="35">
        <v>1</v>
      </c>
      <c r="C14462" s="35">
        <v>0</v>
      </c>
      <c r="D14462" s="2">
        <f t="shared" si="225"/>
        <v>1</v>
      </c>
    </row>
    <row r="14463" spans="1:4" x14ac:dyDescent="0.3">
      <c r="A14463" s="34">
        <v>76100</v>
      </c>
      <c r="B14463" s="35">
        <v>1</v>
      </c>
      <c r="C14463" s="35">
        <v>0</v>
      </c>
      <c r="D14463" s="2">
        <f t="shared" si="225"/>
        <v>1</v>
      </c>
    </row>
    <row r="14464" spans="1:4" x14ac:dyDescent="0.3">
      <c r="A14464" s="34">
        <v>76101</v>
      </c>
      <c r="B14464" s="35">
        <v>1</v>
      </c>
      <c r="C14464" s="35">
        <v>0</v>
      </c>
      <c r="D14464" s="2">
        <f t="shared" si="225"/>
        <v>1</v>
      </c>
    </row>
    <row r="14465" spans="1:4" x14ac:dyDescent="0.3">
      <c r="A14465" s="34">
        <v>76102</v>
      </c>
      <c r="B14465" s="35">
        <v>1</v>
      </c>
      <c r="C14465" s="35">
        <v>0</v>
      </c>
      <c r="D14465" s="2">
        <f t="shared" si="225"/>
        <v>1</v>
      </c>
    </row>
    <row r="14466" spans="1:4" x14ac:dyDescent="0.3">
      <c r="A14466" s="34">
        <v>76103</v>
      </c>
      <c r="B14466" s="35">
        <v>1</v>
      </c>
      <c r="C14466" s="35">
        <v>1</v>
      </c>
      <c r="D14466" s="2">
        <f t="shared" si="225"/>
        <v>2</v>
      </c>
    </row>
    <row r="14467" spans="1:4" x14ac:dyDescent="0.3">
      <c r="A14467" s="34">
        <v>76112</v>
      </c>
      <c r="B14467" s="35">
        <v>1</v>
      </c>
      <c r="C14467" s="35">
        <v>1</v>
      </c>
      <c r="D14467" s="2">
        <f t="shared" ref="D14467:D14530" si="226">B14467+C14467</f>
        <v>2</v>
      </c>
    </row>
    <row r="14468" spans="1:4" x14ac:dyDescent="0.3">
      <c r="A14468" s="34">
        <v>76119</v>
      </c>
      <c r="B14468" s="35">
        <v>1</v>
      </c>
      <c r="C14468" s="35">
        <v>0</v>
      </c>
      <c r="D14468" s="2">
        <f t="shared" si="226"/>
        <v>1</v>
      </c>
    </row>
    <row r="14469" spans="1:4" x14ac:dyDescent="0.3">
      <c r="A14469" s="34">
        <v>76120</v>
      </c>
      <c r="B14469" s="35">
        <v>2</v>
      </c>
      <c r="C14469" s="35">
        <v>2</v>
      </c>
      <c r="D14469" s="2">
        <f t="shared" si="226"/>
        <v>4</v>
      </c>
    </row>
    <row r="14470" spans="1:4" x14ac:dyDescent="0.3">
      <c r="A14470" s="34">
        <v>76121</v>
      </c>
      <c r="B14470" s="35">
        <v>1</v>
      </c>
      <c r="C14470" s="35">
        <v>0</v>
      </c>
      <c r="D14470" s="2">
        <f t="shared" si="226"/>
        <v>1</v>
      </c>
    </row>
    <row r="14471" spans="1:4" x14ac:dyDescent="0.3">
      <c r="A14471" s="34">
        <v>76124</v>
      </c>
      <c r="B14471" s="35">
        <v>2</v>
      </c>
      <c r="C14471" s="35">
        <v>1</v>
      </c>
      <c r="D14471" s="2">
        <f t="shared" si="226"/>
        <v>3</v>
      </c>
    </row>
    <row r="14472" spans="1:4" x14ac:dyDescent="0.3">
      <c r="A14472" s="34">
        <v>76127</v>
      </c>
      <c r="B14472" s="35">
        <v>1</v>
      </c>
      <c r="C14472" s="35">
        <v>0</v>
      </c>
      <c r="D14472" s="2">
        <f t="shared" si="226"/>
        <v>1</v>
      </c>
    </row>
    <row r="14473" spans="1:4" x14ac:dyDescent="0.3">
      <c r="A14473" s="34">
        <v>76129</v>
      </c>
      <c r="B14473" s="35">
        <v>1</v>
      </c>
      <c r="C14473" s="35">
        <v>0</v>
      </c>
      <c r="D14473" s="2">
        <f t="shared" si="226"/>
        <v>1</v>
      </c>
    </row>
    <row r="14474" spans="1:4" x14ac:dyDescent="0.3">
      <c r="A14474" s="34">
        <v>76130</v>
      </c>
      <c r="B14474" s="35">
        <v>1</v>
      </c>
      <c r="C14474" s="35">
        <v>0</v>
      </c>
      <c r="D14474" s="2">
        <f t="shared" si="226"/>
        <v>1</v>
      </c>
    </row>
    <row r="14475" spans="1:4" x14ac:dyDescent="0.3">
      <c r="A14475" s="34">
        <v>76132</v>
      </c>
      <c r="B14475" s="35">
        <v>1</v>
      </c>
      <c r="C14475" s="35">
        <v>0</v>
      </c>
      <c r="D14475" s="2">
        <f t="shared" si="226"/>
        <v>1</v>
      </c>
    </row>
    <row r="14476" spans="1:4" x14ac:dyDescent="0.3">
      <c r="A14476" s="34">
        <v>76133</v>
      </c>
      <c r="B14476" s="35">
        <v>1</v>
      </c>
      <c r="C14476" s="35">
        <v>0</v>
      </c>
      <c r="D14476" s="2">
        <f t="shared" si="226"/>
        <v>1</v>
      </c>
    </row>
    <row r="14477" spans="1:4" x14ac:dyDescent="0.3">
      <c r="A14477" s="34">
        <v>76135</v>
      </c>
      <c r="B14477" s="35">
        <v>2</v>
      </c>
      <c r="C14477" s="35">
        <v>0</v>
      </c>
      <c r="D14477" s="2">
        <f t="shared" si="226"/>
        <v>2</v>
      </c>
    </row>
    <row r="14478" spans="1:4" x14ac:dyDescent="0.3">
      <c r="A14478" s="34">
        <v>76138</v>
      </c>
      <c r="B14478" s="35">
        <v>1</v>
      </c>
      <c r="C14478" s="35">
        <v>0</v>
      </c>
      <c r="D14478" s="2">
        <f t="shared" si="226"/>
        <v>1</v>
      </c>
    </row>
    <row r="14479" spans="1:4" x14ac:dyDescent="0.3">
      <c r="A14479" s="34">
        <v>76139</v>
      </c>
      <c r="B14479" s="35">
        <v>1</v>
      </c>
      <c r="C14479" s="35">
        <v>0</v>
      </c>
      <c r="D14479" s="2">
        <f t="shared" si="226"/>
        <v>1</v>
      </c>
    </row>
    <row r="14480" spans="1:4" x14ac:dyDescent="0.3">
      <c r="A14480" s="34">
        <v>76140</v>
      </c>
      <c r="B14480" s="35">
        <v>1</v>
      </c>
      <c r="C14480" s="35">
        <v>0</v>
      </c>
      <c r="D14480" s="2">
        <f t="shared" si="226"/>
        <v>1</v>
      </c>
    </row>
    <row r="14481" spans="1:4" x14ac:dyDescent="0.3">
      <c r="A14481" s="34">
        <v>76141</v>
      </c>
      <c r="B14481" s="35">
        <v>1</v>
      </c>
      <c r="C14481" s="35">
        <v>1</v>
      </c>
      <c r="D14481" s="2">
        <f t="shared" si="226"/>
        <v>2</v>
      </c>
    </row>
    <row r="14482" spans="1:4" x14ac:dyDescent="0.3">
      <c r="A14482" s="34">
        <v>76143</v>
      </c>
      <c r="B14482" s="35">
        <v>2</v>
      </c>
      <c r="C14482" s="35">
        <v>1</v>
      </c>
      <c r="D14482" s="2">
        <f t="shared" si="226"/>
        <v>3</v>
      </c>
    </row>
    <row r="14483" spans="1:4" x14ac:dyDescent="0.3">
      <c r="A14483" s="34">
        <v>76146</v>
      </c>
      <c r="B14483" s="35">
        <v>1</v>
      </c>
      <c r="C14483" s="35">
        <v>0</v>
      </c>
      <c r="D14483" s="2">
        <f t="shared" si="226"/>
        <v>1</v>
      </c>
    </row>
    <row r="14484" spans="1:4" x14ac:dyDescent="0.3">
      <c r="A14484" s="34">
        <v>76147</v>
      </c>
      <c r="B14484" s="35">
        <v>1</v>
      </c>
      <c r="C14484" s="35">
        <v>0</v>
      </c>
      <c r="D14484" s="2">
        <f t="shared" si="226"/>
        <v>1</v>
      </c>
    </row>
    <row r="14485" spans="1:4" x14ac:dyDescent="0.3">
      <c r="A14485" s="34">
        <v>76149</v>
      </c>
      <c r="B14485" s="35">
        <v>1</v>
      </c>
      <c r="C14485" s="35">
        <v>0</v>
      </c>
      <c r="D14485" s="2">
        <f t="shared" si="226"/>
        <v>1</v>
      </c>
    </row>
    <row r="14486" spans="1:4" x14ac:dyDescent="0.3">
      <c r="A14486" s="34">
        <v>76151</v>
      </c>
      <c r="B14486" s="35">
        <v>1</v>
      </c>
      <c r="C14486" s="35">
        <v>0</v>
      </c>
      <c r="D14486" s="2">
        <f t="shared" si="226"/>
        <v>1</v>
      </c>
    </row>
    <row r="14487" spans="1:4" x14ac:dyDescent="0.3">
      <c r="A14487" s="34">
        <v>76154</v>
      </c>
      <c r="B14487" s="35">
        <v>1</v>
      </c>
      <c r="C14487" s="35">
        <v>0</v>
      </c>
      <c r="D14487" s="2">
        <f t="shared" si="226"/>
        <v>1</v>
      </c>
    </row>
    <row r="14488" spans="1:4" x14ac:dyDescent="0.3">
      <c r="A14488" s="34">
        <v>76155</v>
      </c>
      <c r="B14488" s="35">
        <v>1</v>
      </c>
      <c r="C14488" s="35">
        <v>1</v>
      </c>
      <c r="D14488" s="2">
        <f t="shared" si="226"/>
        <v>2</v>
      </c>
    </row>
    <row r="14489" spans="1:4" x14ac:dyDescent="0.3">
      <c r="A14489" s="34">
        <v>76156</v>
      </c>
      <c r="B14489" s="35">
        <v>1</v>
      </c>
      <c r="C14489" s="35">
        <v>0</v>
      </c>
      <c r="D14489" s="2">
        <f t="shared" si="226"/>
        <v>1</v>
      </c>
    </row>
    <row r="14490" spans="1:4" x14ac:dyDescent="0.3">
      <c r="A14490" s="34">
        <v>76158</v>
      </c>
      <c r="B14490" s="35">
        <v>1</v>
      </c>
      <c r="C14490" s="35">
        <v>0</v>
      </c>
      <c r="D14490" s="2">
        <f t="shared" si="226"/>
        <v>1</v>
      </c>
    </row>
    <row r="14491" spans="1:4" x14ac:dyDescent="0.3">
      <c r="A14491" s="34">
        <v>76159</v>
      </c>
      <c r="B14491" s="35">
        <v>1</v>
      </c>
      <c r="C14491" s="35">
        <v>0</v>
      </c>
      <c r="D14491" s="2">
        <f t="shared" si="226"/>
        <v>1</v>
      </c>
    </row>
    <row r="14492" spans="1:4" x14ac:dyDescent="0.3">
      <c r="A14492" s="34">
        <v>76161</v>
      </c>
      <c r="B14492" s="35">
        <v>1</v>
      </c>
      <c r="C14492" s="35">
        <v>0</v>
      </c>
      <c r="D14492" s="2">
        <f t="shared" si="226"/>
        <v>1</v>
      </c>
    </row>
    <row r="14493" spans="1:4" x14ac:dyDescent="0.3">
      <c r="A14493" s="34">
        <v>76162</v>
      </c>
      <c r="B14493" s="35">
        <v>2</v>
      </c>
      <c r="C14493" s="35">
        <v>1</v>
      </c>
      <c r="D14493" s="2">
        <f t="shared" si="226"/>
        <v>3</v>
      </c>
    </row>
    <row r="14494" spans="1:4" x14ac:dyDescent="0.3">
      <c r="A14494" s="34">
        <v>76165</v>
      </c>
      <c r="B14494" s="35">
        <v>1</v>
      </c>
      <c r="C14494" s="35">
        <v>0</v>
      </c>
      <c r="D14494" s="2">
        <f t="shared" si="226"/>
        <v>1</v>
      </c>
    </row>
    <row r="14495" spans="1:4" x14ac:dyDescent="0.3">
      <c r="A14495" s="34">
        <v>76167</v>
      </c>
      <c r="B14495" s="35">
        <v>1</v>
      </c>
      <c r="C14495" s="35">
        <v>0</v>
      </c>
      <c r="D14495" s="2">
        <f t="shared" si="226"/>
        <v>1</v>
      </c>
    </row>
    <row r="14496" spans="1:4" x14ac:dyDescent="0.3">
      <c r="A14496" s="34">
        <v>76171</v>
      </c>
      <c r="B14496" s="35">
        <v>1</v>
      </c>
      <c r="C14496" s="35">
        <v>0</v>
      </c>
      <c r="D14496" s="2">
        <f t="shared" si="226"/>
        <v>1</v>
      </c>
    </row>
    <row r="14497" spans="1:4" x14ac:dyDescent="0.3">
      <c r="A14497" s="34">
        <v>76173</v>
      </c>
      <c r="B14497" s="35">
        <v>1</v>
      </c>
      <c r="C14497" s="35">
        <v>0</v>
      </c>
      <c r="D14497" s="2">
        <f t="shared" si="226"/>
        <v>1</v>
      </c>
    </row>
    <row r="14498" spans="1:4" x14ac:dyDescent="0.3">
      <c r="A14498" s="34">
        <v>76174</v>
      </c>
      <c r="B14498" s="35">
        <v>1</v>
      </c>
      <c r="C14498" s="35">
        <v>0</v>
      </c>
      <c r="D14498" s="2">
        <f t="shared" si="226"/>
        <v>1</v>
      </c>
    </row>
    <row r="14499" spans="1:4" x14ac:dyDescent="0.3">
      <c r="A14499" s="34">
        <v>76176</v>
      </c>
      <c r="B14499" s="35">
        <v>1</v>
      </c>
      <c r="C14499" s="35">
        <v>0</v>
      </c>
      <c r="D14499" s="2">
        <f t="shared" si="226"/>
        <v>1</v>
      </c>
    </row>
    <row r="14500" spans="1:4" x14ac:dyDescent="0.3">
      <c r="A14500" s="34">
        <v>76185</v>
      </c>
      <c r="B14500" s="35">
        <v>1</v>
      </c>
      <c r="C14500" s="35">
        <v>0</v>
      </c>
      <c r="D14500" s="2">
        <f t="shared" si="226"/>
        <v>1</v>
      </c>
    </row>
    <row r="14501" spans="1:4" x14ac:dyDescent="0.3">
      <c r="A14501" s="34">
        <v>76186</v>
      </c>
      <c r="B14501" s="35">
        <v>1</v>
      </c>
      <c r="C14501" s="35">
        <v>0</v>
      </c>
      <c r="D14501" s="2">
        <f t="shared" si="226"/>
        <v>1</v>
      </c>
    </row>
    <row r="14502" spans="1:4" x14ac:dyDescent="0.3">
      <c r="A14502" s="34">
        <v>76187</v>
      </c>
      <c r="B14502" s="35">
        <v>1</v>
      </c>
      <c r="C14502" s="35">
        <v>0</v>
      </c>
      <c r="D14502" s="2">
        <f t="shared" si="226"/>
        <v>1</v>
      </c>
    </row>
    <row r="14503" spans="1:4" x14ac:dyDescent="0.3">
      <c r="A14503" s="34">
        <v>76191</v>
      </c>
      <c r="B14503" s="35">
        <v>1</v>
      </c>
      <c r="C14503" s="35">
        <v>0</v>
      </c>
      <c r="D14503" s="2">
        <f t="shared" si="226"/>
        <v>1</v>
      </c>
    </row>
    <row r="14504" spans="1:4" x14ac:dyDescent="0.3">
      <c r="A14504" s="34">
        <v>76192</v>
      </c>
      <c r="B14504" s="35">
        <v>1</v>
      </c>
      <c r="C14504" s="35">
        <v>0</v>
      </c>
      <c r="D14504" s="2">
        <f t="shared" si="226"/>
        <v>1</v>
      </c>
    </row>
    <row r="14505" spans="1:4" x14ac:dyDescent="0.3">
      <c r="A14505" s="34">
        <v>76193</v>
      </c>
      <c r="B14505" s="35">
        <v>1</v>
      </c>
      <c r="C14505" s="35">
        <v>0</v>
      </c>
      <c r="D14505" s="2">
        <f t="shared" si="226"/>
        <v>1</v>
      </c>
    </row>
    <row r="14506" spans="1:4" x14ac:dyDescent="0.3">
      <c r="A14506" s="34">
        <v>76196</v>
      </c>
      <c r="B14506" s="35">
        <v>1</v>
      </c>
      <c r="C14506" s="35">
        <v>0</v>
      </c>
      <c r="D14506" s="2">
        <f t="shared" si="226"/>
        <v>1</v>
      </c>
    </row>
    <row r="14507" spans="1:4" x14ac:dyDescent="0.3">
      <c r="A14507" s="34">
        <v>76200</v>
      </c>
      <c r="B14507" s="35">
        <v>1</v>
      </c>
      <c r="C14507" s="35">
        <v>0</v>
      </c>
      <c r="D14507" s="2">
        <f t="shared" si="226"/>
        <v>1</v>
      </c>
    </row>
    <row r="14508" spans="1:4" x14ac:dyDescent="0.3">
      <c r="A14508" s="34">
        <v>76202</v>
      </c>
      <c r="B14508" s="35">
        <v>1</v>
      </c>
      <c r="C14508" s="35">
        <v>0</v>
      </c>
      <c r="D14508" s="2">
        <f t="shared" si="226"/>
        <v>1</v>
      </c>
    </row>
    <row r="14509" spans="1:4" x14ac:dyDescent="0.3">
      <c r="A14509" s="34">
        <v>76207</v>
      </c>
      <c r="B14509" s="35">
        <v>1</v>
      </c>
      <c r="C14509" s="35">
        <v>0</v>
      </c>
      <c r="D14509" s="2">
        <f t="shared" si="226"/>
        <v>1</v>
      </c>
    </row>
    <row r="14510" spans="1:4" x14ac:dyDescent="0.3">
      <c r="A14510" s="34">
        <v>76208</v>
      </c>
      <c r="B14510" s="35">
        <v>1</v>
      </c>
      <c r="C14510" s="35">
        <v>0</v>
      </c>
      <c r="D14510" s="2">
        <f t="shared" si="226"/>
        <v>1</v>
      </c>
    </row>
    <row r="14511" spans="1:4" x14ac:dyDescent="0.3">
      <c r="A14511" s="34">
        <v>76210</v>
      </c>
      <c r="B14511" s="35">
        <v>1</v>
      </c>
      <c r="C14511" s="35">
        <v>1</v>
      </c>
      <c r="D14511" s="2">
        <f t="shared" si="226"/>
        <v>2</v>
      </c>
    </row>
    <row r="14512" spans="1:4" x14ac:dyDescent="0.3">
      <c r="A14512" s="34">
        <v>76211</v>
      </c>
      <c r="B14512" s="35">
        <v>1</v>
      </c>
      <c r="C14512" s="35">
        <v>0</v>
      </c>
      <c r="D14512" s="2">
        <f t="shared" si="226"/>
        <v>1</v>
      </c>
    </row>
    <row r="14513" spans="1:4" x14ac:dyDescent="0.3">
      <c r="A14513" s="34">
        <v>76212</v>
      </c>
      <c r="B14513" s="35">
        <v>1</v>
      </c>
      <c r="C14513" s="35">
        <v>0</v>
      </c>
      <c r="D14513" s="2">
        <f t="shared" si="226"/>
        <v>1</v>
      </c>
    </row>
    <row r="14514" spans="1:4" x14ac:dyDescent="0.3">
      <c r="A14514" s="34">
        <v>76214</v>
      </c>
      <c r="B14514" s="35">
        <v>1</v>
      </c>
      <c r="C14514" s="35">
        <v>0</v>
      </c>
      <c r="D14514" s="2">
        <f t="shared" si="226"/>
        <v>1</v>
      </c>
    </row>
    <row r="14515" spans="1:4" x14ac:dyDescent="0.3">
      <c r="A14515" s="34">
        <v>76215</v>
      </c>
      <c r="B14515" s="35">
        <v>1</v>
      </c>
      <c r="C14515" s="35">
        <v>0</v>
      </c>
      <c r="D14515" s="2">
        <f t="shared" si="226"/>
        <v>1</v>
      </c>
    </row>
    <row r="14516" spans="1:4" x14ac:dyDescent="0.3">
      <c r="A14516" s="34">
        <v>76216</v>
      </c>
      <c r="B14516" s="35">
        <v>1</v>
      </c>
      <c r="C14516" s="35">
        <v>0</v>
      </c>
      <c r="D14516" s="2">
        <f t="shared" si="226"/>
        <v>1</v>
      </c>
    </row>
    <row r="14517" spans="1:4" x14ac:dyDescent="0.3">
      <c r="A14517" s="34">
        <v>76218</v>
      </c>
      <c r="B14517" s="35">
        <v>1</v>
      </c>
      <c r="C14517" s="35">
        <v>0</v>
      </c>
      <c r="D14517" s="2">
        <f t="shared" si="226"/>
        <v>1</v>
      </c>
    </row>
    <row r="14518" spans="1:4" x14ac:dyDescent="0.3">
      <c r="A14518" s="34">
        <v>76221</v>
      </c>
      <c r="B14518" s="35">
        <v>1</v>
      </c>
      <c r="C14518" s="35">
        <v>1</v>
      </c>
      <c r="D14518" s="2">
        <f t="shared" si="226"/>
        <v>2</v>
      </c>
    </row>
    <row r="14519" spans="1:4" x14ac:dyDescent="0.3">
      <c r="A14519" s="34">
        <v>76223</v>
      </c>
      <c r="B14519" s="35">
        <v>1</v>
      </c>
      <c r="C14519" s="35">
        <v>0</v>
      </c>
      <c r="D14519" s="2">
        <f t="shared" si="226"/>
        <v>1</v>
      </c>
    </row>
    <row r="14520" spans="1:4" x14ac:dyDescent="0.3">
      <c r="A14520" s="34">
        <v>76224</v>
      </c>
      <c r="B14520" s="35">
        <v>1</v>
      </c>
      <c r="C14520" s="35">
        <v>1</v>
      </c>
      <c r="D14520" s="2">
        <f t="shared" si="226"/>
        <v>2</v>
      </c>
    </row>
    <row r="14521" spans="1:4" x14ac:dyDescent="0.3">
      <c r="A14521" s="34">
        <v>76226</v>
      </c>
      <c r="B14521" s="35">
        <v>1</v>
      </c>
      <c r="C14521" s="35">
        <v>0</v>
      </c>
      <c r="D14521" s="2">
        <f t="shared" si="226"/>
        <v>1</v>
      </c>
    </row>
    <row r="14522" spans="1:4" x14ac:dyDescent="0.3">
      <c r="A14522" s="34">
        <v>76227</v>
      </c>
      <c r="B14522" s="35">
        <v>1</v>
      </c>
      <c r="C14522" s="35">
        <v>0</v>
      </c>
      <c r="D14522" s="2">
        <f t="shared" si="226"/>
        <v>1</v>
      </c>
    </row>
    <row r="14523" spans="1:4" x14ac:dyDescent="0.3">
      <c r="A14523" s="34">
        <v>76228</v>
      </c>
      <c r="B14523" s="35">
        <v>1</v>
      </c>
      <c r="C14523" s="35">
        <v>0</v>
      </c>
      <c r="D14523" s="2">
        <f t="shared" si="226"/>
        <v>1</v>
      </c>
    </row>
    <row r="14524" spans="1:4" x14ac:dyDescent="0.3">
      <c r="A14524" s="34">
        <v>76229</v>
      </c>
      <c r="B14524" s="35">
        <v>2</v>
      </c>
      <c r="C14524" s="35">
        <v>1</v>
      </c>
      <c r="D14524" s="2">
        <f t="shared" si="226"/>
        <v>3</v>
      </c>
    </row>
    <row r="14525" spans="1:4" x14ac:dyDescent="0.3">
      <c r="A14525" s="34">
        <v>76230</v>
      </c>
      <c r="B14525" s="35">
        <v>1</v>
      </c>
      <c r="C14525" s="35">
        <v>0</v>
      </c>
      <c r="D14525" s="2">
        <f t="shared" si="226"/>
        <v>1</v>
      </c>
    </row>
    <row r="14526" spans="1:4" x14ac:dyDescent="0.3">
      <c r="A14526" s="34">
        <v>76231</v>
      </c>
      <c r="B14526" s="35">
        <v>1</v>
      </c>
      <c r="C14526" s="35">
        <v>1</v>
      </c>
      <c r="D14526" s="2">
        <f t="shared" si="226"/>
        <v>2</v>
      </c>
    </row>
    <row r="14527" spans="1:4" x14ac:dyDescent="0.3">
      <c r="A14527" s="34">
        <v>76232</v>
      </c>
      <c r="B14527" s="35">
        <v>1</v>
      </c>
      <c r="C14527" s="35">
        <v>0</v>
      </c>
      <c r="D14527" s="2">
        <f t="shared" si="226"/>
        <v>1</v>
      </c>
    </row>
    <row r="14528" spans="1:4" x14ac:dyDescent="0.3">
      <c r="A14528" s="34">
        <v>76234</v>
      </c>
      <c r="B14528" s="35">
        <v>1</v>
      </c>
      <c r="C14528" s="35">
        <v>0</v>
      </c>
      <c r="D14528" s="2">
        <f t="shared" si="226"/>
        <v>1</v>
      </c>
    </row>
    <row r="14529" spans="1:4" x14ac:dyDescent="0.3">
      <c r="A14529" s="34">
        <v>76235</v>
      </c>
      <c r="B14529" s="35">
        <v>1</v>
      </c>
      <c r="C14529" s="35">
        <v>1</v>
      </c>
      <c r="D14529" s="2">
        <f t="shared" si="226"/>
        <v>2</v>
      </c>
    </row>
    <row r="14530" spans="1:4" x14ac:dyDescent="0.3">
      <c r="A14530" s="34">
        <v>76236</v>
      </c>
      <c r="B14530" s="35">
        <v>1</v>
      </c>
      <c r="C14530" s="35">
        <v>0</v>
      </c>
      <c r="D14530" s="2">
        <f t="shared" si="226"/>
        <v>1</v>
      </c>
    </row>
    <row r="14531" spans="1:4" x14ac:dyDescent="0.3">
      <c r="A14531" s="34">
        <v>76237</v>
      </c>
      <c r="B14531" s="35">
        <v>1</v>
      </c>
      <c r="C14531" s="35">
        <v>0</v>
      </c>
      <c r="D14531" s="2">
        <f t="shared" ref="D14531:D14594" si="227">B14531+C14531</f>
        <v>1</v>
      </c>
    </row>
    <row r="14532" spans="1:4" x14ac:dyDescent="0.3">
      <c r="A14532" s="34">
        <v>76238</v>
      </c>
      <c r="B14532" s="35">
        <v>1</v>
      </c>
      <c r="C14532" s="35">
        <v>0</v>
      </c>
      <c r="D14532" s="2">
        <f t="shared" si="227"/>
        <v>1</v>
      </c>
    </row>
    <row r="14533" spans="1:4" x14ac:dyDescent="0.3">
      <c r="A14533" s="34">
        <v>76239</v>
      </c>
      <c r="B14533" s="35">
        <v>1</v>
      </c>
      <c r="C14533" s="35">
        <v>0</v>
      </c>
      <c r="D14533" s="2">
        <f t="shared" si="227"/>
        <v>1</v>
      </c>
    </row>
    <row r="14534" spans="1:4" x14ac:dyDescent="0.3">
      <c r="A14534" s="34">
        <v>76240</v>
      </c>
      <c r="B14534" s="35">
        <v>1</v>
      </c>
      <c r="C14534" s="35">
        <v>0</v>
      </c>
      <c r="D14534" s="2">
        <f t="shared" si="227"/>
        <v>1</v>
      </c>
    </row>
    <row r="14535" spans="1:4" x14ac:dyDescent="0.3">
      <c r="A14535" s="34">
        <v>76241</v>
      </c>
      <c r="B14535" s="35">
        <v>1</v>
      </c>
      <c r="C14535" s="35">
        <v>0</v>
      </c>
      <c r="D14535" s="2">
        <f t="shared" si="227"/>
        <v>1</v>
      </c>
    </row>
    <row r="14536" spans="1:4" x14ac:dyDescent="0.3">
      <c r="A14536" s="34">
        <v>76242</v>
      </c>
      <c r="B14536" s="35">
        <v>3</v>
      </c>
      <c r="C14536" s="35">
        <v>2</v>
      </c>
      <c r="D14536" s="2">
        <f t="shared" si="227"/>
        <v>5</v>
      </c>
    </row>
    <row r="14537" spans="1:4" x14ac:dyDescent="0.3">
      <c r="A14537" s="34">
        <v>76243</v>
      </c>
      <c r="B14537" s="35">
        <v>1</v>
      </c>
      <c r="C14537" s="35">
        <v>0</v>
      </c>
      <c r="D14537" s="2">
        <f t="shared" si="227"/>
        <v>1</v>
      </c>
    </row>
    <row r="14538" spans="1:4" x14ac:dyDescent="0.3">
      <c r="A14538" s="34">
        <v>76244</v>
      </c>
      <c r="B14538" s="35">
        <v>1</v>
      </c>
      <c r="C14538" s="35">
        <v>0</v>
      </c>
      <c r="D14538" s="2">
        <f t="shared" si="227"/>
        <v>1</v>
      </c>
    </row>
    <row r="14539" spans="1:4" x14ac:dyDescent="0.3">
      <c r="A14539" s="34">
        <v>76247</v>
      </c>
      <c r="B14539" s="35">
        <v>1</v>
      </c>
      <c r="C14539" s="35">
        <v>0</v>
      </c>
      <c r="D14539" s="2">
        <f t="shared" si="227"/>
        <v>1</v>
      </c>
    </row>
    <row r="14540" spans="1:4" x14ac:dyDescent="0.3">
      <c r="A14540" s="34">
        <v>76248</v>
      </c>
      <c r="B14540" s="35">
        <v>1</v>
      </c>
      <c r="C14540" s="35">
        <v>0</v>
      </c>
      <c r="D14540" s="2">
        <f t="shared" si="227"/>
        <v>1</v>
      </c>
    </row>
    <row r="14541" spans="1:4" x14ac:dyDescent="0.3">
      <c r="A14541" s="34">
        <v>76249</v>
      </c>
      <c r="B14541" s="35">
        <v>1</v>
      </c>
      <c r="C14541" s="35">
        <v>1</v>
      </c>
      <c r="D14541" s="2">
        <f t="shared" si="227"/>
        <v>2</v>
      </c>
    </row>
    <row r="14542" spans="1:4" x14ac:dyDescent="0.3">
      <c r="A14542" s="34">
        <v>76257</v>
      </c>
      <c r="B14542" s="35">
        <v>1</v>
      </c>
      <c r="C14542" s="35">
        <v>0</v>
      </c>
      <c r="D14542" s="2">
        <f t="shared" si="227"/>
        <v>1</v>
      </c>
    </row>
    <row r="14543" spans="1:4" x14ac:dyDescent="0.3">
      <c r="A14543" s="34">
        <v>76262</v>
      </c>
      <c r="B14543" s="35">
        <v>1</v>
      </c>
      <c r="C14543" s="35">
        <v>1</v>
      </c>
      <c r="D14543" s="2">
        <f t="shared" si="227"/>
        <v>2</v>
      </c>
    </row>
    <row r="14544" spans="1:4" x14ac:dyDescent="0.3">
      <c r="A14544" s="34">
        <v>76263</v>
      </c>
      <c r="B14544" s="35">
        <v>1</v>
      </c>
      <c r="C14544" s="35">
        <v>0</v>
      </c>
      <c r="D14544" s="2">
        <f t="shared" si="227"/>
        <v>1</v>
      </c>
    </row>
    <row r="14545" spans="1:4" x14ac:dyDescent="0.3">
      <c r="A14545" s="34">
        <v>76264</v>
      </c>
      <c r="B14545" s="35">
        <v>1</v>
      </c>
      <c r="C14545" s="35">
        <v>0</v>
      </c>
      <c r="D14545" s="2">
        <f t="shared" si="227"/>
        <v>1</v>
      </c>
    </row>
    <row r="14546" spans="1:4" x14ac:dyDescent="0.3">
      <c r="A14546" s="34">
        <v>76265</v>
      </c>
      <c r="B14546" s="35">
        <v>1</v>
      </c>
      <c r="C14546" s="35">
        <v>0</v>
      </c>
      <c r="D14546" s="2">
        <f t="shared" si="227"/>
        <v>1</v>
      </c>
    </row>
    <row r="14547" spans="1:4" x14ac:dyDescent="0.3">
      <c r="A14547" s="34">
        <v>76266</v>
      </c>
      <c r="B14547" s="35">
        <v>1</v>
      </c>
      <c r="C14547" s="35">
        <v>0</v>
      </c>
      <c r="D14547" s="2">
        <f t="shared" si="227"/>
        <v>1</v>
      </c>
    </row>
    <row r="14548" spans="1:4" x14ac:dyDescent="0.3">
      <c r="A14548" s="34">
        <v>76267</v>
      </c>
      <c r="B14548" s="35">
        <v>1</v>
      </c>
      <c r="C14548" s="35">
        <v>0</v>
      </c>
      <c r="D14548" s="2">
        <f t="shared" si="227"/>
        <v>1</v>
      </c>
    </row>
    <row r="14549" spans="1:4" x14ac:dyDescent="0.3">
      <c r="A14549" s="34">
        <v>76268</v>
      </c>
      <c r="B14549" s="35">
        <v>2</v>
      </c>
      <c r="C14549" s="35">
        <v>1</v>
      </c>
      <c r="D14549" s="2">
        <f t="shared" si="227"/>
        <v>3</v>
      </c>
    </row>
    <row r="14550" spans="1:4" x14ac:dyDescent="0.3">
      <c r="A14550" s="34">
        <v>76270</v>
      </c>
      <c r="B14550" s="35">
        <v>1</v>
      </c>
      <c r="C14550" s="35">
        <v>0</v>
      </c>
      <c r="D14550" s="2">
        <f t="shared" si="227"/>
        <v>1</v>
      </c>
    </row>
    <row r="14551" spans="1:4" x14ac:dyDescent="0.3">
      <c r="A14551" s="34">
        <v>76274</v>
      </c>
      <c r="B14551" s="35">
        <v>1</v>
      </c>
      <c r="C14551" s="35">
        <v>0</v>
      </c>
      <c r="D14551" s="2">
        <f t="shared" si="227"/>
        <v>1</v>
      </c>
    </row>
    <row r="14552" spans="1:4" x14ac:dyDescent="0.3">
      <c r="A14552" s="34">
        <v>76275</v>
      </c>
      <c r="B14552" s="35">
        <v>1</v>
      </c>
      <c r="C14552" s="35">
        <v>0</v>
      </c>
      <c r="D14552" s="2">
        <f t="shared" si="227"/>
        <v>1</v>
      </c>
    </row>
    <row r="14553" spans="1:4" x14ac:dyDescent="0.3">
      <c r="A14553" s="34">
        <v>76277</v>
      </c>
      <c r="B14553" s="35">
        <v>1</v>
      </c>
      <c r="C14553" s="35">
        <v>0</v>
      </c>
      <c r="D14553" s="2">
        <f t="shared" si="227"/>
        <v>1</v>
      </c>
    </row>
    <row r="14554" spans="1:4" x14ac:dyDescent="0.3">
      <c r="A14554" s="34">
        <v>76278</v>
      </c>
      <c r="B14554" s="35">
        <v>1</v>
      </c>
      <c r="C14554" s="35">
        <v>0</v>
      </c>
      <c r="D14554" s="2">
        <f t="shared" si="227"/>
        <v>1</v>
      </c>
    </row>
    <row r="14555" spans="1:4" x14ac:dyDescent="0.3">
      <c r="A14555" s="34">
        <v>76279</v>
      </c>
      <c r="B14555" s="35">
        <v>1</v>
      </c>
      <c r="C14555" s="35">
        <v>0</v>
      </c>
      <c r="D14555" s="2">
        <f t="shared" si="227"/>
        <v>1</v>
      </c>
    </row>
    <row r="14556" spans="1:4" x14ac:dyDescent="0.3">
      <c r="A14556" s="34">
        <v>76280</v>
      </c>
      <c r="B14556" s="35">
        <v>1</v>
      </c>
      <c r="C14556" s="35">
        <v>0</v>
      </c>
      <c r="D14556" s="2">
        <f t="shared" si="227"/>
        <v>1</v>
      </c>
    </row>
    <row r="14557" spans="1:4" x14ac:dyDescent="0.3">
      <c r="A14557" s="34">
        <v>76282</v>
      </c>
      <c r="B14557" s="35">
        <v>1</v>
      </c>
      <c r="C14557" s="35">
        <v>0</v>
      </c>
      <c r="D14557" s="2">
        <f t="shared" si="227"/>
        <v>1</v>
      </c>
    </row>
    <row r="14558" spans="1:4" x14ac:dyDescent="0.3">
      <c r="A14558" s="34">
        <v>76283</v>
      </c>
      <c r="B14558" s="35">
        <v>1</v>
      </c>
      <c r="C14558" s="35">
        <v>1</v>
      </c>
      <c r="D14558" s="2">
        <f t="shared" si="227"/>
        <v>2</v>
      </c>
    </row>
    <row r="14559" spans="1:4" x14ac:dyDescent="0.3">
      <c r="A14559" s="34">
        <v>76287</v>
      </c>
      <c r="B14559" s="35">
        <v>1</v>
      </c>
      <c r="C14559" s="35">
        <v>0</v>
      </c>
      <c r="D14559" s="2">
        <f t="shared" si="227"/>
        <v>1</v>
      </c>
    </row>
    <row r="14560" spans="1:4" x14ac:dyDescent="0.3">
      <c r="A14560" s="34">
        <v>76288</v>
      </c>
      <c r="B14560" s="35">
        <v>1</v>
      </c>
      <c r="C14560" s="35">
        <v>0</v>
      </c>
      <c r="D14560" s="2">
        <f t="shared" si="227"/>
        <v>1</v>
      </c>
    </row>
    <row r="14561" spans="1:4" x14ac:dyDescent="0.3">
      <c r="A14561" s="34">
        <v>76291</v>
      </c>
      <c r="B14561" s="35">
        <v>1</v>
      </c>
      <c r="C14561" s="35">
        <v>0</v>
      </c>
      <c r="D14561" s="2">
        <f t="shared" si="227"/>
        <v>1</v>
      </c>
    </row>
    <row r="14562" spans="1:4" x14ac:dyDescent="0.3">
      <c r="A14562" s="34">
        <v>76292</v>
      </c>
      <c r="B14562" s="35">
        <v>1</v>
      </c>
      <c r="C14562" s="35">
        <v>0</v>
      </c>
      <c r="D14562" s="2">
        <f t="shared" si="227"/>
        <v>1</v>
      </c>
    </row>
    <row r="14563" spans="1:4" x14ac:dyDescent="0.3">
      <c r="A14563" s="34">
        <v>76293</v>
      </c>
      <c r="B14563" s="35">
        <v>1</v>
      </c>
      <c r="C14563" s="35">
        <v>0</v>
      </c>
      <c r="D14563" s="2">
        <f t="shared" si="227"/>
        <v>1</v>
      </c>
    </row>
    <row r="14564" spans="1:4" x14ac:dyDescent="0.3">
      <c r="A14564" s="34">
        <v>76295</v>
      </c>
      <c r="B14564" s="35">
        <v>1</v>
      </c>
      <c r="C14564" s="35">
        <v>0</v>
      </c>
      <c r="D14564" s="2">
        <f t="shared" si="227"/>
        <v>1</v>
      </c>
    </row>
    <row r="14565" spans="1:4" x14ac:dyDescent="0.3">
      <c r="A14565" s="34">
        <v>76296</v>
      </c>
      <c r="B14565" s="35">
        <v>1</v>
      </c>
      <c r="C14565" s="35">
        <v>0</v>
      </c>
      <c r="D14565" s="2">
        <f t="shared" si="227"/>
        <v>1</v>
      </c>
    </row>
    <row r="14566" spans="1:4" x14ac:dyDescent="0.3">
      <c r="A14566" s="34">
        <v>76298</v>
      </c>
      <c r="B14566" s="35">
        <v>1</v>
      </c>
      <c r="C14566" s="35">
        <v>1</v>
      </c>
      <c r="D14566" s="2">
        <f t="shared" si="227"/>
        <v>2</v>
      </c>
    </row>
    <row r="14567" spans="1:4" x14ac:dyDescent="0.3">
      <c r="A14567" s="34">
        <v>76299</v>
      </c>
      <c r="B14567" s="35">
        <v>1</v>
      </c>
      <c r="C14567" s="35">
        <v>0</v>
      </c>
      <c r="D14567" s="2">
        <f t="shared" si="227"/>
        <v>1</v>
      </c>
    </row>
    <row r="14568" spans="1:4" x14ac:dyDescent="0.3">
      <c r="A14568" s="34">
        <v>76301</v>
      </c>
      <c r="B14568" s="35">
        <v>1</v>
      </c>
      <c r="C14568" s="35">
        <v>0</v>
      </c>
      <c r="D14568" s="2">
        <f t="shared" si="227"/>
        <v>1</v>
      </c>
    </row>
    <row r="14569" spans="1:4" x14ac:dyDescent="0.3">
      <c r="A14569" s="34">
        <v>76302</v>
      </c>
      <c r="B14569" s="35">
        <v>1</v>
      </c>
      <c r="C14569" s="35">
        <v>0</v>
      </c>
      <c r="D14569" s="2">
        <f t="shared" si="227"/>
        <v>1</v>
      </c>
    </row>
    <row r="14570" spans="1:4" x14ac:dyDescent="0.3">
      <c r="A14570" s="34">
        <v>76304</v>
      </c>
      <c r="B14570" s="35">
        <v>1</v>
      </c>
      <c r="C14570" s="35">
        <v>0</v>
      </c>
      <c r="D14570" s="2">
        <f t="shared" si="227"/>
        <v>1</v>
      </c>
    </row>
    <row r="14571" spans="1:4" x14ac:dyDescent="0.3">
      <c r="A14571" s="34">
        <v>76305</v>
      </c>
      <c r="B14571" s="35">
        <v>1</v>
      </c>
      <c r="C14571" s="35">
        <v>0</v>
      </c>
      <c r="D14571" s="2">
        <f t="shared" si="227"/>
        <v>1</v>
      </c>
    </row>
    <row r="14572" spans="1:4" x14ac:dyDescent="0.3">
      <c r="A14572" s="34">
        <v>76306</v>
      </c>
      <c r="B14572" s="35">
        <v>1</v>
      </c>
      <c r="C14572" s="35">
        <v>0</v>
      </c>
      <c r="D14572" s="2">
        <f t="shared" si="227"/>
        <v>1</v>
      </c>
    </row>
    <row r="14573" spans="1:4" x14ac:dyDescent="0.3">
      <c r="A14573" s="34">
        <v>76308</v>
      </c>
      <c r="B14573" s="35">
        <v>1</v>
      </c>
      <c r="C14573" s="35">
        <v>0</v>
      </c>
      <c r="D14573" s="2">
        <f t="shared" si="227"/>
        <v>1</v>
      </c>
    </row>
    <row r="14574" spans="1:4" x14ac:dyDescent="0.3">
      <c r="A14574" s="34">
        <v>76309</v>
      </c>
      <c r="B14574" s="35">
        <v>1</v>
      </c>
      <c r="C14574" s="35">
        <v>0</v>
      </c>
      <c r="D14574" s="2">
        <f t="shared" si="227"/>
        <v>1</v>
      </c>
    </row>
    <row r="14575" spans="1:4" x14ac:dyDescent="0.3">
      <c r="A14575" s="34">
        <v>76310</v>
      </c>
      <c r="B14575" s="35">
        <v>1</v>
      </c>
      <c r="C14575" s="35">
        <v>0</v>
      </c>
      <c r="D14575" s="2">
        <f t="shared" si="227"/>
        <v>1</v>
      </c>
    </row>
    <row r="14576" spans="1:4" x14ac:dyDescent="0.3">
      <c r="A14576" s="34">
        <v>76311</v>
      </c>
      <c r="B14576" s="35">
        <v>1</v>
      </c>
      <c r="C14576" s="35">
        <v>0</v>
      </c>
      <c r="D14576" s="2">
        <f t="shared" si="227"/>
        <v>1</v>
      </c>
    </row>
    <row r="14577" spans="1:4" x14ac:dyDescent="0.3">
      <c r="A14577" s="34">
        <v>76313</v>
      </c>
      <c r="B14577" s="35">
        <v>1</v>
      </c>
      <c r="C14577" s="35">
        <v>0</v>
      </c>
      <c r="D14577" s="2">
        <f t="shared" si="227"/>
        <v>1</v>
      </c>
    </row>
    <row r="14578" spans="1:4" x14ac:dyDescent="0.3">
      <c r="A14578" s="34">
        <v>76314</v>
      </c>
      <c r="B14578" s="35">
        <v>1</v>
      </c>
      <c r="C14578" s="35">
        <v>0</v>
      </c>
      <c r="D14578" s="2">
        <f t="shared" si="227"/>
        <v>1</v>
      </c>
    </row>
    <row r="14579" spans="1:4" x14ac:dyDescent="0.3">
      <c r="A14579" s="34">
        <v>76316</v>
      </c>
      <c r="B14579" s="35">
        <v>1</v>
      </c>
      <c r="C14579" s="35">
        <v>0</v>
      </c>
      <c r="D14579" s="2">
        <f t="shared" si="227"/>
        <v>1</v>
      </c>
    </row>
    <row r="14580" spans="1:4" x14ac:dyDescent="0.3">
      <c r="A14580" s="34">
        <v>76317</v>
      </c>
      <c r="B14580" s="35">
        <v>1</v>
      </c>
      <c r="C14580" s="35">
        <v>1</v>
      </c>
      <c r="D14580" s="2">
        <f t="shared" si="227"/>
        <v>2</v>
      </c>
    </row>
    <row r="14581" spans="1:4" x14ac:dyDescent="0.3">
      <c r="A14581" s="34">
        <v>76318</v>
      </c>
      <c r="B14581" s="35">
        <v>1</v>
      </c>
      <c r="C14581" s="35">
        <v>0</v>
      </c>
      <c r="D14581" s="2">
        <f t="shared" si="227"/>
        <v>1</v>
      </c>
    </row>
    <row r="14582" spans="1:4" x14ac:dyDescent="0.3">
      <c r="A14582" s="34">
        <v>76321</v>
      </c>
      <c r="B14582" s="35">
        <v>1</v>
      </c>
      <c r="C14582" s="35">
        <v>0</v>
      </c>
      <c r="D14582" s="2">
        <f t="shared" si="227"/>
        <v>1</v>
      </c>
    </row>
    <row r="14583" spans="1:4" x14ac:dyDescent="0.3">
      <c r="A14583" s="34">
        <v>76322</v>
      </c>
      <c r="B14583" s="35">
        <v>1</v>
      </c>
      <c r="C14583" s="35">
        <v>0</v>
      </c>
      <c r="D14583" s="2">
        <f t="shared" si="227"/>
        <v>1</v>
      </c>
    </row>
    <row r="14584" spans="1:4" x14ac:dyDescent="0.3">
      <c r="A14584" s="34">
        <v>76323</v>
      </c>
      <c r="B14584" s="35">
        <v>1</v>
      </c>
      <c r="C14584" s="35">
        <v>1</v>
      </c>
      <c r="D14584" s="2">
        <f t="shared" si="227"/>
        <v>2</v>
      </c>
    </row>
    <row r="14585" spans="1:4" x14ac:dyDescent="0.3">
      <c r="A14585" s="34">
        <v>76324</v>
      </c>
      <c r="B14585" s="35">
        <v>1</v>
      </c>
      <c r="C14585" s="35">
        <v>0</v>
      </c>
      <c r="D14585" s="2">
        <f t="shared" si="227"/>
        <v>1</v>
      </c>
    </row>
    <row r="14586" spans="1:4" x14ac:dyDescent="0.3">
      <c r="A14586" s="34">
        <v>76325</v>
      </c>
      <c r="B14586" s="35">
        <v>1</v>
      </c>
      <c r="C14586" s="35">
        <v>0</v>
      </c>
      <c r="D14586" s="2">
        <f t="shared" si="227"/>
        <v>1</v>
      </c>
    </row>
    <row r="14587" spans="1:4" x14ac:dyDescent="0.3">
      <c r="A14587" s="34">
        <v>76327</v>
      </c>
      <c r="B14587" s="35">
        <v>1</v>
      </c>
      <c r="C14587" s="35">
        <v>0</v>
      </c>
      <c r="D14587" s="2">
        <f t="shared" si="227"/>
        <v>1</v>
      </c>
    </row>
    <row r="14588" spans="1:4" x14ac:dyDescent="0.3">
      <c r="A14588" s="34">
        <v>76330</v>
      </c>
      <c r="B14588" s="35">
        <v>1</v>
      </c>
      <c r="C14588" s="35">
        <v>0</v>
      </c>
      <c r="D14588" s="2">
        <f t="shared" si="227"/>
        <v>1</v>
      </c>
    </row>
    <row r="14589" spans="1:4" x14ac:dyDescent="0.3">
      <c r="A14589" s="34">
        <v>76331</v>
      </c>
      <c r="B14589" s="35">
        <v>2</v>
      </c>
      <c r="C14589" s="35">
        <v>0</v>
      </c>
      <c r="D14589" s="2">
        <f t="shared" si="227"/>
        <v>2</v>
      </c>
    </row>
    <row r="14590" spans="1:4" x14ac:dyDescent="0.3">
      <c r="A14590" s="34">
        <v>76332</v>
      </c>
      <c r="B14590" s="35">
        <v>1</v>
      </c>
      <c r="C14590" s="35">
        <v>0</v>
      </c>
      <c r="D14590" s="2">
        <f t="shared" si="227"/>
        <v>1</v>
      </c>
    </row>
    <row r="14591" spans="1:4" x14ac:dyDescent="0.3">
      <c r="A14591" s="34">
        <v>76333</v>
      </c>
      <c r="B14591" s="35">
        <v>1</v>
      </c>
      <c r="C14591" s="35">
        <v>1</v>
      </c>
      <c r="D14591" s="2">
        <f t="shared" si="227"/>
        <v>2</v>
      </c>
    </row>
    <row r="14592" spans="1:4" x14ac:dyDescent="0.3">
      <c r="A14592" s="34">
        <v>76334</v>
      </c>
      <c r="B14592" s="35">
        <v>1</v>
      </c>
      <c r="C14592" s="35">
        <v>0</v>
      </c>
      <c r="D14592" s="2">
        <f t="shared" si="227"/>
        <v>1</v>
      </c>
    </row>
    <row r="14593" spans="1:4" x14ac:dyDescent="0.3">
      <c r="A14593" s="34">
        <v>76340</v>
      </c>
      <c r="B14593" s="35">
        <v>1</v>
      </c>
      <c r="C14593" s="35">
        <v>0</v>
      </c>
      <c r="D14593" s="2">
        <f t="shared" si="227"/>
        <v>1</v>
      </c>
    </row>
    <row r="14594" spans="1:4" x14ac:dyDescent="0.3">
      <c r="A14594" s="34">
        <v>76341</v>
      </c>
      <c r="B14594" s="35">
        <v>1</v>
      </c>
      <c r="C14594" s="35">
        <v>0</v>
      </c>
      <c r="D14594" s="2">
        <f t="shared" si="227"/>
        <v>1</v>
      </c>
    </row>
    <row r="14595" spans="1:4" x14ac:dyDescent="0.3">
      <c r="A14595" s="34">
        <v>76342</v>
      </c>
      <c r="B14595" s="35">
        <v>1</v>
      </c>
      <c r="C14595" s="35">
        <v>0</v>
      </c>
      <c r="D14595" s="2">
        <f t="shared" ref="D14595:D14658" si="228">B14595+C14595</f>
        <v>1</v>
      </c>
    </row>
    <row r="14596" spans="1:4" x14ac:dyDescent="0.3">
      <c r="A14596" s="34">
        <v>76343</v>
      </c>
      <c r="B14596" s="35">
        <v>1</v>
      </c>
      <c r="C14596" s="35">
        <v>0</v>
      </c>
      <c r="D14596" s="2">
        <f t="shared" si="228"/>
        <v>1</v>
      </c>
    </row>
    <row r="14597" spans="1:4" x14ac:dyDescent="0.3">
      <c r="A14597" s="34">
        <v>76345</v>
      </c>
      <c r="B14597" s="35">
        <v>1</v>
      </c>
      <c r="C14597" s="35">
        <v>0</v>
      </c>
      <c r="D14597" s="2">
        <f t="shared" si="228"/>
        <v>1</v>
      </c>
    </row>
    <row r="14598" spans="1:4" x14ac:dyDescent="0.3">
      <c r="A14598" s="34">
        <v>76346</v>
      </c>
      <c r="B14598" s="35">
        <v>1</v>
      </c>
      <c r="C14598" s="35">
        <v>1</v>
      </c>
      <c r="D14598" s="2">
        <f t="shared" si="228"/>
        <v>2</v>
      </c>
    </row>
    <row r="14599" spans="1:4" x14ac:dyDescent="0.3">
      <c r="A14599" s="34">
        <v>76347</v>
      </c>
      <c r="B14599" s="35">
        <v>1</v>
      </c>
      <c r="C14599" s="35">
        <v>0</v>
      </c>
      <c r="D14599" s="2">
        <f t="shared" si="228"/>
        <v>1</v>
      </c>
    </row>
    <row r="14600" spans="1:4" x14ac:dyDescent="0.3">
      <c r="A14600" s="34">
        <v>76348</v>
      </c>
      <c r="B14600" s="35">
        <v>1</v>
      </c>
      <c r="C14600" s="35">
        <v>0</v>
      </c>
      <c r="D14600" s="2">
        <f t="shared" si="228"/>
        <v>1</v>
      </c>
    </row>
    <row r="14601" spans="1:4" x14ac:dyDescent="0.3">
      <c r="A14601" s="34">
        <v>76350</v>
      </c>
      <c r="B14601" s="35">
        <v>1</v>
      </c>
      <c r="C14601" s="35">
        <v>0</v>
      </c>
      <c r="D14601" s="2">
        <f t="shared" si="228"/>
        <v>1</v>
      </c>
    </row>
    <row r="14602" spans="1:4" x14ac:dyDescent="0.3">
      <c r="A14602" s="34">
        <v>76351</v>
      </c>
      <c r="B14602" s="35">
        <v>1</v>
      </c>
      <c r="C14602" s="35">
        <v>0</v>
      </c>
      <c r="D14602" s="2">
        <f t="shared" si="228"/>
        <v>1</v>
      </c>
    </row>
    <row r="14603" spans="1:4" x14ac:dyDescent="0.3">
      <c r="A14603" s="34">
        <v>76353</v>
      </c>
      <c r="B14603" s="35">
        <v>1</v>
      </c>
      <c r="C14603" s="35">
        <v>1</v>
      </c>
      <c r="D14603" s="2">
        <f t="shared" si="228"/>
        <v>2</v>
      </c>
    </row>
    <row r="14604" spans="1:4" x14ac:dyDescent="0.3">
      <c r="A14604" s="34">
        <v>76354</v>
      </c>
      <c r="B14604" s="35">
        <v>1</v>
      </c>
      <c r="C14604" s="35">
        <v>0</v>
      </c>
      <c r="D14604" s="2">
        <f t="shared" si="228"/>
        <v>1</v>
      </c>
    </row>
    <row r="14605" spans="1:4" x14ac:dyDescent="0.3">
      <c r="A14605" s="34">
        <v>76355</v>
      </c>
      <c r="B14605" s="35">
        <v>1</v>
      </c>
      <c r="C14605" s="35">
        <v>0</v>
      </c>
      <c r="D14605" s="2">
        <f t="shared" si="228"/>
        <v>1</v>
      </c>
    </row>
    <row r="14606" spans="1:4" x14ac:dyDescent="0.3">
      <c r="A14606" s="34">
        <v>76356</v>
      </c>
      <c r="B14606" s="35">
        <v>1</v>
      </c>
      <c r="C14606" s="35">
        <v>0</v>
      </c>
      <c r="D14606" s="2">
        <f t="shared" si="228"/>
        <v>1</v>
      </c>
    </row>
    <row r="14607" spans="1:4" x14ac:dyDescent="0.3">
      <c r="A14607" s="34">
        <v>76357</v>
      </c>
      <c r="B14607" s="35">
        <v>1</v>
      </c>
      <c r="C14607" s="35">
        <v>0</v>
      </c>
      <c r="D14607" s="2">
        <f t="shared" si="228"/>
        <v>1</v>
      </c>
    </row>
    <row r="14608" spans="1:4" x14ac:dyDescent="0.3">
      <c r="A14608" s="34">
        <v>76359</v>
      </c>
      <c r="B14608" s="35">
        <v>1</v>
      </c>
      <c r="C14608" s="35">
        <v>1</v>
      </c>
      <c r="D14608" s="2">
        <f t="shared" si="228"/>
        <v>2</v>
      </c>
    </row>
    <row r="14609" spans="1:4" x14ac:dyDescent="0.3">
      <c r="A14609" s="34">
        <v>76361</v>
      </c>
      <c r="B14609" s="35">
        <v>1</v>
      </c>
      <c r="C14609" s="35">
        <v>1</v>
      </c>
      <c r="D14609" s="2">
        <f t="shared" si="228"/>
        <v>2</v>
      </c>
    </row>
    <row r="14610" spans="1:4" x14ac:dyDescent="0.3">
      <c r="A14610" s="34">
        <v>76365</v>
      </c>
      <c r="B14610" s="35">
        <v>1</v>
      </c>
      <c r="C14610" s="35">
        <v>1</v>
      </c>
      <c r="D14610" s="2">
        <f t="shared" si="228"/>
        <v>2</v>
      </c>
    </row>
    <row r="14611" spans="1:4" x14ac:dyDescent="0.3">
      <c r="A14611" s="34">
        <v>76366</v>
      </c>
      <c r="B14611" s="35">
        <v>1</v>
      </c>
      <c r="C14611" s="35">
        <v>0</v>
      </c>
      <c r="D14611" s="2">
        <f t="shared" si="228"/>
        <v>1</v>
      </c>
    </row>
    <row r="14612" spans="1:4" x14ac:dyDescent="0.3">
      <c r="A14612" s="34">
        <v>76371</v>
      </c>
      <c r="B14612" s="35">
        <v>1</v>
      </c>
      <c r="C14612" s="35">
        <v>0</v>
      </c>
      <c r="D14612" s="2">
        <f t="shared" si="228"/>
        <v>1</v>
      </c>
    </row>
    <row r="14613" spans="1:4" x14ac:dyDescent="0.3">
      <c r="A14613" s="34">
        <v>76373</v>
      </c>
      <c r="B14613" s="35">
        <v>1</v>
      </c>
      <c r="C14613" s="35">
        <v>0</v>
      </c>
      <c r="D14613" s="2">
        <f t="shared" si="228"/>
        <v>1</v>
      </c>
    </row>
    <row r="14614" spans="1:4" x14ac:dyDescent="0.3">
      <c r="A14614" s="34">
        <v>76374</v>
      </c>
      <c r="B14614" s="35">
        <v>1</v>
      </c>
      <c r="C14614" s="35">
        <v>0</v>
      </c>
      <c r="D14614" s="2">
        <f t="shared" si="228"/>
        <v>1</v>
      </c>
    </row>
    <row r="14615" spans="1:4" x14ac:dyDescent="0.3">
      <c r="A14615" s="34">
        <v>76377</v>
      </c>
      <c r="B14615" s="35">
        <v>1</v>
      </c>
      <c r="C14615" s="35">
        <v>0</v>
      </c>
      <c r="D14615" s="2">
        <f t="shared" si="228"/>
        <v>1</v>
      </c>
    </row>
    <row r="14616" spans="1:4" x14ac:dyDescent="0.3">
      <c r="A14616" s="34">
        <v>76380</v>
      </c>
      <c r="B14616" s="35">
        <v>1</v>
      </c>
      <c r="C14616" s="35">
        <v>0</v>
      </c>
      <c r="D14616" s="2">
        <f t="shared" si="228"/>
        <v>1</v>
      </c>
    </row>
    <row r="14617" spans="1:4" x14ac:dyDescent="0.3">
      <c r="A14617" s="34">
        <v>76383</v>
      </c>
      <c r="B14617" s="35">
        <v>1</v>
      </c>
      <c r="C14617" s="35">
        <v>0</v>
      </c>
      <c r="D14617" s="2">
        <f t="shared" si="228"/>
        <v>1</v>
      </c>
    </row>
    <row r="14618" spans="1:4" x14ac:dyDescent="0.3">
      <c r="A14618" s="34">
        <v>76385</v>
      </c>
      <c r="B14618" s="35">
        <v>1</v>
      </c>
      <c r="C14618" s="35">
        <v>0</v>
      </c>
      <c r="D14618" s="2">
        <f t="shared" si="228"/>
        <v>1</v>
      </c>
    </row>
    <row r="14619" spans="1:4" x14ac:dyDescent="0.3">
      <c r="A14619" s="34">
        <v>76386</v>
      </c>
      <c r="B14619" s="35">
        <v>1</v>
      </c>
      <c r="C14619" s="35">
        <v>1</v>
      </c>
      <c r="D14619" s="2">
        <f t="shared" si="228"/>
        <v>2</v>
      </c>
    </row>
    <row r="14620" spans="1:4" x14ac:dyDescent="0.3">
      <c r="A14620" s="34">
        <v>76387</v>
      </c>
      <c r="B14620" s="35">
        <v>1</v>
      </c>
      <c r="C14620" s="35">
        <v>0</v>
      </c>
      <c r="D14620" s="2">
        <f t="shared" si="228"/>
        <v>1</v>
      </c>
    </row>
    <row r="14621" spans="1:4" x14ac:dyDescent="0.3">
      <c r="A14621" s="34">
        <v>76388</v>
      </c>
      <c r="B14621" s="35">
        <v>1</v>
      </c>
      <c r="C14621" s="35">
        <v>0</v>
      </c>
      <c r="D14621" s="2">
        <f t="shared" si="228"/>
        <v>1</v>
      </c>
    </row>
    <row r="14622" spans="1:4" x14ac:dyDescent="0.3">
      <c r="A14622" s="34">
        <v>76389</v>
      </c>
      <c r="B14622" s="35">
        <v>1</v>
      </c>
      <c r="C14622" s="35">
        <v>0</v>
      </c>
      <c r="D14622" s="2">
        <f t="shared" si="228"/>
        <v>1</v>
      </c>
    </row>
    <row r="14623" spans="1:4" x14ac:dyDescent="0.3">
      <c r="A14623" s="34">
        <v>76391</v>
      </c>
      <c r="B14623" s="35">
        <v>1</v>
      </c>
      <c r="C14623" s="35">
        <v>1</v>
      </c>
      <c r="D14623" s="2">
        <f t="shared" si="228"/>
        <v>2</v>
      </c>
    </row>
    <row r="14624" spans="1:4" x14ac:dyDescent="0.3">
      <c r="A14624" s="34">
        <v>76396</v>
      </c>
      <c r="B14624" s="35">
        <v>1</v>
      </c>
      <c r="C14624" s="35">
        <v>1</v>
      </c>
      <c r="D14624" s="2">
        <f t="shared" si="228"/>
        <v>2</v>
      </c>
    </row>
    <row r="14625" spans="1:4" x14ac:dyDescent="0.3">
      <c r="A14625" s="34">
        <v>76402</v>
      </c>
      <c r="B14625" s="35">
        <v>2</v>
      </c>
      <c r="C14625" s="35">
        <v>1</v>
      </c>
      <c r="D14625" s="2">
        <f t="shared" si="228"/>
        <v>3</v>
      </c>
    </row>
    <row r="14626" spans="1:4" x14ac:dyDescent="0.3">
      <c r="A14626" s="34">
        <v>76405</v>
      </c>
      <c r="B14626" s="35">
        <v>1</v>
      </c>
      <c r="C14626" s="35">
        <v>0</v>
      </c>
      <c r="D14626" s="2">
        <f t="shared" si="228"/>
        <v>1</v>
      </c>
    </row>
    <row r="14627" spans="1:4" x14ac:dyDescent="0.3">
      <c r="A14627" s="34">
        <v>76406</v>
      </c>
      <c r="B14627" s="35">
        <v>2</v>
      </c>
      <c r="C14627" s="35">
        <v>1</v>
      </c>
      <c r="D14627" s="2">
        <f t="shared" si="228"/>
        <v>3</v>
      </c>
    </row>
    <row r="14628" spans="1:4" x14ac:dyDescent="0.3">
      <c r="A14628" s="34">
        <v>76408</v>
      </c>
      <c r="B14628" s="35">
        <v>1</v>
      </c>
      <c r="C14628" s="35">
        <v>0</v>
      </c>
      <c r="D14628" s="2">
        <f t="shared" si="228"/>
        <v>1</v>
      </c>
    </row>
    <row r="14629" spans="1:4" x14ac:dyDescent="0.3">
      <c r="A14629" s="34">
        <v>76413</v>
      </c>
      <c r="B14629" s="35">
        <v>1</v>
      </c>
      <c r="C14629" s="35">
        <v>0</v>
      </c>
      <c r="D14629" s="2">
        <f t="shared" si="228"/>
        <v>1</v>
      </c>
    </row>
    <row r="14630" spans="1:4" x14ac:dyDescent="0.3">
      <c r="A14630" s="34">
        <v>76415</v>
      </c>
      <c r="B14630" s="35">
        <v>1</v>
      </c>
      <c r="C14630" s="35">
        <v>0</v>
      </c>
      <c r="D14630" s="2">
        <f t="shared" si="228"/>
        <v>1</v>
      </c>
    </row>
    <row r="14631" spans="1:4" x14ac:dyDescent="0.3">
      <c r="A14631" s="34">
        <v>76416</v>
      </c>
      <c r="B14631" s="35">
        <v>1</v>
      </c>
      <c r="C14631" s="35">
        <v>0</v>
      </c>
      <c r="D14631" s="2">
        <f t="shared" si="228"/>
        <v>1</v>
      </c>
    </row>
    <row r="14632" spans="1:4" x14ac:dyDescent="0.3">
      <c r="A14632" s="34">
        <v>76417</v>
      </c>
      <c r="B14632" s="35">
        <v>1</v>
      </c>
      <c r="C14632" s="35">
        <v>1</v>
      </c>
      <c r="D14632" s="2">
        <f t="shared" si="228"/>
        <v>2</v>
      </c>
    </row>
    <row r="14633" spans="1:4" x14ac:dyDescent="0.3">
      <c r="A14633" s="34">
        <v>76418</v>
      </c>
      <c r="B14633" s="35">
        <v>1</v>
      </c>
      <c r="C14633" s="35">
        <v>0</v>
      </c>
      <c r="D14633" s="2">
        <f t="shared" si="228"/>
        <v>1</v>
      </c>
    </row>
    <row r="14634" spans="1:4" x14ac:dyDescent="0.3">
      <c r="A14634" s="34">
        <v>76421</v>
      </c>
      <c r="B14634" s="35">
        <v>1</v>
      </c>
      <c r="C14634" s="35">
        <v>0</v>
      </c>
      <c r="D14634" s="2">
        <f t="shared" si="228"/>
        <v>1</v>
      </c>
    </row>
    <row r="14635" spans="1:4" x14ac:dyDescent="0.3">
      <c r="A14635" s="34">
        <v>76422</v>
      </c>
      <c r="B14635" s="35">
        <v>1</v>
      </c>
      <c r="C14635" s="35">
        <v>1</v>
      </c>
      <c r="D14635" s="2">
        <f t="shared" si="228"/>
        <v>2</v>
      </c>
    </row>
    <row r="14636" spans="1:4" x14ac:dyDescent="0.3">
      <c r="A14636" s="34">
        <v>76427</v>
      </c>
      <c r="B14636" s="35">
        <v>1</v>
      </c>
      <c r="C14636" s="35">
        <v>0</v>
      </c>
      <c r="D14636" s="2">
        <f t="shared" si="228"/>
        <v>1</v>
      </c>
    </row>
    <row r="14637" spans="1:4" x14ac:dyDescent="0.3">
      <c r="A14637" s="34">
        <v>76428</v>
      </c>
      <c r="B14637" s="35">
        <v>1</v>
      </c>
      <c r="C14637" s="35">
        <v>0</v>
      </c>
      <c r="D14637" s="2">
        <f t="shared" si="228"/>
        <v>1</v>
      </c>
    </row>
    <row r="14638" spans="1:4" x14ac:dyDescent="0.3">
      <c r="A14638" s="34">
        <v>76429</v>
      </c>
      <c r="B14638" s="35">
        <v>1</v>
      </c>
      <c r="C14638" s="35">
        <v>0</v>
      </c>
      <c r="D14638" s="2">
        <f t="shared" si="228"/>
        <v>1</v>
      </c>
    </row>
    <row r="14639" spans="1:4" x14ac:dyDescent="0.3">
      <c r="A14639" s="34">
        <v>76430</v>
      </c>
      <c r="B14639" s="35">
        <v>1</v>
      </c>
      <c r="C14639" s="35">
        <v>0</v>
      </c>
      <c r="D14639" s="2">
        <f t="shared" si="228"/>
        <v>1</v>
      </c>
    </row>
    <row r="14640" spans="1:4" x14ac:dyDescent="0.3">
      <c r="A14640" s="34">
        <v>76431</v>
      </c>
      <c r="B14640" s="35">
        <v>1</v>
      </c>
      <c r="C14640" s="35">
        <v>0</v>
      </c>
      <c r="D14640" s="2">
        <f t="shared" si="228"/>
        <v>1</v>
      </c>
    </row>
    <row r="14641" spans="1:4" x14ac:dyDescent="0.3">
      <c r="A14641" s="34">
        <v>76432</v>
      </c>
      <c r="B14641" s="35">
        <v>1</v>
      </c>
      <c r="C14641" s="35">
        <v>0</v>
      </c>
      <c r="D14641" s="2">
        <f t="shared" si="228"/>
        <v>1</v>
      </c>
    </row>
    <row r="14642" spans="1:4" x14ac:dyDescent="0.3">
      <c r="A14642" s="34">
        <v>76434</v>
      </c>
      <c r="B14642" s="35">
        <v>1</v>
      </c>
      <c r="C14642" s="35">
        <v>0</v>
      </c>
      <c r="D14642" s="2">
        <f t="shared" si="228"/>
        <v>1</v>
      </c>
    </row>
    <row r="14643" spans="1:4" x14ac:dyDescent="0.3">
      <c r="A14643" s="34">
        <v>76440</v>
      </c>
      <c r="B14643" s="35">
        <v>1</v>
      </c>
      <c r="C14643" s="35">
        <v>0</v>
      </c>
      <c r="D14643" s="2">
        <f t="shared" si="228"/>
        <v>1</v>
      </c>
    </row>
    <row r="14644" spans="1:4" x14ac:dyDescent="0.3">
      <c r="A14644" s="34">
        <v>76444</v>
      </c>
      <c r="B14644" s="35">
        <v>1</v>
      </c>
      <c r="C14644" s="35">
        <v>1</v>
      </c>
      <c r="D14644" s="2">
        <f t="shared" si="228"/>
        <v>2</v>
      </c>
    </row>
    <row r="14645" spans="1:4" x14ac:dyDescent="0.3">
      <c r="A14645" s="34">
        <v>76446</v>
      </c>
      <c r="B14645" s="35">
        <v>1</v>
      </c>
      <c r="C14645" s="35">
        <v>0</v>
      </c>
      <c r="D14645" s="2">
        <f t="shared" si="228"/>
        <v>1</v>
      </c>
    </row>
    <row r="14646" spans="1:4" x14ac:dyDescent="0.3">
      <c r="A14646" s="34">
        <v>76447</v>
      </c>
      <c r="B14646" s="35">
        <v>1</v>
      </c>
      <c r="C14646" s="35">
        <v>0</v>
      </c>
      <c r="D14646" s="2">
        <f t="shared" si="228"/>
        <v>1</v>
      </c>
    </row>
    <row r="14647" spans="1:4" x14ac:dyDescent="0.3">
      <c r="A14647" s="34">
        <v>76448</v>
      </c>
      <c r="B14647" s="35">
        <v>1</v>
      </c>
      <c r="C14647" s="35">
        <v>0</v>
      </c>
      <c r="D14647" s="2">
        <f t="shared" si="228"/>
        <v>1</v>
      </c>
    </row>
    <row r="14648" spans="1:4" x14ac:dyDescent="0.3">
      <c r="A14648" s="34">
        <v>76451</v>
      </c>
      <c r="B14648" s="35">
        <v>1</v>
      </c>
      <c r="C14648" s="35">
        <v>0</v>
      </c>
      <c r="D14648" s="2">
        <f t="shared" si="228"/>
        <v>1</v>
      </c>
    </row>
    <row r="14649" spans="1:4" x14ac:dyDescent="0.3">
      <c r="A14649" s="34">
        <v>76452</v>
      </c>
      <c r="B14649" s="35">
        <v>1</v>
      </c>
      <c r="C14649" s="35">
        <v>0</v>
      </c>
      <c r="D14649" s="2">
        <f t="shared" si="228"/>
        <v>1</v>
      </c>
    </row>
    <row r="14650" spans="1:4" x14ac:dyDescent="0.3">
      <c r="A14650" s="34">
        <v>76453</v>
      </c>
      <c r="B14650" s="35">
        <v>1</v>
      </c>
      <c r="C14650" s="35">
        <v>0</v>
      </c>
      <c r="D14650" s="2">
        <f t="shared" si="228"/>
        <v>1</v>
      </c>
    </row>
    <row r="14651" spans="1:4" x14ac:dyDescent="0.3">
      <c r="A14651" s="34">
        <v>76454</v>
      </c>
      <c r="B14651" s="35">
        <v>1</v>
      </c>
      <c r="C14651" s="35">
        <v>0</v>
      </c>
      <c r="D14651" s="2">
        <f t="shared" si="228"/>
        <v>1</v>
      </c>
    </row>
    <row r="14652" spans="1:4" x14ac:dyDescent="0.3">
      <c r="A14652" s="34">
        <v>76457</v>
      </c>
      <c r="B14652" s="35">
        <v>1</v>
      </c>
      <c r="C14652" s="35">
        <v>0</v>
      </c>
      <c r="D14652" s="2">
        <f t="shared" si="228"/>
        <v>1</v>
      </c>
    </row>
    <row r="14653" spans="1:4" x14ac:dyDescent="0.3">
      <c r="A14653" s="34">
        <v>76458</v>
      </c>
      <c r="B14653" s="35">
        <v>1</v>
      </c>
      <c r="C14653" s="35">
        <v>0</v>
      </c>
      <c r="D14653" s="2">
        <f t="shared" si="228"/>
        <v>1</v>
      </c>
    </row>
    <row r="14654" spans="1:4" x14ac:dyDescent="0.3">
      <c r="A14654" s="34">
        <v>76459</v>
      </c>
      <c r="B14654" s="35">
        <v>1</v>
      </c>
      <c r="C14654" s="35">
        <v>0</v>
      </c>
      <c r="D14654" s="2">
        <f t="shared" si="228"/>
        <v>1</v>
      </c>
    </row>
    <row r="14655" spans="1:4" x14ac:dyDescent="0.3">
      <c r="A14655" s="34">
        <v>76460</v>
      </c>
      <c r="B14655" s="35">
        <v>1</v>
      </c>
      <c r="C14655" s="35">
        <v>0</v>
      </c>
      <c r="D14655" s="2">
        <f t="shared" si="228"/>
        <v>1</v>
      </c>
    </row>
    <row r="14656" spans="1:4" x14ac:dyDescent="0.3">
      <c r="A14656" s="34">
        <v>76461</v>
      </c>
      <c r="B14656" s="35">
        <v>1</v>
      </c>
      <c r="C14656" s="35">
        <v>0</v>
      </c>
      <c r="D14656" s="2">
        <f t="shared" si="228"/>
        <v>1</v>
      </c>
    </row>
    <row r="14657" spans="1:4" x14ac:dyDescent="0.3">
      <c r="A14657" s="34">
        <v>76463</v>
      </c>
      <c r="B14657" s="35">
        <v>1</v>
      </c>
      <c r="C14657" s="35">
        <v>0</v>
      </c>
      <c r="D14657" s="2">
        <f t="shared" si="228"/>
        <v>1</v>
      </c>
    </row>
    <row r="14658" spans="1:4" x14ac:dyDescent="0.3">
      <c r="A14658" s="34">
        <v>76464</v>
      </c>
      <c r="B14658" s="35">
        <v>1</v>
      </c>
      <c r="C14658" s="35">
        <v>0</v>
      </c>
      <c r="D14658" s="2">
        <f t="shared" si="228"/>
        <v>1</v>
      </c>
    </row>
    <row r="14659" spans="1:4" x14ac:dyDescent="0.3">
      <c r="A14659" s="34">
        <v>76465</v>
      </c>
      <c r="B14659" s="35">
        <v>1</v>
      </c>
      <c r="C14659" s="35">
        <v>0</v>
      </c>
      <c r="D14659" s="2">
        <f t="shared" ref="D14659:D14722" si="229">B14659+C14659</f>
        <v>1</v>
      </c>
    </row>
    <row r="14660" spans="1:4" x14ac:dyDescent="0.3">
      <c r="A14660" s="34">
        <v>76466</v>
      </c>
      <c r="B14660" s="35">
        <v>1</v>
      </c>
      <c r="C14660" s="35">
        <v>0</v>
      </c>
      <c r="D14660" s="2">
        <f t="shared" si="229"/>
        <v>1</v>
      </c>
    </row>
    <row r="14661" spans="1:4" x14ac:dyDescent="0.3">
      <c r="A14661" s="34">
        <v>76467</v>
      </c>
      <c r="B14661" s="35">
        <v>1</v>
      </c>
      <c r="C14661" s="35">
        <v>0</v>
      </c>
      <c r="D14661" s="2">
        <f t="shared" si="229"/>
        <v>1</v>
      </c>
    </row>
    <row r="14662" spans="1:4" x14ac:dyDescent="0.3">
      <c r="A14662" s="34">
        <v>76468</v>
      </c>
      <c r="B14662" s="35">
        <v>1</v>
      </c>
      <c r="C14662" s="35">
        <v>0</v>
      </c>
      <c r="D14662" s="2">
        <f t="shared" si="229"/>
        <v>1</v>
      </c>
    </row>
    <row r="14663" spans="1:4" x14ac:dyDescent="0.3">
      <c r="A14663" s="34">
        <v>76469</v>
      </c>
      <c r="B14663" s="35">
        <v>1</v>
      </c>
      <c r="C14663" s="35">
        <v>0</v>
      </c>
      <c r="D14663" s="2">
        <f t="shared" si="229"/>
        <v>1</v>
      </c>
    </row>
    <row r="14664" spans="1:4" x14ac:dyDescent="0.3">
      <c r="A14664" s="34">
        <v>76470</v>
      </c>
      <c r="B14664" s="35">
        <v>1</v>
      </c>
      <c r="C14664" s="35">
        <v>0</v>
      </c>
      <c r="D14664" s="2">
        <f t="shared" si="229"/>
        <v>1</v>
      </c>
    </row>
    <row r="14665" spans="1:4" x14ac:dyDescent="0.3">
      <c r="A14665" s="34">
        <v>76471</v>
      </c>
      <c r="B14665" s="35">
        <v>1</v>
      </c>
      <c r="C14665" s="35">
        <v>0</v>
      </c>
      <c r="D14665" s="2">
        <f t="shared" si="229"/>
        <v>1</v>
      </c>
    </row>
    <row r="14666" spans="1:4" x14ac:dyDescent="0.3">
      <c r="A14666" s="34">
        <v>76472</v>
      </c>
      <c r="B14666" s="35">
        <v>1</v>
      </c>
      <c r="C14666" s="35">
        <v>0</v>
      </c>
      <c r="D14666" s="2">
        <f t="shared" si="229"/>
        <v>1</v>
      </c>
    </row>
    <row r="14667" spans="1:4" x14ac:dyDescent="0.3">
      <c r="A14667" s="34">
        <v>76473</v>
      </c>
      <c r="B14667" s="35">
        <v>1</v>
      </c>
      <c r="C14667" s="35">
        <v>1</v>
      </c>
      <c r="D14667" s="2">
        <f t="shared" si="229"/>
        <v>2</v>
      </c>
    </row>
    <row r="14668" spans="1:4" x14ac:dyDescent="0.3">
      <c r="A14668" s="34">
        <v>76475</v>
      </c>
      <c r="B14668" s="35">
        <v>1</v>
      </c>
      <c r="C14668" s="35">
        <v>1</v>
      </c>
      <c r="D14668" s="2">
        <f t="shared" si="229"/>
        <v>2</v>
      </c>
    </row>
    <row r="14669" spans="1:4" x14ac:dyDescent="0.3">
      <c r="A14669" s="34">
        <v>76478</v>
      </c>
      <c r="B14669" s="35">
        <v>1</v>
      </c>
      <c r="C14669" s="35">
        <v>0</v>
      </c>
      <c r="D14669" s="2">
        <f t="shared" si="229"/>
        <v>1</v>
      </c>
    </row>
    <row r="14670" spans="1:4" x14ac:dyDescent="0.3">
      <c r="A14670" s="34">
        <v>76480</v>
      </c>
      <c r="B14670" s="35">
        <v>1</v>
      </c>
      <c r="C14670" s="35">
        <v>0</v>
      </c>
      <c r="D14670" s="2">
        <f t="shared" si="229"/>
        <v>1</v>
      </c>
    </row>
    <row r="14671" spans="1:4" x14ac:dyDescent="0.3">
      <c r="A14671" s="34">
        <v>76481</v>
      </c>
      <c r="B14671" s="35">
        <v>1</v>
      </c>
      <c r="C14671" s="35">
        <v>0</v>
      </c>
      <c r="D14671" s="2">
        <f t="shared" si="229"/>
        <v>1</v>
      </c>
    </row>
    <row r="14672" spans="1:4" x14ac:dyDescent="0.3">
      <c r="A14672" s="34">
        <v>76482</v>
      </c>
      <c r="B14672" s="35">
        <v>1</v>
      </c>
      <c r="C14672" s="35">
        <v>0</v>
      </c>
      <c r="D14672" s="2">
        <f t="shared" si="229"/>
        <v>1</v>
      </c>
    </row>
    <row r="14673" spans="1:4" x14ac:dyDescent="0.3">
      <c r="A14673" s="34">
        <v>76483</v>
      </c>
      <c r="B14673" s="35">
        <v>1</v>
      </c>
      <c r="C14673" s="35">
        <v>0</v>
      </c>
      <c r="D14673" s="2">
        <f t="shared" si="229"/>
        <v>1</v>
      </c>
    </row>
    <row r="14674" spans="1:4" x14ac:dyDescent="0.3">
      <c r="A14674" s="34">
        <v>76484</v>
      </c>
      <c r="B14674" s="35">
        <v>1</v>
      </c>
      <c r="C14674" s="35">
        <v>0</v>
      </c>
      <c r="D14674" s="2">
        <f t="shared" si="229"/>
        <v>1</v>
      </c>
    </row>
    <row r="14675" spans="1:4" x14ac:dyDescent="0.3">
      <c r="A14675" s="34">
        <v>76485</v>
      </c>
      <c r="B14675" s="35">
        <v>1</v>
      </c>
      <c r="C14675" s="35">
        <v>0</v>
      </c>
      <c r="D14675" s="2">
        <f t="shared" si="229"/>
        <v>1</v>
      </c>
    </row>
    <row r="14676" spans="1:4" x14ac:dyDescent="0.3">
      <c r="A14676" s="34">
        <v>76489</v>
      </c>
      <c r="B14676" s="35">
        <v>1</v>
      </c>
      <c r="C14676" s="35">
        <v>0</v>
      </c>
      <c r="D14676" s="2">
        <f t="shared" si="229"/>
        <v>1</v>
      </c>
    </row>
    <row r="14677" spans="1:4" x14ac:dyDescent="0.3">
      <c r="A14677" s="34">
        <v>76490</v>
      </c>
      <c r="B14677" s="35">
        <v>1</v>
      </c>
      <c r="C14677" s="35">
        <v>0</v>
      </c>
      <c r="D14677" s="2">
        <f t="shared" si="229"/>
        <v>1</v>
      </c>
    </row>
    <row r="14678" spans="1:4" x14ac:dyDescent="0.3">
      <c r="A14678" s="34">
        <v>76491</v>
      </c>
      <c r="B14678" s="35">
        <v>1</v>
      </c>
      <c r="C14678" s="35">
        <v>0</v>
      </c>
      <c r="D14678" s="2">
        <f t="shared" si="229"/>
        <v>1</v>
      </c>
    </row>
    <row r="14679" spans="1:4" x14ac:dyDescent="0.3">
      <c r="A14679" s="34">
        <v>76492</v>
      </c>
      <c r="B14679" s="35">
        <v>1</v>
      </c>
      <c r="C14679" s="35">
        <v>0</v>
      </c>
      <c r="D14679" s="2">
        <f t="shared" si="229"/>
        <v>1</v>
      </c>
    </row>
    <row r="14680" spans="1:4" x14ac:dyDescent="0.3">
      <c r="A14680" s="34">
        <v>76493</v>
      </c>
      <c r="B14680" s="35">
        <v>1</v>
      </c>
      <c r="C14680" s="35">
        <v>0</v>
      </c>
      <c r="D14680" s="2">
        <f t="shared" si="229"/>
        <v>1</v>
      </c>
    </row>
    <row r="14681" spans="1:4" x14ac:dyDescent="0.3">
      <c r="A14681" s="34">
        <v>76494</v>
      </c>
      <c r="B14681" s="35">
        <v>1</v>
      </c>
      <c r="C14681" s="35">
        <v>1</v>
      </c>
      <c r="D14681" s="2">
        <f t="shared" si="229"/>
        <v>2</v>
      </c>
    </row>
    <row r="14682" spans="1:4" x14ac:dyDescent="0.3">
      <c r="A14682" s="34">
        <v>76496</v>
      </c>
      <c r="B14682" s="35">
        <v>1</v>
      </c>
      <c r="C14682" s="35">
        <v>0</v>
      </c>
      <c r="D14682" s="2">
        <f t="shared" si="229"/>
        <v>1</v>
      </c>
    </row>
    <row r="14683" spans="1:4" x14ac:dyDescent="0.3">
      <c r="A14683" s="34">
        <v>76497</v>
      </c>
      <c r="B14683" s="35">
        <v>1</v>
      </c>
      <c r="C14683" s="35">
        <v>0</v>
      </c>
      <c r="D14683" s="2">
        <f t="shared" si="229"/>
        <v>1</v>
      </c>
    </row>
    <row r="14684" spans="1:4" x14ac:dyDescent="0.3">
      <c r="A14684" s="34">
        <v>76498</v>
      </c>
      <c r="B14684" s="35">
        <v>1</v>
      </c>
      <c r="C14684" s="35">
        <v>0</v>
      </c>
      <c r="D14684" s="2">
        <f t="shared" si="229"/>
        <v>1</v>
      </c>
    </row>
    <row r="14685" spans="1:4" x14ac:dyDescent="0.3">
      <c r="A14685" s="34">
        <v>76500</v>
      </c>
      <c r="B14685" s="35">
        <v>1</v>
      </c>
      <c r="C14685" s="35">
        <v>0</v>
      </c>
      <c r="D14685" s="2">
        <f t="shared" si="229"/>
        <v>1</v>
      </c>
    </row>
    <row r="14686" spans="1:4" x14ac:dyDescent="0.3">
      <c r="A14686" s="34">
        <v>76503</v>
      </c>
      <c r="B14686" s="35">
        <v>1</v>
      </c>
      <c r="C14686" s="35">
        <v>0</v>
      </c>
      <c r="D14686" s="2">
        <f t="shared" si="229"/>
        <v>1</v>
      </c>
    </row>
    <row r="14687" spans="1:4" x14ac:dyDescent="0.3">
      <c r="A14687" s="34">
        <v>76504</v>
      </c>
      <c r="B14687" s="35">
        <v>1</v>
      </c>
      <c r="C14687" s="35">
        <v>0</v>
      </c>
      <c r="D14687" s="2">
        <f t="shared" si="229"/>
        <v>1</v>
      </c>
    </row>
    <row r="14688" spans="1:4" x14ac:dyDescent="0.3">
      <c r="A14688" s="34">
        <v>76505</v>
      </c>
      <c r="B14688" s="35">
        <v>1</v>
      </c>
      <c r="C14688" s="35">
        <v>0</v>
      </c>
      <c r="D14688" s="2">
        <f t="shared" si="229"/>
        <v>1</v>
      </c>
    </row>
    <row r="14689" spans="1:4" x14ac:dyDescent="0.3">
      <c r="A14689" s="34">
        <v>76508</v>
      </c>
      <c r="B14689" s="35">
        <v>1</v>
      </c>
      <c r="C14689" s="35">
        <v>0</v>
      </c>
      <c r="D14689" s="2">
        <f t="shared" si="229"/>
        <v>1</v>
      </c>
    </row>
    <row r="14690" spans="1:4" x14ac:dyDescent="0.3">
      <c r="A14690" s="34">
        <v>76511</v>
      </c>
      <c r="B14690" s="35">
        <v>1</v>
      </c>
      <c r="C14690" s="35">
        <v>0</v>
      </c>
      <c r="D14690" s="2">
        <f t="shared" si="229"/>
        <v>1</v>
      </c>
    </row>
    <row r="14691" spans="1:4" x14ac:dyDescent="0.3">
      <c r="A14691" s="34">
        <v>76512</v>
      </c>
      <c r="B14691" s="35">
        <v>1</v>
      </c>
      <c r="C14691" s="35">
        <v>0</v>
      </c>
      <c r="D14691" s="2">
        <f t="shared" si="229"/>
        <v>1</v>
      </c>
    </row>
    <row r="14692" spans="1:4" x14ac:dyDescent="0.3">
      <c r="A14692" s="34">
        <v>76513</v>
      </c>
      <c r="B14692" s="35">
        <v>1</v>
      </c>
      <c r="C14692" s="35">
        <v>0</v>
      </c>
      <c r="D14692" s="2">
        <f t="shared" si="229"/>
        <v>1</v>
      </c>
    </row>
    <row r="14693" spans="1:4" x14ac:dyDescent="0.3">
      <c r="A14693" s="34">
        <v>76514</v>
      </c>
      <c r="B14693" s="35">
        <v>1</v>
      </c>
      <c r="C14693" s="35">
        <v>0</v>
      </c>
      <c r="D14693" s="2">
        <f t="shared" si="229"/>
        <v>1</v>
      </c>
    </row>
    <row r="14694" spans="1:4" x14ac:dyDescent="0.3">
      <c r="A14694" s="34">
        <v>76516</v>
      </c>
      <c r="B14694" s="35">
        <v>1</v>
      </c>
      <c r="C14694" s="35">
        <v>0</v>
      </c>
      <c r="D14694" s="2">
        <f t="shared" si="229"/>
        <v>1</v>
      </c>
    </row>
    <row r="14695" spans="1:4" x14ac:dyDescent="0.3">
      <c r="A14695" s="34">
        <v>76518</v>
      </c>
      <c r="B14695" s="35">
        <v>1</v>
      </c>
      <c r="C14695" s="35">
        <v>0</v>
      </c>
      <c r="D14695" s="2">
        <f t="shared" si="229"/>
        <v>1</v>
      </c>
    </row>
    <row r="14696" spans="1:4" x14ac:dyDescent="0.3">
      <c r="A14696" s="34">
        <v>76519</v>
      </c>
      <c r="B14696" s="35">
        <v>1</v>
      </c>
      <c r="C14696" s="35">
        <v>0</v>
      </c>
      <c r="D14696" s="2">
        <f t="shared" si="229"/>
        <v>1</v>
      </c>
    </row>
    <row r="14697" spans="1:4" x14ac:dyDescent="0.3">
      <c r="A14697" s="34">
        <v>76520</v>
      </c>
      <c r="B14697" s="35">
        <v>1</v>
      </c>
      <c r="C14697" s="35">
        <v>0</v>
      </c>
      <c r="D14697" s="2">
        <f t="shared" si="229"/>
        <v>1</v>
      </c>
    </row>
    <row r="14698" spans="1:4" x14ac:dyDescent="0.3">
      <c r="A14698" s="34">
        <v>76521</v>
      </c>
      <c r="B14698" s="35">
        <v>1</v>
      </c>
      <c r="C14698" s="35">
        <v>1</v>
      </c>
      <c r="D14698" s="2">
        <f t="shared" si="229"/>
        <v>2</v>
      </c>
    </row>
    <row r="14699" spans="1:4" x14ac:dyDescent="0.3">
      <c r="A14699" s="34">
        <v>76523</v>
      </c>
      <c r="B14699" s="35">
        <v>1</v>
      </c>
      <c r="C14699" s="35">
        <v>0</v>
      </c>
      <c r="D14699" s="2">
        <f t="shared" si="229"/>
        <v>1</v>
      </c>
    </row>
    <row r="14700" spans="1:4" x14ac:dyDescent="0.3">
      <c r="A14700" s="34">
        <v>76524</v>
      </c>
      <c r="B14700" s="35">
        <v>1</v>
      </c>
      <c r="C14700" s="35">
        <v>1</v>
      </c>
      <c r="D14700" s="2">
        <f t="shared" si="229"/>
        <v>2</v>
      </c>
    </row>
    <row r="14701" spans="1:4" x14ac:dyDescent="0.3">
      <c r="A14701" s="34">
        <v>76525</v>
      </c>
      <c r="B14701" s="35">
        <v>1</v>
      </c>
      <c r="C14701" s="35">
        <v>1</v>
      </c>
      <c r="D14701" s="2">
        <f t="shared" si="229"/>
        <v>2</v>
      </c>
    </row>
    <row r="14702" spans="1:4" x14ac:dyDescent="0.3">
      <c r="A14702" s="34">
        <v>76530</v>
      </c>
      <c r="B14702" s="35">
        <v>1</v>
      </c>
      <c r="C14702" s="35">
        <v>1</v>
      </c>
      <c r="D14702" s="2">
        <f t="shared" si="229"/>
        <v>2</v>
      </c>
    </row>
    <row r="14703" spans="1:4" x14ac:dyDescent="0.3">
      <c r="A14703" s="34">
        <v>76531</v>
      </c>
      <c r="B14703" s="35">
        <v>1</v>
      </c>
      <c r="C14703" s="35">
        <v>1</v>
      </c>
      <c r="D14703" s="2">
        <f t="shared" si="229"/>
        <v>2</v>
      </c>
    </row>
    <row r="14704" spans="1:4" x14ac:dyDescent="0.3">
      <c r="A14704" s="34">
        <v>76533</v>
      </c>
      <c r="B14704" s="35">
        <v>1</v>
      </c>
      <c r="C14704" s="35">
        <v>0</v>
      </c>
      <c r="D14704" s="2">
        <f t="shared" si="229"/>
        <v>1</v>
      </c>
    </row>
    <row r="14705" spans="1:4" x14ac:dyDescent="0.3">
      <c r="A14705" s="34">
        <v>76534</v>
      </c>
      <c r="B14705" s="35">
        <v>1</v>
      </c>
      <c r="C14705" s="35">
        <v>1</v>
      </c>
      <c r="D14705" s="2">
        <f t="shared" si="229"/>
        <v>2</v>
      </c>
    </row>
    <row r="14706" spans="1:4" x14ac:dyDescent="0.3">
      <c r="A14706" s="34">
        <v>76535</v>
      </c>
      <c r="B14706" s="35">
        <v>1</v>
      </c>
      <c r="C14706" s="35">
        <v>0</v>
      </c>
      <c r="D14706" s="2">
        <f t="shared" si="229"/>
        <v>1</v>
      </c>
    </row>
    <row r="14707" spans="1:4" x14ac:dyDescent="0.3">
      <c r="A14707" s="34">
        <v>76543</v>
      </c>
      <c r="B14707" s="35">
        <v>1</v>
      </c>
      <c r="C14707" s="35">
        <v>0</v>
      </c>
      <c r="D14707" s="2">
        <f t="shared" si="229"/>
        <v>1</v>
      </c>
    </row>
    <row r="14708" spans="1:4" x14ac:dyDescent="0.3">
      <c r="A14708" s="34">
        <v>76547</v>
      </c>
      <c r="B14708" s="35">
        <v>1</v>
      </c>
      <c r="C14708" s="35">
        <v>0</v>
      </c>
      <c r="D14708" s="2">
        <f t="shared" si="229"/>
        <v>1</v>
      </c>
    </row>
    <row r="14709" spans="1:4" x14ac:dyDescent="0.3">
      <c r="A14709" s="34">
        <v>76548</v>
      </c>
      <c r="B14709" s="35">
        <v>1</v>
      </c>
      <c r="C14709" s="35">
        <v>0</v>
      </c>
      <c r="D14709" s="2">
        <f t="shared" si="229"/>
        <v>1</v>
      </c>
    </row>
    <row r="14710" spans="1:4" x14ac:dyDescent="0.3">
      <c r="A14710" s="34">
        <v>76549</v>
      </c>
      <c r="B14710" s="35">
        <v>1</v>
      </c>
      <c r="C14710" s="35">
        <v>0</v>
      </c>
      <c r="D14710" s="2">
        <f t="shared" si="229"/>
        <v>1</v>
      </c>
    </row>
    <row r="14711" spans="1:4" x14ac:dyDescent="0.3">
      <c r="A14711" s="34">
        <v>76553</v>
      </c>
      <c r="B14711" s="35">
        <v>1</v>
      </c>
      <c r="C14711" s="35">
        <v>0</v>
      </c>
      <c r="D14711" s="2">
        <f t="shared" si="229"/>
        <v>1</v>
      </c>
    </row>
    <row r="14712" spans="1:4" x14ac:dyDescent="0.3">
      <c r="A14712" s="34">
        <v>76554</v>
      </c>
      <c r="B14712" s="35">
        <v>1</v>
      </c>
      <c r="C14712" s="35">
        <v>0</v>
      </c>
      <c r="D14712" s="2">
        <f t="shared" si="229"/>
        <v>1</v>
      </c>
    </row>
    <row r="14713" spans="1:4" x14ac:dyDescent="0.3">
      <c r="A14713" s="34">
        <v>76558</v>
      </c>
      <c r="B14713" s="35">
        <v>1</v>
      </c>
      <c r="C14713" s="35">
        <v>0</v>
      </c>
      <c r="D14713" s="2">
        <f t="shared" si="229"/>
        <v>1</v>
      </c>
    </row>
    <row r="14714" spans="1:4" x14ac:dyDescent="0.3">
      <c r="A14714" s="34">
        <v>76561</v>
      </c>
      <c r="B14714" s="35">
        <v>1</v>
      </c>
      <c r="C14714" s="35">
        <v>0</v>
      </c>
      <c r="D14714" s="2">
        <f t="shared" si="229"/>
        <v>1</v>
      </c>
    </row>
    <row r="14715" spans="1:4" x14ac:dyDescent="0.3">
      <c r="A14715" s="34">
        <v>76567</v>
      </c>
      <c r="B14715" s="35">
        <v>1</v>
      </c>
      <c r="C14715" s="35">
        <v>0</v>
      </c>
      <c r="D14715" s="2">
        <f t="shared" si="229"/>
        <v>1</v>
      </c>
    </row>
    <row r="14716" spans="1:4" x14ac:dyDescent="0.3">
      <c r="A14716" s="34">
        <v>76569</v>
      </c>
      <c r="B14716" s="35">
        <v>1</v>
      </c>
      <c r="C14716" s="35">
        <v>0</v>
      </c>
      <c r="D14716" s="2">
        <f t="shared" si="229"/>
        <v>1</v>
      </c>
    </row>
    <row r="14717" spans="1:4" x14ac:dyDescent="0.3">
      <c r="A14717" s="34">
        <v>76573</v>
      </c>
      <c r="B14717" s="35">
        <v>1</v>
      </c>
      <c r="C14717" s="35">
        <v>0</v>
      </c>
      <c r="D14717" s="2">
        <f t="shared" si="229"/>
        <v>1</v>
      </c>
    </row>
    <row r="14718" spans="1:4" x14ac:dyDescent="0.3">
      <c r="A14718" s="34">
        <v>76574</v>
      </c>
      <c r="B14718" s="35">
        <v>1</v>
      </c>
      <c r="C14718" s="35">
        <v>0</v>
      </c>
      <c r="D14718" s="2">
        <f t="shared" si="229"/>
        <v>1</v>
      </c>
    </row>
    <row r="14719" spans="1:4" x14ac:dyDescent="0.3">
      <c r="A14719" s="34">
        <v>76575</v>
      </c>
      <c r="B14719" s="35">
        <v>1</v>
      </c>
      <c r="C14719" s="35">
        <v>0</v>
      </c>
      <c r="D14719" s="2">
        <f t="shared" si="229"/>
        <v>1</v>
      </c>
    </row>
    <row r="14720" spans="1:4" x14ac:dyDescent="0.3">
      <c r="A14720" s="34">
        <v>76576</v>
      </c>
      <c r="B14720" s="35">
        <v>1</v>
      </c>
      <c r="C14720" s="35">
        <v>0</v>
      </c>
      <c r="D14720" s="2">
        <f t="shared" si="229"/>
        <v>1</v>
      </c>
    </row>
    <row r="14721" spans="1:4" x14ac:dyDescent="0.3">
      <c r="A14721" s="34">
        <v>76577</v>
      </c>
      <c r="B14721" s="35">
        <v>1</v>
      </c>
      <c r="C14721" s="35">
        <v>0</v>
      </c>
      <c r="D14721" s="2">
        <f t="shared" si="229"/>
        <v>1</v>
      </c>
    </row>
    <row r="14722" spans="1:4" x14ac:dyDescent="0.3">
      <c r="A14722" s="34">
        <v>76578</v>
      </c>
      <c r="B14722" s="35">
        <v>1</v>
      </c>
      <c r="C14722" s="35">
        <v>0</v>
      </c>
      <c r="D14722" s="2">
        <f t="shared" si="229"/>
        <v>1</v>
      </c>
    </row>
    <row r="14723" spans="1:4" x14ac:dyDescent="0.3">
      <c r="A14723" s="34">
        <v>76579</v>
      </c>
      <c r="B14723" s="35">
        <v>1</v>
      </c>
      <c r="C14723" s="35">
        <v>1</v>
      </c>
      <c r="D14723" s="2">
        <f t="shared" ref="D14723:D14786" si="230">B14723+C14723</f>
        <v>2</v>
      </c>
    </row>
    <row r="14724" spans="1:4" x14ac:dyDescent="0.3">
      <c r="A14724" s="34">
        <v>76581</v>
      </c>
      <c r="B14724" s="35">
        <v>1</v>
      </c>
      <c r="C14724" s="35">
        <v>1</v>
      </c>
      <c r="D14724" s="2">
        <f t="shared" si="230"/>
        <v>2</v>
      </c>
    </row>
    <row r="14725" spans="1:4" x14ac:dyDescent="0.3">
      <c r="A14725" s="34">
        <v>76582</v>
      </c>
      <c r="B14725" s="35">
        <v>1</v>
      </c>
      <c r="C14725" s="35">
        <v>0</v>
      </c>
      <c r="D14725" s="2">
        <f t="shared" si="230"/>
        <v>1</v>
      </c>
    </row>
    <row r="14726" spans="1:4" x14ac:dyDescent="0.3">
      <c r="A14726" s="34">
        <v>76583</v>
      </c>
      <c r="B14726" s="35">
        <v>1</v>
      </c>
      <c r="C14726" s="35">
        <v>0</v>
      </c>
      <c r="D14726" s="2">
        <f t="shared" si="230"/>
        <v>1</v>
      </c>
    </row>
    <row r="14727" spans="1:4" x14ac:dyDescent="0.3">
      <c r="A14727" s="34">
        <v>76585</v>
      </c>
      <c r="B14727" s="35">
        <v>1</v>
      </c>
      <c r="C14727" s="35">
        <v>0</v>
      </c>
      <c r="D14727" s="2">
        <f t="shared" si="230"/>
        <v>1</v>
      </c>
    </row>
    <row r="14728" spans="1:4" x14ac:dyDescent="0.3">
      <c r="A14728" s="34">
        <v>76587</v>
      </c>
      <c r="B14728" s="35">
        <v>1</v>
      </c>
      <c r="C14728" s="35">
        <v>0</v>
      </c>
      <c r="D14728" s="2">
        <f t="shared" si="230"/>
        <v>1</v>
      </c>
    </row>
    <row r="14729" spans="1:4" x14ac:dyDescent="0.3">
      <c r="A14729" s="34">
        <v>76590</v>
      </c>
      <c r="B14729" s="35">
        <v>1</v>
      </c>
      <c r="C14729" s="35">
        <v>0</v>
      </c>
      <c r="D14729" s="2">
        <f t="shared" si="230"/>
        <v>1</v>
      </c>
    </row>
    <row r="14730" spans="1:4" x14ac:dyDescent="0.3">
      <c r="A14730" s="34">
        <v>76591</v>
      </c>
      <c r="B14730" s="35">
        <v>1</v>
      </c>
      <c r="C14730" s="35">
        <v>0</v>
      </c>
      <c r="D14730" s="2">
        <f t="shared" si="230"/>
        <v>1</v>
      </c>
    </row>
    <row r="14731" spans="1:4" x14ac:dyDescent="0.3">
      <c r="A14731" s="34">
        <v>76594</v>
      </c>
      <c r="B14731" s="35">
        <v>1</v>
      </c>
      <c r="C14731" s="35">
        <v>0</v>
      </c>
      <c r="D14731" s="2">
        <f t="shared" si="230"/>
        <v>1</v>
      </c>
    </row>
    <row r="14732" spans="1:4" x14ac:dyDescent="0.3">
      <c r="A14732" s="34">
        <v>76595</v>
      </c>
      <c r="B14732" s="35">
        <v>1</v>
      </c>
      <c r="C14732" s="35">
        <v>0</v>
      </c>
      <c r="D14732" s="2">
        <f t="shared" si="230"/>
        <v>1</v>
      </c>
    </row>
    <row r="14733" spans="1:4" x14ac:dyDescent="0.3">
      <c r="A14733" s="34">
        <v>76596</v>
      </c>
      <c r="B14733" s="35">
        <v>1</v>
      </c>
      <c r="C14733" s="35">
        <v>0</v>
      </c>
      <c r="D14733" s="2">
        <f t="shared" si="230"/>
        <v>1</v>
      </c>
    </row>
    <row r="14734" spans="1:4" x14ac:dyDescent="0.3">
      <c r="A14734" s="34">
        <v>76599</v>
      </c>
      <c r="B14734" s="35">
        <v>1</v>
      </c>
      <c r="C14734" s="35">
        <v>0</v>
      </c>
      <c r="D14734" s="2">
        <f t="shared" si="230"/>
        <v>1</v>
      </c>
    </row>
    <row r="14735" spans="1:4" x14ac:dyDescent="0.3">
      <c r="A14735" s="34">
        <v>76600</v>
      </c>
      <c r="B14735" s="35">
        <v>1</v>
      </c>
      <c r="C14735" s="35">
        <v>0</v>
      </c>
      <c r="D14735" s="2">
        <f t="shared" si="230"/>
        <v>1</v>
      </c>
    </row>
    <row r="14736" spans="1:4" x14ac:dyDescent="0.3">
      <c r="A14736" s="34">
        <v>76601</v>
      </c>
      <c r="B14736" s="35">
        <v>1</v>
      </c>
      <c r="C14736" s="35">
        <v>0</v>
      </c>
      <c r="D14736" s="2">
        <f t="shared" si="230"/>
        <v>1</v>
      </c>
    </row>
    <row r="14737" spans="1:4" x14ac:dyDescent="0.3">
      <c r="A14737" s="34">
        <v>76602</v>
      </c>
      <c r="B14737" s="35">
        <v>1</v>
      </c>
      <c r="C14737" s="35">
        <v>1</v>
      </c>
      <c r="D14737" s="2">
        <f t="shared" si="230"/>
        <v>2</v>
      </c>
    </row>
    <row r="14738" spans="1:4" x14ac:dyDescent="0.3">
      <c r="A14738" s="34">
        <v>76603</v>
      </c>
      <c r="B14738" s="35">
        <v>1</v>
      </c>
      <c r="C14738" s="35">
        <v>1</v>
      </c>
      <c r="D14738" s="2">
        <f t="shared" si="230"/>
        <v>2</v>
      </c>
    </row>
    <row r="14739" spans="1:4" x14ac:dyDescent="0.3">
      <c r="A14739" s="34">
        <v>76606</v>
      </c>
      <c r="B14739" s="35">
        <v>1</v>
      </c>
      <c r="C14739" s="35">
        <v>0</v>
      </c>
      <c r="D14739" s="2">
        <f t="shared" si="230"/>
        <v>1</v>
      </c>
    </row>
    <row r="14740" spans="1:4" x14ac:dyDescent="0.3">
      <c r="A14740" s="34">
        <v>76608</v>
      </c>
      <c r="B14740" s="35">
        <v>1</v>
      </c>
      <c r="C14740" s="35">
        <v>0</v>
      </c>
      <c r="D14740" s="2">
        <f t="shared" si="230"/>
        <v>1</v>
      </c>
    </row>
    <row r="14741" spans="1:4" x14ac:dyDescent="0.3">
      <c r="A14741" s="34">
        <v>76609</v>
      </c>
      <c r="B14741" s="35">
        <v>1</v>
      </c>
      <c r="C14741" s="35">
        <v>0</v>
      </c>
      <c r="D14741" s="2">
        <f t="shared" si="230"/>
        <v>1</v>
      </c>
    </row>
    <row r="14742" spans="1:4" x14ac:dyDescent="0.3">
      <c r="A14742" s="34">
        <v>76611</v>
      </c>
      <c r="B14742" s="35">
        <v>1</v>
      </c>
      <c r="C14742" s="35">
        <v>0</v>
      </c>
      <c r="D14742" s="2">
        <f t="shared" si="230"/>
        <v>1</v>
      </c>
    </row>
    <row r="14743" spans="1:4" x14ac:dyDescent="0.3">
      <c r="A14743" s="34">
        <v>76612</v>
      </c>
      <c r="B14743" s="35">
        <v>1</v>
      </c>
      <c r="C14743" s="35">
        <v>0</v>
      </c>
      <c r="D14743" s="2">
        <f t="shared" si="230"/>
        <v>1</v>
      </c>
    </row>
    <row r="14744" spans="1:4" x14ac:dyDescent="0.3">
      <c r="A14744" s="34">
        <v>76613</v>
      </c>
      <c r="B14744" s="35">
        <v>1</v>
      </c>
      <c r="C14744" s="35">
        <v>0</v>
      </c>
      <c r="D14744" s="2">
        <f t="shared" si="230"/>
        <v>1</v>
      </c>
    </row>
    <row r="14745" spans="1:4" x14ac:dyDescent="0.3">
      <c r="A14745" s="34">
        <v>76614</v>
      </c>
      <c r="B14745" s="35">
        <v>1</v>
      </c>
      <c r="C14745" s="35">
        <v>0</v>
      </c>
      <c r="D14745" s="2">
        <f t="shared" si="230"/>
        <v>1</v>
      </c>
    </row>
    <row r="14746" spans="1:4" x14ac:dyDescent="0.3">
      <c r="A14746" s="34">
        <v>76616</v>
      </c>
      <c r="B14746" s="35">
        <v>1</v>
      </c>
      <c r="C14746" s="35">
        <v>0</v>
      </c>
      <c r="D14746" s="2">
        <f t="shared" si="230"/>
        <v>1</v>
      </c>
    </row>
    <row r="14747" spans="1:4" x14ac:dyDescent="0.3">
      <c r="A14747" s="34">
        <v>76620</v>
      </c>
      <c r="B14747" s="35">
        <v>1</v>
      </c>
      <c r="C14747" s="35">
        <v>0</v>
      </c>
      <c r="D14747" s="2">
        <f t="shared" si="230"/>
        <v>1</v>
      </c>
    </row>
    <row r="14748" spans="1:4" x14ac:dyDescent="0.3">
      <c r="A14748" s="34">
        <v>76621</v>
      </c>
      <c r="B14748" s="35">
        <v>1</v>
      </c>
      <c r="C14748" s="35">
        <v>0</v>
      </c>
      <c r="D14748" s="2">
        <f t="shared" si="230"/>
        <v>1</v>
      </c>
    </row>
    <row r="14749" spans="1:4" x14ac:dyDescent="0.3">
      <c r="A14749" s="34">
        <v>76623</v>
      </c>
      <c r="B14749" s="35">
        <v>1</v>
      </c>
      <c r="C14749" s="35">
        <v>0</v>
      </c>
      <c r="D14749" s="2">
        <f t="shared" si="230"/>
        <v>1</v>
      </c>
    </row>
    <row r="14750" spans="1:4" x14ac:dyDescent="0.3">
      <c r="A14750" s="34">
        <v>76629</v>
      </c>
      <c r="B14750" s="35">
        <v>1</v>
      </c>
      <c r="C14750" s="35">
        <v>0</v>
      </c>
      <c r="D14750" s="2">
        <f t="shared" si="230"/>
        <v>1</v>
      </c>
    </row>
    <row r="14751" spans="1:4" x14ac:dyDescent="0.3">
      <c r="A14751" s="34">
        <v>76632</v>
      </c>
      <c r="B14751" s="35">
        <v>1</v>
      </c>
      <c r="C14751" s="35">
        <v>1</v>
      </c>
      <c r="D14751" s="2">
        <f t="shared" si="230"/>
        <v>2</v>
      </c>
    </row>
    <row r="14752" spans="1:4" x14ac:dyDescent="0.3">
      <c r="A14752" s="34">
        <v>76633</v>
      </c>
      <c r="B14752" s="35">
        <v>1</v>
      </c>
      <c r="C14752" s="35">
        <v>0</v>
      </c>
      <c r="D14752" s="2">
        <f t="shared" si="230"/>
        <v>1</v>
      </c>
    </row>
    <row r="14753" spans="1:4" x14ac:dyDescent="0.3">
      <c r="A14753" s="34">
        <v>76635</v>
      </c>
      <c r="B14753" s="35">
        <v>2</v>
      </c>
      <c r="C14753" s="35">
        <v>2</v>
      </c>
      <c r="D14753" s="2">
        <f t="shared" si="230"/>
        <v>4</v>
      </c>
    </row>
    <row r="14754" spans="1:4" x14ac:dyDescent="0.3">
      <c r="A14754" s="34">
        <v>76637</v>
      </c>
      <c r="B14754" s="35">
        <v>1</v>
      </c>
      <c r="C14754" s="35">
        <v>0</v>
      </c>
      <c r="D14754" s="2">
        <f t="shared" si="230"/>
        <v>1</v>
      </c>
    </row>
    <row r="14755" spans="1:4" x14ac:dyDescent="0.3">
      <c r="A14755" s="34">
        <v>76638</v>
      </c>
      <c r="B14755" s="35">
        <v>1</v>
      </c>
      <c r="C14755" s="35">
        <v>0</v>
      </c>
      <c r="D14755" s="2">
        <f t="shared" si="230"/>
        <v>1</v>
      </c>
    </row>
    <row r="14756" spans="1:4" x14ac:dyDescent="0.3">
      <c r="A14756" s="34">
        <v>76642</v>
      </c>
      <c r="B14756" s="35">
        <v>1</v>
      </c>
      <c r="C14756" s="35">
        <v>1</v>
      </c>
      <c r="D14756" s="2">
        <f t="shared" si="230"/>
        <v>2</v>
      </c>
    </row>
    <row r="14757" spans="1:4" x14ac:dyDescent="0.3">
      <c r="A14757" s="34">
        <v>76643</v>
      </c>
      <c r="B14757" s="35">
        <v>1</v>
      </c>
      <c r="C14757" s="35">
        <v>0</v>
      </c>
      <c r="D14757" s="2">
        <f t="shared" si="230"/>
        <v>1</v>
      </c>
    </row>
    <row r="14758" spans="1:4" x14ac:dyDescent="0.3">
      <c r="A14758" s="34">
        <v>76645</v>
      </c>
      <c r="B14758" s="35">
        <v>1</v>
      </c>
      <c r="C14758" s="35">
        <v>0</v>
      </c>
      <c r="D14758" s="2">
        <f t="shared" si="230"/>
        <v>1</v>
      </c>
    </row>
    <row r="14759" spans="1:4" x14ac:dyDescent="0.3">
      <c r="A14759" s="34">
        <v>76646</v>
      </c>
      <c r="B14759" s="35">
        <v>1</v>
      </c>
      <c r="C14759" s="35">
        <v>0</v>
      </c>
      <c r="D14759" s="2">
        <f t="shared" si="230"/>
        <v>1</v>
      </c>
    </row>
    <row r="14760" spans="1:4" x14ac:dyDescent="0.3">
      <c r="A14760" s="34">
        <v>76648</v>
      </c>
      <c r="B14760" s="35">
        <v>1</v>
      </c>
      <c r="C14760" s="35">
        <v>0</v>
      </c>
      <c r="D14760" s="2">
        <f t="shared" si="230"/>
        <v>1</v>
      </c>
    </row>
    <row r="14761" spans="1:4" x14ac:dyDescent="0.3">
      <c r="A14761" s="34">
        <v>76653</v>
      </c>
      <c r="B14761" s="35">
        <v>1</v>
      </c>
      <c r="C14761" s="35">
        <v>0</v>
      </c>
      <c r="D14761" s="2">
        <f t="shared" si="230"/>
        <v>1</v>
      </c>
    </row>
    <row r="14762" spans="1:4" x14ac:dyDescent="0.3">
      <c r="A14762" s="34">
        <v>76665</v>
      </c>
      <c r="B14762" s="35">
        <v>1</v>
      </c>
      <c r="C14762" s="35">
        <v>0</v>
      </c>
      <c r="D14762" s="2">
        <f t="shared" si="230"/>
        <v>1</v>
      </c>
    </row>
    <row r="14763" spans="1:4" x14ac:dyDescent="0.3">
      <c r="A14763" s="34">
        <v>76668</v>
      </c>
      <c r="B14763" s="35">
        <v>1</v>
      </c>
      <c r="C14763" s="35">
        <v>1</v>
      </c>
      <c r="D14763" s="2">
        <f t="shared" si="230"/>
        <v>2</v>
      </c>
    </row>
    <row r="14764" spans="1:4" x14ac:dyDescent="0.3">
      <c r="A14764" s="34">
        <v>76670</v>
      </c>
      <c r="B14764" s="35">
        <v>1</v>
      </c>
      <c r="C14764" s="35">
        <v>0</v>
      </c>
      <c r="D14764" s="2">
        <f t="shared" si="230"/>
        <v>1</v>
      </c>
    </row>
    <row r="14765" spans="1:4" x14ac:dyDescent="0.3">
      <c r="A14765" s="34">
        <v>76673</v>
      </c>
      <c r="B14765" s="35">
        <v>1</v>
      </c>
      <c r="C14765" s="35">
        <v>0</v>
      </c>
      <c r="D14765" s="2">
        <f t="shared" si="230"/>
        <v>1</v>
      </c>
    </row>
    <row r="14766" spans="1:4" x14ac:dyDescent="0.3">
      <c r="A14766" s="34">
        <v>76677</v>
      </c>
      <c r="B14766" s="35">
        <v>1</v>
      </c>
      <c r="C14766" s="35">
        <v>0</v>
      </c>
      <c r="D14766" s="2">
        <f t="shared" si="230"/>
        <v>1</v>
      </c>
    </row>
    <row r="14767" spans="1:4" x14ac:dyDescent="0.3">
      <c r="A14767" s="34">
        <v>76680</v>
      </c>
      <c r="B14767" s="35">
        <v>1</v>
      </c>
      <c r="C14767" s="35">
        <v>0</v>
      </c>
      <c r="D14767" s="2">
        <f t="shared" si="230"/>
        <v>1</v>
      </c>
    </row>
    <row r="14768" spans="1:4" x14ac:dyDescent="0.3">
      <c r="A14768" s="34">
        <v>76685</v>
      </c>
      <c r="B14768" s="35">
        <v>1</v>
      </c>
      <c r="C14768" s="35">
        <v>0</v>
      </c>
      <c r="D14768" s="2">
        <f t="shared" si="230"/>
        <v>1</v>
      </c>
    </row>
    <row r="14769" spans="1:4" x14ac:dyDescent="0.3">
      <c r="A14769" s="34">
        <v>76687</v>
      </c>
      <c r="B14769" s="35">
        <v>1</v>
      </c>
      <c r="C14769" s="35">
        <v>1</v>
      </c>
      <c r="D14769" s="2">
        <f t="shared" si="230"/>
        <v>2</v>
      </c>
    </row>
    <row r="14770" spans="1:4" x14ac:dyDescent="0.3">
      <c r="A14770" s="34">
        <v>76694</v>
      </c>
      <c r="B14770" s="35">
        <v>1</v>
      </c>
      <c r="C14770" s="35">
        <v>0</v>
      </c>
      <c r="D14770" s="2">
        <f t="shared" si="230"/>
        <v>1</v>
      </c>
    </row>
    <row r="14771" spans="1:4" x14ac:dyDescent="0.3">
      <c r="A14771" s="34">
        <v>76695</v>
      </c>
      <c r="B14771" s="35">
        <v>1</v>
      </c>
      <c r="C14771" s="35">
        <v>0</v>
      </c>
      <c r="D14771" s="2">
        <f t="shared" si="230"/>
        <v>1</v>
      </c>
    </row>
    <row r="14772" spans="1:4" x14ac:dyDescent="0.3">
      <c r="A14772" s="34">
        <v>76703</v>
      </c>
      <c r="B14772" s="35">
        <v>1</v>
      </c>
      <c r="C14772" s="35">
        <v>0</v>
      </c>
      <c r="D14772" s="2">
        <f t="shared" si="230"/>
        <v>1</v>
      </c>
    </row>
    <row r="14773" spans="1:4" x14ac:dyDescent="0.3">
      <c r="A14773" s="34">
        <v>76704</v>
      </c>
      <c r="B14773" s="35">
        <v>1</v>
      </c>
      <c r="C14773" s="35">
        <v>0</v>
      </c>
      <c r="D14773" s="2">
        <f t="shared" si="230"/>
        <v>1</v>
      </c>
    </row>
    <row r="14774" spans="1:4" x14ac:dyDescent="0.3">
      <c r="A14774" s="34">
        <v>76705</v>
      </c>
      <c r="B14774" s="35">
        <v>1</v>
      </c>
      <c r="C14774" s="35">
        <v>0</v>
      </c>
      <c r="D14774" s="2">
        <f t="shared" si="230"/>
        <v>1</v>
      </c>
    </row>
    <row r="14775" spans="1:4" x14ac:dyDescent="0.3">
      <c r="A14775" s="34">
        <v>76710</v>
      </c>
      <c r="B14775" s="35">
        <v>1</v>
      </c>
      <c r="C14775" s="35">
        <v>0</v>
      </c>
      <c r="D14775" s="2">
        <f t="shared" si="230"/>
        <v>1</v>
      </c>
    </row>
    <row r="14776" spans="1:4" x14ac:dyDescent="0.3">
      <c r="A14776" s="34">
        <v>76711</v>
      </c>
      <c r="B14776" s="35">
        <v>1</v>
      </c>
      <c r="C14776" s="35">
        <v>0</v>
      </c>
      <c r="D14776" s="2">
        <f t="shared" si="230"/>
        <v>1</v>
      </c>
    </row>
    <row r="14777" spans="1:4" x14ac:dyDescent="0.3">
      <c r="A14777" s="34">
        <v>76712</v>
      </c>
      <c r="B14777" s="35">
        <v>2</v>
      </c>
      <c r="C14777" s="35">
        <v>1</v>
      </c>
      <c r="D14777" s="2">
        <f t="shared" si="230"/>
        <v>3</v>
      </c>
    </row>
    <row r="14778" spans="1:4" x14ac:dyDescent="0.3">
      <c r="A14778" s="34">
        <v>76713</v>
      </c>
      <c r="B14778" s="35">
        <v>1</v>
      </c>
      <c r="C14778" s="35">
        <v>0</v>
      </c>
      <c r="D14778" s="2">
        <f t="shared" si="230"/>
        <v>1</v>
      </c>
    </row>
    <row r="14779" spans="1:4" x14ac:dyDescent="0.3">
      <c r="A14779" s="34">
        <v>76714</v>
      </c>
      <c r="B14779" s="35">
        <v>1</v>
      </c>
      <c r="C14779" s="35">
        <v>0</v>
      </c>
      <c r="D14779" s="2">
        <f t="shared" si="230"/>
        <v>1</v>
      </c>
    </row>
    <row r="14780" spans="1:4" x14ac:dyDescent="0.3">
      <c r="A14780" s="34">
        <v>76715</v>
      </c>
      <c r="B14780" s="35">
        <v>1</v>
      </c>
      <c r="C14780" s="35">
        <v>0</v>
      </c>
      <c r="D14780" s="2">
        <f t="shared" si="230"/>
        <v>1</v>
      </c>
    </row>
    <row r="14781" spans="1:4" x14ac:dyDescent="0.3">
      <c r="A14781" s="34">
        <v>76718</v>
      </c>
      <c r="B14781" s="35">
        <v>1</v>
      </c>
      <c r="C14781" s="35">
        <v>0</v>
      </c>
      <c r="D14781" s="2">
        <f t="shared" si="230"/>
        <v>1</v>
      </c>
    </row>
    <row r="14782" spans="1:4" x14ac:dyDescent="0.3">
      <c r="A14782" s="34">
        <v>76719</v>
      </c>
      <c r="B14782" s="35">
        <v>1</v>
      </c>
      <c r="C14782" s="35">
        <v>0</v>
      </c>
      <c r="D14782" s="2">
        <f t="shared" si="230"/>
        <v>1</v>
      </c>
    </row>
    <row r="14783" spans="1:4" x14ac:dyDescent="0.3">
      <c r="A14783" s="34">
        <v>76720</v>
      </c>
      <c r="B14783" s="35">
        <v>1</v>
      </c>
      <c r="C14783" s="35">
        <v>0</v>
      </c>
      <c r="D14783" s="2">
        <f t="shared" si="230"/>
        <v>1</v>
      </c>
    </row>
    <row r="14784" spans="1:4" x14ac:dyDescent="0.3">
      <c r="A14784" s="34">
        <v>76722</v>
      </c>
      <c r="B14784" s="35">
        <v>1</v>
      </c>
      <c r="C14784" s="35">
        <v>0</v>
      </c>
      <c r="D14784" s="2">
        <f t="shared" si="230"/>
        <v>1</v>
      </c>
    </row>
    <row r="14785" spans="1:4" x14ac:dyDescent="0.3">
      <c r="A14785" s="34">
        <v>76724</v>
      </c>
      <c r="B14785" s="35">
        <v>1</v>
      </c>
      <c r="C14785" s="35">
        <v>0</v>
      </c>
      <c r="D14785" s="2">
        <f t="shared" si="230"/>
        <v>1</v>
      </c>
    </row>
    <row r="14786" spans="1:4" x14ac:dyDescent="0.3">
      <c r="A14786" s="34">
        <v>76725</v>
      </c>
      <c r="B14786" s="35">
        <v>1</v>
      </c>
      <c r="C14786" s="35">
        <v>0</v>
      </c>
      <c r="D14786" s="2">
        <f t="shared" si="230"/>
        <v>1</v>
      </c>
    </row>
    <row r="14787" spans="1:4" x14ac:dyDescent="0.3">
      <c r="A14787" s="34">
        <v>76726</v>
      </c>
      <c r="B14787" s="35">
        <v>1</v>
      </c>
      <c r="C14787" s="35">
        <v>0</v>
      </c>
      <c r="D14787" s="2">
        <f t="shared" ref="D14787:D14850" si="231">B14787+C14787</f>
        <v>1</v>
      </c>
    </row>
    <row r="14788" spans="1:4" x14ac:dyDescent="0.3">
      <c r="A14788" s="34">
        <v>76727</v>
      </c>
      <c r="B14788" s="35">
        <v>1</v>
      </c>
      <c r="C14788" s="35">
        <v>0</v>
      </c>
      <c r="D14788" s="2">
        <f t="shared" si="231"/>
        <v>1</v>
      </c>
    </row>
    <row r="14789" spans="1:4" x14ac:dyDescent="0.3">
      <c r="A14789" s="34">
        <v>76730</v>
      </c>
      <c r="B14789" s="35">
        <v>1</v>
      </c>
      <c r="C14789" s="35">
        <v>1</v>
      </c>
      <c r="D14789" s="2">
        <f t="shared" si="231"/>
        <v>2</v>
      </c>
    </row>
    <row r="14790" spans="1:4" x14ac:dyDescent="0.3">
      <c r="A14790" s="34">
        <v>76731</v>
      </c>
      <c r="B14790" s="35">
        <v>1</v>
      </c>
      <c r="C14790" s="35">
        <v>0</v>
      </c>
      <c r="D14790" s="2">
        <f t="shared" si="231"/>
        <v>1</v>
      </c>
    </row>
    <row r="14791" spans="1:4" x14ac:dyDescent="0.3">
      <c r="A14791" s="34">
        <v>76732</v>
      </c>
      <c r="B14791" s="35">
        <v>1</v>
      </c>
      <c r="C14791" s="35">
        <v>0</v>
      </c>
      <c r="D14791" s="2">
        <f t="shared" si="231"/>
        <v>1</v>
      </c>
    </row>
    <row r="14792" spans="1:4" x14ac:dyDescent="0.3">
      <c r="A14792" s="34">
        <v>76733</v>
      </c>
      <c r="B14792" s="35">
        <v>1</v>
      </c>
      <c r="C14792" s="35">
        <v>0</v>
      </c>
      <c r="D14792" s="2">
        <f t="shared" si="231"/>
        <v>1</v>
      </c>
    </row>
    <row r="14793" spans="1:4" x14ac:dyDescent="0.3">
      <c r="A14793" s="34">
        <v>76734</v>
      </c>
      <c r="B14793" s="35">
        <v>1</v>
      </c>
      <c r="C14793" s="35">
        <v>0</v>
      </c>
      <c r="D14793" s="2">
        <f t="shared" si="231"/>
        <v>1</v>
      </c>
    </row>
    <row r="14794" spans="1:4" x14ac:dyDescent="0.3">
      <c r="A14794" s="34">
        <v>76735</v>
      </c>
      <c r="B14794" s="35">
        <v>1</v>
      </c>
      <c r="C14794" s="35">
        <v>0</v>
      </c>
      <c r="D14794" s="2">
        <f t="shared" si="231"/>
        <v>1</v>
      </c>
    </row>
    <row r="14795" spans="1:4" x14ac:dyDescent="0.3">
      <c r="A14795" s="34">
        <v>76736</v>
      </c>
      <c r="B14795" s="35">
        <v>2</v>
      </c>
      <c r="C14795" s="35">
        <v>0</v>
      </c>
      <c r="D14795" s="2">
        <f t="shared" si="231"/>
        <v>2</v>
      </c>
    </row>
    <row r="14796" spans="1:4" x14ac:dyDescent="0.3">
      <c r="A14796" s="34">
        <v>76738</v>
      </c>
      <c r="B14796" s="35">
        <v>1</v>
      </c>
      <c r="C14796" s="35">
        <v>0</v>
      </c>
      <c r="D14796" s="2">
        <f t="shared" si="231"/>
        <v>1</v>
      </c>
    </row>
    <row r="14797" spans="1:4" x14ac:dyDescent="0.3">
      <c r="A14797" s="34">
        <v>76739</v>
      </c>
      <c r="B14797" s="35">
        <v>1</v>
      </c>
      <c r="C14797" s="35">
        <v>1</v>
      </c>
      <c r="D14797" s="2">
        <f t="shared" si="231"/>
        <v>2</v>
      </c>
    </row>
    <row r="14798" spans="1:4" x14ac:dyDescent="0.3">
      <c r="A14798" s="34">
        <v>76740</v>
      </c>
      <c r="B14798" s="35">
        <v>1</v>
      </c>
      <c r="C14798" s="35">
        <v>0</v>
      </c>
      <c r="D14798" s="2">
        <f t="shared" si="231"/>
        <v>1</v>
      </c>
    </row>
    <row r="14799" spans="1:4" x14ac:dyDescent="0.3">
      <c r="A14799" s="34">
        <v>76741</v>
      </c>
      <c r="B14799" s="35">
        <v>1</v>
      </c>
      <c r="C14799" s="35">
        <v>0</v>
      </c>
      <c r="D14799" s="2">
        <f t="shared" si="231"/>
        <v>1</v>
      </c>
    </row>
    <row r="14800" spans="1:4" x14ac:dyDescent="0.3">
      <c r="A14800" s="34">
        <v>76743</v>
      </c>
      <c r="B14800" s="35">
        <v>1</v>
      </c>
      <c r="C14800" s="35">
        <v>1</v>
      </c>
      <c r="D14800" s="2">
        <f t="shared" si="231"/>
        <v>2</v>
      </c>
    </row>
    <row r="14801" spans="1:4" x14ac:dyDescent="0.3">
      <c r="A14801" s="34">
        <v>76746</v>
      </c>
      <c r="B14801" s="35">
        <v>1</v>
      </c>
      <c r="C14801" s="35">
        <v>0</v>
      </c>
      <c r="D14801" s="2">
        <f t="shared" si="231"/>
        <v>1</v>
      </c>
    </row>
    <row r="14802" spans="1:4" x14ac:dyDescent="0.3">
      <c r="A14802" s="34">
        <v>76747</v>
      </c>
      <c r="B14802" s="35">
        <v>1</v>
      </c>
      <c r="C14802" s="35">
        <v>0</v>
      </c>
      <c r="D14802" s="2">
        <f t="shared" si="231"/>
        <v>1</v>
      </c>
    </row>
    <row r="14803" spans="1:4" x14ac:dyDescent="0.3">
      <c r="A14803" s="34">
        <v>76748</v>
      </c>
      <c r="B14803" s="35">
        <v>2</v>
      </c>
      <c r="C14803" s="35">
        <v>0</v>
      </c>
      <c r="D14803" s="2">
        <f t="shared" si="231"/>
        <v>2</v>
      </c>
    </row>
    <row r="14804" spans="1:4" x14ac:dyDescent="0.3">
      <c r="A14804" s="34">
        <v>76749</v>
      </c>
      <c r="B14804" s="35">
        <v>1</v>
      </c>
      <c r="C14804" s="35">
        <v>0</v>
      </c>
      <c r="D14804" s="2">
        <f t="shared" si="231"/>
        <v>1</v>
      </c>
    </row>
    <row r="14805" spans="1:4" x14ac:dyDescent="0.3">
      <c r="A14805" s="34">
        <v>76754</v>
      </c>
      <c r="B14805" s="35">
        <v>1</v>
      </c>
      <c r="C14805" s="35">
        <v>0</v>
      </c>
      <c r="D14805" s="2">
        <f t="shared" si="231"/>
        <v>1</v>
      </c>
    </row>
    <row r="14806" spans="1:4" x14ac:dyDescent="0.3">
      <c r="A14806" s="34">
        <v>76755</v>
      </c>
      <c r="B14806" s="35">
        <v>1</v>
      </c>
      <c r="C14806" s="35">
        <v>0</v>
      </c>
      <c r="D14806" s="2">
        <f t="shared" si="231"/>
        <v>1</v>
      </c>
    </row>
    <row r="14807" spans="1:4" x14ac:dyDescent="0.3">
      <c r="A14807" s="34">
        <v>76756</v>
      </c>
      <c r="B14807" s="35">
        <v>1</v>
      </c>
      <c r="C14807" s="35">
        <v>0</v>
      </c>
      <c r="D14807" s="2">
        <f t="shared" si="231"/>
        <v>1</v>
      </c>
    </row>
    <row r="14808" spans="1:4" x14ac:dyDescent="0.3">
      <c r="A14808" s="34">
        <v>76757</v>
      </c>
      <c r="B14808" s="35">
        <v>1</v>
      </c>
      <c r="C14808" s="35">
        <v>0</v>
      </c>
      <c r="D14808" s="2">
        <f t="shared" si="231"/>
        <v>1</v>
      </c>
    </row>
    <row r="14809" spans="1:4" x14ac:dyDescent="0.3">
      <c r="A14809" s="34">
        <v>76758</v>
      </c>
      <c r="B14809" s="35">
        <v>1</v>
      </c>
      <c r="C14809" s="35">
        <v>0</v>
      </c>
      <c r="D14809" s="2">
        <f t="shared" si="231"/>
        <v>1</v>
      </c>
    </row>
    <row r="14810" spans="1:4" x14ac:dyDescent="0.3">
      <c r="A14810" s="34">
        <v>76760</v>
      </c>
      <c r="B14810" s="35">
        <v>1</v>
      </c>
      <c r="C14810" s="35">
        <v>0</v>
      </c>
      <c r="D14810" s="2">
        <f t="shared" si="231"/>
        <v>1</v>
      </c>
    </row>
    <row r="14811" spans="1:4" x14ac:dyDescent="0.3">
      <c r="A14811" s="34">
        <v>76763</v>
      </c>
      <c r="B14811" s="35">
        <v>1</v>
      </c>
      <c r="C14811" s="35">
        <v>0</v>
      </c>
      <c r="D14811" s="2">
        <f t="shared" si="231"/>
        <v>1</v>
      </c>
    </row>
    <row r="14812" spans="1:4" x14ac:dyDescent="0.3">
      <c r="A14812" s="34">
        <v>76765</v>
      </c>
      <c r="B14812" s="35">
        <v>1</v>
      </c>
      <c r="C14812" s="35">
        <v>0</v>
      </c>
      <c r="D14812" s="2">
        <f t="shared" si="231"/>
        <v>1</v>
      </c>
    </row>
    <row r="14813" spans="1:4" x14ac:dyDescent="0.3">
      <c r="A14813" s="34">
        <v>76766</v>
      </c>
      <c r="B14813" s="35">
        <v>1</v>
      </c>
      <c r="C14813" s="35">
        <v>0</v>
      </c>
      <c r="D14813" s="2">
        <f t="shared" si="231"/>
        <v>1</v>
      </c>
    </row>
    <row r="14814" spans="1:4" x14ac:dyDescent="0.3">
      <c r="A14814" s="34">
        <v>76767</v>
      </c>
      <c r="B14814" s="35">
        <v>1</v>
      </c>
      <c r="C14814" s="35">
        <v>0</v>
      </c>
      <c r="D14814" s="2">
        <f t="shared" si="231"/>
        <v>1</v>
      </c>
    </row>
    <row r="14815" spans="1:4" x14ac:dyDescent="0.3">
      <c r="A14815" s="34">
        <v>76768</v>
      </c>
      <c r="B14815" s="35">
        <v>1</v>
      </c>
      <c r="C14815" s="35">
        <v>0</v>
      </c>
      <c r="D14815" s="2">
        <f t="shared" si="231"/>
        <v>1</v>
      </c>
    </row>
    <row r="14816" spans="1:4" x14ac:dyDescent="0.3">
      <c r="A14816" s="34">
        <v>76769</v>
      </c>
      <c r="B14816" s="35">
        <v>3</v>
      </c>
      <c r="C14816" s="35">
        <v>1</v>
      </c>
      <c r="D14816" s="2">
        <f t="shared" si="231"/>
        <v>4</v>
      </c>
    </row>
    <row r="14817" spans="1:4" x14ac:dyDescent="0.3">
      <c r="A14817" s="34">
        <v>76770</v>
      </c>
      <c r="B14817" s="35">
        <v>1</v>
      </c>
      <c r="C14817" s="35">
        <v>0</v>
      </c>
      <c r="D14817" s="2">
        <f t="shared" si="231"/>
        <v>1</v>
      </c>
    </row>
    <row r="14818" spans="1:4" x14ac:dyDescent="0.3">
      <c r="A14818" s="34">
        <v>76771</v>
      </c>
      <c r="B14818" s="35">
        <v>1</v>
      </c>
      <c r="C14818" s="35">
        <v>0</v>
      </c>
      <c r="D14818" s="2">
        <f t="shared" si="231"/>
        <v>1</v>
      </c>
    </row>
    <row r="14819" spans="1:4" x14ac:dyDescent="0.3">
      <c r="A14819" s="34">
        <v>76772</v>
      </c>
      <c r="B14819" s="35">
        <v>1</v>
      </c>
      <c r="C14819" s="35">
        <v>0</v>
      </c>
      <c r="D14819" s="2">
        <f t="shared" si="231"/>
        <v>1</v>
      </c>
    </row>
    <row r="14820" spans="1:4" x14ac:dyDescent="0.3">
      <c r="A14820" s="34">
        <v>76773</v>
      </c>
      <c r="B14820" s="35">
        <v>1</v>
      </c>
      <c r="C14820" s="35">
        <v>0</v>
      </c>
      <c r="D14820" s="2">
        <f t="shared" si="231"/>
        <v>1</v>
      </c>
    </row>
    <row r="14821" spans="1:4" x14ac:dyDescent="0.3">
      <c r="A14821" s="34">
        <v>76774</v>
      </c>
      <c r="B14821" s="35">
        <v>1</v>
      </c>
      <c r="C14821" s="35">
        <v>0</v>
      </c>
      <c r="D14821" s="2">
        <f t="shared" si="231"/>
        <v>1</v>
      </c>
    </row>
    <row r="14822" spans="1:4" x14ac:dyDescent="0.3">
      <c r="A14822" s="34">
        <v>76775</v>
      </c>
      <c r="B14822" s="35">
        <v>1</v>
      </c>
      <c r="C14822" s="35">
        <v>0</v>
      </c>
      <c r="D14822" s="2">
        <f t="shared" si="231"/>
        <v>1</v>
      </c>
    </row>
    <row r="14823" spans="1:4" x14ac:dyDescent="0.3">
      <c r="A14823" s="34">
        <v>76776</v>
      </c>
      <c r="B14823" s="35">
        <v>1</v>
      </c>
      <c r="C14823" s="35">
        <v>0</v>
      </c>
      <c r="D14823" s="2">
        <f t="shared" si="231"/>
        <v>1</v>
      </c>
    </row>
    <row r="14824" spans="1:4" x14ac:dyDescent="0.3">
      <c r="A14824" s="34">
        <v>76777</v>
      </c>
      <c r="B14824" s="35">
        <v>1</v>
      </c>
      <c r="C14824" s="35">
        <v>0</v>
      </c>
      <c r="D14824" s="2">
        <f t="shared" si="231"/>
        <v>1</v>
      </c>
    </row>
    <row r="14825" spans="1:4" x14ac:dyDescent="0.3">
      <c r="A14825" s="34">
        <v>76778</v>
      </c>
      <c r="B14825" s="35">
        <v>1</v>
      </c>
      <c r="C14825" s="35">
        <v>0</v>
      </c>
      <c r="D14825" s="2">
        <f t="shared" si="231"/>
        <v>1</v>
      </c>
    </row>
    <row r="14826" spans="1:4" x14ac:dyDescent="0.3">
      <c r="A14826" s="34">
        <v>76779</v>
      </c>
      <c r="B14826" s="35">
        <v>1</v>
      </c>
      <c r="C14826" s="35">
        <v>0</v>
      </c>
      <c r="D14826" s="2">
        <f t="shared" si="231"/>
        <v>1</v>
      </c>
    </row>
    <row r="14827" spans="1:4" x14ac:dyDescent="0.3">
      <c r="A14827" s="34">
        <v>76780</v>
      </c>
      <c r="B14827" s="35">
        <v>1</v>
      </c>
      <c r="C14827" s="35">
        <v>0</v>
      </c>
      <c r="D14827" s="2">
        <f t="shared" si="231"/>
        <v>1</v>
      </c>
    </row>
    <row r="14828" spans="1:4" x14ac:dyDescent="0.3">
      <c r="A14828" s="34">
        <v>76782</v>
      </c>
      <c r="B14828" s="35">
        <v>1</v>
      </c>
      <c r="C14828" s="35">
        <v>0</v>
      </c>
      <c r="D14828" s="2">
        <f t="shared" si="231"/>
        <v>1</v>
      </c>
    </row>
    <row r="14829" spans="1:4" x14ac:dyDescent="0.3">
      <c r="A14829" s="34">
        <v>76783</v>
      </c>
      <c r="B14829" s="35">
        <v>1</v>
      </c>
      <c r="C14829" s="35">
        <v>0</v>
      </c>
      <c r="D14829" s="2">
        <f t="shared" si="231"/>
        <v>1</v>
      </c>
    </row>
    <row r="14830" spans="1:4" x14ac:dyDescent="0.3">
      <c r="A14830" s="34">
        <v>76786</v>
      </c>
      <c r="B14830" s="35">
        <v>1</v>
      </c>
      <c r="C14830" s="35">
        <v>0</v>
      </c>
      <c r="D14830" s="2">
        <f t="shared" si="231"/>
        <v>1</v>
      </c>
    </row>
    <row r="14831" spans="1:4" x14ac:dyDescent="0.3">
      <c r="A14831" s="34">
        <v>76787</v>
      </c>
      <c r="B14831" s="35">
        <v>1</v>
      </c>
      <c r="C14831" s="35">
        <v>1</v>
      </c>
      <c r="D14831" s="2">
        <f t="shared" si="231"/>
        <v>2</v>
      </c>
    </row>
    <row r="14832" spans="1:4" x14ac:dyDescent="0.3">
      <c r="A14832" s="34">
        <v>76788</v>
      </c>
      <c r="B14832" s="35">
        <v>1</v>
      </c>
      <c r="C14832" s="35">
        <v>0</v>
      </c>
      <c r="D14832" s="2">
        <f t="shared" si="231"/>
        <v>1</v>
      </c>
    </row>
    <row r="14833" spans="1:4" x14ac:dyDescent="0.3">
      <c r="A14833" s="34">
        <v>76789</v>
      </c>
      <c r="B14833" s="35">
        <v>1</v>
      </c>
      <c r="C14833" s="35">
        <v>0</v>
      </c>
      <c r="D14833" s="2">
        <f t="shared" si="231"/>
        <v>1</v>
      </c>
    </row>
    <row r="14834" spans="1:4" x14ac:dyDescent="0.3">
      <c r="A14834" s="34">
        <v>76790</v>
      </c>
      <c r="B14834" s="35">
        <v>2</v>
      </c>
      <c r="C14834" s="35">
        <v>1</v>
      </c>
      <c r="D14834" s="2">
        <f t="shared" si="231"/>
        <v>3</v>
      </c>
    </row>
    <row r="14835" spans="1:4" x14ac:dyDescent="0.3">
      <c r="A14835" s="34">
        <v>76791</v>
      </c>
      <c r="B14835" s="35">
        <v>1</v>
      </c>
      <c r="C14835" s="35">
        <v>1</v>
      </c>
      <c r="D14835" s="2">
        <f t="shared" si="231"/>
        <v>2</v>
      </c>
    </row>
    <row r="14836" spans="1:4" x14ac:dyDescent="0.3">
      <c r="A14836" s="34">
        <v>76792</v>
      </c>
      <c r="B14836" s="35">
        <v>1</v>
      </c>
      <c r="C14836" s="35">
        <v>0</v>
      </c>
      <c r="D14836" s="2">
        <f t="shared" si="231"/>
        <v>1</v>
      </c>
    </row>
    <row r="14837" spans="1:4" x14ac:dyDescent="0.3">
      <c r="A14837" s="34">
        <v>76794</v>
      </c>
      <c r="B14837" s="35">
        <v>1</v>
      </c>
      <c r="C14837" s="35">
        <v>0</v>
      </c>
      <c r="D14837" s="2">
        <f t="shared" si="231"/>
        <v>1</v>
      </c>
    </row>
    <row r="14838" spans="1:4" x14ac:dyDescent="0.3">
      <c r="A14838" s="34">
        <v>76795</v>
      </c>
      <c r="B14838" s="35">
        <v>1</v>
      </c>
      <c r="C14838" s="35">
        <v>0</v>
      </c>
      <c r="D14838" s="2">
        <f t="shared" si="231"/>
        <v>1</v>
      </c>
    </row>
    <row r="14839" spans="1:4" x14ac:dyDescent="0.3">
      <c r="A14839" s="34">
        <v>76796</v>
      </c>
      <c r="B14839" s="35">
        <v>1</v>
      </c>
      <c r="C14839" s="35">
        <v>0</v>
      </c>
      <c r="D14839" s="2">
        <f t="shared" si="231"/>
        <v>1</v>
      </c>
    </row>
    <row r="14840" spans="1:4" x14ac:dyDescent="0.3">
      <c r="A14840" s="34">
        <v>76797</v>
      </c>
      <c r="B14840" s="35">
        <v>1</v>
      </c>
      <c r="C14840" s="35">
        <v>0</v>
      </c>
      <c r="D14840" s="2">
        <f t="shared" si="231"/>
        <v>1</v>
      </c>
    </row>
    <row r="14841" spans="1:4" x14ac:dyDescent="0.3">
      <c r="A14841" s="34">
        <v>76799</v>
      </c>
      <c r="B14841" s="35">
        <v>1</v>
      </c>
      <c r="C14841" s="35">
        <v>0</v>
      </c>
      <c r="D14841" s="2">
        <f t="shared" si="231"/>
        <v>1</v>
      </c>
    </row>
    <row r="14842" spans="1:4" x14ac:dyDescent="0.3">
      <c r="A14842" s="34">
        <v>76800</v>
      </c>
      <c r="B14842" s="35">
        <v>1</v>
      </c>
      <c r="C14842" s="35">
        <v>0</v>
      </c>
      <c r="D14842" s="2">
        <f t="shared" si="231"/>
        <v>1</v>
      </c>
    </row>
    <row r="14843" spans="1:4" x14ac:dyDescent="0.3">
      <c r="A14843" s="34">
        <v>76801</v>
      </c>
      <c r="B14843" s="35">
        <v>1</v>
      </c>
      <c r="C14843" s="35">
        <v>0</v>
      </c>
      <c r="D14843" s="2">
        <f t="shared" si="231"/>
        <v>1</v>
      </c>
    </row>
    <row r="14844" spans="1:4" x14ac:dyDescent="0.3">
      <c r="A14844" s="34">
        <v>76802</v>
      </c>
      <c r="B14844" s="35">
        <v>1</v>
      </c>
      <c r="C14844" s="35">
        <v>0</v>
      </c>
      <c r="D14844" s="2">
        <f t="shared" si="231"/>
        <v>1</v>
      </c>
    </row>
    <row r="14845" spans="1:4" x14ac:dyDescent="0.3">
      <c r="A14845" s="34">
        <v>76803</v>
      </c>
      <c r="B14845" s="35">
        <v>1</v>
      </c>
      <c r="C14845" s="35">
        <v>0</v>
      </c>
      <c r="D14845" s="2">
        <f t="shared" si="231"/>
        <v>1</v>
      </c>
    </row>
    <row r="14846" spans="1:4" x14ac:dyDescent="0.3">
      <c r="A14846" s="34">
        <v>76804</v>
      </c>
      <c r="B14846" s="35">
        <v>1</v>
      </c>
      <c r="C14846" s="35">
        <v>0</v>
      </c>
      <c r="D14846" s="2">
        <f t="shared" si="231"/>
        <v>1</v>
      </c>
    </row>
    <row r="14847" spans="1:4" x14ac:dyDescent="0.3">
      <c r="A14847" s="34">
        <v>76805</v>
      </c>
      <c r="B14847" s="35">
        <v>1</v>
      </c>
      <c r="C14847" s="35">
        <v>0</v>
      </c>
      <c r="D14847" s="2">
        <f t="shared" si="231"/>
        <v>1</v>
      </c>
    </row>
    <row r="14848" spans="1:4" x14ac:dyDescent="0.3">
      <c r="A14848" s="34">
        <v>76806</v>
      </c>
      <c r="B14848" s="35">
        <v>1</v>
      </c>
      <c r="C14848" s="35">
        <v>0</v>
      </c>
      <c r="D14848" s="2">
        <f t="shared" si="231"/>
        <v>1</v>
      </c>
    </row>
    <row r="14849" spans="1:4" x14ac:dyDescent="0.3">
      <c r="A14849" s="34">
        <v>76807</v>
      </c>
      <c r="B14849" s="35">
        <v>1</v>
      </c>
      <c r="C14849" s="35">
        <v>0</v>
      </c>
      <c r="D14849" s="2">
        <f t="shared" si="231"/>
        <v>1</v>
      </c>
    </row>
    <row r="14850" spans="1:4" x14ac:dyDescent="0.3">
      <c r="A14850" s="34">
        <v>76808</v>
      </c>
      <c r="B14850" s="35">
        <v>1</v>
      </c>
      <c r="C14850" s="35">
        <v>0</v>
      </c>
      <c r="D14850" s="2">
        <f t="shared" si="231"/>
        <v>1</v>
      </c>
    </row>
    <row r="14851" spans="1:4" x14ac:dyDescent="0.3">
      <c r="A14851" s="34">
        <v>76809</v>
      </c>
      <c r="B14851" s="35">
        <v>1</v>
      </c>
      <c r="C14851" s="35">
        <v>0</v>
      </c>
      <c r="D14851" s="2">
        <f t="shared" ref="D14851:D14914" si="232">B14851+C14851</f>
        <v>1</v>
      </c>
    </row>
    <row r="14852" spans="1:4" x14ac:dyDescent="0.3">
      <c r="A14852" s="34">
        <v>76810</v>
      </c>
      <c r="B14852" s="35">
        <v>1</v>
      </c>
      <c r="C14852" s="35">
        <v>0</v>
      </c>
      <c r="D14852" s="2">
        <f t="shared" si="232"/>
        <v>1</v>
      </c>
    </row>
    <row r="14853" spans="1:4" x14ac:dyDescent="0.3">
      <c r="A14853" s="34">
        <v>76811</v>
      </c>
      <c r="B14853" s="35">
        <v>1</v>
      </c>
      <c r="C14853" s="35">
        <v>0</v>
      </c>
      <c r="D14853" s="2">
        <f t="shared" si="232"/>
        <v>1</v>
      </c>
    </row>
    <row r="14854" spans="1:4" x14ac:dyDescent="0.3">
      <c r="A14854" s="34">
        <v>76812</v>
      </c>
      <c r="B14854" s="35">
        <v>1</v>
      </c>
      <c r="C14854" s="35">
        <v>1</v>
      </c>
      <c r="D14854" s="2">
        <f t="shared" si="232"/>
        <v>2</v>
      </c>
    </row>
    <row r="14855" spans="1:4" x14ac:dyDescent="0.3">
      <c r="A14855" s="34">
        <v>76813</v>
      </c>
      <c r="B14855" s="35">
        <v>1</v>
      </c>
      <c r="C14855" s="35">
        <v>0</v>
      </c>
      <c r="D14855" s="2">
        <f t="shared" si="232"/>
        <v>1</v>
      </c>
    </row>
    <row r="14856" spans="1:4" x14ac:dyDescent="0.3">
      <c r="A14856" s="34">
        <v>76814</v>
      </c>
      <c r="B14856" s="35">
        <v>1</v>
      </c>
      <c r="C14856" s="35">
        <v>1</v>
      </c>
      <c r="D14856" s="2">
        <f t="shared" si="232"/>
        <v>2</v>
      </c>
    </row>
    <row r="14857" spans="1:4" x14ac:dyDescent="0.3">
      <c r="A14857" s="34">
        <v>76817</v>
      </c>
      <c r="B14857" s="35">
        <v>1</v>
      </c>
      <c r="C14857" s="35">
        <v>0</v>
      </c>
      <c r="D14857" s="2">
        <f t="shared" si="232"/>
        <v>1</v>
      </c>
    </row>
    <row r="14858" spans="1:4" x14ac:dyDescent="0.3">
      <c r="A14858" s="34">
        <v>76850</v>
      </c>
      <c r="B14858" s="35">
        <v>1</v>
      </c>
      <c r="C14858" s="35">
        <v>1</v>
      </c>
      <c r="D14858" s="2">
        <f t="shared" si="232"/>
        <v>2</v>
      </c>
    </row>
    <row r="14859" spans="1:4" x14ac:dyDescent="0.3">
      <c r="A14859" s="34">
        <v>76852</v>
      </c>
      <c r="B14859" s="35">
        <v>1</v>
      </c>
      <c r="C14859" s="35">
        <v>0</v>
      </c>
      <c r="D14859" s="2">
        <f t="shared" si="232"/>
        <v>1</v>
      </c>
    </row>
    <row r="14860" spans="1:4" x14ac:dyDescent="0.3">
      <c r="A14860" s="34">
        <v>76853</v>
      </c>
      <c r="B14860" s="35">
        <v>1</v>
      </c>
      <c r="C14860" s="35">
        <v>0</v>
      </c>
      <c r="D14860" s="2">
        <f t="shared" si="232"/>
        <v>1</v>
      </c>
    </row>
    <row r="14861" spans="1:4" x14ac:dyDescent="0.3">
      <c r="A14861" s="34">
        <v>76854</v>
      </c>
      <c r="B14861" s="35">
        <v>1</v>
      </c>
      <c r="C14861" s="35">
        <v>0</v>
      </c>
      <c r="D14861" s="2">
        <f t="shared" si="232"/>
        <v>1</v>
      </c>
    </row>
    <row r="14862" spans="1:4" x14ac:dyDescent="0.3">
      <c r="A14862" s="34">
        <v>76855</v>
      </c>
      <c r="B14862" s="35">
        <v>1</v>
      </c>
      <c r="C14862" s="35">
        <v>1</v>
      </c>
      <c r="D14862" s="2">
        <f t="shared" si="232"/>
        <v>2</v>
      </c>
    </row>
    <row r="14863" spans="1:4" x14ac:dyDescent="0.3">
      <c r="A14863" s="34">
        <v>76857</v>
      </c>
      <c r="B14863" s="35">
        <v>1</v>
      </c>
      <c r="C14863" s="35">
        <v>0</v>
      </c>
      <c r="D14863" s="2">
        <f t="shared" si="232"/>
        <v>1</v>
      </c>
    </row>
    <row r="14864" spans="1:4" x14ac:dyDescent="0.3">
      <c r="A14864" s="34">
        <v>76858</v>
      </c>
      <c r="B14864" s="35">
        <v>1</v>
      </c>
      <c r="C14864" s="35">
        <v>0</v>
      </c>
      <c r="D14864" s="2">
        <f t="shared" si="232"/>
        <v>1</v>
      </c>
    </row>
    <row r="14865" spans="1:4" x14ac:dyDescent="0.3">
      <c r="A14865" s="34">
        <v>76859</v>
      </c>
      <c r="B14865" s="35">
        <v>1</v>
      </c>
      <c r="C14865" s="35">
        <v>0</v>
      </c>
      <c r="D14865" s="2">
        <f t="shared" si="232"/>
        <v>1</v>
      </c>
    </row>
    <row r="14866" spans="1:4" x14ac:dyDescent="0.3">
      <c r="A14866" s="34">
        <v>76860</v>
      </c>
      <c r="B14866" s="35">
        <v>1</v>
      </c>
      <c r="C14866" s="35">
        <v>0</v>
      </c>
      <c r="D14866" s="2">
        <f t="shared" si="232"/>
        <v>1</v>
      </c>
    </row>
    <row r="14867" spans="1:4" x14ac:dyDescent="0.3">
      <c r="A14867" s="34">
        <v>76863</v>
      </c>
      <c r="B14867" s="35">
        <v>1</v>
      </c>
      <c r="C14867" s="35">
        <v>0</v>
      </c>
      <c r="D14867" s="2">
        <f t="shared" si="232"/>
        <v>1</v>
      </c>
    </row>
    <row r="14868" spans="1:4" x14ac:dyDescent="0.3">
      <c r="A14868" s="34">
        <v>76864</v>
      </c>
      <c r="B14868" s="35">
        <v>1</v>
      </c>
      <c r="C14868" s="35">
        <v>0</v>
      </c>
      <c r="D14868" s="2">
        <f t="shared" si="232"/>
        <v>1</v>
      </c>
    </row>
    <row r="14869" spans="1:4" x14ac:dyDescent="0.3">
      <c r="A14869" s="34">
        <v>76866</v>
      </c>
      <c r="B14869" s="35">
        <v>1</v>
      </c>
      <c r="C14869" s="35">
        <v>0</v>
      </c>
      <c r="D14869" s="2">
        <f t="shared" si="232"/>
        <v>1</v>
      </c>
    </row>
    <row r="14870" spans="1:4" x14ac:dyDescent="0.3">
      <c r="A14870" s="34">
        <v>76868</v>
      </c>
      <c r="B14870" s="35">
        <v>1</v>
      </c>
      <c r="C14870" s="35">
        <v>0</v>
      </c>
      <c r="D14870" s="2">
        <f t="shared" si="232"/>
        <v>1</v>
      </c>
    </row>
    <row r="14871" spans="1:4" x14ac:dyDescent="0.3">
      <c r="A14871" s="34">
        <v>76869</v>
      </c>
      <c r="B14871" s="35">
        <v>1</v>
      </c>
      <c r="C14871" s="35">
        <v>0</v>
      </c>
      <c r="D14871" s="2">
        <f t="shared" si="232"/>
        <v>1</v>
      </c>
    </row>
    <row r="14872" spans="1:4" x14ac:dyDescent="0.3">
      <c r="A14872" s="34">
        <v>76870</v>
      </c>
      <c r="B14872" s="35">
        <v>1</v>
      </c>
      <c r="C14872" s="35">
        <v>0</v>
      </c>
      <c r="D14872" s="2">
        <f t="shared" si="232"/>
        <v>1</v>
      </c>
    </row>
    <row r="14873" spans="1:4" x14ac:dyDescent="0.3">
      <c r="A14873" s="34">
        <v>76871</v>
      </c>
      <c r="B14873" s="35">
        <v>1</v>
      </c>
      <c r="C14873" s="35">
        <v>0</v>
      </c>
      <c r="D14873" s="2">
        <f t="shared" si="232"/>
        <v>1</v>
      </c>
    </row>
    <row r="14874" spans="1:4" x14ac:dyDescent="0.3">
      <c r="A14874" s="34">
        <v>76872</v>
      </c>
      <c r="B14874" s="35">
        <v>1</v>
      </c>
      <c r="C14874" s="35">
        <v>0</v>
      </c>
      <c r="D14874" s="2">
        <f t="shared" si="232"/>
        <v>1</v>
      </c>
    </row>
    <row r="14875" spans="1:4" x14ac:dyDescent="0.3">
      <c r="A14875" s="34">
        <v>76873</v>
      </c>
      <c r="B14875" s="35">
        <v>1</v>
      </c>
      <c r="C14875" s="35">
        <v>1</v>
      </c>
      <c r="D14875" s="2">
        <f t="shared" si="232"/>
        <v>2</v>
      </c>
    </row>
    <row r="14876" spans="1:4" x14ac:dyDescent="0.3">
      <c r="A14876" s="34">
        <v>76874</v>
      </c>
      <c r="B14876" s="35">
        <v>1</v>
      </c>
      <c r="C14876" s="35">
        <v>0</v>
      </c>
      <c r="D14876" s="2">
        <f t="shared" si="232"/>
        <v>1</v>
      </c>
    </row>
    <row r="14877" spans="1:4" x14ac:dyDescent="0.3">
      <c r="A14877" s="34">
        <v>76875</v>
      </c>
      <c r="B14877" s="35">
        <v>1</v>
      </c>
      <c r="C14877" s="35">
        <v>0</v>
      </c>
      <c r="D14877" s="2">
        <f t="shared" si="232"/>
        <v>1</v>
      </c>
    </row>
    <row r="14878" spans="1:4" x14ac:dyDescent="0.3">
      <c r="A14878" s="34">
        <v>76876</v>
      </c>
      <c r="B14878" s="35">
        <v>1</v>
      </c>
      <c r="C14878" s="35">
        <v>1</v>
      </c>
      <c r="D14878" s="2">
        <f t="shared" si="232"/>
        <v>2</v>
      </c>
    </row>
    <row r="14879" spans="1:4" x14ac:dyDescent="0.3">
      <c r="A14879" s="34">
        <v>76877</v>
      </c>
      <c r="B14879" s="35">
        <v>1</v>
      </c>
      <c r="C14879" s="35">
        <v>1</v>
      </c>
      <c r="D14879" s="2">
        <f t="shared" si="232"/>
        <v>2</v>
      </c>
    </row>
    <row r="14880" spans="1:4" x14ac:dyDescent="0.3">
      <c r="A14880" s="34">
        <v>76878</v>
      </c>
      <c r="B14880" s="35">
        <v>1</v>
      </c>
      <c r="C14880" s="35">
        <v>0</v>
      </c>
      <c r="D14880" s="2">
        <f t="shared" si="232"/>
        <v>1</v>
      </c>
    </row>
    <row r="14881" spans="1:4" x14ac:dyDescent="0.3">
      <c r="A14881" s="34">
        <v>76880</v>
      </c>
      <c r="B14881" s="35">
        <v>1</v>
      </c>
      <c r="C14881" s="35">
        <v>0</v>
      </c>
      <c r="D14881" s="2">
        <f t="shared" si="232"/>
        <v>1</v>
      </c>
    </row>
    <row r="14882" spans="1:4" x14ac:dyDescent="0.3">
      <c r="A14882" s="34">
        <v>76881</v>
      </c>
      <c r="B14882" s="35">
        <v>1</v>
      </c>
      <c r="C14882" s="35">
        <v>0</v>
      </c>
      <c r="D14882" s="2">
        <f t="shared" si="232"/>
        <v>1</v>
      </c>
    </row>
    <row r="14883" spans="1:4" x14ac:dyDescent="0.3">
      <c r="A14883" s="34">
        <v>76882</v>
      </c>
      <c r="B14883" s="35">
        <v>1</v>
      </c>
      <c r="C14883" s="35">
        <v>1</v>
      </c>
      <c r="D14883" s="2">
        <f t="shared" si="232"/>
        <v>2</v>
      </c>
    </row>
    <row r="14884" spans="1:4" x14ac:dyDescent="0.3">
      <c r="A14884" s="34">
        <v>76883</v>
      </c>
      <c r="B14884" s="35">
        <v>1</v>
      </c>
      <c r="C14884" s="35">
        <v>0</v>
      </c>
      <c r="D14884" s="2">
        <f t="shared" si="232"/>
        <v>1</v>
      </c>
    </row>
    <row r="14885" spans="1:4" x14ac:dyDescent="0.3">
      <c r="A14885" s="34">
        <v>76885</v>
      </c>
      <c r="B14885" s="35">
        <v>1</v>
      </c>
      <c r="C14885" s="35">
        <v>0</v>
      </c>
      <c r="D14885" s="2">
        <f t="shared" si="232"/>
        <v>1</v>
      </c>
    </row>
    <row r="14886" spans="1:4" x14ac:dyDescent="0.3">
      <c r="A14886" s="34">
        <v>76886</v>
      </c>
      <c r="B14886" s="35">
        <v>1</v>
      </c>
      <c r="C14886" s="35">
        <v>0</v>
      </c>
      <c r="D14886" s="2">
        <f t="shared" si="232"/>
        <v>1</v>
      </c>
    </row>
    <row r="14887" spans="1:4" x14ac:dyDescent="0.3">
      <c r="A14887" s="34">
        <v>76888</v>
      </c>
      <c r="B14887" s="35">
        <v>1</v>
      </c>
      <c r="C14887" s="35">
        <v>0</v>
      </c>
      <c r="D14887" s="2">
        <f t="shared" si="232"/>
        <v>1</v>
      </c>
    </row>
    <row r="14888" spans="1:4" x14ac:dyDescent="0.3">
      <c r="A14888" s="34">
        <v>76889</v>
      </c>
      <c r="B14888" s="35">
        <v>1</v>
      </c>
      <c r="C14888" s="35">
        <v>0</v>
      </c>
      <c r="D14888" s="2">
        <f t="shared" si="232"/>
        <v>1</v>
      </c>
    </row>
    <row r="14889" spans="1:4" x14ac:dyDescent="0.3">
      <c r="A14889" s="34">
        <v>76890</v>
      </c>
      <c r="B14889" s="35">
        <v>1</v>
      </c>
      <c r="C14889" s="35">
        <v>0</v>
      </c>
      <c r="D14889" s="2">
        <f t="shared" si="232"/>
        <v>1</v>
      </c>
    </row>
    <row r="14890" spans="1:4" x14ac:dyDescent="0.3">
      <c r="A14890" s="34">
        <v>76891</v>
      </c>
      <c r="B14890" s="35">
        <v>1</v>
      </c>
      <c r="C14890" s="35">
        <v>0</v>
      </c>
      <c r="D14890" s="2">
        <f t="shared" si="232"/>
        <v>1</v>
      </c>
    </row>
    <row r="14891" spans="1:4" x14ac:dyDescent="0.3">
      <c r="A14891" s="34">
        <v>76893</v>
      </c>
      <c r="B14891" s="35">
        <v>1</v>
      </c>
      <c r="C14891" s="35">
        <v>0</v>
      </c>
      <c r="D14891" s="2">
        <f t="shared" si="232"/>
        <v>1</v>
      </c>
    </row>
    <row r="14892" spans="1:4" x14ac:dyDescent="0.3">
      <c r="A14892" s="34">
        <v>76894</v>
      </c>
      <c r="B14892" s="35">
        <v>1</v>
      </c>
      <c r="C14892" s="35">
        <v>0</v>
      </c>
      <c r="D14892" s="2">
        <f t="shared" si="232"/>
        <v>1</v>
      </c>
    </row>
    <row r="14893" spans="1:4" x14ac:dyDescent="0.3">
      <c r="A14893" s="34">
        <v>76895</v>
      </c>
      <c r="B14893" s="35">
        <v>1</v>
      </c>
      <c r="C14893" s="35">
        <v>0</v>
      </c>
      <c r="D14893" s="2">
        <f t="shared" si="232"/>
        <v>1</v>
      </c>
    </row>
    <row r="14894" spans="1:4" x14ac:dyDescent="0.3">
      <c r="A14894" s="34">
        <v>76896</v>
      </c>
      <c r="B14894" s="35">
        <v>1</v>
      </c>
      <c r="C14894" s="35">
        <v>0</v>
      </c>
      <c r="D14894" s="2">
        <f t="shared" si="232"/>
        <v>1</v>
      </c>
    </row>
    <row r="14895" spans="1:4" x14ac:dyDescent="0.3">
      <c r="A14895" s="34">
        <v>76898</v>
      </c>
      <c r="B14895" s="35">
        <v>1</v>
      </c>
      <c r="C14895" s="35">
        <v>1</v>
      </c>
      <c r="D14895" s="2">
        <f t="shared" si="232"/>
        <v>2</v>
      </c>
    </row>
    <row r="14896" spans="1:4" x14ac:dyDescent="0.3">
      <c r="A14896" s="34">
        <v>76900</v>
      </c>
      <c r="B14896" s="35">
        <v>1</v>
      </c>
      <c r="C14896" s="35">
        <v>0</v>
      </c>
      <c r="D14896" s="2">
        <f t="shared" si="232"/>
        <v>1</v>
      </c>
    </row>
    <row r="14897" spans="1:4" x14ac:dyDescent="0.3">
      <c r="A14897" s="34">
        <v>76901</v>
      </c>
      <c r="B14897" s="35">
        <v>1</v>
      </c>
      <c r="C14897" s="35">
        <v>0</v>
      </c>
      <c r="D14897" s="2">
        <f t="shared" si="232"/>
        <v>1</v>
      </c>
    </row>
    <row r="14898" spans="1:4" x14ac:dyDescent="0.3">
      <c r="A14898" s="34">
        <v>76902</v>
      </c>
      <c r="B14898" s="35">
        <v>1</v>
      </c>
      <c r="C14898" s="35">
        <v>0</v>
      </c>
      <c r="D14898" s="2">
        <f t="shared" si="232"/>
        <v>1</v>
      </c>
    </row>
    <row r="14899" spans="1:4" x14ac:dyDescent="0.3">
      <c r="A14899" s="34">
        <v>76903</v>
      </c>
      <c r="B14899" s="35">
        <v>1</v>
      </c>
      <c r="C14899" s="35">
        <v>1</v>
      </c>
      <c r="D14899" s="2">
        <f t="shared" si="232"/>
        <v>2</v>
      </c>
    </row>
    <row r="14900" spans="1:4" x14ac:dyDescent="0.3">
      <c r="A14900" s="34">
        <v>76904</v>
      </c>
      <c r="B14900" s="35">
        <v>1</v>
      </c>
      <c r="C14900" s="35">
        <v>0</v>
      </c>
      <c r="D14900" s="2">
        <f t="shared" si="232"/>
        <v>1</v>
      </c>
    </row>
    <row r="14901" spans="1:4" x14ac:dyDescent="0.3">
      <c r="A14901" s="34">
        <v>76905</v>
      </c>
      <c r="B14901" s="35">
        <v>1</v>
      </c>
      <c r="C14901" s="35">
        <v>0</v>
      </c>
      <c r="D14901" s="2">
        <f t="shared" si="232"/>
        <v>1</v>
      </c>
    </row>
    <row r="14902" spans="1:4" x14ac:dyDescent="0.3">
      <c r="A14902" s="34">
        <v>76906</v>
      </c>
      <c r="B14902" s="35">
        <v>1</v>
      </c>
      <c r="C14902" s="35">
        <v>0</v>
      </c>
      <c r="D14902" s="2">
        <f t="shared" si="232"/>
        <v>1</v>
      </c>
    </row>
    <row r="14903" spans="1:4" x14ac:dyDescent="0.3">
      <c r="A14903" s="34">
        <v>76907</v>
      </c>
      <c r="B14903" s="35">
        <v>1</v>
      </c>
      <c r="C14903" s="35">
        <v>0</v>
      </c>
      <c r="D14903" s="2">
        <f t="shared" si="232"/>
        <v>1</v>
      </c>
    </row>
    <row r="14904" spans="1:4" x14ac:dyDescent="0.3">
      <c r="A14904" s="34">
        <v>76908</v>
      </c>
      <c r="B14904" s="35">
        <v>1</v>
      </c>
      <c r="C14904" s="35">
        <v>0</v>
      </c>
      <c r="D14904" s="2">
        <f t="shared" si="232"/>
        <v>1</v>
      </c>
    </row>
    <row r="14905" spans="1:4" x14ac:dyDescent="0.3">
      <c r="A14905" s="34">
        <v>76909</v>
      </c>
      <c r="B14905" s="35">
        <v>1</v>
      </c>
      <c r="C14905" s="35">
        <v>0</v>
      </c>
      <c r="D14905" s="2">
        <f t="shared" si="232"/>
        <v>1</v>
      </c>
    </row>
    <row r="14906" spans="1:4" x14ac:dyDescent="0.3">
      <c r="A14906" s="34">
        <v>76910</v>
      </c>
      <c r="B14906" s="35">
        <v>1</v>
      </c>
      <c r="C14906" s="35">
        <v>0</v>
      </c>
      <c r="D14906" s="2">
        <f t="shared" si="232"/>
        <v>1</v>
      </c>
    </row>
    <row r="14907" spans="1:4" x14ac:dyDescent="0.3">
      <c r="A14907" s="34">
        <v>76911</v>
      </c>
      <c r="B14907" s="35">
        <v>1</v>
      </c>
      <c r="C14907" s="35">
        <v>0</v>
      </c>
      <c r="D14907" s="2">
        <f t="shared" si="232"/>
        <v>1</v>
      </c>
    </row>
    <row r="14908" spans="1:4" x14ac:dyDescent="0.3">
      <c r="A14908" s="34">
        <v>76912</v>
      </c>
      <c r="B14908" s="35">
        <v>1</v>
      </c>
      <c r="C14908" s="35">
        <v>0</v>
      </c>
      <c r="D14908" s="2">
        <f t="shared" si="232"/>
        <v>1</v>
      </c>
    </row>
    <row r="14909" spans="1:4" x14ac:dyDescent="0.3">
      <c r="A14909" s="34">
        <v>76913</v>
      </c>
      <c r="B14909" s="35">
        <v>1</v>
      </c>
      <c r="C14909" s="35">
        <v>0</v>
      </c>
      <c r="D14909" s="2">
        <f t="shared" si="232"/>
        <v>1</v>
      </c>
    </row>
    <row r="14910" spans="1:4" x14ac:dyDescent="0.3">
      <c r="A14910" s="34">
        <v>76914</v>
      </c>
      <c r="B14910" s="35">
        <v>1</v>
      </c>
      <c r="C14910" s="35">
        <v>1</v>
      </c>
      <c r="D14910" s="2">
        <f t="shared" si="232"/>
        <v>2</v>
      </c>
    </row>
    <row r="14911" spans="1:4" x14ac:dyDescent="0.3">
      <c r="A14911" s="34">
        <v>76915</v>
      </c>
      <c r="B14911" s="35">
        <v>1</v>
      </c>
      <c r="C14911" s="35">
        <v>0</v>
      </c>
      <c r="D14911" s="2">
        <f t="shared" si="232"/>
        <v>1</v>
      </c>
    </row>
    <row r="14912" spans="1:4" x14ac:dyDescent="0.3">
      <c r="A14912" s="34">
        <v>76916</v>
      </c>
      <c r="B14912" s="35">
        <v>1</v>
      </c>
      <c r="C14912" s="35">
        <v>1</v>
      </c>
      <c r="D14912" s="2">
        <f t="shared" si="232"/>
        <v>2</v>
      </c>
    </row>
    <row r="14913" spans="1:4" x14ac:dyDescent="0.3">
      <c r="A14913" s="34">
        <v>76917</v>
      </c>
      <c r="B14913" s="35">
        <v>1</v>
      </c>
      <c r="C14913" s="35">
        <v>0</v>
      </c>
      <c r="D14913" s="2">
        <f t="shared" si="232"/>
        <v>1</v>
      </c>
    </row>
    <row r="14914" spans="1:4" x14ac:dyDescent="0.3">
      <c r="A14914" s="34">
        <v>76918</v>
      </c>
      <c r="B14914" s="35">
        <v>1</v>
      </c>
      <c r="C14914" s="35">
        <v>0</v>
      </c>
      <c r="D14914" s="2">
        <f t="shared" si="232"/>
        <v>1</v>
      </c>
    </row>
    <row r="14915" spans="1:4" x14ac:dyDescent="0.3">
      <c r="A14915" s="34">
        <v>76919</v>
      </c>
      <c r="B14915" s="35">
        <v>1</v>
      </c>
      <c r="C14915" s="35">
        <v>0</v>
      </c>
      <c r="D14915" s="2">
        <f t="shared" ref="D14915:D14978" si="233">B14915+C14915</f>
        <v>1</v>
      </c>
    </row>
    <row r="14916" spans="1:4" x14ac:dyDescent="0.3">
      <c r="A14916" s="34">
        <v>76921</v>
      </c>
      <c r="B14916" s="35">
        <v>1</v>
      </c>
      <c r="C14916" s="35">
        <v>0</v>
      </c>
      <c r="D14916" s="2">
        <f t="shared" si="233"/>
        <v>1</v>
      </c>
    </row>
    <row r="14917" spans="1:4" x14ac:dyDescent="0.3">
      <c r="A14917" s="34">
        <v>76923</v>
      </c>
      <c r="B14917" s="35">
        <v>1</v>
      </c>
      <c r="C14917" s="35">
        <v>0</v>
      </c>
      <c r="D14917" s="2">
        <f t="shared" si="233"/>
        <v>1</v>
      </c>
    </row>
    <row r="14918" spans="1:4" x14ac:dyDescent="0.3">
      <c r="A14918" s="34">
        <v>76924</v>
      </c>
      <c r="B14918" s="35">
        <v>1</v>
      </c>
      <c r="C14918" s="35">
        <v>1</v>
      </c>
      <c r="D14918" s="2">
        <f t="shared" si="233"/>
        <v>2</v>
      </c>
    </row>
    <row r="14919" spans="1:4" x14ac:dyDescent="0.3">
      <c r="A14919" s="34">
        <v>76925</v>
      </c>
      <c r="B14919" s="35">
        <v>1</v>
      </c>
      <c r="C14919" s="35">
        <v>0</v>
      </c>
      <c r="D14919" s="2">
        <f t="shared" si="233"/>
        <v>1</v>
      </c>
    </row>
    <row r="14920" spans="1:4" x14ac:dyDescent="0.3">
      <c r="A14920" s="34">
        <v>76926</v>
      </c>
      <c r="B14920" s="35">
        <v>1</v>
      </c>
      <c r="C14920" s="35">
        <v>1</v>
      </c>
      <c r="D14920" s="2">
        <f t="shared" si="233"/>
        <v>2</v>
      </c>
    </row>
    <row r="14921" spans="1:4" x14ac:dyDescent="0.3">
      <c r="A14921" s="34">
        <v>76927</v>
      </c>
      <c r="B14921" s="35">
        <v>1</v>
      </c>
      <c r="C14921" s="35">
        <v>1</v>
      </c>
      <c r="D14921" s="2">
        <f t="shared" si="233"/>
        <v>2</v>
      </c>
    </row>
    <row r="14922" spans="1:4" x14ac:dyDescent="0.3">
      <c r="A14922" s="34">
        <v>76928</v>
      </c>
      <c r="B14922" s="35">
        <v>1</v>
      </c>
      <c r="C14922" s="35">
        <v>0</v>
      </c>
      <c r="D14922" s="2">
        <f t="shared" si="233"/>
        <v>1</v>
      </c>
    </row>
    <row r="14923" spans="1:4" x14ac:dyDescent="0.3">
      <c r="A14923" s="34">
        <v>76929</v>
      </c>
      <c r="B14923" s="35">
        <v>1</v>
      </c>
      <c r="C14923" s="35">
        <v>0</v>
      </c>
      <c r="D14923" s="2">
        <f t="shared" si="233"/>
        <v>1</v>
      </c>
    </row>
    <row r="14924" spans="1:4" x14ac:dyDescent="0.3">
      <c r="A14924" s="34">
        <v>76931</v>
      </c>
      <c r="B14924" s="35">
        <v>1</v>
      </c>
      <c r="C14924" s="35">
        <v>0</v>
      </c>
      <c r="D14924" s="2">
        <f t="shared" si="233"/>
        <v>1</v>
      </c>
    </row>
    <row r="14925" spans="1:4" x14ac:dyDescent="0.3">
      <c r="A14925" s="34">
        <v>76932</v>
      </c>
      <c r="B14925" s="35">
        <v>1</v>
      </c>
      <c r="C14925" s="35">
        <v>0</v>
      </c>
      <c r="D14925" s="2">
        <f t="shared" si="233"/>
        <v>1</v>
      </c>
    </row>
    <row r="14926" spans="1:4" x14ac:dyDescent="0.3">
      <c r="A14926" s="34">
        <v>76933</v>
      </c>
      <c r="B14926" s="35">
        <v>1</v>
      </c>
      <c r="C14926" s="35">
        <v>1</v>
      </c>
      <c r="D14926" s="2">
        <f t="shared" si="233"/>
        <v>2</v>
      </c>
    </row>
    <row r="14927" spans="1:4" x14ac:dyDescent="0.3">
      <c r="A14927" s="34">
        <v>76934</v>
      </c>
      <c r="B14927" s="35">
        <v>1</v>
      </c>
      <c r="C14927" s="35">
        <v>0</v>
      </c>
      <c r="D14927" s="2">
        <f t="shared" si="233"/>
        <v>1</v>
      </c>
    </row>
    <row r="14928" spans="1:4" x14ac:dyDescent="0.3">
      <c r="A14928" s="34">
        <v>76935</v>
      </c>
      <c r="B14928" s="35">
        <v>1</v>
      </c>
      <c r="C14928" s="35">
        <v>1</v>
      </c>
      <c r="D14928" s="2">
        <f t="shared" si="233"/>
        <v>2</v>
      </c>
    </row>
    <row r="14929" spans="1:4" x14ac:dyDescent="0.3">
      <c r="A14929" s="34">
        <v>76936</v>
      </c>
      <c r="B14929" s="35">
        <v>1</v>
      </c>
      <c r="C14929" s="35">
        <v>1</v>
      </c>
      <c r="D14929" s="2">
        <f t="shared" si="233"/>
        <v>2</v>
      </c>
    </row>
    <row r="14930" spans="1:4" x14ac:dyDescent="0.3">
      <c r="A14930" s="34">
        <v>76938</v>
      </c>
      <c r="B14930" s="35">
        <v>1</v>
      </c>
      <c r="C14930" s="35">
        <v>0</v>
      </c>
      <c r="D14930" s="2">
        <f t="shared" si="233"/>
        <v>1</v>
      </c>
    </row>
    <row r="14931" spans="1:4" x14ac:dyDescent="0.3">
      <c r="A14931" s="34">
        <v>76939</v>
      </c>
      <c r="B14931" s="35">
        <v>1</v>
      </c>
      <c r="C14931" s="35">
        <v>0</v>
      </c>
      <c r="D14931" s="2">
        <f t="shared" si="233"/>
        <v>1</v>
      </c>
    </row>
    <row r="14932" spans="1:4" x14ac:dyDescent="0.3">
      <c r="A14932" s="34">
        <v>76940</v>
      </c>
      <c r="B14932" s="35">
        <v>1</v>
      </c>
      <c r="C14932" s="35">
        <v>1</v>
      </c>
      <c r="D14932" s="2">
        <f t="shared" si="233"/>
        <v>2</v>
      </c>
    </row>
    <row r="14933" spans="1:4" x14ac:dyDescent="0.3">
      <c r="A14933" s="34">
        <v>76942</v>
      </c>
      <c r="B14933" s="35">
        <v>1</v>
      </c>
      <c r="C14933" s="35">
        <v>1</v>
      </c>
      <c r="D14933" s="2">
        <f t="shared" si="233"/>
        <v>2</v>
      </c>
    </row>
    <row r="14934" spans="1:4" x14ac:dyDescent="0.3">
      <c r="A14934" s="34">
        <v>76943</v>
      </c>
      <c r="B14934" s="35">
        <v>1</v>
      </c>
      <c r="C14934" s="35">
        <v>0</v>
      </c>
      <c r="D14934" s="2">
        <f t="shared" si="233"/>
        <v>1</v>
      </c>
    </row>
    <row r="14935" spans="1:4" x14ac:dyDescent="0.3">
      <c r="A14935" s="34">
        <v>76944</v>
      </c>
      <c r="B14935" s="35">
        <v>1</v>
      </c>
      <c r="C14935" s="35">
        <v>0</v>
      </c>
      <c r="D14935" s="2">
        <f t="shared" si="233"/>
        <v>1</v>
      </c>
    </row>
    <row r="14936" spans="1:4" x14ac:dyDescent="0.3">
      <c r="A14936" s="34">
        <v>76945</v>
      </c>
      <c r="B14936" s="35">
        <v>1</v>
      </c>
      <c r="C14936" s="35">
        <v>0</v>
      </c>
      <c r="D14936" s="2">
        <f t="shared" si="233"/>
        <v>1</v>
      </c>
    </row>
    <row r="14937" spans="1:4" x14ac:dyDescent="0.3">
      <c r="A14937" s="34">
        <v>76946</v>
      </c>
      <c r="B14937" s="35">
        <v>1</v>
      </c>
      <c r="C14937" s="35">
        <v>1</v>
      </c>
      <c r="D14937" s="2">
        <f t="shared" si="233"/>
        <v>2</v>
      </c>
    </row>
    <row r="14938" spans="1:4" x14ac:dyDescent="0.3">
      <c r="A14938" s="34">
        <v>76947</v>
      </c>
      <c r="B14938" s="35">
        <v>1</v>
      </c>
      <c r="C14938" s="35">
        <v>0</v>
      </c>
      <c r="D14938" s="2">
        <f t="shared" si="233"/>
        <v>1</v>
      </c>
    </row>
    <row r="14939" spans="1:4" x14ac:dyDescent="0.3">
      <c r="A14939" s="34">
        <v>76949</v>
      </c>
      <c r="B14939" s="35">
        <v>1</v>
      </c>
      <c r="C14939" s="35">
        <v>0</v>
      </c>
      <c r="D14939" s="2">
        <f t="shared" si="233"/>
        <v>1</v>
      </c>
    </row>
    <row r="14940" spans="1:4" x14ac:dyDescent="0.3">
      <c r="A14940" s="34">
        <v>76950</v>
      </c>
      <c r="B14940" s="35">
        <v>1</v>
      </c>
      <c r="C14940" s="35">
        <v>0</v>
      </c>
      <c r="D14940" s="2">
        <f t="shared" si="233"/>
        <v>1</v>
      </c>
    </row>
    <row r="14941" spans="1:4" x14ac:dyDescent="0.3">
      <c r="A14941" s="34">
        <v>76951</v>
      </c>
      <c r="B14941" s="35">
        <v>1</v>
      </c>
      <c r="C14941" s="35">
        <v>1</v>
      </c>
      <c r="D14941" s="2">
        <f t="shared" si="233"/>
        <v>2</v>
      </c>
    </row>
    <row r="14942" spans="1:4" x14ac:dyDescent="0.3">
      <c r="A14942" s="34">
        <v>76952</v>
      </c>
      <c r="B14942" s="35">
        <v>1</v>
      </c>
      <c r="C14942" s="35">
        <v>0</v>
      </c>
      <c r="D14942" s="2">
        <f t="shared" si="233"/>
        <v>1</v>
      </c>
    </row>
    <row r="14943" spans="1:4" x14ac:dyDescent="0.3">
      <c r="A14943" s="34">
        <v>76954</v>
      </c>
      <c r="B14943" s="35">
        <v>1</v>
      </c>
      <c r="C14943" s="35">
        <v>1</v>
      </c>
      <c r="D14943" s="2">
        <f t="shared" si="233"/>
        <v>2</v>
      </c>
    </row>
    <row r="14944" spans="1:4" x14ac:dyDescent="0.3">
      <c r="A14944" s="34">
        <v>76957</v>
      </c>
      <c r="B14944" s="35">
        <v>1</v>
      </c>
      <c r="C14944" s="35">
        <v>0</v>
      </c>
      <c r="D14944" s="2">
        <f t="shared" si="233"/>
        <v>1</v>
      </c>
    </row>
    <row r="14945" spans="1:4" x14ac:dyDescent="0.3">
      <c r="A14945" s="34">
        <v>76958</v>
      </c>
      <c r="B14945" s="35">
        <v>1</v>
      </c>
      <c r="C14945" s="35">
        <v>0</v>
      </c>
      <c r="D14945" s="2">
        <f t="shared" si="233"/>
        <v>1</v>
      </c>
    </row>
    <row r="14946" spans="1:4" x14ac:dyDescent="0.3">
      <c r="A14946" s="34">
        <v>76960</v>
      </c>
      <c r="B14946" s="35">
        <v>1</v>
      </c>
      <c r="C14946" s="35">
        <v>0</v>
      </c>
      <c r="D14946" s="2">
        <f t="shared" si="233"/>
        <v>1</v>
      </c>
    </row>
    <row r="14947" spans="1:4" x14ac:dyDescent="0.3">
      <c r="A14947" s="34">
        <v>76961</v>
      </c>
      <c r="B14947" s="35">
        <v>1</v>
      </c>
      <c r="C14947" s="35">
        <v>0</v>
      </c>
      <c r="D14947" s="2">
        <f t="shared" si="233"/>
        <v>1</v>
      </c>
    </row>
    <row r="14948" spans="1:4" x14ac:dyDescent="0.3">
      <c r="A14948" s="34">
        <v>76963</v>
      </c>
      <c r="B14948" s="35">
        <v>2</v>
      </c>
      <c r="C14948" s="35">
        <v>0</v>
      </c>
      <c r="D14948" s="2">
        <f t="shared" si="233"/>
        <v>2</v>
      </c>
    </row>
    <row r="14949" spans="1:4" x14ac:dyDescent="0.3">
      <c r="A14949" s="34">
        <v>76964</v>
      </c>
      <c r="B14949" s="35">
        <v>1</v>
      </c>
      <c r="C14949" s="35">
        <v>0</v>
      </c>
      <c r="D14949" s="2">
        <f t="shared" si="233"/>
        <v>1</v>
      </c>
    </row>
    <row r="14950" spans="1:4" x14ac:dyDescent="0.3">
      <c r="A14950" s="34">
        <v>76966</v>
      </c>
      <c r="B14950" s="35">
        <v>1</v>
      </c>
      <c r="C14950" s="35">
        <v>1</v>
      </c>
      <c r="D14950" s="2">
        <f t="shared" si="233"/>
        <v>2</v>
      </c>
    </row>
    <row r="14951" spans="1:4" x14ac:dyDescent="0.3">
      <c r="A14951" s="34">
        <v>76968</v>
      </c>
      <c r="B14951" s="35">
        <v>1</v>
      </c>
      <c r="C14951" s="35">
        <v>0</v>
      </c>
      <c r="D14951" s="2">
        <f t="shared" si="233"/>
        <v>1</v>
      </c>
    </row>
    <row r="14952" spans="1:4" x14ac:dyDescent="0.3">
      <c r="A14952" s="34">
        <v>76969</v>
      </c>
      <c r="B14952" s="35">
        <v>1</v>
      </c>
      <c r="C14952" s="35">
        <v>0</v>
      </c>
      <c r="D14952" s="2">
        <f t="shared" si="233"/>
        <v>1</v>
      </c>
    </row>
    <row r="14953" spans="1:4" x14ac:dyDescent="0.3">
      <c r="A14953" s="34">
        <v>76970</v>
      </c>
      <c r="B14953" s="35">
        <v>1</v>
      </c>
      <c r="C14953" s="35">
        <v>0</v>
      </c>
      <c r="D14953" s="2">
        <f t="shared" si="233"/>
        <v>1</v>
      </c>
    </row>
    <row r="14954" spans="1:4" x14ac:dyDescent="0.3">
      <c r="A14954" s="34">
        <v>76971</v>
      </c>
      <c r="B14954" s="35">
        <v>1</v>
      </c>
      <c r="C14954" s="35">
        <v>1</v>
      </c>
      <c r="D14954" s="2">
        <f t="shared" si="233"/>
        <v>2</v>
      </c>
    </row>
    <row r="14955" spans="1:4" x14ac:dyDescent="0.3">
      <c r="A14955" s="34">
        <v>76972</v>
      </c>
      <c r="B14955" s="35">
        <v>1</v>
      </c>
      <c r="C14955" s="35">
        <v>0</v>
      </c>
      <c r="D14955" s="2">
        <f t="shared" si="233"/>
        <v>1</v>
      </c>
    </row>
    <row r="14956" spans="1:4" x14ac:dyDescent="0.3">
      <c r="A14956" s="34">
        <v>76973</v>
      </c>
      <c r="B14956" s="35">
        <v>1</v>
      </c>
      <c r="C14956" s="35">
        <v>0</v>
      </c>
      <c r="D14956" s="2">
        <f t="shared" si="233"/>
        <v>1</v>
      </c>
    </row>
    <row r="14957" spans="1:4" x14ac:dyDescent="0.3">
      <c r="A14957" s="34">
        <v>76974</v>
      </c>
      <c r="B14957" s="35">
        <v>1</v>
      </c>
      <c r="C14957" s="35">
        <v>0</v>
      </c>
      <c r="D14957" s="2">
        <f t="shared" si="233"/>
        <v>1</v>
      </c>
    </row>
    <row r="14958" spans="1:4" x14ac:dyDescent="0.3">
      <c r="A14958" s="34">
        <v>76975</v>
      </c>
      <c r="B14958" s="35">
        <v>1</v>
      </c>
      <c r="C14958" s="35">
        <v>0</v>
      </c>
      <c r="D14958" s="2">
        <f t="shared" si="233"/>
        <v>1</v>
      </c>
    </row>
    <row r="14959" spans="1:4" x14ac:dyDescent="0.3">
      <c r="A14959" s="34">
        <v>76978</v>
      </c>
      <c r="B14959" s="35">
        <v>1</v>
      </c>
      <c r="C14959" s="35">
        <v>0</v>
      </c>
      <c r="D14959" s="2">
        <f t="shared" si="233"/>
        <v>1</v>
      </c>
    </row>
    <row r="14960" spans="1:4" x14ac:dyDescent="0.3">
      <c r="A14960" s="34">
        <v>76979</v>
      </c>
      <c r="B14960" s="35">
        <v>1</v>
      </c>
      <c r="C14960" s="35">
        <v>0</v>
      </c>
      <c r="D14960" s="2">
        <f t="shared" si="233"/>
        <v>1</v>
      </c>
    </row>
    <row r="14961" spans="1:4" x14ac:dyDescent="0.3">
      <c r="A14961" s="34">
        <v>76980</v>
      </c>
      <c r="B14961" s="35">
        <v>1</v>
      </c>
      <c r="C14961" s="35">
        <v>0</v>
      </c>
      <c r="D14961" s="2">
        <f t="shared" si="233"/>
        <v>1</v>
      </c>
    </row>
    <row r="14962" spans="1:4" x14ac:dyDescent="0.3">
      <c r="A14962" s="34">
        <v>76981</v>
      </c>
      <c r="B14962" s="35">
        <v>1</v>
      </c>
      <c r="C14962" s="35">
        <v>0</v>
      </c>
      <c r="D14962" s="2">
        <f t="shared" si="233"/>
        <v>1</v>
      </c>
    </row>
    <row r="14963" spans="1:4" x14ac:dyDescent="0.3">
      <c r="A14963" s="34">
        <v>76982</v>
      </c>
      <c r="B14963" s="35">
        <v>1</v>
      </c>
      <c r="C14963" s="35">
        <v>0</v>
      </c>
      <c r="D14963" s="2">
        <f t="shared" si="233"/>
        <v>1</v>
      </c>
    </row>
    <row r="14964" spans="1:4" x14ac:dyDescent="0.3">
      <c r="A14964" s="34">
        <v>76983</v>
      </c>
      <c r="B14964" s="35">
        <v>1</v>
      </c>
      <c r="C14964" s="35">
        <v>0</v>
      </c>
      <c r="D14964" s="2">
        <f t="shared" si="233"/>
        <v>1</v>
      </c>
    </row>
    <row r="14965" spans="1:4" x14ac:dyDescent="0.3">
      <c r="A14965" s="34">
        <v>76985</v>
      </c>
      <c r="B14965" s="35">
        <v>1</v>
      </c>
      <c r="C14965" s="35">
        <v>0</v>
      </c>
      <c r="D14965" s="2">
        <f t="shared" si="233"/>
        <v>1</v>
      </c>
    </row>
    <row r="14966" spans="1:4" x14ac:dyDescent="0.3">
      <c r="A14966" s="34">
        <v>76986</v>
      </c>
      <c r="B14966" s="35">
        <v>2</v>
      </c>
      <c r="C14966" s="35">
        <v>1</v>
      </c>
      <c r="D14966" s="2">
        <f t="shared" si="233"/>
        <v>3</v>
      </c>
    </row>
    <row r="14967" spans="1:4" x14ac:dyDescent="0.3">
      <c r="A14967" s="34">
        <v>76987</v>
      </c>
      <c r="B14967" s="35">
        <v>1</v>
      </c>
      <c r="C14967" s="35">
        <v>0</v>
      </c>
      <c r="D14967" s="2">
        <f t="shared" si="233"/>
        <v>1</v>
      </c>
    </row>
    <row r="14968" spans="1:4" x14ac:dyDescent="0.3">
      <c r="A14968" s="34">
        <v>76988</v>
      </c>
      <c r="B14968" s="35">
        <v>1</v>
      </c>
      <c r="C14968" s="35">
        <v>0</v>
      </c>
      <c r="D14968" s="2">
        <f t="shared" si="233"/>
        <v>1</v>
      </c>
    </row>
    <row r="14969" spans="1:4" x14ac:dyDescent="0.3">
      <c r="A14969" s="34">
        <v>76990</v>
      </c>
      <c r="B14969" s="35">
        <v>1</v>
      </c>
      <c r="C14969" s="35">
        <v>0</v>
      </c>
      <c r="D14969" s="2">
        <f t="shared" si="233"/>
        <v>1</v>
      </c>
    </row>
    <row r="14970" spans="1:4" x14ac:dyDescent="0.3">
      <c r="A14970" s="34">
        <v>76993</v>
      </c>
      <c r="B14970" s="35">
        <v>1</v>
      </c>
      <c r="C14970" s="35">
        <v>0</v>
      </c>
      <c r="D14970" s="2">
        <f t="shared" si="233"/>
        <v>1</v>
      </c>
    </row>
    <row r="14971" spans="1:4" x14ac:dyDescent="0.3">
      <c r="A14971" s="34">
        <v>76995</v>
      </c>
      <c r="B14971" s="35">
        <v>1</v>
      </c>
      <c r="C14971" s="35">
        <v>0</v>
      </c>
      <c r="D14971" s="2">
        <f t="shared" si="233"/>
        <v>1</v>
      </c>
    </row>
    <row r="14972" spans="1:4" x14ac:dyDescent="0.3">
      <c r="A14972" s="34">
        <v>76997</v>
      </c>
      <c r="B14972" s="35">
        <v>1</v>
      </c>
      <c r="C14972" s="35">
        <v>0</v>
      </c>
      <c r="D14972" s="2">
        <f t="shared" si="233"/>
        <v>1</v>
      </c>
    </row>
    <row r="14973" spans="1:4" x14ac:dyDescent="0.3">
      <c r="A14973" s="34">
        <v>77001</v>
      </c>
      <c r="B14973" s="35">
        <v>1</v>
      </c>
      <c r="C14973" s="35">
        <v>0</v>
      </c>
      <c r="D14973" s="2">
        <f t="shared" si="233"/>
        <v>1</v>
      </c>
    </row>
    <row r="14974" spans="1:4" x14ac:dyDescent="0.3">
      <c r="A14974" s="34">
        <v>77003</v>
      </c>
      <c r="B14974" s="35">
        <v>1</v>
      </c>
      <c r="C14974" s="35">
        <v>0</v>
      </c>
      <c r="D14974" s="2">
        <f t="shared" si="233"/>
        <v>1</v>
      </c>
    </row>
    <row r="14975" spans="1:4" x14ac:dyDescent="0.3">
      <c r="A14975" s="34">
        <v>77004</v>
      </c>
      <c r="B14975" s="35">
        <v>1</v>
      </c>
      <c r="C14975" s="35">
        <v>0</v>
      </c>
      <c r="D14975" s="2">
        <f t="shared" si="233"/>
        <v>1</v>
      </c>
    </row>
    <row r="14976" spans="1:4" x14ac:dyDescent="0.3">
      <c r="A14976" s="34">
        <v>77005</v>
      </c>
      <c r="B14976" s="35">
        <v>1</v>
      </c>
      <c r="C14976" s="35">
        <v>0</v>
      </c>
      <c r="D14976" s="2">
        <f t="shared" si="233"/>
        <v>1</v>
      </c>
    </row>
    <row r="14977" spans="1:4" x14ac:dyDescent="0.3">
      <c r="A14977" s="34">
        <v>77006</v>
      </c>
      <c r="B14977" s="35">
        <v>1</v>
      </c>
      <c r="C14977" s="35">
        <v>0</v>
      </c>
      <c r="D14977" s="2">
        <f t="shared" si="233"/>
        <v>1</v>
      </c>
    </row>
    <row r="14978" spans="1:4" x14ac:dyDescent="0.3">
      <c r="A14978" s="34">
        <v>77007</v>
      </c>
      <c r="B14978" s="35">
        <v>1</v>
      </c>
      <c r="C14978" s="35">
        <v>0</v>
      </c>
      <c r="D14978" s="2">
        <f t="shared" si="233"/>
        <v>1</v>
      </c>
    </row>
    <row r="14979" spans="1:4" x14ac:dyDescent="0.3">
      <c r="A14979" s="34">
        <v>77009</v>
      </c>
      <c r="B14979" s="35">
        <v>1</v>
      </c>
      <c r="C14979" s="35">
        <v>0</v>
      </c>
      <c r="D14979" s="2">
        <f t="shared" ref="D14979:D15042" si="234">B14979+C14979</f>
        <v>1</v>
      </c>
    </row>
    <row r="14980" spans="1:4" x14ac:dyDescent="0.3">
      <c r="A14980" s="34">
        <v>77011</v>
      </c>
      <c r="B14980" s="35">
        <v>1</v>
      </c>
      <c r="C14980" s="35">
        <v>0</v>
      </c>
      <c r="D14980" s="2">
        <f t="shared" si="234"/>
        <v>1</v>
      </c>
    </row>
    <row r="14981" spans="1:4" x14ac:dyDescent="0.3">
      <c r="A14981" s="34">
        <v>77012</v>
      </c>
      <c r="B14981" s="35">
        <v>1</v>
      </c>
      <c r="C14981" s="35">
        <v>0</v>
      </c>
      <c r="D14981" s="2">
        <f t="shared" si="234"/>
        <v>1</v>
      </c>
    </row>
    <row r="14982" spans="1:4" x14ac:dyDescent="0.3">
      <c r="A14982" s="34">
        <v>77015</v>
      </c>
      <c r="B14982" s="35">
        <v>1</v>
      </c>
      <c r="C14982" s="35">
        <v>0</v>
      </c>
      <c r="D14982" s="2">
        <f t="shared" si="234"/>
        <v>1</v>
      </c>
    </row>
    <row r="14983" spans="1:4" x14ac:dyDescent="0.3">
      <c r="A14983" s="34">
        <v>77016</v>
      </c>
      <c r="B14983" s="35">
        <v>1</v>
      </c>
      <c r="C14983" s="35">
        <v>0</v>
      </c>
      <c r="D14983" s="2">
        <f t="shared" si="234"/>
        <v>1</v>
      </c>
    </row>
    <row r="14984" spans="1:4" x14ac:dyDescent="0.3">
      <c r="A14984" s="34">
        <v>77017</v>
      </c>
      <c r="B14984" s="35">
        <v>1</v>
      </c>
      <c r="C14984" s="35">
        <v>0</v>
      </c>
      <c r="D14984" s="2">
        <f t="shared" si="234"/>
        <v>1</v>
      </c>
    </row>
    <row r="14985" spans="1:4" x14ac:dyDescent="0.3">
      <c r="A14985" s="34">
        <v>77018</v>
      </c>
      <c r="B14985" s="35">
        <v>1</v>
      </c>
      <c r="C14985" s="35">
        <v>0</v>
      </c>
      <c r="D14985" s="2">
        <f t="shared" si="234"/>
        <v>1</v>
      </c>
    </row>
    <row r="14986" spans="1:4" x14ac:dyDescent="0.3">
      <c r="A14986" s="34">
        <v>77019</v>
      </c>
      <c r="B14986" s="35">
        <v>1</v>
      </c>
      <c r="C14986" s="35">
        <v>0</v>
      </c>
      <c r="D14986" s="2">
        <f t="shared" si="234"/>
        <v>1</v>
      </c>
    </row>
    <row r="14987" spans="1:4" x14ac:dyDescent="0.3">
      <c r="A14987" s="34">
        <v>77020</v>
      </c>
      <c r="B14987" s="35">
        <v>1</v>
      </c>
      <c r="C14987" s="35">
        <v>0</v>
      </c>
      <c r="D14987" s="2">
        <f t="shared" si="234"/>
        <v>1</v>
      </c>
    </row>
    <row r="14988" spans="1:4" x14ac:dyDescent="0.3">
      <c r="A14988" s="34">
        <v>77021</v>
      </c>
      <c r="B14988" s="35">
        <v>1</v>
      </c>
      <c r="C14988" s="35">
        <v>0</v>
      </c>
      <c r="D14988" s="2">
        <f t="shared" si="234"/>
        <v>1</v>
      </c>
    </row>
    <row r="14989" spans="1:4" x14ac:dyDescent="0.3">
      <c r="A14989" s="34">
        <v>77022</v>
      </c>
      <c r="B14989" s="35">
        <v>1</v>
      </c>
      <c r="C14989" s="35">
        <v>0</v>
      </c>
      <c r="D14989" s="2">
        <f t="shared" si="234"/>
        <v>1</v>
      </c>
    </row>
    <row r="14990" spans="1:4" x14ac:dyDescent="0.3">
      <c r="A14990" s="34">
        <v>77023</v>
      </c>
      <c r="B14990" s="35">
        <v>1</v>
      </c>
      <c r="C14990" s="35">
        <v>0</v>
      </c>
      <c r="D14990" s="2">
        <f t="shared" si="234"/>
        <v>1</v>
      </c>
    </row>
    <row r="14991" spans="1:4" x14ac:dyDescent="0.3">
      <c r="A14991" s="34">
        <v>77024</v>
      </c>
      <c r="B14991" s="35">
        <v>1</v>
      </c>
      <c r="C14991" s="35">
        <v>0</v>
      </c>
      <c r="D14991" s="2">
        <f t="shared" si="234"/>
        <v>1</v>
      </c>
    </row>
    <row r="14992" spans="1:4" x14ac:dyDescent="0.3">
      <c r="A14992" s="34">
        <v>77025</v>
      </c>
      <c r="B14992" s="35">
        <v>1</v>
      </c>
      <c r="C14992" s="35">
        <v>0</v>
      </c>
      <c r="D14992" s="2">
        <f t="shared" si="234"/>
        <v>1</v>
      </c>
    </row>
    <row r="14993" spans="1:4" x14ac:dyDescent="0.3">
      <c r="A14993" s="34">
        <v>77026</v>
      </c>
      <c r="B14993" s="35">
        <v>1</v>
      </c>
      <c r="C14993" s="35">
        <v>0</v>
      </c>
      <c r="D14993" s="2">
        <f t="shared" si="234"/>
        <v>1</v>
      </c>
    </row>
    <row r="14994" spans="1:4" x14ac:dyDescent="0.3">
      <c r="A14994" s="34">
        <v>77028</v>
      </c>
      <c r="B14994" s="35">
        <v>1</v>
      </c>
      <c r="C14994" s="35">
        <v>0</v>
      </c>
      <c r="D14994" s="2">
        <f t="shared" si="234"/>
        <v>1</v>
      </c>
    </row>
    <row r="14995" spans="1:4" x14ac:dyDescent="0.3">
      <c r="A14995" s="34">
        <v>77029</v>
      </c>
      <c r="B14995" s="35">
        <v>1</v>
      </c>
      <c r="C14995" s="35">
        <v>0</v>
      </c>
      <c r="D14995" s="2">
        <f t="shared" si="234"/>
        <v>1</v>
      </c>
    </row>
    <row r="14996" spans="1:4" x14ac:dyDescent="0.3">
      <c r="A14996" s="34">
        <v>77030</v>
      </c>
      <c r="B14996" s="35">
        <v>1</v>
      </c>
      <c r="C14996" s="35">
        <v>0</v>
      </c>
      <c r="D14996" s="2">
        <f t="shared" si="234"/>
        <v>1</v>
      </c>
    </row>
    <row r="14997" spans="1:4" x14ac:dyDescent="0.3">
      <c r="A14997" s="34">
        <v>77031</v>
      </c>
      <c r="B14997" s="35">
        <v>1</v>
      </c>
      <c r="C14997" s="35">
        <v>1</v>
      </c>
      <c r="D14997" s="2">
        <f t="shared" si="234"/>
        <v>2</v>
      </c>
    </row>
    <row r="14998" spans="1:4" x14ac:dyDescent="0.3">
      <c r="A14998" s="34">
        <v>77032</v>
      </c>
      <c r="B14998" s="35">
        <v>1</v>
      </c>
      <c r="C14998" s="35">
        <v>0</v>
      </c>
      <c r="D14998" s="2">
        <f t="shared" si="234"/>
        <v>1</v>
      </c>
    </row>
    <row r="14999" spans="1:4" x14ac:dyDescent="0.3">
      <c r="A14999" s="34">
        <v>77034</v>
      </c>
      <c r="B14999" s="35">
        <v>1</v>
      </c>
      <c r="C14999" s="35">
        <v>0</v>
      </c>
      <c r="D14999" s="2">
        <f t="shared" si="234"/>
        <v>1</v>
      </c>
    </row>
    <row r="15000" spans="1:4" x14ac:dyDescent="0.3">
      <c r="A15000" s="34">
        <v>77035</v>
      </c>
      <c r="B15000" s="35">
        <v>1</v>
      </c>
      <c r="C15000" s="35">
        <v>0</v>
      </c>
      <c r="D15000" s="2">
        <f t="shared" si="234"/>
        <v>1</v>
      </c>
    </row>
    <row r="15001" spans="1:4" x14ac:dyDescent="0.3">
      <c r="A15001" s="34">
        <v>77036</v>
      </c>
      <c r="B15001" s="35">
        <v>1</v>
      </c>
      <c r="C15001" s="35">
        <v>0</v>
      </c>
      <c r="D15001" s="2">
        <f t="shared" si="234"/>
        <v>1</v>
      </c>
    </row>
    <row r="15002" spans="1:4" x14ac:dyDescent="0.3">
      <c r="A15002" s="34">
        <v>77037</v>
      </c>
      <c r="B15002" s="35">
        <v>1</v>
      </c>
      <c r="C15002" s="35">
        <v>0</v>
      </c>
      <c r="D15002" s="2">
        <f t="shared" si="234"/>
        <v>1</v>
      </c>
    </row>
    <row r="15003" spans="1:4" x14ac:dyDescent="0.3">
      <c r="A15003" s="34">
        <v>77038</v>
      </c>
      <c r="B15003" s="35">
        <v>1</v>
      </c>
      <c r="C15003" s="35">
        <v>0</v>
      </c>
      <c r="D15003" s="2">
        <f t="shared" si="234"/>
        <v>1</v>
      </c>
    </row>
    <row r="15004" spans="1:4" x14ac:dyDescent="0.3">
      <c r="A15004" s="34">
        <v>77039</v>
      </c>
      <c r="B15004" s="35">
        <v>1</v>
      </c>
      <c r="C15004" s="35">
        <v>0</v>
      </c>
      <c r="D15004" s="2">
        <f t="shared" si="234"/>
        <v>1</v>
      </c>
    </row>
    <row r="15005" spans="1:4" x14ac:dyDescent="0.3">
      <c r="A15005" s="34">
        <v>77040</v>
      </c>
      <c r="B15005" s="35">
        <v>1</v>
      </c>
      <c r="C15005" s="35">
        <v>1</v>
      </c>
      <c r="D15005" s="2">
        <f t="shared" si="234"/>
        <v>2</v>
      </c>
    </row>
    <row r="15006" spans="1:4" x14ac:dyDescent="0.3">
      <c r="A15006" s="34">
        <v>77041</v>
      </c>
      <c r="B15006" s="35">
        <v>1</v>
      </c>
      <c r="C15006" s="35">
        <v>0</v>
      </c>
      <c r="D15006" s="2">
        <f t="shared" si="234"/>
        <v>1</v>
      </c>
    </row>
    <row r="15007" spans="1:4" x14ac:dyDescent="0.3">
      <c r="A15007" s="34">
        <v>77045</v>
      </c>
      <c r="B15007" s="35">
        <v>1</v>
      </c>
      <c r="C15007" s="35">
        <v>0</v>
      </c>
      <c r="D15007" s="2">
        <f t="shared" si="234"/>
        <v>1</v>
      </c>
    </row>
    <row r="15008" spans="1:4" x14ac:dyDescent="0.3">
      <c r="A15008" s="34">
        <v>77047</v>
      </c>
      <c r="B15008" s="35">
        <v>1</v>
      </c>
      <c r="C15008" s="35">
        <v>0</v>
      </c>
      <c r="D15008" s="2">
        <f t="shared" si="234"/>
        <v>1</v>
      </c>
    </row>
    <row r="15009" spans="1:4" x14ac:dyDescent="0.3">
      <c r="A15009" s="34">
        <v>77048</v>
      </c>
      <c r="B15009" s="35">
        <v>1</v>
      </c>
      <c r="C15009" s="35">
        <v>0</v>
      </c>
      <c r="D15009" s="2">
        <f t="shared" si="234"/>
        <v>1</v>
      </c>
    </row>
    <row r="15010" spans="1:4" x14ac:dyDescent="0.3">
      <c r="A15010" s="34">
        <v>77049</v>
      </c>
      <c r="B15010" s="35">
        <v>1</v>
      </c>
      <c r="C15010" s="35">
        <v>0</v>
      </c>
      <c r="D15010" s="2">
        <f t="shared" si="234"/>
        <v>1</v>
      </c>
    </row>
    <row r="15011" spans="1:4" x14ac:dyDescent="0.3">
      <c r="A15011" s="34">
        <v>77050</v>
      </c>
      <c r="B15011" s="35">
        <v>1</v>
      </c>
      <c r="C15011" s="35">
        <v>0</v>
      </c>
      <c r="D15011" s="2">
        <f t="shared" si="234"/>
        <v>1</v>
      </c>
    </row>
    <row r="15012" spans="1:4" x14ac:dyDescent="0.3">
      <c r="A15012" s="34">
        <v>77051</v>
      </c>
      <c r="B15012" s="35">
        <v>1</v>
      </c>
      <c r="C15012" s="35">
        <v>0</v>
      </c>
      <c r="D15012" s="2">
        <f t="shared" si="234"/>
        <v>1</v>
      </c>
    </row>
    <row r="15013" spans="1:4" x14ac:dyDescent="0.3">
      <c r="A15013" s="34">
        <v>77058</v>
      </c>
      <c r="B15013" s="35">
        <v>1</v>
      </c>
      <c r="C15013" s="35">
        <v>0</v>
      </c>
      <c r="D15013" s="2">
        <f t="shared" si="234"/>
        <v>1</v>
      </c>
    </row>
    <row r="15014" spans="1:4" x14ac:dyDescent="0.3">
      <c r="A15014" s="34">
        <v>77066</v>
      </c>
      <c r="B15014" s="35">
        <v>1</v>
      </c>
      <c r="C15014" s="35">
        <v>0</v>
      </c>
      <c r="D15014" s="2">
        <f t="shared" si="234"/>
        <v>1</v>
      </c>
    </row>
    <row r="15015" spans="1:4" x14ac:dyDescent="0.3">
      <c r="A15015" s="34">
        <v>77068</v>
      </c>
      <c r="B15015" s="35">
        <v>1</v>
      </c>
      <c r="C15015" s="35">
        <v>0</v>
      </c>
      <c r="D15015" s="2">
        <f t="shared" si="234"/>
        <v>1</v>
      </c>
    </row>
    <row r="15016" spans="1:4" x14ac:dyDescent="0.3">
      <c r="A15016" s="34">
        <v>77073</v>
      </c>
      <c r="B15016" s="35">
        <v>1</v>
      </c>
      <c r="C15016" s="35">
        <v>0</v>
      </c>
      <c r="D15016" s="2">
        <f t="shared" si="234"/>
        <v>1</v>
      </c>
    </row>
    <row r="15017" spans="1:4" x14ac:dyDescent="0.3">
      <c r="A15017" s="34">
        <v>77077</v>
      </c>
      <c r="B15017" s="35">
        <v>1</v>
      </c>
      <c r="C15017" s="35">
        <v>0</v>
      </c>
      <c r="D15017" s="2">
        <f t="shared" si="234"/>
        <v>1</v>
      </c>
    </row>
    <row r="15018" spans="1:4" x14ac:dyDescent="0.3">
      <c r="A15018" s="34">
        <v>77078</v>
      </c>
      <c r="B15018" s="35">
        <v>1</v>
      </c>
      <c r="C15018" s="35">
        <v>0</v>
      </c>
      <c r="D15018" s="2">
        <f t="shared" si="234"/>
        <v>1</v>
      </c>
    </row>
    <row r="15019" spans="1:4" x14ac:dyDescent="0.3">
      <c r="A15019" s="34">
        <v>77079</v>
      </c>
      <c r="B15019" s="35">
        <v>1</v>
      </c>
      <c r="C15019" s="35">
        <v>0</v>
      </c>
      <c r="D15019" s="2">
        <f t="shared" si="234"/>
        <v>1</v>
      </c>
    </row>
    <row r="15020" spans="1:4" x14ac:dyDescent="0.3">
      <c r="A15020" s="34">
        <v>77080</v>
      </c>
      <c r="B15020" s="35">
        <v>1</v>
      </c>
      <c r="C15020" s="35">
        <v>0</v>
      </c>
      <c r="D15020" s="2">
        <f t="shared" si="234"/>
        <v>1</v>
      </c>
    </row>
    <row r="15021" spans="1:4" x14ac:dyDescent="0.3">
      <c r="A15021" s="34">
        <v>77082</v>
      </c>
      <c r="B15021" s="35">
        <v>1</v>
      </c>
      <c r="C15021" s="35">
        <v>0</v>
      </c>
      <c r="D15021" s="2">
        <f t="shared" si="234"/>
        <v>1</v>
      </c>
    </row>
    <row r="15022" spans="1:4" x14ac:dyDescent="0.3">
      <c r="A15022" s="34">
        <v>77087</v>
      </c>
      <c r="B15022" s="35">
        <v>1</v>
      </c>
      <c r="C15022" s="35">
        <v>0</v>
      </c>
      <c r="D15022" s="2">
        <f t="shared" si="234"/>
        <v>1</v>
      </c>
    </row>
    <row r="15023" spans="1:4" x14ac:dyDescent="0.3">
      <c r="A15023" s="34">
        <v>77088</v>
      </c>
      <c r="B15023" s="35">
        <v>1</v>
      </c>
      <c r="C15023" s="35">
        <v>0</v>
      </c>
      <c r="D15023" s="2">
        <f t="shared" si="234"/>
        <v>1</v>
      </c>
    </row>
    <row r="15024" spans="1:4" x14ac:dyDescent="0.3">
      <c r="A15024" s="34">
        <v>77089</v>
      </c>
      <c r="B15024" s="35">
        <v>2</v>
      </c>
      <c r="C15024" s="35">
        <v>1</v>
      </c>
      <c r="D15024" s="2">
        <f t="shared" si="234"/>
        <v>3</v>
      </c>
    </row>
    <row r="15025" spans="1:4" x14ac:dyDescent="0.3">
      <c r="A15025" s="34">
        <v>77090</v>
      </c>
      <c r="B15025" s="35">
        <v>2</v>
      </c>
      <c r="C15025" s="35">
        <v>1</v>
      </c>
      <c r="D15025" s="2">
        <f t="shared" si="234"/>
        <v>3</v>
      </c>
    </row>
    <row r="15026" spans="1:4" x14ac:dyDescent="0.3">
      <c r="A15026" s="34">
        <v>77091</v>
      </c>
      <c r="B15026" s="35">
        <v>1</v>
      </c>
      <c r="C15026" s="35">
        <v>0</v>
      </c>
      <c r="D15026" s="2">
        <f t="shared" si="234"/>
        <v>1</v>
      </c>
    </row>
    <row r="15027" spans="1:4" x14ac:dyDescent="0.3">
      <c r="A15027" s="34">
        <v>77093</v>
      </c>
      <c r="B15027" s="35">
        <v>1</v>
      </c>
      <c r="C15027" s="35">
        <v>1</v>
      </c>
      <c r="D15027" s="2">
        <f t="shared" si="234"/>
        <v>2</v>
      </c>
    </row>
    <row r="15028" spans="1:4" x14ac:dyDescent="0.3">
      <c r="A15028" s="34">
        <v>77098</v>
      </c>
      <c r="B15028" s="35">
        <v>1</v>
      </c>
      <c r="C15028" s="35">
        <v>0</v>
      </c>
      <c r="D15028" s="2">
        <f t="shared" si="234"/>
        <v>1</v>
      </c>
    </row>
    <row r="15029" spans="1:4" x14ac:dyDescent="0.3">
      <c r="A15029" s="34">
        <v>77103</v>
      </c>
      <c r="B15029" s="35">
        <v>1</v>
      </c>
      <c r="C15029" s="35">
        <v>0</v>
      </c>
      <c r="D15029" s="2">
        <f t="shared" si="234"/>
        <v>1</v>
      </c>
    </row>
    <row r="15030" spans="1:4" x14ac:dyDescent="0.3">
      <c r="A15030" s="34">
        <v>77105</v>
      </c>
      <c r="B15030" s="35">
        <v>1</v>
      </c>
      <c r="C15030" s="35">
        <v>0</v>
      </c>
      <c r="D15030" s="2">
        <f t="shared" si="234"/>
        <v>1</v>
      </c>
    </row>
    <row r="15031" spans="1:4" x14ac:dyDescent="0.3">
      <c r="A15031" s="34">
        <v>77106</v>
      </c>
      <c r="B15031" s="35">
        <v>1</v>
      </c>
      <c r="C15031" s="35">
        <v>0</v>
      </c>
      <c r="D15031" s="2">
        <f t="shared" si="234"/>
        <v>1</v>
      </c>
    </row>
    <row r="15032" spans="1:4" x14ac:dyDescent="0.3">
      <c r="A15032" s="34">
        <v>77107</v>
      </c>
      <c r="B15032" s="35">
        <v>1</v>
      </c>
      <c r="C15032" s="35">
        <v>1</v>
      </c>
      <c r="D15032" s="2">
        <f t="shared" si="234"/>
        <v>2</v>
      </c>
    </row>
    <row r="15033" spans="1:4" x14ac:dyDescent="0.3">
      <c r="A15033" s="34">
        <v>77109</v>
      </c>
      <c r="B15033" s="35">
        <v>1</v>
      </c>
      <c r="C15033" s="35">
        <v>0</v>
      </c>
      <c r="D15033" s="2">
        <f t="shared" si="234"/>
        <v>1</v>
      </c>
    </row>
    <row r="15034" spans="1:4" x14ac:dyDescent="0.3">
      <c r="A15034" s="34">
        <v>77110</v>
      </c>
      <c r="B15034" s="35">
        <v>1</v>
      </c>
      <c r="C15034" s="35">
        <v>1</v>
      </c>
      <c r="D15034" s="2">
        <f t="shared" si="234"/>
        <v>2</v>
      </c>
    </row>
    <row r="15035" spans="1:4" x14ac:dyDescent="0.3">
      <c r="A15035" s="34">
        <v>77112</v>
      </c>
      <c r="B15035" s="35">
        <v>1</v>
      </c>
      <c r="C15035" s="35">
        <v>0</v>
      </c>
      <c r="D15035" s="2">
        <f t="shared" si="234"/>
        <v>1</v>
      </c>
    </row>
    <row r="15036" spans="1:4" x14ac:dyDescent="0.3">
      <c r="A15036" s="34">
        <v>77113</v>
      </c>
      <c r="B15036" s="35">
        <v>1</v>
      </c>
      <c r="C15036" s="35">
        <v>0</v>
      </c>
      <c r="D15036" s="2">
        <f t="shared" si="234"/>
        <v>1</v>
      </c>
    </row>
    <row r="15037" spans="1:4" x14ac:dyDescent="0.3">
      <c r="A15037" s="34">
        <v>77117</v>
      </c>
      <c r="B15037" s="35">
        <v>1</v>
      </c>
      <c r="C15037" s="35">
        <v>0</v>
      </c>
      <c r="D15037" s="2">
        <f t="shared" si="234"/>
        <v>1</v>
      </c>
    </row>
    <row r="15038" spans="1:4" x14ac:dyDescent="0.3">
      <c r="A15038" s="34">
        <v>77118</v>
      </c>
      <c r="B15038" s="35">
        <v>1</v>
      </c>
      <c r="C15038" s="35">
        <v>0</v>
      </c>
      <c r="D15038" s="2">
        <f t="shared" si="234"/>
        <v>1</v>
      </c>
    </row>
    <row r="15039" spans="1:4" x14ac:dyDescent="0.3">
      <c r="A15039" s="34">
        <v>77120</v>
      </c>
      <c r="B15039" s="35">
        <v>1</v>
      </c>
      <c r="C15039" s="35">
        <v>1</v>
      </c>
      <c r="D15039" s="2">
        <f t="shared" si="234"/>
        <v>2</v>
      </c>
    </row>
    <row r="15040" spans="1:4" x14ac:dyDescent="0.3">
      <c r="A15040" s="34">
        <v>77121</v>
      </c>
      <c r="B15040" s="35">
        <v>1</v>
      </c>
      <c r="C15040" s="35">
        <v>0</v>
      </c>
      <c r="D15040" s="2">
        <f t="shared" si="234"/>
        <v>1</v>
      </c>
    </row>
    <row r="15041" spans="1:4" x14ac:dyDescent="0.3">
      <c r="A15041" s="34">
        <v>77122</v>
      </c>
      <c r="B15041" s="35">
        <v>1</v>
      </c>
      <c r="C15041" s="35">
        <v>1</v>
      </c>
      <c r="D15041" s="2">
        <f t="shared" si="234"/>
        <v>2</v>
      </c>
    </row>
    <row r="15042" spans="1:4" x14ac:dyDescent="0.3">
      <c r="A15042" s="34">
        <v>77123</v>
      </c>
      <c r="B15042" s="35">
        <v>1</v>
      </c>
      <c r="C15042" s="35">
        <v>1</v>
      </c>
      <c r="D15042" s="2">
        <f t="shared" si="234"/>
        <v>2</v>
      </c>
    </row>
    <row r="15043" spans="1:4" x14ac:dyDescent="0.3">
      <c r="A15043" s="34">
        <v>77125</v>
      </c>
      <c r="B15043" s="35">
        <v>1</v>
      </c>
      <c r="C15043" s="35">
        <v>0</v>
      </c>
      <c r="D15043" s="2">
        <f t="shared" ref="D15043:D15106" si="235">B15043+C15043</f>
        <v>1</v>
      </c>
    </row>
    <row r="15044" spans="1:4" x14ac:dyDescent="0.3">
      <c r="A15044" s="34">
        <v>77127</v>
      </c>
      <c r="B15044" s="35">
        <v>1</v>
      </c>
      <c r="C15044" s="35">
        <v>1</v>
      </c>
      <c r="D15044" s="2">
        <f t="shared" si="235"/>
        <v>2</v>
      </c>
    </row>
    <row r="15045" spans="1:4" x14ac:dyDescent="0.3">
      <c r="A15045" s="34">
        <v>77128</v>
      </c>
      <c r="B15045" s="35">
        <v>1</v>
      </c>
      <c r="C15045" s="35">
        <v>0</v>
      </c>
      <c r="D15045" s="2">
        <f t="shared" si="235"/>
        <v>1</v>
      </c>
    </row>
    <row r="15046" spans="1:4" x14ac:dyDescent="0.3">
      <c r="A15046" s="34">
        <v>77129</v>
      </c>
      <c r="B15046" s="35">
        <v>1</v>
      </c>
      <c r="C15046" s="35">
        <v>0</v>
      </c>
      <c r="D15046" s="2">
        <f t="shared" si="235"/>
        <v>1</v>
      </c>
    </row>
    <row r="15047" spans="1:4" x14ac:dyDescent="0.3">
      <c r="A15047" s="34">
        <v>77130</v>
      </c>
      <c r="B15047" s="35">
        <v>1</v>
      </c>
      <c r="C15047" s="35">
        <v>0</v>
      </c>
      <c r="D15047" s="2">
        <f t="shared" si="235"/>
        <v>1</v>
      </c>
    </row>
    <row r="15048" spans="1:4" x14ac:dyDescent="0.3">
      <c r="A15048" s="34">
        <v>77131</v>
      </c>
      <c r="B15048" s="35">
        <v>1</v>
      </c>
      <c r="C15048" s="35">
        <v>0</v>
      </c>
      <c r="D15048" s="2">
        <f t="shared" si="235"/>
        <v>1</v>
      </c>
    </row>
    <row r="15049" spans="1:4" x14ac:dyDescent="0.3">
      <c r="A15049" s="34">
        <v>77132</v>
      </c>
      <c r="B15049" s="35">
        <v>1</v>
      </c>
      <c r="C15049" s="35">
        <v>0</v>
      </c>
      <c r="D15049" s="2">
        <f t="shared" si="235"/>
        <v>1</v>
      </c>
    </row>
    <row r="15050" spans="1:4" x14ac:dyDescent="0.3">
      <c r="A15050" s="34">
        <v>77133</v>
      </c>
      <c r="B15050" s="35">
        <v>1</v>
      </c>
      <c r="C15050" s="35">
        <v>0</v>
      </c>
      <c r="D15050" s="2">
        <f t="shared" si="235"/>
        <v>1</v>
      </c>
    </row>
    <row r="15051" spans="1:4" x14ac:dyDescent="0.3">
      <c r="A15051" s="34">
        <v>77134</v>
      </c>
      <c r="B15051" s="35">
        <v>1</v>
      </c>
      <c r="C15051" s="35">
        <v>0</v>
      </c>
      <c r="D15051" s="2">
        <f t="shared" si="235"/>
        <v>1</v>
      </c>
    </row>
    <row r="15052" spans="1:4" x14ac:dyDescent="0.3">
      <c r="A15052" s="34">
        <v>77135</v>
      </c>
      <c r="B15052" s="35">
        <v>1</v>
      </c>
      <c r="C15052" s="35">
        <v>1</v>
      </c>
      <c r="D15052" s="2">
        <f t="shared" si="235"/>
        <v>2</v>
      </c>
    </row>
    <row r="15053" spans="1:4" x14ac:dyDescent="0.3">
      <c r="A15053" s="34">
        <v>77136</v>
      </c>
      <c r="B15053" s="35">
        <v>1</v>
      </c>
      <c r="C15053" s="35">
        <v>0</v>
      </c>
      <c r="D15053" s="2">
        <f t="shared" si="235"/>
        <v>1</v>
      </c>
    </row>
    <row r="15054" spans="1:4" x14ac:dyDescent="0.3">
      <c r="A15054" s="34">
        <v>77137</v>
      </c>
      <c r="B15054" s="35">
        <v>1</v>
      </c>
      <c r="C15054" s="35">
        <v>0</v>
      </c>
      <c r="D15054" s="2">
        <f t="shared" si="235"/>
        <v>1</v>
      </c>
    </row>
    <row r="15055" spans="1:4" x14ac:dyDescent="0.3">
      <c r="A15055" s="34">
        <v>77138</v>
      </c>
      <c r="B15055" s="35">
        <v>1</v>
      </c>
      <c r="C15055" s="35">
        <v>0</v>
      </c>
      <c r="D15055" s="2">
        <f t="shared" si="235"/>
        <v>1</v>
      </c>
    </row>
    <row r="15056" spans="1:4" x14ac:dyDescent="0.3">
      <c r="A15056" s="34">
        <v>77139</v>
      </c>
      <c r="B15056" s="35">
        <v>1</v>
      </c>
      <c r="C15056" s="35">
        <v>0</v>
      </c>
      <c r="D15056" s="2">
        <f t="shared" si="235"/>
        <v>1</v>
      </c>
    </row>
    <row r="15057" spans="1:4" x14ac:dyDescent="0.3">
      <c r="A15057" s="34">
        <v>77140</v>
      </c>
      <c r="B15057" s="35">
        <v>1</v>
      </c>
      <c r="C15057" s="35">
        <v>0</v>
      </c>
      <c r="D15057" s="2">
        <f t="shared" si="235"/>
        <v>1</v>
      </c>
    </row>
    <row r="15058" spans="1:4" x14ac:dyDescent="0.3">
      <c r="A15058" s="34">
        <v>77141</v>
      </c>
      <c r="B15058" s="35">
        <v>1</v>
      </c>
      <c r="C15058" s="35">
        <v>0</v>
      </c>
      <c r="D15058" s="2">
        <f t="shared" si="235"/>
        <v>1</v>
      </c>
    </row>
    <row r="15059" spans="1:4" x14ac:dyDescent="0.3">
      <c r="A15059" s="34">
        <v>77142</v>
      </c>
      <c r="B15059" s="35">
        <v>1</v>
      </c>
      <c r="C15059" s="35">
        <v>0</v>
      </c>
      <c r="D15059" s="2">
        <f t="shared" si="235"/>
        <v>1</v>
      </c>
    </row>
    <row r="15060" spans="1:4" x14ac:dyDescent="0.3">
      <c r="A15060" s="34">
        <v>77143</v>
      </c>
      <c r="B15060" s="35">
        <v>1</v>
      </c>
      <c r="C15060" s="35">
        <v>0</v>
      </c>
      <c r="D15060" s="2">
        <f t="shared" si="235"/>
        <v>1</v>
      </c>
    </row>
    <row r="15061" spans="1:4" x14ac:dyDescent="0.3">
      <c r="A15061" s="34">
        <v>77144</v>
      </c>
      <c r="B15061" s="35">
        <v>1</v>
      </c>
      <c r="C15061" s="35">
        <v>0</v>
      </c>
      <c r="D15061" s="2">
        <f t="shared" si="235"/>
        <v>1</v>
      </c>
    </row>
    <row r="15062" spans="1:4" x14ac:dyDescent="0.3">
      <c r="A15062" s="34">
        <v>77145</v>
      </c>
      <c r="B15062" s="35">
        <v>1</v>
      </c>
      <c r="C15062" s="35">
        <v>0</v>
      </c>
      <c r="D15062" s="2">
        <f t="shared" si="235"/>
        <v>1</v>
      </c>
    </row>
    <row r="15063" spans="1:4" x14ac:dyDescent="0.3">
      <c r="A15063" s="34">
        <v>77146</v>
      </c>
      <c r="B15063" s="35">
        <v>1</v>
      </c>
      <c r="C15063" s="35">
        <v>0</v>
      </c>
      <c r="D15063" s="2">
        <f t="shared" si="235"/>
        <v>1</v>
      </c>
    </row>
    <row r="15064" spans="1:4" x14ac:dyDescent="0.3">
      <c r="A15064" s="34">
        <v>77147</v>
      </c>
      <c r="B15064" s="35">
        <v>1</v>
      </c>
      <c r="C15064" s="35">
        <v>0</v>
      </c>
      <c r="D15064" s="2">
        <f t="shared" si="235"/>
        <v>1</v>
      </c>
    </row>
    <row r="15065" spans="1:4" x14ac:dyDescent="0.3">
      <c r="A15065" s="34">
        <v>77148</v>
      </c>
      <c r="B15065" s="35">
        <v>1</v>
      </c>
      <c r="C15065" s="35">
        <v>0</v>
      </c>
      <c r="D15065" s="2">
        <f t="shared" si="235"/>
        <v>1</v>
      </c>
    </row>
    <row r="15066" spans="1:4" x14ac:dyDescent="0.3">
      <c r="A15066" s="34">
        <v>77149</v>
      </c>
      <c r="B15066" s="35">
        <v>1</v>
      </c>
      <c r="C15066" s="35">
        <v>1</v>
      </c>
      <c r="D15066" s="2">
        <f t="shared" si="235"/>
        <v>2</v>
      </c>
    </row>
    <row r="15067" spans="1:4" x14ac:dyDescent="0.3">
      <c r="A15067" s="34">
        <v>77151</v>
      </c>
      <c r="B15067" s="35">
        <v>1</v>
      </c>
      <c r="C15067" s="35">
        <v>0</v>
      </c>
      <c r="D15067" s="2">
        <f t="shared" si="235"/>
        <v>1</v>
      </c>
    </row>
    <row r="15068" spans="1:4" x14ac:dyDescent="0.3">
      <c r="A15068" s="34">
        <v>77152</v>
      </c>
      <c r="B15068" s="35">
        <v>1</v>
      </c>
      <c r="C15068" s="35">
        <v>0</v>
      </c>
      <c r="D15068" s="2">
        <f t="shared" si="235"/>
        <v>1</v>
      </c>
    </row>
    <row r="15069" spans="1:4" x14ac:dyDescent="0.3">
      <c r="A15069" s="34">
        <v>77153</v>
      </c>
      <c r="B15069" s="35">
        <v>1</v>
      </c>
      <c r="C15069" s="35">
        <v>0</v>
      </c>
      <c r="D15069" s="2">
        <f t="shared" si="235"/>
        <v>1</v>
      </c>
    </row>
    <row r="15070" spans="1:4" x14ac:dyDescent="0.3">
      <c r="A15070" s="34">
        <v>77154</v>
      </c>
      <c r="B15070" s="35">
        <v>1</v>
      </c>
      <c r="C15070" s="35">
        <v>0</v>
      </c>
      <c r="D15070" s="2">
        <f t="shared" si="235"/>
        <v>1</v>
      </c>
    </row>
    <row r="15071" spans="1:4" x14ac:dyDescent="0.3">
      <c r="A15071" s="34">
        <v>77156</v>
      </c>
      <c r="B15071" s="35">
        <v>1</v>
      </c>
      <c r="C15071" s="35">
        <v>0</v>
      </c>
      <c r="D15071" s="2">
        <f t="shared" si="235"/>
        <v>1</v>
      </c>
    </row>
    <row r="15072" spans="1:4" x14ac:dyDescent="0.3">
      <c r="A15072" s="34">
        <v>77159</v>
      </c>
      <c r="B15072" s="35">
        <v>1</v>
      </c>
      <c r="C15072" s="35">
        <v>1</v>
      </c>
      <c r="D15072" s="2">
        <f t="shared" si="235"/>
        <v>2</v>
      </c>
    </row>
    <row r="15073" spans="1:4" x14ac:dyDescent="0.3">
      <c r="A15073" s="34">
        <v>77160</v>
      </c>
      <c r="B15073" s="35">
        <v>1</v>
      </c>
      <c r="C15073" s="35">
        <v>0</v>
      </c>
      <c r="D15073" s="2">
        <f t="shared" si="235"/>
        <v>1</v>
      </c>
    </row>
    <row r="15074" spans="1:4" x14ac:dyDescent="0.3">
      <c r="A15074" s="34">
        <v>77161</v>
      </c>
      <c r="B15074" s="35">
        <v>1</v>
      </c>
      <c r="C15074" s="35">
        <v>1</v>
      </c>
      <c r="D15074" s="2">
        <f t="shared" si="235"/>
        <v>2</v>
      </c>
    </row>
    <row r="15075" spans="1:4" x14ac:dyDescent="0.3">
      <c r="A15075" s="34">
        <v>77162</v>
      </c>
      <c r="B15075" s="35">
        <v>1</v>
      </c>
      <c r="C15075" s="35">
        <v>1</v>
      </c>
      <c r="D15075" s="2">
        <f t="shared" si="235"/>
        <v>2</v>
      </c>
    </row>
    <row r="15076" spans="1:4" x14ac:dyDescent="0.3">
      <c r="A15076" s="34">
        <v>77164</v>
      </c>
      <c r="B15076" s="35">
        <v>1</v>
      </c>
      <c r="C15076" s="35">
        <v>1</v>
      </c>
      <c r="D15076" s="2">
        <f t="shared" si="235"/>
        <v>2</v>
      </c>
    </row>
    <row r="15077" spans="1:4" x14ac:dyDescent="0.3">
      <c r="A15077" s="34">
        <v>77166</v>
      </c>
      <c r="B15077" s="35">
        <v>1</v>
      </c>
      <c r="C15077" s="35">
        <v>0</v>
      </c>
      <c r="D15077" s="2">
        <f t="shared" si="235"/>
        <v>1</v>
      </c>
    </row>
    <row r="15078" spans="1:4" x14ac:dyDescent="0.3">
      <c r="A15078" s="34">
        <v>77167</v>
      </c>
      <c r="B15078" s="35">
        <v>1</v>
      </c>
      <c r="C15078" s="35">
        <v>0</v>
      </c>
      <c r="D15078" s="2">
        <f t="shared" si="235"/>
        <v>1</v>
      </c>
    </row>
    <row r="15079" spans="1:4" x14ac:dyDescent="0.3">
      <c r="A15079" s="34">
        <v>77169</v>
      </c>
      <c r="B15079" s="35">
        <v>1</v>
      </c>
      <c r="C15079" s="35">
        <v>0</v>
      </c>
      <c r="D15079" s="2">
        <f t="shared" si="235"/>
        <v>1</v>
      </c>
    </row>
    <row r="15080" spans="1:4" x14ac:dyDescent="0.3">
      <c r="A15080" s="34">
        <v>77170</v>
      </c>
      <c r="B15080" s="35">
        <v>1</v>
      </c>
      <c r="C15080" s="35">
        <v>0</v>
      </c>
      <c r="D15080" s="2">
        <f t="shared" si="235"/>
        <v>1</v>
      </c>
    </row>
    <row r="15081" spans="1:4" x14ac:dyDescent="0.3">
      <c r="A15081" s="34">
        <v>77171</v>
      </c>
      <c r="B15081" s="35">
        <v>1</v>
      </c>
      <c r="C15081" s="35">
        <v>0</v>
      </c>
      <c r="D15081" s="2">
        <f t="shared" si="235"/>
        <v>1</v>
      </c>
    </row>
    <row r="15082" spans="1:4" x14ac:dyDescent="0.3">
      <c r="A15082" s="34">
        <v>77172</v>
      </c>
      <c r="B15082" s="35">
        <v>1</v>
      </c>
      <c r="C15082" s="35">
        <v>1</v>
      </c>
      <c r="D15082" s="2">
        <f t="shared" si="235"/>
        <v>2</v>
      </c>
    </row>
    <row r="15083" spans="1:4" x14ac:dyDescent="0.3">
      <c r="A15083" s="34">
        <v>77173</v>
      </c>
      <c r="B15083" s="35">
        <v>1</v>
      </c>
      <c r="C15083" s="35">
        <v>0</v>
      </c>
      <c r="D15083" s="2">
        <f t="shared" si="235"/>
        <v>1</v>
      </c>
    </row>
    <row r="15084" spans="1:4" x14ac:dyDescent="0.3">
      <c r="A15084" s="34">
        <v>77174</v>
      </c>
      <c r="B15084" s="35">
        <v>1</v>
      </c>
      <c r="C15084" s="35">
        <v>0</v>
      </c>
      <c r="D15084" s="2">
        <f t="shared" si="235"/>
        <v>1</v>
      </c>
    </row>
    <row r="15085" spans="1:4" x14ac:dyDescent="0.3">
      <c r="A15085" s="34">
        <v>77176</v>
      </c>
      <c r="B15085" s="35">
        <v>1</v>
      </c>
      <c r="C15085" s="35">
        <v>0</v>
      </c>
      <c r="D15085" s="2">
        <f t="shared" si="235"/>
        <v>1</v>
      </c>
    </row>
    <row r="15086" spans="1:4" x14ac:dyDescent="0.3">
      <c r="A15086" s="34">
        <v>77178</v>
      </c>
      <c r="B15086" s="35">
        <v>1</v>
      </c>
      <c r="C15086" s="35">
        <v>0</v>
      </c>
      <c r="D15086" s="2">
        <f t="shared" si="235"/>
        <v>1</v>
      </c>
    </row>
    <row r="15087" spans="1:4" x14ac:dyDescent="0.3">
      <c r="A15087" s="34">
        <v>77179</v>
      </c>
      <c r="B15087" s="35">
        <v>1</v>
      </c>
      <c r="C15087" s="35">
        <v>0</v>
      </c>
      <c r="D15087" s="2">
        <f t="shared" si="235"/>
        <v>1</v>
      </c>
    </row>
    <row r="15088" spans="1:4" x14ac:dyDescent="0.3">
      <c r="A15088" s="34">
        <v>77180</v>
      </c>
      <c r="B15088" s="35">
        <v>1</v>
      </c>
      <c r="C15088" s="35">
        <v>0</v>
      </c>
      <c r="D15088" s="2">
        <f t="shared" si="235"/>
        <v>1</v>
      </c>
    </row>
    <row r="15089" spans="1:4" x14ac:dyDescent="0.3">
      <c r="A15089" s="34">
        <v>77181</v>
      </c>
      <c r="B15089" s="35">
        <v>1</v>
      </c>
      <c r="C15089" s="35">
        <v>0</v>
      </c>
      <c r="D15089" s="2">
        <f t="shared" si="235"/>
        <v>1</v>
      </c>
    </row>
    <row r="15090" spans="1:4" x14ac:dyDescent="0.3">
      <c r="A15090" s="34">
        <v>77185</v>
      </c>
      <c r="B15090" s="35">
        <v>1</v>
      </c>
      <c r="C15090" s="35">
        <v>0</v>
      </c>
      <c r="D15090" s="2">
        <f t="shared" si="235"/>
        <v>1</v>
      </c>
    </row>
    <row r="15091" spans="1:4" x14ac:dyDescent="0.3">
      <c r="A15091" s="34">
        <v>77186</v>
      </c>
      <c r="B15091" s="35">
        <v>1</v>
      </c>
      <c r="C15091" s="35">
        <v>0</v>
      </c>
      <c r="D15091" s="2">
        <f t="shared" si="235"/>
        <v>1</v>
      </c>
    </row>
    <row r="15092" spans="1:4" x14ac:dyDescent="0.3">
      <c r="A15092" s="34">
        <v>77189</v>
      </c>
      <c r="B15092" s="35">
        <v>1</v>
      </c>
      <c r="C15092" s="35">
        <v>0</v>
      </c>
      <c r="D15092" s="2">
        <f t="shared" si="235"/>
        <v>1</v>
      </c>
    </row>
    <row r="15093" spans="1:4" x14ac:dyDescent="0.3">
      <c r="A15093" s="34">
        <v>77193</v>
      </c>
      <c r="B15093" s="35">
        <v>1</v>
      </c>
      <c r="C15093" s="35">
        <v>1</v>
      </c>
      <c r="D15093" s="2">
        <f t="shared" si="235"/>
        <v>2</v>
      </c>
    </row>
    <row r="15094" spans="1:4" x14ac:dyDescent="0.3">
      <c r="A15094" s="34">
        <v>77194</v>
      </c>
      <c r="B15094" s="35">
        <v>1</v>
      </c>
      <c r="C15094" s="35">
        <v>1</v>
      </c>
      <c r="D15094" s="2">
        <f t="shared" si="235"/>
        <v>2</v>
      </c>
    </row>
    <row r="15095" spans="1:4" x14ac:dyDescent="0.3">
      <c r="A15095" s="34">
        <v>77195</v>
      </c>
      <c r="B15095" s="35">
        <v>1</v>
      </c>
      <c r="C15095" s="35">
        <v>1</v>
      </c>
      <c r="D15095" s="2">
        <f t="shared" si="235"/>
        <v>2</v>
      </c>
    </row>
    <row r="15096" spans="1:4" x14ac:dyDescent="0.3">
      <c r="A15096" s="34">
        <v>77197</v>
      </c>
      <c r="B15096" s="35">
        <v>1</v>
      </c>
      <c r="C15096" s="35">
        <v>0</v>
      </c>
      <c r="D15096" s="2">
        <f t="shared" si="235"/>
        <v>1</v>
      </c>
    </row>
    <row r="15097" spans="1:4" x14ac:dyDescent="0.3">
      <c r="A15097" s="34">
        <v>77198</v>
      </c>
      <c r="B15097" s="35">
        <v>1</v>
      </c>
      <c r="C15097" s="35">
        <v>0</v>
      </c>
      <c r="D15097" s="2">
        <f t="shared" si="235"/>
        <v>1</v>
      </c>
    </row>
    <row r="15098" spans="1:4" x14ac:dyDescent="0.3">
      <c r="A15098" s="34">
        <v>77199</v>
      </c>
      <c r="B15098" s="35">
        <v>1</v>
      </c>
      <c r="C15098" s="35">
        <v>0</v>
      </c>
      <c r="D15098" s="2">
        <f t="shared" si="235"/>
        <v>1</v>
      </c>
    </row>
    <row r="15099" spans="1:4" x14ac:dyDescent="0.3">
      <c r="A15099" s="34">
        <v>77201</v>
      </c>
      <c r="B15099" s="35">
        <v>1</v>
      </c>
      <c r="C15099" s="35">
        <v>0</v>
      </c>
      <c r="D15099" s="2">
        <f t="shared" si="235"/>
        <v>1</v>
      </c>
    </row>
    <row r="15100" spans="1:4" x14ac:dyDescent="0.3">
      <c r="A15100" s="34">
        <v>77202</v>
      </c>
      <c r="B15100" s="35">
        <v>1</v>
      </c>
      <c r="C15100" s="35">
        <v>0</v>
      </c>
      <c r="D15100" s="2">
        <f t="shared" si="235"/>
        <v>1</v>
      </c>
    </row>
    <row r="15101" spans="1:4" x14ac:dyDescent="0.3">
      <c r="A15101" s="34">
        <v>77203</v>
      </c>
      <c r="B15101" s="35">
        <v>1</v>
      </c>
      <c r="C15101" s="35">
        <v>0</v>
      </c>
      <c r="D15101" s="2">
        <f t="shared" si="235"/>
        <v>1</v>
      </c>
    </row>
    <row r="15102" spans="1:4" x14ac:dyDescent="0.3">
      <c r="A15102" s="34">
        <v>77205</v>
      </c>
      <c r="B15102" s="35">
        <v>1</v>
      </c>
      <c r="C15102" s="35">
        <v>0</v>
      </c>
      <c r="D15102" s="2">
        <f t="shared" si="235"/>
        <v>1</v>
      </c>
    </row>
    <row r="15103" spans="1:4" x14ac:dyDescent="0.3">
      <c r="A15103" s="34">
        <v>77206</v>
      </c>
      <c r="B15103" s="35">
        <v>1</v>
      </c>
      <c r="C15103" s="35">
        <v>0</v>
      </c>
      <c r="D15103" s="2">
        <f t="shared" si="235"/>
        <v>1</v>
      </c>
    </row>
    <row r="15104" spans="1:4" x14ac:dyDescent="0.3">
      <c r="A15104" s="34">
        <v>77207</v>
      </c>
      <c r="B15104" s="35">
        <v>1</v>
      </c>
      <c r="C15104" s="35">
        <v>0</v>
      </c>
      <c r="D15104" s="2">
        <f t="shared" si="235"/>
        <v>1</v>
      </c>
    </row>
    <row r="15105" spans="1:4" x14ac:dyDescent="0.3">
      <c r="A15105" s="34">
        <v>77209</v>
      </c>
      <c r="B15105" s="35">
        <v>1</v>
      </c>
      <c r="C15105" s="35">
        <v>1</v>
      </c>
      <c r="D15105" s="2">
        <f t="shared" si="235"/>
        <v>2</v>
      </c>
    </row>
    <row r="15106" spans="1:4" x14ac:dyDescent="0.3">
      <c r="A15106" s="34">
        <v>77210</v>
      </c>
      <c r="B15106" s="35">
        <v>1</v>
      </c>
      <c r="C15106" s="35">
        <v>0</v>
      </c>
      <c r="D15106" s="2">
        <f t="shared" si="235"/>
        <v>1</v>
      </c>
    </row>
    <row r="15107" spans="1:4" x14ac:dyDescent="0.3">
      <c r="A15107" s="34">
        <v>77211</v>
      </c>
      <c r="B15107" s="35">
        <v>1</v>
      </c>
      <c r="C15107" s="35">
        <v>0</v>
      </c>
      <c r="D15107" s="2">
        <f t="shared" ref="D15107:D15170" si="236">B15107+C15107</f>
        <v>1</v>
      </c>
    </row>
    <row r="15108" spans="1:4" x14ac:dyDescent="0.3">
      <c r="A15108" s="34">
        <v>77212</v>
      </c>
      <c r="B15108" s="35">
        <v>1</v>
      </c>
      <c r="C15108" s="35">
        <v>0</v>
      </c>
      <c r="D15108" s="2">
        <f t="shared" si="236"/>
        <v>1</v>
      </c>
    </row>
    <row r="15109" spans="1:4" x14ac:dyDescent="0.3">
      <c r="A15109" s="34">
        <v>77213</v>
      </c>
      <c r="B15109" s="35">
        <v>1</v>
      </c>
      <c r="C15109" s="35">
        <v>0</v>
      </c>
      <c r="D15109" s="2">
        <f t="shared" si="236"/>
        <v>1</v>
      </c>
    </row>
    <row r="15110" spans="1:4" x14ac:dyDescent="0.3">
      <c r="A15110" s="34">
        <v>77214</v>
      </c>
      <c r="B15110" s="35">
        <v>1</v>
      </c>
      <c r="C15110" s="35">
        <v>1</v>
      </c>
      <c r="D15110" s="2">
        <f t="shared" si="236"/>
        <v>2</v>
      </c>
    </row>
    <row r="15111" spans="1:4" x14ac:dyDescent="0.3">
      <c r="A15111" s="34">
        <v>77215</v>
      </c>
      <c r="B15111" s="35">
        <v>1</v>
      </c>
      <c r="C15111" s="35">
        <v>1</v>
      </c>
      <c r="D15111" s="2">
        <f t="shared" si="236"/>
        <v>2</v>
      </c>
    </row>
    <row r="15112" spans="1:4" x14ac:dyDescent="0.3">
      <c r="A15112" s="34">
        <v>77216</v>
      </c>
      <c r="B15112" s="35">
        <v>1</v>
      </c>
      <c r="C15112" s="35">
        <v>0</v>
      </c>
      <c r="D15112" s="2">
        <f t="shared" si="236"/>
        <v>1</v>
      </c>
    </row>
    <row r="15113" spans="1:4" x14ac:dyDescent="0.3">
      <c r="A15113" s="34">
        <v>77217</v>
      </c>
      <c r="B15113" s="35">
        <v>1</v>
      </c>
      <c r="C15113" s="35">
        <v>0</v>
      </c>
      <c r="D15113" s="2">
        <f t="shared" si="236"/>
        <v>1</v>
      </c>
    </row>
    <row r="15114" spans="1:4" x14ac:dyDescent="0.3">
      <c r="A15114" s="34">
        <v>77218</v>
      </c>
      <c r="B15114" s="35">
        <v>1</v>
      </c>
      <c r="C15114" s="35">
        <v>0</v>
      </c>
      <c r="D15114" s="2">
        <f t="shared" si="236"/>
        <v>1</v>
      </c>
    </row>
    <row r="15115" spans="1:4" x14ac:dyDescent="0.3">
      <c r="A15115" s="34">
        <v>77219</v>
      </c>
      <c r="B15115" s="35">
        <v>1</v>
      </c>
      <c r="C15115" s="35">
        <v>0</v>
      </c>
      <c r="D15115" s="2">
        <f t="shared" si="236"/>
        <v>1</v>
      </c>
    </row>
    <row r="15116" spans="1:4" x14ac:dyDescent="0.3">
      <c r="A15116" s="34">
        <v>77220</v>
      </c>
      <c r="B15116" s="35">
        <v>1</v>
      </c>
      <c r="C15116" s="35">
        <v>1</v>
      </c>
      <c r="D15116" s="2">
        <f t="shared" si="236"/>
        <v>2</v>
      </c>
    </row>
    <row r="15117" spans="1:4" x14ac:dyDescent="0.3">
      <c r="A15117" s="34">
        <v>77221</v>
      </c>
      <c r="B15117" s="35">
        <v>3</v>
      </c>
      <c r="C15117" s="35">
        <v>0</v>
      </c>
      <c r="D15117" s="2">
        <f t="shared" si="236"/>
        <v>3</v>
      </c>
    </row>
    <row r="15118" spans="1:4" x14ac:dyDescent="0.3">
      <c r="A15118" s="34">
        <v>77222</v>
      </c>
      <c r="B15118" s="35">
        <v>1</v>
      </c>
      <c r="C15118" s="35">
        <v>1</v>
      </c>
      <c r="D15118" s="2">
        <f t="shared" si="236"/>
        <v>2</v>
      </c>
    </row>
    <row r="15119" spans="1:4" x14ac:dyDescent="0.3">
      <c r="A15119" s="34">
        <v>77223</v>
      </c>
      <c r="B15119" s="35">
        <v>1</v>
      </c>
      <c r="C15119" s="35">
        <v>0</v>
      </c>
      <c r="D15119" s="2">
        <f t="shared" si="236"/>
        <v>1</v>
      </c>
    </row>
    <row r="15120" spans="1:4" x14ac:dyDescent="0.3">
      <c r="A15120" s="34">
        <v>77224</v>
      </c>
      <c r="B15120" s="35">
        <v>1</v>
      </c>
      <c r="C15120" s="35">
        <v>0</v>
      </c>
      <c r="D15120" s="2">
        <f t="shared" si="236"/>
        <v>1</v>
      </c>
    </row>
    <row r="15121" spans="1:4" x14ac:dyDescent="0.3">
      <c r="A15121" s="34">
        <v>77226</v>
      </c>
      <c r="B15121" s="35">
        <v>1</v>
      </c>
      <c r="C15121" s="35">
        <v>0</v>
      </c>
      <c r="D15121" s="2">
        <f t="shared" si="236"/>
        <v>1</v>
      </c>
    </row>
    <row r="15122" spans="1:4" x14ac:dyDescent="0.3">
      <c r="A15122" s="34">
        <v>77227</v>
      </c>
      <c r="B15122" s="35">
        <v>1</v>
      </c>
      <c r="C15122" s="35">
        <v>0</v>
      </c>
      <c r="D15122" s="2">
        <f t="shared" si="236"/>
        <v>1</v>
      </c>
    </row>
    <row r="15123" spans="1:4" x14ac:dyDescent="0.3">
      <c r="A15123" s="34">
        <v>77228</v>
      </c>
      <c r="B15123" s="35">
        <v>1</v>
      </c>
      <c r="C15123" s="35">
        <v>1</v>
      </c>
      <c r="D15123" s="2">
        <f t="shared" si="236"/>
        <v>2</v>
      </c>
    </row>
    <row r="15124" spans="1:4" x14ac:dyDescent="0.3">
      <c r="A15124" s="34">
        <v>77229</v>
      </c>
      <c r="B15124" s="35">
        <v>1</v>
      </c>
      <c r="C15124" s="35">
        <v>0</v>
      </c>
      <c r="D15124" s="2">
        <f t="shared" si="236"/>
        <v>1</v>
      </c>
    </row>
    <row r="15125" spans="1:4" x14ac:dyDescent="0.3">
      <c r="A15125" s="34">
        <v>77230</v>
      </c>
      <c r="B15125" s="35">
        <v>1</v>
      </c>
      <c r="C15125" s="35">
        <v>0</v>
      </c>
      <c r="D15125" s="2">
        <f t="shared" si="236"/>
        <v>1</v>
      </c>
    </row>
    <row r="15126" spans="1:4" x14ac:dyDescent="0.3">
      <c r="A15126" s="34">
        <v>77232</v>
      </c>
      <c r="B15126" s="35">
        <v>1</v>
      </c>
      <c r="C15126" s="35">
        <v>0</v>
      </c>
      <c r="D15126" s="2">
        <f t="shared" si="236"/>
        <v>1</v>
      </c>
    </row>
    <row r="15127" spans="1:4" x14ac:dyDescent="0.3">
      <c r="A15127" s="34">
        <v>77233</v>
      </c>
      <c r="B15127" s="35">
        <v>1</v>
      </c>
      <c r="C15127" s="35">
        <v>0</v>
      </c>
      <c r="D15127" s="2">
        <f t="shared" si="236"/>
        <v>1</v>
      </c>
    </row>
    <row r="15128" spans="1:4" x14ac:dyDescent="0.3">
      <c r="A15128" s="34">
        <v>77234</v>
      </c>
      <c r="B15128" s="35">
        <v>1</v>
      </c>
      <c r="C15128" s="35">
        <v>0</v>
      </c>
      <c r="D15128" s="2">
        <f t="shared" si="236"/>
        <v>1</v>
      </c>
    </row>
    <row r="15129" spans="1:4" x14ac:dyDescent="0.3">
      <c r="A15129" s="34">
        <v>77235</v>
      </c>
      <c r="B15129" s="35">
        <v>1</v>
      </c>
      <c r="C15129" s="35">
        <v>0</v>
      </c>
      <c r="D15129" s="2">
        <f t="shared" si="236"/>
        <v>1</v>
      </c>
    </row>
    <row r="15130" spans="1:4" x14ac:dyDescent="0.3">
      <c r="A15130" s="34">
        <v>77236</v>
      </c>
      <c r="B15130" s="35">
        <v>1</v>
      </c>
      <c r="C15130" s="35">
        <v>1</v>
      </c>
      <c r="D15130" s="2">
        <f t="shared" si="236"/>
        <v>2</v>
      </c>
    </row>
    <row r="15131" spans="1:4" x14ac:dyDescent="0.3">
      <c r="A15131" s="34">
        <v>77237</v>
      </c>
      <c r="B15131" s="35">
        <v>1</v>
      </c>
      <c r="C15131" s="35">
        <v>0</v>
      </c>
      <c r="D15131" s="2">
        <f t="shared" si="236"/>
        <v>1</v>
      </c>
    </row>
    <row r="15132" spans="1:4" x14ac:dyDescent="0.3">
      <c r="A15132" s="34">
        <v>77238</v>
      </c>
      <c r="B15132" s="35">
        <v>1</v>
      </c>
      <c r="C15132" s="35">
        <v>0</v>
      </c>
      <c r="D15132" s="2">
        <f t="shared" si="236"/>
        <v>1</v>
      </c>
    </row>
    <row r="15133" spans="1:4" x14ac:dyDescent="0.3">
      <c r="A15133" s="34">
        <v>77239</v>
      </c>
      <c r="B15133" s="35">
        <v>1</v>
      </c>
      <c r="C15133" s="35">
        <v>0</v>
      </c>
      <c r="D15133" s="2">
        <f t="shared" si="236"/>
        <v>1</v>
      </c>
    </row>
    <row r="15134" spans="1:4" x14ac:dyDescent="0.3">
      <c r="A15134" s="34">
        <v>77240</v>
      </c>
      <c r="B15134" s="35">
        <v>1</v>
      </c>
      <c r="C15134" s="35">
        <v>1</v>
      </c>
      <c r="D15134" s="2">
        <f t="shared" si="236"/>
        <v>2</v>
      </c>
    </row>
    <row r="15135" spans="1:4" x14ac:dyDescent="0.3">
      <c r="A15135" s="34">
        <v>77241</v>
      </c>
      <c r="B15135" s="35">
        <v>1</v>
      </c>
      <c r="C15135" s="35">
        <v>1</v>
      </c>
      <c r="D15135" s="2">
        <f t="shared" si="236"/>
        <v>2</v>
      </c>
    </row>
    <row r="15136" spans="1:4" x14ac:dyDescent="0.3">
      <c r="A15136" s="34">
        <v>77242</v>
      </c>
      <c r="B15136" s="35">
        <v>1</v>
      </c>
      <c r="C15136" s="35">
        <v>0</v>
      </c>
      <c r="D15136" s="2">
        <f t="shared" si="236"/>
        <v>1</v>
      </c>
    </row>
    <row r="15137" spans="1:4" x14ac:dyDescent="0.3">
      <c r="A15137" s="34">
        <v>77243</v>
      </c>
      <c r="B15137" s="35">
        <v>1</v>
      </c>
      <c r="C15137" s="35">
        <v>0</v>
      </c>
      <c r="D15137" s="2">
        <f t="shared" si="236"/>
        <v>1</v>
      </c>
    </row>
    <row r="15138" spans="1:4" x14ac:dyDescent="0.3">
      <c r="A15138" s="34">
        <v>77244</v>
      </c>
      <c r="B15138" s="35">
        <v>1</v>
      </c>
      <c r="C15138" s="35">
        <v>0</v>
      </c>
      <c r="D15138" s="2">
        <f t="shared" si="236"/>
        <v>1</v>
      </c>
    </row>
    <row r="15139" spans="1:4" x14ac:dyDescent="0.3">
      <c r="A15139" s="34">
        <v>77245</v>
      </c>
      <c r="B15139" s="35">
        <v>1</v>
      </c>
      <c r="C15139" s="35">
        <v>0</v>
      </c>
      <c r="D15139" s="2">
        <f t="shared" si="236"/>
        <v>1</v>
      </c>
    </row>
    <row r="15140" spans="1:4" x14ac:dyDescent="0.3">
      <c r="A15140" s="34">
        <v>77246</v>
      </c>
      <c r="B15140" s="35">
        <v>1</v>
      </c>
      <c r="C15140" s="35">
        <v>0</v>
      </c>
      <c r="D15140" s="2">
        <f t="shared" si="236"/>
        <v>1</v>
      </c>
    </row>
    <row r="15141" spans="1:4" x14ac:dyDescent="0.3">
      <c r="A15141" s="34">
        <v>77247</v>
      </c>
      <c r="B15141" s="35">
        <v>1</v>
      </c>
      <c r="C15141" s="35">
        <v>0</v>
      </c>
      <c r="D15141" s="2">
        <f t="shared" si="236"/>
        <v>1</v>
      </c>
    </row>
    <row r="15142" spans="1:4" x14ac:dyDescent="0.3">
      <c r="A15142" s="34">
        <v>77248</v>
      </c>
      <c r="B15142" s="35">
        <v>1</v>
      </c>
      <c r="C15142" s="35">
        <v>0</v>
      </c>
      <c r="D15142" s="2">
        <f t="shared" si="236"/>
        <v>1</v>
      </c>
    </row>
    <row r="15143" spans="1:4" x14ac:dyDescent="0.3">
      <c r="A15143" s="34">
        <v>77249</v>
      </c>
      <c r="B15143" s="35">
        <v>1</v>
      </c>
      <c r="C15143" s="35">
        <v>0</v>
      </c>
      <c r="D15143" s="2">
        <f t="shared" si="236"/>
        <v>1</v>
      </c>
    </row>
    <row r="15144" spans="1:4" x14ac:dyDescent="0.3">
      <c r="A15144" s="34">
        <v>77250</v>
      </c>
      <c r="B15144" s="35">
        <v>1</v>
      </c>
      <c r="C15144" s="35">
        <v>0</v>
      </c>
      <c r="D15144" s="2">
        <f t="shared" si="236"/>
        <v>1</v>
      </c>
    </row>
    <row r="15145" spans="1:4" x14ac:dyDescent="0.3">
      <c r="A15145" s="34">
        <v>77251</v>
      </c>
      <c r="B15145" s="35">
        <v>1</v>
      </c>
      <c r="C15145" s="35">
        <v>0</v>
      </c>
      <c r="D15145" s="2">
        <f t="shared" si="236"/>
        <v>1</v>
      </c>
    </row>
    <row r="15146" spans="1:4" x14ac:dyDescent="0.3">
      <c r="A15146" s="34">
        <v>77252</v>
      </c>
      <c r="B15146" s="35">
        <v>1</v>
      </c>
      <c r="C15146" s="35">
        <v>0</v>
      </c>
      <c r="D15146" s="2">
        <f t="shared" si="236"/>
        <v>1</v>
      </c>
    </row>
    <row r="15147" spans="1:4" x14ac:dyDescent="0.3">
      <c r="A15147" s="34">
        <v>77253</v>
      </c>
      <c r="B15147" s="35">
        <v>1</v>
      </c>
      <c r="C15147" s="35">
        <v>0</v>
      </c>
      <c r="D15147" s="2">
        <f t="shared" si="236"/>
        <v>1</v>
      </c>
    </row>
    <row r="15148" spans="1:4" x14ac:dyDescent="0.3">
      <c r="A15148" s="34">
        <v>77255</v>
      </c>
      <c r="B15148" s="35">
        <v>1</v>
      </c>
      <c r="C15148" s="35">
        <v>0</v>
      </c>
      <c r="D15148" s="2">
        <f t="shared" si="236"/>
        <v>1</v>
      </c>
    </row>
    <row r="15149" spans="1:4" x14ac:dyDescent="0.3">
      <c r="A15149" s="34">
        <v>77256</v>
      </c>
      <c r="B15149" s="35">
        <v>1</v>
      </c>
      <c r="C15149" s="35">
        <v>0</v>
      </c>
      <c r="D15149" s="2">
        <f t="shared" si="236"/>
        <v>1</v>
      </c>
    </row>
    <row r="15150" spans="1:4" x14ac:dyDescent="0.3">
      <c r="A15150" s="34">
        <v>77257</v>
      </c>
      <c r="B15150" s="35">
        <v>1</v>
      </c>
      <c r="C15150" s="35">
        <v>0</v>
      </c>
      <c r="D15150" s="2">
        <f t="shared" si="236"/>
        <v>1</v>
      </c>
    </row>
    <row r="15151" spans="1:4" x14ac:dyDescent="0.3">
      <c r="A15151" s="34">
        <v>77258</v>
      </c>
      <c r="B15151" s="35">
        <v>1</v>
      </c>
      <c r="C15151" s="35">
        <v>0</v>
      </c>
      <c r="D15151" s="2">
        <f t="shared" si="236"/>
        <v>1</v>
      </c>
    </row>
    <row r="15152" spans="1:4" x14ac:dyDescent="0.3">
      <c r="A15152" s="34">
        <v>77259</v>
      </c>
      <c r="B15152" s="35">
        <v>1</v>
      </c>
      <c r="C15152" s="35">
        <v>0</v>
      </c>
      <c r="D15152" s="2">
        <f t="shared" si="236"/>
        <v>1</v>
      </c>
    </row>
    <row r="15153" spans="1:4" x14ac:dyDescent="0.3">
      <c r="A15153" s="34">
        <v>77260</v>
      </c>
      <c r="B15153" s="35">
        <v>1</v>
      </c>
      <c r="C15153" s="35">
        <v>0</v>
      </c>
      <c r="D15153" s="2">
        <f t="shared" si="236"/>
        <v>1</v>
      </c>
    </row>
    <row r="15154" spans="1:4" x14ac:dyDescent="0.3">
      <c r="A15154" s="34">
        <v>77261</v>
      </c>
      <c r="B15154" s="35">
        <v>1</v>
      </c>
      <c r="C15154" s="35">
        <v>0</v>
      </c>
      <c r="D15154" s="2">
        <f t="shared" si="236"/>
        <v>1</v>
      </c>
    </row>
    <row r="15155" spans="1:4" x14ac:dyDescent="0.3">
      <c r="A15155" s="34">
        <v>77262</v>
      </c>
      <c r="B15155" s="35">
        <v>1</v>
      </c>
      <c r="C15155" s="35">
        <v>0</v>
      </c>
      <c r="D15155" s="2">
        <f t="shared" si="236"/>
        <v>1</v>
      </c>
    </row>
    <row r="15156" spans="1:4" x14ac:dyDescent="0.3">
      <c r="A15156" s="34">
        <v>77263</v>
      </c>
      <c r="B15156" s="35">
        <v>1</v>
      </c>
      <c r="C15156" s="35">
        <v>0</v>
      </c>
      <c r="D15156" s="2">
        <f t="shared" si="236"/>
        <v>1</v>
      </c>
    </row>
    <row r="15157" spans="1:4" x14ac:dyDescent="0.3">
      <c r="A15157" s="34">
        <v>77265</v>
      </c>
      <c r="B15157" s="35">
        <v>1</v>
      </c>
      <c r="C15157" s="35">
        <v>0</v>
      </c>
      <c r="D15157" s="2">
        <f t="shared" si="236"/>
        <v>1</v>
      </c>
    </row>
    <row r="15158" spans="1:4" x14ac:dyDescent="0.3">
      <c r="A15158" s="34">
        <v>77267</v>
      </c>
      <c r="B15158" s="35">
        <v>1</v>
      </c>
      <c r="C15158" s="35">
        <v>0</v>
      </c>
      <c r="D15158" s="2">
        <f t="shared" si="236"/>
        <v>1</v>
      </c>
    </row>
    <row r="15159" spans="1:4" x14ac:dyDescent="0.3">
      <c r="A15159" s="34">
        <v>77268</v>
      </c>
      <c r="B15159" s="35">
        <v>1</v>
      </c>
      <c r="C15159" s="35">
        <v>0</v>
      </c>
      <c r="D15159" s="2">
        <f t="shared" si="236"/>
        <v>1</v>
      </c>
    </row>
    <row r="15160" spans="1:4" x14ac:dyDescent="0.3">
      <c r="A15160" s="34">
        <v>77269</v>
      </c>
      <c r="B15160" s="35">
        <v>1</v>
      </c>
      <c r="C15160" s="35">
        <v>0</v>
      </c>
      <c r="D15160" s="2">
        <f t="shared" si="236"/>
        <v>1</v>
      </c>
    </row>
    <row r="15161" spans="1:4" x14ac:dyDescent="0.3">
      <c r="A15161" s="34">
        <v>77270</v>
      </c>
      <c r="B15161" s="35">
        <v>1</v>
      </c>
      <c r="C15161" s="35">
        <v>0</v>
      </c>
      <c r="D15161" s="2">
        <f t="shared" si="236"/>
        <v>1</v>
      </c>
    </row>
    <row r="15162" spans="1:4" x14ac:dyDescent="0.3">
      <c r="A15162" s="34">
        <v>77274</v>
      </c>
      <c r="B15162" s="35">
        <v>1</v>
      </c>
      <c r="C15162" s="35">
        <v>0</v>
      </c>
      <c r="D15162" s="2">
        <f t="shared" si="236"/>
        <v>1</v>
      </c>
    </row>
    <row r="15163" spans="1:4" x14ac:dyDescent="0.3">
      <c r="A15163" s="34">
        <v>77275</v>
      </c>
      <c r="B15163" s="35">
        <v>1</v>
      </c>
      <c r="C15163" s="35">
        <v>0</v>
      </c>
      <c r="D15163" s="2">
        <f t="shared" si="236"/>
        <v>1</v>
      </c>
    </row>
    <row r="15164" spans="1:4" x14ac:dyDescent="0.3">
      <c r="A15164" s="34">
        <v>77276</v>
      </c>
      <c r="B15164" s="35">
        <v>1</v>
      </c>
      <c r="C15164" s="35">
        <v>0</v>
      </c>
      <c r="D15164" s="2">
        <f t="shared" si="236"/>
        <v>1</v>
      </c>
    </row>
    <row r="15165" spans="1:4" x14ac:dyDescent="0.3">
      <c r="A15165" s="34">
        <v>77277</v>
      </c>
      <c r="B15165" s="35">
        <v>1</v>
      </c>
      <c r="C15165" s="35">
        <v>0</v>
      </c>
      <c r="D15165" s="2">
        <f t="shared" si="236"/>
        <v>1</v>
      </c>
    </row>
    <row r="15166" spans="1:4" x14ac:dyDescent="0.3">
      <c r="A15166" s="34">
        <v>77278</v>
      </c>
      <c r="B15166" s="35">
        <v>1</v>
      </c>
      <c r="C15166" s="35">
        <v>0</v>
      </c>
      <c r="D15166" s="2">
        <f t="shared" si="236"/>
        <v>1</v>
      </c>
    </row>
    <row r="15167" spans="1:4" x14ac:dyDescent="0.3">
      <c r="A15167" s="34">
        <v>77279</v>
      </c>
      <c r="B15167" s="35">
        <v>1</v>
      </c>
      <c r="C15167" s="35">
        <v>0</v>
      </c>
      <c r="D15167" s="2">
        <f t="shared" si="236"/>
        <v>1</v>
      </c>
    </row>
    <row r="15168" spans="1:4" x14ac:dyDescent="0.3">
      <c r="A15168" s="34">
        <v>77281</v>
      </c>
      <c r="B15168" s="35">
        <v>3</v>
      </c>
      <c r="C15168" s="35">
        <v>2</v>
      </c>
      <c r="D15168" s="2">
        <f t="shared" si="236"/>
        <v>5</v>
      </c>
    </row>
    <row r="15169" spans="1:4" x14ac:dyDescent="0.3">
      <c r="A15169" s="34">
        <v>77282</v>
      </c>
      <c r="B15169" s="35">
        <v>2</v>
      </c>
      <c r="C15169" s="35">
        <v>0</v>
      </c>
      <c r="D15169" s="2">
        <f t="shared" si="236"/>
        <v>2</v>
      </c>
    </row>
    <row r="15170" spans="1:4" x14ac:dyDescent="0.3">
      <c r="A15170" s="34">
        <v>77283</v>
      </c>
      <c r="B15170" s="35">
        <v>1</v>
      </c>
      <c r="C15170" s="35">
        <v>1</v>
      </c>
      <c r="D15170" s="2">
        <f t="shared" si="236"/>
        <v>2</v>
      </c>
    </row>
    <row r="15171" spans="1:4" x14ac:dyDescent="0.3">
      <c r="A15171" s="34">
        <v>77284</v>
      </c>
      <c r="B15171" s="35">
        <v>1</v>
      </c>
      <c r="C15171" s="35">
        <v>0</v>
      </c>
      <c r="D15171" s="2">
        <f t="shared" ref="D15171:D15234" si="237">B15171+C15171</f>
        <v>1</v>
      </c>
    </row>
    <row r="15172" spans="1:4" x14ac:dyDescent="0.3">
      <c r="A15172" s="34">
        <v>77286</v>
      </c>
      <c r="B15172" s="35">
        <v>1</v>
      </c>
      <c r="C15172" s="35">
        <v>0</v>
      </c>
      <c r="D15172" s="2">
        <f t="shared" si="237"/>
        <v>1</v>
      </c>
    </row>
    <row r="15173" spans="1:4" x14ac:dyDescent="0.3">
      <c r="A15173" s="34">
        <v>77287</v>
      </c>
      <c r="B15173" s="35">
        <v>1</v>
      </c>
      <c r="C15173" s="35">
        <v>0</v>
      </c>
      <c r="D15173" s="2">
        <f t="shared" si="237"/>
        <v>1</v>
      </c>
    </row>
    <row r="15174" spans="1:4" x14ac:dyDescent="0.3">
      <c r="A15174" s="34">
        <v>77288</v>
      </c>
      <c r="B15174" s="35">
        <v>1</v>
      </c>
      <c r="C15174" s="35">
        <v>0</v>
      </c>
      <c r="D15174" s="2">
        <f t="shared" si="237"/>
        <v>1</v>
      </c>
    </row>
    <row r="15175" spans="1:4" x14ac:dyDescent="0.3">
      <c r="A15175" s="34">
        <v>77289</v>
      </c>
      <c r="B15175" s="35">
        <v>1</v>
      </c>
      <c r="C15175" s="35">
        <v>0</v>
      </c>
      <c r="D15175" s="2">
        <f t="shared" si="237"/>
        <v>1</v>
      </c>
    </row>
    <row r="15176" spans="1:4" x14ac:dyDescent="0.3">
      <c r="A15176" s="34">
        <v>77290</v>
      </c>
      <c r="B15176" s="35">
        <v>1</v>
      </c>
      <c r="C15176" s="35">
        <v>0</v>
      </c>
      <c r="D15176" s="2">
        <f t="shared" si="237"/>
        <v>1</v>
      </c>
    </row>
    <row r="15177" spans="1:4" x14ac:dyDescent="0.3">
      <c r="A15177" s="34">
        <v>77291</v>
      </c>
      <c r="B15177" s="35">
        <v>1</v>
      </c>
      <c r="C15177" s="35">
        <v>0</v>
      </c>
      <c r="D15177" s="2">
        <f t="shared" si="237"/>
        <v>1</v>
      </c>
    </row>
    <row r="15178" spans="1:4" x14ac:dyDescent="0.3">
      <c r="A15178" s="34">
        <v>77292</v>
      </c>
      <c r="B15178" s="35">
        <v>1</v>
      </c>
      <c r="C15178" s="35">
        <v>0</v>
      </c>
      <c r="D15178" s="2">
        <f t="shared" si="237"/>
        <v>1</v>
      </c>
    </row>
    <row r="15179" spans="1:4" x14ac:dyDescent="0.3">
      <c r="A15179" s="34">
        <v>77293</v>
      </c>
      <c r="B15179" s="35">
        <v>1</v>
      </c>
      <c r="C15179" s="35">
        <v>0</v>
      </c>
      <c r="D15179" s="2">
        <f t="shared" si="237"/>
        <v>1</v>
      </c>
    </row>
    <row r="15180" spans="1:4" x14ac:dyDescent="0.3">
      <c r="A15180" s="34">
        <v>77294</v>
      </c>
      <c r="B15180" s="35">
        <v>1</v>
      </c>
      <c r="C15180" s="35">
        <v>0</v>
      </c>
      <c r="D15180" s="2">
        <f t="shared" si="237"/>
        <v>1</v>
      </c>
    </row>
    <row r="15181" spans="1:4" x14ac:dyDescent="0.3">
      <c r="A15181" s="34">
        <v>77296</v>
      </c>
      <c r="B15181" s="35">
        <v>1</v>
      </c>
      <c r="C15181" s="35">
        <v>0</v>
      </c>
      <c r="D15181" s="2">
        <f t="shared" si="237"/>
        <v>1</v>
      </c>
    </row>
    <row r="15182" spans="1:4" x14ac:dyDescent="0.3">
      <c r="A15182" s="34">
        <v>77297</v>
      </c>
      <c r="B15182" s="35">
        <v>1</v>
      </c>
      <c r="C15182" s="35">
        <v>1</v>
      </c>
      <c r="D15182" s="2">
        <f t="shared" si="237"/>
        <v>2</v>
      </c>
    </row>
    <row r="15183" spans="1:4" x14ac:dyDescent="0.3">
      <c r="A15183" s="34">
        <v>77298</v>
      </c>
      <c r="B15183" s="35">
        <v>1</v>
      </c>
      <c r="C15183" s="35">
        <v>1</v>
      </c>
      <c r="D15183" s="2">
        <f t="shared" si="237"/>
        <v>2</v>
      </c>
    </row>
    <row r="15184" spans="1:4" x14ac:dyDescent="0.3">
      <c r="A15184" s="34">
        <v>77299</v>
      </c>
      <c r="B15184" s="35">
        <v>1</v>
      </c>
      <c r="C15184" s="35">
        <v>0</v>
      </c>
      <c r="D15184" s="2">
        <f t="shared" si="237"/>
        <v>1</v>
      </c>
    </row>
    <row r="15185" spans="1:4" x14ac:dyDescent="0.3">
      <c r="A15185" s="34">
        <v>77300</v>
      </c>
      <c r="B15185" s="35">
        <v>2</v>
      </c>
      <c r="C15185" s="35">
        <v>1</v>
      </c>
      <c r="D15185" s="2">
        <f t="shared" si="237"/>
        <v>3</v>
      </c>
    </row>
    <row r="15186" spans="1:4" x14ac:dyDescent="0.3">
      <c r="A15186" s="34">
        <v>77302</v>
      </c>
      <c r="B15186" s="35">
        <v>1</v>
      </c>
      <c r="C15186" s="35">
        <v>0</v>
      </c>
      <c r="D15186" s="2">
        <f t="shared" si="237"/>
        <v>1</v>
      </c>
    </row>
    <row r="15187" spans="1:4" x14ac:dyDescent="0.3">
      <c r="A15187" s="34">
        <v>77303</v>
      </c>
      <c r="B15187" s="35">
        <v>1</v>
      </c>
      <c r="C15187" s="35">
        <v>0</v>
      </c>
      <c r="D15187" s="2">
        <f t="shared" si="237"/>
        <v>1</v>
      </c>
    </row>
    <row r="15188" spans="1:4" x14ac:dyDescent="0.3">
      <c r="A15188" s="34">
        <v>77304</v>
      </c>
      <c r="B15188" s="35">
        <v>1</v>
      </c>
      <c r="C15188" s="35">
        <v>0</v>
      </c>
      <c r="D15188" s="2">
        <f t="shared" si="237"/>
        <v>1</v>
      </c>
    </row>
    <row r="15189" spans="1:4" x14ac:dyDescent="0.3">
      <c r="A15189" s="34">
        <v>77305</v>
      </c>
      <c r="B15189" s="35">
        <v>1</v>
      </c>
      <c r="C15189" s="35">
        <v>0</v>
      </c>
      <c r="D15189" s="2">
        <f t="shared" si="237"/>
        <v>1</v>
      </c>
    </row>
    <row r="15190" spans="1:4" x14ac:dyDescent="0.3">
      <c r="A15190" s="34">
        <v>77307</v>
      </c>
      <c r="B15190" s="35">
        <v>1</v>
      </c>
      <c r="C15190" s="35">
        <v>0</v>
      </c>
      <c r="D15190" s="2">
        <f t="shared" si="237"/>
        <v>1</v>
      </c>
    </row>
    <row r="15191" spans="1:4" x14ac:dyDescent="0.3">
      <c r="A15191" s="34">
        <v>77308</v>
      </c>
      <c r="B15191" s="35">
        <v>1</v>
      </c>
      <c r="C15191" s="35">
        <v>0</v>
      </c>
      <c r="D15191" s="2">
        <f t="shared" si="237"/>
        <v>1</v>
      </c>
    </row>
    <row r="15192" spans="1:4" x14ac:dyDescent="0.3">
      <c r="A15192" s="34">
        <v>77309</v>
      </c>
      <c r="B15192" s="35">
        <v>1</v>
      </c>
      <c r="C15192" s="35">
        <v>0</v>
      </c>
      <c r="D15192" s="2">
        <f t="shared" si="237"/>
        <v>1</v>
      </c>
    </row>
    <row r="15193" spans="1:4" x14ac:dyDescent="0.3">
      <c r="A15193" s="34">
        <v>77310</v>
      </c>
      <c r="B15193" s="35">
        <v>1</v>
      </c>
      <c r="C15193" s="35">
        <v>1</v>
      </c>
      <c r="D15193" s="2">
        <f t="shared" si="237"/>
        <v>2</v>
      </c>
    </row>
    <row r="15194" spans="1:4" x14ac:dyDescent="0.3">
      <c r="A15194" s="34">
        <v>77311</v>
      </c>
      <c r="B15194" s="35">
        <v>1</v>
      </c>
      <c r="C15194" s="35">
        <v>0</v>
      </c>
      <c r="D15194" s="2">
        <f t="shared" si="237"/>
        <v>1</v>
      </c>
    </row>
    <row r="15195" spans="1:4" x14ac:dyDescent="0.3">
      <c r="A15195" s="34">
        <v>77313</v>
      </c>
      <c r="B15195" s="35">
        <v>1</v>
      </c>
      <c r="C15195" s="35">
        <v>0</v>
      </c>
      <c r="D15195" s="2">
        <f t="shared" si="237"/>
        <v>1</v>
      </c>
    </row>
    <row r="15196" spans="1:4" x14ac:dyDescent="0.3">
      <c r="A15196" s="34">
        <v>77314</v>
      </c>
      <c r="B15196" s="35">
        <v>1</v>
      </c>
      <c r="C15196" s="35">
        <v>0</v>
      </c>
      <c r="D15196" s="2">
        <f t="shared" si="237"/>
        <v>1</v>
      </c>
    </row>
    <row r="15197" spans="1:4" x14ac:dyDescent="0.3">
      <c r="A15197" s="34">
        <v>77315</v>
      </c>
      <c r="B15197" s="35">
        <v>1</v>
      </c>
      <c r="C15197" s="35">
        <v>0</v>
      </c>
      <c r="D15197" s="2">
        <f t="shared" si="237"/>
        <v>1</v>
      </c>
    </row>
    <row r="15198" spans="1:4" x14ac:dyDescent="0.3">
      <c r="A15198" s="34">
        <v>77316</v>
      </c>
      <c r="B15198" s="35">
        <v>1</v>
      </c>
      <c r="C15198" s="35">
        <v>0</v>
      </c>
      <c r="D15198" s="2">
        <f t="shared" si="237"/>
        <v>1</v>
      </c>
    </row>
    <row r="15199" spans="1:4" x14ac:dyDescent="0.3">
      <c r="A15199" s="34">
        <v>77317</v>
      </c>
      <c r="B15199" s="35">
        <v>1</v>
      </c>
      <c r="C15199" s="35">
        <v>0</v>
      </c>
      <c r="D15199" s="2">
        <f t="shared" si="237"/>
        <v>1</v>
      </c>
    </row>
    <row r="15200" spans="1:4" x14ac:dyDescent="0.3">
      <c r="A15200" s="34">
        <v>77318</v>
      </c>
      <c r="B15200" s="35">
        <v>1</v>
      </c>
      <c r="C15200" s="35">
        <v>0</v>
      </c>
      <c r="D15200" s="2">
        <f t="shared" si="237"/>
        <v>1</v>
      </c>
    </row>
    <row r="15201" spans="1:4" x14ac:dyDescent="0.3">
      <c r="A15201" s="34">
        <v>77319</v>
      </c>
      <c r="B15201" s="35">
        <v>1</v>
      </c>
      <c r="C15201" s="35">
        <v>0</v>
      </c>
      <c r="D15201" s="2">
        <f t="shared" si="237"/>
        <v>1</v>
      </c>
    </row>
    <row r="15202" spans="1:4" x14ac:dyDescent="0.3">
      <c r="A15202" s="34">
        <v>77321</v>
      </c>
      <c r="B15202" s="35">
        <v>1</v>
      </c>
      <c r="C15202" s="35">
        <v>1</v>
      </c>
      <c r="D15202" s="2">
        <f t="shared" si="237"/>
        <v>2</v>
      </c>
    </row>
    <row r="15203" spans="1:4" x14ac:dyDescent="0.3">
      <c r="A15203" s="34">
        <v>77322</v>
      </c>
      <c r="B15203" s="35">
        <v>1</v>
      </c>
      <c r="C15203" s="35">
        <v>0</v>
      </c>
      <c r="D15203" s="2">
        <f t="shared" si="237"/>
        <v>1</v>
      </c>
    </row>
    <row r="15204" spans="1:4" x14ac:dyDescent="0.3">
      <c r="A15204" s="34">
        <v>77323</v>
      </c>
      <c r="B15204" s="35">
        <v>1</v>
      </c>
      <c r="C15204" s="35">
        <v>1</v>
      </c>
      <c r="D15204" s="2">
        <f t="shared" si="237"/>
        <v>2</v>
      </c>
    </row>
    <row r="15205" spans="1:4" x14ac:dyDescent="0.3">
      <c r="A15205" s="34">
        <v>77324</v>
      </c>
      <c r="B15205" s="35">
        <v>1</v>
      </c>
      <c r="C15205" s="35">
        <v>0</v>
      </c>
      <c r="D15205" s="2">
        <f t="shared" si="237"/>
        <v>1</v>
      </c>
    </row>
    <row r="15206" spans="1:4" x14ac:dyDescent="0.3">
      <c r="A15206" s="34">
        <v>77325</v>
      </c>
      <c r="B15206" s="35">
        <v>1</v>
      </c>
      <c r="C15206" s="35">
        <v>1</v>
      </c>
      <c r="D15206" s="2">
        <f t="shared" si="237"/>
        <v>2</v>
      </c>
    </row>
    <row r="15207" spans="1:4" x14ac:dyDescent="0.3">
      <c r="A15207" s="34">
        <v>77326</v>
      </c>
      <c r="B15207" s="35">
        <v>1</v>
      </c>
      <c r="C15207" s="35">
        <v>0</v>
      </c>
      <c r="D15207" s="2">
        <f t="shared" si="237"/>
        <v>1</v>
      </c>
    </row>
    <row r="15208" spans="1:4" x14ac:dyDescent="0.3">
      <c r="A15208" s="34">
        <v>77327</v>
      </c>
      <c r="B15208" s="35">
        <v>1</v>
      </c>
      <c r="C15208" s="35">
        <v>0</v>
      </c>
      <c r="D15208" s="2">
        <f t="shared" si="237"/>
        <v>1</v>
      </c>
    </row>
    <row r="15209" spans="1:4" x14ac:dyDescent="0.3">
      <c r="A15209" s="34">
        <v>77328</v>
      </c>
      <c r="B15209" s="35">
        <v>1</v>
      </c>
      <c r="C15209" s="35">
        <v>1</v>
      </c>
      <c r="D15209" s="2">
        <f t="shared" si="237"/>
        <v>2</v>
      </c>
    </row>
    <row r="15210" spans="1:4" x14ac:dyDescent="0.3">
      <c r="A15210" s="34">
        <v>77329</v>
      </c>
      <c r="B15210" s="35">
        <v>1</v>
      </c>
      <c r="C15210" s="35">
        <v>0</v>
      </c>
      <c r="D15210" s="2">
        <f t="shared" si="237"/>
        <v>1</v>
      </c>
    </row>
    <row r="15211" spans="1:4" x14ac:dyDescent="0.3">
      <c r="A15211" s="34">
        <v>77330</v>
      </c>
      <c r="B15211" s="35">
        <v>1</v>
      </c>
      <c r="C15211" s="35">
        <v>0</v>
      </c>
      <c r="D15211" s="2">
        <f t="shared" si="237"/>
        <v>1</v>
      </c>
    </row>
    <row r="15212" spans="1:4" x14ac:dyDescent="0.3">
      <c r="A15212" s="34">
        <v>77331</v>
      </c>
      <c r="B15212" s="35">
        <v>1</v>
      </c>
      <c r="C15212" s="35">
        <v>0</v>
      </c>
      <c r="D15212" s="2">
        <f t="shared" si="237"/>
        <v>1</v>
      </c>
    </row>
    <row r="15213" spans="1:4" x14ac:dyDescent="0.3">
      <c r="A15213" s="34">
        <v>77332</v>
      </c>
      <c r="B15213" s="35">
        <v>1</v>
      </c>
      <c r="C15213" s="35">
        <v>1</v>
      </c>
      <c r="D15213" s="2">
        <f t="shared" si="237"/>
        <v>2</v>
      </c>
    </row>
    <row r="15214" spans="1:4" x14ac:dyDescent="0.3">
      <c r="A15214" s="34">
        <v>77333</v>
      </c>
      <c r="B15214" s="35">
        <v>1</v>
      </c>
      <c r="C15214" s="35">
        <v>0</v>
      </c>
      <c r="D15214" s="2">
        <f t="shared" si="237"/>
        <v>1</v>
      </c>
    </row>
    <row r="15215" spans="1:4" x14ac:dyDescent="0.3">
      <c r="A15215" s="34">
        <v>77334</v>
      </c>
      <c r="B15215" s="35">
        <v>1</v>
      </c>
      <c r="C15215" s="35">
        <v>0</v>
      </c>
      <c r="D15215" s="2">
        <f t="shared" si="237"/>
        <v>1</v>
      </c>
    </row>
    <row r="15216" spans="1:4" x14ac:dyDescent="0.3">
      <c r="A15216" s="34">
        <v>77335</v>
      </c>
      <c r="B15216" s="35">
        <v>1</v>
      </c>
      <c r="C15216" s="35">
        <v>0</v>
      </c>
      <c r="D15216" s="2">
        <f t="shared" si="237"/>
        <v>1</v>
      </c>
    </row>
    <row r="15217" spans="1:4" x14ac:dyDescent="0.3">
      <c r="A15217" s="34">
        <v>77336</v>
      </c>
      <c r="B15217" s="35">
        <v>1</v>
      </c>
      <c r="C15217" s="35">
        <v>0</v>
      </c>
      <c r="D15217" s="2">
        <f t="shared" si="237"/>
        <v>1</v>
      </c>
    </row>
    <row r="15218" spans="1:4" x14ac:dyDescent="0.3">
      <c r="A15218" s="34">
        <v>77337</v>
      </c>
      <c r="B15218" s="35">
        <v>1</v>
      </c>
      <c r="C15218" s="35">
        <v>1</v>
      </c>
      <c r="D15218" s="2">
        <f t="shared" si="237"/>
        <v>2</v>
      </c>
    </row>
    <row r="15219" spans="1:4" x14ac:dyDescent="0.3">
      <c r="A15219" s="34">
        <v>77338</v>
      </c>
      <c r="B15219" s="35">
        <v>1</v>
      </c>
      <c r="C15219" s="35">
        <v>0</v>
      </c>
      <c r="D15219" s="2">
        <f t="shared" si="237"/>
        <v>1</v>
      </c>
    </row>
    <row r="15220" spans="1:4" x14ac:dyDescent="0.3">
      <c r="A15220" s="34">
        <v>77339</v>
      </c>
      <c r="B15220" s="35">
        <v>1</v>
      </c>
      <c r="C15220" s="35">
        <v>0</v>
      </c>
      <c r="D15220" s="2">
        <f t="shared" si="237"/>
        <v>1</v>
      </c>
    </row>
    <row r="15221" spans="1:4" x14ac:dyDescent="0.3">
      <c r="A15221" s="34">
        <v>77340</v>
      </c>
      <c r="B15221" s="35">
        <v>1</v>
      </c>
      <c r="C15221" s="35">
        <v>1</v>
      </c>
      <c r="D15221" s="2">
        <f t="shared" si="237"/>
        <v>2</v>
      </c>
    </row>
    <row r="15222" spans="1:4" x14ac:dyDescent="0.3">
      <c r="A15222" s="34">
        <v>77341</v>
      </c>
      <c r="B15222" s="35">
        <v>1</v>
      </c>
      <c r="C15222" s="35">
        <v>0</v>
      </c>
      <c r="D15222" s="2">
        <f t="shared" si="237"/>
        <v>1</v>
      </c>
    </row>
    <row r="15223" spans="1:4" x14ac:dyDescent="0.3">
      <c r="A15223" s="34">
        <v>77342</v>
      </c>
      <c r="B15223" s="35">
        <v>1</v>
      </c>
      <c r="C15223" s="35">
        <v>0</v>
      </c>
      <c r="D15223" s="2">
        <f t="shared" si="237"/>
        <v>1</v>
      </c>
    </row>
    <row r="15224" spans="1:4" x14ac:dyDescent="0.3">
      <c r="A15224" s="34">
        <v>77343</v>
      </c>
      <c r="B15224" s="35">
        <v>1</v>
      </c>
      <c r="C15224" s="35">
        <v>1</v>
      </c>
      <c r="D15224" s="2">
        <f t="shared" si="237"/>
        <v>2</v>
      </c>
    </row>
    <row r="15225" spans="1:4" x14ac:dyDescent="0.3">
      <c r="A15225" s="34">
        <v>77345</v>
      </c>
      <c r="B15225" s="35">
        <v>1</v>
      </c>
      <c r="C15225" s="35">
        <v>0</v>
      </c>
      <c r="D15225" s="2">
        <f t="shared" si="237"/>
        <v>1</v>
      </c>
    </row>
    <row r="15226" spans="1:4" x14ac:dyDescent="0.3">
      <c r="A15226" s="34">
        <v>77346</v>
      </c>
      <c r="B15226" s="35">
        <v>1</v>
      </c>
      <c r="C15226" s="35">
        <v>0</v>
      </c>
      <c r="D15226" s="2">
        <f t="shared" si="237"/>
        <v>1</v>
      </c>
    </row>
    <row r="15227" spans="1:4" x14ac:dyDescent="0.3">
      <c r="A15227" s="34">
        <v>77347</v>
      </c>
      <c r="B15227" s="35">
        <v>1</v>
      </c>
      <c r="C15227" s="35">
        <v>1</v>
      </c>
      <c r="D15227" s="2">
        <f t="shared" si="237"/>
        <v>2</v>
      </c>
    </row>
    <row r="15228" spans="1:4" x14ac:dyDescent="0.3">
      <c r="A15228" s="34">
        <v>77352</v>
      </c>
      <c r="B15228" s="35">
        <v>1</v>
      </c>
      <c r="C15228" s="35">
        <v>0</v>
      </c>
      <c r="D15228" s="2">
        <f t="shared" si="237"/>
        <v>1</v>
      </c>
    </row>
    <row r="15229" spans="1:4" x14ac:dyDescent="0.3">
      <c r="A15229" s="34">
        <v>77353</v>
      </c>
      <c r="B15229" s="35">
        <v>1</v>
      </c>
      <c r="C15229" s="35">
        <v>0</v>
      </c>
      <c r="D15229" s="2">
        <f t="shared" si="237"/>
        <v>1</v>
      </c>
    </row>
    <row r="15230" spans="1:4" x14ac:dyDescent="0.3">
      <c r="A15230" s="34">
        <v>77354</v>
      </c>
      <c r="B15230" s="35">
        <v>1</v>
      </c>
      <c r="C15230" s="35">
        <v>0</v>
      </c>
      <c r="D15230" s="2">
        <f t="shared" si="237"/>
        <v>1</v>
      </c>
    </row>
    <row r="15231" spans="1:4" x14ac:dyDescent="0.3">
      <c r="A15231" s="34">
        <v>77355</v>
      </c>
      <c r="B15231" s="35">
        <v>1</v>
      </c>
      <c r="C15231" s="35">
        <v>0</v>
      </c>
      <c r="D15231" s="2">
        <f t="shared" si="237"/>
        <v>1</v>
      </c>
    </row>
    <row r="15232" spans="1:4" x14ac:dyDescent="0.3">
      <c r="A15232" s="34">
        <v>77356</v>
      </c>
      <c r="B15232" s="35">
        <v>1</v>
      </c>
      <c r="C15232" s="35">
        <v>0</v>
      </c>
      <c r="D15232" s="2">
        <f t="shared" si="237"/>
        <v>1</v>
      </c>
    </row>
    <row r="15233" spans="1:4" x14ac:dyDescent="0.3">
      <c r="A15233" s="34">
        <v>77359</v>
      </c>
      <c r="B15233" s="35">
        <v>1</v>
      </c>
      <c r="C15233" s="35">
        <v>0</v>
      </c>
      <c r="D15233" s="2">
        <f t="shared" si="237"/>
        <v>1</v>
      </c>
    </row>
    <row r="15234" spans="1:4" x14ac:dyDescent="0.3">
      <c r="A15234" s="34">
        <v>77360</v>
      </c>
      <c r="B15234" s="35">
        <v>1</v>
      </c>
      <c r="C15234" s="35">
        <v>0</v>
      </c>
      <c r="D15234" s="2">
        <f t="shared" si="237"/>
        <v>1</v>
      </c>
    </row>
    <row r="15235" spans="1:4" x14ac:dyDescent="0.3">
      <c r="A15235" s="34">
        <v>77361</v>
      </c>
      <c r="B15235" s="35">
        <v>1</v>
      </c>
      <c r="C15235" s="35">
        <v>0</v>
      </c>
      <c r="D15235" s="2">
        <f t="shared" ref="D15235:D15298" si="238">B15235+C15235</f>
        <v>1</v>
      </c>
    </row>
    <row r="15236" spans="1:4" x14ac:dyDescent="0.3">
      <c r="A15236" s="34">
        <v>77362</v>
      </c>
      <c r="B15236" s="35">
        <v>1</v>
      </c>
      <c r="C15236" s="35">
        <v>0</v>
      </c>
      <c r="D15236" s="2">
        <f t="shared" si="238"/>
        <v>1</v>
      </c>
    </row>
    <row r="15237" spans="1:4" x14ac:dyDescent="0.3">
      <c r="A15237" s="34">
        <v>77363</v>
      </c>
      <c r="B15237" s="35">
        <v>1</v>
      </c>
      <c r="C15237" s="35">
        <v>0</v>
      </c>
      <c r="D15237" s="2">
        <f t="shared" si="238"/>
        <v>1</v>
      </c>
    </row>
    <row r="15238" spans="1:4" x14ac:dyDescent="0.3">
      <c r="A15238" s="34">
        <v>77364</v>
      </c>
      <c r="B15238" s="35">
        <v>1</v>
      </c>
      <c r="C15238" s="35">
        <v>0</v>
      </c>
      <c r="D15238" s="2">
        <f t="shared" si="238"/>
        <v>1</v>
      </c>
    </row>
    <row r="15239" spans="1:4" x14ac:dyDescent="0.3">
      <c r="A15239" s="34">
        <v>77366</v>
      </c>
      <c r="B15239" s="35">
        <v>1</v>
      </c>
      <c r="C15239" s="35">
        <v>0</v>
      </c>
      <c r="D15239" s="2">
        <f t="shared" si="238"/>
        <v>1</v>
      </c>
    </row>
    <row r="15240" spans="1:4" x14ac:dyDescent="0.3">
      <c r="A15240" s="34">
        <v>77367</v>
      </c>
      <c r="B15240" s="35">
        <v>1</v>
      </c>
      <c r="C15240" s="35">
        <v>0</v>
      </c>
      <c r="D15240" s="2">
        <f t="shared" si="238"/>
        <v>1</v>
      </c>
    </row>
    <row r="15241" spans="1:4" x14ac:dyDescent="0.3">
      <c r="A15241" s="34">
        <v>77368</v>
      </c>
      <c r="B15241" s="35">
        <v>1</v>
      </c>
      <c r="C15241" s="35">
        <v>0</v>
      </c>
      <c r="D15241" s="2">
        <f t="shared" si="238"/>
        <v>1</v>
      </c>
    </row>
    <row r="15242" spans="1:4" x14ac:dyDescent="0.3">
      <c r="A15242" s="34">
        <v>77369</v>
      </c>
      <c r="B15242" s="35">
        <v>1</v>
      </c>
      <c r="C15242" s="35">
        <v>0</v>
      </c>
      <c r="D15242" s="2">
        <f t="shared" si="238"/>
        <v>1</v>
      </c>
    </row>
    <row r="15243" spans="1:4" x14ac:dyDescent="0.3">
      <c r="A15243" s="34">
        <v>77370</v>
      </c>
      <c r="B15243" s="35">
        <v>1</v>
      </c>
      <c r="C15243" s="35">
        <v>0</v>
      </c>
      <c r="D15243" s="2">
        <f t="shared" si="238"/>
        <v>1</v>
      </c>
    </row>
    <row r="15244" spans="1:4" x14ac:dyDescent="0.3">
      <c r="A15244" s="34">
        <v>77371</v>
      </c>
      <c r="B15244" s="35">
        <v>1</v>
      </c>
      <c r="C15244" s="35">
        <v>1</v>
      </c>
      <c r="D15244" s="2">
        <f t="shared" si="238"/>
        <v>2</v>
      </c>
    </row>
    <row r="15245" spans="1:4" x14ac:dyDescent="0.3">
      <c r="A15245" s="34">
        <v>77372</v>
      </c>
      <c r="B15245" s="35">
        <v>1</v>
      </c>
      <c r="C15245" s="35">
        <v>0</v>
      </c>
      <c r="D15245" s="2">
        <f t="shared" si="238"/>
        <v>1</v>
      </c>
    </row>
    <row r="15246" spans="1:4" x14ac:dyDescent="0.3">
      <c r="A15246" s="34">
        <v>77373</v>
      </c>
      <c r="B15246" s="35">
        <v>1</v>
      </c>
      <c r="C15246" s="35">
        <v>0</v>
      </c>
      <c r="D15246" s="2">
        <f t="shared" si="238"/>
        <v>1</v>
      </c>
    </row>
    <row r="15247" spans="1:4" x14ac:dyDescent="0.3">
      <c r="A15247" s="34">
        <v>77374</v>
      </c>
      <c r="B15247" s="35">
        <v>1</v>
      </c>
      <c r="C15247" s="35">
        <v>0</v>
      </c>
      <c r="D15247" s="2">
        <f t="shared" si="238"/>
        <v>1</v>
      </c>
    </row>
    <row r="15248" spans="1:4" x14ac:dyDescent="0.3">
      <c r="A15248" s="34">
        <v>77375</v>
      </c>
      <c r="B15248" s="35">
        <v>1</v>
      </c>
      <c r="C15248" s="35">
        <v>0</v>
      </c>
      <c r="D15248" s="2">
        <f t="shared" si="238"/>
        <v>1</v>
      </c>
    </row>
    <row r="15249" spans="1:4" x14ac:dyDescent="0.3">
      <c r="A15249" s="34">
        <v>77376</v>
      </c>
      <c r="B15249" s="35">
        <v>1</v>
      </c>
      <c r="C15249" s="35">
        <v>0</v>
      </c>
      <c r="D15249" s="2">
        <f t="shared" si="238"/>
        <v>1</v>
      </c>
    </row>
    <row r="15250" spans="1:4" x14ac:dyDescent="0.3">
      <c r="A15250" s="34">
        <v>77377</v>
      </c>
      <c r="B15250" s="35">
        <v>1</v>
      </c>
      <c r="C15250" s="35">
        <v>0</v>
      </c>
      <c r="D15250" s="2">
        <f t="shared" si="238"/>
        <v>1</v>
      </c>
    </row>
    <row r="15251" spans="1:4" x14ac:dyDescent="0.3">
      <c r="A15251" s="34">
        <v>77383</v>
      </c>
      <c r="B15251" s="35">
        <v>1</v>
      </c>
      <c r="C15251" s="35">
        <v>0</v>
      </c>
      <c r="D15251" s="2">
        <f t="shared" si="238"/>
        <v>1</v>
      </c>
    </row>
    <row r="15252" spans="1:4" x14ac:dyDescent="0.3">
      <c r="A15252" s="34">
        <v>77384</v>
      </c>
      <c r="B15252" s="35">
        <v>1</v>
      </c>
      <c r="C15252" s="35">
        <v>0</v>
      </c>
      <c r="D15252" s="2">
        <f t="shared" si="238"/>
        <v>1</v>
      </c>
    </row>
    <row r="15253" spans="1:4" x14ac:dyDescent="0.3">
      <c r="A15253" s="34">
        <v>77386</v>
      </c>
      <c r="B15253" s="35">
        <v>1</v>
      </c>
      <c r="C15253" s="35">
        <v>0</v>
      </c>
      <c r="D15253" s="2">
        <f t="shared" si="238"/>
        <v>1</v>
      </c>
    </row>
    <row r="15254" spans="1:4" x14ac:dyDescent="0.3">
      <c r="A15254" s="34">
        <v>77387</v>
      </c>
      <c r="B15254" s="35">
        <v>1</v>
      </c>
      <c r="C15254" s="35">
        <v>1</v>
      </c>
      <c r="D15254" s="2">
        <f t="shared" si="238"/>
        <v>2</v>
      </c>
    </row>
    <row r="15255" spans="1:4" x14ac:dyDescent="0.3">
      <c r="A15255" s="34">
        <v>77388</v>
      </c>
      <c r="B15255" s="35">
        <v>1</v>
      </c>
      <c r="C15255" s="35">
        <v>0</v>
      </c>
      <c r="D15255" s="2">
        <f t="shared" si="238"/>
        <v>1</v>
      </c>
    </row>
    <row r="15256" spans="1:4" x14ac:dyDescent="0.3">
      <c r="A15256" s="34">
        <v>77389</v>
      </c>
      <c r="B15256" s="35">
        <v>1</v>
      </c>
      <c r="C15256" s="35">
        <v>0</v>
      </c>
      <c r="D15256" s="2">
        <f t="shared" si="238"/>
        <v>1</v>
      </c>
    </row>
    <row r="15257" spans="1:4" x14ac:dyDescent="0.3">
      <c r="A15257" s="34">
        <v>77394</v>
      </c>
      <c r="B15257" s="35">
        <v>1</v>
      </c>
      <c r="C15257" s="35">
        <v>0</v>
      </c>
      <c r="D15257" s="2">
        <f t="shared" si="238"/>
        <v>1</v>
      </c>
    </row>
    <row r="15258" spans="1:4" x14ac:dyDescent="0.3">
      <c r="A15258" s="34">
        <v>77395</v>
      </c>
      <c r="B15258" s="35">
        <v>1</v>
      </c>
      <c r="C15258" s="35">
        <v>0</v>
      </c>
      <c r="D15258" s="2">
        <f t="shared" si="238"/>
        <v>1</v>
      </c>
    </row>
    <row r="15259" spans="1:4" x14ac:dyDescent="0.3">
      <c r="A15259" s="34">
        <v>77397</v>
      </c>
      <c r="B15259" s="35">
        <v>1</v>
      </c>
      <c r="C15259" s="35">
        <v>0</v>
      </c>
      <c r="D15259" s="2">
        <f t="shared" si="238"/>
        <v>1</v>
      </c>
    </row>
    <row r="15260" spans="1:4" x14ac:dyDescent="0.3">
      <c r="A15260" s="34">
        <v>77398</v>
      </c>
      <c r="B15260" s="35">
        <v>1</v>
      </c>
      <c r="C15260" s="35">
        <v>0</v>
      </c>
      <c r="D15260" s="2">
        <f t="shared" si="238"/>
        <v>1</v>
      </c>
    </row>
    <row r="15261" spans="1:4" x14ac:dyDescent="0.3">
      <c r="A15261" s="34">
        <v>77399</v>
      </c>
      <c r="B15261" s="35">
        <v>2</v>
      </c>
      <c r="C15261" s="35">
        <v>1</v>
      </c>
      <c r="D15261" s="2">
        <f t="shared" si="238"/>
        <v>3</v>
      </c>
    </row>
    <row r="15262" spans="1:4" x14ac:dyDescent="0.3">
      <c r="A15262" s="34">
        <v>77401</v>
      </c>
      <c r="B15262" s="35">
        <v>1</v>
      </c>
      <c r="C15262" s="35">
        <v>0</v>
      </c>
      <c r="D15262" s="2">
        <f t="shared" si="238"/>
        <v>1</v>
      </c>
    </row>
    <row r="15263" spans="1:4" x14ac:dyDescent="0.3">
      <c r="A15263" s="34">
        <v>77403</v>
      </c>
      <c r="B15263" s="35">
        <v>1</v>
      </c>
      <c r="C15263" s="35">
        <v>0</v>
      </c>
      <c r="D15263" s="2">
        <f t="shared" si="238"/>
        <v>1</v>
      </c>
    </row>
    <row r="15264" spans="1:4" x14ac:dyDescent="0.3">
      <c r="A15264" s="34">
        <v>77404</v>
      </c>
      <c r="B15264" s="35">
        <v>1</v>
      </c>
      <c r="C15264" s="35">
        <v>0</v>
      </c>
      <c r="D15264" s="2">
        <f t="shared" si="238"/>
        <v>1</v>
      </c>
    </row>
    <row r="15265" spans="1:4" x14ac:dyDescent="0.3">
      <c r="A15265" s="34">
        <v>77405</v>
      </c>
      <c r="B15265" s="35">
        <v>1</v>
      </c>
      <c r="C15265" s="35">
        <v>0</v>
      </c>
      <c r="D15265" s="2">
        <f t="shared" si="238"/>
        <v>1</v>
      </c>
    </row>
    <row r="15266" spans="1:4" x14ac:dyDescent="0.3">
      <c r="A15266" s="34">
        <v>77406</v>
      </c>
      <c r="B15266" s="35">
        <v>1</v>
      </c>
      <c r="C15266" s="35">
        <v>0</v>
      </c>
      <c r="D15266" s="2">
        <f t="shared" si="238"/>
        <v>1</v>
      </c>
    </row>
    <row r="15267" spans="1:4" x14ac:dyDescent="0.3">
      <c r="A15267" s="34">
        <v>77407</v>
      </c>
      <c r="B15267" s="35">
        <v>1</v>
      </c>
      <c r="C15267" s="35">
        <v>0</v>
      </c>
      <c r="D15267" s="2">
        <f t="shared" si="238"/>
        <v>1</v>
      </c>
    </row>
    <row r="15268" spans="1:4" x14ac:dyDescent="0.3">
      <c r="A15268" s="34">
        <v>77409</v>
      </c>
      <c r="B15268" s="35">
        <v>1</v>
      </c>
      <c r="C15268" s="35">
        <v>0</v>
      </c>
      <c r="D15268" s="2">
        <f t="shared" si="238"/>
        <v>1</v>
      </c>
    </row>
    <row r="15269" spans="1:4" x14ac:dyDescent="0.3">
      <c r="A15269" s="34">
        <v>77410</v>
      </c>
      <c r="B15269" s="35">
        <v>1</v>
      </c>
      <c r="C15269" s="35">
        <v>0</v>
      </c>
      <c r="D15269" s="2">
        <f t="shared" si="238"/>
        <v>1</v>
      </c>
    </row>
    <row r="15270" spans="1:4" x14ac:dyDescent="0.3">
      <c r="A15270" s="34">
        <v>77411</v>
      </c>
      <c r="B15270" s="35">
        <v>1</v>
      </c>
      <c r="C15270" s="35">
        <v>0</v>
      </c>
      <c r="D15270" s="2">
        <f t="shared" si="238"/>
        <v>1</v>
      </c>
    </row>
    <row r="15271" spans="1:4" x14ac:dyDescent="0.3">
      <c r="A15271" s="34">
        <v>77412</v>
      </c>
      <c r="B15271" s="35">
        <v>1</v>
      </c>
      <c r="C15271" s="35">
        <v>0</v>
      </c>
      <c r="D15271" s="2">
        <f t="shared" si="238"/>
        <v>1</v>
      </c>
    </row>
    <row r="15272" spans="1:4" x14ac:dyDescent="0.3">
      <c r="A15272" s="34">
        <v>77413</v>
      </c>
      <c r="B15272" s="35">
        <v>1</v>
      </c>
      <c r="C15272" s="35">
        <v>0</v>
      </c>
      <c r="D15272" s="2">
        <f t="shared" si="238"/>
        <v>1</v>
      </c>
    </row>
    <row r="15273" spans="1:4" x14ac:dyDescent="0.3">
      <c r="A15273" s="34">
        <v>77415</v>
      </c>
      <c r="B15273" s="35">
        <v>1</v>
      </c>
      <c r="C15273" s="35">
        <v>0</v>
      </c>
      <c r="D15273" s="2">
        <f t="shared" si="238"/>
        <v>1</v>
      </c>
    </row>
    <row r="15274" spans="1:4" x14ac:dyDescent="0.3">
      <c r="A15274" s="34">
        <v>77416</v>
      </c>
      <c r="B15274" s="35">
        <v>1</v>
      </c>
      <c r="C15274" s="35">
        <v>0</v>
      </c>
      <c r="D15274" s="2">
        <f t="shared" si="238"/>
        <v>1</v>
      </c>
    </row>
    <row r="15275" spans="1:4" x14ac:dyDescent="0.3">
      <c r="A15275" s="34">
        <v>77417</v>
      </c>
      <c r="B15275" s="35">
        <v>1</v>
      </c>
      <c r="C15275" s="35">
        <v>0</v>
      </c>
      <c r="D15275" s="2">
        <f t="shared" si="238"/>
        <v>1</v>
      </c>
    </row>
    <row r="15276" spans="1:4" x14ac:dyDescent="0.3">
      <c r="A15276" s="34">
        <v>77418</v>
      </c>
      <c r="B15276" s="35">
        <v>1</v>
      </c>
      <c r="C15276" s="35">
        <v>0</v>
      </c>
      <c r="D15276" s="2">
        <f t="shared" si="238"/>
        <v>1</v>
      </c>
    </row>
    <row r="15277" spans="1:4" x14ac:dyDescent="0.3">
      <c r="A15277" s="34">
        <v>77419</v>
      </c>
      <c r="B15277" s="35">
        <v>1</v>
      </c>
      <c r="C15277" s="35">
        <v>0</v>
      </c>
      <c r="D15277" s="2">
        <f t="shared" si="238"/>
        <v>1</v>
      </c>
    </row>
    <row r="15278" spans="1:4" x14ac:dyDescent="0.3">
      <c r="A15278" s="34">
        <v>77420</v>
      </c>
      <c r="B15278" s="35">
        <v>1</v>
      </c>
      <c r="C15278" s="35">
        <v>0</v>
      </c>
      <c r="D15278" s="2">
        <f t="shared" si="238"/>
        <v>1</v>
      </c>
    </row>
    <row r="15279" spans="1:4" x14ac:dyDescent="0.3">
      <c r="A15279" s="34">
        <v>77424</v>
      </c>
      <c r="B15279" s="35">
        <v>1</v>
      </c>
      <c r="C15279" s="35">
        <v>0</v>
      </c>
      <c r="D15279" s="2">
        <f t="shared" si="238"/>
        <v>1</v>
      </c>
    </row>
    <row r="15280" spans="1:4" x14ac:dyDescent="0.3">
      <c r="A15280" s="34">
        <v>77426</v>
      </c>
      <c r="B15280" s="35">
        <v>1</v>
      </c>
      <c r="C15280" s="35">
        <v>0</v>
      </c>
      <c r="D15280" s="2">
        <f t="shared" si="238"/>
        <v>1</v>
      </c>
    </row>
    <row r="15281" spans="1:4" x14ac:dyDescent="0.3">
      <c r="A15281" s="34">
        <v>77428</v>
      </c>
      <c r="B15281" s="35">
        <v>2</v>
      </c>
      <c r="C15281" s="35">
        <v>0</v>
      </c>
      <c r="D15281" s="2">
        <f t="shared" si="238"/>
        <v>2</v>
      </c>
    </row>
    <row r="15282" spans="1:4" x14ac:dyDescent="0.3">
      <c r="A15282" s="34">
        <v>77429</v>
      </c>
      <c r="B15282" s="35">
        <v>1</v>
      </c>
      <c r="C15282" s="35">
        <v>1</v>
      </c>
      <c r="D15282" s="2">
        <f t="shared" si="238"/>
        <v>2</v>
      </c>
    </row>
    <row r="15283" spans="1:4" x14ac:dyDescent="0.3">
      <c r="A15283" s="34">
        <v>77431</v>
      </c>
      <c r="B15283" s="35">
        <v>1</v>
      </c>
      <c r="C15283" s="35">
        <v>1</v>
      </c>
      <c r="D15283" s="2">
        <f t="shared" si="238"/>
        <v>2</v>
      </c>
    </row>
    <row r="15284" spans="1:4" x14ac:dyDescent="0.3">
      <c r="A15284" s="34">
        <v>77432</v>
      </c>
      <c r="B15284" s="35">
        <v>1</v>
      </c>
      <c r="C15284" s="35">
        <v>0</v>
      </c>
      <c r="D15284" s="2">
        <f t="shared" si="238"/>
        <v>1</v>
      </c>
    </row>
    <row r="15285" spans="1:4" x14ac:dyDescent="0.3">
      <c r="A15285" s="34">
        <v>77433</v>
      </c>
      <c r="B15285" s="35">
        <v>1</v>
      </c>
      <c r="C15285" s="35">
        <v>1</v>
      </c>
      <c r="D15285" s="2">
        <f t="shared" si="238"/>
        <v>2</v>
      </c>
    </row>
    <row r="15286" spans="1:4" x14ac:dyDescent="0.3">
      <c r="A15286" s="34">
        <v>77434</v>
      </c>
      <c r="B15286" s="35">
        <v>1</v>
      </c>
      <c r="C15286" s="35">
        <v>0</v>
      </c>
      <c r="D15286" s="2">
        <f t="shared" si="238"/>
        <v>1</v>
      </c>
    </row>
    <row r="15287" spans="1:4" x14ac:dyDescent="0.3">
      <c r="A15287" s="34">
        <v>77435</v>
      </c>
      <c r="B15287" s="35">
        <v>1</v>
      </c>
      <c r="C15287" s="35">
        <v>0</v>
      </c>
      <c r="D15287" s="2">
        <f t="shared" si="238"/>
        <v>1</v>
      </c>
    </row>
    <row r="15288" spans="1:4" x14ac:dyDescent="0.3">
      <c r="A15288" s="34">
        <v>77436</v>
      </c>
      <c r="B15288" s="35">
        <v>1</v>
      </c>
      <c r="C15288" s="35">
        <v>0</v>
      </c>
      <c r="D15288" s="2">
        <f t="shared" si="238"/>
        <v>1</v>
      </c>
    </row>
    <row r="15289" spans="1:4" x14ac:dyDescent="0.3">
      <c r="A15289" s="34">
        <v>77437</v>
      </c>
      <c r="B15289" s="35">
        <v>1</v>
      </c>
      <c r="C15289" s="35">
        <v>0</v>
      </c>
      <c r="D15289" s="2">
        <f t="shared" si="238"/>
        <v>1</v>
      </c>
    </row>
    <row r="15290" spans="1:4" x14ac:dyDescent="0.3">
      <c r="A15290" s="34">
        <v>77439</v>
      </c>
      <c r="B15290" s="35">
        <v>1</v>
      </c>
      <c r="C15290" s="35">
        <v>0</v>
      </c>
      <c r="D15290" s="2">
        <f t="shared" si="238"/>
        <v>1</v>
      </c>
    </row>
    <row r="15291" spans="1:4" x14ac:dyDescent="0.3">
      <c r="A15291" s="34">
        <v>77440</v>
      </c>
      <c r="B15291" s="35">
        <v>1</v>
      </c>
      <c r="C15291" s="35">
        <v>1</v>
      </c>
      <c r="D15291" s="2">
        <f t="shared" si="238"/>
        <v>2</v>
      </c>
    </row>
    <row r="15292" spans="1:4" x14ac:dyDescent="0.3">
      <c r="A15292" s="34">
        <v>77441</v>
      </c>
      <c r="B15292" s="35">
        <v>1</v>
      </c>
      <c r="C15292" s="35">
        <v>0</v>
      </c>
      <c r="D15292" s="2">
        <f t="shared" si="238"/>
        <v>1</v>
      </c>
    </row>
    <row r="15293" spans="1:4" x14ac:dyDescent="0.3">
      <c r="A15293" s="34">
        <v>77442</v>
      </c>
      <c r="B15293" s="35">
        <v>1</v>
      </c>
      <c r="C15293" s="35">
        <v>0</v>
      </c>
      <c r="D15293" s="2">
        <f t="shared" si="238"/>
        <v>1</v>
      </c>
    </row>
    <row r="15294" spans="1:4" x14ac:dyDescent="0.3">
      <c r="A15294" s="34">
        <v>77444</v>
      </c>
      <c r="B15294" s="35">
        <v>1</v>
      </c>
      <c r="C15294" s="35">
        <v>0</v>
      </c>
      <c r="D15294" s="2">
        <f t="shared" si="238"/>
        <v>1</v>
      </c>
    </row>
    <row r="15295" spans="1:4" x14ac:dyDescent="0.3">
      <c r="A15295" s="34">
        <v>77447</v>
      </c>
      <c r="B15295" s="35">
        <v>1</v>
      </c>
      <c r="C15295" s="35">
        <v>0</v>
      </c>
      <c r="D15295" s="2">
        <f t="shared" si="238"/>
        <v>1</v>
      </c>
    </row>
    <row r="15296" spans="1:4" x14ac:dyDescent="0.3">
      <c r="A15296" s="34">
        <v>77448</v>
      </c>
      <c r="B15296" s="35">
        <v>1</v>
      </c>
      <c r="C15296" s="35">
        <v>0</v>
      </c>
      <c r="D15296" s="2">
        <f t="shared" si="238"/>
        <v>1</v>
      </c>
    </row>
    <row r="15297" spans="1:4" x14ac:dyDescent="0.3">
      <c r="A15297" s="34">
        <v>77449</v>
      </c>
      <c r="B15297" s="35">
        <v>1</v>
      </c>
      <c r="C15297" s="35">
        <v>0</v>
      </c>
      <c r="D15297" s="2">
        <f t="shared" si="238"/>
        <v>1</v>
      </c>
    </row>
    <row r="15298" spans="1:4" x14ac:dyDescent="0.3">
      <c r="A15298" s="34">
        <v>77450</v>
      </c>
      <c r="B15298" s="35">
        <v>1</v>
      </c>
      <c r="C15298" s="35">
        <v>0</v>
      </c>
      <c r="D15298" s="2">
        <f t="shared" si="238"/>
        <v>1</v>
      </c>
    </row>
    <row r="15299" spans="1:4" x14ac:dyDescent="0.3">
      <c r="A15299" s="34">
        <v>77451</v>
      </c>
      <c r="B15299" s="35">
        <v>1</v>
      </c>
      <c r="C15299" s="35">
        <v>0</v>
      </c>
      <c r="D15299" s="2">
        <f t="shared" ref="D15299:D15362" si="239">B15299+C15299</f>
        <v>1</v>
      </c>
    </row>
    <row r="15300" spans="1:4" x14ac:dyDescent="0.3">
      <c r="A15300" s="34">
        <v>77452</v>
      </c>
      <c r="B15300" s="35">
        <v>1</v>
      </c>
      <c r="C15300" s="35">
        <v>0</v>
      </c>
      <c r="D15300" s="2">
        <f t="shared" si="239"/>
        <v>1</v>
      </c>
    </row>
    <row r="15301" spans="1:4" x14ac:dyDescent="0.3">
      <c r="A15301" s="34">
        <v>77453</v>
      </c>
      <c r="B15301" s="35">
        <v>1</v>
      </c>
      <c r="C15301" s="35">
        <v>0</v>
      </c>
      <c r="D15301" s="2">
        <f t="shared" si="239"/>
        <v>1</v>
      </c>
    </row>
    <row r="15302" spans="1:4" x14ac:dyDescent="0.3">
      <c r="A15302" s="34">
        <v>77454</v>
      </c>
      <c r="B15302" s="35">
        <v>1</v>
      </c>
      <c r="C15302" s="35">
        <v>0</v>
      </c>
      <c r="D15302" s="2">
        <f t="shared" si="239"/>
        <v>1</v>
      </c>
    </row>
    <row r="15303" spans="1:4" x14ac:dyDescent="0.3">
      <c r="A15303" s="34">
        <v>77455</v>
      </c>
      <c r="B15303" s="35">
        <v>1</v>
      </c>
      <c r="C15303" s="35">
        <v>0</v>
      </c>
      <c r="D15303" s="2">
        <f t="shared" si="239"/>
        <v>1</v>
      </c>
    </row>
    <row r="15304" spans="1:4" x14ac:dyDescent="0.3">
      <c r="A15304" s="34">
        <v>77456</v>
      </c>
      <c r="B15304" s="35">
        <v>1</v>
      </c>
      <c r="C15304" s="35">
        <v>0</v>
      </c>
      <c r="D15304" s="2">
        <f t="shared" si="239"/>
        <v>1</v>
      </c>
    </row>
    <row r="15305" spans="1:4" x14ac:dyDescent="0.3">
      <c r="A15305" s="34">
        <v>77457</v>
      </c>
      <c r="B15305" s="35">
        <v>1</v>
      </c>
      <c r="C15305" s="35">
        <v>0</v>
      </c>
      <c r="D15305" s="2">
        <f t="shared" si="239"/>
        <v>1</v>
      </c>
    </row>
    <row r="15306" spans="1:4" x14ac:dyDescent="0.3">
      <c r="A15306" s="34">
        <v>77458</v>
      </c>
      <c r="B15306" s="35">
        <v>1</v>
      </c>
      <c r="C15306" s="35">
        <v>0</v>
      </c>
      <c r="D15306" s="2">
        <f t="shared" si="239"/>
        <v>1</v>
      </c>
    </row>
    <row r="15307" spans="1:4" x14ac:dyDescent="0.3">
      <c r="A15307" s="34">
        <v>77459</v>
      </c>
      <c r="B15307" s="35">
        <v>1</v>
      </c>
      <c r="C15307" s="35">
        <v>0</v>
      </c>
      <c r="D15307" s="2">
        <f t="shared" si="239"/>
        <v>1</v>
      </c>
    </row>
    <row r="15308" spans="1:4" x14ac:dyDescent="0.3">
      <c r="A15308" s="34">
        <v>77460</v>
      </c>
      <c r="B15308" s="35">
        <v>1</v>
      </c>
      <c r="C15308" s="35">
        <v>0</v>
      </c>
      <c r="D15308" s="2">
        <f t="shared" si="239"/>
        <v>1</v>
      </c>
    </row>
    <row r="15309" spans="1:4" x14ac:dyDescent="0.3">
      <c r="A15309" s="34">
        <v>77462</v>
      </c>
      <c r="B15309" s="35">
        <v>1</v>
      </c>
      <c r="C15309" s="35">
        <v>0</v>
      </c>
      <c r="D15309" s="2">
        <f t="shared" si="239"/>
        <v>1</v>
      </c>
    </row>
    <row r="15310" spans="1:4" x14ac:dyDescent="0.3">
      <c r="A15310" s="34">
        <v>77463</v>
      </c>
      <c r="B15310" s="35">
        <v>1</v>
      </c>
      <c r="C15310" s="35">
        <v>0</v>
      </c>
      <c r="D15310" s="2">
        <f t="shared" si="239"/>
        <v>1</v>
      </c>
    </row>
    <row r="15311" spans="1:4" x14ac:dyDescent="0.3">
      <c r="A15311" s="34">
        <v>77464</v>
      </c>
      <c r="B15311" s="35">
        <v>1</v>
      </c>
      <c r="C15311" s="35">
        <v>0</v>
      </c>
      <c r="D15311" s="2">
        <f t="shared" si="239"/>
        <v>1</v>
      </c>
    </row>
    <row r="15312" spans="1:4" x14ac:dyDescent="0.3">
      <c r="A15312" s="34">
        <v>77465</v>
      </c>
      <c r="B15312" s="35">
        <v>1</v>
      </c>
      <c r="C15312" s="35">
        <v>0</v>
      </c>
      <c r="D15312" s="2">
        <f t="shared" si="239"/>
        <v>1</v>
      </c>
    </row>
    <row r="15313" spans="1:4" x14ac:dyDescent="0.3">
      <c r="A15313" s="34">
        <v>77466</v>
      </c>
      <c r="B15313" s="35">
        <v>1</v>
      </c>
      <c r="C15313" s="35">
        <v>0</v>
      </c>
      <c r="D15313" s="2">
        <f t="shared" si="239"/>
        <v>1</v>
      </c>
    </row>
    <row r="15314" spans="1:4" x14ac:dyDescent="0.3">
      <c r="A15314" s="34">
        <v>77467</v>
      </c>
      <c r="B15314" s="35">
        <v>1</v>
      </c>
      <c r="C15314" s="35">
        <v>0</v>
      </c>
      <c r="D15314" s="2">
        <f t="shared" si="239"/>
        <v>1</v>
      </c>
    </row>
    <row r="15315" spans="1:4" x14ac:dyDescent="0.3">
      <c r="A15315" s="34">
        <v>77468</v>
      </c>
      <c r="B15315" s="35">
        <v>1</v>
      </c>
      <c r="C15315" s="35">
        <v>0</v>
      </c>
      <c r="D15315" s="2">
        <f t="shared" si="239"/>
        <v>1</v>
      </c>
    </row>
    <row r="15316" spans="1:4" x14ac:dyDescent="0.3">
      <c r="A15316" s="34">
        <v>77469</v>
      </c>
      <c r="B15316" s="35">
        <v>1</v>
      </c>
      <c r="C15316" s="35">
        <v>0</v>
      </c>
      <c r="D15316" s="2">
        <f t="shared" si="239"/>
        <v>1</v>
      </c>
    </row>
    <row r="15317" spans="1:4" x14ac:dyDescent="0.3">
      <c r="A15317" s="34">
        <v>77470</v>
      </c>
      <c r="B15317" s="35">
        <v>1</v>
      </c>
      <c r="C15317" s="35">
        <v>0</v>
      </c>
      <c r="D15317" s="2">
        <f t="shared" si="239"/>
        <v>1</v>
      </c>
    </row>
    <row r="15318" spans="1:4" x14ac:dyDescent="0.3">
      <c r="A15318" s="34">
        <v>77471</v>
      </c>
      <c r="B15318" s="35">
        <v>1</v>
      </c>
      <c r="C15318" s="35">
        <v>0</v>
      </c>
      <c r="D15318" s="2">
        <f t="shared" si="239"/>
        <v>1</v>
      </c>
    </row>
    <row r="15319" spans="1:4" x14ac:dyDescent="0.3">
      <c r="A15319" s="34">
        <v>77473</v>
      </c>
      <c r="B15319" s="35">
        <v>1</v>
      </c>
      <c r="C15319" s="35">
        <v>0</v>
      </c>
      <c r="D15319" s="2">
        <f t="shared" si="239"/>
        <v>1</v>
      </c>
    </row>
    <row r="15320" spans="1:4" x14ac:dyDescent="0.3">
      <c r="A15320" s="34">
        <v>77474</v>
      </c>
      <c r="B15320" s="35">
        <v>1</v>
      </c>
      <c r="C15320" s="35">
        <v>0</v>
      </c>
      <c r="D15320" s="2">
        <f t="shared" si="239"/>
        <v>1</v>
      </c>
    </row>
    <row r="15321" spans="1:4" x14ac:dyDescent="0.3">
      <c r="A15321" s="34">
        <v>77475</v>
      </c>
      <c r="B15321" s="35">
        <v>1</v>
      </c>
      <c r="C15321" s="35">
        <v>0</v>
      </c>
      <c r="D15321" s="2">
        <f t="shared" si="239"/>
        <v>1</v>
      </c>
    </row>
    <row r="15322" spans="1:4" x14ac:dyDescent="0.3">
      <c r="A15322" s="34">
        <v>77476</v>
      </c>
      <c r="B15322" s="35">
        <v>1</v>
      </c>
      <c r="C15322" s="35">
        <v>0</v>
      </c>
      <c r="D15322" s="2">
        <f t="shared" si="239"/>
        <v>1</v>
      </c>
    </row>
    <row r="15323" spans="1:4" x14ac:dyDescent="0.3">
      <c r="A15323" s="34">
        <v>77477</v>
      </c>
      <c r="B15323" s="35">
        <v>1</v>
      </c>
      <c r="C15323" s="35">
        <v>0</v>
      </c>
      <c r="D15323" s="2">
        <f t="shared" si="239"/>
        <v>1</v>
      </c>
    </row>
    <row r="15324" spans="1:4" x14ac:dyDescent="0.3">
      <c r="A15324" s="34">
        <v>77479</v>
      </c>
      <c r="B15324" s="35">
        <v>1</v>
      </c>
      <c r="C15324" s="35">
        <v>0</v>
      </c>
      <c r="D15324" s="2">
        <f t="shared" si="239"/>
        <v>1</v>
      </c>
    </row>
    <row r="15325" spans="1:4" x14ac:dyDescent="0.3">
      <c r="A15325" s="34">
        <v>77480</v>
      </c>
      <c r="B15325" s="35">
        <v>1</v>
      </c>
      <c r="C15325" s="35">
        <v>0</v>
      </c>
      <c r="D15325" s="2">
        <f t="shared" si="239"/>
        <v>1</v>
      </c>
    </row>
    <row r="15326" spans="1:4" x14ac:dyDescent="0.3">
      <c r="A15326" s="34">
        <v>77481</v>
      </c>
      <c r="B15326" s="35">
        <v>1</v>
      </c>
      <c r="C15326" s="35">
        <v>0</v>
      </c>
      <c r="D15326" s="2">
        <f t="shared" si="239"/>
        <v>1</v>
      </c>
    </row>
    <row r="15327" spans="1:4" x14ac:dyDescent="0.3">
      <c r="A15327" s="34">
        <v>77482</v>
      </c>
      <c r="B15327" s="35">
        <v>1</v>
      </c>
      <c r="C15327" s="35">
        <v>0</v>
      </c>
      <c r="D15327" s="2">
        <f t="shared" si="239"/>
        <v>1</v>
      </c>
    </row>
    <row r="15328" spans="1:4" x14ac:dyDescent="0.3">
      <c r="A15328" s="34">
        <v>77483</v>
      </c>
      <c r="B15328" s="35">
        <v>1</v>
      </c>
      <c r="C15328" s="35">
        <v>0</v>
      </c>
      <c r="D15328" s="2">
        <f t="shared" si="239"/>
        <v>1</v>
      </c>
    </row>
    <row r="15329" spans="1:4" x14ac:dyDescent="0.3">
      <c r="A15329" s="34">
        <v>77486</v>
      </c>
      <c r="B15329" s="35">
        <v>1</v>
      </c>
      <c r="C15329" s="35">
        <v>0</v>
      </c>
      <c r="D15329" s="2">
        <f t="shared" si="239"/>
        <v>1</v>
      </c>
    </row>
    <row r="15330" spans="1:4" x14ac:dyDescent="0.3">
      <c r="A15330" s="34">
        <v>77487</v>
      </c>
      <c r="B15330" s="35">
        <v>1</v>
      </c>
      <c r="C15330" s="35">
        <v>0</v>
      </c>
      <c r="D15330" s="2">
        <f t="shared" si="239"/>
        <v>1</v>
      </c>
    </row>
    <row r="15331" spans="1:4" x14ac:dyDescent="0.3">
      <c r="A15331" s="34">
        <v>77488</v>
      </c>
      <c r="B15331" s="35">
        <v>1</v>
      </c>
      <c r="C15331" s="35">
        <v>0</v>
      </c>
      <c r="D15331" s="2">
        <f t="shared" si="239"/>
        <v>1</v>
      </c>
    </row>
    <row r="15332" spans="1:4" x14ac:dyDescent="0.3">
      <c r="A15332" s="34">
        <v>77489</v>
      </c>
      <c r="B15332" s="35">
        <v>1</v>
      </c>
      <c r="C15332" s="35">
        <v>0</v>
      </c>
      <c r="D15332" s="2">
        <f t="shared" si="239"/>
        <v>1</v>
      </c>
    </row>
    <row r="15333" spans="1:4" x14ac:dyDescent="0.3">
      <c r="A15333" s="34">
        <v>77490</v>
      </c>
      <c r="B15333" s="35">
        <v>1</v>
      </c>
      <c r="C15333" s="35">
        <v>0</v>
      </c>
      <c r="D15333" s="2">
        <f t="shared" si="239"/>
        <v>1</v>
      </c>
    </row>
    <row r="15334" spans="1:4" x14ac:dyDescent="0.3">
      <c r="A15334" s="34">
        <v>77491</v>
      </c>
      <c r="B15334" s="35">
        <v>1</v>
      </c>
      <c r="C15334" s="35">
        <v>0</v>
      </c>
      <c r="D15334" s="2">
        <f t="shared" si="239"/>
        <v>1</v>
      </c>
    </row>
    <row r="15335" spans="1:4" x14ac:dyDescent="0.3">
      <c r="A15335" s="34">
        <v>77493</v>
      </c>
      <c r="B15335" s="35">
        <v>1</v>
      </c>
      <c r="C15335" s="35">
        <v>0</v>
      </c>
      <c r="D15335" s="2">
        <f t="shared" si="239"/>
        <v>1</v>
      </c>
    </row>
    <row r="15336" spans="1:4" x14ac:dyDescent="0.3">
      <c r="A15336" s="34">
        <v>77494</v>
      </c>
      <c r="B15336" s="35">
        <v>1</v>
      </c>
      <c r="C15336" s="35">
        <v>0</v>
      </c>
      <c r="D15336" s="2">
        <f t="shared" si="239"/>
        <v>1</v>
      </c>
    </row>
    <row r="15337" spans="1:4" x14ac:dyDescent="0.3">
      <c r="A15337" s="34">
        <v>77495</v>
      </c>
      <c r="B15337" s="35">
        <v>1</v>
      </c>
      <c r="C15337" s="35">
        <v>0</v>
      </c>
      <c r="D15337" s="2">
        <f t="shared" si="239"/>
        <v>1</v>
      </c>
    </row>
    <row r="15338" spans="1:4" x14ac:dyDescent="0.3">
      <c r="A15338" s="34">
        <v>77497</v>
      </c>
      <c r="B15338" s="35">
        <v>1</v>
      </c>
      <c r="C15338" s="35">
        <v>0</v>
      </c>
      <c r="D15338" s="2">
        <f t="shared" si="239"/>
        <v>1</v>
      </c>
    </row>
    <row r="15339" spans="1:4" x14ac:dyDescent="0.3">
      <c r="A15339" s="34">
        <v>77498</v>
      </c>
      <c r="B15339" s="35">
        <v>1</v>
      </c>
      <c r="C15339" s="35">
        <v>0</v>
      </c>
      <c r="D15339" s="2">
        <f t="shared" si="239"/>
        <v>1</v>
      </c>
    </row>
    <row r="15340" spans="1:4" x14ac:dyDescent="0.3">
      <c r="A15340" s="34">
        <v>77499</v>
      </c>
      <c r="B15340" s="35">
        <v>1</v>
      </c>
      <c r="C15340" s="35">
        <v>0</v>
      </c>
      <c r="D15340" s="2">
        <f t="shared" si="239"/>
        <v>1</v>
      </c>
    </row>
    <row r="15341" spans="1:4" x14ac:dyDescent="0.3">
      <c r="A15341" s="34">
        <v>77500</v>
      </c>
      <c r="B15341" s="35">
        <v>1</v>
      </c>
      <c r="C15341" s="35">
        <v>0</v>
      </c>
      <c r="D15341" s="2">
        <f t="shared" si="239"/>
        <v>1</v>
      </c>
    </row>
    <row r="15342" spans="1:4" x14ac:dyDescent="0.3">
      <c r="A15342" s="34">
        <v>77502</v>
      </c>
      <c r="B15342" s="35">
        <v>1</v>
      </c>
      <c r="C15342" s="35">
        <v>0</v>
      </c>
      <c r="D15342" s="2">
        <f t="shared" si="239"/>
        <v>1</v>
      </c>
    </row>
    <row r="15343" spans="1:4" x14ac:dyDescent="0.3">
      <c r="A15343" s="34">
        <v>77503</v>
      </c>
      <c r="B15343" s="35">
        <v>1</v>
      </c>
      <c r="C15343" s="35">
        <v>0</v>
      </c>
      <c r="D15343" s="2">
        <f t="shared" si="239"/>
        <v>1</v>
      </c>
    </row>
    <row r="15344" spans="1:4" x14ac:dyDescent="0.3">
      <c r="A15344" s="34">
        <v>77504</v>
      </c>
      <c r="B15344" s="35">
        <v>1</v>
      </c>
      <c r="C15344" s="35">
        <v>0</v>
      </c>
      <c r="D15344" s="2">
        <f t="shared" si="239"/>
        <v>1</v>
      </c>
    </row>
    <row r="15345" spans="1:4" x14ac:dyDescent="0.3">
      <c r="A15345" s="34">
        <v>77505</v>
      </c>
      <c r="B15345" s="35">
        <v>1</v>
      </c>
      <c r="C15345" s="35">
        <v>0</v>
      </c>
      <c r="D15345" s="2">
        <f t="shared" si="239"/>
        <v>1</v>
      </c>
    </row>
    <row r="15346" spans="1:4" x14ac:dyDescent="0.3">
      <c r="A15346" s="34">
        <v>77508</v>
      </c>
      <c r="B15346" s="35">
        <v>1</v>
      </c>
      <c r="C15346" s="35">
        <v>0</v>
      </c>
      <c r="D15346" s="2">
        <f t="shared" si="239"/>
        <v>1</v>
      </c>
    </row>
    <row r="15347" spans="1:4" x14ac:dyDescent="0.3">
      <c r="A15347" s="34">
        <v>77509</v>
      </c>
      <c r="B15347" s="35">
        <v>1</v>
      </c>
      <c r="C15347" s="35">
        <v>0</v>
      </c>
      <c r="D15347" s="2">
        <f t="shared" si="239"/>
        <v>1</v>
      </c>
    </row>
    <row r="15348" spans="1:4" x14ac:dyDescent="0.3">
      <c r="A15348" s="34">
        <v>77510</v>
      </c>
      <c r="B15348" s="35">
        <v>1</v>
      </c>
      <c r="C15348" s="35">
        <v>0</v>
      </c>
      <c r="D15348" s="2">
        <f t="shared" si="239"/>
        <v>1</v>
      </c>
    </row>
    <row r="15349" spans="1:4" x14ac:dyDescent="0.3">
      <c r="A15349" s="34">
        <v>77511</v>
      </c>
      <c r="B15349" s="35">
        <v>1</v>
      </c>
      <c r="C15349" s="35">
        <v>0</v>
      </c>
      <c r="D15349" s="2">
        <f t="shared" si="239"/>
        <v>1</v>
      </c>
    </row>
    <row r="15350" spans="1:4" x14ac:dyDescent="0.3">
      <c r="A15350" s="34">
        <v>77512</v>
      </c>
      <c r="B15350" s="35">
        <v>1</v>
      </c>
      <c r="C15350" s="35">
        <v>0</v>
      </c>
      <c r="D15350" s="2">
        <f t="shared" si="239"/>
        <v>1</v>
      </c>
    </row>
    <row r="15351" spans="1:4" x14ac:dyDescent="0.3">
      <c r="A15351" s="34">
        <v>77513</v>
      </c>
      <c r="B15351" s="35">
        <v>1</v>
      </c>
      <c r="C15351" s="35">
        <v>0</v>
      </c>
      <c r="D15351" s="2">
        <f t="shared" si="239"/>
        <v>1</v>
      </c>
    </row>
    <row r="15352" spans="1:4" x14ac:dyDescent="0.3">
      <c r="A15352" s="34">
        <v>77514</v>
      </c>
      <c r="B15352" s="35">
        <v>1</v>
      </c>
      <c r="C15352" s="35">
        <v>1</v>
      </c>
      <c r="D15352" s="2">
        <f t="shared" si="239"/>
        <v>2</v>
      </c>
    </row>
    <row r="15353" spans="1:4" x14ac:dyDescent="0.3">
      <c r="A15353" s="34">
        <v>77515</v>
      </c>
      <c r="B15353" s="35">
        <v>1</v>
      </c>
      <c r="C15353" s="35">
        <v>0</v>
      </c>
      <c r="D15353" s="2">
        <f t="shared" si="239"/>
        <v>1</v>
      </c>
    </row>
    <row r="15354" spans="1:4" x14ac:dyDescent="0.3">
      <c r="A15354" s="34">
        <v>77516</v>
      </c>
      <c r="B15354" s="35">
        <v>1</v>
      </c>
      <c r="C15354" s="35">
        <v>1</v>
      </c>
      <c r="D15354" s="2">
        <f t="shared" si="239"/>
        <v>2</v>
      </c>
    </row>
    <row r="15355" spans="1:4" x14ac:dyDescent="0.3">
      <c r="A15355" s="34">
        <v>77517</v>
      </c>
      <c r="B15355" s="35">
        <v>1</v>
      </c>
      <c r="C15355" s="35">
        <v>0</v>
      </c>
      <c r="D15355" s="2">
        <f t="shared" si="239"/>
        <v>1</v>
      </c>
    </row>
    <row r="15356" spans="1:4" x14ac:dyDescent="0.3">
      <c r="A15356" s="34">
        <v>77534</v>
      </c>
      <c r="B15356" s="35">
        <v>1</v>
      </c>
      <c r="C15356" s="35">
        <v>1</v>
      </c>
      <c r="D15356" s="2">
        <f t="shared" si="239"/>
        <v>2</v>
      </c>
    </row>
    <row r="15357" spans="1:4" x14ac:dyDescent="0.3">
      <c r="A15357" s="34">
        <v>77537</v>
      </c>
      <c r="B15357" s="35">
        <v>1</v>
      </c>
      <c r="C15357" s="35">
        <v>0</v>
      </c>
      <c r="D15357" s="2">
        <f t="shared" si="239"/>
        <v>1</v>
      </c>
    </row>
    <row r="15358" spans="1:4" x14ac:dyDescent="0.3">
      <c r="A15358" s="34">
        <v>77538</v>
      </c>
      <c r="B15358" s="35">
        <v>1</v>
      </c>
      <c r="C15358" s="35">
        <v>0</v>
      </c>
      <c r="D15358" s="2">
        <f t="shared" si="239"/>
        <v>1</v>
      </c>
    </row>
    <row r="15359" spans="1:4" x14ac:dyDescent="0.3">
      <c r="A15359" s="34">
        <v>77543</v>
      </c>
      <c r="B15359" s="35">
        <v>1</v>
      </c>
      <c r="C15359" s="35">
        <v>0</v>
      </c>
      <c r="D15359" s="2">
        <f t="shared" si="239"/>
        <v>1</v>
      </c>
    </row>
    <row r="15360" spans="1:4" x14ac:dyDescent="0.3">
      <c r="A15360" s="34">
        <v>77544</v>
      </c>
      <c r="B15360" s="35">
        <v>1</v>
      </c>
      <c r="C15360" s="35">
        <v>0</v>
      </c>
      <c r="D15360" s="2">
        <f t="shared" si="239"/>
        <v>1</v>
      </c>
    </row>
    <row r="15361" spans="1:4" x14ac:dyDescent="0.3">
      <c r="A15361" s="34">
        <v>77545</v>
      </c>
      <c r="B15361" s="35">
        <v>1</v>
      </c>
      <c r="C15361" s="35">
        <v>0</v>
      </c>
      <c r="D15361" s="2">
        <f t="shared" si="239"/>
        <v>1</v>
      </c>
    </row>
    <row r="15362" spans="1:4" x14ac:dyDescent="0.3">
      <c r="A15362" s="34">
        <v>77546</v>
      </c>
      <c r="B15362" s="35">
        <v>1</v>
      </c>
      <c r="C15362" s="35">
        <v>1</v>
      </c>
      <c r="D15362" s="2">
        <f t="shared" si="239"/>
        <v>2</v>
      </c>
    </row>
    <row r="15363" spans="1:4" x14ac:dyDescent="0.3">
      <c r="A15363" s="34">
        <v>77547</v>
      </c>
      <c r="B15363" s="35">
        <v>1</v>
      </c>
      <c r="C15363" s="35">
        <v>0</v>
      </c>
      <c r="D15363" s="2">
        <f t="shared" ref="D15363:D15426" si="240">B15363+C15363</f>
        <v>1</v>
      </c>
    </row>
    <row r="15364" spans="1:4" x14ac:dyDescent="0.3">
      <c r="A15364" s="34">
        <v>77548</v>
      </c>
      <c r="B15364" s="35">
        <v>1</v>
      </c>
      <c r="C15364" s="35">
        <v>0</v>
      </c>
      <c r="D15364" s="2">
        <f t="shared" si="240"/>
        <v>1</v>
      </c>
    </row>
    <row r="15365" spans="1:4" x14ac:dyDescent="0.3">
      <c r="A15365" s="34">
        <v>77549</v>
      </c>
      <c r="B15365" s="35">
        <v>1</v>
      </c>
      <c r="C15365" s="35">
        <v>0</v>
      </c>
      <c r="D15365" s="2">
        <f t="shared" si="240"/>
        <v>1</v>
      </c>
    </row>
    <row r="15366" spans="1:4" x14ac:dyDescent="0.3">
      <c r="A15366" s="34">
        <v>77550</v>
      </c>
      <c r="B15366" s="35">
        <v>1</v>
      </c>
      <c r="C15366" s="35">
        <v>0</v>
      </c>
      <c r="D15366" s="2">
        <f t="shared" si="240"/>
        <v>1</v>
      </c>
    </row>
    <row r="15367" spans="1:4" x14ac:dyDescent="0.3">
      <c r="A15367" s="34">
        <v>77551</v>
      </c>
      <c r="B15367" s="35">
        <v>1</v>
      </c>
      <c r="C15367" s="35">
        <v>1</v>
      </c>
      <c r="D15367" s="2">
        <f t="shared" si="240"/>
        <v>2</v>
      </c>
    </row>
    <row r="15368" spans="1:4" x14ac:dyDescent="0.3">
      <c r="A15368" s="34">
        <v>77552</v>
      </c>
      <c r="B15368" s="35">
        <v>1</v>
      </c>
      <c r="C15368" s="35">
        <v>0</v>
      </c>
      <c r="D15368" s="2">
        <f t="shared" si="240"/>
        <v>1</v>
      </c>
    </row>
    <row r="15369" spans="1:4" x14ac:dyDescent="0.3">
      <c r="A15369" s="34">
        <v>77553</v>
      </c>
      <c r="B15369" s="35">
        <v>1</v>
      </c>
      <c r="C15369" s="35">
        <v>1</v>
      </c>
      <c r="D15369" s="2">
        <f t="shared" si="240"/>
        <v>2</v>
      </c>
    </row>
    <row r="15370" spans="1:4" x14ac:dyDescent="0.3">
      <c r="A15370" s="34">
        <v>77554</v>
      </c>
      <c r="B15370" s="35">
        <v>1</v>
      </c>
      <c r="C15370" s="35">
        <v>0</v>
      </c>
      <c r="D15370" s="2">
        <f t="shared" si="240"/>
        <v>1</v>
      </c>
    </row>
    <row r="15371" spans="1:4" x14ac:dyDescent="0.3">
      <c r="A15371" s="34">
        <v>77555</v>
      </c>
      <c r="B15371" s="35">
        <v>1</v>
      </c>
      <c r="C15371" s="35">
        <v>0</v>
      </c>
      <c r="D15371" s="2">
        <f t="shared" si="240"/>
        <v>1</v>
      </c>
    </row>
    <row r="15372" spans="1:4" x14ac:dyDescent="0.3">
      <c r="A15372" s="34">
        <v>77556</v>
      </c>
      <c r="B15372" s="35">
        <v>1</v>
      </c>
      <c r="C15372" s="35">
        <v>1</v>
      </c>
      <c r="D15372" s="2">
        <f t="shared" si="240"/>
        <v>2</v>
      </c>
    </row>
    <row r="15373" spans="1:4" x14ac:dyDescent="0.3">
      <c r="A15373" s="34">
        <v>77557</v>
      </c>
      <c r="B15373" s="35">
        <v>1</v>
      </c>
      <c r="C15373" s="35">
        <v>0</v>
      </c>
      <c r="D15373" s="2">
        <f t="shared" si="240"/>
        <v>1</v>
      </c>
    </row>
    <row r="15374" spans="1:4" x14ac:dyDescent="0.3">
      <c r="A15374" s="34">
        <v>77558</v>
      </c>
      <c r="B15374" s="35">
        <v>1</v>
      </c>
      <c r="C15374" s="35">
        <v>0</v>
      </c>
      <c r="D15374" s="2">
        <f t="shared" si="240"/>
        <v>1</v>
      </c>
    </row>
    <row r="15375" spans="1:4" x14ac:dyDescent="0.3">
      <c r="A15375" s="34">
        <v>77559</v>
      </c>
      <c r="B15375" s="35">
        <v>1</v>
      </c>
      <c r="C15375" s="35">
        <v>0</v>
      </c>
      <c r="D15375" s="2">
        <f t="shared" si="240"/>
        <v>1</v>
      </c>
    </row>
    <row r="15376" spans="1:4" x14ac:dyDescent="0.3">
      <c r="A15376" s="34">
        <v>77560</v>
      </c>
      <c r="B15376" s="35">
        <v>1</v>
      </c>
      <c r="C15376" s="35">
        <v>0</v>
      </c>
      <c r="D15376" s="2">
        <f t="shared" si="240"/>
        <v>1</v>
      </c>
    </row>
    <row r="15377" spans="1:4" x14ac:dyDescent="0.3">
      <c r="A15377" s="34">
        <v>77561</v>
      </c>
      <c r="B15377" s="35">
        <v>1</v>
      </c>
      <c r="C15377" s="35">
        <v>1</v>
      </c>
      <c r="D15377" s="2">
        <f t="shared" si="240"/>
        <v>2</v>
      </c>
    </row>
    <row r="15378" spans="1:4" x14ac:dyDescent="0.3">
      <c r="A15378" s="34">
        <v>77563</v>
      </c>
      <c r="B15378" s="35">
        <v>1</v>
      </c>
      <c r="C15378" s="35">
        <v>1</v>
      </c>
      <c r="D15378" s="2">
        <f t="shared" si="240"/>
        <v>2</v>
      </c>
    </row>
    <row r="15379" spans="1:4" x14ac:dyDescent="0.3">
      <c r="A15379" s="34">
        <v>77564</v>
      </c>
      <c r="B15379" s="35">
        <v>1</v>
      </c>
      <c r="C15379" s="35">
        <v>0</v>
      </c>
      <c r="D15379" s="2">
        <f t="shared" si="240"/>
        <v>1</v>
      </c>
    </row>
    <row r="15380" spans="1:4" x14ac:dyDescent="0.3">
      <c r="A15380" s="34">
        <v>77565</v>
      </c>
      <c r="B15380" s="35">
        <v>1</v>
      </c>
      <c r="C15380" s="35">
        <v>1</v>
      </c>
      <c r="D15380" s="2">
        <f t="shared" si="240"/>
        <v>2</v>
      </c>
    </row>
    <row r="15381" spans="1:4" x14ac:dyDescent="0.3">
      <c r="A15381" s="34">
        <v>77566</v>
      </c>
      <c r="B15381" s="35">
        <v>1</v>
      </c>
      <c r="C15381" s="35">
        <v>0</v>
      </c>
      <c r="D15381" s="2">
        <f t="shared" si="240"/>
        <v>1</v>
      </c>
    </row>
    <row r="15382" spans="1:4" x14ac:dyDescent="0.3">
      <c r="A15382" s="34">
        <v>77567</v>
      </c>
      <c r="B15382" s="35">
        <v>1</v>
      </c>
      <c r="C15382" s="35">
        <v>0</v>
      </c>
      <c r="D15382" s="2">
        <f t="shared" si="240"/>
        <v>1</v>
      </c>
    </row>
    <row r="15383" spans="1:4" x14ac:dyDescent="0.3">
      <c r="A15383" s="34">
        <v>77568</v>
      </c>
      <c r="B15383" s="35">
        <v>1</v>
      </c>
      <c r="C15383" s="35">
        <v>0</v>
      </c>
      <c r="D15383" s="2">
        <f t="shared" si="240"/>
        <v>1</v>
      </c>
    </row>
    <row r="15384" spans="1:4" x14ac:dyDescent="0.3">
      <c r="A15384" s="34">
        <v>77569</v>
      </c>
      <c r="B15384" s="35">
        <v>1</v>
      </c>
      <c r="C15384" s="35">
        <v>0</v>
      </c>
      <c r="D15384" s="2">
        <f t="shared" si="240"/>
        <v>1</v>
      </c>
    </row>
    <row r="15385" spans="1:4" x14ac:dyDescent="0.3">
      <c r="A15385" s="34">
        <v>77571</v>
      </c>
      <c r="B15385" s="35">
        <v>1</v>
      </c>
      <c r="C15385" s="35">
        <v>0</v>
      </c>
      <c r="D15385" s="2">
        <f t="shared" si="240"/>
        <v>1</v>
      </c>
    </row>
    <row r="15386" spans="1:4" x14ac:dyDescent="0.3">
      <c r="A15386" s="34">
        <v>77572</v>
      </c>
      <c r="B15386" s="35">
        <v>1</v>
      </c>
      <c r="C15386" s="35">
        <v>0</v>
      </c>
      <c r="D15386" s="2">
        <f t="shared" si="240"/>
        <v>1</v>
      </c>
    </row>
    <row r="15387" spans="1:4" x14ac:dyDescent="0.3">
      <c r="A15387" s="34">
        <v>77573</v>
      </c>
      <c r="B15387" s="35">
        <v>1</v>
      </c>
      <c r="C15387" s="35">
        <v>0</v>
      </c>
      <c r="D15387" s="2">
        <f t="shared" si="240"/>
        <v>1</v>
      </c>
    </row>
    <row r="15388" spans="1:4" x14ac:dyDescent="0.3">
      <c r="A15388" s="34">
        <v>77575</v>
      </c>
      <c r="B15388" s="35">
        <v>1</v>
      </c>
      <c r="C15388" s="35">
        <v>0</v>
      </c>
      <c r="D15388" s="2">
        <f t="shared" si="240"/>
        <v>1</v>
      </c>
    </row>
    <row r="15389" spans="1:4" x14ac:dyDescent="0.3">
      <c r="A15389" s="34">
        <v>77576</v>
      </c>
      <c r="B15389" s="35">
        <v>1</v>
      </c>
      <c r="C15389" s="35">
        <v>0</v>
      </c>
      <c r="D15389" s="2">
        <f t="shared" si="240"/>
        <v>1</v>
      </c>
    </row>
    <row r="15390" spans="1:4" x14ac:dyDescent="0.3">
      <c r="A15390" s="34">
        <v>77577</v>
      </c>
      <c r="B15390" s="35">
        <v>1</v>
      </c>
      <c r="C15390" s="35">
        <v>0</v>
      </c>
      <c r="D15390" s="2">
        <f t="shared" si="240"/>
        <v>1</v>
      </c>
    </row>
    <row r="15391" spans="1:4" x14ac:dyDescent="0.3">
      <c r="A15391" s="34">
        <v>77578</v>
      </c>
      <c r="B15391" s="35">
        <v>1</v>
      </c>
      <c r="C15391" s="35">
        <v>0</v>
      </c>
      <c r="D15391" s="2">
        <f t="shared" si="240"/>
        <v>1</v>
      </c>
    </row>
    <row r="15392" spans="1:4" x14ac:dyDescent="0.3">
      <c r="A15392" s="34">
        <v>77579</v>
      </c>
      <c r="B15392" s="35">
        <v>2</v>
      </c>
      <c r="C15392" s="35">
        <v>0</v>
      </c>
      <c r="D15392" s="2">
        <f t="shared" si="240"/>
        <v>2</v>
      </c>
    </row>
    <row r="15393" spans="1:4" x14ac:dyDescent="0.3">
      <c r="A15393" s="34">
        <v>77582</v>
      </c>
      <c r="B15393" s="35">
        <v>1</v>
      </c>
      <c r="C15393" s="35">
        <v>0</v>
      </c>
      <c r="D15393" s="2">
        <f t="shared" si="240"/>
        <v>1</v>
      </c>
    </row>
    <row r="15394" spans="1:4" x14ac:dyDescent="0.3">
      <c r="A15394" s="34">
        <v>77583</v>
      </c>
      <c r="B15394" s="35">
        <v>1</v>
      </c>
      <c r="C15394" s="35">
        <v>1</v>
      </c>
      <c r="D15394" s="2">
        <f t="shared" si="240"/>
        <v>2</v>
      </c>
    </row>
    <row r="15395" spans="1:4" x14ac:dyDescent="0.3">
      <c r="A15395" s="34">
        <v>77585</v>
      </c>
      <c r="B15395" s="35">
        <v>1</v>
      </c>
      <c r="C15395" s="35">
        <v>0</v>
      </c>
      <c r="D15395" s="2">
        <f t="shared" si="240"/>
        <v>1</v>
      </c>
    </row>
    <row r="15396" spans="1:4" x14ac:dyDescent="0.3">
      <c r="A15396" s="34">
        <v>77587</v>
      </c>
      <c r="B15396" s="35">
        <v>1</v>
      </c>
      <c r="C15396" s="35">
        <v>0</v>
      </c>
      <c r="D15396" s="2">
        <f t="shared" si="240"/>
        <v>1</v>
      </c>
    </row>
    <row r="15397" spans="1:4" x14ac:dyDescent="0.3">
      <c r="A15397" s="34">
        <v>77590</v>
      </c>
      <c r="B15397" s="35">
        <v>1</v>
      </c>
      <c r="C15397" s="35">
        <v>0</v>
      </c>
      <c r="D15397" s="2">
        <f t="shared" si="240"/>
        <v>1</v>
      </c>
    </row>
    <row r="15398" spans="1:4" x14ac:dyDescent="0.3">
      <c r="A15398" s="34">
        <v>77591</v>
      </c>
      <c r="B15398" s="35">
        <v>1</v>
      </c>
      <c r="C15398" s="35">
        <v>0</v>
      </c>
      <c r="D15398" s="2">
        <f t="shared" si="240"/>
        <v>1</v>
      </c>
    </row>
    <row r="15399" spans="1:4" x14ac:dyDescent="0.3">
      <c r="A15399" s="34">
        <v>77594</v>
      </c>
      <c r="B15399" s="35">
        <v>1</v>
      </c>
      <c r="C15399" s="35">
        <v>0</v>
      </c>
      <c r="D15399" s="2">
        <f t="shared" si="240"/>
        <v>1</v>
      </c>
    </row>
    <row r="15400" spans="1:4" x14ac:dyDescent="0.3">
      <c r="A15400" s="34">
        <v>77595</v>
      </c>
      <c r="B15400" s="35">
        <v>1</v>
      </c>
      <c r="C15400" s="35">
        <v>0</v>
      </c>
      <c r="D15400" s="2">
        <f t="shared" si="240"/>
        <v>1</v>
      </c>
    </row>
    <row r="15401" spans="1:4" x14ac:dyDescent="0.3">
      <c r="A15401" s="34">
        <v>77596</v>
      </c>
      <c r="B15401" s="35">
        <v>1</v>
      </c>
      <c r="C15401" s="35">
        <v>0</v>
      </c>
      <c r="D15401" s="2">
        <f t="shared" si="240"/>
        <v>1</v>
      </c>
    </row>
    <row r="15402" spans="1:4" x14ac:dyDescent="0.3">
      <c r="A15402" s="34">
        <v>77597</v>
      </c>
      <c r="B15402" s="35">
        <v>1</v>
      </c>
      <c r="C15402" s="35">
        <v>0</v>
      </c>
      <c r="D15402" s="2">
        <f t="shared" si="240"/>
        <v>1</v>
      </c>
    </row>
    <row r="15403" spans="1:4" x14ac:dyDescent="0.3">
      <c r="A15403" s="34">
        <v>77598</v>
      </c>
      <c r="B15403" s="35">
        <v>2</v>
      </c>
      <c r="C15403" s="35">
        <v>1</v>
      </c>
      <c r="D15403" s="2">
        <f t="shared" si="240"/>
        <v>3</v>
      </c>
    </row>
    <row r="15404" spans="1:4" x14ac:dyDescent="0.3">
      <c r="A15404" s="34">
        <v>77599</v>
      </c>
      <c r="B15404" s="35">
        <v>1</v>
      </c>
      <c r="C15404" s="35">
        <v>0</v>
      </c>
      <c r="D15404" s="2">
        <f t="shared" si="240"/>
        <v>1</v>
      </c>
    </row>
    <row r="15405" spans="1:4" x14ac:dyDescent="0.3">
      <c r="A15405" s="34">
        <v>77600</v>
      </c>
      <c r="B15405" s="35">
        <v>1</v>
      </c>
      <c r="C15405" s="35">
        <v>0</v>
      </c>
      <c r="D15405" s="2">
        <f t="shared" si="240"/>
        <v>1</v>
      </c>
    </row>
    <row r="15406" spans="1:4" x14ac:dyDescent="0.3">
      <c r="A15406" s="34">
        <v>77601</v>
      </c>
      <c r="B15406" s="35">
        <v>1</v>
      </c>
      <c r="C15406" s="35">
        <v>0</v>
      </c>
      <c r="D15406" s="2">
        <f t="shared" si="240"/>
        <v>1</v>
      </c>
    </row>
    <row r="15407" spans="1:4" x14ac:dyDescent="0.3">
      <c r="A15407" s="34">
        <v>77602</v>
      </c>
      <c r="B15407" s="35">
        <v>1</v>
      </c>
      <c r="C15407" s="35">
        <v>1</v>
      </c>
      <c r="D15407" s="2">
        <f t="shared" si="240"/>
        <v>2</v>
      </c>
    </row>
    <row r="15408" spans="1:4" x14ac:dyDescent="0.3">
      <c r="A15408" s="34">
        <v>77603</v>
      </c>
      <c r="B15408" s="35">
        <v>1</v>
      </c>
      <c r="C15408" s="35">
        <v>0</v>
      </c>
      <c r="D15408" s="2">
        <f t="shared" si="240"/>
        <v>1</v>
      </c>
    </row>
    <row r="15409" spans="1:4" x14ac:dyDescent="0.3">
      <c r="A15409" s="34">
        <v>77604</v>
      </c>
      <c r="B15409" s="35">
        <v>1</v>
      </c>
      <c r="C15409" s="35">
        <v>0</v>
      </c>
      <c r="D15409" s="2">
        <f t="shared" si="240"/>
        <v>1</v>
      </c>
    </row>
    <row r="15410" spans="1:4" x14ac:dyDescent="0.3">
      <c r="A15410" s="34">
        <v>77605</v>
      </c>
      <c r="B15410" s="35">
        <v>1</v>
      </c>
      <c r="C15410" s="35">
        <v>0</v>
      </c>
      <c r="D15410" s="2">
        <f t="shared" si="240"/>
        <v>1</v>
      </c>
    </row>
    <row r="15411" spans="1:4" x14ac:dyDescent="0.3">
      <c r="A15411" s="34">
        <v>77607</v>
      </c>
      <c r="B15411" s="35">
        <v>1</v>
      </c>
      <c r="C15411" s="35">
        <v>0</v>
      </c>
      <c r="D15411" s="2">
        <f t="shared" si="240"/>
        <v>1</v>
      </c>
    </row>
    <row r="15412" spans="1:4" x14ac:dyDescent="0.3">
      <c r="A15412" s="34">
        <v>77608</v>
      </c>
      <c r="B15412" s="35">
        <v>1</v>
      </c>
      <c r="C15412" s="35">
        <v>0</v>
      </c>
      <c r="D15412" s="2">
        <f t="shared" si="240"/>
        <v>1</v>
      </c>
    </row>
    <row r="15413" spans="1:4" x14ac:dyDescent="0.3">
      <c r="A15413" s="34">
        <v>77609</v>
      </c>
      <c r="B15413" s="35">
        <v>1</v>
      </c>
      <c r="C15413" s="35">
        <v>0</v>
      </c>
      <c r="D15413" s="2">
        <f t="shared" si="240"/>
        <v>1</v>
      </c>
    </row>
    <row r="15414" spans="1:4" x14ac:dyDescent="0.3">
      <c r="A15414" s="34">
        <v>77610</v>
      </c>
      <c r="B15414" s="35">
        <v>1</v>
      </c>
      <c r="C15414" s="35">
        <v>0</v>
      </c>
      <c r="D15414" s="2">
        <f t="shared" si="240"/>
        <v>1</v>
      </c>
    </row>
    <row r="15415" spans="1:4" x14ac:dyDescent="0.3">
      <c r="A15415" s="34">
        <v>77611</v>
      </c>
      <c r="B15415" s="35">
        <v>1</v>
      </c>
      <c r="C15415" s="35">
        <v>0</v>
      </c>
      <c r="D15415" s="2">
        <f t="shared" si="240"/>
        <v>1</v>
      </c>
    </row>
    <row r="15416" spans="1:4" x14ac:dyDescent="0.3">
      <c r="A15416" s="34">
        <v>77612</v>
      </c>
      <c r="B15416" s="35">
        <v>1</v>
      </c>
      <c r="C15416" s="35">
        <v>1</v>
      </c>
      <c r="D15416" s="2">
        <f t="shared" si="240"/>
        <v>2</v>
      </c>
    </row>
    <row r="15417" spans="1:4" x14ac:dyDescent="0.3">
      <c r="A15417" s="34">
        <v>77613</v>
      </c>
      <c r="B15417" s="35">
        <v>1</v>
      </c>
      <c r="C15417" s="35">
        <v>0</v>
      </c>
      <c r="D15417" s="2">
        <f t="shared" si="240"/>
        <v>1</v>
      </c>
    </row>
    <row r="15418" spans="1:4" x14ac:dyDescent="0.3">
      <c r="A15418" s="34">
        <v>77614</v>
      </c>
      <c r="B15418" s="35">
        <v>1</v>
      </c>
      <c r="C15418" s="35">
        <v>0</v>
      </c>
      <c r="D15418" s="2">
        <f t="shared" si="240"/>
        <v>1</v>
      </c>
    </row>
    <row r="15419" spans="1:4" x14ac:dyDescent="0.3">
      <c r="A15419" s="34">
        <v>77615</v>
      </c>
      <c r="B15419" s="35">
        <v>2</v>
      </c>
      <c r="C15419" s="35">
        <v>1</v>
      </c>
      <c r="D15419" s="2">
        <f t="shared" si="240"/>
        <v>3</v>
      </c>
    </row>
    <row r="15420" spans="1:4" x14ac:dyDescent="0.3">
      <c r="A15420" s="34">
        <v>77616</v>
      </c>
      <c r="B15420" s="35">
        <v>1</v>
      </c>
      <c r="C15420" s="35">
        <v>1</v>
      </c>
      <c r="D15420" s="2">
        <f t="shared" si="240"/>
        <v>2</v>
      </c>
    </row>
    <row r="15421" spans="1:4" x14ac:dyDescent="0.3">
      <c r="A15421" s="34">
        <v>77619</v>
      </c>
      <c r="B15421" s="35">
        <v>1</v>
      </c>
      <c r="C15421" s="35">
        <v>0</v>
      </c>
      <c r="D15421" s="2">
        <f t="shared" si="240"/>
        <v>1</v>
      </c>
    </row>
    <row r="15422" spans="1:4" x14ac:dyDescent="0.3">
      <c r="A15422" s="34">
        <v>77620</v>
      </c>
      <c r="B15422" s="35">
        <v>1</v>
      </c>
      <c r="C15422" s="35">
        <v>0</v>
      </c>
      <c r="D15422" s="2">
        <f t="shared" si="240"/>
        <v>1</v>
      </c>
    </row>
    <row r="15423" spans="1:4" x14ac:dyDescent="0.3">
      <c r="A15423" s="34">
        <v>77621</v>
      </c>
      <c r="B15423" s="35">
        <v>1</v>
      </c>
      <c r="C15423" s="35">
        <v>0</v>
      </c>
      <c r="D15423" s="2">
        <f t="shared" si="240"/>
        <v>1</v>
      </c>
    </row>
    <row r="15424" spans="1:4" x14ac:dyDescent="0.3">
      <c r="A15424" s="34">
        <v>77623</v>
      </c>
      <c r="B15424" s="35">
        <v>1</v>
      </c>
      <c r="C15424" s="35">
        <v>0</v>
      </c>
      <c r="D15424" s="2">
        <f t="shared" si="240"/>
        <v>1</v>
      </c>
    </row>
    <row r="15425" spans="1:4" x14ac:dyDescent="0.3">
      <c r="A15425" s="34">
        <v>77624</v>
      </c>
      <c r="B15425" s="35">
        <v>1</v>
      </c>
      <c r="C15425" s="35">
        <v>0</v>
      </c>
      <c r="D15425" s="2">
        <f t="shared" si="240"/>
        <v>1</v>
      </c>
    </row>
    <row r="15426" spans="1:4" x14ac:dyDescent="0.3">
      <c r="A15426" s="34">
        <v>77625</v>
      </c>
      <c r="B15426" s="35">
        <v>1</v>
      </c>
      <c r="C15426" s="35">
        <v>0</v>
      </c>
      <c r="D15426" s="2">
        <f t="shared" si="240"/>
        <v>1</v>
      </c>
    </row>
    <row r="15427" spans="1:4" x14ac:dyDescent="0.3">
      <c r="A15427" s="34">
        <v>77626</v>
      </c>
      <c r="B15427" s="35">
        <v>1</v>
      </c>
      <c r="C15427" s="35">
        <v>0</v>
      </c>
      <c r="D15427" s="2">
        <f t="shared" ref="D15427:D15490" si="241">B15427+C15427</f>
        <v>1</v>
      </c>
    </row>
    <row r="15428" spans="1:4" x14ac:dyDescent="0.3">
      <c r="A15428" s="34">
        <v>77627</v>
      </c>
      <c r="B15428" s="35">
        <v>1</v>
      </c>
      <c r="C15428" s="35">
        <v>0</v>
      </c>
      <c r="D15428" s="2">
        <f t="shared" si="241"/>
        <v>1</v>
      </c>
    </row>
    <row r="15429" spans="1:4" x14ac:dyDescent="0.3">
      <c r="A15429" s="34">
        <v>77628</v>
      </c>
      <c r="B15429" s="35">
        <v>1</v>
      </c>
      <c r="C15429" s="35">
        <v>0</v>
      </c>
      <c r="D15429" s="2">
        <f t="shared" si="241"/>
        <v>1</v>
      </c>
    </row>
    <row r="15430" spans="1:4" x14ac:dyDescent="0.3">
      <c r="A15430" s="34">
        <v>77629</v>
      </c>
      <c r="B15430" s="35">
        <v>2</v>
      </c>
      <c r="C15430" s="35">
        <v>1</v>
      </c>
      <c r="D15430" s="2">
        <f t="shared" si="241"/>
        <v>3</v>
      </c>
    </row>
    <row r="15431" spans="1:4" x14ac:dyDescent="0.3">
      <c r="A15431" s="34">
        <v>77630</v>
      </c>
      <c r="B15431" s="35">
        <v>1</v>
      </c>
      <c r="C15431" s="35">
        <v>0</v>
      </c>
      <c r="D15431" s="2">
        <f t="shared" si="241"/>
        <v>1</v>
      </c>
    </row>
    <row r="15432" spans="1:4" x14ac:dyDescent="0.3">
      <c r="A15432" s="34">
        <v>77632</v>
      </c>
      <c r="B15432" s="35">
        <v>1</v>
      </c>
      <c r="C15432" s="35">
        <v>0</v>
      </c>
      <c r="D15432" s="2">
        <f t="shared" si="241"/>
        <v>1</v>
      </c>
    </row>
    <row r="15433" spans="1:4" x14ac:dyDescent="0.3">
      <c r="A15433" s="34">
        <v>77633</v>
      </c>
      <c r="B15433" s="35">
        <v>1</v>
      </c>
      <c r="C15433" s="35">
        <v>1</v>
      </c>
      <c r="D15433" s="2">
        <f t="shared" si="241"/>
        <v>2</v>
      </c>
    </row>
    <row r="15434" spans="1:4" x14ac:dyDescent="0.3">
      <c r="A15434" s="34">
        <v>77634</v>
      </c>
      <c r="B15434" s="35">
        <v>1</v>
      </c>
      <c r="C15434" s="35">
        <v>0</v>
      </c>
      <c r="D15434" s="2">
        <f t="shared" si="241"/>
        <v>1</v>
      </c>
    </row>
    <row r="15435" spans="1:4" x14ac:dyDescent="0.3">
      <c r="A15435" s="34">
        <v>77635</v>
      </c>
      <c r="B15435" s="35">
        <v>1</v>
      </c>
      <c r="C15435" s="35">
        <v>1</v>
      </c>
      <c r="D15435" s="2">
        <f t="shared" si="241"/>
        <v>2</v>
      </c>
    </row>
    <row r="15436" spans="1:4" x14ac:dyDescent="0.3">
      <c r="A15436" s="34">
        <v>77636</v>
      </c>
      <c r="B15436" s="35">
        <v>1</v>
      </c>
      <c r="C15436" s="35">
        <v>0</v>
      </c>
      <c r="D15436" s="2">
        <f t="shared" si="241"/>
        <v>1</v>
      </c>
    </row>
    <row r="15437" spans="1:4" x14ac:dyDescent="0.3">
      <c r="A15437" s="34">
        <v>77637</v>
      </c>
      <c r="B15437" s="35">
        <v>1</v>
      </c>
      <c r="C15437" s="35">
        <v>0</v>
      </c>
      <c r="D15437" s="2">
        <f t="shared" si="241"/>
        <v>1</v>
      </c>
    </row>
    <row r="15438" spans="1:4" x14ac:dyDescent="0.3">
      <c r="A15438" s="34">
        <v>77638</v>
      </c>
      <c r="B15438" s="35">
        <v>1</v>
      </c>
      <c r="C15438" s="35">
        <v>0</v>
      </c>
      <c r="D15438" s="2">
        <f t="shared" si="241"/>
        <v>1</v>
      </c>
    </row>
    <row r="15439" spans="1:4" x14ac:dyDescent="0.3">
      <c r="A15439" s="34">
        <v>77639</v>
      </c>
      <c r="B15439" s="35">
        <v>3</v>
      </c>
      <c r="C15439" s="35">
        <v>2</v>
      </c>
      <c r="D15439" s="2">
        <f t="shared" si="241"/>
        <v>5</v>
      </c>
    </row>
    <row r="15440" spans="1:4" x14ac:dyDescent="0.3">
      <c r="A15440" s="34">
        <v>77641</v>
      </c>
      <c r="B15440" s="35">
        <v>1</v>
      </c>
      <c r="C15440" s="35">
        <v>0</v>
      </c>
      <c r="D15440" s="2">
        <f t="shared" si="241"/>
        <v>1</v>
      </c>
    </row>
    <row r="15441" spans="1:4" x14ac:dyDescent="0.3">
      <c r="A15441" s="34">
        <v>77642</v>
      </c>
      <c r="B15441" s="35">
        <v>1</v>
      </c>
      <c r="C15441" s="35">
        <v>0</v>
      </c>
      <c r="D15441" s="2">
        <f t="shared" si="241"/>
        <v>1</v>
      </c>
    </row>
    <row r="15442" spans="1:4" x14ac:dyDescent="0.3">
      <c r="A15442" s="34">
        <v>77643</v>
      </c>
      <c r="B15442" s="35">
        <v>1</v>
      </c>
      <c r="C15442" s="35">
        <v>0</v>
      </c>
      <c r="D15442" s="2">
        <f t="shared" si="241"/>
        <v>1</v>
      </c>
    </row>
    <row r="15443" spans="1:4" x14ac:dyDescent="0.3">
      <c r="A15443" s="34">
        <v>77644</v>
      </c>
      <c r="B15443" s="35">
        <v>1</v>
      </c>
      <c r="C15443" s="35">
        <v>1</v>
      </c>
      <c r="D15443" s="2">
        <f t="shared" si="241"/>
        <v>2</v>
      </c>
    </row>
    <row r="15444" spans="1:4" x14ac:dyDescent="0.3">
      <c r="A15444" s="34">
        <v>77645</v>
      </c>
      <c r="B15444" s="35">
        <v>1</v>
      </c>
      <c r="C15444" s="35">
        <v>0</v>
      </c>
      <c r="D15444" s="2">
        <f t="shared" si="241"/>
        <v>1</v>
      </c>
    </row>
    <row r="15445" spans="1:4" x14ac:dyDescent="0.3">
      <c r="A15445" s="34">
        <v>77646</v>
      </c>
      <c r="B15445" s="35">
        <v>1</v>
      </c>
      <c r="C15445" s="35">
        <v>0</v>
      </c>
      <c r="D15445" s="2">
        <f t="shared" si="241"/>
        <v>1</v>
      </c>
    </row>
    <row r="15446" spans="1:4" x14ac:dyDescent="0.3">
      <c r="A15446" s="34">
        <v>77647</v>
      </c>
      <c r="B15446" s="35">
        <v>1</v>
      </c>
      <c r="C15446" s="35">
        <v>0</v>
      </c>
      <c r="D15446" s="2">
        <f t="shared" si="241"/>
        <v>1</v>
      </c>
    </row>
    <row r="15447" spans="1:4" x14ac:dyDescent="0.3">
      <c r="A15447" s="34">
        <v>77648</v>
      </c>
      <c r="B15447" s="35">
        <v>1</v>
      </c>
      <c r="C15447" s="35">
        <v>0</v>
      </c>
      <c r="D15447" s="2">
        <f t="shared" si="241"/>
        <v>1</v>
      </c>
    </row>
    <row r="15448" spans="1:4" x14ac:dyDescent="0.3">
      <c r="A15448" s="34">
        <v>77649</v>
      </c>
      <c r="B15448" s="35">
        <v>1</v>
      </c>
      <c r="C15448" s="35">
        <v>0</v>
      </c>
      <c r="D15448" s="2">
        <f t="shared" si="241"/>
        <v>1</v>
      </c>
    </row>
    <row r="15449" spans="1:4" x14ac:dyDescent="0.3">
      <c r="A15449" s="34">
        <v>77650</v>
      </c>
      <c r="B15449" s="35">
        <v>1</v>
      </c>
      <c r="C15449" s="35">
        <v>0</v>
      </c>
      <c r="D15449" s="2">
        <f t="shared" si="241"/>
        <v>1</v>
      </c>
    </row>
    <row r="15450" spans="1:4" x14ac:dyDescent="0.3">
      <c r="A15450" s="34">
        <v>77651</v>
      </c>
      <c r="B15450" s="35">
        <v>1</v>
      </c>
      <c r="C15450" s="35">
        <v>0</v>
      </c>
      <c r="D15450" s="2">
        <f t="shared" si="241"/>
        <v>1</v>
      </c>
    </row>
    <row r="15451" spans="1:4" x14ac:dyDescent="0.3">
      <c r="A15451" s="34">
        <v>77652</v>
      </c>
      <c r="B15451" s="35">
        <v>1</v>
      </c>
      <c r="C15451" s="35">
        <v>0</v>
      </c>
      <c r="D15451" s="2">
        <f t="shared" si="241"/>
        <v>1</v>
      </c>
    </row>
    <row r="15452" spans="1:4" x14ac:dyDescent="0.3">
      <c r="A15452" s="34">
        <v>77653</v>
      </c>
      <c r="B15452" s="35">
        <v>1</v>
      </c>
      <c r="C15452" s="35">
        <v>1</v>
      </c>
      <c r="D15452" s="2">
        <f t="shared" si="241"/>
        <v>2</v>
      </c>
    </row>
    <row r="15453" spans="1:4" x14ac:dyDescent="0.3">
      <c r="A15453" s="34">
        <v>77654</v>
      </c>
      <c r="B15453" s="35">
        <v>1</v>
      </c>
      <c r="C15453" s="35">
        <v>0</v>
      </c>
      <c r="D15453" s="2">
        <f t="shared" si="241"/>
        <v>1</v>
      </c>
    </row>
    <row r="15454" spans="1:4" x14ac:dyDescent="0.3">
      <c r="A15454" s="34">
        <v>77655</v>
      </c>
      <c r="B15454" s="35">
        <v>1</v>
      </c>
      <c r="C15454" s="35">
        <v>0</v>
      </c>
      <c r="D15454" s="2">
        <f t="shared" si="241"/>
        <v>1</v>
      </c>
    </row>
    <row r="15455" spans="1:4" x14ac:dyDescent="0.3">
      <c r="A15455" s="34">
        <v>77657</v>
      </c>
      <c r="B15455" s="35">
        <v>1</v>
      </c>
      <c r="C15455" s="35">
        <v>0</v>
      </c>
      <c r="D15455" s="2">
        <f t="shared" si="241"/>
        <v>1</v>
      </c>
    </row>
    <row r="15456" spans="1:4" x14ac:dyDescent="0.3">
      <c r="A15456" s="34">
        <v>77658</v>
      </c>
      <c r="B15456" s="35">
        <v>1</v>
      </c>
      <c r="C15456" s="35">
        <v>0</v>
      </c>
      <c r="D15456" s="2">
        <f t="shared" si="241"/>
        <v>1</v>
      </c>
    </row>
    <row r="15457" spans="1:4" x14ac:dyDescent="0.3">
      <c r="A15457" s="34">
        <v>77659</v>
      </c>
      <c r="B15457" s="35">
        <v>1</v>
      </c>
      <c r="C15457" s="35">
        <v>1</v>
      </c>
      <c r="D15457" s="2">
        <f t="shared" si="241"/>
        <v>2</v>
      </c>
    </row>
    <row r="15458" spans="1:4" x14ac:dyDescent="0.3">
      <c r="A15458" s="34">
        <v>77660</v>
      </c>
      <c r="B15458" s="35">
        <v>1</v>
      </c>
      <c r="C15458" s="35">
        <v>0</v>
      </c>
      <c r="D15458" s="2">
        <f t="shared" si="241"/>
        <v>1</v>
      </c>
    </row>
    <row r="15459" spans="1:4" x14ac:dyDescent="0.3">
      <c r="A15459" s="34">
        <v>77661</v>
      </c>
      <c r="B15459" s="35">
        <v>1</v>
      </c>
      <c r="C15459" s="35">
        <v>0</v>
      </c>
      <c r="D15459" s="2">
        <f t="shared" si="241"/>
        <v>1</v>
      </c>
    </row>
    <row r="15460" spans="1:4" x14ac:dyDescent="0.3">
      <c r="A15460" s="34">
        <v>77662</v>
      </c>
      <c r="B15460" s="35">
        <v>1</v>
      </c>
      <c r="C15460" s="35">
        <v>0</v>
      </c>
      <c r="D15460" s="2">
        <f t="shared" si="241"/>
        <v>1</v>
      </c>
    </row>
    <row r="15461" spans="1:4" x14ac:dyDescent="0.3">
      <c r="A15461" s="34">
        <v>77663</v>
      </c>
      <c r="B15461" s="35">
        <v>1</v>
      </c>
      <c r="C15461" s="35">
        <v>0</v>
      </c>
      <c r="D15461" s="2">
        <f t="shared" si="241"/>
        <v>1</v>
      </c>
    </row>
    <row r="15462" spans="1:4" x14ac:dyDescent="0.3">
      <c r="A15462" s="34">
        <v>77664</v>
      </c>
      <c r="B15462" s="35">
        <v>1</v>
      </c>
      <c r="C15462" s="35">
        <v>0</v>
      </c>
      <c r="D15462" s="2">
        <f t="shared" si="241"/>
        <v>1</v>
      </c>
    </row>
    <row r="15463" spans="1:4" x14ac:dyDescent="0.3">
      <c r="A15463" s="34">
        <v>77665</v>
      </c>
      <c r="B15463" s="35">
        <v>1</v>
      </c>
      <c r="C15463" s="35">
        <v>0</v>
      </c>
      <c r="D15463" s="2">
        <f t="shared" si="241"/>
        <v>1</v>
      </c>
    </row>
    <row r="15464" spans="1:4" x14ac:dyDescent="0.3">
      <c r="A15464" s="34">
        <v>77666</v>
      </c>
      <c r="B15464" s="35">
        <v>1</v>
      </c>
      <c r="C15464" s="35">
        <v>1</v>
      </c>
      <c r="D15464" s="2">
        <f t="shared" si="241"/>
        <v>2</v>
      </c>
    </row>
    <row r="15465" spans="1:4" x14ac:dyDescent="0.3">
      <c r="A15465" s="34">
        <v>77667</v>
      </c>
      <c r="B15465" s="35">
        <v>1</v>
      </c>
      <c r="C15465" s="35">
        <v>1</v>
      </c>
      <c r="D15465" s="2">
        <f t="shared" si="241"/>
        <v>2</v>
      </c>
    </row>
    <row r="15466" spans="1:4" x14ac:dyDescent="0.3">
      <c r="A15466" s="34">
        <v>77668</v>
      </c>
      <c r="B15466" s="35">
        <v>1</v>
      </c>
      <c r="C15466" s="35">
        <v>0</v>
      </c>
      <c r="D15466" s="2">
        <f t="shared" si="241"/>
        <v>1</v>
      </c>
    </row>
    <row r="15467" spans="1:4" x14ac:dyDescent="0.3">
      <c r="A15467" s="34">
        <v>77669</v>
      </c>
      <c r="B15467" s="35">
        <v>1</v>
      </c>
      <c r="C15467" s="35">
        <v>0</v>
      </c>
      <c r="D15467" s="2">
        <f t="shared" si="241"/>
        <v>1</v>
      </c>
    </row>
    <row r="15468" spans="1:4" x14ac:dyDescent="0.3">
      <c r="A15468" s="34">
        <v>77671</v>
      </c>
      <c r="B15468" s="35">
        <v>1</v>
      </c>
      <c r="C15468" s="35">
        <v>0</v>
      </c>
      <c r="D15468" s="2">
        <f t="shared" si="241"/>
        <v>1</v>
      </c>
    </row>
    <row r="15469" spans="1:4" x14ac:dyDescent="0.3">
      <c r="A15469" s="34">
        <v>77672</v>
      </c>
      <c r="B15469" s="35">
        <v>1</v>
      </c>
      <c r="C15469" s="35">
        <v>0</v>
      </c>
      <c r="D15469" s="2">
        <f t="shared" si="241"/>
        <v>1</v>
      </c>
    </row>
    <row r="15470" spans="1:4" x14ac:dyDescent="0.3">
      <c r="A15470" s="34">
        <v>77673</v>
      </c>
      <c r="B15470" s="35">
        <v>1</v>
      </c>
      <c r="C15470" s="35">
        <v>1</v>
      </c>
      <c r="D15470" s="2">
        <f t="shared" si="241"/>
        <v>2</v>
      </c>
    </row>
    <row r="15471" spans="1:4" x14ac:dyDescent="0.3">
      <c r="A15471" s="34">
        <v>77674</v>
      </c>
      <c r="B15471" s="35">
        <v>1</v>
      </c>
      <c r="C15471" s="35">
        <v>0</v>
      </c>
      <c r="D15471" s="2">
        <f t="shared" si="241"/>
        <v>1</v>
      </c>
    </row>
    <row r="15472" spans="1:4" x14ac:dyDescent="0.3">
      <c r="A15472" s="34">
        <v>77676</v>
      </c>
      <c r="B15472" s="35">
        <v>1</v>
      </c>
      <c r="C15472" s="35">
        <v>0</v>
      </c>
      <c r="D15472" s="2">
        <f t="shared" si="241"/>
        <v>1</v>
      </c>
    </row>
    <row r="15473" spans="1:4" x14ac:dyDescent="0.3">
      <c r="A15473" s="34">
        <v>77677</v>
      </c>
      <c r="B15473" s="35">
        <v>1</v>
      </c>
      <c r="C15473" s="35">
        <v>0</v>
      </c>
      <c r="D15473" s="2">
        <f t="shared" si="241"/>
        <v>1</v>
      </c>
    </row>
    <row r="15474" spans="1:4" x14ac:dyDescent="0.3">
      <c r="A15474" s="34">
        <v>77678</v>
      </c>
      <c r="B15474" s="35">
        <v>1</v>
      </c>
      <c r="C15474" s="35">
        <v>0</v>
      </c>
      <c r="D15474" s="2">
        <f t="shared" si="241"/>
        <v>1</v>
      </c>
    </row>
    <row r="15475" spans="1:4" x14ac:dyDescent="0.3">
      <c r="A15475" s="34">
        <v>77679</v>
      </c>
      <c r="B15475" s="35">
        <v>1</v>
      </c>
      <c r="C15475" s="35">
        <v>0</v>
      </c>
      <c r="D15475" s="2">
        <f t="shared" si="241"/>
        <v>1</v>
      </c>
    </row>
    <row r="15476" spans="1:4" x14ac:dyDescent="0.3">
      <c r="A15476" s="34">
        <v>77680</v>
      </c>
      <c r="B15476" s="35">
        <v>1</v>
      </c>
      <c r="C15476" s="35">
        <v>0</v>
      </c>
      <c r="D15476" s="2">
        <f t="shared" si="241"/>
        <v>1</v>
      </c>
    </row>
    <row r="15477" spans="1:4" x14ac:dyDescent="0.3">
      <c r="A15477" s="34">
        <v>77681</v>
      </c>
      <c r="B15477" s="35">
        <v>1</v>
      </c>
      <c r="C15477" s="35">
        <v>0</v>
      </c>
      <c r="D15477" s="2">
        <f t="shared" si="241"/>
        <v>1</v>
      </c>
    </row>
    <row r="15478" spans="1:4" x14ac:dyDescent="0.3">
      <c r="A15478" s="34">
        <v>77682</v>
      </c>
      <c r="B15478" s="35">
        <v>1</v>
      </c>
      <c r="C15478" s="35">
        <v>1</v>
      </c>
      <c r="D15478" s="2">
        <f t="shared" si="241"/>
        <v>2</v>
      </c>
    </row>
    <row r="15479" spans="1:4" x14ac:dyDescent="0.3">
      <c r="A15479" s="34">
        <v>77683</v>
      </c>
      <c r="B15479" s="35">
        <v>1</v>
      </c>
      <c r="C15479" s="35">
        <v>0</v>
      </c>
      <c r="D15479" s="2">
        <f t="shared" si="241"/>
        <v>1</v>
      </c>
    </row>
    <row r="15480" spans="1:4" x14ac:dyDescent="0.3">
      <c r="A15480" s="34">
        <v>77684</v>
      </c>
      <c r="B15480" s="35">
        <v>1</v>
      </c>
      <c r="C15480" s="35">
        <v>1</v>
      </c>
      <c r="D15480" s="2">
        <f t="shared" si="241"/>
        <v>2</v>
      </c>
    </row>
    <row r="15481" spans="1:4" x14ac:dyDescent="0.3">
      <c r="A15481" s="34">
        <v>77685</v>
      </c>
      <c r="B15481" s="35">
        <v>1</v>
      </c>
      <c r="C15481" s="35">
        <v>0</v>
      </c>
      <c r="D15481" s="2">
        <f t="shared" si="241"/>
        <v>1</v>
      </c>
    </row>
    <row r="15482" spans="1:4" x14ac:dyDescent="0.3">
      <c r="A15482" s="34">
        <v>77687</v>
      </c>
      <c r="B15482" s="35">
        <v>1</v>
      </c>
      <c r="C15482" s="35">
        <v>0</v>
      </c>
      <c r="D15482" s="2">
        <f t="shared" si="241"/>
        <v>1</v>
      </c>
    </row>
    <row r="15483" spans="1:4" x14ac:dyDescent="0.3">
      <c r="A15483" s="34">
        <v>77688</v>
      </c>
      <c r="B15483" s="35">
        <v>1</v>
      </c>
      <c r="C15483" s="35">
        <v>0</v>
      </c>
      <c r="D15483" s="2">
        <f t="shared" si="241"/>
        <v>1</v>
      </c>
    </row>
    <row r="15484" spans="1:4" x14ac:dyDescent="0.3">
      <c r="A15484" s="34">
        <v>77689</v>
      </c>
      <c r="B15484" s="35">
        <v>1</v>
      </c>
      <c r="C15484" s="35">
        <v>0</v>
      </c>
      <c r="D15484" s="2">
        <f t="shared" si="241"/>
        <v>1</v>
      </c>
    </row>
    <row r="15485" spans="1:4" x14ac:dyDescent="0.3">
      <c r="A15485" s="34">
        <v>77690</v>
      </c>
      <c r="B15485" s="35">
        <v>1</v>
      </c>
      <c r="C15485" s="35">
        <v>0</v>
      </c>
      <c r="D15485" s="2">
        <f t="shared" si="241"/>
        <v>1</v>
      </c>
    </row>
    <row r="15486" spans="1:4" x14ac:dyDescent="0.3">
      <c r="A15486" s="34">
        <v>77691</v>
      </c>
      <c r="B15486" s="35">
        <v>1</v>
      </c>
      <c r="C15486" s="35">
        <v>0</v>
      </c>
      <c r="D15486" s="2">
        <f t="shared" si="241"/>
        <v>1</v>
      </c>
    </row>
    <row r="15487" spans="1:4" x14ac:dyDescent="0.3">
      <c r="A15487" s="34">
        <v>77692</v>
      </c>
      <c r="B15487" s="35">
        <v>1</v>
      </c>
      <c r="C15487" s="35">
        <v>0</v>
      </c>
      <c r="D15487" s="2">
        <f t="shared" si="241"/>
        <v>1</v>
      </c>
    </row>
    <row r="15488" spans="1:4" x14ac:dyDescent="0.3">
      <c r="A15488" s="34">
        <v>77693</v>
      </c>
      <c r="B15488" s="35">
        <v>1</v>
      </c>
      <c r="C15488" s="35">
        <v>0</v>
      </c>
      <c r="D15488" s="2">
        <f t="shared" si="241"/>
        <v>1</v>
      </c>
    </row>
    <row r="15489" spans="1:4" x14ac:dyDescent="0.3">
      <c r="A15489" s="34">
        <v>77696</v>
      </c>
      <c r="B15489" s="35">
        <v>1</v>
      </c>
      <c r="C15489" s="35">
        <v>0</v>
      </c>
      <c r="D15489" s="2">
        <f t="shared" si="241"/>
        <v>1</v>
      </c>
    </row>
    <row r="15490" spans="1:4" x14ac:dyDescent="0.3">
      <c r="A15490" s="34">
        <v>77697</v>
      </c>
      <c r="B15490" s="35">
        <v>1</v>
      </c>
      <c r="C15490" s="35">
        <v>0</v>
      </c>
      <c r="D15490" s="2">
        <f t="shared" si="241"/>
        <v>1</v>
      </c>
    </row>
    <row r="15491" spans="1:4" x14ac:dyDescent="0.3">
      <c r="A15491" s="34">
        <v>77698</v>
      </c>
      <c r="B15491" s="35">
        <v>1</v>
      </c>
      <c r="C15491" s="35">
        <v>0</v>
      </c>
      <c r="D15491" s="2">
        <f t="shared" ref="D15491:D15554" si="242">B15491+C15491</f>
        <v>1</v>
      </c>
    </row>
    <row r="15492" spans="1:4" x14ac:dyDescent="0.3">
      <c r="A15492" s="34">
        <v>77699</v>
      </c>
      <c r="B15492" s="35">
        <v>1</v>
      </c>
      <c r="C15492" s="35">
        <v>0</v>
      </c>
      <c r="D15492" s="2">
        <f t="shared" si="242"/>
        <v>1</v>
      </c>
    </row>
    <row r="15493" spans="1:4" x14ac:dyDescent="0.3">
      <c r="A15493" s="34">
        <v>77700</v>
      </c>
      <c r="B15493" s="35">
        <v>1</v>
      </c>
      <c r="C15493" s="35">
        <v>0</v>
      </c>
      <c r="D15493" s="2">
        <f t="shared" si="242"/>
        <v>1</v>
      </c>
    </row>
    <row r="15494" spans="1:4" x14ac:dyDescent="0.3">
      <c r="A15494" s="34">
        <v>77701</v>
      </c>
      <c r="B15494" s="35">
        <v>1</v>
      </c>
      <c r="C15494" s="35">
        <v>0</v>
      </c>
      <c r="D15494" s="2">
        <f t="shared" si="242"/>
        <v>1</v>
      </c>
    </row>
    <row r="15495" spans="1:4" x14ac:dyDescent="0.3">
      <c r="A15495" s="34">
        <v>77704</v>
      </c>
      <c r="B15495" s="35">
        <v>1</v>
      </c>
      <c r="C15495" s="35">
        <v>0</v>
      </c>
      <c r="D15495" s="2">
        <f t="shared" si="242"/>
        <v>1</v>
      </c>
    </row>
    <row r="15496" spans="1:4" x14ac:dyDescent="0.3">
      <c r="A15496" s="34">
        <v>77705</v>
      </c>
      <c r="B15496" s="35">
        <v>1</v>
      </c>
      <c r="C15496" s="35">
        <v>0</v>
      </c>
      <c r="D15496" s="2">
        <f t="shared" si="242"/>
        <v>1</v>
      </c>
    </row>
    <row r="15497" spans="1:4" x14ac:dyDescent="0.3">
      <c r="A15497" s="34">
        <v>77706</v>
      </c>
      <c r="B15497" s="35">
        <v>1</v>
      </c>
      <c r="C15497" s="35">
        <v>1</v>
      </c>
      <c r="D15497" s="2">
        <f t="shared" si="242"/>
        <v>2</v>
      </c>
    </row>
    <row r="15498" spans="1:4" x14ac:dyDescent="0.3">
      <c r="A15498" s="34">
        <v>77707</v>
      </c>
      <c r="B15498" s="35">
        <v>1</v>
      </c>
      <c r="C15498" s="35">
        <v>0</v>
      </c>
      <c r="D15498" s="2">
        <f t="shared" si="242"/>
        <v>1</v>
      </c>
    </row>
    <row r="15499" spans="1:4" x14ac:dyDescent="0.3">
      <c r="A15499" s="34">
        <v>77708</v>
      </c>
      <c r="B15499" s="35">
        <v>1</v>
      </c>
      <c r="C15499" s="35">
        <v>0</v>
      </c>
      <c r="D15499" s="2">
        <f t="shared" si="242"/>
        <v>1</v>
      </c>
    </row>
    <row r="15500" spans="1:4" x14ac:dyDescent="0.3">
      <c r="A15500" s="34">
        <v>77709</v>
      </c>
      <c r="B15500" s="35">
        <v>1</v>
      </c>
      <c r="C15500" s="35">
        <v>0</v>
      </c>
      <c r="D15500" s="2">
        <f t="shared" si="242"/>
        <v>1</v>
      </c>
    </row>
    <row r="15501" spans="1:4" x14ac:dyDescent="0.3">
      <c r="A15501" s="34">
        <v>77710</v>
      </c>
      <c r="B15501" s="35">
        <v>1</v>
      </c>
      <c r="C15501" s="35">
        <v>0</v>
      </c>
      <c r="D15501" s="2">
        <f t="shared" si="242"/>
        <v>1</v>
      </c>
    </row>
    <row r="15502" spans="1:4" x14ac:dyDescent="0.3">
      <c r="A15502" s="34">
        <v>77711</v>
      </c>
      <c r="B15502" s="35">
        <v>2</v>
      </c>
      <c r="C15502" s="35">
        <v>1</v>
      </c>
      <c r="D15502" s="2">
        <f t="shared" si="242"/>
        <v>3</v>
      </c>
    </row>
    <row r="15503" spans="1:4" x14ac:dyDescent="0.3">
      <c r="A15503" s="34">
        <v>77712</v>
      </c>
      <c r="B15503" s="35">
        <v>1</v>
      </c>
      <c r="C15503" s="35">
        <v>0</v>
      </c>
      <c r="D15503" s="2">
        <f t="shared" si="242"/>
        <v>1</v>
      </c>
    </row>
    <row r="15504" spans="1:4" x14ac:dyDescent="0.3">
      <c r="A15504" s="34">
        <v>77715</v>
      </c>
      <c r="B15504" s="35">
        <v>1</v>
      </c>
      <c r="C15504" s="35">
        <v>1</v>
      </c>
      <c r="D15504" s="2">
        <f t="shared" si="242"/>
        <v>2</v>
      </c>
    </row>
    <row r="15505" spans="1:4" x14ac:dyDescent="0.3">
      <c r="A15505" s="34">
        <v>77716</v>
      </c>
      <c r="B15505" s="35">
        <v>1</v>
      </c>
      <c r="C15505" s="35">
        <v>0</v>
      </c>
      <c r="D15505" s="2">
        <f t="shared" si="242"/>
        <v>1</v>
      </c>
    </row>
    <row r="15506" spans="1:4" x14ac:dyDescent="0.3">
      <c r="A15506" s="34">
        <v>77718</v>
      </c>
      <c r="B15506" s="35">
        <v>1</v>
      </c>
      <c r="C15506" s="35">
        <v>0</v>
      </c>
      <c r="D15506" s="2">
        <f t="shared" si="242"/>
        <v>1</v>
      </c>
    </row>
    <row r="15507" spans="1:4" x14ac:dyDescent="0.3">
      <c r="A15507" s="34">
        <v>77719</v>
      </c>
      <c r="B15507" s="35">
        <v>1</v>
      </c>
      <c r="C15507" s="35">
        <v>0</v>
      </c>
      <c r="D15507" s="2">
        <f t="shared" si="242"/>
        <v>1</v>
      </c>
    </row>
    <row r="15508" spans="1:4" x14ac:dyDescent="0.3">
      <c r="A15508" s="34">
        <v>77722</v>
      </c>
      <c r="B15508" s="35">
        <v>1</v>
      </c>
      <c r="C15508" s="35">
        <v>0</v>
      </c>
      <c r="D15508" s="2">
        <f t="shared" si="242"/>
        <v>1</v>
      </c>
    </row>
    <row r="15509" spans="1:4" x14ac:dyDescent="0.3">
      <c r="A15509" s="34">
        <v>77724</v>
      </c>
      <c r="B15509" s="35">
        <v>1</v>
      </c>
      <c r="C15509" s="35">
        <v>0</v>
      </c>
      <c r="D15509" s="2">
        <f t="shared" si="242"/>
        <v>1</v>
      </c>
    </row>
    <row r="15510" spans="1:4" x14ac:dyDescent="0.3">
      <c r="A15510" s="34">
        <v>77727</v>
      </c>
      <c r="B15510" s="35">
        <v>1</v>
      </c>
      <c r="C15510" s="35">
        <v>0</v>
      </c>
      <c r="D15510" s="2">
        <f t="shared" si="242"/>
        <v>1</v>
      </c>
    </row>
    <row r="15511" spans="1:4" x14ac:dyDescent="0.3">
      <c r="A15511" s="34">
        <v>77730</v>
      </c>
      <c r="B15511" s="35">
        <v>1</v>
      </c>
      <c r="C15511" s="35">
        <v>0</v>
      </c>
      <c r="D15511" s="2">
        <f t="shared" si="242"/>
        <v>1</v>
      </c>
    </row>
    <row r="15512" spans="1:4" x14ac:dyDescent="0.3">
      <c r="A15512" s="34">
        <v>77732</v>
      </c>
      <c r="B15512" s="35">
        <v>1</v>
      </c>
      <c r="C15512" s="35">
        <v>0</v>
      </c>
      <c r="D15512" s="2">
        <f t="shared" si="242"/>
        <v>1</v>
      </c>
    </row>
    <row r="15513" spans="1:4" x14ac:dyDescent="0.3">
      <c r="A15513" s="34">
        <v>77735</v>
      </c>
      <c r="B15513" s="35">
        <v>1</v>
      </c>
      <c r="C15513" s="35">
        <v>0</v>
      </c>
      <c r="D15513" s="2">
        <f t="shared" si="242"/>
        <v>1</v>
      </c>
    </row>
    <row r="15514" spans="1:4" x14ac:dyDescent="0.3">
      <c r="A15514" s="34">
        <v>77738</v>
      </c>
      <c r="B15514" s="35">
        <v>1</v>
      </c>
      <c r="C15514" s="35">
        <v>0</v>
      </c>
      <c r="D15514" s="2">
        <f t="shared" si="242"/>
        <v>1</v>
      </c>
    </row>
    <row r="15515" spans="1:4" x14ac:dyDescent="0.3">
      <c r="A15515" s="34">
        <v>77740</v>
      </c>
      <c r="B15515" s="35">
        <v>1</v>
      </c>
      <c r="C15515" s="35">
        <v>0</v>
      </c>
      <c r="D15515" s="2">
        <f t="shared" si="242"/>
        <v>1</v>
      </c>
    </row>
    <row r="15516" spans="1:4" x14ac:dyDescent="0.3">
      <c r="A15516" s="34">
        <v>77748</v>
      </c>
      <c r="B15516" s="35">
        <v>1</v>
      </c>
      <c r="C15516" s="35">
        <v>0</v>
      </c>
      <c r="D15516" s="2">
        <f t="shared" si="242"/>
        <v>1</v>
      </c>
    </row>
    <row r="15517" spans="1:4" x14ac:dyDescent="0.3">
      <c r="A15517" s="34">
        <v>77753</v>
      </c>
      <c r="B15517" s="35">
        <v>1</v>
      </c>
      <c r="C15517" s="35">
        <v>0</v>
      </c>
      <c r="D15517" s="2">
        <f t="shared" si="242"/>
        <v>1</v>
      </c>
    </row>
    <row r="15518" spans="1:4" x14ac:dyDescent="0.3">
      <c r="A15518" s="34">
        <v>77756</v>
      </c>
      <c r="B15518" s="35">
        <v>1</v>
      </c>
      <c r="C15518" s="35">
        <v>0</v>
      </c>
      <c r="D15518" s="2">
        <f t="shared" si="242"/>
        <v>1</v>
      </c>
    </row>
    <row r="15519" spans="1:4" x14ac:dyDescent="0.3">
      <c r="A15519" s="34">
        <v>77759</v>
      </c>
      <c r="B15519" s="35">
        <v>2</v>
      </c>
      <c r="C15519" s="35">
        <v>1</v>
      </c>
      <c r="D15519" s="2">
        <f t="shared" si="242"/>
        <v>3</v>
      </c>
    </row>
    <row r="15520" spans="1:4" x14ac:dyDescent="0.3">
      <c r="A15520" s="34">
        <v>77791</v>
      </c>
      <c r="B15520" s="35">
        <v>1</v>
      </c>
      <c r="C15520" s="35">
        <v>0</v>
      </c>
      <c r="D15520" s="2">
        <f t="shared" si="242"/>
        <v>1</v>
      </c>
    </row>
    <row r="15521" spans="1:4" x14ac:dyDescent="0.3">
      <c r="A15521" s="34">
        <v>77792</v>
      </c>
      <c r="B15521" s="35">
        <v>1</v>
      </c>
      <c r="C15521" s="35">
        <v>0</v>
      </c>
      <c r="D15521" s="2">
        <f t="shared" si="242"/>
        <v>1</v>
      </c>
    </row>
    <row r="15522" spans="1:4" x14ac:dyDescent="0.3">
      <c r="A15522" s="34">
        <v>77793</v>
      </c>
      <c r="B15522" s="35">
        <v>1</v>
      </c>
      <c r="C15522" s="35">
        <v>0</v>
      </c>
      <c r="D15522" s="2">
        <f t="shared" si="242"/>
        <v>1</v>
      </c>
    </row>
    <row r="15523" spans="1:4" x14ac:dyDescent="0.3">
      <c r="A15523" s="34">
        <v>77794</v>
      </c>
      <c r="B15523" s="35">
        <v>1</v>
      </c>
      <c r="C15523" s="35">
        <v>0</v>
      </c>
      <c r="D15523" s="2">
        <f t="shared" si="242"/>
        <v>1</v>
      </c>
    </row>
    <row r="15524" spans="1:4" x14ac:dyDescent="0.3">
      <c r="A15524" s="34">
        <v>77795</v>
      </c>
      <c r="B15524" s="35">
        <v>1</v>
      </c>
      <c r="C15524" s="35">
        <v>0</v>
      </c>
      <c r="D15524" s="2">
        <f t="shared" si="242"/>
        <v>1</v>
      </c>
    </row>
    <row r="15525" spans="1:4" x14ac:dyDescent="0.3">
      <c r="A15525" s="34">
        <v>77796</v>
      </c>
      <c r="B15525" s="35">
        <v>1</v>
      </c>
      <c r="C15525" s="35">
        <v>0</v>
      </c>
      <c r="D15525" s="2">
        <f t="shared" si="242"/>
        <v>1</v>
      </c>
    </row>
    <row r="15526" spans="1:4" x14ac:dyDescent="0.3">
      <c r="A15526" s="34">
        <v>77797</v>
      </c>
      <c r="B15526" s="35">
        <v>1</v>
      </c>
      <c r="C15526" s="35">
        <v>0</v>
      </c>
      <c r="D15526" s="2">
        <f t="shared" si="242"/>
        <v>1</v>
      </c>
    </row>
    <row r="15527" spans="1:4" x14ac:dyDescent="0.3">
      <c r="A15527" s="34">
        <v>77798</v>
      </c>
      <c r="B15527" s="35">
        <v>1</v>
      </c>
      <c r="C15527" s="35">
        <v>0</v>
      </c>
      <c r="D15527" s="2">
        <f t="shared" si="242"/>
        <v>1</v>
      </c>
    </row>
    <row r="15528" spans="1:4" x14ac:dyDescent="0.3">
      <c r="A15528" s="34">
        <v>77799</v>
      </c>
      <c r="B15528" s="35">
        <v>1</v>
      </c>
      <c r="C15528" s="35">
        <v>0</v>
      </c>
      <c r="D15528" s="2">
        <f t="shared" si="242"/>
        <v>1</v>
      </c>
    </row>
    <row r="15529" spans="1:4" x14ac:dyDescent="0.3">
      <c r="A15529" s="34">
        <v>77801</v>
      </c>
      <c r="B15529" s="35">
        <v>1</v>
      </c>
      <c r="C15529" s="35">
        <v>0</v>
      </c>
      <c r="D15529" s="2">
        <f t="shared" si="242"/>
        <v>1</v>
      </c>
    </row>
    <row r="15530" spans="1:4" x14ac:dyDescent="0.3">
      <c r="A15530" s="34">
        <v>77802</v>
      </c>
      <c r="B15530" s="35">
        <v>1</v>
      </c>
      <c r="C15530" s="35">
        <v>0</v>
      </c>
      <c r="D15530" s="2">
        <f t="shared" si="242"/>
        <v>1</v>
      </c>
    </row>
    <row r="15531" spans="1:4" x14ac:dyDescent="0.3">
      <c r="A15531" s="34">
        <v>77804</v>
      </c>
      <c r="B15531" s="35">
        <v>1</v>
      </c>
      <c r="C15531" s="35">
        <v>1</v>
      </c>
      <c r="D15531" s="2">
        <f t="shared" si="242"/>
        <v>2</v>
      </c>
    </row>
    <row r="15532" spans="1:4" x14ac:dyDescent="0.3">
      <c r="A15532" s="34">
        <v>77805</v>
      </c>
      <c r="B15532" s="35">
        <v>1</v>
      </c>
      <c r="C15532" s="35">
        <v>0</v>
      </c>
      <c r="D15532" s="2">
        <f t="shared" si="242"/>
        <v>1</v>
      </c>
    </row>
    <row r="15533" spans="1:4" x14ac:dyDescent="0.3">
      <c r="A15533" s="34">
        <v>77806</v>
      </c>
      <c r="B15533" s="35">
        <v>1</v>
      </c>
      <c r="C15533" s="35">
        <v>0</v>
      </c>
      <c r="D15533" s="2">
        <f t="shared" si="242"/>
        <v>1</v>
      </c>
    </row>
    <row r="15534" spans="1:4" x14ac:dyDescent="0.3">
      <c r="A15534" s="34">
        <v>77807</v>
      </c>
      <c r="B15534" s="35">
        <v>1</v>
      </c>
      <c r="C15534" s="35">
        <v>0</v>
      </c>
      <c r="D15534" s="2">
        <f t="shared" si="242"/>
        <v>1</v>
      </c>
    </row>
    <row r="15535" spans="1:4" x14ac:dyDescent="0.3">
      <c r="A15535" s="34">
        <v>77808</v>
      </c>
      <c r="B15535" s="35">
        <v>1</v>
      </c>
      <c r="C15535" s="35">
        <v>0</v>
      </c>
      <c r="D15535" s="2">
        <f t="shared" si="242"/>
        <v>1</v>
      </c>
    </row>
    <row r="15536" spans="1:4" x14ac:dyDescent="0.3">
      <c r="A15536" s="34">
        <v>77809</v>
      </c>
      <c r="B15536" s="35">
        <v>1</v>
      </c>
      <c r="C15536" s="35">
        <v>0</v>
      </c>
      <c r="D15536" s="2">
        <f t="shared" si="242"/>
        <v>1</v>
      </c>
    </row>
    <row r="15537" spans="1:4" x14ac:dyDescent="0.3">
      <c r="A15537" s="34">
        <v>77810</v>
      </c>
      <c r="B15537" s="35">
        <v>1</v>
      </c>
      <c r="C15537" s="35">
        <v>0</v>
      </c>
      <c r="D15537" s="2">
        <f t="shared" si="242"/>
        <v>1</v>
      </c>
    </row>
    <row r="15538" spans="1:4" x14ac:dyDescent="0.3">
      <c r="A15538" s="34">
        <v>77811</v>
      </c>
      <c r="B15538" s="35">
        <v>1</v>
      </c>
      <c r="C15538" s="35">
        <v>0</v>
      </c>
      <c r="D15538" s="2">
        <f t="shared" si="242"/>
        <v>1</v>
      </c>
    </row>
    <row r="15539" spans="1:4" x14ac:dyDescent="0.3">
      <c r="A15539" s="34">
        <v>77812</v>
      </c>
      <c r="B15539" s="35">
        <v>1</v>
      </c>
      <c r="C15539" s="35">
        <v>0</v>
      </c>
      <c r="D15539" s="2">
        <f t="shared" si="242"/>
        <v>1</v>
      </c>
    </row>
    <row r="15540" spans="1:4" x14ac:dyDescent="0.3">
      <c r="A15540" s="34">
        <v>77813</v>
      </c>
      <c r="B15540" s="35">
        <v>1</v>
      </c>
      <c r="C15540" s="35">
        <v>0</v>
      </c>
      <c r="D15540" s="2">
        <f t="shared" si="242"/>
        <v>1</v>
      </c>
    </row>
    <row r="15541" spans="1:4" x14ac:dyDescent="0.3">
      <c r="A15541" s="34">
        <v>77814</v>
      </c>
      <c r="B15541" s="35">
        <v>1</v>
      </c>
      <c r="C15541" s="35">
        <v>0</v>
      </c>
      <c r="D15541" s="2">
        <f t="shared" si="242"/>
        <v>1</v>
      </c>
    </row>
    <row r="15542" spans="1:4" x14ac:dyDescent="0.3">
      <c r="A15542" s="34">
        <v>77815</v>
      </c>
      <c r="B15542" s="35">
        <v>1</v>
      </c>
      <c r="C15542" s="35">
        <v>0</v>
      </c>
      <c r="D15542" s="2">
        <f t="shared" si="242"/>
        <v>1</v>
      </c>
    </row>
    <row r="15543" spans="1:4" x14ac:dyDescent="0.3">
      <c r="A15543" s="34">
        <v>77817</v>
      </c>
      <c r="B15543" s="35">
        <v>1</v>
      </c>
      <c r="C15543" s="35">
        <v>0</v>
      </c>
      <c r="D15543" s="2">
        <f t="shared" si="242"/>
        <v>1</v>
      </c>
    </row>
    <row r="15544" spans="1:4" x14ac:dyDescent="0.3">
      <c r="A15544" s="34">
        <v>77818</v>
      </c>
      <c r="B15544" s="35">
        <v>1</v>
      </c>
      <c r="C15544" s="35">
        <v>0</v>
      </c>
      <c r="D15544" s="2">
        <f t="shared" si="242"/>
        <v>1</v>
      </c>
    </row>
    <row r="15545" spans="1:4" x14ac:dyDescent="0.3">
      <c r="A15545" s="34">
        <v>77819</v>
      </c>
      <c r="B15545" s="35">
        <v>1</v>
      </c>
      <c r="C15545" s="35">
        <v>0</v>
      </c>
      <c r="D15545" s="2">
        <f t="shared" si="242"/>
        <v>1</v>
      </c>
    </row>
    <row r="15546" spans="1:4" x14ac:dyDescent="0.3">
      <c r="A15546" s="34">
        <v>77820</v>
      </c>
      <c r="B15546" s="35">
        <v>1</v>
      </c>
      <c r="C15546" s="35">
        <v>0</v>
      </c>
      <c r="D15546" s="2">
        <f t="shared" si="242"/>
        <v>1</v>
      </c>
    </row>
    <row r="15547" spans="1:4" x14ac:dyDescent="0.3">
      <c r="A15547" s="34">
        <v>77821</v>
      </c>
      <c r="B15547" s="35">
        <v>1</v>
      </c>
      <c r="C15547" s="35">
        <v>0</v>
      </c>
      <c r="D15547" s="2">
        <f t="shared" si="242"/>
        <v>1</v>
      </c>
    </row>
    <row r="15548" spans="1:4" x14ac:dyDescent="0.3">
      <c r="A15548" s="34">
        <v>77822</v>
      </c>
      <c r="B15548" s="35">
        <v>1</v>
      </c>
      <c r="C15548" s="35">
        <v>1</v>
      </c>
      <c r="D15548" s="2">
        <f t="shared" si="242"/>
        <v>2</v>
      </c>
    </row>
    <row r="15549" spans="1:4" x14ac:dyDescent="0.3">
      <c r="A15549" s="34">
        <v>77823</v>
      </c>
      <c r="B15549" s="35">
        <v>1</v>
      </c>
      <c r="C15549" s="35">
        <v>0</v>
      </c>
      <c r="D15549" s="2">
        <f t="shared" si="242"/>
        <v>1</v>
      </c>
    </row>
    <row r="15550" spans="1:4" x14ac:dyDescent="0.3">
      <c r="A15550" s="34">
        <v>77824</v>
      </c>
      <c r="B15550" s="35">
        <v>1</v>
      </c>
      <c r="C15550" s="35">
        <v>0</v>
      </c>
      <c r="D15550" s="2">
        <f t="shared" si="242"/>
        <v>1</v>
      </c>
    </row>
    <row r="15551" spans="1:4" x14ac:dyDescent="0.3">
      <c r="A15551" s="34">
        <v>77826</v>
      </c>
      <c r="B15551" s="35">
        <v>1</v>
      </c>
      <c r="C15551" s="35">
        <v>0</v>
      </c>
      <c r="D15551" s="2">
        <f t="shared" si="242"/>
        <v>1</v>
      </c>
    </row>
    <row r="15552" spans="1:4" x14ac:dyDescent="0.3">
      <c r="A15552" s="34">
        <v>77827</v>
      </c>
      <c r="B15552" s="35">
        <v>1</v>
      </c>
      <c r="C15552" s="35">
        <v>0</v>
      </c>
      <c r="D15552" s="2">
        <f t="shared" si="242"/>
        <v>1</v>
      </c>
    </row>
    <row r="15553" spans="1:4" x14ac:dyDescent="0.3">
      <c r="A15553" s="34">
        <v>77828</v>
      </c>
      <c r="B15553" s="35">
        <v>2</v>
      </c>
      <c r="C15553" s="35">
        <v>1</v>
      </c>
      <c r="D15553" s="2">
        <f t="shared" si="242"/>
        <v>3</v>
      </c>
    </row>
    <row r="15554" spans="1:4" x14ac:dyDescent="0.3">
      <c r="A15554" s="34">
        <v>77830</v>
      </c>
      <c r="B15554" s="35">
        <v>1</v>
      </c>
      <c r="C15554" s="35">
        <v>0</v>
      </c>
      <c r="D15554" s="2">
        <f t="shared" si="242"/>
        <v>1</v>
      </c>
    </row>
    <row r="15555" spans="1:4" x14ac:dyDescent="0.3">
      <c r="A15555" s="34">
        <v>77831</v>
      </c>
      <c r="B15555" s="35">
        <v>1</v>
      </c>
      <c r="C15555" s="35">
        <v>0</v>
      </c>
      <c r="D15555" s="2">
        <f t="shared" ref="D15555:D15618" si="243">B15555+C15555</f>
        <v>1</v>
      </c>
    </row>
    <row r="15556" spans="1:4" x14ac:dyDescent="0.3">
      <c r="A15556" s="34">
        <v>77832</v>
      </c>
      <c r="B15556" s="35">
        <v>2</v>
      </c>
      <c r="C15556" s="35">
        <v>1</v>
      </c>
      <c r="D15556" s="2">
        <f t="shared" si="243"/>
        <v>3</v>
      </c>
    </row>
    <row r="15557" spans="1:4" x14ac:dyDescent="0.3">
      <c r="A15557" s="34">
        <v>77833</v>
      </c>
      <c r="B15557" s="35">
        <v>1</v>
      </c>
      <c r="C15557" s="35">
        <v>0</v>
      </c>
      <c r="D15557" s="2">
        <f t="shared" si="243"/>
        <v>1</v>
      </c>
    </row>
    <row r="15558" spans="1:4" x14ac:dyDescent="0.3">
      <c r="A15558" s="34">
        <v>77834</v>
      </c>
      <c r="B15558" s="35">
        <v>1</v>
      </c>
      <c r="C15558" s="35">
        <v>0</v>
      </c>
      <c r="D15558" s="2">
        <f t="shared" si="243"/>
        <v>1</v>
      </c>
    </row>
    <row r="15559" spans="1:4" x14ac:dyDescent="0.3">
      <c r="A15559" s="34">
        <v>77886</v>
      </c>
      <c r="B15559" s="35">
        <v>1</v>
      </c>
      <c r="C15559" s="35">
        <v>0</v>
      </c>
      <c r="D15559" s="2">
        <f t="shared" si="243"/>
        <v>1</v>
      </c>
    </row>
    <row r="15560" spans="1:4" x14ac:dyDescent="0.3">
      <c r="A15560" s="34">
        <v>77887</v>
      </c>
      <c r="B15560" s="35">
        <v>1</v>
      </c>
      <c r="C15560" s="35">
        <v>0</v>
      </c>
      <c r="D15560" s="2">
        <f t="shared" si="243"/>
        <v>1</v>
      </c>
    </row>
    <row r="15561" spans="1:4" x14ac:dyDescent="0.3">
      <c r="A15561" s="34">
        <v>77888</v>
      </c>
      <c r="B15561" s="35">
        <v>1</v>
      </c>
      <c r="C15561" s="35">
        <v>0</v>
      </c>
      <c r="D15561" s="2">
        <f t="shared" si="243"/>
        <v>1</v>
      </c>
    </row>
    <row r="15562" spans="1:4" x14ac:dyDescent="0.3">
      <c r="A15562" s="34">
        <v>77889</v>
      </c>
      <c r="B15562" s="35">
        <v>1</v>
      </c>
      <c r="C15562" s="35">
        <v>0</v>
      </c>
      <c r="D15562" s="2">
        <f t="shared" si="243"/>
        <v>1</v>
      </c>
    </row>
    <row r="15563" spans="1:4" x14ac:dyDescent="0.3">
      <c r="A15563" s="34">
        <v>77890</v>
      </c>
      <c r="B15563" s="35">
        <v>1</v>
      </c>
      <c r="C15563" s="35">
        <v>0</v>
      </c>
      <c r="D15563" s="2">
        <f t="shared" si="243"/>
        <v>1</v>
      </c>
    </row>
    <row r="15564" spans="1:4" x14ac:dyDescent="0.3">
      <c r="A15564" s="34">
        <v>77891</v>
      </c>
      <c r="B15564" s="35">
        <v>1</v>
      </c>
      <c r="C15564" s="35">
        <v>1</v>
      </c>
      <c r="D15564" s="2">
        <f t="shared" si="243"/>
        <v>2</v>
      </c>
    </row>
    <row r="15565" spans="1:4" x14ac:dyDescent="0.3">
      <c r="A15565" s="34">
        <v>77892</v>
      </c>
      <c r="B15565" s="35">
        <v>1</v>
      </c>
      <c r="C15565" s="35">
        <v>0</v>
      </c>
      <c r="D15565" s="2">
        <f t="shared" si="243"/>
        <v>1</v>
      </c>
    </row>
    <row r="15566" spans="1:4" x14ac:dyDescent="0.3">
      <c r="A15566" s="34">
        <v>77893</v>
      </c>
      <c r="B15566" s="35">
        <v>1</v>
      </c>
      <c r="C15566" s="35">
        <v>0</v>
      </c>
      <c r="D15566" s="2">
        <f t="shared" si="243"/>
        <v>1</v>
      </c>
    </row>
    <row r="15567" spans="1:4" x14ac:dyDescent="0.3">
      <c r="A15567" s="34">
        <v>77894</v>
      </c>
      <c r="B15567" s="35">
        <v>1</v>
      </c>
      <c r="C15567" s="35">
        <v>0</v>
      </c>
      <c r="D15567" s="2">
        <f t="shared" si="243"/>
        <v>1</v>
      </c>
    </row>
    <row r="15568" spans="1:4" x14ac:dyDescent="0.3">
      <c r="A15568" s="34">
        <v>77895</v>
      </c>
      <c r="B15568" s="35">
        <v>2</v>
      </c>
      <c r="C15568" s="35">
        <v>1</v>
      </c>
      <c r="D15568" s="2">
        <f t="shared" si="243"/>
        <v>3</v>
      </c>
    </row>
    <row r="15569" spans="1:4" x14ac:dyDescent="0.3">
      <c r="A15569" s="34">
        <v>77896</v>
      </c>
      <c r="B15569" s="35">
        <v>1</v>
      </c>
      <c r="C15569" s="35">
        <v>0</v>
      </c>
      <c r="D15569" s="2">
        <f t="shared" si="243"/>
        <v>1</v>
      </c>
    </row>
    <row r="15570" spans="1:4" x14ac:dyDescent="0.3">
      <c r="A15570" s="34">
        <v>77897</v>
      </c>
      <c r="B15570" s="35">
        <v>1</v>
      </c>
      <c r="C15570" s="35">
        <v>0</v>
      </c>
      <c r="D15570" s="2">
        <f t="shared" si="243"/>
        <v>1</v>
      </c>
    </row>
    <row r="15571" spans="1:4" x14ac:dyDescent="0.3">
      <c r="A15571" s="34">
        <v>77899</v>
      </c>
      <c r="B15571" s="35">
        <v>1</v>
      </c>
      <c r="C15571" s="35">
        <v>1</v>
      </c>
      <c r="D15571" s="2">
        <f t="shared" si="243"/>
        <v>2</v>
      </c>
    </row>
    <row r="15572" spans="1:4" x14ac:dyDescent="0.3">
      <c r="A15572" s="34">
        <v>77900</v>
      </c>
      <c r="B15572" s="35">
        <v>1</v>
      </c>
      <c r="C15572" s="35">
        <v>0</v>
      </c>
      <c r="D15572" s="2">
        <f t="shared" si="243"/>
        <v>1</v>
      </c>
    </row>
    <row r="15573" spans="1:4" x14ac:dyDescent="0.3">
      <c r="A15573" s="34">
        <v>77901</v>
      </c>
      <c r="B15573" s="35">
        <v>1</v>
      </c>
      <c r="C15573" s="35">
        <v>0</v>
      </c>
      <c r="D15573" s="2">
        <f t="shared" si="243"/>
        <v>1</v>
      </c>
    </row>
    <row r="15574" spans="1:4" x14ac:dyDescent="0.3">
      <c r="A15574" s="34">
        <v>77902</v>
      </c>
      <c r="B15574" s="35">
        <v>1</v>
      </c>
      <c r="C15574" s="35">
        <v>0</v>
      </c>
      <c r="D15574" s="2">
        <f t="shared" si="243"/>
        <v>1</v>
      </c>
    </row>
    <row r="15575" spans="1:4" x14ac:dyDescent="0.3">
      <c r="A15575" s="34">
        <v>77903</v>
      </c>
      <c r="B15575" s="35">
        <v>2</v>
      </c>
      <c r="C15575" s="35">
        <v>1</v>
      </c>
      <c r="D15575" s="2">
        <f t="shared" si="243"/>
        <v>3</v>
      </c>
    </row>
    <row r="15576" spans="1:4" x14ac:dyDescent="0.3">
      <c r="A15576" s="34">
        <v>77904</v>
      </c>
      <c r="B15576" s="35">
        <v>1</v>
      </c>
      <c r="C15576" s="35">
        <v>1</v>
      </c>
      <c r="D15576" s="2">
        <f t="shared" si="243"/>
        <v>2</v>
      </c>
    </row>
    <row r="15577" spans="1:4" x14ac:dyDescent="0.3">
      <c r="A15577" s="34">
        <v>77905</v>
      </c>
      <c r="B15577" s="35">
        <v>1</v>
      </c>
      <c r="C15577" s="35">
        <v>0</v>
      </c>
      <c r="D15577" s="2">
        <f t="shared" si="243"/>
        <v>1</v>
      </c>
    </row>
    <row r="15578" spans="1:4" x14ac:dyDescent="0.3">
      <c r="A15578" s="34">
        <v>77906</v>
      </c>
      <c r="B15578" s="35">
        <v>1</v>
      </c>
      <c r="C15578" s="35">
        <v>1</v>
      </c>
      <c r="D15578" s="2">
        <f t="shared" si="243"/>
        <v>2</v>
      </c>
    </row>
    <row r="15579" spans="1:4" x14ac:dyDescent="0.3">
      <c r="A15579" s="34">
        <v>77907</v>
      </c>
      <c r="B15579" s="35">
        <v>1</v>
      </c>
      <c r="C15579" s="35">
        <v>0</v>
      </c>
      <c r="D15579" s="2">
        <f t="shared" si="243"/>
        <v>1</v>
      </c>
    </row>
    <row r="15580" spans="1:4" x14ac:dyDescent="0.3">
      <c r="A15580" s="34">
        <v>77908</v>
      </c>
      <c r="B15580" s="35">
        <v>1</v>
      </c>
      <c r="C15580" s="35">
        <v>0</v>
      </c>
      <c r="D15580" s="2">
        <f t="shared" si="243"/>
        <v>1</v>
      </c>
    </row>
    <row r="15581" spans="1:4" x14ac:dyDescent="0.3">
      <c r="A15581" s="34">
        <v>77909</v>
      </c>
      <c r="B15581" s="35">
        <v>1</v>
      </c>
      <c r="C15581" s="35">
        <v>0</v>
      </c>
      <c r="D15581" s="2">
        <f t="shared" si="243"/>
        <v>1</v>
      </c>
    </row>
    <row r="15582" spans="1:4" x14ac:dyDescent="0.3">
      <c r="A15582" s="34">
        <v>77911</v>
      </c>
      <c r="B15582" s="35">
        <v>1</v>
      </c>
      <c r="C15582" s="35">
        <v>0</v>
      </c>
      <c r="D15582" s="2">
        <f t="shared" si="243"/>
        <v>1</v>
      </c>
    </row>
    <row r="15583" spans="1:4" x14ac:dyDescent="0.3">
      <c r="A15583" s="34">
        <v>77912</v>
      </c>
      <c r="B15583" s="35">
        <v>1</v>
      </c>
      <c r="C15583" s="35">
        <v>0</v>
      </c>
      <c r="D15583" s="2">
        <f t="shared" si="243"/>
        <v>1</v>
      </c>
    </row>
    <row r="15584" spans="1:4" x14ac:dyDescent="0.3">
      <c r="A15584" s="34">
        <v>77913</v>
      </c>
      <c r="B15584" s="35">
        <v>1</v>
      </c>
      <c r="C15584" s="35">
        <v>0</v>
      </c>
      <c r="D15584" s="2">
        <f t="shared" si="243"/>
        <v>1</v>
      </c>
    </row>
    <row r="15585" spans="1:4" x14ac:dyDescent="0.3">
      <c r="A15585" s="34">
        <v>77914</v>
      </c>
      <c r="B15585" s="35">
        <v>1</v>
      </c>
      <c r="C15585" s="35">
        <v>0</v>
      </c>
      <c r="D15585" s="2">
        <f t="shared" si="243"/>
        <v>1</v>
      </c>
    </row>
    <row r="15586" spans="1:4" x14ac:dyDescent="0.3">
      <c r="A15586" s="34">
        <v>77915</v>
      </c>
      <c r="B15586" s="35">
        <v>1</v>
      </c>
      <c r="C15586" s="35">
        <v>0</v>
      </c>
      <c r="D15586" s="2">
        <f t="shared" si="243"/>
        <v>1</v>
      </c>
    </row>
    <row r="15587" spans="1:4" x14ac:dyDescent="0.3">
      <c r="A15587" s="34">
        <v>77916</v>
      </c>
      <c r="B15587" s="35">
        <v>1</v>
      </c>
      <c r="C15587" s="35">
        <v>0</v>
      </c>
      <c r="D15587" s="2">
        <f t="shared" si="243"/>
        <v>1</v>
      </c>
    </row>
    <row r="15588" spans="1:4" x14ac:dyDescent="0.3">
      <c r="A15588" s="34">
        <v>77917</v>
      </c>
      <c r="B15588" s="35">
        <v>1</v>
      </c>
      <c r="C15588" s="35">
        <v>0</v>
      </c>
      <c r="D15588" s="2">
        <f t="shared" si="243"/>
        <v>1</v>
      </c>
    </row>
    <row r="15589" spans="1:4" x14ac:dyDescent="0.3">
      <c r="A15589" s="34">
        <v>77918</v>
      </c>
      <c r="B15589" s="35">
        <v>1</v>
      </c>
      <c r="C15589" s="35">
        <v>0</v>
      </c>
      <c r="D15589" s="2">
        <f t="shared" si="243"/>
        <v>1</v>
      </c>
    </row>
    <row r="15590" spans="1:4" x14ac:dyDescent="0.3">
      <c r="A15590" s="34">
        <v>77922</v>
      </c>
      <c r="B15590" s="35">
        <v>1</v>
      </c>
      <c r="C15590" s="35">
        <v>1</v>
      </c>
      <c r="D15590" s="2">
        <f t="shared" si="243"/>
        <v>2</v>
      </c>
    </row>
    <row r="15591" spans="1:4" x14ac:dyDescent="0.3">
      <c r="A15591" s="34">
        <v>77925</v>
      </c>
      <c r="B15591" s="35">
        <v>1</v>
      </c>
      <c r="C15591" s="35">
        <v>0</v>
      </c>
      <c r="D15591" s="2">
        <f t="shared" si="243"/>
        <v>1</v>
      </c>
    </row>
    <row r="15592" spans="1:4" x14ac:dyDescent="0.3">
      <c r="A15592" s="34">
        <v>77926</v>
      </c>
      <c r="B15592" s="35">
        <v>1</v>
      </c>
      <c r="C15592" s="35">
        <v>0</v>
      </c>
      <c r="D15592" s="2">
        <f t="shared" si="243"/>
        <v>1</v>
      </c>
    </row>
    <row r="15593" spans="1:4" x14ac:dyDescent="0.3">
      <c r="A15593" s="34">
        <v>77927</v>
      </c>
      <c r="B15593" s="35">
        <v>1</v>
      </c>
      <c r="C15593" s="35">
        <v>0</v>
      </c>
      <c r="D15593" s="2">
        <f t="shared" si="243"/>
        <v>1</v>
      </c>
    </row>
    <row r="15594" spans="1:4" x14ac:dyDescent="0.3">
      <c r="A15594" s="34">
        <v>77928</v>
      </c>
      <c r="B15594" s="35">
        <v>1</v>
      </c>
      <c r="C15594" s="35">
        <v>0</v>
      </c>
      <c r="D15594" s="2">
        <f t="shared" si="243"/>
        <v>1</v>
      </c>
    </row>
    <row r="15595" spans="1:4" x14ac:dyDescent="0.3">
      <c r="A15595" s="34">
        <v>77929</v>
      </c>
      <c r="B15595" s="35">
        <v>1</v>
      </c>
      <c r="C15595" s="35">
        <v>0</v>
      </c>
      <c r="D15595" s="2">
        <f t="shared" si="243"/>
        <v>1</v>
      </c>
    </row>
    <row r="15596" spans="1:4" x14ac:dyDescent="0.3">
      <c r="A15596" s="34">
        <v>77931</v>
      </c>
      <c r="B15596" s="35">
        <v>1</v>
      </c>
      <c r="C15596" s="35">
        <v>1</v>
      </c>
      <c r="D15596" s="2">
        <f t="shared" si="243"/>
        <v>2</v>
      </c>
    </row>
    <row r="15597" spans="1:4" x14ac:dyDescent="0.3">
      <c r="A15597" s="34">
        <v>77932</v>
      </c>
      <c r="B15597" s="35">
        <v>1</v>
      </c>
      <c r="C15597" s="35">
        <v>0</v>
      </c>
      <c r="D15597" s="2">
        <f t="shared" si="243"/>
        <v>1</v>
      </c>
    </row>
    <row r="15598" spans="1:4" x14ac:dyDescent="0.3">
      <c r="A15598" s="34">
        <v>77933</v>
      </c>
      <c r="B15598" s="35">
        <v>1</v>
      </c>
      <c r="C15598" s="35">
        <v>0</v>
      </c>
      <c r="D15598" s="2">
        <f t="shared" si="243"/>
        <v>1</v>
      </c>
    </row>
    <row r="15599" spans="1:4" x14ac:dyDescent="0.3">
      <c r="A15599" s="34">
        <v>77936</v>
      </c>
      <c r="B15599" s="35">
        <v>1</v>
      </c>
      <c r="C15599" s="35">
        <v>0</v>
      </c>
      <c r="D15599" s="2">
        <f t="shared" si="243"/>
        <v>1</v>
      </c>
    </row>
    <row r="15600" spans="1:4" x14ac:dyDescent="0.3">
      <c r="A15600" s="34">
        <v>77937</v>
      </c>
      <c r="B15600" s="35">
        <v>1</v>
      </c>
      <c r="C15600" s="35">
        <v>1</v>
      </c>
      <c r="D15600" s="2">
        <f t="shared" si="243"/>
        <v>2</v>
      </c>
    </row>
    <row r="15601" spans="1:4" x14ac:dyDescent="0.3">
      <c r="A15601" s="34">
        <v>77939</v>
      </c>
      <c r="B15601" s="35">
        <v>1</v>
      </c>
      <c r="C15601" s="35">
        <v>0</v>
      </c>
      <c r="D15601" s="2">
        <f t="shared" si="243"/>
        <v>1</v>
      </c>
    </row>
    <row r="15602" spans="1:4" x14ac:dyDescent="0.3">
      <c r="A15602" s="34">
        <v>77940</v>
      </c>
      <c r="B15602" s="35">
        <v>1</v>
      </c>
      <c r="C15602" s="35">
        <v>0</v>
      </c>
      <c r="D15602" s="2">
        <f t="shared" si="243"/>
        <v>1</v>
      </c>
    </row>
    <row r="15603" spans="1:4" x14ac:dyDescent="0.3">
      <c r="A15603" s="34">
        <v>77941</v>
      </c>
      <c r="B15603" s="35">
        <v>1</v>
      </c>
      <c r="C15603" s="35">
        <v>0</v>
      </c>
      <c r="D15603" s="2">
        <f t="shared" si="243"/>
        <v>1</v>
      </c>
    </row>
    <row r="15604" spans="1:4" x14ac:dyDescent="0.3">
      <c r="A15604" s="34">
        <v>77944</v>
      </c>
      <c r="B15604" s="35">
        <v>1</v>
      </c>
      <c r="C15604" s="35">
        <v>0</v>
      </c>
      <c r="D15604" s="2">
        <f t="shared" si="243"/>
        <v>1</v>
      </c>
    </row>
    <row r="15605" spans="1:4" x14ac:dyDescent="0.3">
      <c r="A15605" s="34">
        <v>77945</v>
      </c>
      <c r="B15605" s="35">
        <v>1</v>
      </c>
      <c r="C15605" s="35">
        <v>0</v>
      </c>
      <c r="D15605" s="2">
        <f t="shared" si="243"/>
        <v>1</v>
      </c>
    </row>
    <row r="15606" spans="1:4" x14ac:dyDescent="0.3">
      <c r="A15606" s="34">
        <v>77946</v>
      </c>
      <c r="B15606" s="35">
        <v>1</v>
      </c>
      <c r="C15606" s="35">
        <v>0</v>
      </c>
      <c r="D15606" s="2">
        <f t="shared" si="243"/>
        <v>1</v>
      </c>
    </row>
    <row r="15607" spans="1:4" x14ac:dyDescent="0.3">
      <c r="A15607" s="34">
        <v>77947</v>
      </c>
      <c r="B15607" s="35">
        <v>1</v>
      </c>
      <c r="C15607" s="35">
        <v>0</v>
      </c>
      <c r="D15607" s="2">
        <f t="shared" si="243"/>
        <v>1</v>
      </c>
    </row>
    <row r="15608" spans="1:4" x14ac:dyDescent="0.3">
      <c r="A15608" s="34">
        <v>77948</v>
      </c>
      <c r="B15608" s="35">
        <v>1</v>
      </c>
      <c r="C15608" s="35">
        <v>0</v>
      </c>
      <c r="D15608" s="2">
        <f t="shared" si="243"/>
        <v>1</v>
      </c>
    </row>
    <row r="15609" spans="1:4" x14ac:dyDescent="0.3">
      <c r="A15609" s="34">
        <v>77949</v>
      </c>
      <c r="B15609" s="35">
        <v>1</v>
      </c>
      <c r="C15609" s="35">
        <v>0</v>
      </c>
      <c r="D15609" s="2">
        <f t="shared" si="243"/>
        <v>1</v>
      </c>
    </row>
    <row r="15610" spans="1:4" x14ac:dyDescent="0.3">
      <c r="A15610" s="34">
        <v>77950</v>
      </c>
      <c r="B15610" s="35">
        <v>1</v>
      </c>
      <c r="C15610" s="35">
        <v>0</v>
      </c>
      <c r="D15610" s="2">
        <f t="shared" si="243"/>
        <v>1</v>
      </c>
    </row>
    <row r="15611" spans="1:4" x14ac:dyDescent="0.3">
      <c r="A15611" s="34">
        <v>77952</v>
      </c>
      <c r="B15611" s="35">
        <v>1</v>
      </c>
      <c r="C15611" s="35">
        <v>0</v>
      </c>
      <c r="D15611" s="2">
        <f t="shared" si="243"/>
        <v>1</v>
      </c>
    </row>
    <row r="15612" spans="1:4" x14ac:dyDescent="0.3">
      <c r="A15612" s="34">
        <v>77953</v>
      </c>
      <c r="B15612" s="35">
        <v>1</v>
      </c>
      <c r="C15612" s="35">
        <v>0</v>
      </c>
      <c r="D15612" s="2">
        <f t="shared" si="243"/>
        <v>1</v>
      </c>
    </row>
    <row r="15613" spans="1:4" x14ac:dyDescent="0.3">
      <c r="A15613" s="34">
        <v>77954</v>
      </c>
      <c r="B15613" s="35">
        <v>1</v>
      </c>
      <c r="C15613" s="35">
        <v>1</v>
      </c>
      <c r="D15613" s="2">
        <f t="shared" si="243"/>
        <v>2</v>
      </c>
    </row>
    <row r="15614" spans="1:4" x14ac:dyDescent="0.3">
      <c r="A15614" s="34">
        <v>77955</v>
      </c>
      <c r="B15614" s="35">
        <v>1</v>
      </c>
      <c r="C15614" s="35">
        <v>0</v>
      </c>
      <c r="D15614" s="2">
        <f t="shared" si="243"/>
        <v>1</v>
      </c>
    </row>
    <row r="15615" spans="1:4" x14ac:dyDescent="0.3">
      <c r="A15615" s="34">
        <v>77956</v>
      </c>
      <c r="B15615" s="35">
        <v>1</v>
      </c>
      <c r="C15615" s="35">
        <v>0</v>
      </c>
      <c r="D15615" s="2">
        <f t="shared" si="243"/>
        <v>1</v>
      </c>
    </row>
    <row r="15616" spans="1:4" x14ac:dyDescent="0.3">
      <c r="A15616" s="34">
        <v>77957</v>
      </c>
      <c r="B15616" s="35">
        <v>1</v>
      </c>
      <c r="C15616" s="35">
        <v>1</v>
      </c>
      <c r="D15616" s="2">
        <f t="shared" si="243"/>
        <v>2</v>
      </c>
    </row>
    <row r="15617" spans="1:4" x14ac:dyDescent="0.3">
      <c r="A15617" s="34">
        <v>77958</v>
      </c>
      <c r="B15617" s="35">
        <v>1</v>
      </c>
      <c r="C15617" s="35">
        <v>0</v>
      </c>
      <c r="D15617" s="2">
        <f t="shared" si="243"/>
        <v>1</v>
      </c>
    </row>
    <row r="15618" spans="1:4" x14ac:dyDescent="0.3">
      <c r="A15618" s="34">
        <v>77960</v>
      </c>
      <c r="B15618" s="35">
        <v>1</v>
      </c>
      <c r="C15618" s="35">
        <v>0</v>
      </c>
      <c r="D15618" s="2">
        <f t="shared" si="243"/>
        <v>1</v>
      </c>
    </row>
    <row r="15619" spans="1:4" x14ac:dyDescent="0.3">
      <c r="A15619" s="34">
        <v>77961</v>
      </c>
      <c r="B15619" s="35">
        <v>1</v>
      </c>
      <c r="C15619" s="35">
        <v>0</v>
      </c>
      <c r="D15619" s="2">
        <f t="shared" ref="D15619:D15682" si="244">B15619+C15619</f>
        <v>1</v>
      </c>
    </row>
    <row r="15620" spans="1:4" x14ac:dyDescent="0.3">
      <c r="A15620" s="34">
        <v>77962</v>
      </c>
      <c r="B15620" s="35">
        <v>1</v>
      </c>
      <c r="C15620" s="35">
        <v>0</v>
      </c>
      <c r="D15620" s="2">
        <f t="shared" si="244"/>
        <v>1</v>
      </c>
    </row>
    <row r="15621" spans="1:4" x14ac:dyDescent="0.3">
      <c r="A15621" s="34">
        <v>77963</v>
      </c>
      <c r="B15621" s="35">
        <v>1</v>
      </c>
      <c r="C15621" s="35">
        <v>0</v>
      </c>
      <c r="D15621" s="2">
        <f t="shared" si="244"/>
        <v>1</v>
      </c>
    </row>
    <row r="15622" spans="1:4" x14ac:dyDescent="0.3">
      <c r="A15622" s="34">
        <v>77964</v>
      </c>
      <c r="B15622" s="35">
        <v>1</v>
      </c>
      <c r="C15622" s="35">
        <v>0</v>
      </c>
      <c r="D15622" s="2">
        <f t="shared" si="244"/>
        <v>1</v>
      </c>
    </row>
    <row r="15623" spans="1:4" x14ac:dyDescent="0.3">
      <c r="A15623" s="34">
        <v>77965</v>
      </c>
      <c r="B15623" s="35">
        <v>1</v>
      </c>
      <c r="C15623" s="35">
        <v>0</v>
      </c>
      <c r="D15623" s="2">
        <f t="shared" si="244"/>
        <v>1</v>
      </c>
    </row>
    <row r="15624" spans="1:4" x14ac:dyDescent="0.3">
      <c r="A15624" s="34">
        <v>77966</v>
      </c>
      <c r="B15624" s="35">
        <v>1</v>
      </c>
      <c r="C15624" s="35">
        <v>0</v>
      </c>
      <c r="D15624" s="2">
        <f t="shared" si="244"/>
        <v>1</v>
      </c>
    </row>
    <row r="15625" spans="1:4" x14ac:dyDescent="0.3">
      <c r="A15625" s="34">
        <v>77967</v>
      </c>
      <c r="B15625" s="35">
        <v>1</v>
      </c>
      <c r="C15625" s="35">
        <v>0</v>
      </c>
      <c r="D15625" s="2">
        <f t="shared" si="244"/>
        <v>1</v>
      </c>
    </row>
    <row r="15626" spans="1:4" x14ac:dyDescent="0.3">
      <c r="A15626" s="34">
        <v>77968</v>
      </c>
      <c r="B15626" s="35">
        <v>1</v>
      </c>
      <c r="C15626" s="35">
        <v>0</v>
      </c>
      <c r="D15626" s="2">
        <f t="shared" si="244"/>
        <v>1</v>
      </c>
    </row>
    <row r="15627" spans="1:4" x14ac:dyDescent="0.3">
      <c r="A15627" s="34">
        <v>77969</v>
      </c>
      <c r="B15627" s="35">
        <v>1</v>
      </c>
      <c r="C15627" s="35">
        <v>0</v>
      </c>
      <c r="D15627" s="2">
        <f t="shared" si="244"/>
        <v>1</v>
      </c>
    </row>
    <row r="15628" spans="1:4" x14ac:dyDescent="0.3">
      <c r="A15628" s="34">
        <v>77970</v>
      </c>
      <c r="B15628" s="35">
        <v>1</v>
      </c>
      <c r="C15628" s="35">
        <v>0</v>
      </c>
      <c r="D15628" s="2">
        <f t="shared" si="244"/>
        <v>1</v>
      </c>
    </row>
    <row r="15629" spans="1:4" x14ac:dyDescent="0.3">
      <c r="A15629" s="34">
        <v>77971</v>
      </c>
      <c r="B15629" s="35">
        <v>1</v>
      </c>
      <c r="C15629" s="35">
        <v>0</v>
      </c>
      <c r="D15629" s="2">
        <f t="shared" si="244"/>
        <v>1</v>
      </c>
    </row>
    <row r="15630" spans="1:4" x14ac:dyDescent="0.3">
      <c r="A15630" s="34">
        <v>77972</v>
      </c>
      <c r="B15630" s="35">
        <v>1</v>
      </c>
      <c r="C15630" s="35">
        <v>0</v>
      </c>
      <c r="D15630" s="2">
        <f t="shared" si="244"/>
        <v>1</v>
      </c>
    </row>
    <row r="15631" spans="1:4" x14ac:dyDescent="0.3">
      <c r="A15631" s="34">
        <v>77973</v>
      </c>
      <c r="B15631" s="35">
        <v>1</v>
      </c>
      <c r="C15631" s="35">
        <v>0</v>
      </c>
      <c r="D15631" s="2">
        <f t="shared" si="244"/>
        <v>1</v>
      </c>
    </row>
    <row r="15632" spans="1:4" x14ac:dyDescent="0.3">
      <c r="A15632" s="34">
        <v>77974</v>
      </c>
      <c r="B15632" s="35">
        <v>1</v>
      </c>
      <c r="C15632" s="35">
        <v>0</v>
      </c>
      <c r="D15632" s="2">
        <f t="shared" si="244"/>
        <v>1</v>
      </c>
    </row>
    <row r="15633" spans="1:4" x14ac:dyDescent="0.3">
      <c r="A15633" s="34">
        <v>77976</v>
      </c>
      <c r="B15633" s="35">
        <v>1</v>
      </c>
      <c r="C15633" s="35">
        <v>0</v>
      </c>
      <c r="D15633" s="2">
        <f t="shared" si="244"/>
        <v>1</v>
      </c>
    </row>
    <row r="15634" spans="1:4" x14ac:dyDescent="0.3">
      <c r="A15634" s="34">
        <v>77980</v>
      </c>
      <c r="B15634" s="35">
        <v>2</v>
      </c>
      <c r="C15634" s="35">
        <v>1</v>
      </c>
      <c r="D15634" s="2">
        <f t="shared" si="244"/>
        <v>3</v>
      </c>
    </row>
    <row r="15635" spans="1:4" x14ac:dyDescent="0.3">
      <c r="A15635" s="34">
        <v>77981</v>
      </c>
      <c r="B15635" s="35">
        <v>1</v>
      </c>
      <c r="C15635" s="35">
        <v>0</v>
      </c>
      <c r="D15635" s="2">
        <f t="shared" si="244"/>
        <v>1</v>
      </c>
    </row>
    <row r="15636" spans="1:4" x14ac:dyDescent="0.3">
      <c r="A15636" s="34">
        <v>77982</v>
      </c>
      <c r="B15636" s="35">
        <v>1</v>
      </c>
      <c r="C15636" s="35">
        <v>0</v>
      </c>
      <c r="D15636" s="2">
        <f t="shared" si="244"/>
        <v>1</v>
      </c>
    </row>
    <row r="15637" spans="1:4" x14ac:dyDescent="0.3">
      <c r="A15637" s="34">
        <v>77983</v>
      </c>
      <c r="B15637" s="35">
        <v>1</v>
      </c>
      <c r="C15637" s="35">
        <v>0</v>
      </c>
      <c r="D15637" s="2">
        <f t="shared" si="244"/>
        <v>1</v>
      </c>
    </row>
    <row r="15638" spans="1:4" x14ac:dyDescent="0.3">
      <c r="A15638" s="34">
        <v>77984</v>
      </c>
      <c r="B15638" s="35">
        <v>1</v>
      </c>
      <c r="C15638" s="35">
        <v>0</v>
      </c>
      <c r="D15638" s="2">
        <f t="shared" si="244"/>
        <v>1</v>
      </c>
    </row>
    <row r="15639" spans="1:4" x14ac:dyDescent="0.3">
      <c r="A15639" s="34">
        <v>77985</v>
      </c>
      <c r="B15639" s="35">
        <v>1</v>
      </c>
      <c r="C15639" s="35">
        <v>0</v>
      </c>
      <c r="D15639" s="2">
        <f t="shared" si="244"/>
        <v>1</v>
      </c>
    </row>
    <row r="15640" spans="1:4" x14ac:dyDescent="0.3">
      <c r="A15640" s="34">
        <v>77986</v>
      </c>
      <c r="B15640" s="35">
        <v>1</v>
      </c>
      <c r="C15640" s="35">
        <v>0</v>
      </c>
      <c r="D15640" s="2">
        <f t="shared" si="244"/>
        <v>1</v>
      </c>
    </row>
    <row r="15641" spans="1:4" x14ac:dyDescent="0.3">
      <c r="A15641" s="34">
        <v>77987</v>
      </c>
      <c r="B15641" s="35">
        <v>1</v>
      </c>
      <c r="C15641" s="35">
        <v>0</v>
      </c>
      <c r="D15641" s="2">
        <f t="shared" si="244"/>
        <v>1</v>
      </c>
    </row>
    <row r="15642" spans="1:4" x14ac:dyDescent="0.3">
      <c r="A15642" s="34">
        <v>77992</v>
      </c>
      <c r="B15642" s="35">
        <v>1</v>
      </c>
      <c r="C15642" s="35">
        <v>0</v>
      </c>
      <c r="D15642" s="2">
        <f t="shared" si="244"/>
        <v>1</v>
      </c>
    </row>
    <row r="15643" spans="1:4" x14ac:dyDescent="0.3">
      <c r="A15643" s="34">
        <v>77993</v>
      </c>
      <c r="B15643" s="35">
        <v>1</v>
      </c>
      <c r="C15643" s="35">
        <v>1</v>
      </c>
      <c r="D15643" s="2">
        <f t="shared" si="244"/>
        <v>2</v>
      </c>
    </row>
    <row r="15644" spans="1:4" x14ac:dyDescent="0.3">
      <c r="A15644" s="34">
        <v>77994</v>
      </c>
      <c r="B15644" s="35">
        <v>1</v>
      </c>
      <c r="C15644" s="35">
        <v>1</v>
      </c>
      <c r="D15644" s="2">
        <f t="shared" si="244"/>
        <v>2</v>
      </c>
    </row>
    <row r="15645" spans="1:4" x14ac:dyDescent="0.3">
      <c r="A15645" s="34">
        <v>77995</v>
      </c>
      <c r="B15645" s="35">
        <v>1</v>
      </c>
      <c r="C15645" s="35">
        <v>0</v>
      </c>
      <c r="D15645" s="2">
        <f t="shared" si="244"/>
        <v>1</v>
      </c>
    </row>
    <row r="15646" spans="1:4" x14ac:dyDescent="0.3">
      <c r="A15646" s="34">
        <v>77997</v>
      </c>
      <c r="B15646" s="35">
        <v>1</v>
      </c>
      <c r="C15646" s="35">
        <v>0</v>
      </c>
      <c r="D15646" s="2">
        <f t="shared" si="244"/>
        <v>1</v>
      </c>
    </row>
    <row r="15647" spans="1:4" x14ac:dyDescent="0.3">
      <c r="A15647" s="34">
        <v>77998</v>
      </c>
      <c r="B15647" s="35">
        <v>1</v>
      </c>
      <c r="C15647" s="35">
        <v>0</v>
      </c>
      <c r="D15647" s="2">
        <f t="shared" si="244"/>
        <v>1</v>
      </c>
    </row>
    <row r="15648" spans="1:4" x14ac:dyDescent="0.3">
      <c r="A15648" s="34">
        <v>77999</v>
      </c>
      <c r="B15648" s="35">
        <v>1</v>
      </c>
      <c r="C15648" s="35">
        <v>0</v>
      </c>
      <c r="D15648" s="2">
        <f t="shared" si="244"/>
        <v>1</v>
      </c>
    </row>
    <row r="15649" spans="1:4" x14ac:dyDescent="0.3">
      <c r="A15649" s="34">
        <v>78000</v>
      </c>
      <c r="B15649" s="35">
        <v>1</v>
      </c>
      <c r="C15649" s="35">
        <v>0</v>
      </c>
      <c r="D15649" s="2">
        <f t="shared" si="244"/>
        <v>1</v>
      </c>
    </row>
    <row r="15650" spans="1:4" x14ac:dyDescent="0.3">
      <c r="A15650" s="34">
        <v>78001</v>
      </c>
      <c r="B15650" s="35">
        <v>1</v>
      </c>
      <c r="C15650" s="35">
        <v>0</v>
      </c>
      <c r="D15650" s="2">
        <f t="shared" si="244"/>
        <v>1</v>
      </c>
    </row>
    <row r="15651" spans="1:4" x14ac:dyDescent="0.3">
      <c r="A15651" s="34">
        <v>78002</v>
      </c>
      <c r="B15651" s="35">
        <v>1</v>
      </c>
      <c r="C15651" s="35">
        <v>0</v>
      </c>
      <c r="D15651" s="2">
        <f t="shared" si="244"/>
        <v>1</v>
      </c>
    </row>
    <row r="15652" spans="1:4" x14ac:dyDescent="0.3">
      <c r="A15652" s="34">
        <v>78003</v>
      </c>
      <c r="B15652" s="35">
        <v>1</v>
      </c>
      <c r="C15652" s="35">
        <v>0</v>
      </c>
      <c r="D15652" s="2">
        <f t="shared" si="244"/>
        <v>1</v>
      </c>
    </row>
    <row r="15653" spans="1:4" x14ac:dyDescent="0.3">
      <c r="A15653" s="34">
        <v>78004</v>
      </c>
      <c r="B15653" s="35">
        <v>1</v>
      </c>
      <c r="C15653" s="35">
        <v>0</v>
      </c>
      <c r="D15653" s="2">
        <f t="shared" si="244"/>
        <v>1</v>
      </c>
    </row>
    <row r="15654" spans="1:4" x14ac:dyDescent="0.3">
      <c r="A15654" s="34">
        <v>78005</v>
      </c>
      <c r="B15654" s="35">
        <v>1</v>
      </c>
      <c r="C15654" s="35">
        <v>0</v>
      </c>
      <c r="D15654" s="2">
        <f t="shared" si="244"/>
        <v>1</v>
      </c>
    </row>
    <row r="15655" spans="1:4" x14ac:dyDescent="0.3">
      <c r="A15655" s="34">
        <v>78006</v>
      </c>
      <c r="B15655" s="35">
        <v>1</v>
      </c>
      <c r="C15655" s="35">
        <v>0</v>
      </c>
      <c r="D15655" s="2">
        <f t="shared" si="244"/>
        <v>1</v>
      </c>
    </row>
    <row r="15656" spans="1:4" x14ac:dyDescent="0.3">
      <c r="A15656" s="34">
        <v>78007</v>
      </c>
      <c r="B15656" s="35">
        <v>1</v>
      </c>
      <c r="C15656" s="35">
        <v>0</v>
      </c>
      <c r="D15656" s="2">
        <f t="shared" si="244"/>
        <v>1</v>
      </c>
    </row>
    <row r="15657" spans="1:4" x14ac:dyDescent="0.3">
      <c r="A15657" s="34">
        <v>78008</v>
      </c>
      <c r="B15657" s="35">
        <v>1</v>
      </c>
      <c r="C15657" s="35">
        <v>0</v>
      </c>
      <c r="D15657" s="2">
        <f t="shared" si="244"/>
        <v>1</v>
      </c>
    </row>
    <row r="15658" spans="1:4" x14ac:dyDescent="0.3">
      <c r="A15658" s="34">
        <v>78009</v>
      </c>
      <c r="B15658" s="35">
        <v>1</v>
      </c>
      <c r="C15658" s="35">
        <v>0</v>
      </c>
      <c r="D15658" s="2">
        <f t="shared" si="244"/>
        <v>1</v>
      </c>
    </row>
    <row r="15659" spans="1:4" x14ac:dyDescent="0.3">
      <c r="A15659" s="34">
        <v>78010</v>
      </c>
      <c r="B15659" s="35">
        <v>1</v>
      </c>
      <c r="C15659" s="35">
        <v>0</v>
      </c>
      <c r="D15659" s="2">
        <f t="shared" si="244"/>
        <v>1</v>
      </c>
    </row>
    <row r="15660" spans="1:4" x14ac:dyDescent="0.3">
      <c r="A15660" s="34">
        <v>78011</v>
      </c>
      <c r="B15660" s="35">
        <v>1</v>
      </c>
      <c r="C15660" s="35">
        <v>0</v>
      </c>
      <c r="D15660" s="2">
        <f t="shared" si="244"/>
        <v>1</v>
      </c>
    </row>
    <row r="15661" spans="1:4" x14ac:dyDescent="0.3">
      <c r="A15661" s="34">
        <v>78012</v>
      </c>
      <c r="B15661" s="35">
        <v>1</v>
      </c>
      <c r="C15661" s="35">
        <v>0</v>
      </c>
      <c r="D15661" s="2">
        <f t="shared" si="244"/>
        <v>1</v>
      </c>
    </row>
    <row r="15662" spans="1:4" x14ac:dyDescent="0.3">
      <c r="A15662" s="34">
        <v>78013</v>
      </c>
      <c r="B15662" s="35">
        <v>1</v>
      </c>
      <c r="C15662" s="35">
        <v>0</v>
      </c>
      <c r="D15662" s="2">
        <f t="shared" si="244"/>
        <v>1</v>
      </c>
    </row>
    <row r="15663" spans="1:4" x14ac:dyDescent="0.3">
      <c r="A15663" s="34">
        <v>78014</v>
      </c>
      <c r="B15663" s="35">
        <v>1</v>
      </c>
      <c r="C15663" s="35">
        <v>0</v>
      </c>
      <c r="D15663" s="2">
        <f t="shared" si="244"/>
        <v>1</v>
      </c>
    </row>
    <row r="15664" spans="1:4" x14ac:dyDescent="0.3">
      <c r="A15664" s="34">
        <v>78015</v>
      </c>
      <c r="B15664" s="35">
        <v>1</v>
      </c>
      <c r="C15664" s="35">
        <v>0</v>
      </c>
      <c r="D15664" s="2">
        <f t="shared" si="244"/>
        <v>1</v>
      </c>
    </row>
    <row r="15665" spans="1:4" x14ac:dyDescent="0.3">
      <c r="A15665" s="34">
        <v>78016</v>
      </c>
      <c r="B15665" s="35">
        <v>1</v>
      </c>
      <c r="C15665" s="35">
        <v>0</v>
      </c>
      <c r="D15665" s="2">
        <f t="shared" si="244"/>
        <v>1</v>
      </c>
    </row>
    <row r="15666" spans="1:4" x14ac:dyDescent="0.3">
      <c r="A15666" s="34">
        <v>78017</v>
      </c>
      <c r="B15666" s="35">
        <v>1</v>
      </c>
      <c r="C15666" s="35">
        <v>0</v>
      </c>
      <c r="D15666" s="2">
        <f t="shared" si="244"/>
        <v>1</v>
      </c>
    </row>
    <row r="15667" spans="1:4" x14ac:dyDescent="0.3">
      <c r="A15667" s="34">
        <v>78018</v>
      </c>
      <c r="B15667" s="35">
        <v>1</v>
      </c>
      <c r="C15667" s="35">
        <v>0</v>
      </c>
      <c r="D15667" s="2">
        <f t="shared" si="244"/>
        <v>1</v>
      </c>
    </row>
    <row r="15668" spans="1:4" x14ac:dyDescent="0.3">
      <c r="A15668" s="34">
        <v>78019</v>
      </c>
      <c r="B15668" s="35">
        <v>1</v>
      </c>
      <c r="C15668" s="35">
        <v>0</v>
      </c>
      <c r="D15668" s="2">
        <f t="shared" si="244"/>
        <v>1</v>
      </c>
    </row>
    <row r="15669" spans="1:4" x14ac:dyDescent="0.3">
      <c r="A15669" s="34">
        <v>78020</v>
      </c>
      <c r="B15669" s="35">
        <v>1</v>
      </c>
      <c r="C15669" s="35">
        <v>0</v>
      </c>
      <c r="D15669" s="2">
        <f t="shared" si="244"/>
        <v>1</v>
      </c>
    </row>
    <row r="15670" spans="1:4" x14ac:dyDescent="0.3">
      <c r="A15670" s="34">
        <v>78021</v>
      </c>
      <c r="B15670" s="35">
        <v>1</v>
      </c>
      <c r="C15670" s="35">
        <v>0</v>
      </c>
      <c r="D15670" s="2">
        <f t="shared" si="244"/>
        <v>1</v>
      </c>
    </row>
    <row r="15671" spans="1:4" x14ac:dyDescent="0.3">
      <c r="A15671" s="34">
        <v>78023</v>
      </c>
      <c r="B15671" s="35">
        <v>1</v>
      </c>
      <c r="C15671" s="35">
        <v>0</v>
      </c>
      <c r="D15671" s="2">
        <f t="shared" si="244"/>
        <v>1</v>
      </c>
    </row>
    <row r="15672" spans="1:4" x14ac:dyDescent="0.3">
      <c r="A15672" s="34">
        <v>78024</v>
      </c>
      <c r="B15672" s="35">
        <v>1</v>
      </c>
      <c r="C15672" s="35">
        <v>0</v>
      </c>
      <c r="D15672" s="2">
        <f t="shared" si="244"/>
        <v>1</v>
      </c>
    </row>
    <row r="15673" spans="1:4" x14ac:dyDescent="0.3">
      <c r="A15673" s="34">
        <v>78025</v>
      </c>
      <c r="B15673" s="35">
        <v>1</v>
      </c>
      <c r="C15673" s="35">
        <v>0</v>
      </c>
      <c r="D15673" s="2">
        <f t="shared" si="244"/>
        <v>1</v>
      </c>
    </row>
    <row r="15674" spans="1:4" x14ac:dyDescent="0.3">
      <c r="A15674" s="34">
        <v>78026</v>
      </c>
      <c r="B15674" s="35">
        <v>1</v>
      </c>
      <c r="C15674" s="35">
        <v>0</v>
      </c>
      <c r="D15674" s="2">
        <f t="shared" si="244"/>
        <v>1</v>
      </c>
    </row>
    <row r="15675" spans="1:4" x14ac:dyDescent="0.3">
      <c r="A15675" s="34">
        <v>78027</v>
      </c>
      <c r="B15675" s="35">
        <v>1</v>
      </c>
      <c r="C15675" s="35">
        <v>0</v>
      </c>
      <c r="D15675" s="2">
        <f t="shared" si="244"/>
        <v>1</v>
      </c>
    </row>
    <row r="15676" spans="1:4" x14ac:dyDescent="0.3">
      <c r="A15676" s="34">
        <v>78028</v>
      </c>
      <c r="B15676" s="35">
        <v>1</v>
      </c>
      <c r="C15676" s="35">
        <v>0</v>
      </c>
      <c r="D15676" s="2">
        <f t="shared" si="244"/>
        <v>1</v>
      </c>
    </row>
    <row r="15677" spans="1:4" x14ac:dyDescent="0.3">
      <c r="A15677" s="34">
        <v>78029</v>
      </c>
      <c r="B15677" s="35">
        <v>1</v>
      </c>
      <c r="C15677" s="35">
        <v>0</v>
      </c>
      <c r="D15677" s="2">
        <f t="shared" si="244"/>
        <v>1</v>
      </c>
    </row>
    <row r="15678" spans="1:4" x14ac:dyDescent="0.3">
      <c r="A15678" s="34">
        <v>78030</v>
      </c>
      <c r="B15678" s="35">
        <v>1</v>
      </c>
      <c r="C15678" s="35">
        <v>1</v>
      </c>
      <c r="D15678" s="2">
        <f t="shared" si="244"/>
        <v>2</v>
      </c>
    </row>
    <row r="15679" spans="1:4" x14ac:dyDescent="0.3">
      <c r="A15679" s="34">
        <v>78031</v>
      </c>
      <c r="B15679" s="35">
        <v>1</v>
      </c>
      <c r="C15679" s="35">
        <v>0</v>
      </c>
      <c r="D15679" s="2">
        <f t="shared" si="244"/>
        <v>1</v>
      </c>
    </row>
    <row r="15680" spans="1:4" x14ac:dyDescent="0.3">
      <c r="A15680" s="34">
        <v>78032</v>
      </c>
      <c r="B15680" s="35">
        <v>1</v>
      </c>
      <c r="C15680" s="35">
        <v>0</v>
      </c>
      <c r="D15680" s="2">
        <f t="shared" si="244"/>
        <v>1</v>
      </c>
    </row>
    <row r="15681" spans="1:4" x14ac:dyDescent="0.3">
      <c r="A15681" s="34">
        <v>78033</v>
      </c>
      <c r="B15681" s="35">
        <v>1</v>
      </c>
      <c r="C15681" s="35">
        <v>0</v>
      </c>
      <c r="D15681" s="2">
        <f t="shared" si="244"/>
        <v>1</v>
      </c>
    </row>
    <row r="15682" spans="1:4" x14ac:dyDescent="0.3">
      <c r="A15682" s="34">
        <v>78034</v>
      </c>
      <c r="B15682" s="35">
        <v>1</v>
      </c>
      <c r="C15682" s="35">
        <v>0</v>
      </c>
      <c r="D15682" s="2">
        <f t="shared" si="244"/>
        <v>1</v>
      </c>
    </row>
    <row r="15683" spans="1:4" x14ac:dyDescent="0.3">
      <c r="A15683" s="34">
        <v>78035</v>
      </c>
      <c r="B15683" s="35">
        <v>1</v>
      </c>
      <c r="C15683" s="35">
        <v>0</v>
      </c>
      <c r="D15683" s="2">
        <f t="shared" ref="D15683:D15746" si="245">B15683+C15683</f>
        <v>1</v>
      </c>
    </row>
    <row r="15684" spans="1:4" x14ac:dyDescent="0.3">
      <c r="A15684" s="34">
        <v>78061</v>
      </c>
      <c r="B15684" s="35">
        <v>2</v>
      </c>
      <c r="C15684" s="35">
        <v>1</v>
      </c>
      <c r="D15684" s="2">
        <f t="shared" si="245"/>
        <v>3</v>
      </c>
    </row>
    <row r="15685" spans="1:4" x14ac:dyDescent="0.3">
      <c r="A15685" s="34">
        <v>78062</v>
      </c>
      <c r="B15685" s="35">
        <v>1</v>
      </c>
      <c r="C15685" s="35">
        <v>0</v>
      </c>
      <c r="D15685" s="2">
        <f t="shared" si="245"/>
        <v>1</v>
      </c>
    </row>
    <row r="15686" spans="1:4" x14ac:dyDescent="0.3">
      <c r="A15686" s="34">
        <v>78064</v>
      </c>
      <c r="B15686" s="35">
        <v>1</v>
      </c>
      <c r="C15686" s="35">
        <v>1</v>
      </c>
      <c r="D15686" s="2">
        <f t="shared" si="245"/>
        <v>2</v>
      </c>
    </row>
    <row r="15687" spans="1:4" x14ac:dyDescent="0.3">
      <c r="A15687" s="34">
        <v>78065</v>
      </c>
      <c r="B15687" s="35">
        <v>1</v>
      </c>
      <c r="C15687" s="35">
        <v>0</v>
      </c>
      <c r="D15687" s="2">
        <f t="shared" si="245"/>
        <v>1</v>
      </c>
    </row>
    <row r="15688" spans="1:4" x14ac:dyDescent="0.3">
      <c r="A15688" s="34">
        <v>78066</v>
      </c>
      <c r="B15688" s="35">
        <v>1</v>
      </c>
      <c r="C15688" s="35">
        <v>0</v>
      </c>
      <c r="D15688" s="2">
        <f t="shared" si="245"/>
        <v>1</v>
      </c>
    </row>
    <row r="15689" spans="1:4" x14ac:dyDescent="0.3">
      <c r="A15689" s="34">
        <v>78067</v>
      </c>
      <c r="B15689" s="35">
        <v>1</v>
      </c>
      <c r="C15689" s="35">
        <v>0</v>
      </c>
      <c r="D15689" s="2">
        <f t="shared" si="245"/>
        <v>1</v>
      </c>
    </row>
    <row r="15690" spans="1:4" x14ac:dyDescent="0.3">
      <c r="A15690" s="34">
        <v>78068</v>
      </c>
      <c r="B15690" s="35">
        <v>2</v>
      </c>
      <c r="C15690" s="35">
        <v>1</v>
      </c>
      <c r="D15690" s="2">
        <f t="shared" si="245"/>
        <v>3</v>
      </c>
    </row>
    <row r="15691" spans="1:4" x14ac:dyDescent="0.3">
      <c r="A15691" s="34">
        <v>78069</v>
      </c>
      <c r="B15691" s="35">
        <v>1</v>
      </c>
      <c r="C15691" s="35">
        <v>0</v>
      </c>
      <c r="D15691" s="2">
        <f t="shared" si="245"/>
        <v>1</v>
      </c>
    </row>
    <row r="15692" spans="1:4" x14ac:dyDescent="0.3">
      <c r="A15692" s="34">
        <v>78070</v>
      </c>
      <c r="B15692" s="35">
        <v>1</v>
      </c>
      <c r="C15692" s="35">
        <v>0</v>
      </c>
      <c r="D15692" s="2">
        <f t="shared" si="245"/>
        <v>1</v>
      </c>
    </row>
    <row r="15693" spans="1:4" x14ac:dyDescent="0.3">
      <c r="A15693" s="34">
        <v>78071</v>
      </c>
      <c r="B15693" s="35">
        <v>1</v>
      </c>
      <c r="C15693" s="35">
        <v>0</v>
      </c>
      <c r="D15693" s="2">
        <f t="shared" si="245"/>
        <v>1</v>
      </c>
    </row>
    <row r="15694" spans="1:4" x14ac:dyDescent="0.3">
      <c r="A15694" s="34">
        <v>78072</v>
      </c>
      <c r="B15694" s="35">
        <v>1</v>
      </c>
      <c r="C15694" s="35">
        <v>0</v>
      </c>
      <c r="D15694" s="2">
        <f t="shared" si="245"/>
        <v>1</v>
      </c>
    </row>
    <row r="15695" spans="1:4" x14ac:dyDescent="0.3">
      <c r="A15695" s="34">
        <v>78073</v>
      </c>
      <c r="B15695" s="35">
        <v>1</v>
      </c>
      <c r="C15695" s="35">
        <v>0</v>
      </c>
      <c r="D15695" s="2">
        <f t="shared" si="245"/>
        <v>1</v>
      </c>
    </row>
    <row r="15696" spans="1:4" x14ac:dyDescent="0.3">
      <c r="A15696" s="34">
        <v>78074</v>
      </c>
      <c r="B15696" s="35">
        <v>1</v>
      </c>
      <c r="C15696" s="35">
        <v>0</v>
      </c>
      <c r="D15696" s="2">
        <f t="shared" si="245"/>
        <v>1</v>
      </c>
    </row>
    <row r="15697" spans="1:4" x14ac:dyDescent="0.3">
      <c r="A15697" s="34">
        <v>78075</v>
      </c>
      <c r="B15697" s="35">
        <v>1</v>
      </c>
      <c r="C15697" s="35">
        <v>0</v>
      </c>
      <c r="D15697" s="2">
        <f t="shared" si="245"/>
        <v>1</v>
      </c>
    </row>
    <row r="15698" spans="1:4" x14ac:dyDescent="0.3">
      <c r="A15698" s="34">
        <v>78076</v>
      </c>
      <c r="B15698" s="35">
        <v>1</v>
      </c>
      <c r="C15698" s="35">
        <v>0</v>
      </c>
      <c r="D15698" s="2">
        <f t="shared" si="245"/>
        <v>1</v>
      </c>
    </row>
    <row r="15699" spans="1:4" x14ac:dyDescent="0.3">
      <c r="A15699" s="34">
        <v>78077</v>
      </c>
      <c r="B15699" s="35">
        <v>1</v>
      </c>
      <c r="C15699" s="35">
        <v>0</v>
      </c>
      <c r="D15699" s="2">
        <f t="shared" si="245"/>
        <v>1</v>
      </c>
    </row>
    <row r="15700" spans="1:4" x14ac:dyDescent="0.3">
      <c r="A15700" s="34">
        <v>78079</v>
      </c>
      <c r="B15700" s="35">
        <v>2</v>
      </c>
      <c r="C15700" s="35">
        <v>1</v>
      </c>
      <c r="D15700" s="2">
        <f t="shared" si="245"/>
        <v>3</v>
      </c>
    </row>
    <row r="15701" spans="1:4" x14ac:dyDescent="0.3">
      <c r="A15701" s="34">
        <v>78080</v>
      </c>
      <c r="B15701" s="35">
        <v>1</v>
      </c>
      <c r="C15701" s="35">
        <v>0</v>
      </c>
      <c r="D15701" s="2">
        <f t="shared" si="245"/>
        <v>1</v>
      </c>
    </row>
    <row r="15702" spans="1:4" x14ac:dyDescent="0.3">
      <c r="A15702" s="34">
        <v>78081</v>
      </c>
      <c r="B15702" s="35">
        <v>1</v>
      </c>
      <c r="C15702" s="35">
        <v>0</v>
      </c>
      <c r="D15702" s="2">
        <f t="shared" si="245"/>
        <v>1</v>
      </c>
    </row>
    <row r="15703" spans="1:4" x14ac:dyDescent="0.3">
      <c r="A15703" s="34">
        <v>78082</v>
      </c>
      <c r="B15703" s="35">
        <v>1</v>
      </c>
      <c r="C15703" s="35">
        <v>0</v>
      </c>
      <c r="D15703" s="2">
        <f t="shared" si="245"/>
        <v>1</v>
      </c>
    </row>
    <row r="15704" spans="1:4" x14ac:dyDescent="0.3">
      <c r="A15704" s="34">
        <v>78083</v>
      </c>
      <c r="B15704" s="35">
        <v>1</v>
      </c>
      <c r="C15704" s="35">
        <v>0</v>
      </c>
      <c r="D15704" s="2">
        <f t="shared" si="245"/>
        <v>1</v>
      </c>
    </row>
    <row r="15705" spans="1:4" x14ac:dyDescent="0.3">
      <c r="A15705" s="34">
        <v>78084</v>
      </c>
      <c r="B15705" s="35">
        <v>1</v>
      </c>
      <c r="C15705" s="35">
        <v>1</v>
      </c>
      <c r="D15705" s="2">
        <f t="shared" si="245"/>
        <v>2</v>
      </c>
    </row>
    <row r="15706" spans="1:4" x14ac:dyDescent="0.3">
      <c r="A15706" s="34">
        <v>78085</v>
      </c>
      <c r="B15706" s="35">
        <v>1</v>
      </c>
      <c r="C15706" s="35">
        <v>0</v>
      </c>
      <c r="D15706" s="2">
        <f t="shared" si="245"/>
        <v>1</v>
      </c>
    </row>
    <row r="15707" spans="1:4" x14ac:dyDescent="0.3">
      <c r="A15707" s="34">
        <v>78086</v>
      </c>
      <c r="B15707" s="35">
        <v>2</v>
      </c>
      <c r="C15707" s="35">
        <v>1</v>
      </c>
      <c r="D15707" s="2">
        <f t="shared" si="245"/>
        <v>3</v>
      </c>
    </row>
    <row r="15708" spans="1:4" x14ac:dyDescent="0.3">
      <c r="A15708" s="34">
        <v>78087</v>
      </c>
      <c r="B15708" s="35">
        <v>1</v>
      </c>
      <c r="C15708" s="35">
        <v>0</v>
      </c>
      <c r="D15708" s="2">
        <f t="shared" si="245"/>
        <v>1</v>
      </c>
    </row>
    <row r="15709" spans="1:4" x14ac:dyDescent="0.3">
      <c r="A15709" s="34">
        <v>78088</v>
      </c>
      <c r="B15709" s="35">
        <v>1</v>
      </c>
      <c r="C15709" s="35">
        <v>0</v>
      </c>
      <c r="D15709" s="2">
        <f t="shared" si="245"/>
        <v>1</v>
      </c>
    </row>
    <row r="15710" spans="1:4" x14ac:dyDescent="0.3">
      <c r="A15710" s="34">
        <v>78089</v>
      </c>
      <c r="B15710" s="35">
        <v>1</v>
      </c>
      <c r="C15710" s="35">
        <v>1</v>
      </c>
      <c r="D15710" s="2">
        <f t="shared" si="245"/>
        <v>2</v>
      </c>
    </row>
    <row r="15711" spans="1:4" x14ac:dyDescent="0.3">
      <c r="A15711" s="34">
        <v>78091</v>
      </c>
      <c r="B15711" s="35">
        <v>2</v>
      </c>
      <c r="C15711" s="35">
        <v>1</v>
      </c>
      <c r="D15711" s="2">
        <f t="shared" si="245"/>
        <v>3</v>
      </c>
    </row>
    <row r="15712" spans="1:4" x14ac:dyDescent="0.3">
      <c r="A15712" s="34">
        <v>78092</v>
      </c>
      <c r="B15712" s="35">
        <v>1</v>
      </c>
      <c r="C15712" s="35">
        <v>0</v>
      </c>
      <c r="D15712" s="2">
        <f t="shared" si="245"/>
        <v>1</v>
      </c>
    </row>
    <row r="15713" spans="1:4" x14ac:dyDescent="0.3">
      <c r="A15713" s="34">
        <v>78093</v>
      </c>
      <c r="B15713" s="35">
        <v>1</v>
      </c>
      <c r="C15713" s="35">
        <v>0</v>
      </c>
      <c r="D15713" s="2">
        <f t="shared" si="245"/>
        <v>1</v>
      </c>
    </row>
    <row r="15714" spans="1:4" x14ac:dyDescent="0.3">
      <c r="A15714" s="34">
        <v>78094</v>
      </c>
      <c r="B15714" s="35">
        <v>1</v>
      </c>
      <c r="C15714" s="35">
        <v>0</v>
      </c>
      <c r="D15714" s="2">
        <f t="shared" si="245"/>
        <v>1</v>
      </c>
    </row>
    <row r="15715" spans="1:4" x14ac:dyDescent="0.3">
      <c r="A15715" s="34">
        <v>78095</v>
      </c>
      <c r="B15715" s="35">
        <v>1</v>
      </c>
      <c r="C15715" s="35">
        <v>0</v>
      </c>
      <c r="D15715" s="2">
        <f t="shared" si="245"/>
        <v>1</v>
      </c>
    </row>
    <row r="15716" spans="1:4" x14ac:dyDescent="0.3">
      <c r="A15716" s="34">
        <v>78096</v>
      </c>
      <c r="B15716" s="35">
        <v>1</v>
      </c>
      <c r="C15716" s="35">
        <v>0</v>
      </c>
      <c r="D15716" s="2">
        <f t="shared" si="245"/>
        <v>1</v>
      </c>
    </row>
    <row r="15717" spans="1:4" x14ac:dyDescent="0.3">
      <c r="A15717" s="34">
        <v>78097</v>
      </c>
      <c r="B15717" s="35">
        <v>1</v>
      </c>
      <c r="C15717" s="35">
        <v>0</v>
      </c>
      <c r="D15717" s="2">
        <f t="shared" si="245"/>
        <v>1</v>
      </c>
    </row>
    <row r="15718" spans="1:4" x14ac:dyDescent="0.3">
      <c r="A15718" s="34">
        <v>78098</v>
      </c>
      <c r="B15718" s="35">
        <v>1</v>
      </c>
      <c r="C15718" s="35">
        <v>0</v>
      </c>
      <c r="D15718" s="2">
        <f t="shared" si="245"/>
        <v>1</v>
      </c>
    </row>
    <row r="15719" spans="1:4" x14ac:dyDescent="0.3">
      <c r="A15719" s="34">
        <v>78099</v>
      </c>
      <c r="B15719" s="35">
        <v>1</v>
      </c>
      <c r="C15719" s="35">
        <v>0</v>
      </c>
      <c r="D15719" s="2">
        <f t="shared" si="245"/>
        <v>1</v>
      </c>
    </row>
    <row r="15720" spans="1:4" x14ac:dyDescent="0.3">
      <c r="A15720" s="34">
        <v>78100</v>
      </c>
      <c r="B15720" s="35">
        <v>1</v>
      </c>
      <c r="C15720" s="35">
        <v>0</v>
      </c>
      <c r="D15720" s="2">
        <f t="shared" si="245"/>
        <v>1</v>
      </c>
    </row>
    <row r="15721" spans="1:4" x14ac:dyDescent="0.3">
      <c r="A15721" s="34">
        <v>78101</v>
      </c>
      <c r="B15721" s="35">
        <v>1</v>
      </c>
      <c r="C15721" s="35">
        <v>0</v>
      </c>
      <c r="D15721" s="2">
        <f t="shared" si="245"/>
        <v>1</v>
      </c>
    </row>
    <row r="15722" spans="1:4" x14ac:dyDescent="0.3">
      <c r="A15722" s="34">
        <v>78102</v>
      </c>
      <c r="B15722" s="35">
        <v>1</v>
      </c>
      <c r="C15722" s="35">
        <v>0</v>
      </c>
      <c r="D15722" s="2">
        <f t="shared" si="245"/>
        <v>1</v>
      </c>
    </row>
    <row r="15723" spans="1:4" x14ac:dyDescent="0.3">
      <c r="A15723" s="34">
        <v>78103</v>
      </c>
      <c r="B15723" s="35">
        <v>1</v>
      </c>
      <c r="C15723" s="35">
        <v>0</v>
      </c>
      <c r="D15723" s="2">
        <f t="shared" si="245"/>
        <v>1</v>
      </c>
    </row>
    <row r="15724" spans="1:4" x14ac:dyDescent="0.3">
      <c r="A15724" s="34">
        <v>78104</v>
      </c>
      <c r="B15724" s="35">
        <v>1</v>
      </c>
      <c r="C15724" s="35">
        <v>0</v>
      </c>
      <c r="D15724" s="2">
        <f t="shared" si="245"/>
        <v>1</v>
      </c>
    </row>
    <row r="15725" spans="1:4" x14ac:dyDescent="0.3">
      <c r="A15725" s="34">
        <v>78106</v>
      </c>
      <c r="B15725" s="35">
        <v>1</v>
      </c>
      <c r="C15725" s="35">
        <v>0</v>
      </c>
      <c r="D15725" s="2">
        <f t="shared" si="245"/>
        <v>1</v>
      </c>
    </row>
    <row r="15726" spans="1:4" x14ac:dyDescent="0.3">
      <c r="A15726" s="34">
        <v>78107</v>
      </c>
      <c r="B15726" s="35">
        <v>1</v>
      </c>
      <c r="C15726" s="35">
        <v>0</v>
      </c>
      <c r="D15726" s="2">
        <f t="shared" si="245"/>
        <v>1</v>
      </c>
    </row>
    <row r="15727" spans="1:4" x14ac:dyDescent="0.3">
      <c r="A15727" s="34">
        <v>78108</v>
      </c>
      <c r="B15727" s="35">
        <v>1</v>
      </c>
      <c r="C15727" s="35">
        <v>1</v>
      </c>
      <c r="D15727" s="2">
        <f t="shared" si="245"/>
        <v>2</v>
      </c>
    </row>
    <row r="15728" spans="1:4" x14ac:dyDescent="0.3">
      <c r="A15728" s="34">
        <v>78109</v>
      </c>
      <c r="B15728" s="35">
        <v>1</v>
      </c>
      <c r="C15728" s="35">
        <v>0</v>
      </c>
      <c r="D15728" s="2">
        <f t="shared" si="245"/>
        <v>1</v>
      </c>
    </row>
    <row r="15729" spans="1:4" x14ac:dyDescent="0.3">
      <c r="A15729" s="34">
        <v>78110</v>
      </c>
      <c r="B15729" s="35">
        <v>1</v>
      </c>
      <c r="C15729" s="35">
        <v>1</v>
      </c>
      <c r="D15729" s="2">
        <f t="shared" si="245"/>
        <v>2</v>
      </c>
    </row>
    <row r="15730" spans="1:4" x14ac:dyDescent="0.3">
      <c r="A15730" s="34">
        <v>78111</v>
      </c>
      <c r="B15730" s="35">
        <v>1</v>
      </c>
      <c r="C15730" s="35">
        <v>0</v>
      </c>
      <c r="D15730" s="2">
        <f t="shared" si="245"/>
        <v>1</v>
      </c>
    </row>
    <row r="15731" spans="1:4" x14ac:dyDescent="0.3">
      <c r="A15731" s="34">
        <v>78112</v>
      </c>
      <c r="B15731" s="35">
        <v>1</v>
      </c>
      <c r="C15731" s="35">
        <v>0</v>
      </c>
      <c r="D15731" s="2">
        <f t="shared" si="245"/>
        <v>1</v>
      </c>
    </row>
    <row r="15732" spans="1:4" x14ac:dyDescent="0.3">
      <c r="A15732" s="34">
        <v>78113</v>
      </c>
      <c r="B15732" s="35">
        <v>1</v>
      </c>
      <c r="C15732" s="35">
        <v>0</v>
      </c>
      <c r="D15732" s="2">
        <f t="shared" si="245"/>
        <v>1</v>
      </c>
    </row>
    <row r="15733" spans="1:4" x14ac:dyDescent="0.3">
      <c r="A15733" s="34">
        <v>78114</v>
      </c>
      <c r="B15733" s="35">
        <v>1</v>
      </c>
      <c r="C15733" s="35">
        <v>0</v>
      </c>
      <c r="D15733" s="2">
        <f t="shared" si="245"/>
        <v>1</v>
      </c>
    </row>
    <row r="15734" spans="1:4" x14ac:dyDescent="0.3">
      <c r="A15734" s="34">
        <v>78116</v>
      </c>
      <c r="B15734" s="35">
        <v>1</v>
      </c>
      <c r="C15734" s="35">
        <v>0</v>
      </c>
      <c r="D15734" s="2">
        <f t="shared" si="245"/>
        <v>1</v>
      </c>
    </row>
    <row r="15735" spans="1:4" x14ac:dyDescent="0.3">
      <c r="A15735" s="34">
        <v>78118</v>
      </c>
      <c r="B15735" s="35">
        <v>1</v>
      </c>
      <c r="C15735" s="35">
        <v>0</v>
      </c>
      <c r="D15735" s="2">
        <f t="shared" si="245"/>
        <v>1</v>
      </c>
    </row>
    <row r="15736" spans="1:4" x14ac:dyDescent="0.3">
      <c r="A15736" s="34">
        <v>78119</v>
      </c>
      <c r="B15736" s="35">
        <v>1</v>
      </c>
      <c r="C15736" s="35">
        <v>0</v>
      </c>
      <c r="D15736" s="2">
        <f t="shared" si="245"/>
        <v>1</v>
      </c>
    </row>
    <row r="15737" spans="1:4" x14ac:dyDescent="0.3">
      <c r="A15737" s="34">
        <v>78120</v>
      </c>
      <c r="B15737" s="35">
        <v>1</v>
      </c>
      <c r="C15737" s="35">
        <v>0</v>
      </c>
      <c r="D15737" s="2">
        <f t="shared" si="245"/>
        <v>1</v>
      </c>
    </row>
    <row r="15738" spans="1:4" x14ac:dyDescent="0.3">
      <c r="A15738" s="34">
        <v>78121</v>
      </c>
      <c r="B15738" s="35">
        <v>1</v>
      </c>
      <c r="C15738" s="35">
        <v>0</v>
      </c>
      <c r="D15738" s="2">
        <f t="shared" si="245"/>
        <v>1</v>
      </c>
    </row>
    <row r="15739" spans="1:4" x14ac:dyDescent="0.3">
      <c r="A15739" s="34">
        <v>78122</v>
      </c>
      <c r="B15739" s="35">
        <v>1</v>
      </c>
      <c r="C15739" s="35">
        <v>0</v>
      </c>
      <c r="D15739" s="2">
        <f t="shared" si="245"/>
        <v>1</v>
      </c>
    </row>
    <row r="15740" spans="1:4" x14ac:dyDescent="0.3">
      <c r="A15740" s="34">
        <v>78123</v>
      </c>
      <c r="B15740" s="35">
        <v>1</v>
      </c>
      <c r="C15740" s="35">
        <v>0</v>
      </c>
      <c r="D15740" s="2">
        <f t="shared" si="245"/>
        <v>1</v>
      </c>
    </row>
    <row r="15741" spans="1:4" x14ac:dyDescent="0.3">
      <c r="A15741" s="34">
        <v>78124</v>
      </c>
      <c r="B15741" s="35">
        <v>1</v>
      </c>
      <c r="C15741" s="35">
        <v>0</v>
      </c>
      <c r="D15741" s="2">
        <f t="shared" si="245"/>
        <v>1</v>
      </c>
    </row>
    <row r="15742" spans="1:4" x14ac:dyDescent="0.3">
      <c r="A15742" s="34">
        <v>78147</v>
      </c>
      <c r="B15742" s="35">
        <v>1</v>
      </c>
      <c r="C15742" s="35">
        <v>0</v>
      </c>
      <c r="D15742" s="2">
        <f t="shared" si="245"/>
        <v>1</v>
      </c>
    </row>
    <row r="15743" spans="1:4" x14ac:dyDescent="0.3">
      <c r="A15743" s="34">
        <v>78148</v>
      </c>
      <c r="B15743" s="35">
        <v>1</v>
      </c>
      <c r="C15743" s="35">
        <v>0</v>
      </c>
      <c r="D15743" s="2">
        <f t="shared" si="245"/>
        <v>1</v>
      </c>
    </row>
    <row r="15744" spans="1:4" x14ac:dyDescent="0.3">
      <c r="A15744" s="34">
        <v>78149</v>
      </c>
      <c r="B15744" s="35">
        <v>1</v>
      </c>
      <c r="C15744" s="35">
        <v>0</v>
      </c>
      <c r="D15744" s="2">
        <f t="shared" si="245"/>
        <v>1</v>
      </c>
    </row>
    <row r="15745" spans="1:4" x14ac:dyDescent="0.3">
      <c r="A15745" s="34">
        <v>78150</v>
      </c>
      <c r="B15745" s="35">
        <v>1</v>
      </c>
      <c r="C15745" s="35">
        <v>0</v>
      </c>
      <c r="D15745" s="2">
        <f t="shared" si="245"/>
        <v>1</v>
      </c>
    </row>
    <row r="15746" spans="1:4" x14ac:dyDescent="0.3">
      <c r="A15746" s="34">
        <v>78151</v>
      </c>
      <c r="B15746" s="35">
        <v>1</v>
      </c>
      <c r="C15746" s="35">
        <v>0</v>
      </c>
      <c r="D15746" s="2">
        <f t="shared" si="245"/>
        <v>1</v>
      </c>
    </row>
    <row r="15747" spans="1:4" x14ac:dyDescent="0.3">
      <c r="A15747" s="34">
        <v>78153</v>
      </c>
      <c r="B15747" s="35">
        <v>1</v>
      </c>
      <c r="C15747" s="35">
        <v>0</v>
      </c>
      <c r="D15747" s="2">
        <f t="shared" ref="D15747:D15810" si="246">B15747+C15747</f>
        <v>1</v>
      </c>
    </row>
    <row r="15748" spans="1:4" x14ac:dyDescent="0.3">
      <c r="A15748" s="34">
        <v>78154</v>
      </c>
      <c r="B15748" s="35">
        <v>1</v>
      </c>
      <c r="C15748" s="35">
        <v>0</v>
      </c>
      <c r="D15748" s="2">
        <f t="shared" si="246"/>
        <v>1</v>
      </c>
    </row>
    <row r="15749" spans="1:4" x14ac:dyDescent="0.3">
      <c r="A15749" s="34">
        <v>78155</v>
      </c>
      <c r="B15749" s="35">
        <v>1</v>
      </c>
      <c r="C15749" s="35">
        <v>0</v>
      </c>
      <c r="D15749" s="2">
        <f t="shared" si="246"/>
        <v>1</v>
      </c>
    </row>
    <row r="15750" spans="1:4" x14ac:dyDescent="0.3">
      <c r="A15750" s="34">
        <v>78156</v>
      </c>
      <c r="B15750" s="35">
        <v>1</v>
      </c>
      <c r="C15750" s="35">
        <v>0</v>
      </c>
      <c r="D15750" s="2">
        <f t="shared" si="246"/>
        <v>1</v>
      </c>
    </row>
    <row r="15751" spans="1:4" x14ac:dyDescent="0.3">
      <c r="A15751" s="34">
        <v>78157</v>
      </c>
      <c r="B15751" s="35">
        <v>1</v>
      </c>
      <c r="C15751" s="35">
        <v>0</v>
      </c>
      <c r="D15751" s="2">
        <f t="shared" si="246"/>
        <v>1</v>
      </c>
    </row>
    <row r="15752" spans="1:4" x14ac:dyDescent="0.3">
      <c r="A15752" s="34">
        <v>78158</v>
      </c>
      <c r="B15752" s="35">
        <v>1</v>
      </c>
      <c r="C15752" s="35">
        <v>0</v>
      </c>
      <c r="D15752" s="2">
        <f t="shared" si="246"/>
        <v>1</v>
      </c>
    </row>
    <row r="15753" spans="1:4" x14ac:dyDescent="0.3">
      <c r="A15753" s="34">
        <v>78159</v>
      </c>
      <c r="B15753" s="35">
        <v>1</v>
      </c>
      <c r="C15753" s="35">
        <v>0</v>
      </c>
      <c r="D15753" s="2">
        <f t="shared" si="246"/>
        <v>1</v>
      </c>
    </row>
    <row r="15754" spans="1:4" x14ac:dyDescent="0.3">
      <c r="A15754" s="34">
        <v>78160</v>
      </c>
      <c r="B15754" s="35">
        <v>1</v>
      </c>
      <c r="C15754" s="35">
        <v>0</v>
      </c>
      <c r="D15754" s="2">
        <f t="shared" si="246"/>
        <v>1</v>
      </c>
    </row>
    <row r="15755" spans="1:4" x14ac:dyDescent="0.3">
      <c r="A15755" s="34">
        <v>78161</v>
      </c>
      <c r="B15755" s="35">
        <v>1</v>
      </c>
      <c r="C15755" s="35">
        <v>0</v>
      </c>
      <c r="D15755" s="2">
        <f t="shared" si="246"/>
        <v>1</v>
      </c>
    </row>
    <row r="15756" spans="1:4" x14ac:dyDescent="0.3">
      <c r="A15756" s="34">
        <v>78162</v>
      </c>
      <c r="B15756" s="35">
        <v>1</v>
      </c>
      <c r="C15756" s="35">
        <v>1</v>
      </c>
      <c r="D15756" s="2">
        <f t="shared" si="246"/>
        <v>2</v>
      </c>
    </row>
    <row r="15757" spans="1:4" x14ac:dyDescent="0.3">
      <c r="A15757" s="34">
        <v>78163</v>
      </c>
      <c r="B15757" s="35">
        <v>1</v>
      </c>
      <c r="C15757" s="35">
        <v>0</v>
      </c>
      <c r="D15757" s="2">
        <f t="shared" si="246"/>
        <v>1</v>
      </c>
    </row>
    <row r="15758" spans="1:4" x14ac:dyDescent="0.3">
      <c r="A15758" s="34">
        <v>78164</v>
      </c>
      <c r="B15758" s="35">
        <v>1</v>
      </c>
      <c r="C15758" s="35">
        <v>0</v>
      </c>
      <c r="D15758" s="2">
        <f t="shared" si="246"/>
        <v>1</v>
      </c>
    </row>
    <row r="15759" spans="1:4" x14ac:dyDescent="0.3">
      <c r="A15759" s="34">
        <v>78165</v>
      </c>
      <c r="B15759" s="35">
        <v>1</v>
      </c>
      <c r="C15759" s="35">
        <v>0</v>
      </c>
      <c r="D15759" s="2">
        <f t="shared" si="246"/>
        <v>1</v>
      </c>
    </row>
    <row r="15760" spans="1:4" x14ac:dyDescent="0.3">
      <c r="A15760" s="34">
        <v>78166</v>
      </c>
      <c r="B15760" s="35">
        <v>1</v>
      </c>
      <c r="C15760" s="35">
        <v>0</v>
      </c>
      <c r="D15760" s="2">
        <f t="shared" si="246"/>
        <v>1</v>
      </c>
    </row>
    <row r="15761" spans="1:4" x14ac:dyDescent="0.3">
      <c r="A15761" s="34">
        <v>78167</v>
      </c>
      <c r="B15761" s="35">
        <v>1</v>
      </c>
      <c r="C15761" s="35">
        <v>0</v>
      </c>
      <c r="D15761" s="2">
        <f t="shared" si="246"/>
        <v>1</v>
      </c>
    </row>
    <row r="15762" spans="1:4" x14ac:dyDescent="0.3">
      <c r="A15762" s="34">
        <v>78168</v>
      </c>
      <c r="B15762" s="35">
        <v>1</v>
      </c>
      <c r="C15762" s="35">
        <v>0</v>
      </c>
      <c r="D15762" s="2">
        <f t="shared" si="246"/>
        <v>1</v>
      </c>
    </row>
    <row r="15763" spans="1:4" x14ac:dyDescent="0.3">
      <c r="A15763" s="34">
        <v>78169</v>
      </c>
      <c r="B15763" s="35">
        <v>1</v>
      </c>
      <c r="C15763" s="35">
        <v>0</v>
      </c>
      <c r="D15763" s="2">
        <f t="shared" si="246"/>
        <v>1</v>
      </c>
    </row>
    <row r="15764" spans="1:4" x14ac:dyDescent="0.3">
      <c r="A15764" s="34">
        <v>78170</v>
      </c>
      <c r="B15764" s="35">
        <v>1</v>
      </c>
      <c r="C15764" s="35">
        <v>0</v>
      </c>
      <c r="D15764" s="2">
        <f t="shared" si="246"/>
        <v>1</v>
      </c>
    </row>
    <row r="15765" spans="1:4" x14ac:dyDescent="0.3">
      <c r="A15765" s="34">
        <v>78173</v>
      </c>
      <c r="B15765" s="35">
        <v>1</v>
      </c>
      <c r="C15765" s="35">
        <v>0</v>
      </c>
      <c r="D15765" s="2">
        <f t="shared" si="246"/>
        <v>1</v>
      </c>
    </row>
    <row r="15766" spans="1:4" x14ac:dyDescent="0.3">
      <c r="A15766" s="34">
        <v>78174</v>
      </c>
      <c r="B15766" s="35">
        <v>1</v>
      </c>
      <c r="C15766" s="35">
        <v>1</v>
      </c>
      <c r="D15766" s="2">
        <f t="shared" si="246"/>
        <v>2</v>
      </c>
    </row>
    <row r="15767" spans="1:4" x14ac:dyDescent="0.3">
      <c r="A15767" s="34">
        <v>78175</v>
      </c>
      <c r="B15767" s="35">
        <v>1</v>
      </c>
      <c r="C15767" s="35">
        <v>0</v>
      </c>
      <c r="D15767" s="2">
        <f t="shared" si="246"/>
        <v>1</v>
      </c>
    </row>
    <row r="15768" spans="1:4" x14ac:dyDescent="0.3">
      <c r="A15768" s="34">
        <v>78176</v>
      </c>
      <c r="B15768" s="35">
        <v>1</v>
      </c>
      <c r="C15768" s="35">
        <v>0</v>
      </c>
      <c r="D15768" s="2">
        <f t="shared" si="246"/>
        <v>1</v>
      </c>
    </row>
    <row r="15769" spans="1:4" x14ac:dyDescent="0.3">
      <c r="A15769" s="34">
        <v>78177</v>
      </c>
      <c r="B15769" s="35">
        <v>1</v>
      </c>
      <c r="C15769" s="35">
        <v>0</v>
      </c>
      <c r="D15769" s="2">
        <f t="shared" si="246"/>
        <v>1</v>
      </c>
    </row>
    <row r="15770" spans="1:4" x14ac:dyDescent="0.3">
      <c r="A15770" s="34">
        <v>78178</v>
      </c>
      <c r="B15770" s="35">
        <v>1</v>
      </c>
      <c r="C15770" s="35">
        <v>0</v>
      </c>
      <c r="D15770" s="2">
        <f t="shared" si="246"/>
        <v>1</v>
      </c>
    </row>
    <row r="15771" spans="1:4" x14ac:dyDescent="0.3">
      <c r="A15771" s="34">
        <v>78179</v>
      </c>
      <c r="B15771" s="35">
        <v>1</v>
      </c>
      <c r="C15771" s="35">
        <v>0</v>
      </c>
      <c r="D15771" s="2">
        <f t="shared" si="246"/>
        <v>1</v>
      </c>
    </row>
    <row r="15772" spans="1:4" x14ac:dyDescent="0.3">
      <c r="A15772" s="34">
        <v>78180</v>
      </c>
      <c r="B15772" s="35">
        <v>1</v>
      </c>
      <c r="C15772" s="35">
        <v>0</v>
      </c>
      <c r="D15772" s="2">
        <f t="shared" si="246"/>
        <v>1</v>
      </c>
    </row>
    <row r="15773" spans="1:4" x14ac:dyDescent="0.3">
      <c r="A15773" s="34">
        <v>78181</v>
      </c>
      <c r="B15773" s="35">
        <v>1</v>
      </c>
      <c r="C15773" s="35">
        <v>0</v>
      </c>
      <c r="D15773" s="2">
        <f t="shared" si="246"/>
        <v>1</v>
      </c>
    </row>
    <row r="15774" spans="1:4" x14ac:dyDescent="0.3">
      <c r="A15774" s="34">
        <v>78182</v>
      </c>
      <c r="B15774" s="35">
        <v>1</v>
      </c>
      <c r="C15774" s="35">
        <v>0</v>
      </c>
      <c r="D15774" s="2">
        <f t="shared" si="246"/>
        <v>1</v>
      </c>
    </row>
    <row r="15775" spans="1:4" x14ac:dyDescent="0.3">
      <c r="A15775" s="34">
        <v>78183</v>
      </c>
      <c r="B15775" s="35">
        <v>1</v>
      </c>
      <c r="C15775" s="35">
        <v>0</v>
      </c>
      <c r="D15775" s="2">
        <f t="shared" si="246"/>
        <v>1</v>
      </c>
    </row>
    <row r="15776" spans="1:4" x14ac:dyDescent="0.3">
      <c r="A15776" s="34">
        <v>78184</v>
      </c>
      <c r="B15776" s="35">
        <v>1</v>
      </c>
      <c r="C15776" s="35">
        <v>0</v>
      </c>
      <c r="D15776" s="2">
        <f t="shared" si="246"/>
        <v>1</v>
      </c>
    </row>
    <row r="15777" spans="1:4" x14ac:dyDescent="0.3">
      <c r="A15777" s="34">
        <v>78185</v>
      </c>
      <c r="B15777" s="35">
        <v>1</v>
      </c>
      <c r="C15777" s="35">
        <v>0</v>
      </c>
      <c r="D15777" s="2">
        <f t="shared" si="246"/>
        <v>1</v>
      </c>
    </row>
    <row r="15778" spans="1:4" x14ac:dyDescent="0.3">
      <c r="A15778" s="34">
        <v>78186</v>
      </c>
      <c r="B15778" s="35">
        <v>1</v>
      </c>
      <c r="C15778" s="35">
        <v>0</v>
      </c>
      <c r="D15778" s="2">
        <f t="shared" si="246"/>
        <v>1</v>
      </c>
    </row>
    <row r="15779" spans="1:4" x14ac:dyDescent="0.3">
      <c r="A15779" s="34">
        <v>78187</v>
      </c>
      <c r="B15779" s="35">
        <v>1</v>
      </c>
      <c r="C15779" s="35">
        <v>0</v>
      </c>
      <c r="D15779" s="2">
        <f t="shared" si="246"/>
        <v>1</v>
      </c>
    </row>
    <row r="15780" spans="1:4" x14ac:dyDescent="0.3">
      <c r="A15780" s="34">
        <v>78188</v>
      </c>
      <c r="B15780" s="35">
        <v>1</v>
      </c>
      <c r="C15780" s="35">
        <v>0</v>
      </c>
      <c r="D15780" s="2">
        <f t="shared" si="246"/>
        <v>1</v>
      </c>
    </row>
    <row r="15781" spans="1:4" x14ac:dyDescent="0.3">
      <c r="A15781" s="34">
        <v>78189</v>
      </c>
      <c r="B15781" s="35">
        <v>1</v>
      </c>
      <c r="C15781" s="35">
        <v>0</v>
      </c>
      <c r="D15781" s="2">
        <f t="shared" si="246"/>
        <v>1</v>
      </c>
    </row>
    <row r="15782" spans="1:4" x14ac:dyDescent="0.3">
      <c r="A15782" s="34">
        <v>78190</v>
      </c>
      <c r="B15782" s="35">
        <v>1</v>
      </c>
      <c r="C15782" s="35">
        <v>1</v>
      </c>
      <c r="D15782" s="2">
        <f t="shared" si="246"/>
        <v>2</v>
      </c>
    </row>
    <row r="15783" spans="1:4" x14ac:dyDescent="0.3">
      <c r="A15783" s="34">
        <v>78192</v>
      </c>
      <c r="B15783" s="35">
        <v>1</v>
      </c>
      <c r="C15783" s="35">
        <v>0</v>
      </c>
      <c r="D15783" s="2">
        <f t="shared" si="246"/>
        <v>1</v>
      </c>
    </row>
    <row r="15784" spans="1:4" x14ac:dyDescent="0.3">
      <c r="A15784" s="34">
        <v>78193</v>
      </c>
      <c r="B15784" s="35">
        <v>1</v>
      </c>
      <c r="C15784" s="35">
        <v>0</v>
      </c>
      <c r="D15784" s="2">
        <f t="shared" si="246"/>
        <v>1</v>
      </c>
    </row>
    <row r="15785" spans="1:4" x14ac:dyDescent="0.3">
      <c r="A15785" s="34">
        <v>78194</v>
      </c>
      <c r="B15785" s="35">
        <v>1</v>
      </c>
      <c r="C15785" s="35">
        <v>0</v>
      </c>
      <c r="D15785" s="2">
        <f t="shared" si="246"/>
        <v>1</v>
      </c>
    </row>
    <row r="15786" spans="1:4" x14ac:dyDescent="0.3">
      <c r="A15786" s="34">
        <v>78195</v>
      </c>
      <c r="B15786" s="35">
        <v>1</v>
      </c>
      <c r="C15786" s="35">
        <v>1</v>
      </c>
      <c r="D15786" s="2">
        <f t="shared" si="246"/>
        <v>2</v>
      </c>
    </row>
    <row r="15787" spans="1:4" x14ac:dyDescent="0.3">
      <c r="A15787" s="34">
        <v>78196</v>
      </c>
      <c r="B15787" s="35">
        <v>1</v>
      </c>
      <c r="C15787" s="35">
        <v>0</v>
      </c>
      <c r="D15787" s="2">
        <f t="shared" si="246"/>
        <v>1</v>
      </c>
    </row>
    <row r="15788" spans="1:4" x14ac:dyDescent="0.3">
      <c r="A15788" s="34">
        <v>78197</v>
      </c>
      <c r="B15788" s="35">
        <v>1</v>
      </c>
      <c r="C15788" s="35">
        <v>0</v>
      </c>
      <c r="D15788" s="2">
        <f t="shared" si="246"/>
        <v>1</v>
      </c>
    </row>
    <row r="15789" spans="1:4" x14ac:dyDescent="0.3">
      <c r="A15789" s="34">
        <v>78198</v>
      </c>
      <c r="B15789" s="35">
        <v>1</v>
      </c>
      <c r="C15789" s="35">
        <v>0</v>
      </c>
      <c r="D15789" s="2">
        <f t="shared" si="246"/>
        <v>1</v>
      </c>
    </row>
    <row r="15790" spans="1:4" x14ac:dyDescent="0.3">
      <c r="A15790" s="34">
        <v>78199</v>
      </c>
      <c r="B15790" s="35">
        <v>1</v>
      </c>
      <c r="C15790" s="35">
        <v>0</v>
      </c>
      <c r="D15790" s="2">
        <f t="shared" si="246"/>
        <v>1</v>
      </c>
    </row>
    <row r="15791" spans="1:4" x14ac:dyDescent="0.3">
      <c r="A15791" s="34">
        <v>78200</v>
      </c>
      <c r="B15791" s="35">
        <v>1</v>
      </c>
      <c r="C15791" s="35">
        <v>0</v>
      </c>
      <c r="D15791" s="2">
        <f t="shared" si="246"/>
        <v>1</v>
      </c>
    </row>
    <row r="15792" spans="1:4" x14ac:dyDescent="0.3">
      <c r="A15792" s="34">
        <v>78201</v>
      </c>
      <c r="B15792" s="35">
        <v>1</v>
      </c>
      <c r="C15792" s="35">
        <v>0</v>
      </c>
      <c r="D15792" s="2">
        <f t="shared" si="246"/>
        <v>1</v>
      </c>
    </row>
    <row r="15793" spans="1:4" x14ac:dyDescent="0.3">
      <c r="A15793" s="34">
        <v>78202</v>
      </c>
      <c r="B15793" s="35">
        <v>1</v>
      </c>
      <c r="C15793" s="35">
        <v>0</v>
      </c>
      <c r="D15793" s="2">
        <f t="shared" si="246"/>
        <v>1</v>
      </c>
    </row>
    <row r="15794" spans="1:4" x14ac:dyDescent="0.3">
      <c r="A15794" s="34">
        <v>78203</v>
      </c>
      <c r="B15794" s="35">
        <v>1</v>
      </c>
      <c r="C15794" s="35">
        <v>1</v>
      </c>
      <c r="D15794" s="2">
        <f t="shared" si="246"/>
        <v>2</v>
      </c>
    </row>
    <row r="15795" spans="1:4" x14ac:dyDescent="0.3">
      <c r="A15795" s="34">
        <v>78204</v>
      </c>
      <c r="B15795" s="35">
        <v>1</v>
      </c>
      <c r="C15795" s="35">
        <v>0</v>
      </c>
      <c r="D15795" s="2">
        <f t="shared" si="246"/>
        <v>1</v>
      </c>
    </row>
    <row r="15796" spans="1:4" x14ac:dyDescent="0.3">
      <c r="A15796" s="34">
        <v>78205</v>
      </c>
      <c r="B15796" s="35">
        <v>1</v>
      </c>
      <c r="C15796" s="35">
        <v>0</v>
      </c>
      <c r="D15796" s="2">
        <f t="shared" si="246"/>
        <v>1</v>
      </c>
    </row>
    <row r="15797" spans="1:4" x14ac:dyDescent="0.3">
      <c r="A15797" s="34">
        <v>78206</v>
      </c>
      <c r="B15797" s="35">
        <v>1</v>
      </c>
      <c r="C15797" s="35">
        <v>0</v>
      </c>
      <c r="D15797" s="2">
        <f t="shared" si="246"/>
        <v>1</v>
      </c>
    </row>
    <row r="15798" spans="1:4" x14ac:dyDescent="0.3">
      <c r="A15798" s="34">
        <v>78233</v>
      </c>
      <c r="B15798" s="35">
        <v>1</v>
      </c>
      <c r="C15798" s="35">
        <v>0</v>
      </c>
      <c r="D15798" s="2">
        <f t="shared" si="246"/>
        <v>1</v>
      </c>
    </row>
    <row r="15799" spans="1:4" x14ac:dyDescent="0.3">
      <c r="A15799" s="34">
        <v>78234</v>
      </c>
      <c r="B15799" s="35">
        <v>1</v>
      </c>
      <c r="C15799" s="35">
        <v>0</v>
      </c>
      <c r="D15799" s="2">
        <f t="shared" si="246"/>
        <v>1</v>
      </c>
    </row>
    <row r="15800" spans="1:4" x14ac:dyDescent="0.3">
      <c r="A15800" s="34">
        <v>78235</v>
      </c>
      <c r="B15800" s="35">
        <v>1</v>
      </c>
      <c r="C15800" s="35">
        <v>0</v>
      </c>
      <c r="D15800" s="2">
        <f t="shared" si="246"/>
        <v>1</v>
      </c>
    </row>
    <row r="15801" spans="1:4" x14ac:dyDescent="0.3">
      <c r="A15801" s="34">
        <v>78236</v>
      </c>
      <c r="B15801" s="35">
        <v>1</v>
      </c>
      <c r="C15801" s="35">
        <v>0</v>
      </c>
      <c r="D15801" s="2">
        <f t="shared" si="246"/>
        <v>1</v>
      </c>
    </row>
    <row r="15802" spans="1:4" x14ac:dyDescent="0.3">
      <c r="A15802" s="34">
        <v>78237</v>
      </c>
      <c r="B15802" s="35">
        <v>1</v>
      </c>
      <c r="C15802" s="35">
        <v>0</v>
      </c>
      <c r="D15802" s="2">
        <f t="shared" si="246"/>
        <v>1</v>
      </c>
    </row>
    <row r="15803" spans="1:4" x14ac:dyDescent="0.3">
      <c r="A15803" s="34">
        <v>78238</v>
      </c>
      <c r="B15803" s="35">
        <v>1</v>
      </c>
      <c r="C15803" s="35">
        <v>1</v>
      </c>
      <c r="D15803" s="2">
        <f t="shared" si="246"/>
        <v>2</v>
      </c>
    </row>
    <row r="15804" spans="1:4" x14ac:dyDescent="0.3">
      <c r="A15804" s="34">
        <v>78239</v>
      </c>
      <c r="B15804" s="35">
        <v>1</v>
      </c>
      <c r="C15804" s="35">
        <v>0</v>
      </c>
      <c r="D15804" s="2">
        <f t="shared" si="246"/>
        <v>1</v>
      </c>
    </row>
    <row r="15805" spans="1:4" x14ac:dyDescent="0.3">
      <c r="A15805" s="34">
        <v>78240</v>
      </c>
      <c r="B15805" s="35">
        <v>1</v>
      </c>
      <c r="C15805" s="35">
        <v>1</v>
      </c>
      <c r="D15805" s="2">
        <f t="shared" si="246"/>
        <v>2</v>
      </c>
    </row>
    <row r="15806" spans="1:4" x14ac:dyDescent="0.3">
      <c r="A15806" s="34">
        <v>78241</v>
      </c>
      <c r="B15806" s="35">
        <v>2</v>
      </c>
      <c r="C15806" s="35">
        <v>1</v>
      </c>
      <c r="D15806" s="2">
        <f t="shared" si="246"/>
        <v>3</v>
      </c>
    </row>
    <row r="15807" spans="1:4" x14ac:dyDescent="0.3">
      <c r="A15807" s="34">
        <v>78245</v>
      </c>
      <c r="B15807" s="35">
        <v>1</v>
      </c>
      <c r="C15807" s="35">
        <v>0</v>
      </c>
      <c r="D15807" s="2">
        <f t="shared" si="246"/>
        <v>1</v>
      </c>
    </row>
    <row r="15808" spans="1:4" x14ac:dyDescent="0.3">
      <c r="A15808" s="34">
        <v>78246</v>
      </c>
      <c r="B15808" s="35">
        <v>1</v>
      </c>
      <c r="C15808" s="35">
        <v>0</v>
      </c>
      <c r="D15808" s="2">
        <f t="shared" si="246"/>
        <v>1</v>
      </c>
    </row>
    <row r="15809" spans="1:4" x14ac:dyDescent="0.3">
      <c r="A15809" s="34">
        <v>78247</v>
      </c>
      <c r="B15809" s="35">
        <v>1</v>
      </c>
      <c r="C15809" s="35">
        <v>0</v>
      </c>
      <c r="D15809" s="2">
        <f t="shared" si="246"/>
        <v>1</v>
      </c>
    </row>
    <row r="15810" spans="1:4" x14ac:dyDescent="0.3">
      <c r="A15810" s="34">
        <v>78248</v>
      </c>
      <c r="B15810" s="35">
        <v>1</v>
      </c>
      <c r="C15810" s="35">
        <v>0</v>
      </c>
      <c r="D15810" s="2">
        <f t="shared" si="246"/>
        <v>1</v>
      </c>
    </row>
    <row r="15811" spans="1:4" x14ac:dyDescent="0.3">
      <c r="A15811" s="34">
        <v>78249</v>
      </c>
      <c r="B15811" s="35">
        <v>1</v>
      </c>
      <c r="C15811" s="35">
        <v>0</v>
      </c>
      <c r="D15811" s="2">
        <f t="shared" ref="D15811:D15874" si="247">B15811+C15811</f>
        <v>1</v>
      </c>
    </row>
    <row r="15812" spans="1:4" x14ac:dyDescent="0.3">
      <c r="A15812" s="34">
        <v>78250</v>
      </c>
      <c r="B15812" s="35">
        <v>1</v>
      </c>
      <c r="C15812" s="35">
        <v>0</v>
      </c>
      <c r="D15812" s="2">
        <f t="shared" si="247"/>
        <v>1</v>
      </c>
    </row>
    <row r="15813" spans="1:4" x14ac:dyDescent="0.3">
      <c r="A15813" s="34">
        <v>78251</v>
      </c>
      <c r="B15813" s="35">
        <v>1</v>
      </c>
      <c r="C15813" s="35">
        <v>0</v>
      </c>
      <c r="D15813" s="2">
        <f t="shared" si="247"/>
        <v>1</v>
      </c>
    </row>
    <row r="15814" spans="1:4" x14ac:dyDescent="0.3">
      <c r="A15814" s="34">
        <v>78252</v>
      </c>
      <c r="B15814" s="35">
        <v>1</v>
      </c>
      <c r="C15814" s="35">
        <v>0</v>
      </c>
      <c r="D15814" s="2">
        <f t="shared" si="247"/>
        <v>1</v>
      </c>
    </row>
    <row r="15815" spans="1:4" x14ac:dyDescent="0.3">
      <c r="A15815" s="34">
        <v>78253</v>
      </c>
      <c r="B15815" s="35">
        <v>1</v>
      </c>
      <c r="C15815" s="35">
        <v>0</v>
      </c>
      <c r="D15815" s="2">
        <f t="shared" si="247"/>
        <v>1</v>
      </c>
    </row>
    <row r="15816" spans="1:4" x14ac:dyDescent="0.3">
      <c r="A15816" s="34">
        <v>78254</v>
      </c>
      <c r="B15816" s="35">
        <v>1</v>
      </c>
      <c r="C15816" s="35">
        <v>0</v>
      </c>
      <c r="D15816" s="2">
        <f t="shared" si="247"/>
        <v>1</v>
      </c>
    </row>
    <row r="15817" spans="1:4" x14ac:dyDescent="0.3">
      <c r="A15817" s="34">
        <v>78255</v>
      </c>
      <c r="B15817" s="35">
        <v>1</v>
      </c>
      <c r="C15817" s="35">
        <v>0</v>
      </c>
      <c r="D15817" s="2">
        <f t="shared" si="247"/>
        <v>1</v>
      </c>
    </row>
    <row r="15818" spans="1:4" x14ac:dyDescent="0.3">
      <c r="A15818" s="34">
        <v>78256</v>
      </c>
      <c r="B15818" s="35">
        <v>1</v>
      </c>
      <c r="C15818" s="35">
        <v>0</v>
      </c>
      <c r="D15818" s="2">
        <f t="shared" si="247"/>
        <v>1</v>
      </c>
    </row>
    <row r="15819" spans="1:4" x14ac:dyDescent="0.3">
      <c r="A15819" s="34">
        <v>78258</v>
      </c>
      <c r="B15819" s="35">
        <v>1</v>
      </c>
      <c r="C15819" s="35">
        <v>0</v>
      </c>
      <c r="D15819" s="2">
        <f t="shared" si="247"/>
        <v>1</v>
      </c>
    </row>
    <row r="15820" spans="1:4" x14ac:dyDescent="0.3">
      <c r="A15820" s="34">
        <v>78259</v>
      </c>
      <c r="B15820" s="35">
        <v>1</v>
      </c>
      <c r="C15820" s="35">
        <v>0</v>
      </c>
      <c r="D15820" s="2">
        <f t="shared" si="247"/>
        <v>1</v>
      </c>
    </row>
    <row r="15821" spans="1:4" x14ac:dyDescent="0.3">
      <c r="A15821" s="34">
        <v>78260</v>
      </c>
      <c r="B15821" s="35">
        <v>1</v>
      </c>
      <c r="C15821" s="35">
        <v>1</v>
      </c>
      <c r="D15821" s="2">
        <f t="shared" si="247"/>
        <v>2</v>
      </c>
    </row>
    <row r="15822" spans="1:4" x14ac:dyDescent="0.3">
      <c r="A15822" s="34">
        <v>78261</v>
      </c>
      <c r="B15822" s="35">
        <v>1</v>
      </c>
      <c r="C15822" s="35">
        <v>0</v>
      </c>
      <c r="D15822" s="2">
        <f t="shared" si="247"/>
        <v>1</v>
      </c>
    </row>
    <row r="15823" spans="1:4" x14ac:dyDescent="0.3">
      <c r="A15823" s="34">
        <v>78263</v>
      </c>
      <c r="B15823" s="35">
        <v>1</v>
      </c>
      <c r="C15823" s="35">
        <v>0</v>
      </c>
      <c r="D15823" s="2">
        <f t="shared" si="247"/>
        <v>1</v>
      </c>
    </row>
    <row r="15824" spans="1:4" x14ac:dyDescent="0.3">
      <c r="A15824" s="34">
        <v>78264</v>
      </c>
      <c r="B15824" s="35">
        <v>1</v>
      </c>
      <c r="C15824" s="35">
        <v>1</v>
      </c>
      <c r="D15824" s="2">
        <f t="shared" si="247"/>
        <v>2</v>
      </c>
    </row>
    <row r="15825" spans="1:4" x14ac:dyDescent="0.3">
      <c r="A15825" s="34">
        <v>78265</v>
      </c>
      <c r="B15825" s="35">
        <v>1</v>
      </c>
      <c r="C15825" s="35">
        <v>0</v>
      </c>
      <c r="D15825" s="2">
        <f t="shared" si="247"/>
        <v>1</v>
      </c>
    </row>
    <row r="15826" spans="1:4" x14ac:dyDescent="0.3">
      <c r="A15826" s="34">
        <v>78266</v>
      </c>
      <c r="B15826" s="35">
        <v>1</v>
      </c>
      <c r="C15826" s="35">
        <v>0</v>
      </c>
      <c r="D15826" s="2">
        <f t="shared" si="247"/>
        <v>1</v>
      </c>
    </row>
    <row r="15827" spans="1:4" x14ac:dyDescent="0.3">
      <c r="A15827" s="34">
        <v>78268</v>
      </c>
      <c r="B15827" s="35">
        <v>1</v>
      </c>
      <c r="C15827" s="35">
        <v>0</v>
      </c>
      <c r="D15827" s="2">
        <f t="shared" si="247"/>
        <v>1</v>
      </c>
    </row>
    <row r="15828" spans="1:4" x14ac:dyDescent="0.3">
      <c r="A15828" s="34">
        <v>78269</v>
      </c>
      <c r="B15828" s="35">
        <v>1</v>
      </c>
      <c r="C15828" s="35">
        <v>0</v>
      </c>
      <c r="D15828" s="2">
        <f t="shared" si="247"/>
        <v>1</v>
      </c>
    </row>
    <row r="15829" spans="1:4" x14ac:dyDescent="0.3">
      <c r="A15829" s="34">
        <v>78270</v>
      </c>
      <c r="B15829" s="35">
        <v>1</v>
      </c>
      <c r="C15829" s="35">
        <v>0</v>
      </c>
      <c r="D15829" s="2">
        <f t="shared" si="247"/>
        <v>1</v>
      </c>
    </row>
    <row r="15830" spans="1:4" x14ac:dyDescent="0.3">
      <c r="A15830" s="34">
        <v>78271</v>
      </c>
      <c r="B15830" s="35">
        <v>1</v>
      </c>
      <c r="C15830" s="35">
        <v>0</v>
      </c>
      <c r="D15830" s="2">
        <f t="shared" si="247"/>
        <v>1</v>
      </c>
    </row>
    <row r="15831" spans="1:4" x14ac:dyDescent="0.3">
      <c r="A15831" s="34">
        <v>78272</v>
      </c>
      <c r="B15831" s="35">
        <v>1</v>
      </c>
      <c r="C15831" s="35">
        <v>0</v>
      </c>
      <c r="D15831" s="2">
        <f t="shared" si="247"/>
        <v>1</v>
      </c>
    </row>
    <row r="15832" spans="1:4" x14ac:dyDescent="0.3">
      <c r="A15832" s="34">
        <v>78273</v>
      </c>
      <c r="B15832" s="35">
        <v>1</v>
      </c>
      <c r="C15832" s="35">
        <v>1</v>
      </c>
      <c r="D15832" s="2">
        <f t="shared" si="247"/>
        <v>2</v>
      </c>
    </row>
    <row r="15833" spans="1:4" x14ac:dyDescent="0.3">
      <c r="A15833" s="34">
        <v>78274</v>
      </c>
      <c r="B15833" s="35">
        <v>1</v>
      </c>
      <c r="C15833" s="35">
        <v>0</v>
      </c>
      <c r="D15833" s="2">
        <f t="shared" si="247"/>
        <v>1</v>
      </c>
    </row>
    <row r="15834" spans="1:4" x14ac:dyDescent="0.3">
      <c r="A15834" s="34">
        <v>78275</v>
      </c>
      <c r="B15834" s="35">
        <v>1</v>
      </c>
      <c r="C15834" s="35">
        <v>1</v>
      </c>
      <c r="D15834" s="2">
        <f t="shared" si="247"/>
        <v>2</v>
      </c>
    </row>
    <row r="15835" spans="1:4" x14ac:dyDescent="0.3">
      <c r="A15835" s="34">
        <v>78276</v>
      </c>
      <c r="B15835" s="35">
        <v>1</v>
      </c>
      <c r="C15835" s="35">
        <v>0</v>
      </c>
      <c r="D15835" s="2">
        <f t="shared" si="247"/>
        <v>1</v>
      </c>
    </row>
    <row r="15836" spans="1:4" x14ac:dyDescent="0.3">
      <c r="A15836" s="34">
        <v>78277</v>
      </c>
      <c r="B15836" s="35">
        <v>1</v>
      </c>
      <c r="C15836" s="35">
        <v>0</v>
      </c>
      <c r="D15836" s="2">
        <f t="shared" si="247"/>
        <v>1</v>
      </c>
    </row>
    <row r="15837" spans="1:4" x14ac:dyDescent="0.3">
      <c r="A15837" s="34">
        <v>78278</v>
      </c>
      <c r="B15837" s="35">
        <v>1</v>
      </c>
      <c r="C15837" s="35">
        <v>0</v>
      </c>
      <c r="D15837" s="2">
        <f t="shared" si="247"/>
        <v>1</v>
      </c>
    </row>
    <row r="15838" spans="1:4" x14ac:dyDescent="0.3">
      <c r="A15838" s="34">
        <v>78279</v>
      </c>
      <c r="B15838" s="35">
        <v>1</v>
      </c>
      <c r="C15838" s="35">
        <v>0</v>
      </c>
      <c r="D15838" s="2">
        <f t="shared" si="247"/>
        <v>1</v>
      </c>
    </row>
    <row r="15839" spans="1:4" x14ac:dyDescent="0.3">
      <c r="A15839" s="34">
        <v>78280</v>
      </c>
      <c r="B15839" s="35">
        <v>1</v>
      </c>
      <c r="C15839" s="35">
        <v>0</v>
      </c>
      <c r="D15839" s="2">
        <f t="shared" si="247"/>
        <v>1</v>
      </c>
    </row>
    <row r="15840" spans="1:4" x14ac:dyDescent="0.3">
      <c r="A15840" s="34">
        <v>78281</v>
      </c>
      <c r="B15840" s="35">
        <v>1</v>
      </c>
      <c r="C15840" s="35">
        <v>0</v>
      </c>
      <c r="D15840" s="2">
        <f t="shared" si="247"/>
        <v>1</v>
      </c>
    </row>
    <row r="15841" spans="1:4" x14ac:dyDescent="0.3">
      <c r="A15841" s="34">
        <v>78282</v>
      </c>
      <c r="B15841" s="35">
        <v>1</v>
      </c>
      <c r="C15841" s="35">
        <v>0</v>
      </c>
      <c r="D15841" s="2">
        <f t="shared" si="247"/>
        <v>1</v>
      </c>
    </row>
    <row r="15842" spans="1:4" x14ac:dyDescent="0.3">
      <c r="A15842" s="34">
        <v>78283</v>
      </c>
      <c r="B15842" s="35">
        <v>1</v>
      </c>
      <c r="C15842" s="35">
        <v>0</v>
      </c>
      <c r="D15842" s="2">
        <f t="shared" si="247"/>
        <v>1</v>
      </c>
    </row>
    <row r="15843" spans="1:4" x14ac:dyDescent="0.3">
      <c r="A15843" s="34">
        <v>78284</v>
      </c>
      <c r="B15843" s="35">
        <v>1</v>
      </c>
      <c r="C15843" s="35">
        <v>0</v>
      </c>
      <c r="D15843" s="2">
        <f t="shared" si="247"/>
        <v>1</v>
      </c>
    </row>
    <row r="15844" spans="1:4" x14ac:dyDescent="0.3">
      <c r="A15844" s="34">
        <v>78285</v>
      </c>
      <c r="B15844" s="35">
        <v>1</v>
      </c>
      <c r="C15844" s="35">
        <v>0</v>
      </c>
      <c r="D15844" s="2">
        <f t="shared" si="247"/>
        <v>1</v>
      </c>
    </row>
    <row r="15845" spans="1:4" x14ac:dyDescent="0.3">
      <c r="A15845" s="34">
        <v>78286</v>
      </c>
      <c r="B15845" s="35">
        <v>1</v>
      </c>
      <c r="C15845" s="35">
        <v>0</v>
      </c>
      <c r="D15845" s="2">
        <f t="shared" si="247"/>
        <v>1</v>
      </c>
    </row>
    <row r="15846" spans="1:4" x14ac:dyDescent="0.3">
      <c r="A15846" s="34">
        <v>78287</v>
      </c>
      <c r="B15846" s="35">
        <v>1</v>
      </c>
      <c r="C15846" s="35">
        <v>0</v>
      </c>
      <c r="D15846" s="2">
        <f t="shared" si="247"/>
        <v>1</v>
      </c>
    </row>
    <row r="15847" spans="1:4" x14ac:dyDescent="0.3">
      <c r="A15847" s="34">
        <v>78288</v>
      </c>
      <c r="B15847" s="35">
        <v>1</v>
      </c>
      <c r="C15847" s="35">
        <v>0</v>
      </c>
      <c r="D15847" s="2">
        <f t="shared" si="247"/>
        <v>1</v>
      </c>
    </row>
    <row r="15848" spans="1:4" x14ac:dyDescent="0.3">
      <c r="A15848" s="34">
        <v>78293</v>
      </c>
      <c r="B15848" s="35">
        <v>1</v>
      </c>
      <c r="C15848" s="35">
        <v>1</v>
      </c>
      <c r="D15848" s="2">
        <f t="shared" si="247"/>
        <v>2</v>
      </c>
    </row>
    <row r="15849" spans="1:4" x14ac:dyDescent="0.3">
      <c r="A15849" s="34">
        <v>78294</v>
      </c>
      <c r="B15849" s="35">
        <v>1</v>
      </c>
      <c r="C15849" s="35">
        <v>0</v>
      </c>
      <c r="D15849" s="2">
        <f t="shared" si="247"/>
        <v>1</v>
      </c>
    </row>
    <row r="15850" spans="1:4" x14ac:dyDescent="0.3">
      <c r="A15850" s="34">
        <v>78295</v>
      </c>
      <c r="B15850" s="35">
        <v>1</v>
      </c>
      <c r="C15850" s="35">
        <v>1</v>
      </c>
      <c r="D15850" s="2">
        <f t="shared" si="247"/>
        <v>2</v>
      </c>
    </row>
    <row r="15851" spans="1:4" x14ac:dyDescent="0.3">
      <c r="A15851" s="34">
        <v>78296</v>
      </c>
      <c r="B15851" s="35">
        <v>1</v>
      </c>
      <c r="C15851" s="35">
        <v>0</v>
      </c>
      <c r="D15851" s="2">
        <f t="shared" si="247"/>
        <v>1</v>
      </c>
    </row>
    <row r="15852" spans="1:4" x14ac:dyDescent="0.3">
      <c r="A15852" s="34">
        <v>78297</v>
      </c>
      <c r="B15852" s="35">
        <v>1</v>
      </c>
      <c r="C15852" s="35">
        <v>0</v>
      </c>
      <c r="D15852" s="2">
        <f t="shared" si="247"/>
        <v>1</v>
      </c>
    </row>
    <row r="15853" spans="1:4" x14ac:dyDescent="0.3">
      <c r="A15853" s="34">
        <v>78298</v>
      </c>
      <c r="B15853" s="35">
        <v>2</v>
      </c>
      <c r="C15853" s="35">
        <v>1</v>
      </c>
      <c r="D15853" s="2">
        <f t="shared" si="247"/>
        <v>3</v>
      </c>
    </row>
    <row r="15854" spans="1:4" x14ac:dyDescent="0.3">
      <c r="A15854" s="34">
        <v>78299</v>
      </c>
      <c r="B15854" s="35">
        <v>1</v>
      </c>
      <c r="C15854" s="35">
        <v>0</v>
      </c>
      <c r="D15854" s="2">
        <f t="shared" si="247"/>
        <v>1</v>
      </c>
    </row>
    <row r="15855" spans="1:4" x14ac:dyDescent="0.3">
      <c r="A15855" s="34">
        <v>78300</v>
      </c>
      <c r="B15855" s="35">
        <v>1</v>
      </c>
      <c r="C15855" s="35">
        <v>0</v>
      </c>
      <c r="D15855" s="2">
        <f t="shared" si="247"/>
        <v>1</v>
      </c>
    </row>
    <row r="15856" spans="1:4" x14ac:dyDescent="0.3">
      <c r="A15856" s="34">
        <v>78301</v>
      </c>
      <c r="B15856" s="35">
        <v>1</v>
      </c>
      <c r="C15856" s="35">
        <v>0</v>
      </c>
      <c r="D15856" s="2">
        <f t="shared" si="247"/>
        <v>1</v>
      </c>
    </row>
    <row r="15857" spans="1:4" x14ac:dyDescent="0.3">
      <c r="A15857" s="34">
        <v>78302</v>
      </c>
      <c r="B15857" s="35">
        <v>1</v>
      </c>
      <c r="C15857" s="35">
        <v>0</v>
      </c>
      <c r="D15857" s="2">
        <f t="shared" si="247"/>
        <v>1</v>
      </c>
    </row>
    <row r="15858" spans="1:4" x14ac:dyDescent="0.3">
      <c r="A15858" s="34">
        <v>78303</v>
      </c>
      <c r="B15858" s="35">
        <v>1</v>
      </c>
      <c r="C15858" s="35">
        <v>0</v>
      </c>
      <c r="D15858" s="2">
        <f t="shared" si="247"/>
        <v>1</v>
      </c>
    </row>
    <row r="15859" spans="1:4" x14ac:dyDescent="0.3">
      <c r="A15859" s="34">
        <v>78304</v>
      </c>
      <c r="B15859" s="35">
        <v>1</v>
      </c>
      <c r="C15859" s="35">
        <v>1</v>
      </c>
      <c r="D15859" s="2">
        <f t="shared" si="247"/>
        <v>2</v>
      </c>
    </row>
    <row r="15860" spans="1:4" x14ac:dyDescent="0.3">
      <c r="A15860" s="34">
        <v>78306</v>
      </c>
      <c r="B15860" s="35">
        <v>1</v>
      </c>
      <c r="C15860" s="35">
        <v>0</v>
      </c>
      <c r="D15860" s="2">
        <f t="shared" si="247"/>
        <v>1</v>
      </c>
    </row>
    <row r="15861" spans="1:4" x14ac:dyDescent="0.3">
      <c r="A15861" s="34">
        <v>78307</v>
      </c>
      <c r="B15861" s="35">
        <v>1</v>
      </c>
      <c r="C15861" s="35">
        <v>0</v>
      </c>
      <c r="D15861" s="2">
        <f t="shared" si="247"/>
        <v>1</v>
      </c>
    </row>
    <row r="15862" spans="1:4" x14ac:dyDescent="0.3">
      <c r="A15862" s="34">
        <v>78308</v>
      </c>
      <c r="B15862" s="35">
        <v>1</v>
      </c>
      <c r="C15862" s="35">
        <v>0</v>
      </c>
      <c r="D15862" s="2">
        <f t="shared" si="247"/>
        <v>1</v>
      </c>
    </row>
    <row r="15863" spans="1:4" x14ac:dyDescent="0.3">
      <c r="A15863" s="34">
        <v>78309</v>
      </c>
      <c r="B15863" s="35">
        <v>1</v>
      </c>
      <c r="C15863" s="35">
        <v>0</v>
      </c>
      <c r="D15863" s="2">
        <f t="shared" si="247"/>
        <v>1</v>
      </c>
    </row>
    <row r="15864" spans="1:4" x14ac:dyDescent="0.3">
      <c r="A15864" s="34">
        <v>78310</v>
      </c>
      <c r="B15864" s="35">
        <v>1</v>
      </c>
      <c r="C15864" s="35">
        <v>0</v>
      </c>
      <c r="D15864" s="2">
        <f t="shared" si="247"/>
        <v>1</v>
      </c>
    </row>
    <row r="15865" spans="1:4" x14ac:dyDescent="0.3">
      <c r="A15865" s="34">
        <v>78311</v>
      </c>
      <c r="B15865" s="35">
        <v>1</v>
      </c>
      <c r="C15865" s="35">
        <v>1</v>
      </c>
      <c r="D15865" s="2">
        <f t="shared" si="247"/>
        <v>2</v>
      </c>
    </row>
    <row r="15866" spans="1:4" x14ac:dyDescent="0.3">
      <c r="A15866" s="34">
        <v>78312</v>
      </c>
      <c r="B15866" s="35">
        <v>1</v>
      </c>
      <c r="C15866" s="35">
        <v>0</v>
      </c>
      <c r="D15866" s="2">
        <f t="shared" si="247"/>
        <v>1</v>
      </c>
    </row>
    <row r="15867" spans="1:4" x14ac:dyDescent="0.3">
      <c r="A15867" s="34">
        <v>78313</v>
      </c>
      <c r="B15867" s="35">
        <v>1</v>
      </c>
      <c r="C15867" s="35">
        <v>0</v>
      </c>
      <c r="D15867" s="2">
        <f t="shared" si="247"/>
        <v>1</v>
      </c>
    </row>
    <row r="15868" spans="1:4" x14ac:dyDescent="0.3">
      <c r="A15868" s="34">
        <v>78315</v>
      </c>
      <c r="B15868" s="35">
        <v>1</v>
      </c>
      <c r="C15868" s="35">
        <v>0</v>
      </c>
      <c r="D15868" s="2">
        <f t="shared" si="247"/>
        <v>1</v>
      </c>
    </row>
    <row r="15869" spans="1:4" x14ac:dyDescent="0.3">
      <c r="A15869" s="34">
        <v>78316</v>
      </c>
      <c r="B15869" s="35">
        <v>1</v>
      </c>
      <c r="C15869" s="35">
        <v>0</v>
      </c>
      <c r="D15869" s="2">
        <f t="shared" si="247"/>
        <v>1</v>
      </c>
    </row>
    <row r="15870" spans="1:4" x14ac:dyDescent="0.3">
      <c r="A15870" s="34">
        <v>78317</v>
      </c>
      <c r="B15870" s="35">
        <v>1</v>
      </c>
      <c r="C15870" s="35">
        <v>0</v>
      </c>
      <c r="D15870" s="2">
        <f t="shared" si="247"/>
        <v>1</v>
      </c>
    </row>
    <row r="15871" spans="1:4" x14ac:dyDescent="0.3">
      <c r="A15871" s="34">
        <v>78318</v>
      </c>
      <c r="B15871" s="35">
        <v>1</v>
      </c>
      <c r="C15871" s="35">
        <v>0</v>
      </c>
      <c r="D15871" s="2">
        <f t="shared" si="247"/>
        <v>1</v>
      </c>
    </row>
    <row r="15872" spans="1:4" x14ac:dyDescent="0.3">
      <c r="A15872" s="34">
        <v>78319</v>
      </c>
      <c r="B15872" s="35">
        <v>1</v>
      </c>
      <c r="C15872" s="35">
        <v>0</v>
      </c>
      <c r="D15872" s="2">
        <f t="shared" si="247"/>
        <v>1</v>
      </c>
    </row>
    <row r="15873" spans="1:4" x14ac:dyDescent="0.3">
      <c r="A15873" s="34">
        <v>78320</v>
      </c>
      <c r="B15873" s="35">
        <v>1</v>
      </c>
      <c r="C15873" s="35">
        <v>0</v>
      </c>
      <c r="D15873" s="2">
        <f t="shared" si="247"/>
        <v>1</v>
      </c>
    </row>
    <row r="15874" spans="1:4" x14ac:dyDescent="0.3">
      <c r="A15874" s="34">
        <v>78321</v>
      </c>
      <c r="B15874" s="35">
        <v>1</v>
      </c>
      <c r="C15874" s="35">
        <v>0</v>
      </c>
      <c r="D15874" s="2">
        <f t="shared" si="247"/>
        <v>1</v>
      </c>
    </row>
    <row r="15875" spans="1:4" x14ac:dyDescent="0.3">
      <c r="A15875" s="34">
        <v>78322</v>
      </c>
      <c r="B15875" s="35">
        <v>1</v>
      </c>
      <c r="C15875" s="35">
        <v>1</v>
      </c>
      <c r="D15875" s="2">
        <f t="shared" ref="D15875:D15938" si="248">B15875+C15875</f>
        <v>2</v>
      </c>
    </row>
    <row r="15876" spans="1:4" x14ac:dyDescent="0.3">
      <c r="A15876" s="34">
        <v>78323</v>
      </c>
      <c r="B15876" s="35">
        <v>1</v>
      </c>
      <c r="C15876" s="35">
        <v>0</v>
      </c>
      <c r="D15876" s="2">
        <f t="shared" si="248"/>
        <v>1</v>
      </c>
    </row>
    <row r="15877" spans="1:4" x14ac:dyDescent="0.3">
      <c r="A15877" s="34">
        <v>78324</v>
      </c>
      <c r="B15877" s="35">
        <v>1</v>
      </c>
      <c r="C15877" s="35">
        <v>0</v>
      </c>
      <c r="D15877" s="2">
        <f t="shared" si="248"/>
        <v>1</v>
      </c>
    </row>
    <row r="15878" spans="1:4" x14ac:dyDescent="0.3">
      <c r="A15878" s="34">
        <v>78325</v>
      </c>
      <c r="B15878" s="35">
        <v>1</v>
      </c>
      <c r="C15878" s="35">
        <v>0</v>
      </c>
      <c r="D15878" s="2">
        <f t="shared" si="248"/>
        <v>1</v>
      </c>
    </row>
    <row r="15879" spans="1:4" x14ac:dyDescent="0.3">
      <c r="A15879" s="34">
        <v>78326</v>
      </c>
      <c r="B15879" s="35">
        <v>1</v>
      </c>
      <c r="C15879" s="35">
        <v>0</v>
      </c>
      <c r="D15879" s="2">
        <f t="shared" si="248"/>
        <v>1</v>
      </c>
    </row>
    <row r="15880" spans="1:4" x14ac:dyDescent="0.3">
      <c r="A15880" s="34">
        <v>78327</v>
      </c>
      <c r="B15880" s="35">
        <v>1</v>
      </c>
      <c r="C15880" s="35">
        <v>0</v>
      </c>
      <c r="D15880" s="2">
        <f t="shared" si="248"/>
        <v>1</v>
      </c>
    </row>
    <row r="15881" spans="1:4" x14ac:dyDescent="0.3">
      <c r="A15881" s="34">
        <v>78328</v>
      </c>
      <c r="B15881" s="35">
        <v>1</v>
      </c>
      <c r="C15881" s="35">
        <v>0</v>
      </c>
      <c r="D15881" s="2">
        <f t="shared" si="248"/>
        <v>1</v>
      </c>
    </row>
    <row r="15882" spans="1:4" x14ac:dyDescent="0.3">
      <c r="A15882" s="34">
        <v>78329</v>
      </c>
      <c r="B15882" s="35">
        <v>1</v>
      </c>
      <c r="C15882" s="35">
        <v>0</v>
      </c>
      <c r="D15882" s="2">
        <f t="shared" si="248"/>
        <v>1</v>
      </c>
    </row>
    <row r="15883" spans="1:4" x14ac:dyDescent="0.3">
      <c r="A15883" s="34">
        <v>78330</v>
      </c>
      <c r="B15883" s="35">
        <v>1</v>
      </c>
      <c r="C15883" s="35">
        <v>0</v>
      </c>
      <c r="D15883" s="2">
        <f t="shared" si="248"/>
        <v>1</v>
      </c>
    </row>
    <row r="15884" spans="1:4" x14ac:dyDescent="0.3">
      <c r="A15884" s="34">
        <v>78332</v>
      </c>
      <c r="B15884" s="35">
        <v>1</v>
      </c>
      <c r="C15884" s="35">
        <v>0</v>
      </c>
      <c r="D15884" s="2">
        <f t="shared" si="248"/>
        <v>1</v>
      </c>
    </row>
    <row r="15885" spans="1:4" x14ac:dyDescent="0.3">
      <c r="A15885" s="34">
        <v>78333</v>
      </c>
      <c r="B15885" s="35">
        <v>1</v>
      </c>
      <c r="C15885" s="35">
        <v>0</v>
      </c>
      <c r="D15885" s="2">
        <f t="shared" si="248"/>
        <v>1</v>
      </c>
    </row>
    <row r="15886" spans="1:4" x14ac:dyDescent="0.3">
      <c r="A15886" s="34">
        <v>78341</v>
      </c>
      <c r="B15886" s="35">
        <v>1</v>
      </c>
      <c r="C15886" s="35">
        <v>0</v>
      </c>
      <c r="D15886" s="2">
        <f t="shared" si="248"/>
        <v>1</v>
      </c>
    </row>
    <row r="15887" spans="1:4" x14ac:dyDescent="0.3">
      <c r="A15887" s="34">
        <v>78342</v>
      </c>
      <c r="B15887" s="35">
        <v>1</v>
      </c>
      <c r="C15887" s="35">
        <v>0</v>
      </c>
      <c r="D15887" s="2">
        <f t="shared" si="248"/>
        <v>1</v>
      </c>
    </row>
    <row r="15888" spans="1:4" x14ac:dyDescent="0.3">
      <c r="A15888" s="34">
        <v>78343</v>
      </c>
      <c r="B15888" s="35">
        <v>1</v>
      </c>
      <c r="C15888" s="35">
        <v>0</v>
      </c>
      <c r="D15888" s="2">
        <f t="shared" si="248"/>
        <v>1</v>
      </c>
    </row>
    <row r="15889" spans="1:4" x14ac:dyDescent="0.3">
      <c r="A15889" s="34">
        <v>78345</v>
      </c>
      <c r="B15889" s="35">
        <v>1</v>
      </c>
      <c r="C15889" s="35">
        <v>0</v>
      </c>
      <c r="D15889" s="2">
        <f t="shared" si="248"/>
        <v>1</v>
      </c>
    </row>
    <row r="15890" spans="1:4" x14ac:dyDescent="0.3">
      <c r="A15890" s="34">
        <v>78346</v>
      </c>
      <c r="B15890" s="35">
        <v>1</v>
      </c>
      <c r="C15890" s="35">
        <v>0</v>
      </c>
      <c r="D15890" s="2">
        <f t="shared" si="248"/>
        <v>1</v>
      </c>
    </row>
    <row r="15891" spans="1:4" x14ac:dyDescent="0.3">
      <c r="A15891" s="34">
        <v>78347</v>
      </c>
      <c r="B15891" s="35">
        <v>1</v>
      </c>
      <c r="C15891" s="35">
        <v>0</v>
      </c>
      <c r="D15891" s="2">
        <f t="shared" si="248"/>
        <v>1</v>
      </c>
    </row>
    <row r="15892" spans="1:4" x14ac:dyDescent="0.3">
      <c r="A15892" s="34">
        <v>78348</v>
      </c>
      <c r="B15892" s="35">
        <v>1</v>
      </c>
      <c r="C15892" s="35">
        <v>1</v>
      </c>
      <c r="D15892" s="2">
        <f t="shared" si="248"/>
        <v>2</v>
      </c>
    </row>
    <row r="15893" spans="1:4" x14ac:dyDescent="0.3">
      <c r="A15893" s="34">
        <v>78349</v>
      </c>
      <c r="B15893" s="35">
        <v>1</v>
      </c>
      <c r="C15893" s="35">
        <v>0</v>
      </c>
      <c r="D15893" s="2">
        <f t="shared" si="248"/>
        <v>1</v>
      </c>
    </row>
    <row r="15894" spans="1:4" x14ac:dyDescent="0.3">
      <c r="A15894" s="34">
        <v>78350</v>
      </c>
      <c r="B15894" s="35">
        <v>1</v>
      </c>
      <c r="C15894" s="35">
        <v>0</v>
      </c>
      <c r="D15894" s="2">
        <f t="shared" si="248"/>
        <v>1</v>
      </c>
    </row>
    <row r="15895" spans="1:4" x14ac:dyDescent="0.3">
      <c r="A15895" s="34">
        <v>78351</v>
      </c>
      <c r="B15895" s="35">
        <v>1</v>
      </c>
      <c r="C15895" s="35">
        <v>0</v>
      </c>
      <c r="D15895" s="2">
        <f t="shared" si="248"/>
        <v>1</v>
      </c>
    </row>
    <row r="15896" spans="1:4" x14ac:dyDescent="0.3">
      <c r="A15896" s="34">
        <v>78352</v>
      </c>
      <c r="B15896" s="35">
        <v>1</v>
      </c>
      <c r="C15896" s="35">
        <v>0</v>
      </c>
      <c r="D15896" s="2">
        <f t="shared" si="248"/>
        <v>1</v>
      </c>
    </row>
    <row r="15897" spans="1:4" x14ac:dyDescent="0.3">
      <c r="A15897" s="34">
        <v>78354</v>
      </c>
      <c r="B15897" s="35">
        <v>1</v>
      </c>
      <c r="C15897" s="35">
        <v>0</v>
      </c>
      <c r="D15897" s="2">
        <f t="shared" si="248"/>
        <v>1</v>
      </c>
    </row>
    <row r="15898" spans="1:4" x14ac:dyDescent="0.3">
      <c r="A15898" s="34">
        <v>78355</v>
      </c>
      <c r="B15898" s="35">
        <v>1</v>
      </c>
      <c r="C15898" s="35">
        <v>0</v>
      </c>
      <c r="D15898" s="2">
        <f t="shared" si="248"/>
        <v>1</v>
      </c>
    </row>
    <row r="15899" spans="1:4" x14ac:dyDescent="0.3">
      <c r="A15899" s="34">
        <v>78356</v>
      </c>
      <c r="B15899" s="35">
        <v>1</v>
      </c>
      <c r="C15899" s="35">
        <v>0</v>
      </c>
      <c r="D15899" s="2">
        <f t="shared" si="248"/>
        <v>1</v>
      </c>
    </row>
    <row r="15900" spans="1:4" x14ac:dyDescent="0.3">
      <c r="A15900" s="34">
        <v>78357</v>
      </c>
      <c r="B15900" s="35">
        <v>1</v>
      </c>
      <c r="C15900" s="35">
        <v>0</v>
      </c>
      <c r="D15900" s="2">
        <f t="shared" si="248"/>
        <v>1</v>
      </c>
    </row>
    <row r="15901" spans="1:4" x14ac:dyDescent="0.3">
      <c r="A15901" s="34">
        <v>78359</v>
      </c>
      <c r="B15901" s="35">
        <v>1</v>
      </c>
      <c r="C15901" s="35">
        <v>0</v>
      </c>
      <c r="D15901" s="2">
        <f t="shared" si="248"/>
        <v>1</v>
      </c>
    </row>
    <row r="15902" spans="1:4" x14ac:dyDescent="0.3">
      <c r="A15902" s="34">
        <v>78360</v>
      </c>
      <c r="B15902" s="35">
        <v>1</v>
      </c>
      <c r="C15902" s="35">
        <v>0</v>
      </c>
      <c r="D15902" s="2">
        <f t="shared" si="248"/>
        <v>1</v>
      </c>
    </row>
    <row r="15903" spans="1:4" x14ac:dyDescent="0.3">
      <c r="A15903" s="34">
        <v>78362</v>
      </c>
      <c r="B15903" s="35">
        <v>1</v>
      </c>
      <c r="C15903" s="35">
        <v>0</v>
      </c>
      <c r="D15903" s="2">
        <f t="shared" si="248"/>
        <v>1</v>
      </c>
    </row>
    <row r="15904" spans="1:4" x14ac:dyDescent="0.3">
      <c r="A15904" s="34">
        <v>78363</v>
      </c>
      <c r="B15904" s="35">
        <v>1</v>
      </c>
      <c r="C15904" s="35">
        <v>0</v>
      </c>
      <c r="D15904" s="2">
        <f t="shared" si="248"/>
        <v>1</v>
      </c>
    </row>
    <row r="15905" spans="1:4" x14ac:dyDescent="0.3">
      <c r="A15905" s="34">
        <v>78364</v>
      </c>
      <c r="B15905" s="35">
        <v>1</v>
      </c>
      <c r="C15905" s="35">
        <v>0</v>
      </c>
      <c r="D15905" s="2">
        <f t="shared" si="248"/>
        <v>1</v>
      </c>
    </row>
    <row r="15906" spans="1:4" x14ac:dyDescent="0.3">
      <c r="A15906" s="34">
        <v>78365</v>
      </c>
      <c r="B15906" s="35">
        <v>1</v>
      </c>
      <c r="C15906" s="35">
        <v>0</v>
      </c>
      <c r="D15906" s="2">
        <f t="shared" si="248"/>
        <v>1</v>
      </c>
    </row>
    <row r="15907" spans="1:4" x14ac:dyDescent="0.3">
      <c r="A15907" s="34">
        <v>78368</v>
      </c>
      <c r="B15907" s="35">
        <v>1</v>
      </c>
      <c r="C15907" s="35">
        <v>0</v>
      </c>
      <c r="D15907" s="2">
        <f t="shared" si="248"/>
        <v>1</v>
      </c>
    </row>
    <row r="15908" spans="1:4" x14ac:dyDescent="0.3">
      <c r="A15908" s="34">
        <v>78372</v>
      </c>
      <c r="B15908" s="35">
        <v>1</v>
      </c>
      <c r="C15908" s="35">
        <v>0</v>
      </c>
      <c r="D15908" s="2">
        <f t="shared" si="248"/>
        <v>1</v>
      </c>
    </row>
    <row r="15909" spans="1:4" x14ac:dyDescent="0.3">
      <c r="A15909" s="34">
        <v>78373</v>
      </c>
      <c r="B15909" s="35">
        <v>1</v>
      </c>
      <c r="C15909" s="35">
        <v>0</v>
      </c>
      <c r="D15909" s="2">
        <f t="shared" si="248"/>
        <v>1</v>
      </c>
    </row>
    <row r="15910" spans="1:4" x14ac:dyDescent="0.3">
      <c r="A15910" s="34">
        <v>78375</v>
      </c>
      <c r="B15910" s="35">
        <v>1</v>
      </c>
      <c r="C15910" s="35">
        <v>1</v>
      </c>
      <c r="D15910" s="2">
        <f t="shared" si="248"/>
        <v>2</v>
      </c>
    </row>
    <row r="15911" spans="1:4" x14ac:dyDescent="0.3">
      <c r="A15911" s="34">
        <v>78376</v>
      </c>
      <c r="B15911" s="35">
        <v>1</v>
      </c>
      <c r="C15911" s="35">
        <v>1</v>
      </c>
      <c r="D15911" s="2">
        <f t="shared" si="248"/>
        <v>2</v>
      </c>
    </row>
    <row r="15912" spans="1:4" x14ac:dyDescent="0.3">
      <c r="A15912" s="34">
        <v>78377</v>
      </c>
      <c r="B15912" s="35">
        <v>1</v>
      </c>
      <c r="C15912" s="35">
        <v>0</v>
      </c>
      <c r="D15912" s="2">
        <f t="shared" si="248"/>
        <v>1</v>
      </c>
    </row>
    <row r="15913" spans="1:4" x14ac:dyDescent="0.3">
      <c r="A15913" s="34">
        <v>78378</v>
      </c>
      <c r="B15913" s="35">
        <v>1</v>
      </c>
      <c r="C15913" s="35">
        <v>0</v>
      </c>
      <c r="D15913" s="2">
        <f t="shared" si="248"/>
        <v>1</v>
      </c>
    </row>
    <row r="15914" spans="1:4" x14ac:dyDescent="0.3">
      <c r="A15914" s="34">
        <v>78379</v>
      </c>
      <c r="B15914" s="35">
        <v>1</v>
      </c>
      <c r="C15914" s="35">
        <v>0</v>
      </c>
      <c r="D15914" s="2">
        <f t="shared" si="248"/>
        <v>1</v>
      </c>
    </row>
    <row r="15915" spans="1:4" x14ac:dyDescent="0.3">
      <c r="A15915" s="34">
        <v>78380</v>
      </c>
      <c r="B15915" s="35">
        <v>1</v>
      </c>
      <c r="C15915" s="35">
        <v>0</v>
      </c>
      <c r="D15915" s="2">
        <f t="shared" si="248"/>
        <v>1</v>
      </c>
    </row>
    <row r="15916" spans="1:4" x14ac:dyDescent="0.3">
      <c r="A15916" s="34">
        <v>78381</v>
      </c>
      <c r="B15916" s="35">
        <v>1</v>
      </c>
      <c r="C15916" s="35">
        <v>0</v>
      </c>
      <c r="D15916" s="2">
        <f t="shared" si="248"/>
        <v>1</v>
      </c>
    </row>
    <row r="15917" spans="1:4" x14ac:dyDescent="0.3">
      <c r="A15917" s="34">
        <v>78382</v>
      </c>
      <c r="B15917" s="35">
        <v>2</v>
      </c>
      <c r="C15917" s="35">
        <v>1</v>
      </c>
      <c r="D15917" s="2">
        <f t="shared" si="248"/>
        <v>3</v>
      </c>
    </row>
    <row r="15918" spans="1:4" x14ac:dyDescent="0.3">
      <c r="A15918" s="34">
        <v>78383</v>
      </c>
      <c r="B15918" s="35">
        <v>1</v>
      </c>
      <c r="C15918" s="35">
        <v>1</v>
      </c>
      <c r="D15918" s="2">
        <f t="shared" si="248"/>
        <v>2</v>
      </c>
    </row>
    <row r="15919" spans="1:4" x14ac:dyDescent="0.3">
      <c r="A15919" s="34">
        <v>78384</v>
      </c>
      <c r="B15919" s="35">
        <v>1</v>
      </c>
      <c r="C15919" s="35">
        <v>0</v>
      </c>
      <c r="D15919" s="2">
        <f t="shared" si="248"/>
        <v>1</v>
      </c>
    </row>
    <row r="15920" spans="1:4" x14ac:dyDescent="0.3">
      <c r="A15920" s="34">
        <v>78385</v>
      </c>
      <c r="B15920" s="35">
        <v>1</v>
      </c>
      <c r="C15920" s="35">
        <v>0</v>
      </c>
      <c r="D15920" s="2">
        <f t="shared" si="248"/>
        <v>1</v>
      </c>
    </row>
    <row r="15921" spans="1:4" x14ac:dyDescent="0.3">
      <c r="A15921" s="34">
        <v>78386</v>
      </c>
      <c r="B15921" s="35">
        <v>1</v>
      </c>
      <c r="C15921" s="35">
        <v>0</v>
      </c>
      <c r="D15921" s="2">
        <f t="shared" si="248"/>
        <v>1</v>
      </c>
    </row>
    <row r="15922" spans="1:4" x14ac:dyDescent="0.3">
      <c r="A15922" s="34">
        <v>78387</v>
      </c>
      <c r="B15922" s="35">
        <v>1</v>
      </c>
      <c r="C15922" s="35">
        <v>0</v>
      </c>
      <c r="D15922" s="2">
        <f t="shared" si="248"/>
        <v>1</v>
      </c>
    </row>
    <row r="15923" spans="1:4" x14ac:dyDescent="0.3">
      <c r="A15923" s="34">
        <v>78388</v>
      </c>
      <c r="B15923" s="35">
        <v>1</v>
      </c>
      <c r="C15923" s="35">
        <v>0</v>
      </c>
      <c r="D15923" s="2">
        <f t="shared" si="248"/>
        <v>1</v>
      </c>
    </row>
    <row r="15924" spans="1:4" x14ac:dyDescent="0.3">
      <c r="A15924" s="34">
        <v>78389</v>
      </c>
      <c r="B15924" s="35">
        <v>1</v>
      </c>
      <c r="C15924" s="35">
        <v>0</v>
      </c>
      <c r="D15924" s="2">
        <f t="shared" si="248"/>
        <v>1</v>
      </c>
    </row>
    <row r="15925" spans="1:4" x14ac:dyDescent="0.3">
      <c r="A15925" s="34">
        <v>78390</v>
      </c>
      <c r="B15925" s="35">
        <v>1</v>
      </c>
      <c r="C15925" s="35">
        <v>0</v>
      </c>
      <c r="D15925" s="2">
        <f t="shared" si="248"/>
        <v>1</v>
      </c>
    </row>
    <row r="15926" spans="1:4" x14ac:dyDescent="0.3">
      <c r="A15926" s="34">
        <v>78391</v>
      </c>
      <c r="B15926" s="35">
        <v>1</v>
      </c>
      <c r="C15926" s="35">
        <v>0</v>
      </c>
      <c r="D15926" s="2">
        <f t="shared" si="248"/>
        <v>1</v>
      </c>
    </row>
    <row r="15927" spans="1:4" x14ac:dyDescent="0.3">
      <c r="A15927" s="34">
        <v>78392</v>
      </c>
      <c r="B15927" s="35">
        <v>1</v>
      </c>
      <c r="C15927" s="35">
        <v>0</v>
      </c>
      <c r="D15927" s="2">
        <f t="shared" si="248"/>
        <v>1</v>
      </c>
    </row>
    <row r="15928" spans="1:4" x14ac:dyDescent="0.3">
      <c r="A15928" s="34">
        <v>78393</v>
      </c>
      <c r="B15928" s="35">
        <v>1</v>
      </c>
      <c r="C15928" s="35">
        <v>0</v>
      </c>
      <c r="D15928" s="2">
        <f t="shared" si="248"/>
        <v>1</v>
      </c>
    </row>
    <row r="15929" spans="1:4" x14ac:dyDescent="0.3">
      <c r="A15929" s="34">
        <v>78394</v>
      </c>
      <c r="B15929" s="35">
        <v>1</v>
      </c>
      <c r="C15929" s="35">
        <v>0</v>
      </c>
      <c r="D15929" s="2">
        <f t="shared" si="248"/>
        <v>1</v>
      </c>
    </row>
    <row r="15930" spans="1:4" x14ac:dyDescent="0.3">
      <c r="A15930" s="34">
        <v>78395</v>
      </c>
      <c r="B15930" s="35">
        <v>1</v>
      </c>
      <c r="C15930" s="35">
        <v>0</v>
      </c>
      <c r="D15930" s="2">
        <f t="shared" si="248"/>
        <v>1</v>
      </c>
    </row>
    <row r="15931" spans="1:4" x14ac:dyDescent="0.3">
      <c r="A15931" s="34">
        <v>78396</v>
      </c>
      <c r="B15931" s="35">
        <v>1</v>
      </c>
      <c r="C15931" s="35">
        <v>0</v>
      </c>
      <c r="D15931" s="2">
        <f t="shared" si="248"/>
        <v>1</v>
      </c>
    </row>
    <row r="15932" spans="1:4" x14ac:dyDescent="0.3">
      <c r="A15932" s="34">
        <v>78398</v>
      </c>
      <c r="B15932" s="35">
        <v>2</v>
      </c>
      <c r="C15932" s="35">
        <v>1</v>
      </c>
      <c r="D15932" s="2">
        <f t="shared" si="248"/>
        <v>3</v>
      </c>
    </row>
    <row r="15933" spans="1:4" x14ac:dyDescent="0.3">
      <c r="A15933" s="34">
        <v>78400</v>
      </c>
      <c r="B15933" s="35">
        <v>2</v>
      </c>
      <c r="C15933" s="35">
        <v>1</v>
      </c>
      <c r="D15933" s="2">
        <f t="shared" si="248"/>
        <v>3</v>
      </c>
    </row>
    <row r="15934" spans="1:4" x14ac:dyDescent="0.3">
      <c r="A15934" s="34">
        <v>78401</v>
      </c>
      <c r="B15934" s="35">
        <v>1</v>
      </c>
      <c r="C15934" s="35">
        <v>1</v>
      </c>
      <c r="D15934" s="2">
        <f t="shared" si="248"/>
        <v>2</v>
      </c>
    </row>
    <row r="15935" spans="1:4" x14ac:dyDescent="0.3">
      <c r="A15935" s="34">
        <v>78402</v>
      </c>
      <c r="B15935" s="35">
        <v>1</v>
      </c>
      <c r="C15935" s="35">
        <v>1</v>
      </c>
      <c r="D15935" s="2">
        <f t="shared" si="248"/>
        <v>2</v>
      </c>
    </row>
    <row r="15936" spans="1:4" x14ac:dyDescent="0.3">
      <c r="A15936" s="34">
        <v>78403</v>
      </c>
      <c r="B15936" s="35">
        <v>1</v>
      </c>
      <c r="C15936" s="35">
        <v>0</v>
      </c>
      <c r="D15936" s="2">
        <f t="shared" si="248"/>
        <v>1</v>
      </c>
    </row>
    <row r="15937" spans="1:4" x14ac:dyDescent="0.3">
      <c r="A15937" s="34">
        <v>78404</v>
      </c>
      <c r="B15937" s="35">
        <v>1</v>
      </c>
      <c r="C15937" s="35">
        <v>0</v>
      </c>
      <c r="D15937" s="2">
        <f t="shared" si="248"/>
        <v>1</v>
      </c>
    </row>
    <row r="15938" spans="1:4" x14ac:dyDescent="0.3">
      <c r="A15938" s="34">
        <v>78405</v>
      </c>
      <c r="B15938" s="35">
        <v>1</v>
      </c>
      <c r="C15938" s="35">
        <v>0</v>
      </c>
      <c r="D15938" s="2">
        <f t="shared" si="248"/>
        <v>1</v>
      </c>
    </row>
    <row r="15939" spans="1:4" x14ac:dyDescent="0.3">
      <c r="A15939" s="34">
        <v>78407</v>
      </c>
      <c r="B15939" s="35">
        <v>1</v>
      </c>
      <c r="C15939" s="35">
        <v>0</v>
      </c>
      <c r="D15939" s="2">
        <f t="shared" ref="D15939:D16002" si="249">B15939+C15939</f>
        <v>1</v>
      </c>
    </row>
    <row r="15940" spans="1:4" x14ac:dyDescent="0.3">
      <c r="A15940" s="34">
        <v>78409</v>
      </c>
      <c r="B15940" s="35">
        <v>1</v>
      </c>
      <c r="C15940" s="35">
        <v>0</v>
      </c>
      <c r="D15940" s="2">
        <f t="shared" si="249"/>
        <v>1</v>
      </c>
    </row>
    <row r="15941" spans="1:4" x14ac:dyDescent="0.3">
      <c r="A15941" s="34">
        <v>78410</v>
      </c>
      <c r="B15941" s="35">
        <v>1</v>
      </c>
      <c r="C15941" s="35">
        <v>0</v>
      </c>
      <c r="D15941" s="2">
        <f t="shared" si="249"/>
        <v>1</v>
      </c>
    </row>
    <row r="15942" spans="1:4" x14ac:dyDescent="0.3">
      <c r="A15942" s="34">
        <v>78411</v>
      </c>
      <c r="B15942" s="35">
        <v>1</v>
      </c>
      <c r="C15942" s="35">
        <v>0</v>
      </c>
      <c r="D15942" s="2">
        <f t="shared" si="249"/>
        <v>1</v>
      </c>
    </row>
    <row r="15943" spans="1:4" x14ac:dyDescent="0.3">
      <c r="A15943" s="34">
        <v>78412</v>
      </c>
      <c r="B15943" s="35">
        <v>1</v>
      </c>
      <c r="C15943" s="35">
        <v>0</v>
      </c>
      <c r="D15943" s="2">
        <f t="shared" si="249"/>
        <v>1</v>
      </c>
    </row>
    <row r="15944" spans="1:4" x14ac:dyDescent="0.3">
      <c r="A15944" s="34">
        <v>78414</v>
      </c>
      <c r="B15944" s="35">
        <v>1</v>
      </c>
      <c r="C15944" s="35">
        <v>0</v>
      </c>
      <c r="D15944" s="2">
        <f t="shared" si="249"/>
        <v>1</v>
      </c>
    </row>
    <row r="15945" spans="1:4" x14ac:dyDescent="0.3">
      <c r="A15945" s="34">
        <v>78415</v>
      </c>
      <c r="B15945" s="35">
        <v>1</v>
      </c>
      <c r="C15945" s="35">
        <v>0</v>
      </c>
      <c r="D15945" s="2">
        <f t="shared" si="249"/>
        <v>1</v>
      </c>
    </row>
    <row r="15946" spans="1:4" x14ac:dyDescent="0.3">
      <c r="A15946" s="34">
        <v>78416</v>
      </c>
      <c r="B15946" s="35">
        <v>1</v>
      </c>
      <c r="C15946" s="35">
        <v>0</v>
      </c>
      <c r="D15946" s="2">
        <f t="shared" si="249"/>
        <v>1</v>
      </c>
    </row>
    <row r="15947" spans="1:4" x14ac:dyDescent="0.3">
      <c r="A15947" s="34">
        <v>78417</v>
      </c>
      <c r="B15947" s="35">
        <v>1</v>
      </c>
      <c r="C15947" s="35">
        <v>0</v>
      </c>
      <c r="D15947" s="2">
        <f t="shared" si="249"/>
        <v>1</v>
      </c>
    </row>
    <row r="15948" spans="1:4" x14ac:dyDescent="0.3">
      <c r="A15948" s="34">
        <v>78419</v>
      </c>
      <c r="B15948" s="35">
        <v>1</v>
      </c>
      <c r="C15948" s="35">
        <v>0</v>
      </c>
      <c r="D15948" s="2">
        <f t="shared" si="249"/>
        <v>1</v>
      </c>
    </row>
    <row r="15949" spans="1:4" x14ac:dyDescent="0.3">
      <c r="A15949" s="34">
        <v>78420</v>
      </c>
      <c r="B15949" s="35">
        <v>1</v>
      </c>
      <c r="C15949" s="35">
        <v>0</v>
      </c>
      <c r="D15949" s="2">
        <f t="shared" si="249"/>
        <v>1</v>
      </c>
    </row>
    <row r="15950" spans="1:4" x14ac:dyDescent="0.3">
      <c r="A15950" s="34">
        <v>78421</v>
      </c>
      <c r="B15950" s="35">
        <v>1</v>
      </c>
      <c r="C15950" s="35">
        <v>0</v>
      </c>
      <c r="D15950" s="2">
        <f t="shared" si="249"/>
        <v>1</v>
      </c>
    </row>
    <row r="15951" spans="1:4" x14ac:dyDescent="0.3">
      <c r="A15951" s="34">
        <v>78422</v>
      </c>
      <c r="B15951" s="35">
        <v>1</v>
      </c>
      <c r="C15951" s="35">
        <v>0</v>
      </c>
      <c r="D15951" s="2">
        <f t="shared" si="249"/>
        <v>1</v>
      </c>
    </row>
    <row r="15952" spans="1:4" x14ac:dyDescent="0.3">
      <c r="A15952" s="34">
        <v>78423</v>
      </c>
      <c r="B15952" s="35">
        <v>1</v>
      </c>
      <c r="C15952" s="35">
        <v>0</v>
      </c>
      <c r="D15952" s="2">
        <f t="shared" si="249"/>
        <v>1</v>
      </c>
    </row>
    <row r="15953" spans="1:4" x14ac:dyDescent="0.3">
      <c r="A15953" s="34">
        <v>78426</v>
      </c>
      <c r="B15953" s="35">
        <v>1</v>
      </c>
      <c r="C15953" s="35">
        <v>0</v>
      </c>
      <c r="D15953" s="2">
        <f t="shared" si="249"/>
        <v>1</v>
      </c>
    </row>
    <row r="15954" spans="1:4" x14ac:dyDescent="0.3">
      <c r="A15954" s="34">
        <v>78427</v>
      </c>
      <c r="B15954" s="35">
        <v>2</v>
      </c>
      <c r="C15954" s="35">
        <v>1</v>
      </c>
      <c r="D15954" s="2">
        <f t="shared" si="249"/>
        <v>3</v>
      </c>
    </row>
    <row r="15955" spans="1:4" x14ac:dyDescent="0.3">
      <c r="A15955" s="34">
        <v>78429</v>
      </c>
      <c r="B15955" s="35">
        <v>1</v>
      </c>
      <c r="C15955" s="35">
        <v>0</v>
      </c>
      <c r="D15955" s="2">
        <f t="shared" si="249"/>
        <v>1</v>
      </c>
    </row>
    <row r="15956" spans="1:4" x14ac:dyDescent="0.3">
      <c r="A15956" s="34">
        <v>78430</v>
      </c>
      <c r="B15956" s="35">
        <v>1</v>
      </c>
      <c r="C15956" s="35">
        <v>0</v>
      </c>
      <c r="D15956" s="2">
        <f t="shared" si="249"/>
        <v>1</v>
      </c>
    </row>
    <row r="15957" spans="1:4" x14ac:dyDescent="0.3">
      <c r="A15957" s="34">
        <v>78431</v>
      </c>
      <c r="B15957" s="35">
        <v>1</v>
      </c>
      <c r="C15957" s="35">
        <v>0</v>
      </c>
      <c r="D15957" s="2">
        <f t="shared" si="249"/>
        <v>1</v>
      </c>
    </row>
    <row r="15958" spans="1:4" x14ac:dyDescent="0.3">
      <c r="A15958" s="34">
        <v>78432</v>
      </c>
      <c r="B15958" s="35">
        <v>1</v>
      </c>
      <c r="C15958" s="35">
        <v>0</v>
      </c>
      <c r="D15958" s="2">
        <f t="shared" si="249"/>
        <v>1</v>
      </c>
    </row>
    <row r="15959" spans="1:4" x14ac:dyDescent="0.3">
      <c r="A15959" s="34">
        <v>78433</v>
      </c>
      <c r="B15959" s="35">
        <v>1</v>
      </c>
      <c r="C15959" s="35">
        <v>0</v>
      </c>
      <c r="D15959" s="2">
        <f t="shared" si="249"/>
        <v>1</v>
      </c>
    </row>
    <row r="15960" spans="1:4" x14ac:dyDescent="0.3">
      <c r="A15960" s="34">
        <v>78434</v>
      </c>
      <c r="B15960" s="35">
        <v>1</v>
      </c>
      <c r="C15960" s="35">
        <v>0</v>
      </c>
      <c r="D15960" s="2">
        <f t="shared" si="249"/>
        <v>1</v>
      </c>
    </row>
    <row r="15961" spans="1:4" x14ac:dyDescent="0.3">
      <c r="A15961" s="34">
        <v>78435</v>
      </c>
      <c r="B15961" s="35">
        <v>1</v>
      </c>
      <c r="C15961" s="35">
        <v>0</v>
      </c>
      <c r="D15961" s="2">
        <f t="shared" si="249"/>
        <v>1</v>
      </c>
    </row>
    <row r="15962" spans="1:4" x14ac:dyDescent="0.3">
      <c r="A15962" s="34">
        <v>78436</v>
      </c>
      <c r="B15962" s="35">
        <v>1</v>
      </c>
      <c r="C15962" s="35">
        <v>0</v>
      </c>
      <c r="D15962" s="2">
        <f t="shared" si="249"/>
        <v>1</v>
      </c>
    </row>
    <row r="15963" spans="1:4" x14ac:dyDescent="0.3">
      <c r="A15963" s="34">
        <v>78437</v>
      </c>
      <c r="B15963" s="35">
        <v>1</v>
      </c>
      <c r="C15963" s="35">
        <v>0</v>
      </c>
      <c r="D15963" s="2">
        <f t="shared" si="249"/>
        <v>1</v>
      </c>
    </row>
    <row r="15964" spans="1:4" x14ac:dyDescent="0.3">
      <c r="A15964" s="34">
        <v>78438</v>
      </c>
      <c r="B15964" s="35">
        <v>1</v>
      </c>
      <c r="C15964" s="35">
        <v>0</v>
      </c>
      <c r="D15964" s="2">
        <f t="shared" si="249"/>
        <v>1</v>
      </c>
    </row>
    <row r="15965" spans="1:4" x14ac:dyDescent="0.3">
      <c r="A15965" s="34">
        <v>78440</v>
      </c>
      <c r="B15965" s="35">
        <v>1</v>
      </c>
      <c r="C15965" s="35">
        <v>0</v>
      </c>
      <c r="D15965" s="2">
        <f t="shared" si="249"/>
        <v>1</v>
      </c>
    </row>
    <row r="15966" spans="1:4" x14ac:dyDescent="0.3">
      <c r="A15966" s="34">
        <v>78441</v>
      </c>
      <c r="B15966" s="35">
        <v>1</v>
      </c>
      <c r="C15966" s="35">
        <v>0</v>
      </c>
      <c r="D15966" s="2">
        <f t="shared" si="249"/>
        <v>1</v>
      </c>
    </row>
    <row r="15967" spans="1:4" x14ac:dyDescent="0.3">
      <c r="A15967" s="34">
        <v>78442</v>
      </c>
      <c r="B15967" s="35">
        <v>1</v>
      </c>
      <c r="C15967" s="35">
        <v>1</v>
      </c>
      <c r="D15967" s="2">
        <f t="shared" si="249"/>
        <v>2</v>
      </c>
    </row>
    <row r="15968" spans="1:4" x14ac:dyDescent="0.3">
      <c r="A15968" s="34">
        <v>78443</v>
      </c>
      <c r="B15968" s="35">
        <v>1</v>
      </c>
      <c r="C15968" s="35">
        <v>0</v>
      </c>
      <c r="D15968" s="2">
        <f t="shared" si="249"/>
        <v>1</v>
      </c>
    </row>
    <row r="15969" spans="1:4" x14ac:dyDescent="0.3">
      <c r="A15969" s="34">
        <v>78444</v>
      </c>
      <c r="B15969" s="35">
        <v>2</v>
      </c>
      <c r="C15969" s="35">
        <v>1</v>
      </c>
      <c r="D15969" s="2">
        <f t="shared" si="249"/>
        <v>3</v>
      </c>
    </row>
    <row r="15970" spans="1:4" x14ac:dyDescent="0.3">
      <c r="A15970" s="34">
        <v>78445</v>
      </c>
      <c r="B15970" s="35">
        <v>1</v>
      </c>
      <c r="C15970" s="35">
        <v>0</v>
      </c>
      <c r="D15970" s="2">
        <f t="shared" si="249"/>
        <v>1</v>
      </c>
    </row>
    <row r="15971" spans="1:4" x14ac:dyDescent="0.3">
      <c r="A15971" s="34">
        <v>78446</v>
      </c>
      <c r="B15971" s="35">
        <v>1</v>
      </c>
      <c r="C15971" s="35">
        <v>0</v>
      </c>
      <c r="D15971" s="2">
        <f t="shared" si="249"/>
        <v>1</v>
      </c>
    </row>
    <row r="15972" spans="1:4" x14ac:dyDescent="0.3">
      <c r="A15972" s="34">
        <v>78449</v>
      </c>
      <c r="B15972" s="35">
        <v>1</v>
      </c>
      <c r="C15972" s="35">
        <v>0</v>
      </c>
      <c r="D15972" s="2">
        <f t="shared" si="249"/>
        <v>1</v>
      </c>
    </row>
    <row r="15973" spans="1:4" x14ac:dyDescent="0.3">
      <c r="A15973" s="34">
        <v>78450</v>
      </c>
      <c r="B15973" s="35">
        <v>1</v>
      </c>
      <c r="C15973" s="35">
        <v>0</v>
      </c>
      <c r="D15973" s="2">
        <f t="shared" si="249"/>
        <v>1</v>
      </c>
    </row>
    <row r="15974" spans="1:4" x14ac:dyDescent="0.3">
      <c r="A15974" s="34">
        <v>78451</v>
      </c>
      <c r="B15974" s="35">
        <v>1</v>
      </c>
      <c r="C15974" s="35">
        <v>0</v>
      </c>
      <c r="D15974" s="2">
        <f t="shared" si="249"/>
        <v>1</v>
      </c>
    </row>
    <row r="15975" spans="1:4" x14ac:dyDescent="0.3">
      <c r="A15975" s="34">
        <v>78452</v>
      </c>
      <c r="B15975" s="35">
        <v>1</v>
      </c>
      <c r="C15975" s="35">
        <v>0</v>
      </c>
      <c r="D15975" s="2">
        <f t="shared" si="249"/>
        <v>1</v>
      </c>
    </row>
    <row r="15976" spans="1:4" x14ac:dyDescent="0.3">
      <c r="A15976" s="34">
        <v>78453</v>
      </c>
      <c r="B15976" s="35">
        <v>1</v>
      </c>
      <c r="C15976" s="35">
        <v>0</v>
      </c>
      <c r="D15976" s="2">
        <f t="shared" si="249"/>
        <v>1</v>
      </c>
    </row>
    <row r="15977" spans="1:4" x14ac:dyDescent="0.3">
      <c r="A15977" s="34">
        <v>78454</v>
      </c>
      <c r="B15977" s="35">
        <v>1</v>
      </c>
      <c r="C15977" s="35">
        <v>0</v>
      </c>
      <c r="D15977" s="2">
        <f t="shared" si="249"/>
        <v>1</v>
      </c>
    </row>
    <row r="15978" spans="1:4" x14ac:dyDescent="0.3">
      <c r="A15978" s="34">
        <v>78455</v>
      </c>
      <c r="B15978" s="35">
        <v>1</v>
      </c>
      <c r="C15978" s="35">
        <v>0</v>
      </c>
      <c r="D15978" s="2">
        <f t="shared" si="249"/>
        <v>1</v>
      </c>
    </row>
    <row r="15979" spans="1:4" x14ac:dyDescent="0.3">
      <c r="A15979" s="34">
        <v>78456</v>
      </c>
      <c r="B15979" s="35">
        <v>1</v>
      </c>
      <c r="C15979" s="35">
        <v>0</v>
      </c>
      <c r="D15979" s="2">
        <f t="shared" si="249"/>
        <v>1</v>
      </c>
    </row>
    <row r="15980" spans="1:4" x14ac:dyDescent="0.3">
      <c r="A15980" s="34">
        <v>78457</v>
      </c>
      <c r="B15980" s="35">
        <v>1</v>
      </c>
      <c r="C15980" s="35">
        <v>0</v>
      </c>
      <c r="D15980" s="2">
        <f t="shared" si="249"/>
        <v>1</v>
      </c>
    </row>
    <row r="15981" spans="1:4" x14ac:dyDescent="0.3">
      <c r="A15981" s="34">
        <v>78458</v>
      </c>
      <c r="B15981" s="35">
        <v>1</v>
      </c>
      <c r="C15981" s="35">
        <v>0</v>
      </c>
      <c r="D15981" s="2">
        <f t="shared" si="249"/>
        <v>1</v>
      </c>
    </row>
    <row r="15982" spans="1:4" x14ac:dyDescent="0.3">
      <c r="A15982" s="34">
        <v>78459</v>
      </c>
      <c r="B15982" s="35">
        <v>1</v>
      </c>
      <c r="C15982" s="35">
        <v>0</v>
      </c>
      <c r="D15982" s="2">
        <f t="shared" si="249"/>
        <v>1</v>
      </c>
    </row>
    <row r="15983" spans="1:4" x14ac:dyDescent="0.3">
      <c r="A15983" s="34">
        <v>78460</v>
      </c>
      <c r="B15983" s="35">
        <v>1</v>
      </c>
      <c r="C15983" s="35">
        <v>0</v>
      </c>
      <c r="D15983" s="2">
        <f t="shared" si="249"/>
        <v>1</v>
      </c>
    </row>
    <row r="15984" spans="1:4" x14ac:dyDescent="0.3">
      <c r="A15984" s="34">
        <v>78461</v>
      </c>
      <c r="B15984" s="35">
        <v>1</v>
      </c>
      <c r="C15984" s="35">
        <v>1</v>
      </c>
      <c r="D15984" s="2">
        <f t="shared" si="249"/>
        <v>2</v>
      </c>
    </row>
    <row r="15985" spans="1:4" x14ac:dyDescent="0.3">
      <c r="A15985" s="34">
        <v>78462</v>
      </c>
      <c r="B15985" s="35">
        <v>1</v>
      </c>
      <c r="C15985" s="35">
        <v>0</v>
      </c>
      <c r="D15985" s="2">
        <f t="shared" si="249"/>
        <v>1</v>
      </c>
    </row>
    <row r="15986" spans="1:4" x14ac:dyDescent="0.3">
      <c r="A15986" s="34">
        <v>78463</v>
      </c>
      <c r="B15986" s="35">
        <v>1</v>
      </c>
      <c r="C15986" s="35">
        <v>0</v>
      </c>
      <c r="D15986" s="2">
        <f t="shared" si="249"/>
        <v>1</v>
      </c>
    </row>
    <row r="15987" spans="1:4" x14ac:dyDescent="0.3">
      <c r="A15987" s="34">
        <v>78464</v>
      </c>
      <c r="B15987" s="35">
        <v>1</v>
      </c>
      <c r="C15987" s="35">
        <v>0</v>
      </c>
      <c r="D15987" s="2">
        <f t="shared" si="249"/>
        <v>1</v>
      </c>
    </row>
    <row r="15988" spans="1:4" x14ac:dyDescent="0.3">
      <c r="A15988" s="34">
        <v>78465</v>
      </c>
      <c r="B15988" s="35">
        <v>1</v>
      </c>
      <c r="C15988" s="35">
        <v>0</v>
      </c>
      <c r="D15988" s="2">
        <f t="shared" si="249"/>
        <v>1</v>
      </c>
    </row>
    <row r="15989" spans="1:4" x14ac:dyDescent="0.3">
      <c r="A15989" s="34">
        <v>78466</v>
      </c>
      <c r="B15989" s="35">
        <v>1</v>
      </c>
      <c r="C15989" s="35">
        <v>0</v>
      </c>
      <c r="D15989" s="2">
        <f t="shared" si="249"/>
        <v>1</v>
      </c>
    </row>
    <row r="15990" spans="1:4" x14ac:dyDescent="0.3">
      <c r="A15990" s="34">
        <v>78467</v>
      </c>
      <c r="B15990" s="35">
        <v>1</v>
      </c>
      <c r="C15990" s="35">
        <v>1</v>
      </c>
      <c r="D15990" s="2">
        <f t="shared" si="249"/>
        <v>2</v>
      </c>
    </row>
    <row r="15991" spans="1:4" x14ac:dyDescent="0.3">
      <c r="A15991" s="34">
        <v>78468</v>
      </c>
      <c r="B15991" s="35">
        <v>1</v>
      </c>
      <c r="C15991" s="35">
        <v>0</v>
      </c>
      <c r="D15991" s="2">
        <f t="shared" si="249"/>
        <v>1</v>
      </c>
    </row>
    <row r="15992" spans="1:4" x14ac:dyDescent="0.3">
      <c r="A15992" s="34">
        <v>78469</v>
      </c>
      <c r="B15992" s="35">
        <v>1</v>
      </c>
      <c r="C15992" s="35">
        <v>0</v>
      </c>
      <c r="D15992" s="2">
        <f t="shared" si="249"/>
        <v>1</v>
      </c>
    </row>
    <row r="15993" spans="1:4" x14ac:dyDescent="0.3">
      <c r="A15993" s="34">
        <v>78498</v>
      </c>
      <c r="B15993" s="35">
        <v>1</v>
      </c>
      <c r="C15993" s="35">
        <v>0</v>
      </c>
      <c r="D15993" s="2">
        <f t="shared" si="249"/>
        <v>1</v>
      </c>
    </row>
    <row r="15994" spans="1:4" x14ac:dyDescent="0.3">
      <c r="A15994" s="34">
        <v>78499</v>
      </c>
      <c r="B15994" s="35">
        <v>1</v>
      </c>
      <c r="C15994" s="35">
        <v>1</v>
      </c>
      <c r="D15994" s="2">
        <f t="shared" si="249"/>
        <v>2</v>
      </c>
    </row>
    <row r="15995" spans="1:4" x14ac:dyDescent="0.3">
      <c r="A15995" s="34">
        <v>78500</v>
      </c>
      <c r="B15995" s="35">
        <v>1</v>
      </c>
      <c r="C15995" s="35">
        <v>1</v>
      </c>
      <c r="D15995" s="2">
        <f t="shared" si="249"/>
        <v>2</v>
      </c>
    </row>
    <row r="15996" spans="1:4" x14ac:dyDescent="0.3">
      <c r="A15996" s="34">
        <v>78501</v>
      </c>
      <c r="B15996" s="35">
        <v>1</v>
      </c>
      <c r="C15996" s="35">
        <v>0</v>
      </c>
      <c r="D15996" s="2">
        <f t="shared" si="249"/>
        <v>1</v>
      </c>
    </row>
    <row r="15997" spans="1:4" x14ac:dyDescent="0.3">
      <c r="A15997" s="34">
        <v>78502</v>
      </c>
      <c r="B15997" s="35">
        <v>1</v>
      </c>
      <c r="C15997" s="35">
        <v>0</v>
      </c>
      <c r="D15997" s="2">
        <f t="shared" si="249"/>
        <v>1</v>
      </c>
    </row>
    <row r="15998" spans="1:4" x14ac:dyDescent="0.3">
      <c r="A15998" s="34">
        <v>78503</v>
      </c>
      <c r="B15998" s="35">
        <v>1</v>
      </c>
      <c r="C15998" s="35">
        <v>0</v>
      </c>
      <c r="D15998" s="2">
        <f t="shared" si="249"/>
        <v>1</v>
      </c>
    </row>
    <row r="15999" spans="1:4" x14ac:dyDescent="0.3">
      <c r="A15999" s="34">
        <v>78504</v>
      </c>
      <c r="B15999" s="35">
        <v>2</v>
      </c>
      <c r="C15999" s="35">
        <v>1</v>
      </c>
      <c r="D15999" s="2">
        <f t="shared" si="249"/>
        <v>3</v>
      </c>
    </row>
    <row r="16000" spans="1:4" x14ac:dyDescent="0.3">
      <c r="A16000" s="34">
        <v>78505</v>
      </c>
      <c r="B16000" s="35">
        <v>1</v>
      </c>
      <c r="C16000" s="35">
        <v>0</v>
      </c>
      <c r="D16000" s="2">
        <f t="shared" si="249"/>
        <v>1</v>
      </c>
    </row>
    <row r="16001" spans="1:4" x14ac:dyDescent="0.3">
      <c r="A16001" s="34">
        <v>78506</v>
      </c>
      <c r="B16001" s="35">
        <v>1</v>
      </c>
      <c r="C16001" s="35">
        <v>1</v>
      </c>
      <c r="D16001" s="2">
        <f t="shared" si="249"/>
        <v>2</v>
      </c>
    </row>
    <row r="16002" spans="1:4" x14ac:dyDescent="0.3">
      <c r="A16002" s="34">
        <v>78507</v>
      </c>
      <c r="B16002" s="35">
        <v>1</v>
      </c>
      <c r="C16002" s="35">
        <v>1</v>
      </c>
      <c r="D16002" s="2">
        <f t="shared" si="249"/>
        <v>2</v>
      </c>
    </row>
    <row r="16003" spans="1:4" x14ac:dyDescent="0.3">
      <c r="A16003" s="34">
        <v>78508</v>
      </c>
      <c r="B16003" s="35">
        <v>1</v>
      </c>
      <c r="C16003" s="35">
        <v>0</v>
      </c>
      <c r="D16003" s="2">
        <f t="shared" ref="D16003:D16066" si="250">B16003+C16003</f>
        <v>1</v>
      </c>
    </row>
    <row r="16004" spans="1:4" x14ac:dyDescent="0.3">
      <c r="A16004" s="34">
        <v>78509</v>
      </c>
      <c r="B16004" s="35">
        <v>1</v>
      </c>
      <c r="C16004" s="35">
        <v>0</v>
      </c>
      <c r="D16004" s="2">
        <f t="shared" si="250"/>
        <v>1</v>
      </c>
    </row>
    <row r="16005" spans="1:4" x14ac:dyDescent="0.3">
      <c r="A16005" s="34">
        <v>78510</v>
      </c>
      <c r="B16005" s="35">
        <v>1</v>
      </c>
      <c r="C16005" s="35">
        <v>0</v>
      </c>
      <c r="D16005" s="2">
        <f t="shared" si="250"/>
        <v>1</v>
      </c>
    </row>
    <row r="16006" spans="1:4" x14ac:dyDescent="0.3">
      <c r="A16006" s="34">
        <v>78511</v>
      </c>
      <c r="B16006" s="35">
        <v>1</v>
      </c>
      <c r="C16006" s="35">
        <v>0</v>
      </c>
      <c r="D16006" s="2">
        <f t="shared" si="250"/>
        <v>1</v>
      </c>
    </row>
    <row r="16007" spans="1:4" x14ac:dyDescent="0.3">
      <c r="A16007" s="34">
        <v>78512</v>
      </c>
      <c r="B16007" s="35">
        <v>1</v>
      </c>
      <c r="C16007" s="35">
        <v>0</v>
      </c>
      <c r="D16007" s="2">
        <f t="shared" si="250"/>
        <v>1</v>
      </c>
    </row>
    <row r="16008" spans="1:4" x14ac:dyDescent="0.3">
      <c r="A16008" s="34">
        <v>78513</v>
      </c>
      <c r="B16008" s="35">
        <v>1</v>
      </c>
      <c r="C16008" s="35">
        <v>1</v>
      </c>
      <c r="D16008" s="2">
        <f t="shared" si="250"/>
        <v>2</v>
      </c>
    </row>
    <row r="16009" spans="1:4" x14ac:dyDescent="0.3">
      <c r="A16009" s="34">
        <v>78514</v>
      </c>
      <c r="B16009" s="35">
        <v>1</v>
      </c>
      <c r="C16009" s="35">
        <v>0</v>
      </c>
      <c r="D16009" s="2">
        <f t="shared" si="250"/>
        <v>1</v>
      </c>
    </row>
    <row r="16010" spans="1:4" x14ac:dyDescent="0.3">
      <c r="A16010" s="34">
        <v>78515</v>
      </c>
      <c r="B16010" s="35">
        <v>1</v>
      </c>
      <c r="C16010" s="35">
        <v>0</v>
      </c>
      <c r="D16010" s="2">
        <f t="shared" si="250"/>
        <v>1</v>
      </c>
    </row>
    <row r="16011" spans="1:4" x14ac:dyDescent="0.3">
      <c r="A16011" s="34">
        <v>78516</v>
      </c>
      <c r="B16011" s="35">
        <v>1</v>
      </c>
      <c r="C16011" s="35">
        <v>0</v>
      </c>
      <c r="D16011" s="2">
        <f t="shared" si="250"/>
        <v>1</v>
      </c>
    </row>
    <row r="16012" spans="1:4" x14ac:dyDescent="0.3">
      <c r="A16012" s="34">
        <v>78517</v>
      </c>
      <c r="B16012" s="35">
        <v>1</v>
      </c>
      <c r="C16012" s="35">
        <v>0</v>
      </c>
      <c r="D16012" s="2">
        <f t="shared" si="250"/>
        <v>1</v>
      </c>
    </row>
    <row r="16013" spans="1:4" x14ac:dyDescent="0.3">
      <c r="A16013" s="34">
        <v>78518</v>
      </c>
      <c r="B16013" s="35">
        <v>1</v>
      </c>
      <c r="C16013" s="35">
        <v>0</v>
      </c>
      <c r="D16013" s="2">
        <f t="shared" si="250"/>
        <v>1</v>
      </c>
    </row>
    <row r="16014" spans="1:4" x14ac:dyDescent="0.3">
      <c r="A16014" s="34">
        <v>78520</v>
      </c>
      <c r="B16014" s="35">
        <v>1</v>
      </c>
      <c r="C16014" s="35">
        <v>0</v>
      </c>
      <c r="D16014" s="2">
        <f t="shared" si="250"/>
        <v>1</v>
      </c>
    </row>
    <row r="16015" spans="1:4" x14ac:dyDescent="0.3">
      <c r="A16015" s="34">
        <v>78521</v>
      </c>
      <c r="B16015" s="35">
        <v>1</v>
      </c>
      <c r="C16015" s="35">
        <v>0</v>
      </c>
      <c r="D16015" s="2">
        <f t="shared" si="250"/>
        <v>1</v>
      </c>
    </row>
    <row r="16016" spans="1:4" x14ac:dyDescent="0.3">
      <c r="A16016" s="34">
        <v>78522</v>
      </c>
      <c r="B16016" s="35">
        <v>1</v>
      </c>
      <c r="C16016" s="35">
        <v>0</v>
      </c>
      <c r="D16016" s="2">
        <f t="shared" si="250"/>
        <v>1</v>
      </c>
    </row>
    <row r="16017" spans="1:4" x14ac:dyDescent="0.3">
      <c r="A16017" s="34">
        <v>78525</v>
      </c>
      <c r="B16017" s="35">
        <v>1</v>
      </c>
      <c r="C16017" s="35">
        <v>0</v>
      </c>
      <c r="D16017" s="2">
        <f t="shared" si="250"/>
        <v>1</v>
      </c>
    </row>
    <row r="16018" spans="1:4" x14ac:dyDescent="0.3">
      <c r="A16018" s="34">
        <v>78526</v>
      </c>
      <c r="B16018" s="35">
        <v>1</v>
      </c>
      <c r="C16018" s="35">
        <v>0</v>
      </c>
      <c r="D16018" s="2">
        <f t="shared" si="250"/>
        <v>1</v>
      </c>
    </row>
    <row r="16019" spans="1:4" x14ac:dyDescent="0.3">
      <c r="A16019" s="34">
        <v>78527</v>
      </c>
      <c r="B16019" s="35">
        <v>1</v>
      </c>
      <c r="C16019" s="35">
        <v>0</v>
      </c>
      <c r="D16019" s="2">
        <f t="shared" si="250"/>
        <v>1</v>
      </c>
    </row>
    <row r="16020" spans="1:4" x14ac:dyDescent="0.3">
      <c r="A16020" s="34">
        <v>78528</v>
      </c>
      <c r="B16020" s="35">
        <v>1</v>
      </c>
      <c r="C16020" s="35">
        <v>1</v>
      </c>
      <c r="D16020" s="2">
        <f t="shared" si="250"/>
        <v>2</v>
      </c>
    </row>
    <row r="16021" spans="1:4" x14ac:dyDescent="0.3">
      <c r="A16021" s="34">
        <v>78529</v>
      </c>
      <c r="B16021" s="35">
        <v>1</v>
      </c>
      <c r="C16021" s="35">
        <v>0</v>
      </c>
      <c r="D16021" s="2">
        <f t="shared" si="250"/>
        <v>1</v>
      </c>
    </row>
    <row r="16022" spans="1:4" x14ac:dyDescent="0.3">
      <c r="A16022" s="34">
        <v>78530</v>
      </c>
      <c r="B16022" s="35">
        <v>1</v>
      </c>
      <c r="C16022" s="35">
        <v>0</v>
      </c>
      <c r="D16022" s="2">
        <f t="shared" si="250"/>
        <v>1</v>
      </c>
    </row>
    <row r="16023" spans="1:4" x14ac:dyDescent="0.3">
      <c r="A16023" s="34">
        <v>78531</v>
      </c>
      <c r="B16023" s="35">
        <v>1</v>
      </c>
      <c r="C16023" s="35">
        <v>0</v>
      </c>
      <c r="D16023" s="2">
        <f t="shared" si="250"/>
        <v>1</v>
      </c>
    </row>
    <row r="16024" spans="1:4" x14ac:dyDescent="0.3">
      <c r="A16024" s="34">
        <v>78532</v>
      </c>
      <c r="B16024" s="35">
        <v>1</v>
      </c>
      <c r="C16024" s="35">
        <v>0</v>
      </c>
      <c r="D16024" s="2">
        <f t="shared" si="250"/>
        <v>1</v>
      </c>
    </row>
    <row r="16025" spans="1:4" x14ac:dyDescent="0.3">
      <c r="A16025" s="34">
        <v>78533</v>
      </c>
      <c r="B16025" s="35">
        <v>1</v>
      </c>
      <c r="C16025" s="35">
        <v>0</v>
      </c>
      <c r="D16025" s="2">
        <f t="shared" si="250"/>
        <v>1</v>
      </c>
    </row>
    <row r="16026" spans="1:4" x14ac:dyDescent="0.3">
      <c r="A16026" s="34">
        <v>78534</v>
      </c>
      <c r="B16026" s="35">
        <v>1</v>
      </c>
      <c r="C16026" s="35">
        <v>0</v>
      </c>
      <c r="D16026" s="2">
        <f t="shared" si="250"/>
        <v>1</v>
      </c>
    </row>
    <row r="16027" spans="1:4" x14ac:dyDescent="0.3">
      <c r="A16027" s="34">
        <v>78535</v>
      </c>
      <c r="B16027" s="35">
        <v>1</v>
      </c>
      <c r="C16027" s="35">
        <v>0</v>
      </c>
      <c r="D16027" s="2">
        <f t="shared" si="250"/>
        <v>1</v>
      </c>
    </row>
    <row r="16028" spans="1:4" x14ac:dyDescent="0.3">
      <c r="A16028" s="34">
        <v>78536</v>
      </c>
      <c r="B16028" s="35">
        <v>1</v>
      </c>
      <c r="C16028" s="35">
        <v>0</v>
      </c>
      <c r="D16028" s="2">
        <f t="shared" si="250"/>
        <v>1</v>
      </c>
    </row>
    <row r="16029" spans="1:4" x14ac:dyDescent="0.3">
      <c r="A16029" s="34">
        <v>78537</v>
      </c>
      <c r="B16029" s="35">
        <v>1</v>
      </c>
      <c r="C16029" s="35">
        <v>0</v>
      </c>
      <c r="D16029" s="2">
        <f t="shared" si="250"/>
        <v>1</v>
      </c>
    </row>
    <row r="16030" spans="1:4" x14ac:dyDescent="0.3">
      <c r="A16030" s="34">
        <v>78538</v>
      </c>
      <c r="B16030" s="35">
        <v>1</v>
      </c>
      <c r="C16030" s="35">
        <v>0</v>
      </c>
      <c r="D16030" s="2">
        <f t="shared" si="250"/>
        <v>1</v>
      </c>
    </row>
    <row r="16031" spans="1:4" x14ac:dyDescent="0.3">
      <c r="A16031" s="34">
        <v>78539</v>
      </c>
      <c r="B16031" s="35">
        <v>1</v>
      </c>
      <c r="C16031" s="35">
        <v>0</v>
      </c>
      <c r="D16031" s="2">
        <f t="shared" si="250"/>
        <v>1</v>
      </c>
    </row>
    <row r="16032" spans="1:4" x14ac:dyDescent="0.3">
      <c r="A16032" s="34">
        <v>78540</v>
      </c>
      <c r="B16032" s="35">
        <v>1</v>
      </c>
      <c r="C16032" s="35">
        <v>0</v>
      </c>
      <c r="D16032" s="2">
        <f t="shared" si="250"/>
        <v>1</v>
      </c>
    </row>
    <row r="16033" spans="1:4" x14ac:dyDescent="0.3">
      <c r="A16033" s="34">
        <v>78541</v>
      </c>
      <c r="B16033" s="35">
        <v>1</v>
      </c>
      <c r="C16033" s="35">
        <v>0</v>
      </c>
      <c r="D16033" s="2">
        <f t="shared" si="250"/>
        <v>1</v>
      </c>
    </row>
    <row r="16034" spans="1:4" x14ac:dyDescent="0.3">
      <c r="A16034" s="34">
        <v>78542</v>
      </c>
      <c r="B16034" s="35">
        <v>1</v>
      </c>
      <c r="C16034" s="35">
        <v>0</v>
      </c>
      <c r="D16034" s="2">
        <f t="shared" si="250"/>
        <v>1</v>
      </c>
    </row>
    <row r="16035" spans="1:4" x14ac:dyDescent="0.3">
      <c r="A16035" s="34">
        <v>78543</v>
      </c>
      <c r="B16035" s="35">
        <v>1</v>
      </c>
      <c r="C16035" s="35">
        <v>0</v>
      </c>
      <c r="D16035" s="2">
        <f t="shared" si="250"/>
        <v>1</v>
      </c>
    </row>
    <row r="16036" spans="1:4" x14ac:dyDescent="0.3">
      <c r="A16036" s="34">
        <v>78544</v>
      </c>
      <c r="B16036" s="35">
        <v>1</v>
      </c>
      <c r="C16036" s="35">
        <v>0</v>
      </c>
      <c r="D16036" s="2">
        <f t="shared" si="250"/>
        <v>1</v>
      </c>
    </row>
    <row r="16037" spans="1:4" x14ac:dyDescent="0.3">
      <c r="A16037" s="34">
        <v>78546</v>
      </c>
      <c r="B16037" s="35">
        <v>1</v>
      </c>
      <c r="C16037" s="35">
        <v>0</v>
      </c>
      <c r="D16037" s="2">
        <f t="shared" si="250"/>
        <v>1</v>
      </c>
    </row>
    <row r="16038" spans="1:4" x14ac:dyDescent="0.3">
      <c r="A16038" s="34">
        <v>78547</v>
      </c>
      <c r="B16038" s="35">
        <v>1</v>
      </c>
      <c r="C16038" s="35">
        <v>0</v>
      </c>
      <c r="D16038" s="2">
        <f t="shared" si="250"/>
        <v>1</v>
      </c>
    </row>
    <row r="16039" spans="1:4" x14ac:dyDescent="0.3">
      <c r="A16039" s="34">
        <v>78549</v>
      </c>
      <c r="B16039" s="35">
        <v>1</v>
      </c>
      <c r="C16039" s="35">
        <v>0</v>
      </c>
      <c r="D16039" s="2">
        <f t="shared" si="250"/>
        <v>1</v>
      </c>
    </row>
    <row r="16040" spans="1:4" x14ac:dyDescent="0.3">
      <c r="A16040" s="34">
        <v>78551</v>
      </c>
      <c r="B16040" s="35">
        <v>1</v>
      </c>
      <c r="C16040" s="35">
        <v>0</v>
      </c>
      <c r="D16040" s="2">
        <f t="shared" si="250"/>
        <v>1</v>
      </c>
    </row>
    <row r="16041" spans="1:4" x14ac:dyDescent="0.3">
      <c r="A16041" s="34">
        <v>78552</v>
      </c>
      <c r="B16041" s="35">
        <v>1</v>
      </c>
      <c r="C16041" s="35">
        <v>0</v>
      </c>
      <c r="D16041" s="2">
        <f t="shared" si="250"/>
        <v>1</v>
      </c>
    </row>
    <row r="16042" spans="1:4" x14ac:dyDescent="0.3">
      <c r="A16042" s="34">
        <v>78553</v>
      </c>
      <c r="B16042" s="35">
        <v>1</v>
      </c>
      <c r="C16042" s="35">
        <v>0</v>
      </c>
      <c r="D16042" s="2">
        <f t="shared" si="250"/>
        <v>1</v>
      </c>
    </row>
    <row r="16043" spans="1:4" x14ac:dyDescent="0.3">
      <c r="A16043" s="34">
        <v>78554</v>
      </c>
      <c r="B16043" s="35">
        <v>1</v>
      </c>
      <c r="C16043" s="35">
        <v>0</v>
      </c>
      <c r="D16043" s="2">
        <f t="shared" si="250"/>
        <v>1</v>
      </c>
    </row>
    <row r="16044" spans="1:4" x14ac:dyDescent="0.3">
      <c r="A16044" s="34">
        <v>78555</v>
      </c>
      <c r="B16044" s="35">
        <v>1</v>
      </c>
      <c r="C16044" s="35">
        <v>0</v>
      </c>
      <c r="D16044" s="2">
        <f t="shared" si="250"/>
        <v>1</v>
      </c>
    </row>
    <row r="16045" spans="1:4" x14ac:dyDescent="0.3">
      <c r="A16045" s="34">
        <v>78556</v>
      </c>
      <c r="B16045" s="35">
        <v>1</v>
      </c>
      <c r="C16045" s="35">
        <v>0</v>
      </c>
      <c r="D16045" s="2">
        <f t="shared" si="250"/>
        <v>1</v>
      </c>
    </row>
    <row r="16046" spans="1:4" x14ac:dyDescent="0.3">
      <c r="A16046" s="34">
        <v>78557</v>
      </c>
      <c r="B16046" s="35">
        <v>1</v>
      </c>
      <c r="C16046" s="35">
        <v>1</v>
      </c>
      <c r="D16046" s="2">
        <f t="shared" si="250"/>
        <v>2</v>
      </c>
    </row>
    <row r="16047" spans="1:4" x14ac:dyDescent="0.3">
      <c r="A16047" s="34">
        <v>78558</v>
      </c>
      <c r="B16047" s="35">
        <v>1</v>
      </c>
      <c r="C16047" s="35">
        <v>0</v>
      </c>
      <c r="D16047" s="2">
        <f t="shared" si="250"/>
        <v>1</v>
      </c>
    </row>
    <row r="16048" spans="1:4" x14ac:dyDescent="0.3">
      <c r="A16048" s="34">
        <v>78559</v>
      </c>
      <c r="B16048" s="35">
        <v>1</v>
      </c>
      <c r="C16048" s="35">
        <v>0</v>
      </c>
      <c r="D16048" s="2">
        <f t="shared" si="250"/>
        <v>1</v>
      </c>
    </row>
    <row r="16049" spans="1:4" x14ac:dyDescent="0.3">
      <c r="A16049" s="34">
        <v>78560</v>
      </c>
      <c r="B16049" s="35">
        <v>1</v>
      </c>
      <c r="C16049" s="35">
        <v>0</v>
      </c>
      <c r="D16049" s="2">
        <f t="shared" si="250"/>
        <v>1</v>
      </c>
    </row>
    <row r="16050" spans="1:4" x14ac:dyDescent="0.3">
      <c r="A16050" s="34">
        <v>78561</v>
      </c>
      <c r="B16050" s="35">
        <v>1</v>
      </c>
      <c r="C16050" s="35">
        <v>0</v>
      </c>
      <c r="D16050" s="2">
        <f t="shared" si="250"/>
        <v>1</v>
      </c>
    </row>
    <row r="16051" spans="1:4" x14ac:dyDescent="0.3">
      <c r="A16051" s="34">
        <v>78562</v>
      </c>
      <c r="B16051" s="35">
        <v>1</v>
      </c>
      <c r="C16051" s="35">
        <v>0</v>
      </c>
      <c r="D16051" s="2">
        <f t="shared" si="250"/>
        <v>1</v>
      </c>
    </row>
    <row r="16052" spans="1:4" x14ac:dyDescent="0.3">
      <c r="A16052" s="34">
        <v>78563</v>
      </c>
      <c r="B16052" s="35">
        <v>1</v>
      </c>
      <c r="C16052" s="35">
        <v>0</v>
      </c>
      <c r="D16052" s="2">
        <f t="shared" si="250"/>
        <v>1</v>
      </c>
    </row>
    <row r="16053" spans="1:4" x14ac:dyDescent="0.3">
      <c r="A16053" s="34">
        <v>78564</v>
      </c>
      <c r="B16053" s="35">
        <v>1</v>
      </c>
      <c r="C16053" s="35">
        <v>0</v>
      </c>
      <c r="D16053" s="2">
        <f t="shared" si="250"/>
        <v>1</v>
      </c>
    </row>
    <row r="16054" spans="1:4" x14ac:dyDescent="0.3">
      <c r="A16054" s="34">
        <v>78565</v>
      </c>
      <c r="B16054" s="35">
        <v>1</v>
      </c>
      <c r="C16054" s="35">
        <v>0</v>
      </c>
      <c r="D16054" s="2">
        <f t="shared" si="250"/>
        <v>1</v>
      </c>
    </row>
    <row r="16055" spans="1:4" x14ac:dyDescent="0.3">
      <c r="A16055" s="34">
        <v>78566</v>
      </c>
      <c r="B16055" s="35">
        <v>1</v>
      </c>
      <c r="C16055" s="35">
        <v>0</v>
      </c>
      <c r="D16055" s="2">
        <f t="shared" si="250"/>
        <v>1</v>
      </c>
    </row>
    <row r="16056" spans="1:4" x14ac:dyDescent="0.3">
      <c r="A16056" s="34">
        <v>78567</v>
      </c>
      <c r="B16056" s="35">
        <v>1</v>
      </c>
      <c r="C16056" s="35">
        <v>0</v>
      </c>
      <c r="D16056" s="2">
        <f t="shared" si="250"/>
        <v>1</v>
      </c>
    </row>
    <row r="16057" spans="1:4" x14ac:dyDescent="0.3">
      <c r="A16057" s="34">
        <v>78568</v>
      </c>
      <c r="B16057" s="35">
        <v>1</v>
      </c>
      <c r="C16057" s="35">
        <v>0</v>
      </c>
      <c r="D16057" s="2">
        <f t="shared" si="250"/>
        <v>1</v>
      </c>
    </row>
    <row r="16058" spans="1:4" x14ac:dyDescent="0.3">
      <c r="A16058" s="34">
        <v>78569</v>
      </c>
      <c r="B16058" s="35">
        <v>1</v>
      </c>
      <c r="C16058" s="35">
        <v>0</v>
      </c>
      <c r="D16058" s="2">
        <f t="shared" si="250"/>
        <v>1</v>
      </c>
    </row>
    <row r="16059" spans="1:4" x14ac:dyDescent="0.3">
      <c r="A16059" s="34">
        <v>78570</v>
      </c>
      <c r="B16059" s="35">
        <v>1</v>
      </c>
      <c r="C16059" s="35">
        <v>0</v>
      </c>
      <c r="D16059" s="2">
        <f t="shared" si="250"/>
        <v>1</v>
      </c>
    </row>
    <row r="16060" spans="1:4" x14ac:dyDescent="0.3">
      <c r="A16060" s="34">
        <v>78571</v>
      </c>
      <c r="B16060" s="35">
        <v>1</v>
      </c>
      <c r="C16060" s="35">
        <v>0</v>
      </c>
      <c r="D16060" s="2">
        <f t="shared" si="250"/>
        <v>1</v>
      </c>
    </row>
    <row r="16061" spans="1:4" x14ac:dyDescent="0.3">
      <c r="A16061" s="34">
        <v>78572</v>
      </c>
      <c r="B16061" s="35">
        <v>1</v>
      </c>
      <c r="C16061" s="35">
        <v>0</v>
      </c>
      <c r="D16061" s="2">
        <f t="shared" si="250"/>
        <v>1</v>
      </c>
    </row>
    <row r="16062" spans="1:4" x14ac:dyDescent="0.3">
      <c r="A16062" s="34">
        <v>78573</v>
      </c>
      <c r="B16062" s="35">
        <v>1</v>
      </c>
      <c r="C16062" s="35">
        <v>0</v>
      </c>
      <c r="D16062" s="2">
        <f t="shared" si="250"/>
        <v>1</v>
      </c>
    </row>
    <row r="16063" spans="1:4" x14ac:dyDescent="0.3">
      <c r="A16063" s="34">
        <v>78575</v>
      </c>
      <c r="B16063" s="35">
        <v>1</v>
      </c>
      <c r="C16063" s="35">
        <v>0</v>
      </c>
      <c r="D16063" s="2">
        <f t="shared" si="250"/>
        <v>1</v>
      </c>
    </row>
    <row r="16064" spans="1:4" x14ac:dyDescent="0.3">
      <c r="A16064" s="34">
        <v>78576</v>
      </c>
      <c r="B16064" s="35">
        <v>1</v>
      </c>
      <c r="C16064" s="35">
        <v>0</v>
      </c>
      <c r="D16064" s="2">
        <f t="shared" si="250"/>
        <v>1</v>
      </c>
    </row>
    <row r="16065" spans="1:4" x14ac:dyDescent="0.3">
      <c r="A16065" s="34">
        <v>78577</v>
      </c>
      <c r="B16065" s="35">
        <v>1</v>
      </c>
      <c r="C16065" s="35">
        <v>0</v>
      </c>
      <c r="D16065" s="2">
        <f t="shared" si="250"/>
        <v>1</v>
      </c>
    </row>
    <row r="16066" spans="1:4" x14ac:dyDescent="0.3">
      <c r="A16066" s="34">
        <v>78578</v>
      </c>
      <c r="B16066" s="35">
        <v>1</v>
      </c>
      <c r="C16066" s="35">
        <v>0</v>
      </c>
      <c r="D16066" s="2">
        <f t="shared" si="250"/>
        <v>1</v>
      </c>
    </row>
    <row r="16067" spans="1:4" x14ac:dyDescent="0.3">
      <c r="A16067" s="34">
        <v>78579</v>
      </c>
      <c r="B16067" s="35">
        <v>1</v>
      </c>
      <c r="C16067" s="35">
        <v>0</v>
      </c>
      <c r="D16067" s="2">
        <f t="shared" ref="D16067:D16130" si="251">B16067+C16067</f>
        <v>1</v>
      </c>
    </row>
    <row r="16068" spans="1:4" x14ac:dyDescent="0.3">
      <c r="A16068" s="34">
        <v>78580</v>
      </c>
      <c r="B16068" s="35">
        <v>1</v>
      </c>
      <c r="C16068" s="35">
        <v>0</v>
      </c>
      <c r="D16068" s="2">
        <f t="shared" si="251"/>
        <v>1</v>
      </c>
    </row>
    <row r="16069" spans="1:4" x14ac:dyDescent="0.3">
      <c r="A16069" s="34">
        <v>78581</v>
      </c>
      <c r="B16069" s="35">
        <v>1</v>
      </c>
      <c r="C16069" s="35">
        <v>0</v>
      </c>
      <c r="D16069" s="2">
        <f t="shared" si="251"/>
        <v>1</v>
      </c>
    </row>
    <row r="16070" spans="1:4" x14ac:dyDescent="0.3">
      <c r="A16070" s="34">
        <v>78582</v>
      </c>
      <c r="B16070" s="35">
        <v>1</v>
      </c>
      <c r="C16070" s="35">
        <v>0</v>
      </c>
      <c r="D16070" s="2">
        <f t="shared" si="251"/>
        <v>1</v>
      </c>
    </row>
    <row r="16071" spans="1:4" x14ac:dyDescent="0.3">
      <c r="A16071" s="34">
        <v>78583</v>
      </c>
      <c r="B16071" s="35">
        <v>1</v>
      </c>
      <c r="C16071" s="35">
        <v>0</v>
      </c>
      <c r="D16071" s="2">
        <f t="shared" si="251"/>
        <v>1</v>
      </c>
    </row>
    <row r="16072" spans="1:4" x14ac:dyDescent="0.3">
      <c r="A16072" s="34">
        <v>78598</v>
      </c>
      <c r="B16072" s="35">
        <v>1</v>
      </c>
      <c r="C16072" s="35">
        <v>0</v>
      </c>
      <c r="D16072" s="2">
        <f t="shared" si="251"/>
        <v>1</v>
      </c>
    </row>
    <row r="16073" spans="1:4" x14ac:dyDescent="0.3">
      <c r="A16073" s="34">
        <v>78599</v>
      </c>
      <c r="B16073" s="35">
        <v>1</v>
      </c>
      <c r="C16073" s="35">
        <v>0</v>
      </c>
      <c r="D16073" s="2">
        <f t="shared" si="251"/>
        <v>1</v>
      </c>
    </row>
    <row r="16074" spans="1:4" x14ac:dyDescent="0.3">
      <c r="A16074" s="34">
        <v>78600</v>
      </c>
      <c r="B16074" s="35">
        <v>1</v>
      </c>
      <c r="C16074" s="35">
        <v>0</v>
      </c>
      <c r="D16074" s="2">
        <f t="shared" si="251"/>
        <v>1</v>
      </c>
    </row>
    <row r="16075" spans="1:4" x14ac:dyDescent="0.3">
      <c r="A16075" s="34">
        <v>78601</v>
      </c>
      <c r="B16075" s="35">
        <v>1</v>
      </c>
      <c r="C16075" s="35">
        <v>0</v>
      </c>
      <c r="D16075" s="2">
        <f t="shared" si="251"/>
        <v>1</v>
      </c>
    </row>
    <row r="16076" spans="1:4" x14ac:dyDescent="0.3">
      <c r="A16076" s="34">
        <v>78602</v>
      </c>
      <c r="B16076" s="35">
        <v>1</v>
      </c>
      <c r="C16076" s="35">
        <v>0</v>
      </c>
      <c r="D16076" s="2">
        <f t="shared" si="251"/>
        <v>1</v>
      </c>
    </row>
    <row r="16077" spans="1:4" x14ac:dyDescent="0.3">
      <c r="A16077" s="34">
        <v>78603</v>
      </c>
      <c r="B16077" s="35">
        <v>1</v>
      </c>
      <c r="C16077" s="35">
        <v>0</v>
      </c>
      <c r="D16077" s="2">
        <f t="shared" si="251"/>
        <v>1</v>
      </c>
    </row>
    <row r="16078" spans="1:4" x14ac:dyDescent="0.3">
      <c r="A16078" s="34">
        <v>78605</v>
      </c>
      <c r="B16078" s="35">
        <v>1</v>
      </c>
      <c r="C16078" s="35">
        <v>1</v>
      </c>
      <c r="D16078" s="2">
        <f t="shared" si="251"/>
        <v>2</v>
      </c>
    </row>
    <row r="16079" spans="1:4" x14ac:dyDescent="0.3">
      <c r="A16079" s="34">
        <v>78606</v>
      </c>
      <c r="B16079" s="35">
        <v>1</v>
      </c>
      <c r="C16079" s="35">
        <v>0</v>
      </c>
      <c r="D16079" s="2">
        <f t="shared" si="251"/>
        <v>1</v>
      </c>
    </row>
    <row r="16080" spans="1:4" x14ac:dyDescent="0.3">
      <c r="A16080" s="34">
        <v>78607</v>
      </c>
      <c r="B16080" s="35">
        <v>1</v>
      </c>
      <c r="C16080" s="35">
        <v>0</v>
      </c>
      <c r="D16080" s="2">
        <f t="shared" si="251"/>
        <v>1</v>
      </c>
    </row>
    <row r="16081" spans="1:4" x14ac:dyDescent="0.3">
      <c r="A16081" s="34">
        <v>78608</v>
      </c>
      <c r="B16081" s="35">
        <v>1</v>
      </c>
      <c r="C16081" s="35">
        <v>0</v>
      </c>
      <c r="D16081" s="2">
        <f t="shared" si="251"/>
        <v>1</v>
      </c>
    </row>
    <row r="16082" spans="1:4" x14ac:dyDescent="0.3">
      <c r="A16082" s="34">
        <v>78609</v>
      </c>
      <c r="B16082" s="35">
        <v>1</v>
      </c>
      <c r="C16082" s="35">
        <v>0</v>
      </c>
      <c r="D16082" s="2">
        <f t="shared" si="251"/>
        <v>1</v>
      </c>
    </row>
    <row r="16083" spans="1:4" x14ac:dyDescent="0.3">
      <c r="A16083" s="34">
        <v>78610</v>
      </c>
      <c r="B16083" s="35">
        <v>1</v>
      </c>
      <c r="C16083" s="35">
        <v>0</v>
      </c>
      <c r="D16083" s="2">
        <f t="shared" si="251"/>
        <v>1</v>
      </c>
    </row>
    <row r="16084" spans="1:4" x14ac:dyDescent="0.3">
      <c r="A16084" s="34">
        <v>78611</v>
      </c>
      <c r="B16084" s="35">
        <v>1</v>
      </c>
      <c r="C16084" s="35">
        <v>0</v>
      </c>
      <c r="D16084" s="2">
        <f t="shared" si="251"/>
        <v>1</v>
      </c>
    </row>
    <row r="16085" spans="1:4" x14ac:dyDescent="0.3">
      <c r="A16085" s="34">
        <v>78612</v>
      </c>
      <c r="B16085" s="35">
        <v>1</v>
      </c>
      <c r="C16085" s="35">
        <v>0</v>
      </c>
      <c r="D16085" s="2">
        <f t="shared" si="251"/>
        <v>1</v>
      </c>
    </row>
    <row r="16086" spans="1:4" x14ac:dyDescent="0.3">
      <c r="A16086" s="34">
        <v>78613</v>
      </c>
      <c r="B16086" s="35">
        <v>1</v>
      </c>
      <c r="C16086" s="35">
        <v>0</v>
      </c>
      <c r="D16086" s="2">
        <f t="shared" si="251"/>
        <v>1</v>
      </c>
    </row>
    <row r="16087" spans="1:4" x14ac:dyDescent="0.3">
      <c r="A16087" s="34">
        <v>78614</v>
      </c>
      <c r="B16087" s="35">
        <v>1</v>
      </c>
      <c r="C16087" s="35">
        <v>0</v>
      </c>
      <c r="D16087" s="2">
        <f t="shared" si="251"/>
        <v>1</v>
      </c>
    </row>
    <row r="16088" spans="1:4" x14ac:dyDescent="0.3">
      <c r="A16088" s="34">
        <v>78615</v>
      </c>
      <c r="B16088" s="35">
        <v>1</v>
      </c>
      <c r="C16088" s="35">
        <v>0</v>
      </c>
      <c r="D16088" s="2">
        <f t="shared" si="251"/>
        <v>1</v>
      </c>
    </row>
    <row r="16089" spans="1:4" x14ac:dyDescent="0.3">
      <c r="A16089" s="34">
        <v>78616</v>
      </c>
      <c r="B16089" s="35">
        <v>1</v>
      </c>
      <c r="C16089" s="35">
        <v>0</v>
      </c>
      <c r="D16089" s="2">
        <f t="shared" si="251"/>
        <v>1</v>
      </c>
    </row>
    <row r="16090" spans="1:4" x14ac:dyDescent="0.3">
      <c r="A16090" s="34">
        <v>78617</v>
      </c>
      <c r="B16090" s="35">
        <v>1</v>
      </c>
      <c r="C16090" s="35">
        <v>0</v>
      </c>
      <c r="D16090" s="2">
        <f t="shared" si="251"/>
        <v>1</v>
      </c>
    </row>
    <row r="16091" spans="1:4" x14ac:dyDescent="0.3">
      <c r="A16091" s="34">
        <v>78618</v>
      </c>
      <c r="B16091" s="35">
        <v>1</v>
      </c>
      <c r="C16091" s="35">
        <v>0</v>
      </c>
      <c r="D16091" s="2">
        <f t="shared" si="251"/>
        <v>1</v>
      </c>
    </row>
    <row r="16092" spans="1:4" x14ac:dyDescent="0.3">
      <c r="A16092" s="34">
        <v>78619</v>
      </c>
      <c r="B16092" s="35">
        <v>1</v>
      </c>
      <c r="C16092" s="35">
        <v>0</v>
      </c>
      <c r="D16092" s="2">
        <f t="shared" si="251"/>
        <v>1</v>
      </c>
    </row>
    <row r="16093" spans="1:4" x14ac:dyDescent="0.3">
      <c r="A16093" s="34">
        <v>78620</v>
      </c>
      <c r="B16093" s="35">
        <v>1</v>
      </c>
      <c r="C16093" s="35">
        <v>0</v>
      </c>
      <c r="D16093" s="2">
        <f t="shared" si="251"/>
        <v>1</v>
      </c>
    </row>
    <row r="16094" spans="1:4" x14ac:dyDescent="0.3">
      <c r="A16094" s="34">
        <v>78621</v>
      </c>
      <c r="B16094" s="35">
        <v>1</v>
      </c>
      <c r="C16094" s="35">
        <v>0</v>
      </c>
      <c r="D16094" s="2">
        <f t="shared" si="251"/>
        <v>1</v>
      </c>
    </row>
    <row r="16095" spans="1:4" x14ac:dyDescent="0.3">
      <c r="A16095" s="34">
        <v>78622</v>
      </c>
      <c r="B16095" s="35">
        <v>1</v>
      </c>
      <c r="C16095" s="35">
        <v>0</v>
      </c>
      <c r="D16095" s="2">
        <f t="shared" si="251"/>
        <v>1</v>
      </c>
    </row>
    <row r="16096" spans="1:4" x14ac:dyDescent="0.3">
      <c r="A16096" s="34">
        <v>78623</v>
      </c>
      <c r="B16096" s="35">
        <v>1</v>
      </c>
      <c r="C16096" s="35">
        <v>0</v>
      </c>
      <c r="D16096" s="2">
        <f t="shared" si="251"/>
        <v>1</v>
      </c>
    </row>
    <row r="16097" spans="1:4" x14ac:dyDescent="0.3">
      <c r="A16097" s="34">
        <v>78625</v>
      </c>
      <c r="B16097" s="35">
        <v>1</v>
      </c>
      <c r="C16097" s="35">
        <v>0</v>
      </c>
      <c r="D16097" s="2">
        <f t="shared" si="251"/>
        <v>1</v>
      </c>
    </row>
    <row r="16098" spans="1:4" x14ac:dyDescent="0.3">
      <c r="A16098" s="34">
        <v>78626</v>
      </c>
      <c r="B16098" s="35">
        <v>2</v>
      </c>
      <c r="C16098" s="35">
        <v>1</v>
      </c>
      <c r="D16098" s="2">
        <f t="shared" si="251"/>
        <v>3</v>
      </c>
    </row>
    <row r="16099" spans="1:4" x14ac:dyDescent="0.3">
      <c r="A16099" s="34">
        <v>78627</v>
      </c>
      <c r="B16099" s="35">
        <v>1</v>
      </c>
      <c r="C16099" s="35">
        <v>0</v>
      </c>
      <c r="D16099" s="2">
        <f t="shared" si="251"/>
        <v>1</v>
      </c>
    </row>
    <row r="16100" spans="1:4" x14ac:dyDescent="0.3">
      <c r="A16100" s="34">
        <v>78628</v>
      </c>
      <c r="B16100" s="35">
        <v>1</v>
      </c>
      <c r="C16100" s="35">
        <v>0</v>
      </c>
      <c r="D16100" s="2">
        <f t="shared" si="251"/>
        <v>1</v>
      </c>
    </row>
    <row r="16101" spans="1:4" x14ac:dyDescent="0.3">
      <c r="A16101" s="34">
        <v>78629</v>
      </c>
      <c r="B16101" s="35">
        <v>1</v>
      </c>
      <c r="C16101" s="35">
        <v>0</v>
      </c>
      <c r="D16101" s="2">
        <f t="shared" si="251"/>
        <v>1</v>
      </c>
    </row>
    <row r="16102" spans="1:4" x14ac:dyDescent="0.3">
      <c r="A16102" s="34">
        <v>78630</v>
      </c>
      <c r="B16102" s="35">
        <v>1</v>
      </c>
      <c r="C16102" s="35">
        <v>0</v>
      </c>
      <c r="D16102" s="2">
        <f t="shared" si="251"/>
        <v>1</v>
      </c>
    </row>
    <row r="16103" spans="1:4" x14ac:dyDescent="0.3">
      <c r="A16103" s="34">
        <v>78631</v>
      </c>
      <c r="B16103" s="35">
        <v>1</v>
      </c>
      <c r="C16103" s="35">
        <v>0</v>
      </c>
      <c r="D16103" s="2">
        <f t="shared" si="251"/>
        <v>1</v>
      </c>
    </row>
    <row r="16104" spans="1:4" x14ac:dyDescent="0.3">
      <c r="A16104" s="34">
        <v>78733</v>
      </c>
      <c r="B16104" s="35">
        <v>1</v>
      </c>
      <c r="C16104" s="35">
        <v>0</v>
      </c>
      <c r="D16104" s="2">
        <f t="shared" si="251"/>
        <v>1</v>
      </c>
    </row>
    <row r="16105" spans="1:4" x14ac:dyDescent="0.3">
      <c r="A16105" s="34">
        <v>78777</v>
      </c>
      <c r="B16105" s="35">
        <v>2</v>
      </c>
      <c r="C16105" s="35">
        <v>1</v>
      </c>
      <c r="D16105" s="2">
        <f t="shared" si="251"/>
        <v>3</v>
      </c>
    </row>
    <row r="16106" spans="1:4" x14ac:dyDescent="0.3">
      <c r="A16106" s="34">
        <v>78778</v>
      </c>
      <c r="B16106" s="35">
        <v>1</v>
      </c>
      <c r="C16106" s="35">
        <v>0</v>
      </c>
      <c r="D16106" s="2">
        <f t="shared" si="251"/>
        <v>1</v>
      </c>
    </row>
    <row r="16107" spans="1:4" x14ac:dyDescent="0.3">
      <c r="A16107" s="34">
        <v>78779</v>
      </c>
      <c r="B16107" s="35">
        <v>1</v>
      </c>
      <c r="C16107" s="35">
        <v>0</v>
      </c>
      <c r="D16107" s="2">
        <f t="shared" si="251"/>
        <v>1</v>
      </c>
    </row>
    <row r="16108" spans="1:4" x14ac:dyDescent="0.3">
      <c r="A16108" s="34">
        <v>78780</v>
      </c>
      <c r="B16108" s="35">
        <v>1</v>
      </c>
      <c r="C16108" s="35">
        <v>0</v>
      </c>
      <c r="D16108" s="2">
        <f t="shared" si="251"/>
        <v>1</v>
      </c>
    </row>
    <row r="16109" spans="1:4" x14ac:dyDescent="0.3">
      <c r="A16109" s="34">
        <v>78781</v>
      </c>
      <c r="B16109" s="35">
        <v>1</v>
      </c>
      <c r="C16109" s="35">
        <v>0</v>
      </c>
      <c r="D16109" s="2">
        <f t="shared" si="251"/>
        <v>1</v>
      </c>
    </row>
    <row r="16110" spans="1:4" x14ac:dyDescent="0.3">
      <c r="A16110" s="34">
        <v>78782</v>
      </c>
      <c r="B16110" s="35">
        <v>1</v>
      </c>
      <c r="C16110" s="35">
        <v>0</v>
      </c>
      <c r="D16110" s="2">
        <f t="shared" si="251"/>
        <v>1</v>
      </c>
    </row>
    <row r="16111" spans="1:4" x14ac:dyDescent="0.3">
      <c r="A16111" s="34">
        <v>78783</v>
      </c>
      <c r="B16111" s="35">
        <v>1</v>
      </c>
      <c r="C16111" s="35">
        <v>1</v>
      </c>
      <c r="D16111" s="2">
        <f t="shared" si="251"/>
        <v>2</v>
      </c>
    </row>
    <row r="16112" spans="1:4" x14ac:dyDescent="0.3">
      <c r="A16112" s="34">
        <v>78784</v>
      </c>
      <c r="B16112" s="35">
        <v>1</v>
      </c>
      <c r="C16112" s="35">
        <v>1</v>
      </c>
      <c r="D16112" s="2">
        <f t="shared" si="251"/>
        <v>2</v>
      </c>
    </row>
    <row r="16113" spans="1:4" x14ac:dyDescent="0.3">
      <c r="A16113" s="34">
        <v>78785</v>
      </c>
      <c r="B16113" s="35">
        <v>1</v>
      </c>
      <c r="C16113" s="35">
        <v>0</v>
      </c>
      <c r="D16113" s="2">
        <f t="shared" si="251"/>
        <v>1</v>
      </c>
    </row>
    <row r="16114" spans="1:4" x14ac:dyDescent="0.3">
      <c r="A16114" s="34">
        <v>78787</v>
      </c>
      <c r="B16114" s="35">
        <v>1</v>
      </c>
      <c r="C16114" s="35">
        <v>0</v>
      </c>
      <c r="D16114" s="2">
        <f t="shared" si="251"/>
        <v>1</v>
      </c>
    </row>
    <row r="16115" spans="1:4" x14ac:dyDescent="0.3">
      <c r="A16115" s="34">
        <v>78788</v>
      </c>
      <c r="B16115" s="35">
        <v>2</v>
      </c>
      <c r="C16115" s="35">
        <v>1</v>
      </c>
      <c r="D16115" s="2">
        <f t="shared" si="251"/>
        <v>3</v>
      </c>
    </row>
    <row r="16116" spans="1:4" x14ac:dyDescent="0.3">
      <c r="A16116" s="34">
        <v>78789</v>
      </c>
      <c r="B16116" s="35">
        <v>1</v>
      </c>
      <c r="C16116" s="35">
        <v>0</v>
      </c>
      <c r="D16116" s="2">
        <f t="shared" si="251"/>
        <v>1</v>
      </c>
    </row>
    <row r="16117" spans="1:4" x14ac:dyDescent="0.3">
      <c r="A16117" s="34">
        <v>78790</v>
      </c>
      <c r="B16117" s="35">
        <v>1</v>
      </c>
      <c r="C16117" s="35">
        <v>0</v>
      </c>
      <c r="D16117" s="2">
        <f t="shared" si="251"/>
        <v>1</v>
      </c>
    </row>
    <row r="16118" spans="1:4" x14ac:dyDescent="0.3">
      <c r="A16118" s="34">
        <v>78791</v>
      </c>
      <c r="B16118" s="35">
        <v>1</v>
      </c>
      <c r="C16118" s="35">
        <v>0</v>
      </c>
      <c r="D16118" s="2">
        <f t="shared" si="251"/>
        <v>1</v>
      </c>
    </row>
    <row r="16119" spans="1:4" x14ac:dyDescent="0.3">
      <c r="A16119" s="34">
        <v>78792</v>
      </c>
      <c r="B16119" s="35">
        <v>1</v>
      </c>
      <c r="C16119" s="35">
        <v>0</v>
      </c>
      <c r="D16119" s="2">
        <f t="shared" si="251"/>
        <v>1</v>
      </c>
    </row>
    <row r="16120" spans="1:4" x14ac:dyDescent="0.3">
      <c r="A16120" s="34">
        <v>78793</v>
      </c>
      <c r="B16120" s="35">
        <v>2</v>
      </c>
      <c r="C16120" s="35">
        <v>1</v>
      </c>
      <c r="D16120" s="2">
        <f t="shared" si="251"/>
        <v>3</v>
      </c>
    </row>
    <row r="16121" spans="1:4" x14ac:dyDescent="0.3">
      <c r="A16121" s="34">
        <v>78794</v>
      </c>
      <c r="B16121" s="35">
        <v>1</v>
      </c>
      <c r="C16121" s="35">
        <v>0</v>
      </c>
      <c r="D16121" s="2">
        <f t="shared" si="251"/>
        <v>1</v>
      </c>
    </row>
    <row r="16122" spans="1:4" x14ac:dyDescent="0.3">
      <c r="A16122" s="34">
        <v>78795</v>
      </c>
      <c r="B16122" s="35">
        <v>1</v>
      </c>
      <c r="C16122" s="35">
        <v>0</v>
      </c>
      <c r="D16122" s="2">
        <f t="shared" si="251"/>
        <v>1</v>
      </c>
    </row>
    <row r="16123" spans="1:4" x14ac:dyDescent="0.3">
      <c r="A16123" s="34">
        <v>78796</v>
      </c>
      <c r="B16123" s="35">
        <v>1</v>
      </c>
      <c r="C16123" s="35">
        <v>0</v>
      </c>
      <c r="D16123" s="2">
        <f t="shared" si="251"/>
        <v>1</v>
      </c>
    </row>
    <row r="16124" spans="1:4" x14ac:dyDescent="0.3">
      <c r="A16124" s="34">
        <v>78797</v>
      </c>
      <c r="B16124" s="35">
        <v>1</v>
      </c>
      <c r="C16124" s="35">
        <v>0</v>
      </c>
      <c r="D16124" s="2">
        <f t="shared" si="251"/>
        <v>1</v>
      </c>
    </row>
    <row r="16125" spans="1:4" x14ac:dyDescent="0.3">
      <c r="A16125" s="34">
        <v>78798</v>
      </c>
      <c r="B16125" s="35">
        <v>1</v>
      </c>
      <c r="C16125" s="35">
        <v>0</v>
      </c>
      <c r="D16125" s="2">
        <f t="shared" si="251"/>
        <v>1</v>
      </c>
    </row>
    <row r="16126" spans="1:4" x14ac:dyDescent="0.3">
      <c r="A16126" s="34">
        <v>78799</v>
      </c>
      <c r="B16126" s="35">
        <v>1</v>
      </c>
      <c r="C16126" s="35">
        <v>0</v>
      </c>
      <c r="D16126" s="2">
        <f t="shared" si="251"/>
        <v>1</v>
      </c>
    </row>
    <row r="16127" spans="1:4" x14ac:dyDescent="0.3">
      <c r="A16127" s="34">
        <v>78800</v>
      </c>
      <c r="B16127" s="35">
        <v>1</v>
      </c>
      <c r="C16127" s="35">
        <v>1</v>
      </c>
      <c r="D16127" s="2">
        <f t="shared" si="251"/>
        <v>2</v>
      </c>
    </row>
    <row r="16128" spans="1:4" x14ac:dyDescent="0.3">
      <c r="A16128" s="34">
        <v>78802</v>
      </c>
      <c r="B16128" s="35">
        <v>1</v>
      </c>
      <c r="C16128" s="35">
        <v>0</v>
      </c>
      <c r="D16128" s="2">
        <f t="shared" si="251"/>
        <v>1</v>
      </c>
    </row>
    <row r="16129" spans="1:4" x14ac:dyDescent="0.3">
      <c r="A16129" s="34">
        <v>78803</v>
      </c>
      <c r="B16129" s="35">
        <v>1</v>
      </c>
      <c r="C16129" s="35">
        <v>0</v>
      </c>
      <c r="D16129" s="2">
        <f t="shared" si="251"/>
        <v>1</v>
      </c>
    </row>
    <row r="16130" spans="1:4" x14ac:dyDescent="0.3">
      <c r="A16130" s="34">
        <v>78804</v>
      </c>
      <c r="B16130" s="35">
        <v>1</v>
      </c>
      <c r="C16130" s="35">
        <v>0</v>
      </c>
      <c r="D16130" s="2">
        <f t="shared" si="251"/>
        <v>1</v>
      </c>
    </row>
    <row r="16131" spans="1:4" x14ac:dyDescent="0.3">
      <c r="A16131" s="34">
        <v>78805</v>
      </c>
      <c r="B16131" s="35">
        <v>1</v>
      </c>
      <c r="C16131" s="35">
        <v>0</v>
      </c>
      <c r="D16131" s="2">
        <f t="shared" ref="D16131:D16194" si="252">B16131+C16131</f>
        <v>1</v>
      </c>
    </row>
    <row r="16132" spans="1:4" x14ac:dyDescent="0.3">
      <c r="A16132" s="34">
        <v>78806</v>
      </c>
      <c r="B16132" s="35">
        <v>1</v>
      </c>
      <c r="C16132" s="35">
        <v>0</v>
      </c>
      <c r="D16132" s="2">
        <f t="shared" si="252"/>
        <v>1</v>
      </c>
    </row>
    <row r="16133" spans="1:4" x14ac:dyDescent="0.3">
      <c r="A16133" s="34">
        <v>78807</v>
      </c>
      <c r="B16133" s="35">
        <v>1</v>
      </c>
      <c r="C16133" s="35">
        <v>0</v>
      </c>
      <c r="D16133" s="2">
        <f t="shared" si="252"/>
        <v>1</v>
      </c>
    </row>
    <row r="16134" spans="1:4" x14ac:dyDescent="0.3">
      <c r="A16134" s="34">
        <v>78808</v>
      </c>
      <c r="B16134" s="35">
        <v>1</v>
      </c>
      <c r="C16134" s="35">
        <v>0</v>
      </c>
      <c r="D16134" s="2">
        <f t="shared" si="252"/>
        <v>1</v>
      </c>
    </row>
    <row r="16135" spans="1:4" x14ac:dyDescent="0.3">
      <c r="A16135" s="34">
        <v>78809</v>
      </c>
      <c r="B16135" s="35">
        <v>1</v>
      </c>
      <c r="C16135" s="35">
        <v>0</v>
      </c>
      <c r="D16135" s="2">
        <f t="shared" si="252"/>
        <v>1</v>
      </c>
    </row>
    <row r="16136" spans="1:4" x14ac:dyDescent="0.3">
      <c r="A16136" s="34">
        <v>78812</v>
      </c>
      <c r="B16136" s="35">
        <v>2</v>
      </c>
      <c r="C16136" s="35">
        <v>1</v>
      </c>
      <c r="D16136" s="2">
        <f t="shared" si="252"/>
        <v>3</v>
      </c>
    </row>
    <row r="16137" spans="1:4" x14ac:dyDescent="0.3">
      <c r="A16137" s="34">
        <v>78814</v>
      </c>
      <c r="B16137" s="35">
        <v>1</v>
      </c>
      <c r="C16137" s="35">
        <v>0</v>
      </c>
      <c r="D16137" s="2">
        <f t="shared" si="252"/>
        <v>1</v>
      </c>
    </row>
    <row r="16138" spans="1:4" x14ac:dyDescent="0.3">
      <c r="A16138" s="34">
        <v>78817</v>
      </c>
      <c r="B16138" s="35">
        <v>1</v>
      </c>
      <c r="C16138" s="35">
        <v>0</v>
      </c>
      <c r="D16138" s="2">
        <f t="shared" si="252"/>
        <v>1</v>
      </c>
    </row>
    <row r="16139" spans="1:4" x14ac:dyDescent="0.3">
      <c r="A16139" s="34">
        <v>78820</v>
      </c>
      <c r="B16139" s="35">
        <v>1</v>
      </c>
      <c r="C16139" s="35">
        <v>0</v>
      </c>
      <c r="D16139" s="2">
        <f t="shared" si="252"/>
        <v>1</v>
      </c>
    </row>
    <row r="16140" spans="1:4" x14ac:dyDescent="0.3">
      <c r="A16140" s="34">
        <v>78823</v>
      </c>
      <c r="B16140" s="35">
        <v>1</v>
      </c>
      <c r="C16140" s="35">
        <v>0</v>
      </c>
      <c r="D16140" s="2">
        <f t="shared" si="252"/>
        <v>1</v>
      </c>
    </row>
    <row r="16141" spans="1:4" x14ac:dyDescent="0.3">
      <c r="A16141" s="34">
        <v>78826</v>
      </c>
      <c r="B16141" s="35">
        <v>1</v>
      </c>
      <c r="C16141" s="35">
        <v>0</v>
      </c>
      <c r="D16141" s="2">
        <f t="shared" si="252"/>
        <v>1</v>
      </c>
    </row>
    <row r="16142" spans="1:4" x14ac:dyDescent="0.3">
      <c r="A16142" s="34">
        <v>78829</v>
      </c>
      <c r="B16142" s="35">
        <v>1</v>
      </c>
      <c r="C16142" s="35">
        <v>0</v>
      </c>
      <c r="D16142" s="2">
        <f t="shared" si="252"/>
        <v>1</v>
      </c>
    </row>
    <row r="16143" spans="1:4" x14ac:dyDescent="0.3">
      <c r="A16143" s="34">
        <v>78831</v>
      </c>
      <c r="B16143" s="35">
        <v>1</v>
      </c>
      <c r="C16143" s="35">
        <v>0</v>
      </c>
      <c r="D16143" s="2">
        <f t="shared" si="252"/>
        <v>1</v>
      </c>
    </row>
    <row r="16144" spans="1:4" x14ac:dyDescent="0.3">
      <c r="A16144" s="34">
        <v>78834</v>
      </c>
      <c r="B16144" s="35">
        <v>1</v>
      </c>
      <c r="C16144" s="35">
        <v>0</v>
      </c>
      <c r="D16144" s="2">
        <f t="shared" si="252"/>
        <v>1</v>
      </c>
    </row>
    <row r="16145" spans="1:4" x14ac:dyDescent="0.3">
      <c r="A16145" s="34">
        <v>78837</v>
      </c>
      <c r="B16145" s="35">
        <v>1</v>
      </c>
      <c r="C16145" s="35">
        <v>0</v>
      </c>
      <c r="D16145" s="2">
        <f t="shared" si="252"/>
        <v>1</v>
      </c>
    </row>
    <row r="16146" spans="1:4" x14ac:dyDescent="0.3">
      <c r="A16146" s="34">
        <v>78840</v>
      </c>
      <c r="B16146" s="35">
        <v>2</v>
      </c>
      <c r="C16146" s="35">
        <v>1</v>
      </c>
      <c r="D16146" s="2">
        <f t="shared" si="252"/>
        <v>3</v>
      </c>
    </row>
    <row r="16147" spans="1:4" x14ac:dyDescent="0.3">
      <c r="A16147" s="34">
        <v>78843</v>
      </c>
      <c r="B16147" s="35">
        <v>1</v>
      </c>
      <c r="C16147" s="35">
        <v>0</v>
      </c>
      <c r="D16147" s="2">
        <f t="shared" si="252"/>
        <v>1</v>
      </c>
    </row>
    <row r="16148" spans="1:4" x14ac:dyDescent="0.3">
      <c r="A16148" s="34">
        <v>78846</v>
      </c>
      <c r="B16148" s="35">
        <v>1</v>
      </c>
      <c r="C16148" s="35">
        <v>0</v>
      </c>
      <c r="D16148" s="2">
        <f t="shared" si="252"/>
        <v>1</v>
      </c>
    </row>
    <row r="16149" spans="1:4" x14ac:dyDescent="0.3">
      <c r="A16149" s="34">
        <v>78848</v>
      </c>
      <c r="B16149" s="35">
        <v>1</v>
      </c>
      <c r="C16149" s="35">
        <v>0</v>
      </c>
      <c r="D16149" s="2">
        <f t="shared" si="252"/>
        <v>1</v>
      </c>
    </row>
    <row r="16150" spans="1:4" x14ac:dyDescent="0.3">
      <c r="A16150" s="34">
        <v>78863</v>
      </c>
      <c r="B16150" s="35">
        <v>1</v>
      </c>
      <c r="C16150" s="35">
        <v>0</v>
      </c>
      <c r="D16150" s="2">
        <f t="shared" si="252"/>
        <v>1</v>
      </c>
    </row>
    <row r="16151" spans="1:4" x14ac:dyDescent="0.3">
      <c r="A16151" s="34">
        <v>78864</v>
      </c>
      <c r="B16151" s="35">
        <v>1</v>
      </c>
      <c r="C16151" s="35">
        <v>0</v>
      </c>
      <c r="D16151" s="2">
        <f t="shared" si="252"/>
        <v>1</v>
      </c>
    </row>
    <row r="16152" spans="1:4" x14ac:dyDescent="0.3">
      <c r="A16152" s="34">
        <v>78865</v>
      </c>
      <c r="B16152" s="35">
        <v>1</v>
      </c>
      <c r="C16152" s="35">
        <v>0</v>
      </c>
      <c r="D16152" s="2">
        <f t="shared" si="252"/>
        <v>1</v>
      </c>
    </row>
    <row r="16153" spans="1:4" x14ac:dyDescent="0.3">
      <c r="A16153" s="34">
        <v>78866</v>
      </c>
      <c r="B16153" s="35">
        <v>1</v>
      </c>
      <c r="C16153" s="35">
        <v>0</v>
      </c>
      <c r="D16153" s="2">
        <f t="shared" si="252"/>
        <v>1</v>
      </c>
    </row>
    <row r="16154" spans="1:4" x14ac:dyDescent="0.3">
      <c r="A16154" s="34">
        <v>78867</v>
      </c>
      <c r="B16154" s="35">
        <v>1</v>
      </c>
      <c r="C16154" s="35">
        <v>0</v>
      </c>
      <c r="D16154" s="2">
        <f t="shared" si="252"/>
        <v>1</v>
      </c>
    </row>
    <row r="16155" spans="1:4" x14ac:dyDescent="0.3">
      <c r="A16155" s="34">
        <v>78869</v>
      </c>
      <c r="B16155" s="35">
        <v>1</v>
      </c>
      <c r="C16155" s="35">
        <v>0</v>
      </c>
      <c r="D16155" s="2">
        <f t="shared" si="252"/>
        <v>1</v>
      </c>
    </row>
    <row r="16156" spans="1:4" x14ac:dyDescent="0.3">
      <c r="A16156" s="34">
        <v>78870</v>
      </c>
      <c r="B16156" s="35">
        <v>1</v>
      </c>
      <c r="C16156" s="35">
        <v>0</v>
      </c>
      <c r="D16156" s="2">
        <f t="shared" si="252"/>
        <v>1</v>
      </c>
    </row>
    <row r="16157" spans="1:4" x14ac:dyDescent="0.3">
      <c r="A16157" s="34">
        <v>78871</v>
      </c>
      <c r="B16157" s="35">
        <v>1</v>
      </c>
      <c r="C16157" s="35">
        <v>0</v>
      </c>
      <c r="D16157" s="2">
        <f t="shared" si="252"/>
        <v>1</v>
      </c>
    </row>
    <row r="16158" spans="1:4" x14ac:dyDescent="0.3">
      <c r="A16158" s="34">
        <v>78873</v>
      </c>
      <c r="B16158" s="35">
        <v>1</v>
      </c>
      <c r="C16158" s="35">
        <v>0</v>
      </c>
      <c r="D16158" s="2">
        <f t="shared" si="252"/>
        <v>1</v>
      </c>
    </row>
    <row r="16159" spans="1:4" x14ac:dyDescent="0.3">
      <c r="A16159" s="34">
        <v>78874</v>
      </c>
      <c r="B16159" s="35">
        <v>1</v>
      </c>
      <c r="C16159" s="35">
        <v>1</v>
      </c>
      <c r="D16159" s="2">
        <f t="shared" si="252"/>
        <v>2</v>
      </c>
    </row>
    <row r="16160" spans="1:4" x14ac:dyDescent="0.3">
      <c r="A16160" s="34">
        <v>78875</v>
      </c>
      <c r="B16160" s="35">
        <v>1</v>
      </c>
      <c r="C16160" s="35">
        <v>0</v>
      </c>
      <c r="D16160" s="2">
        <f t="shared" si="252"/>
        <v>1</v>
      </c>
    </row>
    <row r="16161" spans="1:4" x14ac:dyDescent="0.3">
      <c r="A16161" s="34">
        <v>78876</v>
      </c>
      <c r="B16161" s="35">
        <v>2</v>
      </c>
      <c r="C16161" s="35">
        <v>1</v>
      </c>
      <c r="D16161" s="2">
        <f t="shared" si="252"/>
        <v>3</v>
      </c>
    </row>
    <row r="16162" spans="1:4" x14ac:dyDescent="0.3">
      <c r="A16162" s="34">
        <v>78877</v>
      </c>
      <c r="B16162" s="35">
        <v>1</v>
      </c>
      <c r="C16162" s="35">
        <v>0</v>
      </c>
      <c r="D16162" s="2">
        <f t="shared" si="252"/>
        <v>1</v>
      </c>
    </row>
    <row r="16163" spans="1:4" x14ac:dyDescent="0.3">
      <c r="A16163" s="34">
        <v>78878</v>
      </c>
      <c r="B16163" s="35">
        <v>2</v>
      </c>
      <c r="C16163" s="35">
        <v>1</v>
      </c>
      <c r="D16163" s="2">
        <f t="shared" si="252"/>
        <v>3</v>
      </c>
    </row>
    <row r="16164" spans="1:4" x14ac:dyDescent="0.3">
      <c r="A16164" s="34">
        <v>78879</v>
      </c>
      <c r="B16164" s="35">
        <v>1</v>
      </c>
      <c r="C16164" s="35">
        <v>0</v>
      </c>
      <c r="D16164" s="2">
        <f t="shared" si="252"/>
        <v>1</v>
      </c>
    </row>
    <row r="16165" spans="1:4" x14ac:dyDescent="0.3">
      <c r="A16165" s="34">
        <v>78880</v>
      </c>
      <c r="B16165" s="35">
        <v>1</v>
      </c>
      <c r="C16165" s="35">
        <v>1</v>
      </c>
      <c r="D16165" s="2">
        <f t="shared" si="252"/>
        <v>2</v>
      </c>
    </row>
    <row r="16166" spans="1:4" x14ac:dyDescent="0.3">
      <c r="A16166" s="34">
        <v>78881</v>
      </c>
      <c r="B16166" s="35">
        <v>1</v>
      </c>
      <c r="C16166" s="35">
        <v>0</v>
      </c>
      <c r="D16166" s="2">
        <f t="shared" si="252"/>
        <v>1</v>
      </c>
    </row>
    <row r="16167" spans="1:4" x14ac:dyDescent="0.3">
      <c r="A16167" s="34">
        <v>78882</v>
      </c>
      <c r="B16167" s="35">
        <v>1</v>
      </c>
      <c r="C16167" s="35">
        <v>0</v>
      </c>
      <c r="D16167" s="2">
        <f t="shared" si="252"/>
        <v>1</v>
      </c>
    </row>
    <row r="16168" spans="1:4" x14ac:dyDescent="0.3">
      <c r="A16168" s="34">
        <v>78883</v>
      </c>
      <c r="B16168" s="35">
        <v>1</v>
      </c>
      <c r="C16168" s="35">
        <v>0</v>
      </c>
      <c r="D16168" s="2">
        <f t="shared" si="252"/>
        <v>1</v>
      </c>
    </row>
    <row r="16169" spans="1:4" x14ac:dyDescent="0.3">
      <c r="A16169" s="34">
        <v>78884</v>
      </c>
      <c r="B16169" s="35">
        <v>1</v>
      </c>
      <c r="C16169" s="35">
        <v>0</v>
      </c>
      <c r="D16169" s="2">
        <f t="shared" si="252"/>
        <v>1</v>
      </c>
    </row>
    <row r="16170" spans="1:4" x14ac:dyDescent="0.3">
      <c r="A16170" s="34">
        <v>78885</v>
      </c>
      <c r="B16170" s="35">
        <v>1</v>
      </c>
      <c r="C16170" s="35">
        <v>0</v>
      </c>
      <c r="D16170" s="2">
        <f t="shared" si="252"/>
        <v>1</v>
      </c>
    </row>
    <row r="16171" spans="1:4" x14ac:dyDescent="0.3">
      <c r="A16171" s="34">
        <v>78886</v>
      </c>
      <c r="B16171" s="35">
        <v>1</v>
      </c>
      <c r="C16171" s="35">
        <v>0</v>
      </c>
      <c r="D16171" s="2">
        <f t="shared" si="252"/>
        <v>1</v>
      </c>
    </row>
    <row r="16172" spans="1:4" x14ac:dyDescent="0.3">
      <c r="A16172" s="34">
        <v>78887</v>
      </c>
      <c r="B16172" s="35">
        <v>1</v>
      </c>
      <c r="C16172" s="35">
        <v>0</v>
      </c>
      <c r="D16172" s="2">
        <f t="shared" si="252"/>
        <v>1</v>
      </c>
    </row>
    <row r="16173" spans="1:4" x14ac:dyDescent="0.3">
      <c r="A16173" s="34">
        <v>78888</v>
      </c>
      <c r="B16173" s="35">
        <v>1</v>
      </c>
      <c r="C16173" s="35">
        <v>0</v>
      </c>
      <c r="D16173" s="2">
        <f t="shared" si="252"/>
        <v>1</v>
      </c>
    </row>
    <row r="16174" spans="1:4" x14ac:dyDescent="0.3">
      <c r="A16174" s="34">
        <v>78889</v>
      </c>
      <c r="B16174" s="35">
        <v>1</v>
      </c>
      <c r="C16174" s="35">
        <v>0</v>
      </c>
      <c r="D16174" s="2">
        <f t="shared" si="252"/>
        <v>1</v>
      </c>
    </row>
    <row r="16175" spans="1:4" x14ac:dyDescent="0.3">
      <c r="A16175" s="34">
        <v>78890</v>
      </c>
      <c r="B16175" s="35">
        <v>1</v>
      </c>
      <c r="C16175" s="35">
        <v>0</v>
      </c>
      <c r="D16175" s="2">
        <f t="shared" si="252"/>
        <v>1</v>
      </c>
    </row>
    <row r="16176" spans="1:4" x14ac:dyDescent="0.3">
      <c r="A16176" s="34">
        <v>78891</v>
      </c>
      <c r="B16176" s="35">
        <v>1</v>
      </c>
      <c r="C16176" s="35">
        <v>0</v>
      </c>
      <c r="D16176" s="2">
        <f t="shared" si="252"/>
        <v>1</v>
      </c>
    </row>
    <row r="16177" spans="1:4" x14ac:dyDescent="0.3">
      <c r="A16177" s="34">
        <v>78892</v>
      </c>
      <c r="B16177" s="35">
        <v>2</v>
      </c>
      <c r="C16177" s="35">
        <v>1</v>
      </c>
      <c r="D16177" s="2">
        <f t="shared" si="252"/>
        <v>3</v>
      </c>
    </row>
    <row r="16178" spans="1:4" x14ac:dyDescent="0.3">
      <c r="A16178" s="34">
        <v>78893</v>
      </c>
      <c r="B16178" s="35">
        <v>1</v>
      </c>
      <c r="C16178" s="35">
        <v>0</v>
      </c>
      <c r="D16178" s="2">
        <f t="shared" si="252"/>
        <v>1</v>
      </c>
    </row>
    <row r="16179" spans="1:4" x14ac:dyDescent="0.3">
      <c r="A16179" s="34">
        <v>78894</v>
      </c>
      <c r="B16179" s="35">
        <v>1</v>
      </c>
      <c r="C16179" s="35">
        <v>0</v>
      </c>
      <c r="D16179" s="2">
        <f t="shared" si="252"/>
        <v>1</v>
      </c>
    </row>
    <row r="16180" spans="1:4" x14ac:dyDescent="0.3">
      <c r="A16180" s="34">
        <v>78895</v>
      </c>
      <c r="B16180" s="35">
        <v>1</v>
      </c>
      <c r="C16180" s="35">
        <v>0</v>
      </c>
      <c r="D16180" s="2">
        <f t="shared" si="252"/>
        <v>1</v>
      </c>
    </row>
    <row r="16181" spans="1:4" x14ac:dyDescent="0.3">
      <c r="A16181" s="34">
        <v>78896</v>
      </c>
      <c r="B16181" s="35">
        <v>1</v>
      </c>
      <c r="C16181" s="35">
        <v>0</v>
      </c>
      <c r="D16181" s="2">
        <f t="shared" si="252"/>
        <v>1</v>
      </c>
    </row>
    <row r="16182" spans="1:4" x14ac:dyDescent="0.3">
      <c r="A16182" s="34">
        <v>78897</v>
      </c>
      <c r="B16182" s="35">
        <v>1</v>
      </c>
      <c r="C16182" s="35">
        <v>0</v>
      </c>
      <c r="D16182" s="2">
        <f t="shared" si="252"/>
        <v>1</v>
      </c>
    </row>
    <row r="16183" spans="1:4" x14ac:dyDescent="0.3">
      <c r="A16183" s="34">
        <v>78898</v>
      </c>
      <c r="B16183" s="35">
        <v>1</v>
      </c>
      <c r="C16183" s="35">
        <v>0</v>
      </c>
      <c r="D16183" s="2">
        <f t="shared" si="252"/>
        <v>1</v>
      </c>
    </row>
    <row r="16184" spans="1:4" x14ac:dyDescent="0.3">
      <c r="A16184" s="34">
        <v>78899</v>
      </c>
      <c r="B16184" s="35">
        <v>1</v>
      </c>
      <c r="C16184" s="35">
        <v>0</v>
      </c>
      <c r="D16184" s="2">
        <f t="shared" si="252"/>
        <v>1</v>
      </c>
    </row>
    <row r="16185" spans="1:4" x14ac:dyDescent="0.3">
      <c r="A16185" s="34">
        <v>78900</v>
      </c>
      <c r="B16185" s="35">
        <v>1</v>
      </c>
      <c r="C16185" s="35">
        <v>0</v>
      </c>
      <c r="D16185" s="2">
        <f t="shared" si="252"/>
        <v>1</v>
      </c>
    </row>
    <row r="16186" spans="1:4" x14ac:dyDescent="0.3">
      <c r="A16186" s="34">
        <v>78901</v>
      </c>
      <c r="B16186" s="35">
        <v>1</v>
      </c>
      <c r="C16186" s="35">
        <v>0</v>
      </c>
      <c r="D16186" s="2">
        <f t="shared" si="252"/>
        <v>1</v>
      </c>
    </row>
    <row r="16187" spans="1:4" x14ac:dyDescent="0.3">
      <c r="A16187" s="34">
        <v>78902</v>
      </c>
      <c r="B16187" s="35">
        <v>1</v>
      </c>
      <c r="C16187" s="35">
        <v>0</v>
      </c>
      <c r="D16187" s="2">
        <f t="shared" si="252"/>
        <v>1</v>
      </c>
    </row>
    <row r="16188" spans="1:4" x14ac:dyDescent="0.3">
      <c r="A16188" s="34">
        <v>78903</v>
      </c>
      <c r="B16188" s="35">
        <v>1</v>
      </c>
      <c r="C16188" s="35">
        <v>0</v>
      </c>
      <c r="D16188" s="2">
        <f t="shared" si="252"/>
        <v>1</v>
      </c>
    </row>
    <row r="16189" spans="1:4" x14ac:dyDescent="0.3">
      <c r="A16189" s="34">
        <v>78904</v>
      </c>
      <c r="B16189" s="35">
        <v>1</v>
      </c>
      <c r="C16189" s="35">
        <v>0</v>
      </c>
      <c r="D16189" s="2">
        <f t="shared" si="252"/>
        <v>1</v>
      </c>
    </row>
    <row r="16190" spans="1:4" x14ac:dyDescent="0.3">
      <c r="A16190" s="34">
        <v>78905</v>
      </c>
      <c r="B16190" s="35">
        <v>1</v>
      </c>
      <c r="C16190" s="35">
        <v>0</v>
      </c>
      <c r="D16190" s="2">
        <f t="shared" si="252"/>
        <v>1</v>
      </c>
    </row>
    <row r="16191" spans="1:4" x14ac:dyDescent="0.3">
      <c r="A16191" s="34">
        <v>78906</v>
      </c>
      <c r="B16191" s="35">
        <v>1</v>
      </c>
      <c r="C16191" s="35">
        <v>0</v>
      </c>
      <c r="D16191" s="2">
        <f t="shared" si="252"/>
        <v>1</v>
      </c>
    </row>
    <row r="16192" spans="1:4" x14ac:dyDescent="0.3">
      <c r="A16192" s="34">
        <v>78907</v>
      </c>
      <c r="B16192" s="35">
        <v>1</v>
      </c>
      <c r="C16192" s="35">
        <v>0</v>
      </c>
      <c r="D16192" s="2">
        <f t="shared" si="252"/>
        <v>1</v>
      </c>
    </row>
    <row r="16193" spans="1:4" x14ac:dyDescent="0.3">
      <c r="A16193" s="34">
        <v>78908</v>
      </c>
      <c r="B16193" s="35">
        <v>1</v>
      </c>
      <c r="C16193" s="35">
        <v>0</v>
      </c>
      <c r="D16193" s="2">
        <f t="shared" si="252"/>
        <v>1</v>
      </c>
    </row>
    <row r="16194" spans="1:4" x14ac:dyDescent="0.3">
      <c r="A16194" s="34">
        <v>78909</v>
      </c>
      <c r="B16194" s="35">
        <v>1</v>
      </c>
      <c r="C16194" s="35">
        <v>0</v>
      </c>
      <c r="D16194" s="2">
        <f t="shared" si="252"/>
        <v>1</v>
      </c>
    </row>
    <row r="16195" spans="1:4" x14ac:dyDescent="0.3">
      <c r="A16195" s="34">
        <v>78910</v>
      </c>
      <c r="B16195" s="35">
        <v>1</v>
      </c>
      <c r="C16195" s="35">
        <v>0</v>
      </c>
      <c r="D16195" s="2">
        <f t="shared" ref="D16195:D16258" si="253">B16195+C16195</f>
        <v>1</v>
      </c>
    </row>
    <row r="16196" spans="1:4" x14ac:dyDescent="0.3">
      <c r="A16196" s="34">
        <v>78911</v>
      </c>
      <c r="B16196" s="35">
        <v>1</v>
      </c>
      <c r="C16196" s="35">
        <v>0</v>
      </c>
      <c r="D16196" s="2">
        <f t="shared" si="253"/>
        <v>1</v>
      </c>
    </row>
    <row r="16197" spans="1:4" x14ac:dyDescent="0.3">
      <c r="A16197" s="34">
        <v>78912</v>
      </c>
      <c r="B16197" s="35">
        <v>1</v>
      </c>
      <c r="C16197" s="35">
        <v>0</v>
      </c>
      <c r="D16197" s="2">
        <f t="shared" si="253"/>
        <v>1</v>
      </c>
    </row>
    <row r="16198" spans="1:4" x14ac:dyDescent="0.3">
      <c r="A16198" s="34">
        <v>78913</v>
      </c>
      <c r="B16198" s="35">
        <v>1</v>
      </c>
      <c r="C16198" s="35">
        <v>0</v>
      </c>
      <c r="D16198" s="2">
        <f t="shared" si="253"/>
        <v>1</v>
      </c>
    </row>
    <row r="16199" spans="1:4" x14ac:dyDescent="0.3">
      <c r="A16199" s="34">
        <v>78914</v>
      </c>
      <c r="B16199" s="35">
        <v>1</v>
      </c>
      <c r="C16199" s="35">
        <v>0</v>
      </c>
      <c r="D16199" s="2">
        <f t="shared" si="253"/>
        <v>1</v>
      </c>
    </row>
    <row r="16200" spans="1:4" x14ac:dyDescent="0.3">
      <c r="A16200" s="34">
        <v>78915</v>
      </c>
      <c r="B16200" s="35">
        <v>1</v>
      </c>
      <c r="C16200" s="35">
        <v>0</v>
      </c>
      <c r="D16200" s="2">
        <f t="shared" si="253"/>
        <v>1</v>
      </c>
    </row>
    <row r="16201" spans="1:4" x14ac:dyDescent="0.3">
      <c r="A16201" s="34">
        <v>78916</v>
      </c>
      <c r="B16201" s="35">
        <v>1</v>
      </c>
      <c r="C16201" s="35">
        <v>0</v>
      </c>
      <c r="D16201" s="2">
        <f t="shared" si="253"/>
        <v>1</v>
      </c>
    </row>
    <row r="16202" spans="1:4" x14ac:dyDescent="0.3">
      <c r="A16202" s="34">
        <v>78917</v>
      </c>
      <c r="B16202" s="35">
        <v>1</v>
      </c>
      <c r="C16202" s="35">
        <v>0</v>
      </c>
      <c r="D16202" s="2">
        <f t="shared" si="253"/>
        <v>1</v>
      </c>
    </row>
    <row r="16203" spans="1:4" x14ac:dyDescent="0.3">
      <c r="A16203" s="34">
        <v>78919</v>
      </c>
      <c r="B16203" s="35">
        <v>1</v>
      </c>
      <c r="C16203" s="35">
        <v>0</v>
      </c>
      <c r="D16203" s="2">
        <f t="shared" si="253"/>
        <v>1</v>
      </c>
    </row>
    <row r="16204" spans="1:4" x14ac:dyDescent="0.3">
      <c r="A16204" s="34">
        <v>78920</v>
      </c>
      <c r="B16204" s="35">
        <v>1</v>
      </c>
      <c r="C16204" s="35">
        <v>0</v>
      </c>
      <c r="D16204" s="2">
        <f t="shared" si="253"/>
        <v>1</v>
      </c>
    </row>
    <row r="16205" spans="1:4" x14ac:dyDescent="0.3">
      <c r="A16205" s="34">
        <v>78921</v>
      </c>
      <c r="B16205" s="35">
        <v>1</v>
      </c>
      <c r="C16205" s="35">
        <v>0</v>
      </c>
      <c r="D16205" s="2">
        <f t="shared" si="253"/>
        <v>1</v>
      </c>
    </row>
    <row r="16206" spans="1:4" x14ac:dyDescent="0.3">
      <c r="A16206" s="34">
        <v>78922</v>
      </c>
      <c r="B16206" s="35">
        <v>1</v>
      </c>
      <c r="C16206" s="35">
        <v>0</v>
      </c>
      <c r="D16206" s="2">
        <f t="shared" si="253"/>
        <v>1</v>
      </c>
    </row>
    <row r="16207" spans="1:4" x14ac:dyDescent="0.3">
      <c r="A16207" s="34">
        <v>78923</v>
      </c>
      <c r="B16207" s="35">
        <v>1</v>
      </c>
      <c r="C16207" s="35">
        <v>0</v>
      </c>
      <c r="D16207" s="2">
        <f t="shared" si="253"/>
        <v>1</v>
      </c>
    </row>
    <row r="16208" spans="1:4" x14ac:dyDescent="0.3">
      <c r="A16208" s="34">
        <v>78941</v>
      </c>
      <c r="B16208" s="35">
        <v>1</v>
      </c>
      <c r="C16208" s="35">
        <v>0</v>
      </c>
      <c r="D16208" s="2">
        <f t="shared" si="253"/>
        <v>1</v>
      </c>
    </row>
    <row r="16209" spans="1:4" x14ac:dyDescent="0.3">
      <c r="A16209" s="34">
        <v>78942</v>
      </c>
      <c r="B16209" s="35">
        <v>1</v>
      </c>
      <c r="C16209" s="35">
        <v>0</v>
      </c>
      <c r="D16209" s="2">
        <f t="shared" si="253"/>
        <v>1</v>
      </c>
    </row>
    <row r="16210" spans="1:4" x14ac:dyDescent="0.3">
      <c r="A16210" s="34">
        <v>78943</v>
      </c>
      <c r="B16210" s="35">
        <v>1</v>
      </c>
      <c r="C16210" s="35">
        <v>0</v>
      </c>
      <c r="D16210" s="2">
        <f t="shared" si="253"/>
        <v>1</v>
      </c>
    </row>
    <row r="16211" spans="1:4" x14ac:dyDescent="0.3">
      <c r="A16211" s="34">
        <v>78944</v>
      </c>
      <c r="B16211" s="35">
        <v>1</v>
      </c>
      <c r="C16211" s="35">
        <v>0</v>
      </c>
      <c r="D16211" s="2">
        <f t="shared" si="253"/>
        <v>1</v>
      </c>
    </row>
    <row r="16212" spans="1:4" x14ac:dyDescent="0.3">
      <c r="A16212" s="34">
        <v>78945</v>
      </c>
      <c r="B16212" s="35">
        <v>1</v>
      </c>
      <c r="C16212" s="35">
        <v>0</v>
      </c>
      <c r="D16212" s="2">
        <f t="shared" si="253"/>
        <v>1</v>
      </c>
    </row>
    <row r="16213" spans="1:4" x14ac:dyDescent="0.3">
      <c r="A16213" s="34">
        <v>78946</v>
      </c>
      <c r="B16213" s="35">
        <v>1</v>
      </c>
      <c r="C16213" s="35">
        <v>0</v>
      </c>
      <c r="D16213" s="2">
        <f t="shared" si="253"/>
        <v>1</v>
      </c>
    </row>
    <row r="16214" spans="1:4" x14ac:dyDescent="0.3">
      <c r="A16214" s="34">
        <v>78947</v>
      </c>
      <c r="B16214" s="35">
        <v>1</v>
      </c>
      <c r="C16214" s="35">
        <v>0</v>
      </c>
      <c r="D16214" s="2">
        <f t="shared" si="253"/>
        <v>1</v>
      </c>
    </row>
    <row r="16215" spans="1:4" x14ac:dyDescent="0.3">
      <c r="A16215" s="34">
        <v>78948</v>
      </c>
      <c r="B16215" s="35">
        <v>1</v>
      </c>
      <c r="C16215" s="35">
        <v>0</v>
      </c>
      <c r="D16215" s="2">
        <f t="shared" si="253"/>
        <v>1</v>
      </c>
    </row>
    <row r="16216" spans="1:4" x14ac:dyDescent="0.3">
      <c r="A16216" s="34">
        <v>78949</v>
      </c>
      <c r="B16216" s="35">
        <v>1</v>
      </c>
      <c r="C16216" s="35">
        <v>0</v>
      </c>
      <c r="D16216" s="2">
        <f t="shared" si="253"/>
        <v>1</v>
      </c>
    </row>
    <row r="16217" spans="1:4" x14ac:dyDescent="0.3">
      <c r="A16217" s="34">
        <v>78950</v>
      </c>
      <c r="B16217" s="35">
        <v>1</v>
      </c>
      <c r="C16217" s="35">
        <v>0</v>
      </c>
      <c r="D16217" s="2">
        <f t="shared" si="253"/>
        <v>1</v>
      </c>
    </row>
    <row r="16218" spans="1:4" x14ac:dyDescent="0.3">
      <c r="A16218" s="34">
        <v>78951</v>
      </c>
      <c r="B16218" s="35">
        <v>1</v>
      </c>
      <c r="C16218" s="35">
        <v>0</v>
      </c>
      <c r="D16218" s="2">
        <f t="shared" si="253"/>
        <v>1</v>
      </c>
    </row>
    <row r="16219" spans="1:4" x14ac:dyDescent="0.3">
      <c r="A16219" s="34">
        <v>78953</v>
      </c>
      <c r="B16219" s="35">
        <v>1</v>
      </c>
      <c r="C16219" s="35">
        <v>0</v>
      </c>
      <c r="D16219" s="2">
        <f t="shared" si="253"/>
        <v>1</v>
      </c>
    </row>
    <row r="16220" spans="1:4" x14ac:dyDescent="0.3">
      <c r="A16220" s="34">
        <v>78954</v>
      </c>
      <c r="B16220" s="35">
        <v>1</v>
      </c>
      <c r="C16220" s="35">
        <v>0</v>
      </c>
      <c r="D16220" s="2">
        <f t="shared" si="253"/>
        <v>1</v>
      </c>
    </row>
    <row r="16221" spans="1:4" x14ac:dyDescent="0.3">
      <c r="A16221" s="34">
        <v>78955</v>
      </c>
      <c r="B16221" s="35">
        <v>1</v>
      </c>
      <c r="C16221" s="35">
        <v>0</v>
      </c>
      <c r="D16221" s="2">
        <f t="shared" si="253"/>
        <v>1</v>
      </c>
    </row>
    <row r="16222" spans="1:4" x14ac:dyDescent="0.3">
      <c r="A16222" s="34">
        <v>78956</v>
      </c>
      <c r="B16222" s="35">
        <v>1</v>
      </c>
      <c r="C16222" s="35">
        <v>0</v>
      </c>
      <c r="D16222" s="2">
        <f t="shared" si="253"/>
        <v>1</v>
      </c>
    </row>
    <row r="16223" spans="1:4" x14ac:dyDescent="0.3">
      <c r="A16223" s="34">
        <v>78957</v>
      </c>
      <c r="B16223" s="35">
        <v>1</v>
      </c>
      <c r="C16223" s="35">
        <v>0</v>
      </c>
      <c r="D16223" s="2">
        <f t="shared" si="253"/>
        <v>1</v>
      </c>
    </row>
    <row r="16224" spans="1:4" x14ac:dyDescent="0.3">
      <c r="A16224" s="34">
        <v>78958</v>
      </c>
      <c r="B16224" s="35">
        <v>1</v>
      </c>
      <c r="C16224" s="35">
        <v>0</v>
      </c>
      <c r="D16224" s="2">
        <f t="shared" si="253"/>
        <v>1</v>
      </c>
    </row>
    <row r="16225" spans="1:4" x14ac:dyDescent="0.3">
      <c r="A16225" s="34">
        <v>78959</v>
      </c>
      <c r="B16225" s="35">
        <v>1</v>
      </c>
      <c r="C16225" s="35">
        <v>0</v>
      </c>
      <c r="D16225" s="2">
        <f t="shared" si="253"/>
        <v>1</v>
      </c>
    </row>
    <row r="16226" spans="1:4" x14ac:dyDescent="0.3">
      <c r="A16226" s="34">
        <v>78960</v>
      </c>
      <c r="B16226" s="35">
        <v>1</v>
      </c>
      <c r="C16226" s="35">
        <v>0</v>
      </c>
      <c r="D16226" s="2">
        <f t="shared" si="253"/>
        <v>1</v>
      </c>
    </row>
    <row r="16227" spans="1:4" x14ac:dyDescent="0.3">
      <c r="A16227" s="34">
        <v>78962</v>
      </c>
      <c r="B16227" s="35">
        <v>1</v>
      </c>
      <c r="C16227" s="35">
        <v>0</v>
      </c>
      <c r="D16227" s="2">
        <f t="shared" si="253"/>
        <v>1</v>
      </c>
    </row>
    <row r="16228" spans="1:4" x14ac:dyDescent="0.3">
      <c r="A16228" s="34">
        <v>78963</v>
      </c>
      <c r="B16228" s="35">
        <v>1</v>
      </c>
      <c r="C16228" s="35">
        <v>0</v>
      </c>
      <c r="D16228" s="2">
        <f t="shared" si="253"/>
        <v>1</v>
      </c>
    </row>
    <row r="16229" spans="1:4" x14ac:dyDescent="0.3">
      <c r="A16229" s="34">
        <v>78964</v>
      </c>
      <c r="B16229" s="35">
        <v>1</v>
      </c>
      <c r="C16229" s="35">
        <v>0</v>
      </c>
      <c r="D16229" s="2">
        <f t="shared" si="253"/>
        <v>1</v>
      </c>
    </row>
    <row r="16230" spans="1:4" x14ac:dyDescent="0.3">
      <c r="A16230" s="34">
        <v>78965</v>
      </c>
      <c r="B16230" s="35">
        <v>1</v>
      </c>
      <c r="C16230" s="35">
        <v>0</v>
      </c>
      <c r="D16230" s="2">
        <f t="shared" si="253"/>
        <v>1</v>
      </c>
    </row>
    <row r="16231" spans="1:4" x14ac:dyDescent="0.3">
      <c r="A16231" s="34">
        <v>78966</v>
      </c>
      <c r="B16231" s="35">
        <v>1</v>
      </c>
      <c r="C16231" s="35">
        <v>0</v>
      </c>
      <c r="D16231" s="2">
        <f t="shared" si="253"/>
        <v>1</v>
      </c>
    </row>
    <row r="16232" spans="1:4" x14ac:dyDescent="0.3">
      <c r="A16232" s="34">
        <v>78967</v>
      </c>
      <c r="B16232" s="35">
        <v>1</v>
      </c>
      <c r="C16232" s="35">
        <v>0</v>
      </c>
      <c r="D16232" s="2">
        <f t="shared" si="253"/>
        <v>1</v>
      </c>
    </row>
    <row r="16233" spans="1:4" x14ac:dyDescent="0.3">
      <c r="A16233" s="34">
        <v>78968</v>
      </c>
      <c r="B16233" s="35">
        <v>1</v>
      </c>
      <c r="C16233" s="35">
        <v>0</v>
      </c>
      <c r="D16233" s="2">
        <f t="shared" si="253"/>
        <v>1</v>
      </c>
    </row>
    <row r="16234" spans="1:4" x14ac:dyDescent="0.3">
      <c r="A16234" s="34">
        <v>78969</v>
      </c>
      <c r="B16234" s="35">
        <v>1</v>
      </c>
      <c r="C16234" s="35">
        <v>0</v>
      </c>
      <c r="D16234" s="2">
        <f t="shared" si="253"/>
        <v>1</v>
      </c>
    </row>
    <row r="16235" spans="1:4" x14ac:dyDescent="0.3">
      <c r="A16235" s="34">
        <v>78970</v>
      </c>
      <c r="B16235" s="35">
        <v>1</v>
      </c>
      <c r="C16235" s="35">
        <v>0</v>
      </c>
      <c r="D16235" s="2">
        <f t="shared" si="253"/>
        <v>1</v>
      </c>
    </row>
    <row r="16236" spans="1:4" x14ac:dyDescent="0.3">
      <c r="A16236" s="34">
        <v>78971</v>
      </c>
      <c r="B16236" s="35">
        <v>1</v>
      </c>
      <c r="C16236" s="35">
        <v>0</v>
      </c>
      <c r="D16236" s="2">
        <f t="shared" si="253"/>
        <v>1</v>
      </c>
    </row>
    <row r="16237" spans="1:4" x14ac:dyDescent="0.3">
      <c r="A16237" s="34">
        <v>79022</v>
      </c>
      <c r="B16237" s="35">
        <v>1</v>
      </c>
      <c r="C16237" s="35">
        <v>0</v>
      </c>
      <c r="D16237" s="2">
        <f t="shared" si="253"/>
        <v>1</v>
      </c>
    </row>
    <row r="16238" spans="1:4" x14ac:dyDescent="0.3">
      <c r="A16238" s="34">
        <v>79023</v>
      </c>
      <c r="B16238" s="35">
        <v>1</v>
      </c>
      <c r="C16238" s="35">
        <v>0</v>
      </c>
      <c r="D16238" s="2">
        <f t="shared" si="253"/>
        <v>1</v>
      </c>
    </row>
    <row r="16239" spans="1:4" x14ac:dyDescent="0.3">
      <c r="A16239" s="34">
        <v>79024</v>
      </c>
      <c r="B16239" s="35">
        <v>1</v>
      </c>
      <c r="C16239" s="35">
        <v>0</v>
      </c>
      <c r="D16239" s="2">
        <f t="shared" si="253"/>
        <v>1</v>
      </c>
    </row>
    <row r="16240" spans="1:4" x14ac:dyDescent="0.3">
      <c r="A16240" s="34">
        <v>79025</v>
      </c>
      <c r="B16240" s="35">
        <v>1</v>
      </c>
      <c r="C16240" s="35">
        <v>0</v>
      </c>
      <c r="D16240" s="2">
        <f t="shared" si="253"/>
        <v>1</v>
      </c>
    </row>
    <row r="16241" spans="1:4" x14ac:dyDescent="0.3">
      <c r="A16241" s="34">
        <v>79026</v>
      </c>
      <c r="B16241" s="35">
        <v>2</v>
      </c>
      <c r="C16241" s="35">
        <v>1</v>
      </c>
      <c r="D16241" s="2">
        <f t="shared" si="253"/>
        <v>3</v>
      </c>
    </row>
    <row r="16242" spans="1:4" x14ac:dyDescent="0.3">
      <c r="A16242" s="34">
        <v>79027</v>
      </c>
      <c r="B16242" s="35">
        <v>1</v>
      </c>
      <c r="C16242" s="35">
        <v>0</v>
      </c>
      <c r="D16242" s="2">
        <f t="shared" si="253"/>
        <v>1</v>
      </c>
    </row>
    <row r="16243" spans="1:4" x14ac:dyDescent="0.3">
      <c r="A16243" s="34">
        <v>79029</v>
      </c>
      <c r="B16243" s="35">
        <v>1</v>
      </c>
      <c r="C16243" s="35">
        <v>0</v>
      </c>
      <c r="D16243" s="2">
        <f t="shared" si="253"/>
        <v>1</v>
      </c>
    </row>
    <row r="16244" spans="1:4" x14ac:dyDescent="0.3">
      <c r="A16244" s="34">
        <v>79030</v>
      </c>
      <c r="B16244" s="35">
        <v>1</v>
      </c>
      <c r="C16244" s="35">
        <v>0</v>
      </c>
      <c r="D16244" s="2">
        <f t="shared" si="253"/>
        <v>1</v>
      </c>
    </row>
    <row r="16245" spans="1:4" x14ac:dyDescent="0.3">
      <c r="A16245" s="34">
        <v>79031</v>
      </c>
      <c r="B16245" s="35">
        <v>1</v>
      </c>
      <c r="C16245" s="35">
        <v>0</v>
      </c>
      <c r="D16245" s="2">
        <f t="shared" si="253"/>
        <v>1</v>
      </c>
    </row>
    <row r="16246" spans="1:4" x14ac:dyDescent="0.3">
      <c r="A16246" s="34">
        <v>79032</v>
      </c>
      <c r="B16246" s="35">
        <v>1</v>
      </c>
      <c r="C16246" s="35">
        <v>0</v>
      </c>
      <c r="D16246" s="2">
        <f t="shared" si="253"/>
        <v>1</v>
      </c>
    </row>
    <row r="16247" spans="1:4" x14ac:dyDescent="0.3">
      <c r="A16247" s="34">
        <v>79033</v>
      </c>
      <c r="B16247" s="35">
        <v>1</v>
      </c>
      <c r="C16247" s="35">
        <v>0</v>
      </c>
      <c r="D16247" s="2">
        <f t="shared" si="253"/>
        <v>1</v>
      </c>
    </row>
    <row r="16248" spans="1:4" x14ac:dyDescent="0.3">
      <c r="A16248" s="34">
        <v>79034</v>
      </c>
      <c r="B16248" s="35">
        <v>1</v>
      </c>
      <c r="C16248" s="35">
        <v>0</v>
      </c>
      <c r="D16248" s="2">
        <f t="shared" si="253"/>
        <v>1</v>
      </c>
    </row>
    <row r="16249" spans="1:4" x14ac:dyDescent="0.3">
      <c r="A16249" s="34">
        <v>79035</v>
      </c>
      <c r="B16249" s="35">
        <v>1</v>
      </c>
      <c r="C16249" s="35">
        <v>0</v>
      </c>
      <c r="D16249" s="2">
        <f t="shared" si="253"/>
        <v>1</v>
      </c>
    </row>
    <row r="16250" spans="1:4" x14ac:dyDescent="0.3">
      <c r="A16250" s="34">
        <v>79036</v>
      </c>
      <c r="B16250" s="35">
        <v>1</v>
      </c>
      <c r="C16250" s="35">
        <v>0</v>
      </c>
      <c r="D16250" s="2">
        <f t="shared" si="253"/>
        <v>1</v>
      </c>
    </row>
    <row r="16251" spans="1:4" x14ac:dyDescent="0.3">
      <c r="A16251" s="34">
        <v>79037</v>
      </c>
      <c r="B16251" s="35">
        <v>1</v>
      </c>
      <c r="C16251" s="35">
        <v>1</v>
      </c>
      <c r="D16251" s="2">
        <f t="shared" si="253"/>
        <v>2</v>
      </c>
    </row>
    <row r="16252" spans="1:4" x14ac:dyDescent="0.3">
      <c r="A16252" s="34">
        <v>79038</v>
      </c>
      <c r="B16252" s="35">
        <v>1</v>
      </c>
      <c r="C16252" s="35">
        <v>0</v>
      </c>
      <c r="D16252" s="2">
        <f t="shared" si="253"/>
        <v>1</v>
      </c>
    </row>
    <row r="16253" spans="1:4" x14ac:dyDescent="0.3">
      <c r="A16253" s="34">
        <v>79039</v>
      </c>
      <c r="B16253" s="35">
        <v>1</v>
      </c>
      <c r="C16253" s="35">
        <v>0</v>
      </c>
      <c r="D16253" s="2">
        <f t="shared" si="253"/>
        <v>1</v>
      </c>
    </row>
    <row r="16254" spans="1:4" x14ac:dyDescent="0.3">
      <c r="A16254" s="34">
        <v>79041</v>
      </c>
      <c r="B16254" s="35">
        <v>1</v>
      </c>
      <c r="C16254" s="35">
        <v>0</v>
      </c>
      <c r="D16254" s="2">
        <f t="shared" si="253"/>
        <v>1</v>
      </c>
    </row>
    <row r="16255" spans="1:4" x14ac:dyDescent="0.3">
      <c r="A16255" s="34">
        <v>79042</v>
      </c>
      <c r="B16255" s="35">
        <v>1</v>
      </c>
      <c r="C16255" s="35">
        <v>0</v>
      </c>
      <c r="D16255" s="2">
        <f t="shared" si="253"/>
        <v>1</v>
      </c>
    </row>
    <row r="16256" spans="1:4" x14ac:dyDescent="0.3">
      <c r="A16256" s="34">
        <v>79043</v>
      </c>
      <c r="B16256" s="35">
        <v>1</v>
      </c>
      <c r="C16256" s="35">
        <v>0</v>
      </c>
      <c r="D16256" s="2">
        <f t="shared" si="253"/>
        <v>1</v>
      </c>
    </row>
    <row r="16257" spans="1:4" x14ac:dyDescent="0.3">
      <c r="A16257" s="34">
        <v>79044</v>
      </c>
      <c r="B16257" s="35">
        <v>2</v>
      </c>
      <c r="C16257" s="35">
        <v>1</v>
      </c>
      <c r="D16257" s="2">
        <f t="shared" si="253"/>
        <v>3</v>
      </c>
    </row>
    <row r="16258" spans="1:4" x14ac:dyDescent="0.3">
      <c r="A16258" s="34">
        <v>79045</v>
      </c>
      <c r="B16258" s="35">
        <v>1</v>
      </c>
      <c r="C16258" s="35">
        <v>0</v>
      </c>
      <c r="D16258" s="2">
        <f t="shared" si="253"/>
        <v>1</v>
      </c>
    </row>
    <row r="16259" spans="1:4" x14ac:dyDescent="0.3">
      <c r="A16259" s="34">
        <v>79047</v>
      </c>
      <c r="B16259" s="35">
        <v>1</v>
      </c>
      <c r="C16259" s="35">
        <v>0</v>
      </c>
      <c r="D16259" s="2">
        <f t="shared" ref="D16259:D16322" si="254">B16259+C16259</f>
        <v>1</v>
      </c>
    </row>
    <row r="16260" spans="1:4" x14ac:dyDescent="0.3">
      <c r="A16260" s="34">
        <v>79048</v>
      </c>
      <c r="B16260" s="35">
        <v>1</v>
      </c>
      <c r="C16260" s="35">
        <v>0</v>
      </c>
      <c r="D16260" s="2">
        <f t="shared" si="254"/>
        <v>1</v>
      </c>
    </row>
    <row r="16261" spans="1:4" x14ac:dyDescent="0.3">
      <c r="A16261" s="34">
        <v>79049</v>
      </c>
      <c r="B16261" s="35">
        <v>2</v>
      </c>
      <c r="C16261" s="35">
        <v>1</v>
      </c>
      <c r="D16261" s="2">
        <f t="shared" si="254"/>
        <v>3</v>
      </c>
    </row>
    <row r="16262" spans="1:4" x14ac:dyDescent="0.3">
      <c r="A16262" s="34">
        <v>79050</v>
      </c>
      <c r="B16262" s="35">
        <v>1</v>
      </c>
      <c r="C16262" s="35">
        <v>0</v>
      </c>
      <c r="D16262" s="2">
        <f t="shared" si="254"/>
        <v>1</v>
      </c>
    </row>
    <row r="16263" spans="1:4" x14ac:dyDescent="0.3">
      <c r="A16263" s="34">
        <v>79051</v>
      </c>
      <c r="B16263" s="35">
        <v>1</v>
      </c>
      <c r="C16263" s="35">
        <v>0</v>
      </c>
      <c r="D16263" s="2">
        <f t="shared" si="254"/>
        <v>1</v>
      </c>
    </row>
    <row r="16264" spans="1:4" x14ac:dyDescent="0.3">
      <c r="A16264" s="34">
        <v>79052</v>
      </c>
      <c r="B16264" s="35">
        <v>1</v>
      </c>
      <c r="C16264" s="35">
        <v>0</v>
      </c>
      <c r="D16264" s="2">
        <f t="shared" si="254"/>
        <v>1</v>
      </c>
    </row>
    <row r="16265" spans="1:4" x14ac:dyDescent="0.3">
      <c r="A16265" s="34">
        <v>79053</v>
      </c>
      <c r="B16265" s="35">
        <v>1</v>
      </c>
      <c r="C16265" s="35">
        <v>0</v>
      </c>
      <c r="D16265" s="2">
        <f t="shared" si="254"/>
        <v>1</v>
      </c>
    </row>
    <row r="16266" spans="1:4" x14ac:dyDescent="0.3">
      <c r="A16266" s="34">
        <v>79054</v>
      </c>
      <c r="B16266" s="35">
        <v>1</v>
      </c>
      <c r="C16266" s="35">
        <v>0</v>
      </c>
      <c r="D16266" s="2">
        <f t="shared" si="254"/>
        <v>1</v>
      </c>
    </row>
    <row r="16267" spans="1:4" x14ac:dyDescent="0.3">
      <c r="A16267" s="34">
        <v>79056</v>
      </c>
      <c r="B16267" s="35">
        <v>1</v>
      </c>
      <c r="C16267" s="35">
        <v>0</v>
      </c>
      <c r="D16267" s="2">
        <f t="shared" si="254"/>
        <v>1</v>
      </c>
    </row>
    <row r="16268" spans="1:4" x14ac:dyDescent="0.3">
      <c r="A16268" s="34">
        <v>79057</v>
      </c>
      <c r="B16268" s="35">
        <v>1</v>
      </c>
      <c r="C16268" s="35">
        <v>0</v>
      </c>
      <c r="D16268" s="2">
        <f t="shared" si="254"/>
        <v>1</v>
      </c>
    </row>
    <row r="16269" spans="1:4" x14ac:dyDescent="0.3">
      <c r="A16269" s="34">
        <v>79059</v>
      </c>
      <c r="B16269" s="35">
        <v>1</v>
      </c>
      <c r="C16269" s="35">
        <v>0</v>
      </c>
      <c r="D16269" s="2">
        <f t="shared" si="254"/>
        <v>1</v>
      </c>
    </row>
    <row r="16270" spans="1:4" x14ac:dyDescent="0.3">
      <c r="A16270" s="34">
        <v>79060</v>
      </c>
      <c r="B16270" s="35">
        <v>1</v>
      </c>
      <c r="C16270" s="35">
        <v>0</v>
      </c>
      <c r="D16270" s="2">
        <f t="shared" si="254"/>
        <v>1</v>
      </c>
    </row>
    <row r="16271" spans="1:4" x14ac:dyDescent="0.3">
      <c r="A16271" s="34">
        <v>79061</v>
      </c>
      <c r="B16271" s="35">
        <v>1</v>
      </c>
      <c r="C16271" s="35">
        <v>0</v>
      </c>
      <c r="D16271" s="2">
        <f t="shared" si="254"/>
        <v>1</v>
      </c>
    </row>
    <row r="16272" spans="1:4" x14ac:dyDescent="0.3">
      <c r="A16272" s="34">
        <v>79062</v>
      </c>
      <c r="B16272" s="35">
        <v>1</v>
      </c>
      <c r="C16272" s="35">
        <v>0</v>
      </c>
      <c r="D16272" s="2">
        <f t="shared" si="254"/>
        <v>1</v>
      </c>
    </row>
    <row r="16273" spans="1:4" x14ac:dyDescent="0.3">
      <c r="A16273" s="34">
        <v>79063</v>
      </c>
      <c r="B16273" s="35">
        <v>1</v>
      </c>
      <c r="C16273" s="35">
        <v>0</v>
      </c>
      <c r="D16273" s="2">
        <f t="shared" si="254"/>
        <v>1</v>
      </c>
    </row>
    <row r="16274" spans="1:4" x14ac:dyDescent="0.3">
      <c r="A16274" s="34">
        <v>79066</v>
      </c>
      <c r="B16274" s="35">
        <v>1</v>
      </c>
      <c r="C16274" s="35">
        <v>0</v>
      </c>
      <c r="D16274" s="2">
        <f t="shared" si="254"/>
        <v>1</v>
      </c>
    </row>
    <row r="16275" spans="1:4" x14ac:dyDescent="0.3">
      <c r="A16275" s="34">
        <v>79067</v>
      </c>
      <c r="B16275" s="35">
        <v>1</v>
      </c>
      <c r="C16275" s="35">
        <v>0</v>
      </c>
      <c r="D16275" s="2">
        <f t="shared" si="254"/>
        <v>1</v>
      </c>
    </row>
    <row r="16276" spans="1:4" x14ac:dyDescent="0.3">
      <c r="A16276" s="34">
        <v>79068</v>
      </c>
      <c r="B16276" s="35">
        <v>1</v>
      </c>
      <c r="C16276" s="35">
        <v>0</v>
      </c>
      <c r="D16276" s="2">
        <f t="shared" si="254"/>
        <v>1</v>
      </c>
    </row>
    <row r="16277" spans="1:4" x14ac:dyDescent="0.3">
      <c r="A16277" s="34">
        <v>79069</v>
      </c>
      <c r="B16277" s="35">
        <v>2</v>
      </c>
      <c r="C16277" s="35">
        <v>1</v>
      </c>
      <c r="D16277" s="2">
        <f t="shared" si="254"/>
        <v>3</v>
      </c>
    </row>
    <row r="16278" spans="1:4" x14ac:dyDescent="0.3">
      <c r="A16278" s="34">
        <v>79070</v>
      </c>
      <c r="B16278" s="35">
        <v>1</v>
      </c>
      <c r="C16278" s="35">
        <v>0</v>
      </c>
      <c r="D16278" s="2">
        <f t="shared" si="254"/>
        <v>1</v>
      </c>
    </row>
    <row r="16279" spans="1:4" x14ac:dyDescent="0.3">
      <c r="A16279" s="34">
        <v>79071</v>
      </c>
      <c r="B16279" s="35">
        <v>1</v>
      </c>
      <c r="C16279" s="35">
        <v>0</v>
      </c>
      <c r="D16279" s="2">
        <f t="shared" si="254"/>
        <v>1</v>
      </c>
    </row>
    <row r="16280" spans="1:4" x14ac:dyDescent="0.3">
      <c r="A16280" s="34">
        <v>79072</v>
      </c>
      <c r="B16280" s="35">
        <v>1</v>
      </c>
      <c r="C16280" s="35">
        <v>0</v>
      </c>
      <c r="D16280" s="2">
        <f t="shared" si="254"/>
        <v>1</v>
      </c>
    </row>
    <row r="16281" spans="1:4" x14ac:dyDescent="0.3">
      <c r="A16281" s="34">
        <v>79073</v>
      </c>
      <c r="B16281" s="35">
        <v>1</v>
      </c>
      <c r="C16281" s="35">
        <v>0</v>
      </c>
      <c r="D16281" s="2">
        <f t="shared" si="254"/>
        <v>1</v>
      </c>
    </row>
    <row r="16282" spans="1:4" x14ac:dyDescent="0.3">
      <c r="A16282" s="34">
        <v>79074</v>
      </c>
      <c r="B16282" s="35">
        <v>1</v>
      </c>
      <c r="C16282" s="35">
        <v>0</v>
      </c>
      <c r="D16282" s="2">
        <f t="shared" si="254"/>
        <v>1</v>
      </c>
    </row>
    <row r="16283" spans="1:4" x14ac:dyDescent="0.3">
      <c r="A16283" s="34">
        <v>79075</v>
      </c>
      <c r="B16283" s="35">
        <v>1</v>
      </c>
      <c r="C16283" s="35">
        <v>0</v>
      </c>
      <c r="D16283" s="2">
        <f t="shared" si="254"/>
        <v>1</v>
      </c>
    </row>
    <row r="16284" spans="1:4" x14ac:dyDescent="0.3">
      <c r="A16284" s="34">
        <v>79076</v>
      </c>
      <c r="B16284" s="35">
        <v>1</v>
      </c>
      <c r="C16284" s="35">
        <v>0</v>
      </c>
      <c r="D16284" s="2">
        <f t="shared" si="254"/>
        <v>1</v>
      </c>
    </row>
    <row r="16285" spans="1:4" x14ac:dyDescent="0.3">
      <c r="A16285" s="34">
        <v>79077</v>
      </c>
      <c r="B16285" s="35">
        <v>1</v>
      </c>
      <c r="C16285" s="35">
        <v>0</v>
      </c>
      <c r="D16285" s="2">
        <f t="shared" si="254"/>
        <v>1</v>
      </c>
    </row>
    <row r="16286" spans="1:4" x14ac:dyDescent="0.3">
      <c r="A16286" s="34">
        <v>79078</v>
      </c>
      <c r="B16286" s="35">
        <v>1</v>
      </c>
      <c r="C16286" s="35">
        <v>0</v>
      </c>
      <c r="D16286" s="2">
        <f t="shared" si="254"/>
        <v>1</v>
      </c>
    </row>
    <row r="16287" spans="1:4" x14ac:dyDescent="0.3">
      <c r="A16287" s="34">
        <v>79079</v>
      </c>
      <c r="B16287" s="35">
        <v>1</v>
      </c>
      <c r="C16287" s="35">
        <v>0</v>
      </c>
      <c r="D16287" s="2">
        <f t="shared" si="254"/>
        <v>1</v>
      </c>
    </row>
    <row r="16288" spans="1:4" x14ac:dyDescent="0.3">
      <c r="A16288" s="34">
        <v>79080</v>
      </c>
      <c r="B16288" s="35">
        <v>1</v>
      </c>
      <c r="C16288" s="35">
        <v>0</v>
      </c>
      <c r="D16288" s="2">
        <f t="shared" si="254"/>
        <v>1</v>
      </c>
    </row>
    <row r="16289" spans="1:4" x14ac:dyDescent="0.3">
      <c r="A16289" s="34">
        <v>79081</v>
      </c>
      <c r="B16289" s="35">
        <v>1</v>
      </c>
      <c r="C16289" s="35">
        <v>0</v>
      </c>
      <c r="D16289" s="2">
        <f t="shared" si="254"/>
        <v>1</v>
      </c>
    </row>
    <row r="16290" spans="1:4" x14ac:dyDescent="0.3">
      <c r="A16290" s="34">
        <v>79082</v>
      </c>
      <c r="B16290" s="35">
        <v>1</v>
      </c>
      <c r="C16290" s="35">
        <v>0</v>
      </c>
      <c r="D16290" s="2">
        <f t="shared" si="254"/>
        <v>1</v>
      </c>
    </row>
    <row r="16291" spans="1:4" x14ac:dyDescent="0.3">
      <c r="A16291" s="34">
        <v>79083</v>
      </c>
      <c r="B16291" s="35">
        <v>1</v>
      </c>
      <c r="C16291" s="35">
        <v>0</v>
      </c>
      <c r="D16291" s="2">
        <f t="shared" si="254"/>
        <v>1</v>
      </c>
    </row>
    <row r="16292" spans="1:4" x14ac:dyDescent="0.3">
      <c r="A16292" s="34">
        <v>79085</v>
      </c>
      <c r="B16292" s="35">
        <v>1</v>
      </c>
      <c r="C16292" s="35">
        <v>0</v>
      </c>
      <c r="D16292" s="2">
        <f t="shared" si="254"/>
        <v>1</v>
      </c>
    </row>
    <row r="16293" spans="1:4" x14ac:dyDescent="0.3">
      <c r="A16293" s="34">
        <v>79086</v>
      </c>
      <c r="B16293" s="35">
        <v>1</v>
      </c>
      <c r="C16293" s="35">
        <v>0</v>
      </c>
      <c r="D16293" s="2">
        <f t="shared" si="254"/>
        <v>1</v>
      </c>
    </row>
    <row r="16294" spans="1:4" x14ac:dyDescent="0.3">
      <c r="A16294" s="34">
        <v>79087</v>
      </c>
      <c r="B16294" s="35">
        <v>1</v>
      </c>
      <c r="C16294" s="35">
        <v>0</v>
      </c>
      <c r="D16294" s="2">
        <f t="shared" si="254"/>
        <v>1</v>
      </c>
    </row>
    <row r="16295" spans="1:4" x14ac:dyDescent="0.3">
      <c r="A16295" s="34">
        <v>79088</v>
      </c>
      <c r="B16295" s="35">
        <v>1</v>
      </c>
      <c r="C16295" s="35">
        <v>0</v>
      </c>
      <c r="D16295" s="2">
        <f t="shared" si="254"/>
        <v>1</v>
      </c>
    </row>
    <row r="16296" spans="1:4" x14ac:dyDescent="0.3">
      <c r="A16296" s="34">
        <v>79089</v>
      </c>
      <c r="B16296" s="35">
        <v>1</v>
      </c>
      <c r="C16296" s="35">
        <v>0</v>
      </c>
      <c r="D16296" s="2">
        <f t="shared" si="254"/>
        <v>1</v>
      </c>
    </row>
    <row r="16297" spans="1:4" x14ac:dyDescent="0.3">
      <c r="A16297" s="34">
        <v>79090</v>
      </c>
      <c r="B16297" s="35">
        <v>1</v>
      </c>
      <c r="C16297" s="35">
        <v>0</v>
      </c>
      <c r="D16297" s="2">
        <f t="shared" si="254"/>
        <v>1</v>
      </c>
    </row>
    <row r="16298" spans="1:4" x14ac:dyDescent="0.3">
      <c r="A16298" s="34">
        <v>79091</v>
      </c>
      <c r="B16298" s="35">
        <v>1</v>
      </c>
      <c r="C16298" s="35">
        <v>0</v>
      </c>
      <c r="D16298" s="2">
        <f t="shared" si="254"/>
        <v>1</v>
      </c>
    </row>
    <row r="16299" spans="1:4" x14ac:dyDescent="0.3">
      <c r="A16299" s="34">
        <v>79092</v>
      </c>
      <c r="B16299" s="35">
        <v>1</v>
      </c>
      <c r="C16299" s="35">
        <v>0</v>
      </c>
      <c r="D16299" s="2">
        <f t="shared" si="254"/>
        <v>1</v>
      </c>
    </row>
    <row r="16300" spans="1:4" x14ac:dyDescent="0.3">
      <c r="A16300" s="34">
        <v>79093</v>
      </c>
      <c r="B16300" s="35">
        <v>1</v>
      </c>
      <c r="C16300" s="35">
        <v>0</v>
      </c>
      <c r="D16300" s="2">
        <f t="shared" si="254"/>
        <v>1</v>
      </c>
    </row>
    <row r="16301" spans="1:4" x14ac:dyDescent="0.3">
      <c r="A16301" s="34">
        <v>79094</v>
      </c>
      <c r="B16301" s="35">
        <v>1</v>
      </c>
      <c r="C16301" s="35">
        <v>0</v>
      </c>
      <c r="D16301" s="2">
        <f t="shared" si="254"/>
        <v>1</v>
      </c>
    </row>
    <row r="16302" spans="1:4" x14ac:dyDescent="0.3">
      <c r="A16302" s="34">
        <v>79095</v>
      </c>
      <c r="B16302" s="35">
        <v>1</v>
      </c>
      <c r="C16302" s="35">
        <v>0</v>
      </c>
      <c r="D16302" s="2">
        <f t="shared" si="254"/>
        <v>1</v>
      </c>
    </row>
    <row r="16303" spans="1:4" x14ac:dyDescent="0.3">
      <c r="A16303" s="34">
        <v>79096</v>
      </c>
      <c r="B16303" s="35">
        <v>1</v>
      </c>
      <c r="C16303" s="35">
        <v>0</v>
      </c>
      <c r="D16303" s="2">
        <f t="shared" si="254"/>
        <v>1</v>
      </c>
    </row>
    <row r="16304" spans="1:4" x14ac:dyDescent="0.3">
      <c r="A16304" s="34">
        <v>79097</v>
      </c>
      <c r="B16304" s="35">
        <v>1</v>
      </c>
      <c r="C16304" s="35">
        <v>0</v>
      </c>
      <c r="D16304" s="2">
        <f t="shared" si="254"/>
        <v>1</v>
      </c>
    </row>
    <row r="16305" spans="1:4" x14ac:dyDescent="0.3">
      <c r="A16305" s="34">
        <v>79098</v>
      </c>
      <c r="B16305" s="35">
        <v>1</v>
      </c>
      <c r="C16305" s="35">
        <v>0</v>
      </c>
      <c r="D16305" s="2">
        <f t="shared" si="254"/>
        <v>1</v>
      </c>
    </row>
    <row r="16306" spans="1:4" x14ac:dyDescent="0.3">
      <c r="A16306" s="34">
        <v>79099</v>
      </c>
      <c r="B16306" s="35">
        <v>1</v>
      </c>
      <c r="C16306" s="35">
        <v>0</v>
      </c>
      <c r="D16306" s="2">
        <f t="shared" si="254"/>
        <v>1</v>
      </c>
    </row>
    <row r="16307" spans="1:4" x14ac:dyDescent="0.3">
      <c r="A16307" s="34">
        <v>79100</v>
      </c>
      <c r="B16307" s="35">
        <v>1</v>
      </c>
      <c r="C16307" s="35">
        <v>0</v>
      </c>
      <c r="D16307" s="2">
        <f t="shared" si="254"/>
        <v>1</v>
      </c>
    </row>
    <row r="16308" spans="1:4" x14ac:dyDescent="0.3">
      <c r="A16308" s="34">
        <v>79101</v>
      </c>
      <c r="B16308" s="35">
        <v>1</v>
      </c>
      <c r="C16308" s="35">
        <v>0</v>
      </c>
      <c r="D16308" s="2">
        <f t="shared" si="254"/>
        <v>1</v>
      </c>
    </row>
    <row r="16309" spans="1:4" x14ac:dyDescent="0.3">
      <c r="A16309" s="34">
        <v>79102</v>
      </c>
      <c r="B16309" s="35">
        <v>1</v>
      </c>
      <c r="C16309" s="35">
        <v>0</v>
      </c>
      <c r="D16309" s="2">
        <f t="shared" si="254"/>
        <v>1</v>
      </c>
    </row>
    <row r="16310" spans="1:4" x14ac:dyDescent="0.3">
      <c r="A16310" s="34">
        <v>79103</v>
      </c>
      <c r="B16310" s="35">
        <v>1</v>
      </c>
      <c r="C16310" s="35">
        <v>0</v>
      </c>
      <c r="D16310" s="2">
        <f t="shared" si="254"/>
        <v>1</v>
      </c>
    </row>
    <row r="16311" spans="1:4" x14ac:dyDescent="0.3">
      <c r="A16311" s="34">
        <v>79104</v>
      </c>
      <c r="B16311" s="35">
        <v>1</v>
      </c>
      <c r="C16311" s="35">
        <v>0</v>
      </c>
      <c r="D16311" s="2">
        <f t="shared" si="254"/>
        <v>1</v>
      </c>
    </row>
    <row r="16312" spans="1:4" x14ac:dyDescent="0.3">
      <c r="A16312" s="34">
        <v>79105</v>
      </c>
      <c r="B16312" s="35">
        <v>1</v>
      </c>
      <c r="C16312" s="35">
        <v>0</v>
      </c>
      <c r="D16312" s="2">
        <f t="shared" si="254"/>
        <v>1</v>
      </c>
    </row>
    <row r="16313" spans="1:4" x14ac:dyDescent="0.3">
      <c r="A16313" s="34">
        <v>79106</v>
      </c>
      <c r="B16313" s="35">
        <v>1</v>
      </c>
      <c r="C16313" s="35">
        <v>0</v>
      </c>
      <c r="D16313" s="2">
        <f t="shared" si="254"/>
        <v>1</v>
      </c>
    </row>
    <row r="16314" spans="1:4" x14ac:dyDescent="0.3">
      <c r="A16314" s="34">
        <v>79107</v>
      </c>
      <c r="B16314" s="35">
        <v>2</v>
      </c>
      <c r="C16314" s="35">
        <v>1</v>
      </c>
      <c r="D16314" s="2">
        <f t="shared" si="254"/>
        <v>3</v>
      </c>
    </row>
    <row r="16315" spans="1:4" x14ac:dyDescent="0.3">
      <c r="A16315" s="34">
        <v>79108</v>
      </c>
      <c r="B16315" s="35">
        <v>1</v>
      </c>
      <c r="C16315" s="35">
        <v>0</v>
      </c>
      <c r="D16315" s="2">
        <f t="shared" si="254"/>
        <v>1</v>
      </c>
    </row>
    <row r="16316" spans="1:4" x14ac:dyDescent="0.3">
      <c r="A16316" s="34">
        <v>79109</v>
      </c>
      <c r="B16316" s="35">
        <v>1</v>
      </c>
      <c r="C16316" s="35">
        <v>0</v>
      </c>
      <c r="D16316" s="2">
        <f t="shared" si="254"/>
        <v>1</v>
      </c>
    </row>
    <row r="16317" spans="1:4" x14ac:dyDescent="0.3">
      <c r="A16317" s="34">
        <v>79110</v>
      </c>
      <c r="B16317" s="35">
        <v>1</v>
      </c>
      <c r="C16317" s="35">
        <v>0</v>
      </c>
      <c r="D16317" s="2">
        <f t="shared" si="254"/>
        <v>1</v>
      </c>
    </row>
    <row r="16318" spans="1:4" x14ac:dyDescent="0.3">
      <c r="A16318" s="34">
        <v>79111</v>
      </c>
      <c r="B16318" s="35">
        <v>1</v>
      </c>
      <c r="C16318" s="35">
        <v>0</v>
      </c>
      <c r="D16318" s="2">
        <f t="shared" si="254"/>
        <v>1</v>
      </c>
    </row>
    <row r="16319" spans="1:4" x14ac:dyDescent="0.3">
      <c r="A16319" s="34">
        <v>79112</v>
      </c>
      <c r="B16319" s="35">
        <v>1</v>
      </c>
      <c r="C16319" s="35">
        <v>0</v>
      </c>
      <c r="D16319" s="2">
        <f t="shared" si="254"/>
        <v>1</v>
      </c>
    </row>
    <row r="16320" spans="1:4" x14ac:dyDescent="0.3">
      <c r="A16320" s="34">
        <v>79113</v>
      </c>
      <c r="B16320" s="35">
        <v>1</v>
      </c>
      <c r="C16320" s="35">
        <v>0</v>
      </c>
      <c r="D16320" s="2">
        <f t="shared" si="254"/>
        <v>1</v>
      </c>
    </row>
    <row r="16321" spans="1:4" x14ac:dyDescent="0.3">
      <c r="A16321" s="34">
        <v>79114</v>
      </c>
      <c r="B16321" s="35">
        <v>1</v>
      </c>
      <c r="C16321" s="35">
        <v>0</v>
      </c>
      <c r="D16321" s="2">
        <f t="shared" si="254"/>
        <v>1</v>
      </c>
    </row>
    <row r="16322" spans="1:4" x14ac:dyDescent="0.3">
      <c r="A16322" s="34">
        <v>79115</v>
      </c>
      <c r="B16322" s="35">
        <v>1</v>
      </c>
      <c r="C16322" s="35">
        <v>0</v>
      </c>
      <c r="D16322" s="2">
        <f t="shared" si="254"/>
        <v>1</v>
      </c>
    </row>
    <row r="16323" spans="1:4" x14ac:dyDescent="0.3">
      <c r="A16323" s="34">
        <v>79116</v>
      </c>
      <c r="B16323" s="35">
        <v>1</v>
      </c>
      <c r="C16323" s="35">
        <v>0</v>
      </c>
      <c r="D16323" s="2">
        <f t="shared" ref="D16323:D16386" si="255">B16323+C16323</f>
        <v>1</v>
      </c>
    </row>
    <row r="16324" spans="1:4" x14ac:dyDescent="0.3">
      <c r="A16324" s="34">
        <v>79117</v>
      </c>
      <c r="B16324" s="35">
        <v>1</v>
      </c>
      <c r="C16324" s="35">
        <v>0</v>
      </c>
      <c r="D16324" s="2">
        <f t="shared" si="255"/>
        <v>1</v>
      </c>
    </row>
    <row r="16325" spans="1:4" x14ac:dyDescent="0.3">
      <c r="A16325" s="34">
        <v>79118</v>
      </c>
      <c r="B16325" s="35">
        <v>1</v>
      </c>
      <c r="C16325" s="35">
        <v>0</v>
      </c>
      <c r="D16325" s="2">
        <f t="shared" si="255"/>
        <v>1</v>
      </c>
    </row>
    <row r="16326" spans="1:4" x14ac:dyDescent="0.3">
      <c r="A16326" s="34">
        <v>79119</v>
      </c>
      <c r="B16326" s="35">
        <v>1</v>
      </c>
      <c r="C16326" s="35">
        <v>0</v>
      </c>
      <c r="D16326" s="2">
        <f t="shared" si="255"/>
        <v>1</v>
      </c>
    </row>
    <row r="16327" spans="1:4" x14ac:dyDescent="0.3">
      <c r="A16327" s="34">
        <v>79120</v>
      </c>
      <c r="B16327" s="35">
        <v>1</v>
      </c>
      <c r="C16327" s="35">
        <v>1</v>
      </c>
      <c r="D16327" s="2">
        <f t="shared" si="255"/>
        <v>2</v>
      </c>
    </row>
    <row r="16328" spans="1:4" x14ac:dyDescent="0.3">
      <c r="A16328" s="34">
        <v>79122</v>
      </c>
      <c r="B16328" s="35">
        <v>1</v>
      </c>
      <c r="C16328" s="35">
        <v>0</v>
      </c>
      <c r="D16328" s="2">
        <f t="shared" si="255"/>
        <v>1</v>
      </c>
    </row>
    <row r="16329" spans="1:4" x14ac:dyDescent="0.3">
      <c r="A16329" s="34">
        <v>79123</v>
      </c>
      <c r="B16329" s="35">
        <v>1</v>
      </c>
      <c r="C16329" s="35">
        <v>0</v>
      </c>
      <c r="D16329" s="2">
        <f t="shared" si="255"/>
        <v>1</v>
      </c>
    </row>
    <row r="16330" spans="1:4" x14ac:dyDescent="0.3">
      <c r="A16330" s="34">
        <v>79124</v>
      </c>
      <c r="B16330" s="35">
        <v>1</v>
      </c>
      <c r="C16330" s="35">
        <v>0</v>
      </c>
      <c r="D16330" s="2">
        <f t="shared" si="255"/>
        <v>1</v>
      </c>
    </row>
    <row r="16331" spans="1:4" x14ac:dyDescent="0.3">
      <c r="A16331" s="34">
        <v>79125</v>
      </c>
      <c r="B16331" s="35">
        <v>1</v>
      </c>
      <c r="C16331" s="35">
        <v>0</v>
      </c>
      <c r="D16331" s="2">
        <f t="shared" si="255"/>
        <v>1</v>
      </c>
    </row>
    <row r="16332" spans="1:4" x14ac:dyDescent="0.3">
      <c r="A16332" s="34">
        <v>79126</v>
      </c>
      <c r="B16332" s="35">
        <v>1</v>
      </c>
      <c r="C16332" s="35">
        <v>0</v>
      </c>
      <c r="D16332" s="2">
        <f t="shared" si="255"/>
        <v>1</v>
      </c>
    </row>
    <row r="16333" spans="1:4" x14ac:dyDescent="0.3">
      <c r="A16333" s="34">
        <v>79127</v>
      </c>
      <c r="B16333" s="35">
        <v>1</v>
      </c>
      <c r="C16333" s="35">
        <v>0</v>
      </c>
      <c r="D16333" s="2">
        <f t="shared" si="255"/>
        <v>1</v>
      </c>
    </row>
    <row r="16334" spans="1:4" x14ac:dyDescent="0.3">
      <c r="A16334" s="34">
        <v>79128</v>
      </c>
      <c r="B16334" s="35">
        <v>1</v>
      </c>
      <c r="C16334" s="35">
        <v>0</v>
      </c>
      <c r="D16334" s="2">
        <f t="shared" si="255"/>
        <v>1</v>
      </c>
    </row>
    <row r="16335" spans="1:4" x14ac:dyDescent="0.3">
      <c r="A16335" s="34">
        <v>79129</v>
      </c>
      <c r="B16335" s="35">
        <v>1</v>
      </c>
      <c r="C16335" s="35">
        <v>0</v>
      </c>
      <c r="D16335" s="2">
        <f t="shared" si="255"/>
        <v>1</v>
      </c>
    </row>
    <row r="16336" spans="1:4" x14ac:dyDescent="0.3">
      <c r="A16336" s="34">
        <v>79130</v>
      </c>
      <c r="B16336" s="35">
        <v>1</v>
      </c>
      <c r="C16336" s="35">
        <v>0</v>
      </c>
      <c r="D16336" s="2">
        <f t="shared" si="255"/>
        <v>1</v>
      </c>
    </row>
    <row r="16337" spans="1:4" x14ac:dyDescent="0.3">
      <c r="A16337" s="34">
        <v>79131</v>
      </c>
      <c r="B16337" s="35">
        <v>1</v>
      </c>
      <c r="C16337" s="35">
        <v>0</v>
      </c>
      <c r="D16337" s="2">
        <f t="shared" si="255"/>
        <v>1</v>
      </c>
    </row>
    <row r="16338" spans="1:4" x14ac:dyDescent="0.3">
      <c r="A16338" s="34">
        <v>79132</v>
      </c>
      <c r="B16338" s="35">
        <v>1</v>
      </c>
      <c r="C16338" s="35">
        <v>0</v>
      </c>
      <c r="D16338" s="2">
        <f t="shared" si="255"/>
        <v>1</v>
      </c>
    </row>
    <row r="16339" spans="1:4" x14ac:dyDescent="0.3">
      <c r="A16339" s="34">
        <v>79133</v>
      </c>
      <c r="B16339" s="35">
        <v>1</v>
      </c>
      <c r="C16339" s="35">
        <v>0</v>
      </c>
      <c r="D16339" s="2">
        <f t="shared" si="255"/>
        <v>1</v>
      </c>
    </row>
    <row r="16340" spans="1:4" x14ac:dyDescent="0.3">
      <c r="A16340" s="34">
        <v>79134</v>
      </c>
      <c r="B16340" s="35">
        <v>1</v>
      </c>
      <c r="C16340" s="35">
        <v>0</v>
      </c>
      <c r="D16340" s="2">
        <f t="shared" si="255"/>
        <v>1</v>
      </c>
    </row>
    <row r="16341" spans="1:4" x14ac:dyDescent="0.3">
      <c r="A16341" s="34">
        <v>79135</v>
      </c>
      <c r="B16341" s="35">
        <v>1</v>
      </c>
      <c r="C16341" s="35">
        <v>0</v>
      </c>
      <c r="D16341" s="2">
        <f t="shared" si="255"/>
        <v>1</v>
      </c>
    </row>
    <row r="16342" spans="1:4" x14ac:dyDescent="0.3">
      <c r="A16342" s="34">
        <v>79137</v>
      </c>
      <c r="B16342" s="35">
        <v>1</v>
      </c>
      <c r="C16342" s="35">
        <v>0</v>
      </c>
      <c r="D16342" s="2">
        <f t="shared" si="255"/>
        <v>1</v>
      </c>
    </row>
    <row r="16343" spans="1:4" x14ac:dyDescent="0.3">
      <c r="A16343" s="34">
        <v>79139</v>
      </c>
      <c r="B16343" s="35">
        <v>1</v>
      </c>
      <c r="C16343" s="35">
        <v>0</v>
      </c>
      <c r="D16343" s="2">
        <f t="shared" si="255"/>
        <v>1</v>
      </c>
    </row>
    <row r="16344" spans="1:4" x14ac:dyDescent="0.3">
      <c r="A16344" s="34">
        <v>79140</v>
      </c>
      <c r="B16344" s="35">
        <v>1</v>
      </c>
      <c r="C16344" s="35">
        <v>0</v>
      </c>
      <c r="D16344" s="2">
        <f t="shared" si="255"/>
        <v>1</v>
      </c>
    </row>
    <row r="16345" spans="1:4" x14ac:dyDescent="0.3">
      <c r="A16345" s="34">
        <v>79141</v>
      </c>
      <c r="B16345" s="35">
        <v>1</v>
      </c>
      <c r="C16345" s="35">
        <v>0</v>
      </c>
      <c r="D16345" s="2">
        <f t="shared" si="255"/>
        <v>1</v>
      </c>
    </row>
    <row r="16346" spans="1:4" x14ac:dyDescent="0.3">
      <c r="A16346" s="34">
        <v>79142</v>
      </c>
      <c r="B16346" s="35">
        <v>1</v>
      </c>
      <c r="C16346" s="35">
        <v>0</v>
      </c>
      <c r="D16346" s="2">
        <f t="shared" si="255"/>
        <v>1</v>
      </c>
    </row>
    <row r="16347" spans="1:4" x14ac:dyDescent="0.3">
      <c r="A16347" s="34">
        <v>79143</v>
      </c>
      <c r="B16347" s="35">
        <v>1</v>
      </c>
      <c r="C16347" s="35">
        <v>0</v>
      </c>
      <c r="D16347" s="2">
        <f t="shared" si="255"/>
        <v>1</v>
      </c>
    </row>
    <row r="16348" spans="1:4" x14ac:dyDescent="0.3">
      <c r="A16348" s="34">
        <v>79144</v>
      </c>
      <c r="B16348" s="35">
        <v>1</v>
      </c>
      <c r="C16348" s="35">
        <v>1</v>
      </c>
      <c r="D16348" s="2">
        <f t="shared" si="255"/>
        <v>2</v>
      </c>
    </row>
    <row r="16349" spans="1:4" x14ac:dyDescent="0.3">
      <c r="A16349" s="34">
        <v>79145</v>
      </c>
      <c r="B16349" s="35">
        <v>1</v>
      </c>
      <c r="C16349" s="35">
        <v>0</v>
      </c>
      <c r="D16349" s="2">
        <f t="shared" si="255"/>
        <v>1</v>
      </c>
    </row>
    <row r="16350" spans="1:4" x14ac:dyDescent="0.3">
      <c r="A16350" s="34">
        <v>79146</v>
      </c>
      <c r="B16350" s="35">
        <v>1</v>
      </c>
      <c r="C16350" s="35">
        <v>0</v>
      </c>
      <c r="D16350" s="2">
        <f t="shared" si="255"/>
        <v>1</v>
      </c>
    </row>
    <row r="16351" spans="1:4" x14ac:dyDescent="0.3">
      <c r="A16351" s="34">
        <v>79147</v>
      </c>
      <c r="B16351" s="35">
        <v>1</v>
      </c>
      <c r="C16351" s="35">
        <v>0</v>
      </c>
      <c r="D16351" s="2">
        <f t="shared" si="255"/>
        <v>1</v>
      </c>
    </row>
    <row r="16352" spans="1:4" x14ac:dyDescent="0.3">
      <c r="A16352" s="34">
        <v>79148</v>
      </c>
      <c r="B16352" s="35">
        <v>1</v>
      </c>
      <c r="C16352" s="35">
        <v>0</v>
      </c>
      <c r="D16352" s="2">
        <f t="shared" si="255"/>
        <v>1</v>
      </c>
    </row>
    <row r="16353" spans="1:4" x14ac:dyDescent="0.3">
      <c r="A16353" s="34">
        <v>79149</v>
      </c>
      <c r="B16353" s="35">
        <v>1</v>
      </c>
      <c r="C16353" s="35">
        <v>0</v>
      </c>
      <c r="D16353" s="2">
        <f t="shared" si="255"/>
        <v>1</v>
      </c>
    </row>
    <row r="16354" spans="1:4" x14ac:dyDescent="0.3">
      <c r="A16354" s="34">
        <v>79150</v>
      </c>
      <c r="B16354" s="35">
        <v>1</v>
      </c>
      <c r="C16354" s="35">
        <v>0</v>
      </c>
      <c r="D16354" s="2">
        <f t="shared" si="255"/>
        <v>1</v>
      </c>
    </row>
    <row r="16355" spans="1:4" x14ac:dyDescent="0.3">
      <c r="A16355" s="34">
        <v>79151</v>
      </c>
      <c r="B16355" s="35">
        <v>1</v>
      </c>
      <c r="C16355" s="35">
        <v>0</v>
      </c>
      <c r="D16355" s="2">
        <f t="shared" si="255"/>
        <v>1</v>
      </c>
    </row>
    <row r="16356" spans="1:4" x14ac:dyDescent="0.3">
      <c r="A16356" s="34">
        <v>79152</v>
      </c>
      <c r="B16356" s="35">
        <v>2</v>
      </c>
      <c r="C16356" s="35">
        <v>1</v>
      </c>
      <c r="D16356" s="2">
        <f t="shared" si="255"/>
        <v>3</v>
      </c>
    </row>
    <row r="16357" spans="1:4" x14ac:dyDescent="0.3">
      <c r="A16357" s="34">
        <v>79153</v>
      </c>
      <c r="B16357" s="35">
        <v>2</v>
      </c>
      <c r="C16357" s="35">
        <v>1</v>
      </c>
      <c r="D16357" s="2">
        <f t="shared" si="255"/>
        <v>3</v>
      </c>
    </row>
    <row r="16358" spans="1:4" x14ac:dyDescent="0.3">
      <c r="A16358" s="34">
        <v>79154</v>
      </c>
      <c r="B16358" s="35">
        <v>1</v>
      </c>
      <c r="C16358" s="35">
        <v>0</v>
      </c>
      <c r="D16358" s="2">
        <f t="shared" si="255"/>
        <v>1</v>
      </c>
    </row>
    <row r="16359" spans="1:4" x14ac:dyDescent="0.3">
      <c r="A16359" s="34">
        <v>79155</v>
      </c>
      <c r="B16359" s="35">
        <v>1</v>
      </c>
      <c r="C16359" s="35">
        <v>0</v>
      </c>
      <c r="D16359" s="2">
        <f t="shared" si="255"/>
        <v>1</v>
      </c>
    </row>
    <row r="16360" spans="1:4" x14ac:dyDescent="0.3">
      <c r="A16360" s="34">
        <v>79156</v>
      </c>
      <c r="B16360" s="35">
        <v>1</v>
      </c>
      <c r="C16360" s="35">
        <v>0</v>
      </c>
      <c r="D16360" s="2">
        <f t="shared" si="255"/>
        <v>1</v>
      </c>
    </row>
    <row r="16361" spans="1:4" x14ac:dyDescent="0.3">
      <c r="A16361" s="34">
        <v>79157</v>
      </c>
      <c r="B16361" s="35">
        <v>1</v>
      </c>
      <c r="C16361" s="35">
        <v>0</v>
      </c>
      <c r="D16361" s="2">
        <f t="shared" si="255"/>
        <v>1</v>
      </c>
    </row>
    <row r="16362" spans="1:4" x14ac:dyDescent="0.3">
      <c r="A16362" s="34">
        <v>79158</v>
      </c>
      <c r="B16362" s="35">
        <v>1</v>
      </c>
      <c r="C16362" s="35">
        <v>0</v>
      </c>
      <c r="D16362" s="2">
        <f t="shared" si="255"/>
        <v>1</v>
      </c>
    </row>
    <row r="16363" spans="1:4" x14ac:dyDescent="0.3">
      <c r="A16363" s="34">
        <v>79159</v>
      </c>
      <c r="B16363" s="35">
        <v>1</v>
      </c>
      <c r="C16363" s="35">
        <v>0</v>
      </c>
      <c r="D16363" s="2">
        <f t="shared" si="255"/>
        <v>1</v>
      </c>
    </row>
    <row r="16364" spans="1:4" x14ac:dyDescent="0.3">
      <c r="A16364" s="34">
        <v>79160</v>
      </c>
      <c r="B16364" s="35">
        <v>1</v>
      </c>
      <c r="C16364" s="35">
        <v>0</v>
      </c>
      <c r="D16364" s="2">
        <f t="shared" si="255"/>
        <v>1</v>
      </c>
    </row>
    <row r="16365" spans="1:4" x14ac:dyDescent="0.3">
      <c r="A16365" s="34">
        <v>79161</v>
      </c>
      <c r="B16365" s="35">
        <v>1</v>
      </c>
      <c r="C16365" s="35">
        <v>0</v>
      </c>
      <c r="D16365" s="2">
        <f t="shared" si="255"/>
        <v>1</v>
      </c>
    </row>
    <row r="16366" spans="1:4" x14ac:dyDescent="0.3">
      <c r="A16366" s="34">
        <v>79162</v>
      </c>
      <c r="B16366" s="35">
        <v>1</v>
      </c>
      <c r="C16366" s="35">
        <v>0</v>
      </c>
      <c r="D16366" s="2">
        <f t="shared" si="255"/>
        <v>1</v>
      </c>
    </row>
    <row r="16367" spans="1:4" x14ac:dyDescent="0.3">
      <c r="A16367" s="34">
        <v>79164</v>
      </c>
      <c r="B16367" s="35">
        <v>1</v>
      </c>
      <c r="C16367" s="35">
        <v>0</v>
      </c>
      <c r="D16367" s="2">
        <f t="shared" si="255"/>
        <v>1</v>
      </c>
    </row>
    <row r="16368" spans="1:4" x14ac:dyDescent="0.3">
      <c r="A16368" s="34">
        <v>79165</v>
      </c>
      <c r="B16368" s="35">
        <v>1</v>
      </c>
      <c r="C16368" s="35">
        <v>0</v>
      </c>
      <c r="D16368" s="2">
        <f t="shared" si="255"/>
        <v>1</v>
      </c>
    </row>
    <row r="16369" spans="1:4" x14ac:dyDescent="0.3">
      <c r="A16369" s="34">
        <v>79166</v>
      </c>
      <c r="B16369" s="35">
        <v>1</v>
      </c>
      <c r="C16369" s="35">
        <v>0</v>
      </c>
      <c r="D16369" s="2">
        <f t="shared" si="255"/>
        <v>1</v>
      </c>
    </row>
    <row r="16370" spans="1:4" x14ac:dyDescent="0.3">
      <c r="A16370" s="34">
        <v>79167</v>
      </c>
      <c r="B16370" s="35">
        <v>1</v>
      </c>
      <c r="C16370" s="35">
        <v>0</v>
      </c>
      <c r="D16370" s="2">
        <f t="shared" si="255"/>
        <v>1</v>
      </c>
    </row>
    <row r="16371" spans="1:4" x14ac:dyDescent="0.3">
      <c r="A16371" s="34">
        <v>79169</v>
      </c>
      <c r="B16371" s="35">
        <v>1</v>
      </c>
      <c r="C16371" s="35">
        <v>0</v>
      </c>
      <c r="D16371" s="2">
        <f t="shared" si="255"/>
        <v>1</v>
      </c>
    </row>
    <row r="16372" spans="1:4" x14ac:dyDescent="0.3">
      <c r="A16372" s="34">
        <v>79170</v>
      </c>
      <c r="B16372" s="35">
        <v>1</v>
      </c>
      <c r="C16372" s="35">
        <v>0</v>
      </c>
      <c r="D16372" s="2">
        <f t="shared" si="255"/>
        <v>1</v>
      </c>
    </row>
    <row r="16373" spans="1:4" x14ac:dyDescent="0.3">
      <c r="A16373" s="34">
        <v>79175</v>
      </c>
      <c r="B16373" s="35">
        <v>1</v>
      </c>
      <c r="C16373" s="35">
        <v>0</v>
      </c>
      <c r="D16373" s="2">
        <f t="shared" si="255"/>
        <v>1</v>
      </c>
    </row>
    <row r="16374" spans="1:4" x14ac:dyDescent="0.3">
      <c r="A16374" s="34">
        <v>79176</v>
      </c>
      <c r="B16374" s="35">
        <v>1</v>
      </c>
      <c r="C16374" s="35">
        <v>0</v>
      </c>
      <c r="D16374" s="2">
        <f t="shared" si="255"/>
        <v>1</v>
      </c>
    </row>
    <row r="16375" spans="1:4" x14ac:dyDescent="0.3">
      <c r="A16375" s="34">
        <v>79177</v>
      </c>
      <c r="B16375" s="35">
        <v>1</v>
      </c>
      <c r="C16375" s="35">
        <v>0</v>
      </c>
      <c r="D16375" s="2">
        <f t="shared" si="255"/>
        <v>1</v>
      </c>
    </row>
    <row r="16376" spans="1:4" x14ac:dyDescent="0.3">
      <c r="A16376" s="34">
        <v>79178</v>
      </c>
      <c r="B16376" s="35">
        <v>1</v>
      </c>
      <c r="C16376" s="35">
        <v>0</v>
      </c>
      <c r="D16376" s="2">
        <f t="shared" si="255"/>
        <v>1</v>
      </c>
    </row>
    <row r="16377" spans="1:4" x14ac:dyDescent="0.3">
      <c r="A16377" s="34">
        <v>79179</v>
      </c>
      <c r="B16377" s="35">
        <v>1</v>
      </c>
      <c r="C16377" s="35">
        <v>1</v>
      </c>
      <c r="D16377" s="2">
        <f t="shared" si="255"/>
        <v>2</v>
      </c>
    </row>
    <row r="16378" spans="1:4" x14ac:dyDescent="0.3">
      <c r="A16378" s="34">
        <v>79180</v>
      </c>
      <c r="B16378" s="35">
        <v>1</v>
      </c>
      <c r="C16378" s="35">
        <v>1</v>
      </c>
      <c r="D16378" s="2">
        <f t="shared" si="255"/>
        <v>2</v>
      </c>
    </row>
    <row r="16379" spans="1:4" x14ac:dyDescent="0.3">
      <c r="A16379" s="34">
        <v>79181</v>
      </c>
      <c r="B16379" s="35">
        <v>1</v>
      </c>
      <c r="C16379" s="35">
        <v>0</v>
      </c>
      <c r="D16379" s="2">
        <f t="shared" si="255"/>
        <v>1</v>
      </c>
    </row>
    <row r="16380" spans="1:4" x14ac:dyDescent="0.3">
      <c r="A16380" s="34">
        <v>79182</v>
      </c>
      <c r="B16380" s="35">
        <v>2</v>
      </c>
      <c r="C16380" s="35">
        <v>1</v>
      </c>
      <c r="D16380" s="2">
        <f t="shared" si="255"/>
        <v>3</v>
      </c>
    </row>
    <row r="16381" spans="1:4" x14ac:dyDescent="0.3">
      <c r="A16381" s="34">
        <v>79183</v>
      </c>
      <c r="B16381" s="35">
        <v>1</v>
      </c>
      <c r="C16381" s="35">
        <v>0</v>
      </c>
      <c r="D16381" s="2">
        <f t="shared" si="255"/>
        <v>1</v>
      </c>
    </row>
    <row r="16382" spans="1:4" x14ac:dyDescent="0.3">
      <c r="A16382" s="34">
        <v>79184</v>
      </c>
      <c r="B16382" s="35">
        <v>1</v>
      </c>
      <c r="C16382" s="35">
        <v>0</v>
      </c>
      <c r="D16382" s="2">
        <f t="shared" si="255"/>
        <v>1</v>
      </c>
    </row>
    <row r="16383" spans="1:4" x14ac:dyDescent="0.3">
      <c r="A16383" s="34">
        <v>79185</v>
      </c>
      <c r="B16383" s="35">
        <v>1</v>
      </c>
      <c r="C16383" s="35">
        <v>0</v>
      </c>
      <c r="D16383" s="2">
        <f t="shared" si="255"/>
        <v>1</v>
      </c>
    </row>
    <row r="16384" spans="1:4" x14ac:dyDescent="0.3">
      <c r="A16384" s="34">
        <v>79186</v>
      </c>
      <c r="B16384" s="35">
        <v>1</v>
      </c>
      <c r="C16384" s="35">
        <v>0</v>
      </c>
      <c r="D16384" s="2">
        <f t="shared" si="255"/>
        <v>1</v>
      </c>
    </row>
    <row r="16385" spans="1:4" x14ac:dyDescent="0.3">
      <c r="A16385" s="34">
        <v>79187</v>
      </c>
      <c r="B16385" s="35">
        <v>1</v>
      </c>
      <c r="C16385" s="35">
        <v>0</v>
      </c>
      <c r="D16385" s="2">
        <f t="shared" si="255"/>
        <v>1</v>
      </c>
    </row>
    <row r="16386" spans="1:4" x14ac:dyDescent="0.3">
      <c r="A16386" s="34">
        <v>79188</v>
      </c>
      <c r="B16386" s="35">
        <v>1</v>
      </c>
      <c r="C16386" s="35">
        <v>0</v>
      </c>
      <c r="D16386" s="2">
        <f t="shared" si="255"/>
        <v>1</v>
      </c>
    </row>
    <row r="16387" spans="1:4" x14ac:dyDescent="0.3">
      <c r="A16387" s="34">
        <v>79189</v>
      </c>
      <c r="B16387" s="35">
        <v>1</v>
      </c>
      <c r="C16387" s="35">
        <v>0</v>
      </c>
      <c r="D16387" s="2">
        <f t="shared" ref="D16387:D16450" si="256">B16387+C16387</f>
        <v>1</v>
      </c>
    </row>
    <row r="16388" spans="1:4" x14ac:dyDescent="0.3">
      <c r="A16388" s="34">
        <v>79190</v>
      </c>
      <c r="B16388" s="35">
        <v>1</v>
      </c>
      <c r="C16388" s="35">
        <v>0</v>
      </c>
      <c r="D16388" s="2">
        <f t="shared" si="256"/>
        <v>1</v>
      </c>
    </row>
    <row r="16389" spans="1:4" x14ac:dyDescent="0.3">
      <c r="A16389" s="34">
        <v>79191</v>
      </c>
      <c r="B16389" s="35">
        <v>1</v>
      </c>
      <c r="C16389" s="35">
        <v>0</v>
      </c>
      <c r="D16389" s="2">
        <f t="shared" si="256"/>
        <v>1</v>
      </c>
    </row>
    <row r="16390" spans="1:4" x14ac:dyDescent="0.3">
      <c r="A16390" s="34">
        <v>79192</v>
      </c>
      <c r="B16390" s="35">
        <v>1</v>
      </c>
      <c r="C16390" s="35">
        <v>0</v>
      </c>
      <c r="D16390" s="2">
        <f t="shared" si="256"/>
        <v>1</v>
      </c>
    </row>
    <row r="16391" spans="1:4" x14ac:dyDescent="0.3">
      <c r="A16391" s="34">
        <v>79193</v>
      </c>
      <c r="B16391" s="35">
        <v>1</v>
      </c>
      <c r="C16391" s="35">
        <v>0</v>
      </c>
      <c r="D16391" s="2">
        <f t="shared" si="256"/>
        <v>1</v>
      </c>
    </row>
    <row r="16392" spans="1:4" x14ac:dyDescent="0.3">
      <c r="A16392" s="34">
        <v>79194</v>
      </c>
      <c r="B16392" s="35">
        <v>1</v>
      </c>
      <c r="C16392" s="35">
        <v>0</v>
      </c>
      <c r="D16392" s="2">
        <f t="shared" si="256"/>
        <v>1</v>
      </c>
    </row>
    <row r="16393" spans="1:4" x14ac:dyDescent="0.3">
      <c r="A16393" s="34">
        <v>79195</v>
      </c>
      <c r="B16393" s="35">
        <v>1</v>
      </c>
      <c r="C16393" s="35">
        <v>0</v>
      </c>
      <c r="D16393" s="2">
        <f t="shared" si="256"/>
        <v>1</v>
      </c>
    </row>
    <row r="16394" spans="1:4" x14ac:dyDescent="0.3">
      <c r="A16394" s="34">
        <v>79196</v>
      </c>
      <c r="B16394" s="35">
        <v>1</v>
      </c>
      <c r="C16394" s="35">
        <v>0</v>
      </c>
      <c r="D16394" s="2">
        <f t="shared" si="256"/>
        <v>1</v>
      </c>
    </row>
    <row r="16395" spans="1:4" x14ac:dyDescent="0.3">
      <c r="A16395" s="34">
        <v>79197</v>
      </c>
      <c r="B16395" s="35">
        <v>1</v>
      </c>
      <c r="C16395" s="35">
        <v>0</v>
      </c>
      <c r="D16395" s="2">
        <f t="shared" si="256"/>
        <v>1</v>
      </c>
    </row>
    <row r="16396" spans="1:4" x14ac:dyDescent="0.3">
      <c r="A16396" s="34">
        <v>79199</v>
      </c>
      <c r="B16396" s="35">
        <v>1</v>
      </c>
      <c r="C16396" s="35">
        <v>0</v>
      </c>
      <c r="D16396" s="2">
        <f t="shared" si="256"/>
        <v>1</v>
      </c>
    </row>
    <row r="16397" spans="1:4" x14ac:dyDescent="0.3">
      <c r="A16397" s="34">
        <v>79200</v>
      </c>
      <c r="B16397" s="35">
        <v>1</v>
      </c>
      <c r="C16397" s="35">
        <v>0</v>
      </c>
      <c r="D16397" s="2">
        <f t="shared" si="256"/>
        <v>1</v>
      </c>
    </row>
    <row r="16398" spans="1:4" x14ac:dyDescent="0.3">
      <c r="A16398" s="34">
        <v>79201</v>
      </c>
      <c r="B16398" s="35">
        <v>1</v>
      </c>
      <c r="C16398" s="35">
        <v>0</v>
      </c>
      <c r="D16398" s="2">
        <f t="shared" si="256"/>
        <v>1</v>
      </c>
    </row>
    <row r="16399" spans="1:4" x14ac:dyDescent="0.3">
      <c r="A16399" s="34">
        <v>79202</v>
      </c>
      <c r="B16399" s="35">
        <v>1</v>
      </c>
      <c r="C16399" s="35">
        <v>0</v>
      </c>
      <c r="D16399" s="2">
        <f t="shared" si="256"/>
        <v>1</v>
      </c>
    </row>
    <row r="16400" spans="1:4" x14ac:dyDescent="0.3">
      <c r="A16400" s="34">
        <v>79203</v>
      </c>
      <c r="B16400" s="35">
        <v>1</v>
      </c>
      <c r="C16400" s="35">
        <v>0</v>
      </c>
      <c r="D16400" s="2">
        <f t="shared" si="256"/>
        <v>1</v>
      </c>
    </row>
    <row r="16401" spans="1:4" x14ac:dyDescent="0.3">
      <c r="A16401" s="34">
        <v>79204</v>
      </c>
      <c r="B16401" s="35">
        <v>1</v>
      </c>
      <c r="C16401" s="35">
        <v>0</v>
      </c>
      <c r="D16401" s="2">
        <f t="shared" si="256"/>
        <v>1</v>
      </c>
    </row>
    <row r="16402" spans="1:4" x14ac:dyDescent="0.3">
      <c r="A16402" s="34">
        <v>79205</v>
      </c>
      <c r="B16402" s="35">
        <v>1</v>
      </c>
      <c r="C16402" s="35">
        <v>0</v>
      </c>
      <c r="D16402" s="2">
        <f t="shared" si="256"/>
        <v>1</v>
      </c>
    </row>
    <row r="16403" spans="1:4" x14ac:dyDescent="0.3">
      <c r="A16403" s="34">
        <v>79206</v>
      </c>
      <c r="B16403" s="35">
        <v>2</v>
      </c>
      <c r="C16403" s="35">
        <v>1</v>
      </c>
      <c r="D16403" s="2">
        <f t="shared" si="256"/>
        <v>3</v>
      </c>
    </row>
    <row r="16404" spans="1:4" x14ac:dyDescent="0.3">
      <c r="A16404" s="34">
        <v>79207</v>
      </c>
      <c r="B16404" s="35">
        <v>1</v>
      </c>
      <c r="C16404" s="35">
        <v>0</v>
      </c>
      <c r="D16404" s="2">
        <f t="shared" si="256"/>
        <v>1</v>
      </c>
    </row>
    <row r="16405" spans="1:4" x14ac:dyDescent="0.3">
      <c r="A16405" s="34">
        <v>79208</v>
      </c>
      <c r="B16405" s="35">
        <v>1</v>
      </c>
      <c r="C16405" s="35">
        <v>0</v>
      </c>
      <c r="D16405" s="2">
        <f t="shared" si="256"/>
        <v>1</v>
      </c>
    </row>
    <row r="16406" spans="1:4" x14ac:dyDescent="0.3">
      <c r="A16406" s="34">
        <v>79209</v>
      </c>
      <c r="B16406" s="35">
        <v>1</v>
      </c>
      <c r="C16406" s="35">
        <v>0</v>
      </c>
      <c r="D16406" s="2">
        <f t="shared" si="256"/>
        <v>1</v>
      </c>
    </row>
    <row r="16407" spans="1:4" x14ac:dyDescent="0.3">
      <c r="A16407" s="34">
        <v>79210</v>
      </c>
      <c r="B16407" s="35">
        <v>1</v>
      </c>
      <c r="C16407" s="35">
        <v>0</v>
      </c>
      <c r="D16407" s="2">
        <f t="shared" si="256"/>
        <v>1</v>
      </c>
    </row>
    <row r="16408" spans="1:4" x14ac:dyDescent="0.3">
      <c r="A16408" s="34">
        <v>79211</v>
      </c>
      <c r="B16408" s="35">
        <v>1</v>
      </c>
      <c r="C16408" s="35">
        <v>0</v>
      </c>
      <c r="D16408" s="2">
        <f t="shared" si="256"/>
        <v>1</v>
      </c>
    </row>
    <row r="16409" spans="1:4" x14ac:dyDescent="0.3">
      <c r="A16409" s="34">
        <v>79212</v>
      </c>
      <c r="B16409" s="35">
        <v>1</v>
      </c>
      <c r="C16409" s="35">
        <v>0</v>
      </c>
      <c r="D16409" s="2">
        <f t="shared" si="256"/>
        <v>1</v>
      </c>
    </row>
    <row r="16410" spans="1:4" x14ac:dyDescent="0.3">
      <c r="A16410" s="34">
        <v>79213</v>
      </c>
      <c r="B16410" s="35">
        <v>1</v>
      </c>
      <c r="C16410" s="35">
        <v>0</v>
      </c>
      <c r="D16410" s="2">
        <f t="shared" si="256"/>
        <v>1</v>
      </c>
    </row>
    <row r="16411" spans="1:4" x14ac:dyDescent="0.3">
      <c r="A16411" s="34">
        <v>79214</v>
      </c>
      <c r="B16411" s="35">
        <v>1</v>
      </c>
      <c r="C16411" s="35">
        <v>0</v>
      </c>
      <c r="D16411" s="2">
        <f t="shared" si="256"/>
        <v>1</v>
      </c>
    </row>
    <row r="16412" spans="1:4" x14ac:dyDescent="0.3">
      <c r="A16412" s="34">
        <v>79215</v>
      </c>
      <c r="B16412" s="35">
        <v>1</v>
      </c>
      <c r="C16412" s="35">
        <v>0</v>
      </c>
      <c r="D16412" s="2">
        <f t="shared" si="256"/>
        <v>1</v>
      </c>
    </row>
    <row r="16413" spans="1:4" x14ac:dyDescent="0.3">
      <c r="A16413" s="34">
        <v>79216</v>
      </c>
      <c r="B16413" s="35">
        <v>1</v>
      </c>
      <c r="C16413" s="35">
        <v>0</v>
      </c>
      <c r="D16413" s="2">
        <f t="shared" si="256"/>
        <v>1</v>
      </c>
    </row>
    <row r="16414" spans="1:4" x14ac:dyDescent="0.3">
      <c r="A16414" s="34">
        <v>79217</v>
      </c>
      <c r="B16414" s="35">
        <v>1</v>
      </c>
      <c r="C16414" s="35">
        <v>0</v>
      </c>
      <c r="D16414" s="2">
        <f t="shared" si="256"/>
        <v>1</v>
      </c>
    </row>
    <row r="16415" spans="1:4" x14ac:dyDescent="0.3">
      <c r="A16415" s="34">
        <v>79218</v>
      </c>
      <c r="B16415" s="35">
        <v>1</v>
      </c>
      <c r="C16415" s="35">
        <v>0</v>
      </c>
      <c r="D16415" s="2">
        <f t="shared" si="256"/>
        <v>1</v>
      </c>
    </row>
    <row r="16416" spans="1:4" x14ac:dyDescent="0.3">
      <c r="A16416" s="34">
        <v>79219</v>
      </c>
      <c r="B16416" s="35">
        <v>1</v>
      </c>
      <c r="C16416" s="35">
        <v>0</v>
      </c>
      <c r="D16416" s="2">
        <f t="shared" si="256"/>
        <v>1</v>
      </c>
    </row>
    <row r="16417" spans="1:4" x14ac:dyDescent="0.3">
      <c r="A16417" s="34">
        <v>79220</v>
      </c>
      <c r="B16417" s="35">
        <v>1</v>
      </c>
      <c r="C16417" s="35">
        <v>0</v>
      </c>
      <c r="D16417" s="2">
        <f t="shared" si="256"/>
        <v>1</v>
      </c>
    </row>
    <row r="16418" spans="1:4" x14ac:dyDescent="0.3">
      <c r="A16418" s="34">
        <v>79275</v>
      </c>
      <c r="B16418" s="35">
        <v>1</v>
      </c>
      <c r="C16418" s="35">
        <v>0</v>
      </c>
      <c r="D16418" s="2">
        <f t="shared" si="256"/>
        <v>1</v>
      </c>
    </row>
    <row r="16419" spans="1:4" x14ac:dyDescent="0.3">
      <c r="A16419" s="34">
        <v>79276</v>
      </c>
      <c r="B16419" s="35">
        <v>1</v>
      </c>
      <c r="C16419" s="35">
        <v>0</v>
      </c>
      <c r="D16419" s="2">
        <f t="shared" si="256"/>
        <v>1</v>
      </c>
    </row>
    <row r="16420" spans="1:4" x14ac:dyDescent="0.3">
      <c r="A16420" s="34">
        <v>79278</v>
      </c>
      <c r="B16420" s="35">
        <v>2</v>
      </c>
      <c r="C16420" s="35">
        <v>1</v>
      </c>
      <c r="D16420" s="2">
        <f t="shared" si="256"/>
        <v>3</v>
      </c>
    </row>
    <row r="16421" spans="1:4" x14ac:dyDescent="0.3">
      <c r="A16421" s="34">
        <v>79279</v>
      </c>
      <c r="B16421" s="35">
        <v>1</v>
      </c>
      <c r="C16421" s="35">
        <v>0</v>
      </c>
      <c r="D16421" s="2">
        <f t="shared" si="256"/>
        <v>1</v>
      </c>
    </row>
    <row r="16422" spans="1:4" x14ac:dyDescent="0.3">
      <c r="A16422" s="34">
        <v>79280</v>
      </c>
      <c r="B16422" s="35">
        <v>1</v>
      </c>
      <c r="C16422" s="35">
        <v>0</v>
      </c>
      <c r="D16422" s="2">
        <f t="shared" si="256"/>
        <v>1</v>
      </c>
    </row>
    <row r="16423" spans="1:4" x14ac:dyDescent="0.3">
      <c r="A16423" s="34">
        <v>79281</v>
      </c>
      <c r="B16423" s="35">
        <v>1</v>
      </c>
      <c r="C16423" s="35">
        <v>0</v>
      </c>
      <c r="D16423" s="2">
        <f t="shared" si="256"/>
        <v>1</v>
      </c>
    </row>
    <row r="16424" spans="1:4" x14ac:dyDescent="0.3">
      <c r="A16424" s="34">
        <v>79282</v>
      </c>
      <c r="B16424" s="35">
        <v>1</v>
      </c>
      <c r="C16424" s="35">
        <v>0</v>
      </c>
      <c r="D16424" s="2">
        <f t="shared" si="256"/>
        <v>1</v>
      </c>
    </row>
    <row r="16425" spans="1:4" x14ac:dyDescent="0.3">
      <c r="A16425" s="34">
        <v>79283</v>
      </c>
      <c r="B16425" s="35">
        <v>1</v>
      </c>
      <c r="C16425" s="35">
        <v>0</v>
      </c>
      <c r="D16425" s="2">
        <f t="shared" si="256"/>
        <v>1</v>
      </c>
    </row>
    <row r="16426" spans="1:4" x14ac:dyDescent="0.3">
      <c r="A16426" s="34">
        <v>79284</v>
      </c>
      <c r="B16426" s="35">
        <v>1</v>
      </c>
      <c r="C16426" s="35">
        <v>0</v>
      </c>
      <c r="D16426" s="2">
        <f t="shared" si="256"/>
        <v>1</v>
      </c>
    </row>
    <row r="16427" spans="1:4" x14ac:dyDescent="0.3">
      <c r="A16427" s="34">
        <v>79285</v>
      </c>
      <c r="B16427" s="35">
        <v>1</v>
      </c>
      <c r="C16427" s="35">
        <v>0</v>
      </c>
      <c r="D16427" s="2">
        <f t="shared" si="256"/>
        <v>1</v>
      </c>
    </row>
    <row r="16428" spans="1:4" x14ac:dyDescent="0.3">
      <c r="A16428" s="34">
        <v>79286</v>
      </c>
      <c r="B16428" s="35">
        <v>1</v>
      </c>
      <c r="C16428" s="35">
        <v>0</v>
      </c>
      <c r="D16428" s="2">
        <f t="shared" si="256"/>
        <v>1</v>
      </c>
    </row>
    <row r="16429" spans="1:4" x14ac:dyDescent="0.3">
      <c r="A16429" s="34">
        <v>79288</v>
      </c>
      <c r="B16429" s="35">
        <v>2</v>
      </c>
      <c r="C16429" s="35">
        <v>1</v>
      </c>
      <c r="D16429" s="2">
        <f t="shared" si="256"/>
        <v>3</v>
      </c>
    </row>
    <row r="16430" spans="1:4" x14ac:dyDescent="0.3">
      <c r="A16430" s="34">
        <v>79289</v>
      </c>
      <c r="B16430" s="35">
        <v>1</v>
      </c>
      <c r="C16430" s="35">
        <v>1</v>
      </c>
      <c r="D16430" s="2">
        <f t="shared" si="256"/>
        <v>2</v>
      </c>
    </row>
    <row r="16431" spans="1:4" x14ac:dyDescent="0.3">
      <c r="A16431" s="34">
        <v>79290</v>
      </c>
      <c r="B16431" s="35">
        <v>1</v>
      </c>
      <c r="C16431" s="35">
        <v>0</v>
      </c>
      <c r="D16431" s="2">
        <f t="shared" si="256"/>
        <v>1</v>
      </c>
    </row>
    <row r="16432" spans="1:4" x14ac:dyDescent="0.3">
      <c r="A16432" s="34">
        <v>79291</v>
      </c>
      <c r="B16432" s="35">
        <v>1</v>
      </c>
      <c r="C16432" s="35">
        <v>0</v>
      </c>
      <c r="D16432" s="2">
        <f t="shared" si="256"/>
        <v>1</v>
      </c>
    </row>
    <row r="16433" spans="1:4" x14ac:dyDescent="0.3">
      <c r="A16433" s="34">
        <v>79292</v>
      </c>
      <c r="B16433" s="35">
        <v>1</v>
      </c>
      <c r="C16433" s="35">
        <v>0</v>
      </c>
      <c r="D16433" s="2">
        <f t="shared" si="256"/>
        <v>1</v>
      </c>
    </row>
    <row r="16434" spans="1:4" x14ac:dyDescent="0.3">
      <c r="A16434" s="34">
        <v>79293</v>
      </c>
      <c r="B16434" s="35">
        <v>1</v>
      </c>
      <c r="C16434" s="35">
        <v>0</v>
      </c>
      <c r="D16434" s="2">
        <f t="shared" si="256"/>
        <v>1</v>
      </c>
    </row>
    <row r="16435" spans="1:4" x14ac:dyDescent="0.3">
      <c r="A16435" s="34">
        <v>79294</v>
      </c>
      <c r="B16435" s="35">
        <v>1</v>
      </c>
      <c r="C16435" s="35">
        <v>1</v>
      </c>
      <c r="D16435" s="2">
        <f t="shared" si="256"/>
        <v>2</v>
      </c>
    </row>
    <row r="16436" spans="1:4" x14ac:dyDescent="0.3">
      <c r="A16436" s="34">
        <v>79295</v>
      </c>
      <c r="B16436" s="35">
        <v>1</v>
      </c>
      <c r="C16436" s="35">
        <v>0</v>
      </c>
      <c r="D16436" s="2">
        <f t="shared" si="256"/>
        <v>1</v>
      </c>
    </row>
    <row r="16437" spans="1:4" x14ac:dyDescent="0.3">
      <c r="A16437" s="34">
        <v>79296</v>
      </c>
      <c r="B16437" s="35">
        <v>1</v>
      </c>
      <c r="C16437" s="35">
        <v>0</v>
      </c>
      <c r="D16437" s="2">
        <f t="shared" si="256"/>
        <v>1</v>
      </c>
    </row>
    <row r="16438" spans="1:4" x14ac:dyDescent="0.3">
      <c r="A16438" s="34">
        <v>79297</v>
      </c>
      <c r="B16438" s="35">
        <v>1</v>
      </c>
      <c r="C16438" s="35">
        <v>0</v>
      </c>
      <c r="D16438" s="2">
        <f t="shared" si="256"/>
        <v>1</v>
      </c>
    </row>
    <row r="16439" spans="1:4" x14ac:dyDescent="0.3">
      <c r="A16439" s="34">
        <v>79298</v>
      </c>
      <c r="B16439" s="35">
        <v>2</v>
      </c>
      <c r="C16439" s="35">
        <v>1</v>
      </c>
      <c r="D16439" s="2">
        <f t="shared" si="256"/>
        <v>3</v>
      </c>
    </row>
    <row r="16440" spans="1:4" x14ac:dyDescent="0.3">
      <c r="A16440" s="34">
        <v>79299</v>
      </c>
      <c r="B16440" s="35">
        <v>2</v>
      </c>
      <c r="C16440" s="35">
        <v>1</v>
      </c>
      <c r="D16440" s="2">
        <f t="shared" si="256"/>
        <v>3</v>
      </c>
    </row>
    <row r="16441" spans="1:4" x14ac:dyDescent="0.3">
      <c r="A16441" s="34">
        <v>79300</v>
      </c>
      <c r="B16441" s="35">
        <v>1</v>
      </c>
      <c r="C16441" s="35">
        <v>0</v>
      </c>
      <c r="D16441" s="2">
        <f t="shared" si="256"/>
        <v>1</v>
      </c>
    </row>
    <row r="16442" spans="1:4" x14ac:dyDescent="0.3">
      <c r="A16442" s="34">
        <v>79301</v>
      </c>
      <c r="B16442" s="35">
        <v>1</v>
      </c>
      <c r="C16442" s="35">
        <v>0</v>
      </c>
      <c r="D16442" s="2">
        <f t="shared" si="256"/>
        <v>1</v>
      </c>
    </row>
    <row r="16443" spans="1:4" x14ac:dyDescent="0.3">
      <c r="A16443" s="34">
        <v>79302</v>
      </c>
      <c r="B16443" s="35">
        <v>1</v>
      </c>
      <c r="C16443" s="35">
        <v>1</v>
      </c>
      <c r="D16443" s="2">
        <f t="shared" si="256"/>
        <v>2</v>
      </c>
    </row>
    <row r="16444" spans="1:4" x14ac:dyDescent="0.3">
      <c r="A16444" s="34">
        <v>79303</v>
      </c>
      <c r="B16444" s="35">
        <v>1</v>
      </c>
      <c r="C16444" s="35">
        <v>1</v>
      </c>
      <c r="D16444" s="2">
        <f t="shared" si="256"/>
        <v>2</v>
      </c>
    </row>
    <row r="16445" spans="1:4" x14ac:dyDescent="0.3">
      <c r="A16445" s="34">
        <v>79304</v>
      </c>
      <c r="B16445" s="35">
        <v>1</v>
      </c>
      <c r="C16445" s="35">
        <v>1</v>
      </c>
      <c r="D16445" s="2">
        <f t="shared" si="256"/>
        <v>2</v>
      </c>
    </row>
    <row r="16446" spans="1:4" x14ac:dyDescent="0.3">
      <c r="A16446" s="34">
        <v>79305</v>
      </c>
      <c r="B16446" s="35">
        <v>1</v>
      </c>
      <c r="C16446" s="35">
        <v>0</v>
      </c>
      <c r="D16446" s="2">
        <f t="shared" si="256"/>
        <v>1</v>
      </c>
    </row>
    <row r="16447" spans="1:4" x14ac:dyDescent="0.3">
      <c r="A16447" s="34">
        <v>79306</v>
      </c>
      <c r="B16447" s="35">
        <v>1</v>
      </c>
      <c r="C16447" s="35">
        <v>0</v>
      </c>
      <c r="D16447" s="2">
        <f t="shared" si="256"/>
        <v>1</v>
      </c>
    </row>
    <row r="16448" spans="1:4" x14ac:dyDescent="0.3">
      <c r="A16448" s="34">
        <v>79307</v>
      </c>
      <c r="B16448" s="35">
        <v>1</v>
      </c>
      <c r="C16448" s="35">
        <v>0</v>
      </c>
      <c r="D16448" s="2">
        <f t="shared" si="256"/>
        <v>1</v>
      </c>
    </row>
    <row r="16449" spans="1:4" x14ac:dyDescent="0.3">
      <c r="A16449" s="34">
        <v>79308</v>
      </c>
      <c r="B16449" s="35">
        <v>1</v>
      </c>
      <c r="C16449" s="35">
        <v>0</v>
      </c>
      <c r="D16449" s="2">
        <f t="shared" si="256"/>
        <v>1</v>
      </c>
    </row>
    <row r="16450" spans="1:4" x14ac:dyDescent="0.3">
      <c r="A16450" s="34">
        <v>79309</v>
      </c>
      <c r="B16450" s="35">
        <v>1</v>
      </c>
      <c r="C16450" s="35">
        <v>0</v>
      </c>
      <c r="D16450" s="2">
        <f t="shared" si="256"/>
        <v>1</v>
      </c>
    </row>
    <row r="16451" spans="1:4" x14ac:dyDescent="0.3">
      <c r="A16451" s="34">
        <v>79310</v>
      </c>
      <c r="B16451" s="35">
        <v>1</v>
      </c>
      <c r="C16451" s="35">
        <v>0</v>
      </c>
      <c r="D16451" s="2">
        <f t="shared" ref="D16451:D16514" si="257">B16451+C16451</f>
        <v>1</v>
      </c>
    </row>
    <row r="16452" spans="1:4" x14ac:dyDescent="0.3">
      <c r="A16452" s="34">
        <v>79311</v>
      </c>
      <c r="B16452" s="35">
        <v>1</v>
      </c>
      <c r="C16452" s="35">
        <v>0</v>
      </c>
      <c r="D16452" s="2">
        <f t="shared" si="257"/>
        <v>1</v>
      </c>
    </row>
    <row r="16453" spans="1:4" x14ac:dyDescent="0.3">
      <c r="A16453" s="34">
        <v>79312</v>
      </c>
      <c r="B16453" s="35">
        <v>1</v>
      </c>
      <c r="C16453" s="35">
        <v>0</v>
      </c>
      <c r="D16453" s="2">
        <f t="shared" si="257"/>
        <v>1</v>
      </c>
    </row>
    <row r="16454" spans="1:4" x14ac:dyDescent="0.3">
      <c r="A16454" s="34">
        <v>79313</v>
      </c>
      <c r="B16454" s="35">
        <v>1</v>
      </c>
      <c r="C16454" s="35">
        <v>0</v>
      </c>
      <c r="D16454" s="2">
        <f t="shared" si="257"/>
        <v>1</v>
      </c>
    </row>
    <row r="16455" spans="1:4" x14ac:dyDescent="0.3">
      <c r="A16455" s="34">
        <v>79314</v>
      </c>
      <c r="B16455" s="35">
        <v>1</v>
      </c>
      <c r="C16455" s="35">
        <v>0</v>
      </c>
      <c r="D16455" s="2">
        <f t="shared" si="257"/>
        <v>1</v>
      </c>
    </row>
    <row r="16456" spans="1:4" x14ac:dyDescent="0.3">
      <c r="A16456" s="34">
        <v>79315</v>
      </c>
      <c r="B16456" s="35">
        <v>1</v>
      </c>
      <c r="C16456" s="35">
        <v>0</v>
      </c>
      <c r="D16456" s="2">
        <f t="shared" si="257"/>
        <v>1</v>
      </c>
    </row>
    <row r="16457" spans="1:4" x14ac:dyDescent="0.3">
      <c r="A16457" s="34">
        <v>79316</v>
      </c>
      <c r="B16457" s="35">
        <v>1</v>
      </c>
      <c r="C16457" s="35">
        <v>0</v>
      </c>
      <c r="D16457" s="2">
        <f t="shared" si="257"/>
        <v>1</v>
      </c>
    </row>
    <row r="16458" spans="1:4" x14ac:dyDescent="0.3">
      <c r="A16458" s="34">
        <v>79318</v>
      </c>
      <c r="B16458" s="35">
        <v>1</v>
      </c>
      <c r="C16458" s="35">
        <v>0</v>
      </c>
      <c r="D16458" s="2">
        <f t="shared" si="257"/>
        <v>1</v>
      </c>
    </row>
    <row r="16459" spans="1:4" x14ac:dyDescent="0.3">
      <c r="A16459" s="34">
        <v>79319</v>
      </c>
      <c r="B16459" s="35">
        <v>1</v>
      </c>
      <c r="C16459" s="35">
        <v>0</v>
      </c>
      <c r="D16459" s="2">
        <f t="shared" si="257"/>
        <v>1</v>
      </c>
    </row>
    <row r="16460" spans="1:4" x14ac:dyDescent="0.3">
      <c r="A16460" s="34">
        <v>79320</v>
      </c>
      <c r="B16460" s="35">
        <v>1</v>
      </c>
      <c r="C16460" s="35">
        <v>0</v>
      </c>
      <c r="D16460" s="2">
        <f t="shared" si="257"/>
        <v>1</v>
      </c>
    </row>
    <row r="16461" spans="1:4" x14ac:dyDescent="0.3">
      <c r="A16461" s="34">
        <v>79321</v>
      </c>
      <c r="B16461" s="35">
        <v>1</v>
      </c>
      <c r="C16461" s="35">
        <v>0</v>
      </c>
      <c r="D16461" s="2">
        <f t="shared" si="257"/>
        <v>1</v>
      </c>
    </row>
    <row r="16462" spans="1:4" x14ac:dyDescent="0.3">
      <c r="A16462" s="34">
        <v>79322</v>
      </c>
      <c r="B16462" s="35">
        <v>1</v>
      </c>
      <c r="C16462" s="35">
        <v>0</v>
      </c>
      <c r="D16462" s="2">
        <f t="shared" si="257"/>
        <v>1</v>
      </c>
    </row>
    <row r="16463" spans="1:4" x14ac:dyDescent="0.3">
      <c r="A16463" s="34">
        <v>79323</v>
      </c>
      <c r="B16463" s="35">
        <v>1</v>
      </c>
      <c r="C16463" s="35">
        <v>0</v>
      </c>
      <c r="D16463" s="2">
        <f t="shared" si="257"/>
        <v>1</v>
      </c>
    </row>
    <row r="16464" spans="1:4" x14ac:dyDescent="0.3">
      <c r="A16464" s="34">
        <v>79324</v>
      </c>
      <c r="B16464" s="35">
        <v>1</v>
      </c>
      <c r="C16464" s="35">
        <v>0</v>
      </c>
      <c r="D16464" s="2">
        <f t="shared" si="257"/>
        <v>1</v>
      </c>
    </row>
    <row r="16465" spans="1:4" x14ac:dyDescent="0.3">
      <c r="A16465" s="34">
        <v>79325</v>
      </c>
      <c r="B16465" s="35">
        <v>1</v>
      </c>
      <c r="C16465" s="35">
        <v>0</v>
      </c>
      <c r="D16465" s="2">
        <f t="shared" si="257"/>
        <v>1</v>
      </c>
    </row>
    <row r="16466" spans="1:4" x14ac:dyDescent="0.3">
      <c r="A16466" s="34">
        <v>79326</v>
      </c>
      <c r="B16466" s="35">
        <v>1</v>
      </c>
      <c r="C16466" s="35">
        <v>0</v>
      </c>
      <c r="D16466" s="2">
        <f t="shared" si="257"/>
        <v>1</v>
      </c>
    </row>
    <row r="16467" spans="1:4" x14ac:dyDescent="0.3">
      <c r="A16467" s="34">
        <v>79327</v>
      </c>
      <c r="B16467" s="35">
        <v>1</v>
      </c>
      <c r="C16467" s="35">
        <v>0</v>
      </c>
      <c r="D16467" s="2">
        <f t="shared" si="257"/>
        <v>1</v>
      </c>
    </row>
    <row r="16468" spans="1:4" x14ac:dyDescent="0.3">
      <c r="A16468" s="34">
        <v>79328</v>
      </c>
      <c r="B16468" s="35">
        <v>1</v>
      </c>
      <c r="C16468" s="35">
        <v>0</v>
      </c>
      <c r="D16468" s="2">
        <f t="shared" si="257"/>
        <v>1</v>
      </c>
    </row>
    <row r="16469" spans="1:4" x14ac:dyDescent="0.3">
      <c r="A16469" s="34">
        <v>79329</v>
      </c>
      <c r="B16469" s="35">
        <v>1</v>
      </c>
      <c r="C16469" s="35">
        <v>0</v>
      </c>
      <c r="D16469" s="2">
        <f t="shared" si="257"/>
        <v>1</v>
      </c>
    </row>
    <row r="16470" spans="1:4" x14ac:dyDescent="0.3">
      <c r="A16470" s="34">
        <v>79330</v>
      </c>
      <c r="B16470" s="35">
        <v>1</v>
      </c>
      <c r="C16470" s="35">
        <v>0</v>
      </c>
      <c r="D16470" s="2">
        <f t="shared" si="257"/>
        <v>1</v>
      </c>
    </row>
    <row r="16471" spans="1:4" x14ac:dyDescent="0.3">
      <c r="A16471" s="34">
        <v>79331</v>
      </c>
      <c r="B16471" s="35">
        <v>1</v>
      </c>
      <c r="C16471" s="35">
        <v>0</v>
      </c>
      <c r="D16471" s="2">
        <f t="shared" si="257"/>
        <v>1</v>
      </c>
    </row>
    <row r="16472" spans="1:4" x14ac:dyDescent="0.3">
      <c r="A16472" s="34">
        <v>79332</v>
      </c>
      <c r="B16472" s="35">
        <v>1</v>
      </c>
      <c r="C16472" s="35">
        <v>0</v>
      </c>
      <c r="D16472" s="2">
        <f t="shared" si="257"/>
        <v>1</v>
      </c>
    </row>
    <row r="16473" spans="1:4" x14ac:dyDescent="0.3">
      <c r="A16473" s="34">
        <v>79333</v>
      </c>
      <c r="B16473" s="35">
        <v>1</v>
      </c>
      <c r="C16473" s="35">
        <v>0</v>
      </c>
      <c r="D16473" s="2">
        <f t="shared" si="257"/>
        <v>1</v>
      </c>
    </row>
    <row r="16474" spans="1:4" x14ac:dyDescent="0.3">
      <c r="A16474" s="34">
        <v>79334</v>
      </c>
      <c r="B16474" s="35">
        <v>1</v>
      </c>
      <c r="C16474" s="35">
        <v>0</v>
      </c>
      <c r="D16474" s="2">
        <f t="shared" si="257"/>
        <v>1</v>
      </c>
    </row>
    <row r="16475" spans="1:4" x14ac:dyDescent="0.3">
      <c r="A16475" s="34">
        <v>79335</v>
      </c>
      <c r="B16475" s="35">
        <v>1</v>
      </c>
      <c r="C16475" s="35">
        <v>1</v>
      </c>
      <c r="D16475" s="2">
        <f t="shared" si="257"/>
        <v>2</v>
      </c>
    </row>
    <row r="16476" spans="1:4" x14ac:dyDescent="0.3">
      <c r="A16476" s="34">
        <v>79336</v>
      </c>
      <c r="B16476" s="35">
        <v>1</v>
      </c>
      <c r="C16476" s="35">
        <v>0</v>
      </c>
      <c r="D16476" s="2">
        <f t="shared" si="257"/>
        <v>1</v>
      </c>
    </row>
    <row r="16477" spans="1:4" x14ac:dyDescent="0.3">
      <c r="A16477" s="34">
        <v>79337</v>
      </c>
      <c r="B16477" s="35">
        <v>2</v>
      </c>
      <c r="C16477" s="35">
        <v>1</v>
      </c>
      <c r="D16477" s="2">
        <f t="shared" si="257"/>
        <v>3</v>
      </c>
    </row>
    <row r="16478" spans="1:4" x14ac:dyDescent="0.3">
      <c r="A16478" s="34">
        <v>79338</v>
      </c>
      <c r="B16478" s="35">
        <v>1</v>
      </c>
      <c r="C16478" s="35">
        <v>0</v>
      </c>
      <c r="D16478" s="2">
        <f t="shared" si="257"/>
        <v>1</v>
      </c>
    </row>
    <row r="16479" spans="1:4" x14ac:dyDescent="0.3">
      <c r="A16479" s="34">
        <v>79340</v>
      </c>
      <c r="B16479" s="35">
        <v>1</v>
      </c>
      <c r="C16479" s="35">
        <v>0</v>
      </c>
      <c r="D16479" s="2">
        <f t="shared" si="257"/>
        <v>1</v>
      </c>
    </row>
    <row r="16480" spans="1:4" x14ac:dyDescent="0.3">
      <c r="A16480" s="34">
        <v>79341</v>
      </c>
      <c r="B16480" s="35">
        <v>1</v>
      </c>
      <c r="C16480" s="35">
        <v>0</v>
      </c>
      <c r="D16480" s="2">
        <f t="shared" si="257"/>
        <v>1</v>
      </c>
    </row>
    <row r="16481" spans="1:4" x14ac:dyDescent="0.3">
      <c r="A16481" s="34">
        <v>79342</v>
      </c>
      <c r="B16481" s="35">
        <v>1</v>
      </c>
      <c r="C16481" s="35">
        <v>0</v>
      </c>
      <c r="D16481" s="2">
        <f t="shared" si="257"/>
        <v>1</v>
      </c>
    </row>
    <row r="16482" spans="1:4" x14ac:dyDescent="0.3">
      <c r="A16482" s="34">
        <v>79343</v>
      </c>
      <c r="B16482" s="35">
        <v>1</v>
      </c>
      <c r="C16482" s="35">
        <v>0</v>
      </c>
      <c r="D16482" s="2">
        <f t="shared" si="257"/>
        <v>1</v>
      </c>
    </row>
    <row r="16483" spans="1:4" x14ac:dyDescent="0.3">
      <c r="A16483" s="34">
        <v>79344</v>
      </c>
      <c r="B16483" s="35">
        <v>1</v>
      </c>
      <c r="C16483" s="35">
        <v>0</v>
      </c>
      <c r="D16483" s="2">
        <f t="shared" si="257"/>
        <v>1</v>
      </c>
    </row>
    <row r="16484" spans="1:4" x14ac:dyDescent="0.3">
      <c r="A16484" s="34">
        <v>79345</v>
      </c>
      <c r="B16484" s="35">
        <v>1</v>
      </c>
      <c r="C16484" s="35">
        <v>0</v>
      </c>
      <c r="D16484" s="2">
        <f t="shared" si="257"/>
        <v>1</v>
      </c>
    </row>
    <row r="16485" spans="1:4" x14ac:dyDescent="0.3">
      <c r="A16485" s="34">
        <v>79346</v>
      </c>
      <c r="B16485" s="35">
        <v>1</v>
      </c>
      <c r="C16485" s="35">
        <v>0</v>
      </c>
      <c r="D16485" s="2">
        <f t="shared" si="257"/>
        <v>1</v>
      </c>
    </row>
    <row r="16486" spans="1:4" x14ac:dyDescent="0.3">
      <c r="A16486" s="34">
        <v>79347</v>
      </c>
      <c r="B16486" s="35">
        <v>1</v>
      </c>
      <c r="C16486" s="35">
        <v>0</v>
      </c>
      <c r="D16486" s="2">
        <f t="shared" si="257"/>
        <v>1</v>
      </c>
    </row>
    <row r="16487" spans="1:4" x14ac:dyDescent="0.3">
      <c r="A16487" s="34">
        <v>79348</v>
      </c>
      <c r="B16487" s="35">
        <v>1</v>
      </c>
      <c r="C16487" s="35">
        <v>0</v>
      </c>
      <c r="D16487" s="2">
        <f t="shared" si="257"/>
        <v>1</v>
      </c>
    </row>
    <row r="16488" spans="1:4" x14ac:dyDescent="0.3">
      <c r="A16488" s="34">
        <v>79349</v>
      </c>
      <c r="B16488" s="35">
        <v>1</v>
      </c>
      <c r="C16488" s="35">
        <v>0</v>
      </c>
      <c r="D16488" s="2">
        <f t="shared" si="257"/>
        <v>1</v>
      </c>
    </row>
    <row r="16489" spans="1:4" x14ac:dyDescent="0.3">
      <c r="A16489" s="34">
        <v>79350</v>
      </c>
      <c r="B16489" s="35">
        <v>1</v>
      </c>
      <c r="C16489" s="35">
        <v>0</v>
      </c>
      <c r="D16489" s="2">
        <f t="shared" si="257"/>
        <v>1</v>
      </c>
    </row>
    <row r="16490" spans="1:4" x14ac:dyDescent="0.3">
      <c r="A16490" s="34">
        <v>79351</v>
      </c>
      <c r="B16490" s="35">
        <v>1</v>
      </c>
      <c r="C16490" s="35">
        <v>0</v>
      </c>
      <c r="D16490" s="2">
        <f t="shared" si="257"/>
        <v>1</v>
      </c>
    </row>
    <row r="16491" spans="1:4" x14ac:dyDescent="0.3">
      <c r="A16491" s="34">
        <v>79352</v>
      </c>
      <c r="B16491" s="35">
        <v>1</v>
      </c>
      <c r="C16491" s="35">
        <v>0</v>
      </c>
      <c r="D16491" s="2">
        <f t="shared" si="257"/>
        <v>1</v>
      </c>
    </row>
    <row r="16492" spans="1:4" x14ac:dyDescent="0.3">
      <c r="A16492" s="34">
        <v>79353</v>
      </c>
      <c r="B16492" s="35">
        <v>1</v>
      </c>
      <c r="C16492" s="35">
        <v>1</v>
      </c>
      <c r="D16492" s="2">
        <f t="shared" si="257"/>
        <v>2</v>
      </c>
    </row>
    <row r="16493" spans="1:4" x14ac:dyDescent="0.3">
      <c r="A16493" s="34">
        <v>79354</v>
      </c>
      <c r="B16493" s="35">
        <v>1</v>
      </c>
      <c r="C16493" s="35">
        <v>0</v>
      </c>
      <c r="D16493" s="2">
        <f t="shared" si="257"/>
        <v>1</v>
      </c>
    </row>
    <row r="16494" spans="1:4" x14ac:dyDescent="0.3">
      <c r="A16494" s="34">
        <v>79355</v>
      </c>
      <c r="B16494" s="35">
        <v>1</v>
      </c>
      <c r="C16494" s="35">
        <v>0</v>
      </c>
      <c r="D16494" s="2">
        <f t="shared" si="257"/>
        <v>1</v>
      </c>
    </row>
    <row r="16495" spans="1:4" x14ac:dyDescent="0.3">
      <c r="A16495" s="34">
        <v>79356</v>
      </c>
      <c r="B16495" s="35">
        <v>1</v>
      </c>
      <c r="C16495" s="35">
        <v>0</v>
      </c>
      <c r="D16495" s="2">
        <f t="shared" si="257"/>
        <v>1</v>
      </c>
    </row>
    <row r="16496" spans="1:4" x14ac:dyDescent="0.3">
      <c r="A16496" s="34">
        <v>79357</v>
      </c>
      <c r="B16496" s="35">
        <v>1</v>
      </c>
      <c r="C16496" s="35">
        <v>0</v>
      </c>
      <c r="D16496" s="2">
        <f t="shared" si="257"/>
        <v>1</v>
      </c>
    </row>
    <row r="16497" spans="1:4" x14ac:dyDescent="0.3">
      <c r="A16497" s="34">
        <v>79358</v>
      </c>
      <c r="B16497" s="35">
        <v>1</v>
      </c>
      <c r="C16497" s="35">
        <v>0</v>
      </c>
      <c r="D16497" s="2">
        <f t="shared" si="257"/>
        <v>1</v>
      </c>
    </row>
    <row r="16498" spans="1:4" x14ac:dyDescent="0.3">
      <c r="A16498" s="34">
        <v>79359</v>
      </c>
      <c r="B16498" s="35">
        <v>1</v>
      </c>
      <c r="C16498" s="35">
        <v>0</v>
      </c>
      <c r="D16498" s="2">
        <f t="shared" si="257"/>
        <v>1</v>
      </c>
    </row>
    <row r="16499" spans="1:4" x14ac:dyDescent="0.3">
      <c r="A16499" s="34">
        <v>79360</v>
      </c>
      <c r="B16499" s="35">
        <v>1</v>
      </c>
      <c r="C16499" s="35">
        <v>0</v>
      </c>
      <c r="D16499" s="2">
        <f t="shared" si="257"/>
        <v>1</v>
      </c>
    </row>
    <row r="16500" spans="1:4" x14ac:dyDescent="0.3">
      <c r="A16500" s="34">
        <v>79361</v>
      </c>
      <c r="B16500" s="35">
        <v>1</v>
      </c>
      <c r="C16500" s="35">
        <v>0</v>
      </c>
      <c r="D16500" s="2">
        <f t="shared" si="257"/>
        <v>1</v>
      </c>
    </row>
    <row r="16501" spans="1:4" x14ac:dyDescent="0.3">
      <c r="A16501" s="34">
        <v>79362</v>
      </c>
      <c r="B16501" s="35">
        <v>1</v>
      </c>
      <c r="C16501" s="35">
        <v>0</v>
      </c>
      <c r="D16501" s="2">
        <f t="shared" si="257"/>
        <v>1</v>
      </c>
    </row>
    <row r="16502" spans="1:4" x14ac:dyDescent="0.3">
      <c r="A16502" s="34">
        <v>79363</v>
      </c>
      <c r="B16502" s="35">
        <v>1</v>
      </c>
      <c r="C16502" s="35">
        <v>0</v>
      </c>
      <c r="D16502" s="2">
        <f t="shared" si="257"/>
        <v>1</v>
      </c>
    </row>
    <row r="16503" spans="1:4" x14ac:dyDescent="0.3">
      <c r="A16503" s="34">
        <v>79364</v>
      </c>
      <c r="B16503" s="35">
        <v>1</v>
      </c>
      <c r="C16503" s="35">
        <v>0</v>
      </c>
      <c r="D16503" s="2">
        <f t="shared" si="257"/>
        <v>1</v>
      </c>
    </row>
    <row r="16504" spans="1:4" x14ac:dyDescent="0.3">
      <c r="A16504" s="34">
        <v>79365</v>
      </c>
      <c r="B16504" s="35">
        <v>1</v>
      </c>
      <c r="C16504" s="35">
        <v>0</v>
      </c>
      <c r="D16504" s="2">
        <f t="shared" si="257"/>
        <v>1</v>
      </c>
    </row>
    <row r="16505" spans="1:4" x14ac:dyDescent="0.3">
      <c r="A16505" s="34">
        <v>79366</v>
      </c>
      <c r="B16505" s="35">
        <v>1</v>
      </c>
      <c r="C16505" s="35">
        <v>0</v>
      </c>
      <c r="D16505" s="2">
        <f t="shared" si="257"/>
        <v>1</v>
      </c>
    </row>
    <row r="16506" spans="1:4" x14ac:dyDescent="0.3">
      <c r="A16506" s="34">
        <v>79367</v>
      </c>
      <c r="B16506" s="35">
        <v>1</v>
      </c>
      <c r="C16506" s="35">
        <v>0</v>
      </c>
      <c r="D16506" s="2">
        <f t="shared" si="257"/>
        <v>1</v>
      </c>
    </row>
    <row r="16507" spans="1:4" x14ac:dyDescent="0.3">
      <c r="A16507" s="34">
        <v>79368</v>
      </c>
      <c r="B16507" s="35">
        <v>1</v>
      </c>
      <c r="C16507" s="35">
        <v>0</v>
      </c>
      <c r="D16507" s="2">
        <f t="shared" si="257"/>
        <v>1</v>
      </c>
    </row>
    <row r="16508" spans="1:4" x14ac:dyDescent="0.3">
      <c r="A16508" s="34">
        <v>79369</v>
      </c>
      <c r="B16508" s="35">
        <v>1</v>
      </c>
      <c r="C16508" s="35">
        <v>0</v>
      </c>
      <c r="D16508" s="2">
        <f t="shared" si="257"/>
        <v>1</v>
      </c>
    </row>
    <row r="16509" spans="1:4" x14ac:dyDescent="0.3">
      <c r="A16509" s="34">
        <v>79370</v>
      </c>
      <c r="B16509" s="35">
        <v>1</v>
      </c>
      <c r="C16509" s="35">
        <v>0</v>
      </c>
      <c r="D16509" s="2">
        <f t="shared" si="257"/>
        <v>1</v>
      </c>
    </row>
    <row r="16510" spans="1:4" x14ac:dyDescent="0.3">
      <c r="A16510" s="34">
        <v>79371</v>
      </c>
      <c r="B16510" s="35">
        <v>1</v>
      </c>
      <c r="C16510" s="35">
        <v>0</v>
      </c>
      <c r="D16510" s="2">
        <f t="shared" si="257"/>
        <v>1</v>
      </c>
    </row>
    <row r="16511" spans="1:4" x14ac:dyDescent="0.3">
      <c r="A16511" s="34">
        <v>79372</v>
      </c>
      <c r="B16511" s="35">
        <v>1</v>
      </c>
      <c r="C16511" s="35">
        <v>0</v>
      </c>
      <c r="D16511" s="2">
        <f t="shared" si="257"/>
        <v>1</v>
      </c>
    </row>
    <row r="16512" spans="1:4" x14ac:dyDescent="0.3">
      <c r="A16512" s="34">
        <v>79373</v>
      </c>
      <c r="B16512" s="35">
        <v>1</v>
      </c>
      <c r="C16512" s="35">
        <v>0</v>
      </c>
      <c r="D16512" s="2">
        <f t="shared" si="257"/>
        <v>1</v>
      </c>
    </row>
    <row r="16513" spans="1:4" x14ac:dyDescent="0.3">
      <c r="A16513" s="34">
        <v>79374</v>
      </c>
      <c r="B16513" s="35">
        <v>1</v>
      </c>
      <c r="C16513" s="35">
        <v>0</v>
      </c>
      <c r="D16513" s="2">
        <f t="shared" si="257"/>
        <v>1</v>
      </c>
    </row>
    <row r="16514" spans="1:4" x14ac:dyDescent="0.3">
      <c r="A16514" s="34">
        <v>79375</v>
      </c>
      <c r="B16514" s="35">
        <v>1</v>
      </c>
      <c r="C16514" s="35">
        <v>0</v>
      </c>
      <c r="D16514" s="2">
        <f t="shared" si="257"/>
        <v>1</v>
      </c>
    </row>
    <row r="16515" spans="1:4" x14ac:dyDescent="0.3">
      <c r="A16515" s="34">
        <v>79376</v>
      </c>
      <c r="B16515" s="35">
        <v>1</v>
      </c>
      <c r="C16515" s="35">
        <v>0</v>
      </c>
      <c r="D16515" s="2">
        <f t="shared" ref="D16515:D16578" si="258">B16515+C16515</f>
        <v>1</v>
      </c>
    </row>
    <row r="16516" spans="1:4" x14ac:dyDescent="0.3">
      <c r="A16516" s="34">
        <v>79377</v>
      </c>
      <c r="B16516" s="35">
        <v>1</v>
      </c>
      <c r="C16516" s="35">
        <v>1</v>
      </c>
      <c r="D16516" s="2">
        <f t="shared" si="258"/>
        <v>2</v>
      </c>
    </row>
    <row r="16517" spans="1:4" x14ac:dyDescent="0.3">
      <c r="A16517" s="34">
        <v>79378</v>
      </c>
      <c r="B16517" s="35">
        <v>1</v>
      </c>
      <c r="C16517" s="35">
        <v>0</v>
      </c>
      <c r="D16517" s="2">
        <f t="shared" si="258"/>
        <v>1</v>
      </c>
    </row>
    <row r="16518" spans="1:4" x14ac:dyDescent="0.3">
      <c r="A16518" s="34">
        <v>79379</v>
      </c>
      <c r="B16518" s="35">
        <v>1</v>
      </c>
      <c r="C16518" s="35">
        <v>0</v>
      </c>
      <c r="D16518" s="2">
        <f t="shared" si="258"/>
        <v>1</v>
      </c>
    </row>
    <row r="16519" spans="1:4" x14ac:dyDescent="0.3">
      <c r="A16519" s="34">
        <v>79380</v>
      </c>
      <c r="B16519" s="35">
        <v>1</v>
      </c>
      <c r="C16519" s="35">
        <v>0</v>
      </c>
      <c r="D16519" s="2">
        <f t="shared" si="258"/>
        <v>1</v>
      </c>
    </row>
    <row r="16520" spans="1:4" x14ac:dyDescent="0.3">
      <c r="A16520" s="34">
        <v>79382</v>
      </c>
      <c r="B16520" s="35">
        <v>1</v>
      </c>
      <c r="C16520" s="35">
        <v>0</v>
      </c>
      <c r="D16520" s="2">
        <f t="shared" si="258"/>
        <v>1</v>
      </c>
    </row>
    <row r="16521" spans="1:4" x14ac:dyDescent="0.3">
      <c r="A16521" s="34">
        <v>79383</v>
      </c>
      <c r="B16521" s="35">
        <v>1</v>
      </c>
      <c r="C16521" s="35">
        <v>0</v>
      </c>
      <c r="D16521" s="2">
        <f t="shared" si="258"/>
        <v>1</v>
      </c>
    </row>
    <row r="16522" spans="1:4" x14ac:dyDescent="0.3">
      <c r="A16522" s="34">
        <v>79384</v>
      </c>
      <c r="B16522" s="35">
        <v>1</v>
      </c>
      <c r="C16522" s="35">
        <v>0</v>
      </c>
      <c r="D16522" s="2">
        <f t="shared" si="258"/>
        <v>1</v>
      </c>
    </row>
    <row r="16523" spans="1:4" x14ac:dyDescent="0.3">
      <c r="A16523" s="34">
        <v>79385</v>
      </c>
      <c r="B16523" s="35">
        <v>1</v>
      </c>
      <c r="C16523" s="35">
        <v>0</v>
      </c>
      <c r="D16523" s="2">
        <f t="shared" si="258"/>
        <v>1</v>
      </c>
    </row>
    <row r="16524" spans="1:4" x14ac:dyDescent="0.3">
      <c r="A16524" s="34">
        <v>79386</v>
      </c>
      <c r="B16524" s="35">
        <v>1</v>
      </c>
      <c r="C16524" s="35">
        <v>0</v>
      </c>
      <c r="D16524" s="2">
        <f t="shared" si="258"/>
        <v>1</v>
      </c>
    </row>
    <row r="16525" spans="1:4" x14ac:dyDescent="0.3">
      <c r="A16525" s="34">
        <v>79387</v>
      </c>
      <c r="B16525" s="35">
        <v>3</v>
      </c>
      <c r="C16525" s="35">
        <v>2</v>
      </c>
      <c r="D16525" s="2">
        <f t="shared" si="258"/>
        <v>5</v>
      </c>
    </row>
    <row r="16526" spans="1:4" x14ac:dyDescent="0.3">
      <c r="A16526" s="34">
        <v>79388</v>
      </c>
      <c r="B16526" s="35">
        <v>1</v>
      </c>
      <c r="C16526" s="35">
        <v>0</v>
      </c>
      <c r="D16526" s="2">
        <f t="shared" si="258"/>
        <v>1</v>
      </c>
    </row>
    <row r="16527" spans="1:4" x14ac:dyDescent="0.3">
      <c r="A16527" s="34">
        <v>79389</v>
      </c>
      <c r="B16527" s="35">
        <v>2</v>
      </c>
      <c r="C16527" s="35">
        <v>1</v>
      </c>
      <c r="D16527" s="2">
        <f t="shared" si="258"/>
        <v>3</v>
      </c>
    </row>
    <row r="16528" spans="1:4" x14ac:dyDescent="0.3">
      <c r="A16528" s="34">
        <v>79390</v>
      </c>
      <c r="B16528" s="35">
        <v>1</v>
      </c>
      <c r="C16528" s="35">
        <v>0</v>
      </c>
      <c r="D16528" s="2">
        <f t="shared" si="258"/>
        <v>1</v>
      </c>
    </row>
    <row r="16529" spans="1:4" x14ac:dyDescent="0.3">
      <c r="A16529" s="34">
        <v>79391</v>
      </c>
      <c r="B16529" s="35">
        <v>1</v>
      </c>
      <c r="C16529" s="35">
        <v>0</v>
      </c>
      <c r="D16529" s="2">
        <f t="shared" si="258"/>
        <v>1</v>
      </c>
    </row>
    <row r="16530" spans="1:4" x14ac:dyDescent="0.3">
      <c r="A16530" s="34">
        <v>79393</v>
      </c>
      <c r="B16530" s="35">
        <v>1</v>
      </c>
      <c r="C16530" s="35">
        <v>0</v>
      </c>
      <c r="D16530" s="2">
        <f t="shared" si="258"/>
        <v>1</v>
      </c>
    </row>
    <row r="16531" spans="1:4" x14ac:dyDescent="0.3">
      <c r="A16531" s="34">
        <v>79394</v>
      </c>
      <c r="B16531" s="35">
        <v>1</v>
      </c>
      <c r="C16531" s="35">
        <v>0</v>
      </c>
      <c r="D16531" s="2">
        <f t="shared" si="258"/>
        <v>1</v>
      </c>
    </row>
    <row r="16532" spans="1:4" x14ac:dyDescent="0.3">
      <c r="A16532" s="34">
        <v>79395</v>
      </c>
      <c r="B16532" s="35">
        <v>1</v>
      </c>
      <c r="C16532" s="35">
        <v>0</v>
      </c>
      <c r="D16532" s="2">
        <f t="shared" si="258"/>
        <v>1</v>
      </c>
    </row>
    <row r="16533" spans="1:4" x14ac:dyDescent="0.3">
      <c r="A16533" s="34">
        <v>79396</v>
      </c>
      <c r="B16533" s="35">
        <v>1</v>
      </c>
      <c r="C16533" s="35">
        <v>0</v>
      </c>
      <c r="D16533" s="2">
        <f t="shared" si="258"/>
        <v>1</v>
      </c>
    </row>
    <row r="16534" spans="1:4" x14ac:dyDescent="0.3">
      <c r="A16534" s="34">
        <v>79397</v>
      </c>
      <c r="B16534" s="35">
        <v>1</v>
      </c>
      <c r="C16534" s="35">
        <v>0</v>
      </c>
      <c r="D16534" s="2">
        <f t="shared" si="258"/>
        <v>1</v>
      </c>
    </row>
    <row r="16535" spans="1:4" x14ac:dyDescent="0.3">
      <c r="A16535" s="34">
        <v>79398</v>
      </c>
      <c r="B16535" s="35">
        <v>1</v>
      </c>
      <c r="C16535" s="35">
        <v>0</v>
      </c>
      <c r="D16535" s="2">
        <f t="shared" si="258"/>
        <v>1</v>
      </c>
    </row>
    <row r="16536" spans="1:4" x14ac:dyDescent="0.3">
      <c r="A16536" s="34">
        <v>79399</v>
      </c>
      <c r="B16536" s="35">
        <v>1</v>
      </c>
      <c r="C16536" s="35">
        <v>0</v>
      </c>
      <c r="D16536" s="2">
        <f t="shared" si="258"/>
        <v>1</v>
      </c>
    </row>
    <row r="16537" spans="1:4" x14ac:dyDescent="0.3">
      <c r="A16537" s="34">
        <v>79400</v>
      </c>
      <c r="B16537" s="35">
        <v>1</v>
      </c>
      <c r="C16537" s="35">
        <v>0</v>
      </c>
      <c r="D16537" s="2">
        <f t="shared" si="258"/>
        <v>1</v>
      </c>
    </row>
    <row r="16538" spans="1:4" x14ac:dyDescent="0.3">
      <c r="A16538" s="34">
        <v>79401</v>
      </c>
      <c r="B16538" s="35">
        <v>1</v>
      </c>
      <c r="C16538" s="35">
        <v>0</v>
      </c>
      <c r="D16538" s="2">
        <f t="shared" si="258"/>
        <v>1</v>
      </c>
    </row>
    <row r="16539" spans="1:4" x14ac:dyDescent="0.3">
      <c r="A16539" s="34">
        <v>79402</v>
      </c>
      <c r="B16539" s="35">
        <v>1</v>
      </c>
      <c r="C16539" s="35">
        <v>0</v>
      </c>
      <c r="D16539" s="2">
        <f t="shared" si="258"/>
        <v>1</v>
      </c>
    </row>
    <row r="16540" spans="1:4" x14ac:dyDescent="0.3">
      <c r="A16540" s="34">
        <v>79403</v>
      </c>
      <c r="B16540" s="35">
        <v>2</v>
      </c>
      <c r="C16540" s="35">
        <v>1</v>
      </c>
      <c r="D16540" s="2">
        <f t="shared" si="258"/>
        <v>3</v>
      </c>
    </row>
    <row r="16541" spans="1:4" x14ac:dyDescent="0.3">
      <c r="A16541" s="34">
        <v>79404</v>
      </c>
      <c r="B16541" s="35">
        <v>1</v>
      </c>
      <c r="C16541" s="35">
        <v>0</v>
      </c>
      <c r="D16541" s="2">
        <f t="shared" si="258"/>
        <v>1</v>
      </c>
    </row>
    <row r="16542" spans="1:4" x14ac:dyDescent="0.3">
      <c r="A16542" s="34">
        <v>79405</v>
      </c>
      <c r="B16542" s="35">
        <v>1</v>
      </c>
      <c r="C16542" s="35">
        <v>0</v>
      </c>
      <c r="D16542" s="2">
        <f t="shared" si="258"/>
        <v>1</v>
      </c>
    </row>
    <row r="16543" spans="1:4" x14ac:dyDescent="0.3">
      <c r="A16543" s="34">
        <v>79406</v>
      </c>
      <c r="B16543" s="35">
        <v>1</v>
      </c>
      <c r="C16543" s="35">
        <v>0</v>
      </c>
      <c r="D16543" s="2">
        <f t="shared" si="258"/>
        <v>1</v>
      </c>
    </row>
    <row r="16544" spans="1:4" x14ac:dyDescent="0.3">
      <c r="A16544" s="34">
        <v>79407</v>
      </c>
      <c r="B16544" s="35">
        <v>1</v>
      </c>
      <c r="C16544" s="35">
        <v>0</v>
      </c>
      <c r="D16544" s="2">
        <f t="shared" si="258"/>
        <v>1</v>
      </c>
    </row>
    <row r="16545" spans="1:4" x14ac:dyDescent="0.3">
      <c r="A16545" s="34">
        <v>79408</v>
      </c>
      <c r="B16545" s="35">
        <v>1</v>
      </c>
      <c r="C16545" s="35">
        <v>0</v>
      </c>
      <c r="D16545" s="2">
        <f t="shared" si="258"/>
        <v>1</v>
      </c>
    </row>
    <row r="16546" spans="1:4" x14ac:dyDescent="0.3">
      <c r="A16546" s="34">
        <v>79409</v>
      </c>
      <c r="B16546" s="35">
        <v>1</v>
      </c>
      <c r="C16546" s="35">
        <v>0</v>
      </c>
      <c r="D16546" s="2">
        <f t="shared" si="258"/>
        <v>1</v>
      </c>
    </row>
    <row r="16547" spans="1:4" x14ac:dyDescent="0.3">
      <c r="A16547" s="34">
        <v>79410</v>
      </c>
      <c r="B16547" s="35">
        <v>1</v>
      </c>
      <c r="C16547" s="35">
        <v>0</v>
      </c>
      <c r="D16547" s="2">
        <f t="shared" si="258"/>
        <v>1</v>
      </c>
    </row>
    <row r="16548" spans="1:4" x14ac:dyDescent="0.3">
      <c r="A16548" s="34">
        <v>79411</v>
      </c>
      <c r="B16548" s="35">
        <v>1</v>
      </c>
      <c r="C16548" s="35">
        <v>0</v>
      </c>
      <c r="D16548" s="2">
        <f t="shared" si="258"/>
        <v>1</v>
      </c>
    </row>
    <row r="16549" spans="1:4" x14ac:dyDescent="0.3">
      <c r="A16549" s="34">
        <v>79412</v>
      </c>
      <c r="B16549" s="35">
        <v>1</v>
      </c>
      <c r="C16549" s="35">
        <v>0</v>
      </c>
      <c r="D16549" s="2">
        <f t="shared" si="258"/>
        <v>1</v>
      </c>
    </row>
    <row r="16550" spans="1:4" x14ac:dyDescent="0.3">
      <c r="A16550" s="34">
        <v>79413</v>
      </c>
      <c r="B16550" s="35">
        <v>1</v>
      </c>
      <c r="C16550" s="35">
        <v>0</v>
      </c>
      <c r="D16550" s="2">
        <f t="shared" si="258"/>
        <v>1</v>
      </c>
    </row>
    <row r="16551" spans="1:4" x14ac:dyDescent="0.3">
      <c r="A16551" s="34">
        <v>79414</v>
      </c>
      <c r="B16551" s="35">
        <v>1</v>
      </c>
      <c r="C16551" s="35">
        <v>0</v>
      </c>
      <c r="D16551" s="2">
        <f t="shared" si="258"/>
        <v>1</v>
      </c>
    </row>
    <row r="16552" spans="1:4" x14ac:dyDescent="0.3">
      <c r="A16552" s="34">
        <v>79415</v>
      </c>
      <c r="B16552" s="35">
        <v>1</v>
      </c>
      <c r="C16552" s="35">
        <v>0</v>
      </c>
      <c r="D16552" s="2">
        <f t="shared" si="258"/>
        <v>1</v>
      </c>
    </row>
    <row r="16553" spans="1:4" x14ac:dyDescent="0.3">
      <c r="A16553" s="34">
        <v>79416</v>
      </c>
      <c r="B16553" s="35">
        <v>1</v>
      </c>
      <c r="C16553" s="35">
        <v>0</v>
      </c>
      <c r="D16553" s="2">
        <f t="shared" si="258"/>
        <v>1</v>
      </c>
    </row>
    <row r="16554" spans="1:4" x14ac:dyDescent="0.3">
      <c r="A16554" s="34">
        <v>79417</v>
      </c>
      <c r="B16554" s="35">
        <v>1</v>
      </c>
      <c r="C16554" s="35">
        <v>0</v>
      </c>
      <c r="D16554" s="2">
        <f t="shared" si="258"/>
        <v>1</v>
      </c>
    </row>
    <row r="16555" spans="1:4" x14ac:dyDescent="0.3">
      <c r="A16555" s="34">
        <v>79418</v>
      </c>
      <c r="B16555" s="35">
        <v>1</v>
      </c>
      <c r="C16555" s="35">
        <v>0</v>
      </c>
      <c r="D16555" s="2">
        <f t="shared" si="258"/>
        <v>1</v>
      </c>
    </row>
    <row r="16556" spans="1:4" x14ac:dyDescent="0.3">
      <c r="A16556" s="34">
        <v>79419</v>
      </c>
      <c r="B16556" s="35">
        <v>1</v>
      </c>
      <c r="C16556" s="35">
        <v>0</v>
      </c>
      <c r="D16556" s="2">
        <f t="shared" si="258"/>
        <v>1</v>
      </c>
    </row>
    <row r="16557" spans="1:4" x14ac:dyDescent="0.3">
      <c r="A16557" s="34">
        <v>79420</v>
      </c>
      <c r="B16557" s="35">
        <v>1</v>
      </c>
      <c r="C16557" s="35">
        <v>0</v>
      </c>
      <c r="D16557" s="2">
        <f t="shared" si="258"/>
        <v>1</v>
      </c>
    </row>
    <row r="16558" spans="1:4" x14ac:dyDescent="0.3">
      <c r="A16558" s="34">
        <v>79421</v>
      </c>
      <c r="B16558" s="35">
        <v>1</v>
      </c>
      <c r="C16558" s="35">
        <v>0</v>
      </c>
      <c r="D16558" s="2">
        <f t="shared" si="258"/>
        <v>1</v>
      </c>
    </row>
    <row r="16559" spans="1:4" x14ac:dyDescent="0.3">
      <c r="A16559" s="34">
        <v>79422</v>
      </c>
      <c r="B16559" s="35">
        <v>1</v>
      </c>
      <c r="C16559" s="35">
        <v>0</v>
      </c>
      <c r="D16559" s="2">
        <f t="shared" si="258"/>
        <v>1</v>
      </c>
    </row>
    <row r="16560" spans="1:4" x14ac:dyDescent="0.3">
      <c r="A16560" s="34">
        <v>79423</v>
      </c>
      <c r="B16560" s="35">
        <v>1</v>
      </c>
      <c r="C16560" s="35">
        <v>0</v>
      </c>
      <c r="D16560" s="2">
        <f t="shared" si="258"/>
        <v>1</v>
      </c>
    </row>
    <row r="16561" spans="1:4" x14ac:dyDescent="0.3">
      <c r="A16561" s="34">
        <v>79424</v>
      </c>
      <c r="B16561" s="35">
        <v>2</v>
      </c>
      <c r="C16561" s="35">
        <v>1</v>
      </c>
      <c r="D16561" s="2">
        <f t="shared" si="258"/>
        <v>3</v>
      </c>
    </row>
    <row r="16562" spans="1:4" x14ac:dyDescent="0.3">
      <c r="A16562" s="34">
        <v>79425</v>
      </c>
      <c r="B16562" s="35">
        <v>1</v>
      </c>
      <c r="C16562" s="35">
        <v>0</v>
      </c>
      <c r="D16562" s="2">
        <f t="shared" si="258"/>
        <v>1</v>
      </c>
    </row>
    <row r="16563" spans="1:4" x14ac:dyDescent="0.3">
      <c r="A16563" s="34">
        <v>79426</v>
      </c>
      <c r="B16563" s="35">
        <v>1</v>
      </c>
      <c r="C16563" s="35">
        <v>0</v>
      </c>
      <c r="D16563" s="2">
        <f t="shared" si="258"/>
        <v>1</v>
      </c>
    </row>
    <row r="16564" spans="1:4" x14ac:dyDescent="0.3">
      <c r="A16564" s="34">
        <v>79427</v>
      </c>
      <c r="B16564" s="35">
        <v>1</v>
      </c>
      <c r="C16564" s="35">
        <v>0</v>
      </c>
      <c r="D16564" s="2">
        <f t="shared" si="258"/>
        <v>1</v>
      </c>
    </row>
    <row r="16565" spans="1:4" x14ac:dyDescent="0.3">
      <c r="A16565" s="34">
        <v>79428</v>
      </c>
      <c r="B16565" s="35">
        <v>1</v>
      </c>
      <c r="C16565" s="35">
        <v>0</v>
      </c>
      <c r="D16565" s="2">
        <f t="shared" si="258"/>
        <v>1</v>
      </c>
    </row>
    <row r="16566" spans="1:4" x14ac:dyDescent="0.3">
      <c r="A16566" s="34">
        <v>79429</v>
      </c>
      <c r="B16566" s="35">
        <v>1</v>
      </c>
      <c r="C16566" s="35">
        <v>0</v>
      </c>
      <c r="D16566" s="2">
        <f t="shared" si="258"/>
        <v>1</v>
      </c>
    </row>
    <row r="16567" spans="1:4" x14ac:dyDescent="0.3">
      <c r="A16567" s="34">
        <v>79430</v>
      </c>
      <c r="B16567" s="35">
        <v>1</v>
      </c>
      <c r="C16567" s="35">
        <v>0</v>
      </c>
      <c r="D16567" s="2">
        <f t="shared" si="258"/>
        <v>1</v>
      </c>
    </row>
    <row r="16568" spans="1:4" x14ac:dyDescent="0.3">
      <c r="A16568" s="34">
        <v>79431</v>
      </c>
      <c r="B16568" s="35">
        <v>1</v>
      </c>
      <c r="C16568" s="35">
        <v>0</v>
      </c>
      <c r="D16568" s="2">
        <f t="shared" si="258"/>
        <v>1</v>
      </c>
    </row>
    <row r="16569" spans="1:4" x14ac:dyDescent="0.3">
      <c r="A16569" s="34">
        <v>79432</v>
      </c>
      <c r="B16569" s="35">
        <v>1</v>
      </c>
      <c r="C16569" s="35">
        <v>0</v>
      </c>
      <c r="D16569" s="2">
        <f t="shared" si="258"/>
        <v>1</v>
      </c>
    </row>
    <row r="16570" spans="1:4" x14ac:dyDescent="0.3">
      <c r="A16570" s="34">
        <v>79433</v>
      </c>
      <c r="B16570" s="35">
        <v>1</v>
      </c>
      <c r="C16570" s="35">
        <v>0</v>
      </c>
      <c r="D16570" s="2">
        <f t="shared" si="258"/>
        <v>1</v>
      </c>
    </row>
    <row r="16571" spans="1:4" x14ac:dyDescent="0.3">
      <c r="A16571" s="34">
        <v>79434</v>
      </c>
      <c r="B16571" s="35">
        <v>1</v>
      </c>
      <c r="C16571" s="35">
        <v>0</v>
      </c>
      <c r="D16571" s="2">
        <f t="shared" si="258"/>
        <v>1</v>
      </c>
    </row>
    <row r="16572" spans="1:4" x14ac:dyDescent="0.3">
      <c r="A16572" s="34">
        <v>79435</v>
      </c>
      <c r="B16572" s="35">
        <v>1</v>
      </c>
      <c r="C16572" s="35">
        <v>0</v>
      </c>
      <c r="D16572" s="2">
        <f t="shared" si="258"/>
        <v>1</v>
      </c>
    </row>
    <row r="16573" spans="1:4" x14ac:dyDescent="0.3">
      <c r="A16573" s="34">
        <v>79436</v>
      </c>
      <c r="B16573" s="35">
        <v>1</v>
      </c>
      <c r="C16573" s="35">
        <v>0</v>
      </c>
      <c r="D16573" s="2">
        <f t="shared" si="258"/>
        <v>1</v>
      </c>
    </row>
    <row r="16574" spans="1:4" x14ac:dyDescent="0.3">
      <c r="A16574" s="34">
        <v>79437</v>
      </c>
      <c r="B16574" s="35">
        <v>1</v>
      </c>
      <c r="C16574" s="35">
        <v>0</v>
      </c>
      <c r="D16574" s="2">
        <f t="shared" si="258"/>
        <v>1</v>
      </c>
    </row>
    <row r="16575" spans="1:4" x14ac:dyDescent="0.3">
      <c r="A16575" s="34">
        <v>79438</v>
      </c>
      <c r="B16575" s="35">
        <v>1</v>
      </c>
      <c r="C16575" s="35">
        <v>0</v>
      </c>
      <c r="D16575" s="2">
        <f t="shared" si="258"/>
        <v>1</v>
      </c>
    </row>
    <row r="16576" spans="1:4" x14ac:dyDescent="0.3">
      <c r="A16576" s="34">
        <v>79439</v>
      </c>
      <c r="B16576" s="35">
        <v>1</v>
      </c>
      <c r="C16576" s="35">
        <v>0</v>
      </c>
      <c r="D16576" s="2">
        <f t="shared" si="258"/>
        <v>1</v>
      </c>
    </row>
    <row r="16577" spans="1:4" x14ac:dyDescent="0.3">
      <c r="A16577" s="34">
        <v>79440</v>
      </c>
      <c r="B16577" s="35">
        <v>1</v>
      </c>
      <c r="C16577" s="35">
        <v>0</v>
      </c>
      <c r="D16577" s="2">
        <f t="shared" si="258"/>
        <v>1</v>
      </c>
    </row>
    <row r="16578" spans="1:4" x14ac:dyDescent="0.3">
      <c r="A16578" s="34">
        <v>79441</v>
      </c>
      <c r="B16578" s="35">
        <v>1</v>
      </c>
      <c r="C16578" s="35">
        <v>0</v>
      </c>
      <c r="D16578" s="2">
        <f t="shared" si="258"/>
        <v>1</v>
      </c>
    </row>
    <row r="16579" spans="1:4" x14ac:dyDescent="0.3">
      <c r="A16579" s="34">
        <v>79442</v>
      </c>
      <c r="B16579" s="35">
        <v>1</v>
      </c>
      <c r="C16579" s="35">
        <v>0</v>
      </c>
      <c r="D16579" s="2">
        <f t="shared" ref="D16579:D16642" si="259">B16579+C16579</f>
        <v>1</v>
      </c>
    </row>
    <row r="16580" spans="1:4" x14ac:dyDescent="0.3">
      <c r="A16580" s="34">
        <v>79443</v>
      </c>
      <c r="B16580" s="35">
        <v>1</v>
      </c>
      <c r="C16580" s="35">
        <v>0</v>
      </c>
      <c r="D16580" s="2">
        <f t="shared" si="259"/>
        <v>1</v>
      </c>
    </row>
    <row r="16581" spans="1:4" x14ac:dyDescent="0.3">
      <c r="A16581" s="34">
        <v>79444</v>
      </c>
      <c r="B16581" s="35">
        <v>1</v>
      </c>
      <c r="C16581" s="35">
        <v>0</v>
      </c>
      <c r="D16581" s="2">
        <f t="shared" si="259"/>
        <v>1</v>
      </c>
    </row>
    <row r="16582" spans="1:4" x14ac:dyDescent="0.3">
      <c r="A16582" s="34">
        <v>79445</v>
      </c>
      <c r="B16582" s="35">
        <v>1</v>
      </c>
      <c r="C16582" s="35">
        <v>0</v>
      </c>
      <c r="D16582" s="2">
        <f t="shared" si="259"/>
        <v>1</v>
      </c>
    </row>
    <row r="16583" spans="1:4" x14ac:dyDescent="0.3">
      <c r="A16583" s="34">
        <v>79446</v>
      </c>
      <c r="B16583" s="35">
        <v>1</v>
      </c>
      <c r="C16583" s="35">
        <v>0</v>
      </c>
      <c r="D16583" s="2">
        <f t="shared" si="259"/>
        <v>1</v>
      </c>
    </row>
    <row r="16584" spans="1:4" x14ac:dyDescent="0.3">
      <c r="A16584" s="34">
        <v>79501</v>
      </c>
      <c r="B16584" s="35">
        <v>1</v>
      </c>
      <c r="C16584" s="35">
        <v>0</v>
      </c>
      <c r="D16584" s="2">
        <f t="shared" si="259"/>
        <v>1</v>
      </c>
    </row>
    <row r="16585" spans="1:4" x14ac:dyDescent="0.3">
      <c r="A16585" s="34">
        <v>79502</v>
      </c>
      <c r="B16585" s="35">
        <v>1</v>
      </c>
      <c r="C16585" s="35">
        <v>0</v>
      </c>
      <c r="D16585" s="2">
        <f t="shared" si="259"/>
        <v>1</v>
      </c>
    </row>
    <row r="16586" spans="1:4" x14ac:dyDescent="0.3">
      <c r="A16586" s="34">
        <v>79503</v>
      </c>
      <c r="B16586" s="35">
        <v>1</v>
      </c>
      <c r="C16586" s="35">
        <v>0</v>
      </c>
      <c r="D16586" s="2">
        <f t="shared" si="259"/>
        <v>1</v>
      </c>
    </row>
    <row r="16587" spans="1:4" x14ac:dyDescent="0.3">
      <c r="A16587" s="34">
        <v>79504</v>
      </c>
      <c r="B16587" s="35">
        <v>1</v>
      </c>
      <c r="C16587" s="35">
        <v>0</v>
      </c>
      <c r="D16587" s="2">
        <f t="shared" si="259"/>
        <v>1</v>
      </c>
    </row>
    <row r="16588" spans="1:4" x14ac:dyDescent="0.3">
      <c r="A16588" s="34">
        <v>79505</v>
      </c>
      <c r="B16588" s="35">
        <v>1</v>
      </c>
      <c r="C16588" s="35">
        <v>0</v>
      </c>
      <c r="D16588" s="2">
        <f t="shared" si="259"/>
        <v>1</v>
      </c>
    </row>
    <row r="16589" spans="1:4" x14ac:dyDescent="0.3">
      <c r="A16589" s="34">
        <v>79506</v>
      </c>
      <c r="B16589" s="35">
        <v>1</v>
      </c>
      <c r="C16589" s="35">
        <v>0</v>
      </c>
      <c r="D16589" s="2">
        <f t="shared" si="259"/>
        <v>1</v>
      </c>
    </row>
    <row r="16590" spans="1:4" x14ac:dyDescent="0.3">
      <c r="A16590" s="34">
        <v>79507</v>
      </c>
      <c r="B16590" s="35">
        <v>1</v>
      </c>
      <c r="C16590" s="35">
        <v>0</v>
      </c>
      <c r="D16590" s="2">
        <f t="shared" si="259"/>
        <v>1</v>
      </c>
    </row>
    <row r="16591" spans="1:4" x14ac:dyDescent="0.3">
      <c r="A16591" s="34">
        <v>79508</v>
      </c>
      <c r="B16591" s="35">
        <v>1</v>
      </c>
      <c r="C16591" s="35">
        <v>0</v>
      </c>
      <c r="D16591" s="2">
        <f t="shared" si="259"/>
        <v>1</v>
      </c>
    </row>
    <row r="16592" spans="1:4" x14ac:dyDescent="0.3">
      <c r="A16592" s="34">
        <v>79509</v>
      </c>
      <c r="B16592" s="35">
        <v>2</v>
      </c>
      <c r="C16592" s="35">
        <v>1</v>
      </c>
      <c r="D16592" s="2">
        <f t="shared" si="259"/>
        <v>3</v>
      </c>
    </row>
    <row r="16593" spans="1:4" x14ac:dyDescent="0.3">
      <c r="A16593" s="34">
        <v>79510</v>
      </c>
      <c r="B16593" s="35">
        <v>1</v>
      </c>
      <c r="C16593" s="35">
        <v>0</v>
      </c>
      <c r="D16593" s="2">
        <f t="shared" si="259"/>
        <v>1</v>
      </c>
    </row>
    <row r="16594" spans="1:4" x14ac:dyDescent="0.3">
      <c r="A16594" s="34">
        <v>79511</v>
      </c>
      <c r="B16594" s="35">
        <v>1</v>
      </c>
      <c r="C16594" s="35">
        <v>0</v>
      </c>
      <c r="D16594" s="2">
        <f t="shared" si="259"/>
        <v>1</v>
      </c>
    </row>
    <row r="16595" spans="1:4" x14ac:dyDescent="0.3">
      <c r="A16595" s="34">
        <v>79512</v>
      </c>
      <c r="B16595" s="35">
        <v>1</v>
      </c>
      <c r="C16595" s="35">
        <v>0</v>
      </c>
      <c r="D16595" s="2">
        <f t="shared" si="259"/>
        <v>1</v>
      </c>
    </row>
    <row r="16596" spans="1:4" x14ac:dyDescent="0.3">
      <c r="A16596" s="34">
        <v>79513</v>
      </c>
      <c r="B16596" s="35">
        <v>1</v>
      </c>
      <c r="C16596" s="35">
        <v>0</v>
      </c>
      <c r="D16596" s="2">
        <f t="shared" si="259"/>
        <v>1</v>
      </c>
    </row>
    <row r="16597" spans="1:4" x14ac:dyDescent="0.3">
      <c r="A16597" s="34">
        <v>79514</v>
      </c>
      <c r="B16597" s="35">
        <v>1</v>
      </c>
      <c r="C16597" s="35">
        <v>0</v>
      </c>
      <c r="D16597" s="2">
        <f t="shared" si="259"/>
        <v>1</v>
      </c>
    </row>
    <row r="16598" spans="1:4" x14ac:dyDescent="0.3">
      <c r="A16598" s="34">
        <v>79516</v>
      </c>
      <c r="B16598" s="35">
        <v>1</v>
      </c>
      <c r="C16598" s="35">
        <v>0</v>
      </c>
      <c r="D16598" s="2">
        <f t="shared" si="259"/>
        <v>1</v>
      </c>
    </row>
    <row r="16599" spans="1:4" x14ac:dyDescent="0.3">
      <c r="A16599" s="34">
        <v>79517</v>
      </c>
      <c r="B16599" s="35">
        <v>1</v>
      </c>
      <c r="C16599" s="35">
        <v>0</v>
      </c>
      <c r="D16599" s="2">
        <f t="shared" si="259"/>
        <v>1</v>
      </c>
    </row>
    <row r="16600" spans="1:4" x14ac:dyDescent="0.3">
      <c r="A16600" s="34">
        <v>79518</v>
      </c>
      <c r="B16600" s="35">
        <v>1</v>
      </c>
      <c r="C16600" s="35">
        <v>0</v>
      </c>
      <c r="D16600" s="2">
        <f t="shared" si="259"/>
        <v>1</v>
      </c>
    </row>
    <row r="16601" spans="1:4" x14ac:dyDescent="0.3">
      <c r="A16601" s="34">
        <v>79519</v>
      </c>
      <c r="B16601" s="35">
        <v>1</v>
      </c>
      <c r="C16601" s="35">
        <v>0</v>
      </c>
      <c r="D16601" s="2">
        <f t="shared" si="259"/>
        <v>1</v>
      </c>
    </row>
    <row r="16602" spans="1:4" x14ac:dyDescent="0.3">
      <c r="A16602" s="34">
        <v>79520</v>
      </c>
      <c r="B16602" s="35">
        <v>1</v>
      </c>
      <c r="C16602" s="35">
        <v>0</v>
      </c>
      <c r="D16602" s="2">
        <f t="shared" si="259"/>
        <v>1</v>
      </c>
    </row>
    <row r="16603" spans="1:4" x14ac:dyDescent="0.3">
      <c r="A16603" s="34">
        <v>79521</v>
      </c>
      <c r="B16603" s="35">
        <v>2</v>
      </c>
      <c r="C16603" s="35">
        <v>1</v>
      </c>
      <c r="D16603" s="2">
        <f t="shared" si="259"/>
        <v>3</v>
      </c>
    </row>
    <row r="16604" spans="1:4" x14ac:dyDescent="0.3">
      <c r="A16604" s="34">
        <v>79522</v>
      </c>
      <c r="B16604" s="35">
        <v>2</v>
      </c>
      <c r="C16604" s="35">
        <v>0</v>
      </c>
      <c r="D16604" s="2">
        <f t="shared" si="259"/>
        <v>2</v>
      </c>
    </row>
    <row r="16605" spans="1:4" x14ac:dyDescent="0.3">
      <c r="A16605" s="34">
        <v>79524</v>
      </c>
      <c r="B16605" s="35">
        <v>1</v>
      </c>
      <c r="C16605" s="35">
        <v>0</v>
      </c>
      <c r="D16605" s="2">
        <f t="shared" si="259"/>
        <v>1</v>
      </c>
    </row>
    <row r="16606" spans="1:4" x14ac:dyDescent="0.3">
      <c r="A16606" s="34">
        <v>79525</v>
      </c>
      <c r="B16606" s="35">
        <v>1</v>
      </c>
      <c r="C16606" s="35">
        <v>0</v>
      </c>
      <c r="D16606" s="2">
        <f t="shared" si="259"/>
        <v>1</v>
      </c>
    </row>
    <row r="16607" spans="1:4" x14ac:dyDescent="0.3">
      <c r="A16607" s="34">
        <v>79526</v>
      </c>
      <c r="B16607" s="35">
        <v>1</v>
      </c>
      <c r="C16607" s="35">
        <v>0</v>
      </c>
      <c r="D16607" s="2">
        <f t="shared" si="259"/>
        <v>1</v>
      </c>
    </row>
    <row r="16608" spans="1:4" x14ac:dyDescent="0.3">
      <c r="A16608" s="34">
        <v>79527</v>
      </c>
      <c r="B16608" s="35">
        <v>1</v>
      </c>
      <c r="C16608" s="35">
        <v>0</v>
      </c>
      <c r="D16608" s="2">
        <f t="shared" si="259"/>
        <v>1</v>
      </c>
    </row>
    <row r="16609" spans="1:4" x14ac:dyDescent="0.3">
      <c r="A16609" s="34">
        <v>79529</v>
      </c>
      <c r="B16609" s="35">
        <v>1</v>
      </c>
      <c r="C16609" s="35">
        <v>1</v>
      </c>
      <c r="D16609" s="2">
        <f t="shared" si="259"/>
        <v>2</v>
      </c>
    </row>
    <row r="16610" spans="1:4" x14ac:dyDescent="0.3">
      <c r="A16610" s="34">
        <v>79530</v>
      </c>
      <c r="B16610" s="35">
        <v>1</v>
      </c>
      <c r="C16610" s="35">
        <v>0</v>
      </c>
      <c r="D16610" s="2">
        <f t="shared" si="259"/>
        <v>1</v>
      </c>
    </row>
    <row r="16611" spans="1:4" x14ac:dyDescent="0.3">
      <c r="A16611" s="34">
        <v>79531</v>
      </c>
      <c r="B16611" s="35">
        <v>1</v>
      </c>
      <c r="C16611" s="35">
        <v>0</v>
      </c>
      <c r="D16611" s="2">
        <f t="shared" si="259"/>
        <v>1</v>
      </c>
    </row>
    <row r="16612" spans="1:4" x14ac:dyDescent="0.3">
      <c r="A16612" s="34">
        <v>79532</v>
      </c>
      <c r="B16612" s="35">
        <v>2</v>
      </c>
      <c r="C16612" s="35">
        <v>1</v>
      </c>
      <c r="D16612" s="2">
        <f t="shared" si="259"/>
        <v>3</v>
      </c>
    </row>
    <row r="16613" spans="1:4" x14ac:dyDescent="0.3">
      <c r="A16613" s="34">
        <v>79533</v>
      </c>
      <c r="B16613" s="35">
        <v>1</v>
      </c>
      <c r="C16613" s="35">
        <v>0</v>
      </c>
      <c r="D16613" s="2">
        <f t="shared" si="259"/>
        <v>1</v>
      </c>
    </row>
    <row r="16614" spans="1:4" x14ac:dyDescent="0.3">
      <c r="A16614" s="34">
        <v>79534</v>
      </c>
      <c r="B16614" s="35">
        <v>1</v>
      </c>
      <c r="C16614" s="35">
        <v>0</v>
      </c>
      <c r="D16614" s="2">
        <f t="shared" si="259"/>
        <v>1</v>
      </c>
    </row>
    <row r="16615" spans="1:4" x14ac:dyDescent="0.3">
      <c r="A16615" s="34">
        <v>79535</v>
      </c>
      <c r="B16615" s="35">
        <v>1</v>
      </c>
      <c r="C16615" s="35">
        <v>0</v>
      </c>
      <c r="D16615" s="2">
        <f t="shared" si="259"/>
        <v>1</v>
      </c>
    </row>
    <row r="16616" spans="1:4" x14ac:dyDescent="0.3">
      <c r="A16616" s="34">
        <v>79536</v>
      </c>
      <c r="B16616" s="35">
        <v>1</v>
      </c>
      <c r="C16616" s="35">
        <v>0</v>
      </c>
      <c r="D16616" s="2">
        <f t="shared" si="259"/>
        <v>1</v>
      </c>
    </row>
    <row r="16617" spans="1:4" x14ac:dyDescent="0.3">
      <c r="A16617" s="34">
        <v>79537</v>
      </c>
      <c r="B16617" s="35">
        <v>1</v>
      </c>
      <c r="C16617" s="35">
        <v>1</v>
      </c>
      <c r="D16617" s="2">
        <f t="shared" si="259"/>
        <v>2</v>
      </c>
    </row>
    <row r="16618" spans="1:4" x14ac:dyDescent="0.3">
      <c r="A16618" s="34">
        <v>79538</v>
      </c>
      <c r="B16618" s="35">
        <v>1</v>
      </c>
      <c r="C16618" s="35">
        <v>0</v>
      </c>
      <c r="D16618" s="2">
        <f t="shared" si="259"/>
        <v>1</v>
      </c>
    </row>
    <row r="16619" spans="1:4" x14ac:dyDescent="0.3">
      <c r="A16619" s="34">
        <v>79539</v>
      </c>
      <c r="B16619" s="35">
        <v>1</v>
      </c>
      <c r="C16619" s="35">
        <v>1</v>
      </c>
      <c r="D16619" s="2">
        <f t="shared" si="259"/>
        <v>2</v>
      </c>
    </row>
    <row r="16620" spans="1:4" x14ac:dyDescent="0.3">
      <c r="A16620" s="34">
        <v>79540</v>
      </c>
      <c r="B16620" s="35">
        <v>1</v>
      </c>
      <c r="C16620" s="35">
        <v>0</v>
      </c>
      <c r="D16620" s="2">
        <f t="shared" si="259"/>
        <v>1</v>
      </c>
    </row>
    <row r="16621" spans="1:4" x14ac:dyDescent="0.3">
      <c r="A16621" s="34">
        <v>79541</v>
      </c>
      <c r="B16621" s="35">
        <v>1</v>
      </c>
      <c r="C16621" s="35">
        <v>0</v>
      </c>
      <c r="D16621" s="2">
        <f t="shared" si="259"/>
        <v>1</v>
      </c>
    </row>
    <row r="16622" spans="1:4" x14ac:dyDescent="0.3">
      <c r="A16622" s="34">
        <v>79542</v>
      </c>
      <c r="B16622" s="35">
        <v>1</v>
      </c>
      <c r="C16622" s="35">
        <v>0</v>
      </c>
      <c r="D16622" s="2">
        <f t="shared" si="259"/>
        <v>1</v>
      </c>
    </row>
    <row r="16623" spans="1:4" x14ac:dyDescent="0.3">
      <c r="A16623" s="34">
        <v>79543</v>
      </c>
      <c r="B16623" s="35">
        <v>1</v>
      </c>
      <c r="C16623" s="35">
        <v>0</v>
      </c>
      <c r="D16623" s="2">
        <f t="shared" si="259"/>
        <v>1</v>
      </c>
    </row>
    <row r="16624" spans="1:4" x14ac:dyDescent="0.3">
      <c r="A16624" s="34">
        <v>79545</v>
      </c>
      <c r="B16624" s="35">
        <v>1</v>
      </c>
      <c r="C16624" s="35">
        <v>0</v>
      </c>
      <c r="D16624" s="2">
        <f t="shared" si="259"/>
        <v>1</v>
      </c>
    </row>
    <row r="16625" spans="1:4" x14ac:dyDescent="0.3">
      <c r="A16625" s="34">
        <v>79546</v>
      </c>
      <c r="B16625" s="35">
        <v>1</v>
      </c>
      <c r="C16625" s="35">
        <v>0</v>
      </c>
      <c r="D16625" s="2">
        <f t="shared" si="259"/>
        <v>1</v>
      </c>
    </row>
    <row r="16626" spans="1:4" x14ac:dyDescent="0.3">
      <c r="A16626" s="34">
        <v>79548</v>
      </c>
      <c r="B16626" s="35">
        <v>2</v>
      </c>
      <c r="C16626" s="35">
        <v>1</v>
      </c>
      <c r="D16626" s="2">
        <f t="shared" si="259"/>
        <v>3</v>
      </c>
    </row>
    <row r="16627" spans="1:4" x14ac:dyDescent="0.3">
      <c r="A16627" s="34">
        <v>79549</v>
      </c>
      <c r="B16627" s="35">
        <v>1</v>
      </c>
      <c r="C16627" s="35">
        <v>0</v>
      </c>
      <c r="D16627" s="2">
        <f t="shared" si="259"/>
        <v>1</v>
      </c>
    </row>
    <row r="16628" spans="1:4" x14ac:dyDescent="0.3">
      <c r="A16628" s="34">
        <v>79550</v>
      </c>
      <c r="B16628" s="35">
        <v>1</v>
      </c>
      <c r="C16628" s="35">
        <v>0</v>
      </c>
      <c r="D16628" s="2">
        <f t="shared" si="259"/>
        <v>1</v>
      </c>
    </row>
    <row r="16629" spans="1:4" x14ac:dyDescent="0.3">
      <c r="A16629" s="34">
        <v>79551</v>
      </c>
      <c r="B16629" s="35">
        <v>1</v>
      </c>
      <c r="C16629" s="35">
        <v>0</v>
      </c>
      <c r="D16629" s="2">
        <f t="shared" si="259"/>
        <v>1</v>
      </c>
    </row>
    <row r="16630" spans="1:4" x14ac:dyDescent="0.3">
      <c r="A16630" s="34">
        <v>79553</v>
      </c>
      <c r="B16630" s="35">
        <v>1</v>
      </c>
      <c r="C16630" s="35">
        <v>0</v>
      </c>
      <c r="D16630" s="2">
        <f t="shared" si="259"/>
        <v>1</v>
      </c>
    </row>
    <row r="16631" spans="1:4" x14ac:dyDescent="0.3">
      <c r="A16631" s="34">
        <v>79554</v>
      </c>
      <c r="B16631" s="35">
        <v>1</v>
      </c>
      <c r="C16631" s="35">
        <v>0</v>
      </c>
      <c r="D16631" s="2">
        <f t="shared" si="259"/>
        <v>1</v>
      </c>
    </row>
    <row r="16632" spans="1:4" x14ac:dyDescent="0.3">
      <c r="A16632" s="34">
        <v>79555</v>
      </c>
      <c r="B16632" s="35">
        <v>1</v>
      </c>
      <c r="C16632" s="35">
        <v>0</v>
      </c>
      <c r="D16632" s="2">
        <f t="shared" si="259"/>
        <v>1</v>
      </c>
    </row>
    <row r="16633" spans="1:4" x14ac:dyDescent="0.3">
      <c r="A16633" s="34">
        <v>79556</v>
      </c>
      <c r="B16633" s="35">
        <v>1</v>
      </c>
      <c r="C16633" s="35">
        <v>0</v>
      </c>
      <c r="D16633" s="2">
        <f t="shared" si="259"/>
        <v>1</v>
      </c>
    </row>
    <row r="16634" spans="1:4" x14ac:dyDescent="0.3">
      <c r="A16634" s="34">
        <v>79557</v>
      </c>
      <c r="B16634" s="35">
        <v>1</v>
      </c>
      <c r="C16634" s="35">
        <v>0</v>
      </c>
      <c r="D16634" s="2">
        <f t="shared" si="259"/>
        <v>1</v>
      </c>
    </row>
    <row r="16635" spans="1:4" x14ac:dyDescent="0.3">
      <c r="A16635" s="34">
        <v>79558</v>
      </c>
      <c r="B16635" s="35">
        <v>1</v>
      </c>
      <c r="C16635" s="35">
        <v>0</v>
      </c>
      <c r="D16635" s="2">
        <f t="shared" si="259"/>
        <v>1</v>
      </c>
    </row>
    <row r="16636" spans="1:4" x14ac:dyDescent="0.3">
      <c r="A16636" s="34">
        <v>79559</v>
      </c>
      <c r="B16636" s="35">
        <v>1</v>
      </c>
      <c r="C16636" s="35">
        <v>0</v>
      </c>
      <c r="D16636" s="2">
        <f t="shared" si="259"/>
        <v>1</v>
      </c>
    </row>
    <row r="16637" spans="1:4" x14ac:dyDescent="0.3">
      <c r="A16637" s="34">
        <v>79560</v>
      </c>
      <c r="B16637" s="35">
        <v>1</v>
      </c>
      <c r="C16637" s="35">
        <v>0</v>
      </c>
      <c r="D16637" s="2">
        <f t="shared" si="259"/>
        <v>1</v>
      </c>
    </row>
    <row r="16638" spans="1:4" x14ac:dyDescent="0.3">
      <c r="A16638" s="34">
        <v>79561</v>
      </c>
      <c r="B16638" s="35">
        <v>1</v>
      </c>
      <c r="C16638" s="35">
        <v>0</v>
      </c>
      <c r="D16638" s="2">
        <f t="shared" si="259"/>
        <v>1</v>
      </c>
    </row>
    <row r="16639" spans="1:4" x14ac:dyDescent="0.3">
      <c r="A16639" s="34">
        <v>79562</v>
      </c>
      <c r="B16639" s="35">
        <v>1</v>
      </c>
      <c r="C16639" s="35">
        <v>0</v>
      </c>
      <c r="D16639" s="2">
        <f t="shared" si="259"/>
        <v>1</v>
      </c>
    </row>
    <row r="16640" spans="1:4" x14ac:dyDescent="0.3">
      <c r="A16640" s="34">
        <v>79563</v>
      </c>
      <c r="B16640" s="35">
        <v>1</v>
      </c>
      <c r="C16640" s="35">
        <v>0</v>
      </c>
      <c r="D16640" s="2">
        <f t="shared" si="259"/>
        <v>1</v>
      </c>
    </row>
    <row r="16641" spans="1:4" x14ac:dyDescent="0.3">
      <c r="A16641" s="34">
        <v>79564</v>
      </c>
      <c r="B16641" s="35">
        <v>1</v>
      </c>
      <c r="C16641" s="35">
        <v>0</v>
      </c>
      <c r="D16641" s="2">
        <f t="shared" si="259"/>
        <v>1</v>
      </c>
    </row>
    <row r="16642" spans="1:4" x14ac:dyDescent="0.3">
      <c r="A16642" s="34">
        <v>79565</v>
      </c>
      <c r="B16642" s="35">
        <v>1</v>
      </c>
      <c r="C16642" s="35">
        <v>0</v>
      </c>
      <c r="D16642" s="2">
        <f t="shared" si="259"/>
        <v>1</v>
      </c>
    </row>
    <row r="16643" spans="1:4" x14ac:dyDescent="0.3">
      <c r="A16643" s="34">
        <v>79566</v>
      </c>
      <c r="B16643" s="35">
        <v>1</v>
      </c>
      <c r="C16643" s="35">
        <v>0</v>
      </c>
      <c r="D16643" s="2">
        <f t="shared" ref="D16643:D16706" si="260">B16643+C16643</f>
        <v>1</v>
      </c>
    </row>
    <row r="16644" spans="1:4" x14ac:dyDescent="0.3">
      <c r="A16644" s="34">
        <v>79567</v>
      </c>
      <c r="B16644" s="35">
        <v>1</v>
      </c>
      <c r="C16644" s="35">
        <v>0</v>
      </c>
      <c r="D16644" s="2">
        <f t="shared" si="260"/>
        <v>1</v>
      </c>
    </row>
    <row r="16645" spans="1:4" x14ac:dyDescent="0.3">
      <c r="A16645" s="34">
        <v>79568</v>
      </c>
      <c r="B16645" s="35">
        <v>1</v>
      </c>
      <c r="C16645" s="35">
        <v>0</v>
      </c>
      <c r="D16645" s="2">
        <f t="shared" si="260"/>
        <v>1</v>
      </c>
    </row>
    <row r="16646" spans="1:4" x14ac:dyDescent="0.3">
      <c r="A16646" s="34">
        <v>79569</v>
      </c>
      <c r="B16646" s="35">
        <v>1</v>
      </c>
      <c r="C16646" s="35">
        <v>0</v>
      </c>
      <c r="D16646" s="2">
        <f t="shared" si="260"/>
        <v>1</v>
      </c>
    </row>
    <row r="16647" spans="1:4" x14ac:dyDescent="0.3">
      <c r="A16647" s="34">
        <v>79570</v>
      </c>
      <c r="B16647" s="35">
        <v>1</v>
      </c>
      <c r="C16647" s="35">
        <v>0</v>
      </c>
      <c r="D16647" s="2">
        <f t="shared" si="260"/>
        <v>1</v>
      </c>
    </row>
    <row r="16648" spans="1:4" x14ac:dyDescent="0.3">
      <c r="A16648" s="34">
        <v>79571</v>
      </c>
      <c r="B16648" s="35">
        <v>1</v>
      </c>
      <c r="C16648" s="35">
        <v>0</v>
      </c>
      <c r="D16648" s="2">
        <f t="shared" si="260"/>
        <v>1</v>
      </c>
    </row>
    <row r="16649" spans="1:4" x14ac:dyDescent="0.3">
      <c r="A16649" s="34">
        <v>79573</v>
      </c>
      <c r="B16649" s="35">
        <v>1</v>
      </c>
      <c r="C16649" s="35">
        <v>0</v>
      </c>
      <c r="D16649" s="2">
        <f t="shared" si="260"/>
        <v>1</v>
      </c>
    </row>
    <row r="16650" spans="1:4" x14ac:dyDescent="0.3">
      <c r="A16650" s="34">
        <v>79574</v>
      </c>
      <c r="B16650" s="35">
        <v>1</v>
      </c>
      <c r="C16650" s="35">
        <v>0</v>
      </c>
      <c r="D16650" s="2">
        <f t="shared" si="260"/>
        <v>1</v>
      </c>
    </row>
    <row r="16651" spans="1:4" x14ac:dyDescent="0.3">
      <c r="A16651" s="34">
        <v>79575</v>
      </c>
      <c r="B16651" s="35">
        <v>1</v>
      </c>
      <c r="C16651" s="35">
        <v>0</v>
      </c>
      <c r="D16651" s="2">
        <f t="shared" si="260"/>
        <v>1</v>
      </c>
    </row>
    <row r="16652" spans="1:4" x14ac:dyDescent="0.3">
      <c r="A16652" s="34">
        <v>79576</v>
      </c>
      <c r="B16652" s="35">
        <v>1</v>
      </c>
      <c r="C16652" s="35">
        <v>0</v>
      </c>
      <c r="D16652" s="2">
        <f t="shared" si="260"/>
        <v>1</v>
      </c>
    </row>
    <row r="16653" spans="1:4" x14ac:dyDescent="0.3">
      <c r="A16653" s="34">
        <v>79577</v>
      </c>
      <c r="B16653" s="35">
        <v>2</v>
      </c>
      <c r="C16653" s="35">
        <v>1</v>
      </c>
      <c r="D16653" s="2">
        <f t="shared" si="260"/>
        <v>3</v>
      </c>
    </row>
    <row r="16654" spans="1:4" x14ac:dyDescent="0.3">
      <c r="A16654" s="34">
        <v>79578</v>
      </c>
      <c r="B16654" s="35">
        <v>1</v>
      </c>
      <c r="C16654" s="35">
        <v>0</v>
      </c>
      <c r="D16654" s="2">
        <f t="shared" si="260"/>
        <v>1</v>
      </c>
    </row>
    <row r="16655" spans="1:4" x14ac:dyDescent="0.3">
      <c r="A16655" s="34">
        <v>79579</v>
      </c>
      <c r="B16655" s="35">
        <v>1</v>
      </c>
      <c r="C16655" s="35">
        <v>1</v>
      </c>
      <c r="D16655" s="2">
        <f t="shared" si="260"/>
        <v>2</v>
      </c>
    </row>
    <row r="16656" spans="1:4" x14ac:dyDescent="0.3">
      <c r="A16656" s="34">
        <v>79580</v>
      </c>
      <c r="B16656" s="35">
        <v>1</v>
      </c>
      <c r="C16656" s="35">
        <v>0</v>
      </c>
      <c r="D16656" s="2">
        <f t="shared" si="260"/>
        <v>1</v>
      </c>
    </row>
    <row r="16657" spans="1:4" x14ac:dyDescent="0.3">
      <c r="A16657" s="34">
        <v>79582</v>
      </c>
      <c r="B16657" s="35">
        <v>1</v>
      </c>
      <c r="C16657" s="35">
        <v>0</v>
      </c>
      <c r="D16657" s="2">
        <f t="shared" si="260"/>
        <v>1</v>
      </c>
    </row>
    <row r="16658" spans="1:4" x14ac:dyDescent="0.3">
      <c r="A16658" s="34">
        <v>79583</v>
      </c>
      <c r="B16658" s="35">
        <v>1</v>
      </c>
      <c r="C16658" s="35">
        <v>0</v>
      </c>
      <c r="D16658" s="2">
        <f t="shared" si="260"/>
        <v>1</v>
      </c>
    </row>
    <row r="16659" spans="1:4" x14ac:dyDescent="0.3">
      <c r="A16659" s="34">
        <v>79584</v>
      </c>
      <c r="B16659" s="35">
        <v>1</v>
      </c>
      <c r="C16659" s="35">
        <v>0</v>
      </c>
      <c r="D16659" s="2">
        <f t="shared" si="260"/>
        <v>1</v>
      </c>
    </row>
    <row r="16660" spans="1:4" x14ac:dyDescent="0.3">
      <c r="A16660" s="34">
        <v>79585</v>
      </c>
      <c r="B16660" s="35">
        <v>1</v>
      </c>
      <c r="C16660" s="35">
        <v>0</v>
      </c>
      <c r="D16660" s="2">
        <f t="shared" si="260"/>
        <v>1</v>
      </c>
    </row>
    <row r="16661" spans="1:4" x14ac:dyDescent="0.3">
      <c r="A16661" s="34">
        <v>79586</v>
      </c>
      <c r="B16661" s="35">
        <v>1</v>
      </c>
      <c r="C16661" s="35">
        <v>0</v>
      </c>
      <c r="D16661" s="2">
        <f t="shared" si="260"/>
        <v>1</v>
      </c>
    </row>
    <row r="16662" spans="1:4" x14ac:dyDescent="0.3">
      <c r="A16662" s="34">
        <v>79587</v>
      </c>
      <c r="B16662" s="35">
        <v>1</v>
      </c>
      <c r="C16662" s="35">
        <v>0</v>
      </c>
      <c r="D16662" s="2">
        <f t="shared" si="260"/>
        <v>1</v>
      </c>
    </row>
    <row r="16663" spans="1:4" x14ac:dyDescent="0.3">
      <c r="A16663" s="34">
        <v>79588</v>
      </c>
      <c r="B16663" s="35">
        <v>1</v>
      </c>
      <c r="C16663" s="35">
        <v>0</v>
      </c>
      <c r="D16663" s="2">
        <f t="shared" si="260"/>
        <v>1</v>
      </c>
    </row>
    <row r="16664" spans="1:4" x14ac:dyDescent="0.3">
      <c r="A16664" s="34">
        <v>79589</v>
      </c>
      <c r="B16664" s="35">
        <v>1</v>
      </c>
      <c r="C16664" s="35">
        <v>0</v>
      </c>
      <c r="D16664" s="2">
        <f t="shared" si="260"/>
        <v>1</v>
      </c>
    </row>
    <row r="16665" spans="1:4" x14ac:dyDescent="0.3">
      <c r="A16665" s="34">
        <v>79590</v>
      </c>
      <c r="B16665" s="35">
        <v>1</v>
      </c>
      <c r="C16665" s="35">
        <v>0</v>
      </c>
      <c r="D16665" s="2">
        <f t="shared" si="260"/>
        <v>1</v>
      </c>
    </row>
    <row r="16666" spans="1:4" x14ac:dyDescent="0.3">
      <c r="A16666" s="34">
        <v>79591</v>
      </c>
      <c r="B16666" s="35">
        <v>1</v>
      </c>
      <c r="C16666" s="35">
        <v>0</v>
      </c>
      <c r="D16666" s="2">
        <f t="shared" si="260"/>
        <v>1</v>
      </c>
    </row>
    <row r="16667" spans="1:4" x14ac:dyDescent="0.3">
      <c r="A16667" s="34">
        <v>79592</v>
      </c>
      <c r="B16667" s="35">
        <v>1</v>
      </c>
      <c r="C16667" s="35">
        <v>0</v>
      </c>
      <c r="D16667" s="2">
        <f t="shared" si="260"/>
        <v>1</v>
      </c>
    </row>
    <row r="16668" spans="1:4" x14ac:dyDescent="0.3">
      <c r="A16668" s="34">
        <v>79593</v>
      </c>
      <c r="B16668" s="35">
        <v>1</v>
      </c>
      <c r="C16668" s="35">
        <v>0</v>
      </c>
      <c r="D16668" s="2">
        <f t="shared" si="260"/>
        <v>1</v>
      </c>
    </row>
    <row r="16669" spans="1:4" x14ac:dyDescent="0.3">
      <c r="A16669" s="34">
        <v>79594</v>
      </c>
      <c r="B16669" s="35">
        <v>1</v>
      </c>
      <c r="C16669" s="35">
        <v>0</v>
      </c>
      <c r="D16669" s="2">
        <f t="shared" si="260"/>
        <v>1</v>
      </c>
    </row>
    <row r="16670" spans="1:4" x14ac:dyDescent="0.3">
      <c r="A16670" s="34">
        <v>79595</v>
      </c>
      <c r="B16670" s="35">
        <v>1</v>
      </c>
      <c r="C16670" s="35">
        <v>0</v>
      </c>
      <c r="D16670" s="2">
        <f t="shared" si="260"/>
        <v>1</v>
      </c>
    </row>
    <row r="16671" spans="1:4" x14ac:dyDescent="0.3">
      <c r="A16671" s="34">
        <v>79596</v>
      </c>
      <c r="B16671" s="35">
        <v>1</v>
      </c>
      <c r="C16671" s="35">
        <v>0</v>
      </c>
      <c r="D16671" s="2">
        <f t="shared" si="260"/>
        <v>1</v>
      </c>
    </row>
    <row r="16672" spans="1:4" x14ac:dyDescent="0.3">
      <c r="A16672" s="34">
        <v>79597</v>
      </c>
      <c r="B16672" s="35">
        <v>1</v>
      </c>
      <c r="C16672" s="35">
        <v>0</v>
      </c>
      <c r="D16672" s="2">
        <f t="shared" si="260"/>
        <v>1</v>
      </c>
    </row>
    <row r="16673" spans="1:4" x14ac:dyDescent="0.3">
      <c r="A16673" s="34">
        <v>79598</v>
      </c>
      <c r="B16673" s="35">
        <v>1</v>
      </c>
      <c r="C16673" s="35">
        <v>1</v>
      </c>
      <c r="D16673" s="2">
        <f t="shared" si="260"/>
        <v>2</v>
      </c>
    </row>
    <row r="16674" spans="1:4" x14ac:dyDescent="0.3">
      <c r="A16674" s="34">
        <v>79599</v>
      </c>
      <c r="B16674" s="35">
        <v>1</v>
      </c>
      <c r="C16674" s="35">
        <v>0</v>
      </c>
      <c r="D16674" s="2">
        <f t="shared" si="260"/>
        <v>1</v>
      </c>
    </row>
    <row r="16675" spans="1:4" x14ac:dyDescent="0.3">
      <c r="A16675" s="34">
        <v>79600</v>
      </c>
      <c r="B16675" s="35">
        <v>1</v>
      </c>
      <c r="C16675" s="35">
        <v>0</v>
      </c>
      <c r="D16675" s="2">
        <f t="shared" si="260"/>
        <v>1</v>
      </c>
    </row>
    <row r="16676" spans="1:4" x14ac:dyDescent="0.3">
      <c r="A16676" s="34">
        <v>79601</v>
      </c>
      <c r="B16676" s="35">
        <v>1</v>
      </c>
      <c r="C16676" s="35">
        <v>0</v>
      </c>
      <c r="D16676" s="2">
        <f t="shared" si="260"/>
        <v>1</v>
      </c>
    </row>
    <row r="16677" spans="1:4" x14ac:dyDescent="0.3">
      <c r="A16677" s="34">
        <v>79602</v>
      </c>
      <c r="B16677" s="35">
        <v>1</v>
      </c>
      <c r="C16677" s="35">
        <v>0</v>
      </c>
      <c r="D16677" s="2">
        <f t="shared" si="260"/>
        <v>1</v>
      </c>
    </row>
    <row r="16678" spans="1:4" x14ac:dyDescent="0.3">
      <c r="A16678" s="34">
        <v>79603</v>
      </c>
      <c r="B16678" s="35">
        <v>1</v>
      </c>
      <c r="C16678" s="35">
        <v>1</v>
      </c>
      <c r="D16678" s="2">
        <f t="shared" si="260"/>
        <v>2</v>
      </c>
    </row>
    <row r="16679" spans="1:4" x14ac:dyDescent="0.3">
      <c r="A16679" s="34">
        <v>79604</v>
      </c>
      <c r="B16679" s="35">
        <v>1</v>
      </c>
      <c r="C16679" s="35">
        <v>0</v>
      </c>
      <c r="D16679" s="2">
        <f t="shared" si="260"/>
        <v>1</v>
      </c>
    </row>
    <row r="16680" spans="1:4" x14ac:dyDescent="0.3">
      <c r="A16680" s="34">
        <v>79605</v>
      </c>
      <c r="B16680" s="35">
        <v>2</v>
      </c>
      <c r="C16680" s="35">
        <v>1</v>
      </c>
      <c r="D16680" s="2">
        <f t="shared" si="260"/>
        <v>3</v>
      </c>
    </row>
    <row r="16681" spans="1:4" x14ac:dyDescent="0.3">
      <c r="A16681" s="34">
        <v>79606</v>
      </c>
      <c r="B16681" s="35">
        <v>1</v>
      </c>
      <c r="C16681" s="35">
        <v>0</v>
      </c>
      <c r="D16681" s="2">
        <f t="shared" si="260"/>
        <v>1</v>
      </c>
    </row>
    <row r="16682" spans="1:4" x14ac:dyDescent="0.3">
      <c r="A16682" s="34">
        <v>79607</v>
      </c>
      <c r="B16682" s="35">
        <v>1</v>
      </c>
      <c r="C16682" s="35">
        <v>0</v>
      </c>
      <c r="D16682" s="2">
        <f t="shared" si="260"/>
        <v>1</v>
      </c>
    </row>
    <row r="16683" spans="1:4" x14ac:dyDescent="0.3">
      <c r="A16683" s="34">
        <v>79608</v>
      </c>
      <c r="B16683" s="35">
        <v>1</v>
      </c>
      <c r="C16683" s="35">
        <v>0</v>
      </c>
      <c r="D16683" s="2">
        <f t="shared" si="260"/>
        <v>1</v>
      </c>
    </row>
    <row r="16684" spans="1:4" x14ac:dyDescent="0.3">
      <c r="A16684" s="34">
        <v>79609</v>
      </c>
      <c r="B16684" s="35">
        <v>1</v>
      </c>
      <c r="C16684" s="35">
        <v>0</v>
      </c>
      <c r="D16684" s="2">
        <f t="shared" si="260"/>
        <v>1</v>
      </c>
    </row>
    <row r="16685" spans="1:4" x14ac:dyDescent="0.3">
      <c r="A16685" s="34">
        <v>79610</v>
      </c>
      <c r="B16685" s="35">
        <v>2</v>
      </c>
      <c r="C16685" s="35">
        <v>1</v>
      </c>
      <c r="D16685" s="2">
        <f t="shared" si="260"/>
        <v>3</v>
      </c>
    </row>
    <row r="16686" spans="1:4" x14ac:dyDescent="0.3">
      <c r="A16686" s="34">
        <v>79611</v>
      </c>
      <c r="B16686" s="35">
        <v>1</v>
      </c>
      <c r="C16686" s="35">
        <v>0</v>
      </c>
      <c r="D16686" s="2">
        <f t="shared" si="260"/>
        <v>1</v>
      </c>
    </row>
    <row r="16687" spans="1:4" x14ac:dyDescent="0.3">
      <c r="A16687" s="34">
        <v>79612</v>
      </c>
      <c r="B16687" s="35">
        <v>1</v>
      </c>
      <c r="C16687" s="35">
        <v>0</v>
      </c>
      <c r="D16687" s="2">
        <f t="shared" si="260"/>
        <v>1</v>
      </c>
    </row>
    <row r="16688" spans="1:4" x14ac:dyDescent="0.3">
      <c r="A16688" s="34">
        <v>79613</v>
      </c>
      <c r="B16688" s="35">
        <v>1</v>
      </c>
      <c r="C16688" s="35">
        <v>0</v>
      </c>
      <c r="D16688" s="2">
        <f t="shared" si="260"/>
        <v>1</v>
      </c>
    </row>
    <row r="16689" spans="1:4" x14ac:dyDescent="0.3">
      <c r="A16689" s="34">
        <v>79614</v>
      </c>
      <c r="B16689" s="35">
        <v>1</v>
      </c>
      <c r="C16689" s="35">
        <v>0</v>
      </c>
      <c r="D16689" s="2">
        <f t="shared" si="260"/>
        <v>1</v>
      </c>
    </row>
    <row r="16690" spans="1:4" x14ac:dyDescent="0.3">
      <c r="A16690" s="34">
        <v>79615</v>
      </c>
      <c r="B16690" s="35">
        <v>2</v>
      </c>
      <c r="C16690" s="35">
        <v>1</v>
      </c>
      <c r="D16690" s="2">
        <f t="shared" si="260"/>
        <v>3</v>
      </c>
    </row>
    <row r="16691" spans="1:4" x14ac:dyDescent="0.3">
      <c r="A16691" s="34">
        <v>79616</v>
      </c>
      <c r="B16691" s="35">
        <v>1</v>
      </c>
      <c r="C16691" s="35">
        <v>0</v>
      </c>
      <c r="D16691" s="2">
        <f t="shared" si="260"/>
        <v>1</v>
      </c>
    </row>
    <row r="16692" spans="1:4" x14ac:dyDescent="0.3">
      <c r="A16692" s="34">
        <v>79617</v>
      </c>
      <c r="B16692" s="35">
        <v>1</v>
      </c>
      <c r="C16692" s="35">
        <v>0</v>
      </c>
      <c r="D16692" s="2">
        <f t="shared" si="260"/>
        <v>1</v>
      </c>
    </row>
    <row r="16693" spans="1:4" x14ac:dyDescent="0.3">
      <c r="A16693" s="34">
        <v>79618</v>
      </c>
      <c r="B16693" s="35">
        <v>1</v>
      </c>
      <c r="C16693" s="35">
        <v>0</v>
      </c>
      <c r="D16693" s="2">
        <f t="shared" si="260"/>
        <v>1</v>
      </c>
    </row>
    <row r="16694" spans="1:4" x14ac:dyDescent="0.3">
      <c r="A16694" s="34">
        <v>79619</v>
      </c>
      <c r="B16694" s="35">
        <v>1</v>
      </c>
      <c r="C16694" s="35">
        <v>0</v>
      </c>
      <c r="D16694" s="2">
        <f t="shared" si="260"/>
        <v>1</v>
      </c>
    </row>
    <row r="16695" spans="1:4" x14ac:dyDescent="0.3">
      <c r="A16695" s="34">
        <v>79620</v>
      </c>
      <c r="B16695" s="35">
        <v>1</v>
      </c>
      <c r="C16695" s="35">
        <v>1</v>
      </c>
      <c r="D16695" s="2">
        <f t="shared" si="260"/>
        <v>2</v>
      </c>
    </row>
    <row r="16696" spans="1:4" x14ac:dyDescent="0.3">
      <c r="A16696" s="34">
        <v>79621</v>
      </c>
      <c r="B16696" s="35">
        <v>1</v>
      </c>
      <c r="C16696" s="35">
        <v>0</v>
      </c>
      <c r="D16696" s="2">
        <f t="shared" si="260"/>
        <v>1</v>
      </c>
    </row>
    <row r="16697" spans="1:4" x14ac:dyDescent="0.3">
      <c r="A16697" s="34">
        <v>79622</v>
      </c>
      <c r="B16697" s="35">
        <v>1</v>
      </c>
      <c r="C16697" s="35">
        <v>1</v>
      </c>
      <c r="D16697" s="2">
        <f t="shared" si="260"/>
        <v>2</v>
      </c>
    </row>
    <row r="16698" spans="1:4" x14ac:dyDescent="0.3">
      <c r="A16698" s="34">
        <v>79623</v>
      </c>
      <c r="B16698" s="35">
        <v>1</v>
      </c>
      <c r="C16698" s="35">
        <v>0</v>
      </c>
      <c r="D16698" s="2">
        <f t="shared" si="260"/>
        <v>1</v>
      </c>
    </row>
    <row r="16699" spans="1:4" x14ac:dyDescent="0.3">
      <c r="A16699" s="34">
        <v>79624</v>
      </c>
      <c r="B16699" s="35">
        <v>1</v>
      </c>
      <c r="C16699" s="35">
        <v>0</v>
      </c>
      <c r="D16699" s="2">
        <f t="shared" si="260"/>
        <v>1</v>
      </c>
    </row>
    <row r="16700" spans="1:4" x14ac:dyDescent="0.3">
      <c r="A16700" s="34">
        <v>79625</v>
      </c>
      <c r="B16700" s="35">
        <v>1</v>
      </c>
      <c r="C16700" s="35">
        <v>0</v>
      </c>
      <c r="D16700" s="2">
        <f t="shared" si="260"/>
        <v>1</v>
      </c>
    </row>
    <row r="16701" spans="1:4" x14ac:dyDescent="0.3">
      <c r="A16701" s="34">
        <v>79626</v>
      </c>
      <c r="B16701" s="35">
        <v>1</v>
      </c>
      <c r="C16701" s="35">
        <v>0</v>
      </c>
      <c r="D16701" s="2">
        <f t="shared" si="260"/>
        <v>1</v>
      </c>
    </row>
    <row r="16702" spans="1:4" x14ac:dyDescent="0.3">
      <c r="A16702" s="34">
        <v>79627</v>
      </c>
      <c r="B16702" s="35">
        <v>1</v>
      </c>
      <c r="C16702" s="35">
        <v>0</v>
      </c>
      <c r="D16702" s="2">
        <f t="shared" si="260"/>
        <v>1</v>
      </c>
    </row>
    <row r="16703" spans="1:4" x14ac:dyDescent="0.3">
      <c r="A16703" s="34">
        <v>79628</v>
      </c>
      <c r="B16703" s="35">
        <v>1</v>
      </c>
      <c r="C16703" s="35">
        <v>0</v>
      </c>
      <c r="D16703" s="2">
        <f t="shared" si="260"/>
        <v>1</v>
      </c>
    </row>
    <row r="16704" spans="1:4" x14ac:dyDescent="0.3">
      <c r="A16704" s="34">
        <v>79629</v>
      </c>
      <c r="B16704" s="35">
        <v>1</v>
      </c>
      <c r="C16704" s="35">
        <v>0</v>
      </c>
      <c r="D16704" s="2">
        <f t="shared" si="260"/>
        <v>1</v>
      </c>
    </row>
    <row r="16705" spans="1:4" x14ac:dyDescent="0.3">
      <c r="A16705" s="34">
        <v>79631</v>
      </c>
      <c r="B16705" s="35">
        <v>2</v>
      </c>
      <c r="C16705" s="35">
        <v>1</v>
      </c>
      <c r="D16705" s="2">
        <f t="shared" si="260"/>
        <v>3</v>
      </c>
    </row>
    <row r="16706" spans="1:4" x14ac:dyDescent="0.3">
      <c r="A16706" s="34">
        <v>79632</v>
      </c>
      <c r="B16706" s="35">
        <v>1</v>
      </c>
      <c r="C16706" s="35">
        <v>0</v>
      </c>
      <c r="D16706" s="2">
        <f t="shared" si="260"/>
        <v>1</v>
      </c>
    </row>
    <row r="16707" spans="1:4" x14ac:dyDescent="0.3">
      <c r="A16707" s="34">
        <v>79633</v>
      </c>
      <c r="B16707" s="35">
        <v>1</v>
      </c>
      <c r="C16707" s="35">
        <v>0</v>
      </c>
      <c r="D16707" s="2">
        <f t="shared" ref="D16707:D16770" si="261">B16707+C16707</f>
        <v>1</v>
      </c>
    </row>
    <row r="16708" spans="1:4" x14ac:dyDescent="0.3">
      <c r="A16708" s="34">
        <v>79634</v>
      </c>
      <c r="B16708" s="35">
        <v>1</v>
      </c>
      <c r="C16708" s="35">
        <v>0</v>
      </c>
      <c r="D16708" s="2">
        <f t="shared" si="261"/>
        <v>1</v>
      </c>
    </row>
    <row r="16709" spans="1:4" x14ac:dyDescent="0.3">
      <c r="A16709" s="34">
        <v>79635</v>
      </c>
      <c r="B16709" s="35">
        <v>1</v>
      </c>
      <c r="C16709" s="35">
        <v>0</v>
      </c>
      <c r="D16709" s="2">
        <f t="shared" si="261"/>
        <v>1</v>
      </c>
    </row>
    <row r="16710" spans="1:4" x14ac:dyDescent="0.3">
      <c r="A16710" s="34">
        <v>79636</v>
      </c>
      <c r="B16710" s="35">
        <v>1</v>
      </c>
      <c r="C16710" s="35">
        <v>0</v>
      </c>
      <c r="D16710" s="2">
        <f t="shared" si="261"/>
        <v>1</v>
      </c>
    </row>
    <row r="16711" spans="1:4" x14ac:dyDescent="0.3">
      <c r="A16711" s="34">
        <v>79637</v>
      </c>
      <c r="B16711" s="35">
        <v>1</v>
      </c>
      <c r="C16711" s="35">
        <v>0</v>
      </c>
      <c r="D16711" s="2">
        <f t="shared" si="261"/>
        <v>1</v>
      </c>
    </row>
    <row r="16712" spans="1:4" x14ac:dyDescent="0.3">
      <c r="A16712" s="34">
        <v>79638</v>
      </c>
      <c r="B16712" s="35">
        <v>1</v>
      </c>
      <c r="C16712" s="35">
        <v>0</v>
      </c>
      <c r="D16712" s="2">
        <f t="shared" si="261"/>
        <v>1</v>
      </c>
    </row>
    <row r="16713" spans="1:4" x14ac:dyDescent="0.3">
      <c r="A16713" s="34">
        <v>79639</v>
      </c>
      <c r="B16713" s="35">
        <v>1</v>
      </c>
      <c r="C16713" s="35">
        <v>0</v>
      </c>
      <c r="D16713" s="2">
        <f t="shared" si="261"/>
        <v>1</v>
      </c>
    </row>
    <row r="16714" spans="1:4" x14ac:dyDescent="0.3">
      <c r="A16714" s="34">
        <v>79640</v>
      </c>
      <c r="B16714" s="35">
        <v>1</v>
      </c>
      <c r="C16714" s="35">
        <v>0</v>
      </c>
      <c r="D16714" s="2">
        <f t="shared" si="261"/>
        <v>1</v>
      </c>
    </row>
    <row r="16715" spans="1:4" x14ac:dyDescent="0.3">
      <c r="A16715" s="34">
        <v>79641</v>
      </c>
      <c r="B16715" s="35">
        <v>1</v>
      </c>
      <c r="C16715" s="35">
        <v>0</v>
      </c>
      <c r="D16715" s="2">
        <f t="shared" si="261"/>
        <v>1</v>
      </c>
    </row>
    <row r="16716" spans="1:4" x14ac:dyDescent="0.3">
      <c r="A16716" s="34">
        <v>79643</v>
      </c>
      <c r="B16716" s="35">
        <v>1</v>
      </c>
      <c r="C16716" s="35">
        <v>0</v>
      </c>
      <c r="D16716" s="2">
        <f t="shared" si="261"/>
        <v>1</v>
      </c>
    </row>
    <row r="16717" spans="1:4" x14ac:dyDescent="0.3">
      <c r="A16717" s="34">
        <v>79644</v>
      </c>
      <c r="B16717" s="35">
        <v>1</v>
      </c>
      <c r="C16717" s="35">
        <v>0</v>
      </c>
      <c r="D16717" s="2">
        <f t="shared" si="261"/>
        <v>1</v>
      </c>
    </row>
    <row r="16718" spans="1:4" x14ac:dyDescent="0.3">
      <c r="A16718" s="34">
        <v>79645</v>
      </c>
      <c r="B16718" s="35">
        <v>1</v>
      </c>
      <c r="C16718" s="35">
        <v>0</v>
      </c>
      <c r="D16718" s="2">
        <f t="shared" si="261"/>
        <v>1</v>
      </c>
    </row>
    <row r="16719" spans="1:4" x14ac:dyDescent="0.3">
      <c r="A16719" s="34">
        <v>79646</v>
      </c>
      <c r="B16719" s="35">
        <v>1</v>
      </c>
      <c r="C16719" s="35">
        <v>0</v>
      </c>
      <c r="D16719" s="2">
        <f t="shared" si="261"/>
        <v>1</v>
      </c>
    </row>
    <row r="16720" spans="1:4" x14ac:dyDescent="0.3">
      <c r="A16720" s="34">
        <v>79647</v>
      </c>
      <c r="B16720" s="35">
        <v>1</v>
      </c>
      <c r="C16720" s="35">
        <v>0</v>
      </c>
      <c r="D16720" s="2">
        <f t="shared" si="261"/>
        <v>1</v>
      </c>
    </row>
    <row r="16721" spans="1:4" x14ac:dyDescent="0.3">
      <c r="A16721" s="34">
        <v>79648</v>
      </c>
      <c r="B16721" s="35">
        <v>1</v>
      </c>
      <c r="C16721" s="35">
        <v>0</v>
      </c>
      <c r="D16721" s="2">
        <f t="shared" si="261"/>
        <v>1</v>
      </c>
    </row>
    <row r="16722" spans="1:4" x14ac:dyDescent="0.3">
      <c r="A16722" s="34">
        <v>79649</v>
      </c>
      <c r="B16722" s="35">
        <v>1</v>
      </c>
      <c r="C16722" s="35">
        <v>0</v>
      </c>
      <c r="D16722" s="2">
        <f t="shared" si="261"/>
        <v>1</v>
      </c>
    </row>
    <row r="16723" spans="1:4" x14ac:dyDescent="0.3">
      <c r="A16723" s="34">
        <v>79650</v>
      </c>
      <c r="B16723" s="35">
        <v>1</v>
      </c>
      <c r="C16723" s="35">
        <v>0</v>
      </c>
      <c r="D16723" s="2">
        <f t="shared" si="261"/>
        <v>1</v>
      </c>
    </row>
    <row r="16724" spans="1:4" x14ac:dyDescent="0.3">
      <c r="A16724" s="34">
        <v>79651</v>
      </c>
      <c r="B16724" s="35">
        <v>1</v>
      </c>
      <c r="C16724" s="35">
        <v>0</v>
      </c>
      <c r="D16724" s="2">
        <f t="shared" si="261"/>
        <v>1</v>
      </c>
    </row>
    <row r="16725" spans="1:4" x14ac:dyDescent="0.3">
      <c r="A16725" s="34">
        <v>79652</v>
      </c>
      <c r="B16725" s="35">
        <v>1</v>
      </c>
      <c r="C16725" s="35">
        <v>0</v>
      </c>
      <c r="D16725" s="2">
        <f t="shared" si="261"/>
        <v>1</v>
      </c>
    </row>
    <row r="16726" spans="1:4" x14ac:dyDescent="0.3">
      <c r="A16726" s="34">
        <v>79653</v>
      </c>
      <c r="B16726" s="35">
        <v>1</v>
      </c>
      <c r="C16726" s="35">
        <v>0</v>
      </c>
      <c r="D16726" s="2">
        <f t="shared" si="261"/>
        <v>1</v>
      </c>
    </row>
    <row r="16727" spans="1:4" x14ac:dyDescent="0.3">
      <c r="A16727" s="34">
        <v>79654</v>
      </c>
      <c r="B16727" s="35">
        <v>1</v>
      </c>
      <c r="C16727" s="35">
        <v>0</v>
      </c>
      <c r="D16727" s="2">
        <f t="shared" si="261"/>
        <v>1</v>
      </c>
    </row>
    <row r="16728" spans="1:4" x14ac:dyDescent="0.3">
      <c r="A16728" s="34">
        <v>79655</v>
      </c>
      <c r="B16728" s="35">
        <v>1</v>
      </c>
      <c r="C16728" s="35">
        <v>0</v>
      </c>
      <c r="D16728" s="2">
        <f t="shared" si="261"/>
        <v>1</v>
      </c>
    </row>
    <row r="16729" spans="1:4" x14ac:dyDescent="0.3">
      <c r="A16729" s="34">
        <v>79656</v>
      </c>
      <c r="B16729" s="35">
        <v>1</v>
      </c>
      <c r="C16729" s="35">
        <v>0</v>
      </c>
      <c r="D16729" s="2">
        <f t="shared" si="261"/>
        <v>1</v>
      </c>
    </row>
    <row r="16730" spans="1:4" x14ac:dyDescent="0.3">
      <c r="A16730" s="34">
        <v>79657</v>
      </c>
      <c r="B16730" s="35">
        <v>1</v>
      </c>
      <c r="C16730" s="35">
        <v>0</v>
      </c>
      <c r="D16730" s="2">
        <f t="shared" si="261"/>
        <v>1</v>
      </c>
    </row>
    <row r="16731" spans="1:4" x14ac:dyDescent="0.3">
      <c r="A16731" s="34">
        <v>79658</v>
      </c>
      <c r="B16731" s="35">
        <v>1</v>
      </c>
      <c r="C16731" s="35">
        <v>0</v>
      </c>
      <c r="D16731" s="2">
        <f t="shared" si="261"/>
        <v>1</v>
      </c>
    </row>
    <row r="16732" spans="1:4" x14ac:dyDescent="0.3">
      <c r="A16732" s="34">
        <v>79659</v>
      </c>
      <c r="B16732" s="35">
        <v>2</v>
      </c>
      <c r="C16732" s="35">
        <v>1</v>
      </c>
      <c r="D16732" s="2">
        <f t="shared" si="261"/>
        <v>3</v>
      </c>
    </row>
    <row r="16733" spans="1:4" x14ac:dyDescent="0.3">
      <c r="A16733" s="34">
        <v>79660</v>
      </c>
      <c r="B16733" s="35">
        <v>1</v>
      </c>
      <c r="C16733" s="35">
        <v>0</v>
      </c>
      <c r="D16733" s="2">
        <f t="shared" si="261"/>
        <v>1</v>
      </c>
    </row>
    <row r="16734" spans="1:4" x14ac:dyDescent="0.3">
      <c r="A16734" s="34">
        <v>79661</v>
      </c>
      <c r="B16734" s="35">
        <v>1</v>
      </c>
      <c r="C16734" s="35">
        <v>0</v>
      </c>
      <c r="D16734" s="2">
        <f t="shared" si="261"/>
        <v>1</v>
      </c>
    </row>
    <row r="16735" spans="1:4" x14ac:dyDescent="0.3">
      <c r="A16735" s="34">
        <v>79662</v>
      </c>
      <c r="B16735" s="35">
        <v>1</v>
      </c>
      <c r="C16735" s="35">
        <v>0</v>
      </c>
      <c r="D16735" s="2">
        <f t="shared" si="261"/>
        <v>1</v>
      </c>
    </row>
    <row r="16736" spans="1:4" x14ac:dyDescent="0.3">
      <c r="A16736" s="34">
        <v>79663</v>
      </c>
      <c r="B16736" s="35">
        <v>1</v>
      </c>
      <c r="C16736" s="35">
        <v>0</v>
      </c>
      <c r="D16736" s="2">
        <f t="shared" si="261"/>
        <v>1</v>
      </c>
    </row>
    <row r="16737" spans="1:4" x14ac:dyDescent="0.3">
      <c r="A16737" s="34">
        <v>79664</v>
      </c>
      <c r="B16737" s="35">
        <v>1</v>
      </c>
      <c r="C16737" s="35">
        <v>0</v>
      </c>
      <c r="D16737" s="2">
        <f t="shared" si="261"/>
        <v>1</v>
      </c>
    </row>
    <row r="16738" spans="1:4" x14ac:dyDescent="0.3">
      <c r="A16738" s="34">
        <v>79665</v>
      </c>
      <c r="B16738" s="35">
        <v>1</v>
      </c>
      <c r="C16738" s="35">
        <v>0</v>
      </c>
      <c r="D16738" s="2">
        <f t="shared" si="261"/>
        <v>1</v>
      </c>
    </row>
    <row r="16739" spans="1:4" x14ac:dyDescent="0.3">
      <c r="A16739" s="34">
        <v>79667</v>
      </c>
      <c r="B16739" s="35">
        <v>1</v>
      </c>
      <c r="C16739" s="35">
        <v>0</v>
      </c>
      <c r="D16739" s="2">
        <f t="shared" si="261"/>
        <v>1</v>
      </c>
    </row>
    <row r="16740" spans="1:4" x14ac:dyDescent="0.3">
      <c r="A16740" s="34">
        <v>79668</v>
      </c>
      <c r="B16740" s="35">
        <v>1</v>
      </c>
      <c r="C16740" s="35">
        <v>0</v>
      </c>
      <c r="D16740" s="2">
        <f t="shared" si="261"/>
        <v>1</v>
      </c>
    </row>
    <row r="16741" spans="1:4" x14ac:dyDescent="0.3">
      <c r="A16741" s="34">
        <v>79669</v>
      </c>
      <c r="B16741" s="35">
        <v>1</v>
      </c>
      <c r="C16741" s="35">
        <v>0</v>
      </c>
      <c r="D16741" s="2">
        <f t="shared" si="261"/>
        <v>1</v>
      </c>
    </row>
    <row r="16742" spans="1:4" x14ac:dyDescent="0.3">
      <c r="A16742" s="34">
        <v>79670</v>
      </c>
      <c r="B16742" s="35">
        <v>1</v>
      </c>
      <c r="C16742" s="35">
        <v>1</v>
      </c>
      <c r="D16742" s="2">
        <f t="shared" si="261"/>
        <v>2</v>
      </c>
    </row>
    <row r="16743" spans="1:4" x14ac:dyDescent="0.3">
      <c r="A16743" s="34">
        <v>79671</v>
      </c>
      <c r="B16743" s="35">
        <v>1</v>
      </c>
      <c r="C16743" s="35">
        <v>0</v>
      </c>
      <c r="D16743" s="2">
        <f t="shared" si="261"/>
        <v>1</v>
      </c>
    </row>
    <row r="16744" spans="1:4" x14ac:dyDescent="0.3">
      <c r="A16744" s="34">
        <v>79672</v>
      </c>
      <c r="B16744" s="35">
        <v>1</v>
      </c>
      <c r="C16744" s="35">
        <v>0</v>
      </c>
      <c r="D16744" s="2">
        <f t="shared" si="261"/>
        <v>1</v>
      </c>
    </row>
    <row r="16745" spans="1:4" x14ac:dyDescent="0.3">
      <c r="A16745" s="34">
        <v>79673</v>
      </c>
      <c r="B16745" s="35">
        <v>1</v>
      </c>
      <c r="C16745" s="35">
        <v>0</v>
      </c>
      <c r="D16745" s="2">
        <f t="shared" si="261"/>
        <v>1</v>
      </c>
    </row>
    <row r="16746" spans="1:4" x14ac:dyDescent="0.3">
      <c r="A16746" s="34">
        <v>79674</v>
      </c>
      <c r="B16746" s="35">
        <v>1</v>
      </c>
      <c r="C16746" s="35">
        <v>0</v>
      </c>
      <c r="D16746" s="2">
        <f t="shared" si="261"/>
        <v>1</v>
      </c>
    </row>
    <row r="16747" spans="1:4" x14ac:dyDescent="0.3">
      <c r="A16747" s="34">
        <v>79675</v>
      </c>
      <c r="B16747" s="35">
        <v>1</v>
      </c>
      <c r="C16747" s="35">
        <v>0</v>
      </c>
      <c r="D16747" s="2">
        <f t="shared" si="261"/>
        <v>1</v>
      </c>
    </row>
    <row r="16748" spans="1:4" x14ac:dyDescent="0.3">
      <c r="A16748" s="34">
        <v>79676</v>
      </c>
      <c r="B16748" s="35">
        <v>1</v>
      </c>
      <c r="C16748" s="35">
        <v>0</v>
      </c>
      <c r="D16748" s="2">
        <f t="shared" si="261"/>
        <v>1</v>
      </c>
    </row>
    <row r="16749" spans="1:4" x14ac:dyDescent="0.3">
      <c r="A16749" s="34">
        <v>79677</v>
      </c>
      <c r="B16749" s="35">
        <v>1</v>
      </c>
      <c r="C16749" s="35">
        <v>0</v>
      </c>
      <c r="D16749" s="2">
        <f t="shared" si="261"/>
        <v>1</v>
      </c>
    </row>
    <row r="16750" spans="1:4" x14ac:dyDescent="0.3">
      <c r="A16750" s="34">
        <v>79678</v>
      </c>
      <c r="B16750" s="35">
        <v>1</v>
      </c>
      <c r="C16750" s="35">
        <v>0</v>
      </c>
      <c r="D16750" s="2">
        <f t="shared" si="261"/>
        <v>1</v>
      </c>
    </row>
    <row r="16751" spans="1:4" x14ac:dyDescent="0.3">
      <c r="A16751" s="34">
        <v>79679</v>
      </c>
      <c r="B16751" s="35">
        <v>1</v>
      </c>
      <c r="C16751" s="35">
        <v>0</v>
      </c>
      <c r="D16751" s="2">
        <f t="shared" si="261"/>
        <v>1</v>
      </c>
    </row>
    <row r="16752" spans="1:4" x14ac:dyDescent="0.3">
      <c r="A16752" s="34">
        <v>79680</v>
      </c>
      <c r="B16752" s="35">
        <v>1</v>
      </c>
      <c r="C16752" s="35">
        <v>0</v>
      </c>
      <c r="D16752" s="2">
        <f t="shared" si="261"/>
        <v>1</v>
      </c>
    </row>
    <row r="16753" spans="1:4" x14ac:dyDescent="0.3">
      <c r="A16753" s="34">
        <v>79681</v>
      </c>
      <c r="B16753" s="35">
        <v>1</v>
      </c>
      <c r="C16753" s="35">
        <v>0</v>
      </c>
      <c r="D16753" s="2">
        <f t="shared" si="261"/>
        <v>1</v>
      </c>
    </row>
    <row r="16754" spans="1:4" x14ac:dyDescent="0.3">
      <c r="A16754" s="34">
        <v>79682</v>
      </c>
      <c r="B16754" s="35">
        <v>1</v>
      </c>
      <c r="C16754" s="35">
        <v>0</v>
      </c>
      <c r="D16754" s="2">
        <f t="shared" si="261"/>
        <v>1</v>
      </c>
    </row>
    <row r="16755" spans="1:4" x14ac:dyDescent="0.3">
      <c r="A16755" s="34">
        <v>79683</v>
      </c>
      <c r="B16755" s="35">
        <v>1</v>
      </c>
      <c r="C16755" s="35">
        <v>0</v>
      </c>
      <c r="D16755" s="2">
        <f t="shared" si="261"/>
        <v>1</v>
      </c>
    </row>
    <row r="16756" spans="1:4" x14ac:dyDescent="0.3">
      <c r="A16756" s="34">
        <v>79684</v>
      </c>
      <c r="B16756" s="35">
        <v>1</v>
      </c>
      <c r="C16756" s="35">
        <v>0</v>
      </c>
      <c r="D16756" s="2">
        <f t="shared" si="261"/>
        <v>1</v>
      </c>
    </row>
    <row r="16757" spans="1:4" x14ac:dyDescent="0.3">
      <c r="A16757" s="34">
        <v>79685</v>
      </c>
      <c r="B16757" s="35">
        <v>1</v>
      </c>
      <c r="C16757" s="35">
        <v>0</v>
      </c>
      <c r="D16757" s="2">
        <f t="shared" si="261"/>
        <v>1</v>
      </c>
    </row>
    <row r="16758" spans="1:4" x14ac:dyDescent="0.3">
      <c r="A16758" s="34">
        <v>79734</v>
      </c>
      <c r="B16758" s="35">
        <v>1</v>
      </c>
      <c r="C16758" s="35">
        <v>0</v>
      </c>
      <c r="D16758" s="2">
        <f t="shared" si="261"/>
        <v>1</v>
      </c>
    </row>
    <row r="16759" spans="1:4" x14ac:dyDescent="0.3">
      <c r="A16759" s="34">
        <v>79735</v>
      </c>
      <c r="B16759" s="35">
        <v>1</v>
      </c>
      <c r="C16759" s="35">
        <v>0</v>
      </c>
      <c r="D16759" s="2">
        <f t="shared" si="261"/>
        <v>1</v>
      </c>
    </row>
    <row r="16760" spans="1:4" x14ac:dyDescent="0.3">
      <c r="A16760" s="34">
        <v>79736</v>
      </c>
      <c r="B16760" s="35">
        <v>1</v>
      </c>
      <c r="C16760" s="35">
        <v>0</v>
      </c>
      <c r="D16760" s="2">
        <f t="shared" si="261"/>
        <v>1</v>
      </c>
    </row>
    <row r="16761" spans="1:4" x14ac:dyDescent="0.3">
      <c r="A16761" s="34">
        <v>79737</v>
      </c>
      <c r="B16761" s="35">
        <v>1</v>
      </c>
      <c r="C16761" s="35">
        <v>0</v>
      </c>
      <c r="D16761" s="2">
        <f t="shared" si="261"/>
        <v>1</v>
      </c>
    </row>
    <row r="16762" spans="1:4" x14ac:dyDescent="0.3">
      <c r="A16762" s="34">
        <v>79738</v>
      </c>
      <c r="B16762" s="35">
        <v>1</v>
      </c>
      <c r="C16762" s="35">
        <v>0</v>
      </c>
      <c r="D16762" s="2">
        <f t="shared" si="261"/>
        <v>1</v>
      </c>
    </row>
    <row r="16763" spans="1:4" x14ac:dyDescent="0.3">
      <c r="A16763" s="34">
        <v>79739</v>
      </c>
      <c r="B16763" s="35">
        <v>1</v>
      </c>
      <c r="C16763" s="35">
        <v>0</v>
      </c>
      <c r="D16763" s="2">
        <f t="shared" si="261"/>
        <v>1</v>
      </c>
    </row>
    <row r="16764" spans="1:4" x14ac:dyDescent="0.3">
      <c r="A16764" s="34">
        <v>79740</v>
      </c>
      <c r="B16764" s="35">
        <v>1</v>
      </c>
      <c r="C16764" s="35">
        <v>0</v>
      </c>
      <c r="D16764" s="2">
        <f t="shared" si="261"/>
        <v>1</v>
      </c>
    </row>
    <row r="16765" spans="1:4" x14ac:dyDescent="0.3">
      <c r="A16765" s="34">
        <v>79741</v>
      </c>
      <c r="B16765" s="35">
        <v>1</v>
      </c>
      <c r="C16765" s="35">
        <v>0</v>
      </c>
      <c r="D16765" s="2">
        <f t="shared" si="261"/>
        <v>1</v>
      </c>
    </row>
    <row r="16766" spans="1:4" x14ac:dyDescent="0.3">
      <c r="A16766" s="34">
        <v>79742</v>
      </c>
      <c r="B16766" s="35">
        <v>1</v>
      </c>
      <c r="C16766" s="35">
        <v>0</v>
      </c>
      <c r="D16766" s="2">
        <f t="shared" si="261"/>
        <v>1</v>
      </c>
    </row>
    <row r="16767" spans="1:4" x14ac:dyDescent="0.3">
      <c r="A16767" s="34">
        <v>79743</v>
      </c>
      <c r="B16767" s="35">
        <v>1</v>
      </c>
      <c r="C16767" s="35">
        <v>0</v>
      </c>
      <c r="D16767" s="2">
        <f t="shared" si="261"/>
        <v>1</v>
      </c>
    </row>
    <row r="16768" spans="1:4" x14ac:dyDescent="0.3">
      <c r="A16768" s="34">
        <v>79744</v>
      </c>
      <c r="B16768" s="35">
        <v>1</v>
      </c>
      <c r="C16768" s="35">
        <v>0</v>
      </c>
      <c r="D16768" s="2">
        <f t="shared" si="261"/>
        <v>1</v>
      </c>
    </row>
    <row r="16769" spans="1:4" x14ac:dyDescent="0.3">
      <c r="A16769" s="34">
        <v>79745</v>
      </c>
      <c r="B16769" s="35">
        <v>2</v>
      </c>
      <c r="C16769" s="35">
        <v>1</v>
      </c>
      <c r="D16769" s="2">
        <f t="shared" si="261"/>
        <v>3</v>
      </c>
    </row>
    <row r="16770" spans="1:4" x14ac:dyDescent="0.3">
      <c r="A16770" s="34">
        <v>79746</v>
      </c>
      <c r="B16770" s="35">
        <v>1</v>
      </c>
      <c r="C16770" s="35">
        <v>0</v>
      </c>
      <c r="D16770" s="2">
        <f t="shared" si="261"/>
        <v>1</v>
      </c>
    </row>
    <row r="16771" spans="1:4" x14ac:dyDescent="0.3">
      <c r="A16771" s="34">
        <v>79747</v>
      </c>
      <c r="B16771" s="35">
        <v>1</v>
      </c>
      <c r="C16771" s="35">
        <v>0</v>
      </c>
      <c r="D16771" s="2">
        <f t="shared" ref="D16771:D16834" si="262">B16771+C16771</f>
        <v>1</v>
      </c>
    </row>
    <row r="16772" spans="1:4" x14ac:dyDescent="0.3">
      <c r="A16772" s="34">
        <v>79748</v>
      </c>
      <c r="B16772" s="35">
        <v>1</v>
      </c>
      <c r="C16772" s="35">
        <v>0</v>
      </c>
      <c r="D16772" s="2">
        <f t="shared" si="262"/>
        <v>1</v>
      </c>
    </row>
    <row r="16773" spans="1:4" x14ac:dyDescent="0.3">
      <c r="A16773" s="34">
        <v>79749</v>
      </c>
      <c r="B16773" s="35">
        <v>1</v>
      </c>
      <c r="C16773" s="35">
        <v>0</v>
      </c>
      <c r="D16773" s="2">
        <f t="shared" si="262"/>
        <v>1</v>
      </c>
    </row>
    <row r="16774" spans="1:4" x14ac:dyDescent="0.3">
      <c r="A16774" s="34">
        <v>79750</v>
      </c>
      <c r="B16774" s="35">
        <v>1</v>
      </c>
      <c r="C16774" s="35">
        <v>0</v>
      </c>
      <c r="D16774" s="2">
        <f t="shared" si="262"/>
        <v>1</v>
      </c>
    </row>
    <row r="16775" spans="1:4" x14ac:dyDescent="0.3">
      <c r="A16775" s="34">
        <v>79751</v>
      </c>
      <c r="B16775" s="35">
        <v>2</v>
      </c>
      <c r="C16775" s="35">
        <v>1</v>
      </c>
      <c r="D16775" s="2">
        <f t="shared" si="262"/>
        <v>3</v>
      </c>
    </row>
    <row r="16776" spans="1:4" x14ac:dyDescent="0.3">
      <c r="A16776" s="34">
        <v>79752</v>
      </c>
      <c r="B16776" s="35">
        <v>1</v>
      </c>
      <c r="C16776" s="35">
        <v>0</v>
      </c>
      <c r="D16776" s="2">
        <f t="shared" si="262"/>
        <v>1</v>
      </c>
    </row>
    <row r="16777" spans="1:4" x14ac:dyDescent="0.3">
      <c r="A16777" s="34">
        <v>79753</v>
      </c>
      <c r="B16777" s="35">
        <v>2</v>
      </c>
      <c r="C16777" s="35">
        <v>1</v>
      </c>
      <c r="D16777" s="2">
        <f t="shared" si="262"/>
        <v>3</v>
      </c>
    </row>
    <row r="16778" spans="1:4" x14ac:dyDescent="0.3">
      <c r="A16778" s="34">
        <v>79754</v>
      </c>
      <c r="B16778" s="35">
        <v>1</v>
      </c>
      <c r="C16778" s="35">
        <v>0</v>
      </c>
      <c r="D16778" s="2">
        <f t="shared" si="262"/>
        <v>1</v>
      </c>
    </row>
    <row r="16779" spans="1:4" x14ac:dyDescent="0.3">
      <c r="A16779" s="34">
        <v>79755</v>
      </c>
      <c r="B16779" s="35">
        <v>1</v>
      </c>
      <c r="C16779" s="35">
        <v>0</v>
      </c>
      <c r="D16779" s="2">
        <f t="shared" si="262"/>
        <v>1</v>
      </c>
    </row>
    <row r="16780" spans="1:4" x14ac:dyDescent="0.3">
      <c r="A16780" s="34">
        <v>79756</v>
      </c>
      <c r="B16780" s="35">
        <v>2</v>
      </c>
      <c r="C16780" s="35">
        <v>1</v>
      </c>
      <c r="D16780" s="2">
        <f t="shared" si="262"/>
        <v>3</v>
      </c>
    </row>
    <row r="16781" spans="1:4" x14ac:dyDescent="0.3">
      <c r="A16781" s="34">
        <v>79757</v>
      </c>
      <c r="B16781" s="35">
        <v>1</v>
      </c>
      <c r="C16781" s="35">
        <v>0</v>
      </c>
      <c r="D16781" s="2">
        <f t="shared" si="262"/>
        <v>1</v>
      </c>
    </row>
    <row r="16782" spans="1:4" x14ac:dyDescent="0.3">
      <c r="A16782" s="34">
        <v>79758</v>
      </c>
      <c r="B16782" s="35">
        <v>1</v>
      </c>
      <c r="C16782" s="35">
        <v>0</v>
      </c>
      <c r="D16782" s="2">
        <f t="shared" si="262"/>
        <v>1</v>
      </c>
    </row>
    <row r="16783" spans="1:4" x14ac:dyDescent="0.3">
      <c r="A16783" s="34">
        <v>79759</v>
      </c>
      <c r="B16783" s="35">
        <v>1</v>
      </c>
      <c r="C16783" s="35">
        <v>0</v>
      </c>
      <c r="D16783" s="2">
        <f t="shared" si="262"/>
        <v>1</v>
      </c>
    </row>
    <row r="16784" spans="1:4" x14ac:dyDescent="0.3">
      <c r="A16784" s="34">
        <v>79760</v>
      </c>
      <c r="B16784" s="35">
        <v>1</v>
      </c>
      <c r="C16784" s="35">
        <v>1</v>
      </c>
      <c r="D16784" s="2">
        <f t="shared" si="262"/>
        <v>2</v>
      </c>
    </row>
    <row r="16785" spans="1:4" x14ac:dyDescent="0.3">
      <c r="A16785" s="34">
        <v>79761</v>
      </c>
      <c r="B16785" s="35">
        <v>1</v>
      </c>
      <c r="C16785" s="35">
        <v>0</v>
      </c>
      <c r="D16785" s="2">
        <f t="shared" si="262"/>
        <v>1</v>
      </c>
    </row>
    <row r="16786" spans="1:4" x14ac:dyDescent="0.3">
      <c r="A16786" s="34">
        <v>79762</v>
      </c>
      <c r="B16786" s="35">
        <v>1</v>
      </c>
      <c r="C16786" s="35">
        <v>0</v>
      </c>
      <c r="D16786" s="2">
        <f t="shared" si="262"/>
        <v>1</v>
      </c>
    </row>
    <row r="16787" spans="1:4" x14ac:dyDescent="0.3">
      <c r="A16787" s="34">
        <v>79763</v>
      </c>
      <c r="B16787" s="35">
        <v>1</v>
      </c>
      <c r="C16787" s="35">
        <v>0</v>
      </c>
      <c r="D16787" s="2">
        <f t="shared" si="262"/>
        <v>1</v>
      </c>
    </row>
    <row r="16788" spans="1:4" x14ac:dyDescent="0.3">
      <c r="A16788" s="34">
        <v>79764</v>
      </c>
      <c r="B16788" s="35">
        <v>1</v>
      </c>
      <c r="C16788" s="35">
        <v>0</v>
      </c>
      <c r="D16788" s="2">
        <f t="shared" si="262"/>
        <v>1</v>
      </c>
    </row>
    <row r="16789" spans="1:4" x14ac:dyDescent="0.3">
      <c r="A16789" s="34">
        <v>79765</v>
      </c>
      <c r="B16789" s="35">
        <v>1</v>
      </c>
      <c r="C16789" s="35">
        <v>0</v>
      </c>
      <c r="D16789" s="2">
        <f t="shared" si="262"/>
        <v>1</v>
      </c>
    </row>
    <row r="16790" spans="1:4" x14ac:dyDescent="0.3">
      <c r="A16790" s="34">
        <v>79766</v>
      </c>
      <c r="B16790" s="35">
        <v>1</v>
      </c>
      <c r="C16790" s="35">
        <v>0</v>
      </c>
      <c r="D16790" s="2">
        <f t="shared" si="262"/>
        <v>1</v>
      </c>
    </row>
    <row r="16791" spans="1:4" x14ac:dyDescent="0.3">
      <c r="A16791" s="34">
        <v>79767</v>
      </c>
      <c r="B16791" s="35">
        <v>1</v>
      </c>
      <c r="C16791" s="35">
        <v>0</v>
      </c>
      <c r="D16791" s="2">
        <f t="shared" si="262"/>
        <v>1</v>
      </c>
    </row>
    <row r="16792" spans="1:4" x14ac:dyDescent="0.3">
      <c r="A16792" s="34">
        <v>79768</v>
      </c>
      <c r="B16792" s="35">
        <v>1</v>
      </c>
      <c r="C16792" s="35">
        <v>0</v>
      </c>
      <c r="D16792" s="2">
        <f t="shared" si="262"/>
        <v>1</v>
      </c>
    </row>
    <row r="16793" spans="1:4" x14ac:dyDescent="0.3">
      <c r="A16793" s="34">
        <v>79769</v>
      </c>
      <c r="B16793" s="35">
        <v>1</v>
      </c>
      <c r="C16793" s="35">
        <v>0</v>
      </c>
      <c r="D16793" s="2">
        <f t="shared" si="262"/>
        <v>1</v>
      </c>
    </row>
    <row r="16794" spans="1:4" x14ac:dyDescent="0.3">
      <c r="A16794" s="34">
        <v>79770</v>
      </c>
      <c r="B16794" s="35">
        <v>1</v>
      </c>
      <c r="C16794" s="35">
        <v>0</v>
      </c>
      <c r="D16794" s="2">
        <f t="shared" si="262"/>
        <v>1</v>
      </c>
    </row>
    <row r="16795" spans="1:4" x14ac:dyDescent="0.3">
      <c r="A16795" s="34">
        <v>79772</v>
      </c>
      <c r="B16795" s="35">
        <v>1</v>
      </c>
      <c r="C16795" s="35">
        <v>0</v>
      </c>
      <c r="D16795" s="2">
        <f t="shared" si="262"/>
        <v>1</v>
      </c>
    </row>
    <row r="16796" spans="1:4" x14ac:dyDescent="0.3">
      <c r="A16796" s="34">
        <v>79773</v>
      </c>
      <c r="B16796" s="35">
        <v>1</v>
      </c>
      <c r="C16796" s="35">
        <v>0</v>
      </c>
      <c r="D16796" s="2">
        <f t="shared" si="262"/>
        <v>1</v>
      </c>
    </row>
    <row r="16797" spans="1:4" x14ac:dyDescent="0.3">
      <c r="A16797" s="34">
        <v>79774</v>
      </c>
      <c r="B16797" s="35">
        <v>1</v>
      </c>
      <c r="C16797" s="35">
        <v>1</v>
      </c>
      <c r="D16797" s="2">
        <f t="shared" si="262"/>
        <v>2</v>
      </c>
    </row>
    <row r="16798" spans="1:4" x14ac:dyDescent="0.3">
      <c r="A16798" s="34">
        <v>79775</v>
      </c>
      <c r="B16798" s="35">
        <v>1</v>
      </c>
      <c r="C16798" s="35">
        <v>0</v>
      </c>
      <c r="D16798" s="2">
        <f t="shared" si="262"/>
        <v>1</v>
      </c>
    </row>
    <row r="16799" spans="1:4" x14ac:dyDescent="0.3">
      <c r="A16799" s="34">
        <v>79776</v>
      </c>
      <c r="B16799" s="35">
        <v>1</v>
      </c>
      <c r="C16799" s="35">
        <v>0</v>
      </c>
      <c r="D16799" s="2">
        <f t="shared" si="262"/>
        <v>1</v>
      </c>
    </row>
    <row r="16800" spans="1:4" x14ac:dyDescent="0.3">
      <c r="A16800" s="34">
        <v>79777</v>
      </c>
      <c r="B16800" s="35">
        <v>1</v>
      </c>
      <c r="C16800" s="35">
        <v>0</v>
      </c>
      <c r="D16800" s="2">
        <f t="shared" si="262"/>
        <v>1</v>
      </c>
    </row>
    <row r="16801" spans="1:4" x14ac:dyDescent="0.3">
      <c r="A16801" s="34">
        <v>79778</v>
      </c>
      <c r="B16801" s="35">
        <v>1</v>
      </c>
      <c r="C16801" s="35">
        <v>0</v>
      </c>
      <c r="D16801" s="2">
        <f t="shared" si="262"/>
        <v>1</v>
      </c>
    </row>
    <row r="16802" spans="1:4" x14ac:dyDescent="0.3">
      <c r="A16802" s="34">
        <v>79779</v>
      </c>
      <c r="B16802" s="35">
        <v>1</v>
      </c>
      <c r="C16802" s="35">
        <v>0</v>
      </c>
      <c r="D16802" s="2">
        <f t="shared" si="262"/>
        <v>1</v>
      </c>
    </row>
    <row r="16803" spans="1:4" x14ac:dyDescent="0.3">
      <c r="A16803" s="34">
        <v>79780</v>
      </c>
      <c r="B16803" s="35">
        <v>2</v>
      </c>
      <c r="C16803" s="35">
        <v>1</v>
      </c>
      <c r="D16803" s="2">
        <f t="shared" si="262"/>
        <v>3</v>
      </c>
    </row>
    <row r="16804" spans="1:4" x14ac:dyDescent="0.3">
      <c r="A16804" s="34">
        <v>79781</v>
      </c>
      <c r="B16804" s="35">
        <v>1</v>
      </c>
      <c r="C16804" s="35">
        <v>0</v>
      </c>
      <c r="D16804" s="2">
        <f t="shared" si="262"/>
        <v>1</v>
      </c>
    </row>
    <row r="16805" spans="1:4" x14ac:dyDescent="0.3">
      <c r="A16805" s="34">
        <v>79782</v>
      </c>
      <c r="B16805" s="35">
        <v>1</v>
      </c>
      <c r="C16805" s="35">
        <v>0</v>
      </c>
      <c r="D16805" s="2">
        <f t="shared" si="262"/>
        <v>1</v>
      </c>
    </row>
    <row r="16806" spans="1:4" x14ac:dyDescent="0.3">
      <c r="A16806" s="34">
        <v>79783</v>
      </c>
      <c r="B16806" s="35">
        <v>1</v>
      </c>
      <c r="C16806" s="35">
        <v>0</v>
      </c>
      <c r="D16806" s="2">
        <f t="shared" si="262"/>
        <v>1</v>
      </c>
    </row>
    <row r="16807" spans="1:4" x14ac:dyDescent="0.3">
      <c r="A16807" s="34">
        <v>79784</v>
      </c>
      <c r="B16807" s="35">
        <v>1</v>
      </c>
      <c r="C16807" s="35">
        <v>0</v>
      </c>
      <c r="D16807" s="2">
        <f t="shared" si="262"/>
        <v>1</v>
      </c>
    </row>
    <row r="16808" spans="1:4" x14ac:dyDescent="0.3">
      <c r="A16808" s="34">
        <v>79785</v>
      </c>
      <c r="B16808" s="35">
        <v>1</v>
      </c>
      <c r="C16808" s="35">
        <v>0</v>
      </c>
      <c r="D16808" s="2">
        <f t="shared" si="262"/>
        <v>1</v>
      </c>
    </row>
    <row r="16809" spans="1:4" x14ac:dyDescent="0.3">
      <c r="A16809" s="34">
        <v>79786</v>
      </c>
      <c r="B16809" s="35">
        <v>1</v>
      </c>
      <c r="C16809" s="35">
        <v>0</v>
      </c>
      <c r="D16809" s="2">
        <f t="shared" si="262"/>
        <v>1</v>
      </c>
    </row>
    <row r="16810" spans="1:4" x14ac:dyDescent="0.3">
      <c r="A16810" s="34">
        <v>79788</v>
      </c>
      <c r="B16810" s="35">
        <v>1</v>
      </c>
      <c r="C16810" s="35">
        <v>0</v>
      </c>
      <c r="D16810" s="2">
        <f t="shared" si="262"/>
        <v>1</v>
      </c>
    </row>
    <row r="16811" spans="1:4" x14ac:dyDescent="0.3">
      <c r="A16811" s="34">
        <v>79789</v>
      </c>
      <c r="B16811" s="35">
        <v>1</v>
      </c>
      <c r="C16811" s="35">
        <v>0</v>
      </c>
      <c r="D16811" s="2">
        <f t="shared" si="262"/>
        <v>1</v>
      </c>
    </row>
    <row r="16812" spans="1:4" x14ac:dyDescent="0.3">
      <c r="A16812" s="34">
        <v>79790</v>
      </c>
      <c r="B16812" s="35">
        <v>1</v>
      </c>
      <c r="C16812" s="35">
        <v>0</v>
      </c>
      <c r="D16812" s="2">
        <f t="shared" si="262"/>
        <v>1</v>
      </c>
    </row>
    <row r="16813" spans="1:4" x14ac:dyDescent="0.3">
      <c r="A16813" s="34">
        <v>79791</v>
      </c>
      <c r="B16813" s="35">
        <v>1</v>
      </c>
      <c r="C16813" s="35">
        <v>0</v>
      </c>
      <c r="D16813" s="2">
        <f t="shared" si="262"/>
        <v>1</v>
      </c>
    </row>
    <row r="16814" spans="1:4" x14ac:dyDescent="0.3">
      <c r="A16814" s="34">
        <v>79792</v>
      </c>
      <c r="B16814" s="35">
        <v>2</v>
      </c>
      <c r="C16814" s="35">
        <v>1</v>
      </c>
      <c r="D16814" s="2">
        <f t="shared" si="262"/>
        <v>3</v>
      </c>
    </row>
    <row r="16815" spans="1:4" x14ac:dyDescent="0.3">
      <c r="A16815" s="34">
        <v>79793</v>
      </c>
      <c r="B16815" s="35">
        <v>1</v>
      </c>
      <c r="C16815" s="35">
        <v>0</v>
      </c>
      <c r="D16815" s="2">
        <f t="shared" si="262"/>
        <v>1</v>
      </c>
    </row>
    <row r="16816" spans="1:4" x14ac:dyDescent="0.3">
      <c r="A16816" s="34">
        <v>79794</v>
      </c>
      <c r="B16816" s="35">
        <v>1</v>
      </c>
      <c r="C16816" s="35">
        <v>0</v>
      </c>
      <c r="D16816" s="2">
        <f t="shared" si="262"/>
        <v>1</v>
      </c>
    </row>
    <row r="16817" spans="1:4" x14ac:dyDescent="0.3">
      <c r="A16817" s="34">
        <v>79795</v>
      </c>
      <c r="B16817" s="35">
        <v>1</v>
      </c>
      <c r="C16817" s="35">
        <v>0</v>
      </c>
      <c r="D16817" s="2">
        <f t="shared" si="262"/>
        <v>1</v>
      </c>
    </row>
    <row r="16818" spans="1:4" x14ac:dyDescent="0.3">
      <c r="A16818" s="34">
        <v>79796</v>
      </c>
      <c r="B16818" s="35">
        <v>1</v>
      </c>
      <c r="C16818" s="35">
        <v>0</v>
      </c>
      <c r="D16818" s="2">
        <f t="shared" si="262"/>
        <v>1</v>
      </c>
    </row>
    <row r="16819" spans="1:4" x14ac:dyDescent="0.3">
      <c r="A16819" s="34">
        <v>79797</v>
      </c>
      <c r="B16819" s="35">
        <v>1</v>
      </c>
      <c r="C16819" s="35">
        <v>0</v>
      </c>
      <c r="D16819" s="2">
        <f t="shared" si="262"/>
        <v>1</v>
      </c>
    </row>
    <row r="16820" spans="1:4" x14ac:dyDescent="0.3">
      <c r="A16820" s="34">
        <v>79798</v>
      </c>
      <c r="B16820" s="35">
        <v>1</v>
      </c>
      <c r="C16820" s="35">
        <v>0</v>
      </c>
      <c r="D16820" s="2">
        <f t="shared" si="262"/>
        <v>1</v>
      </c>
    </row>
    <row r="16821" spans="1:4" x14ac:dyDescent="0.3">
      <c r="A16821" s="34">
        <v>79799</v>
      </c>
      <c r="B16821" s="35">
        <v>1</v>
      </c>
      <c r="C16821" s="35">
        <v>0</v>
      </c>
      <c r="D16821" s="2">
        <f t="shared" si="262"/>
        <v>1</v>
      </c>
    </row>
    <row r="16822" spans="1:4" x14ac:dyDescent="0.3">
      <c r="A16822" s="34">
        <v>79800</v>
      </c>
      <c r="B16822" s="35">
        <v>1</v>
      </c>
      <c r="C16822" s="35">
        <v>0</v>
      </c>
      <c r="D16822" s="2">
        <f t="shared" si="262"/>
        <v>1</v>
      </c>
    </row>
    <row r="16823" spans="1:4" x14ac:dyDescent="0.3">
      <c r="A16823" s="34">
        <v>79801</v>
      </c>
      <c r="B16823" s="35">
        <v>1</v>
      </c>
      <c r="C16823" s="35">
        <v>0</v>
      </c>
      <c r="D16823" s="2">
        <f t="shared" si="262"/>
        <v>1</v>
      </c>
    </row>
    <row r="16824" spans="1:4" x14ac:dyDescent="0.3">
      <c r="A16824" s="34">
        <v>79802</v>
      </c>
      <c r="B16824" s="35">
        <v>1</v>
      </c>
      <c r="C16824" s="35">
        <v>0</v>
      </c>
      <c r="D16824" s="2">
        <f t="shared" si="262"/>
        <v>1</v>
      </c>
    </row>
    <row r="16825" spans="1:4" x14ac:dyDescent="0.3">
      <c r="A16825" s="34">
        <v>79803</v>
      </c>
      <c r="B16825" s="35">
        <v>1</v>
      </c>
      <c r="C16825" s="35">
        <v>0</v>
      </c>
      <c r="D16825" s="2">
        <f t="shared" si="262"/>
        <v>1</v>
      </c>
    </row>
    <row r="16826" spans="1:4" x14ac:dyDescent="0.3">
      <c r="A16826" s="34">
        <v>79804</v>
      </c>
      <c r="B16826" s="35">
        <v>1</v>
      </c>
      <c r="C16826" s="35">
        <v>0</v>
      </c>
      <c r="D16826" s="2">
        <f t="shared" si="262"/>
        <v>1</v>
      </c>
    </row>
    <row r="16827" spans="1:4" x14ac:dyDescent="0.3">
      <c r="A16827" s="34">
        <v>79805</v>
      </c>
      <c r="B16827" s="35">
        <v>1</v>
      </c>
      <c r="C16827" s="35">
        <v>0</v>
      </c>
      <c r="D16827" s="2">
        <f t="shared" si="262"/>
        <v>1</v>
      </c>
    </row>
    <row r="16828" spans="1:4" x14ac:dyDescent="0.3">
      <c r="A16828" s="34">
        <v>79806</v>
      </c>
      <c r="B16828" s="35">
        <v>1</v>
      </c>
      <c r="C16828" s="35">
        <v>0</v>
      </c>
      <c r="D16828" s="2">
        <f t="shared" si="262"/>
        <v>1</v>
      </c>
    </row>
    <row r="16829" spans="1:4" x14ac:dyDescent="0.3">
      <c r="A16829" s="34">
        <v>79807</v>
      </c>
      <c r="B16829" s="35">
        <v>1</v>
      </c>
      <c r="C16829" s="35">
        <v>0</v>
      </c>
      <c r="D16829" s="2">
        <f t="shared" si="262"/>
        <v>1</v>
      </c>
    </row>
    <row r="16830" spans="1:4" x14ac:dyDescent="0.3">
      <c r="A16830" s="34">
        <v>79809</v>
      </c>
      <c r="B16830" s="35">
        <v>1</v>
      </c>
      <c r="C16830" s="35">
        <v>0</v>
      </c>
      <c r="D16830" s="2">
        <f t="shared" si="262"/>
        <v>1</v>
      </c>
    </row>
    <row r="16831" spans="1:4" x14ac:dyDescent="0.3">
      <c r="A16831" s="34">
        <v>79810</v>
      </c>
      <c r="B16831" s="35">
        <v>1</v>
      </c>
      <c r="C16831" s="35">
        <v>0</v>
      </c>
      <c r="D16831" s="2">
        <f t="shared" si="262"/>
        <v>1</v>
      </c>
    </row>
    <row r="16832" spans="1:4" x14ac:dyDescent="0.3">
      <c r="A16832" s="34">
        <v>79811</v>
      </c>
      <c r="B16832" s="35">
        <v>1</v>
      </c>
      <c r="C16832" s="35">
        <v>0</v>
      </c>
      <c r="D16832" s="2">
        <f t="shared" si="262"/>
        <v>1</v>
      </c>
    </row>
    <row r="16833" spans="1:4" x14ac:dyDescent="0.3">
      <c r="A16833" s="34">
        <v>79812</v>
      </c>
      <c r="B16833" s="35">
        <v>1</v>
      </c>
      <c r="C16833" s="35">
        <v>0</v>
      </c>
      <c r="D16833" s="2">
        <f t="shared" si="262"/>
        <v>1</v>
      </c>
    </row>
    <row r="16834" spans="1:4" x14ac:dyDescent="0.3">
      <c r="A16834" s="34">
        <v>79813</v>
      </c>
      <c r="B16834" s="35">
        <v>1</v>
      </c>
      <c r="C16834" s="35">
        <v>0</v>
      </c>
      <c r="D16834" s="2">
        <f t="shared" si="262"/>
        <v>1</v>
      </c>
    </row>
    <row r="16835" spans="1:4" x14ac:dyDescent="0.3">
      <c r="A16835" s="34">
        <v>79815</v>
      </c>
      <c r="B16835" s="35">
        <v>1</v>
      </c>
      <c r="C16835" s="35">
        <v>0</v>
      </c>
      <c r="D16835" s="2">
        <f t="shared" ref="D16835:D16898" si="263">B16835+C16835</f>
        <v>1</v>
      </c>
    </row>
    <row r="16836" spans="1:4" x14ac:dyDescent="0.3">
      <c r="A16836" s="34">
        <v>79816</v>
      </c>
      <c r="B16836" s="35">
        <v>1</v>
      </c>
      <c r="C16836" s="35">
        <v>0</v>
      </c>
      <c r="D16836" s="2">
        <f t="shared" si="263"/>
        <v>1</v>
      </c>
    </row>
    <row r="16837" spans="1:4" x14ac:dyDescent="0.3">
      <c r="A16837" s="34">
        <v>79817</v>
      </c>
      <c r="B16837" s="35">
        <v>1</v>
      </c>
      <c r="C16837" s="35">
        <v>0</v>
      </c>
      <c r="D16837" s="2">
        <f t="shared" si="263"/>
        <v>1</v>
      </c>
    </row>
    <row r="16838" spans="1:4" x14ac:dyDescent="0.3">
      <c r="A16838" s="34">
        <v>79818</v>
      </c>
      <c r="B16838" s="35">
        <v>1</v>
      </c>
      <c r="C16838" s="35">
        <v>0</v>
      </c>
      <c r="D16838" s="2">
        <f t="shared" si="263"/>
        <v>1</v>
      </c>
    </row>
    <row r="16839" spans="1:4" x14ac:dyDescent="0.3">
      <c r="A16839" s="34">
        <v>79819</v>
      </c>
      <c r="B16839" s="35">
        <v>1</v>
      </c>
      <c r="C16839" s="35">
        <v>0</v>
      </c>
      <c r="D16839" s="2">
        <f t="shared" si="263"/>
        <v>1</v>
      </c>
    </row>
    <row r="16840" spans="1:4" x14ac:dyDescent="0.3">
      <c r="A16840" s="34">
        <v>79820</v>
      </c>
      <c r="B16840" s="35">
        <v>1</v>
      </c>
      <c r="C16840" s="35">
        <v>0</v>
      </c>
      <c r="D16840" s="2">
        <f t="shared" si="263"/>
        <v>1</v>
      </c>
    </row>
    <row r="16841" spans="1:4" x14ac:dyDescent="0.3">
      <c r="A16841" s="34">
        <v>79821</v>
      </c>
      <c r="B16841" s="35">
        <v>1</v>
      </c>
      <c r="C16841" s="35">
        <v>0</v>
      </c>
      <c r="D16841" s="2">
        <f t="shared" si="263"/>
        <v>1</v>
      </c>
    </row>
    <row r="16842" spans="1:4" x14ac:dyDescent="0.3">
      <c r="A16842" s="34">
        <v>79822</v>
      </c>
      <c r="B16842" s="35">
        <v>1</v>
      </c>
      <c r="C16842" s="35">
        <v>0</v>
      </c>
      <c r="D16842" s="2">
        <f t="shared" si="263"/>
        <v>1</v>
      </c>
    </row>
    <row r="16843" spans="1:4" x14ac:dyDescent="0.3">
      <c r="A16843" s="34">
        <v>79823</v>
      </c>
      <c r="B16843" s="35">
        <v>1</v>
      </c>
      <c r="C16843" s="35">
        <v>0</v>
      </c>
      <c r="D16843" s="2">
        <f t="shared" si="263"/>
        <v>1</v>
      </c>
    </row>
    <row r="16844" spans="1:4" x14ac:dyDescent="0.3">
      <c r="A16844" s="34">
        <v>79824</v>
      </c>
      <c r="B16844" s="35">
        <v>1</v>
      </c>
      <c r="C16844" s="35">
        <v>0</v>
      </c>
      <c r="D16844" s="2">
        <f t="shared" si="263"/>
        <v>1</v>
      </c>
    </row>
    <row r="16845" spans="1:4" x14ac:dyDescent="0.3">
      <c r="A16845" s="34">
        <v>79825</v>
      </c>
      <c r="B16845" s="35">
        <v>1</v>
      </c>
      <c r="C16845" s="35">
        <v>0</v>
      </c>
      <c r="D16845" s="2">
        <f t="shared" si="263"/>
        <v>1</v>
      </c>
    </row>
    <row r="16846" spans="1:4" x14ac:dyDescent="0.3">
      <c r="A16846" s="34">
        <v>79826</v>
      </c>
      <c r="B16846" s="35">
        <v>2</v>
      </c>
      <c r="C16846" s="35">
        <v>1</v>
      </c>
      <c r="D16846" s="2">
        <f t="shared" si="263"/>
        <v>3</v>
      </c>
    </row>
    <row r="16847" spans="1:4" x14ac:dyDescent="0.3">
      <c r="A16847" s="34">
        <v>79827</v>
      </c>
      <c r="B16847" s="35">
        <v>1</v>
      </c>
      <c r="C16847" s="35">
        <v>0</v>
      </c>
      <c r="D16847" s="2">
        <f t="shared" si="263"/>
        <v>1</v>
      </c>
    </row>
    <row r="16848" spans="1:4" x14ac:dyDescent="0.3">
      <c r="A16848" s="34">
        <v>79828</v>
      </c>
      <c r="B16848" s="35">
        <v>1</v>
      </c>
      <c r="C16848" s="35">
        <v>0</v>
      </c>
      <c r="D16848" s="2">
        <f t="shared" si="263"/>
        <v>1</v>
      </c>
    </row>
    <row r="16849" spans="1:4" x14ac:dyDescent="0.3">
      <c r="A16849" s="34">
        <v>79829</v>
      </c>
      <c r="B16849" s="35">
        <v>1</v>
      </c>
      <c r="C16849" s="35">
        <v>0</v>
      </c>
      <c r="D16849" s="2">
        <f t="shared" si="263"/>
        <v>1</v>
      </c>
    </row>
    <row r="16850" spans="1:4" x14ac:dyDescent="0.3">
      <c r="A16850" s="34">
        <v>79830</v>
      </c>
      <c r="B16850" s="35">
        <v>1</v>
      </c>
      <c r="C16850" s="35">
        <v>0</v>
      </c>
      <c r="D16850" s="2">
        <f t="shared" si="263"/>
        <v>1</v>
      </c>
    </row>
    <row r="16851" spans="1:4" x14ac:dyDescent="0.3">
      <c r="A16851" s="34">
        <v>79838</v>
      </c>
      <c r="B16851" s="35">
        <v>1</v>
      </c>
      <c r="C16851" s="35">
        <v>0</v>
      </c>
      <c r="D16851" s="2">
        <f t="shared" si="263"/>
        <v>1</v>
      </c>
    </row>
    <row r="16852" spans="1:4" x14ac:dyDescent="0.3">
      <c r="A16852" s="34">
        <v>79839</v>
      </c>
      <c r="B16852" s="35">
        <v>1</v>
      </c>
      <c r="C16852" s="35">
        <v>0</v>
      </c>
      <c r="D16852" s="2">
        <f t="shared" si="263"/>
        <v>1</v>
      </c>
    </row>
    <row r="16853" spans="1:4" x14ac:dyDescent="0.3">
      <c r="A16853" s="34">
        <v>79840</v>
      </c>
      <c r="B16853" s="35">
        <v>1</v>
      </c>
      <c r="C16853" s="35">
        <v>0</v>
      </c>
      <c r="D16853" s="2">
        <f t="shared" si="263"/>
        <v>1</v>
      </c>
    </row>
    <row r="16854" spans="1:4" x14ac:dyDescent="0.3">
      <c r="A16854" s="34">
        <v>79841</v>
      </c>
      <c r="B16854" s="35">
        <v>1</v>
      </c>
      <c r="C16854" s="35">
        <v>0</v>
      </c>
      <c r="D16854" s="2">
        <f t="shared" si="263"/>
        <v>1</v>
      </c>
    </row>
    <row r="16855" spans="1:4" x14ac:dyDescent="0.3">
      <c r="A16855" s="34">
        <v>79842</v>
      </c>
      <c r="B16855" s="35">
        <v>1</v>
      </c>
      <c r="C16855" s="35">
        <v>0</v>
      </c>
      <c r="D16855" s="2">
        <f t="shared" si="263"/>
        <v>1</v>
      </c>
    </row>
    <row r="16856" spans="1:4" x14ac:dyDescent="0.3">
      <c r="A16856" s="34">
        <v>79843</v>
      </c>
      <c r="B16856" s="35">
        <v>1</v>
      </c>
      <c r="C16856" s="35">
        <v>0</v>
      </c>
      <c r="D16856" s="2">
        <f t="shared" si="263"/>
        <v>1</v>
      </c>
    </row>
    <row r="16857" spans="1:4" x14ac:dyDescent="0.3">
      <c r="A16857" s="34">
        <v>79844</v>
      </c>
      <c r="B16857" s="35">
        <v>1</v>
      </c>
      <c r="C16857" s="35">
        <v>0</v>
      </c>
      <c r="D16857" s="2">
        <f t="shared" si="263"/>
        <v>1</v>
      </c>
    </row>
    <row r="16858" spans="1:4" x14ac:dyDescent="0.3">
      <c r="A16858" s="34">
        <v>79845</v>
      </c>
      <c r="B16858" s="35">
        <v>1</v>
      </c>
      <c r="C16858" s="35">
        <v>0</v>
      </c>
      <c r="D16858" s="2">
        <f t="shared" si="263"/>
        <v>1</v>
      </c>
    </row>
    <row r="16859" spans="1:4" x14ac:dyDescent="0.3">
      <c r="A16859" s="34">
        <v>79846</v>
      </c>
      <c r="B16859" s="35">
        <v>1</v>
      </c>
      <c r="C16859" s="35">
        <v>0</v>
      </c>
      <c r="D16859" s="2">
        <f t="shared" si="263"/>
        <v>1</v>
      </c>
    </row>
    <row r="16860" spans="1:4" x14ac:dyDescent="0.3">
      <c r="A16860" s="34">
        <v>79847</v>
      </c>
      <c r="B16860" s="35">
        <v>1</v>
      </c>
      <c r="C16860" s="35">
        <v>0</v>
      </c>
      <c r="D16860" s="2">
        <f t="shared" si="263"/>
        <v>1</v>
      </c>
    </row>
    <row r="16861" spans="1:4" x14ac:dyDescent="0.3">
      <c r="A16861" s="34">
        <v>79848</v>
      </c>
      <c r="B16861" s="35">
        <v>1</v>
      </c>
      <c r="C16861" s="35">
        <v>0</v>
      </c>
      <c r="D16861" s="2">
        <f t="shared" si="263"/>
        <v>1</v>
      </c>
    </row>
    <row r="16862" spans="1:4" x14ac:dyDescent="0.3">
      <c r="A16862" s="34">
        <v>79849</v>
      </c>
      <c r="B16862" s="35">
        <v>1</v>
      </c>
      <c r="C16862" s="35">
        <v>0</v>
      </c>
      <c r="D16862" s="2">
        <f t="shared" si="263"/>
        <v>1</v>
      </c>
    </row>
    <row r="16863" spans="1:4" x14ac:dyDescent="0.3">
      <c r="A16863" s="34">
        <v>79850</v>
      </c>
      <c r="B16863" s="35">
        <v>1</v>
      </c>
      <c r="C16863" s="35">
        <v>0</v>
      </c>
      <c r="D16863" s="2">
        <f t="shared" si="263"/>
        <v>1</v>
      </c>
    </row>
    <row r="16864" spans="1:4" x14ac:dyDescent="0.3">
      <c r="A16864" s="34">
        <v>79851</v>
      </c>
      <c r="B16864" s="35">
        <v>1</v>
      </c>
      <c r="C16864" s="35">
        <v>0</v>
      </c>
      <c r="D16864" s="2">
        <f t="shared" si="263"/>
        <v>1</v>
      </c>
    </row>
    <row r="16865" spans="1:4" x14ac:dyDescent="0.3">
      <c r="A16865" s="34">
        <v>79852</v>
      </c>
      <c r="B16865" s="35">
        <v>1</v>
      </c>
      <c r="C16865" s="35">
        <v>0</v>
      </c>
      <c r="D16865" s="2">
        <f t="shared" si="263"/>
        <v>1</v>
      </c>
    </row>
    <row r="16866" spans="1:4" x14ac:dyDescent="0.3">
      <c r="A16866" s="34">
        <v>79853</v>
      </c>
      <c r="B16866" s="35">
        <v>1</v>
      </c>
      <c r="C16866" s="35">
        <v>0</v>
      </c>
      <c r="D16866" s="2">
        <f t="shared" si="263"/>
        <v>1</v>
      </c>
    </row>
    <row r="16867" spans="1:4" x14ac:dyDescent="0.3">
      <c r="A16867" s="34">
        <v>79854</v>
      </c>
      <c r="B16867" s="35">
        <v>1</v>
      </c>
      <c r="C16867" s="35">
        <v>0</v>
      </c>
      <c r="D16867" s="2">
        <f t="shared" si="263"/>
        <v>1</v>
      </c>
    </row>
    <row r="16868" spans="1:4" x14ac:dyDescent="0.3">
      <c r="A16868" s="34">
        <v>79855</v>
      </c>
      <c r="B16868" s="35">
        <v>1</v>
      </c>
      <c r="C16868" s="35">
        <v>0</v>
      </c>
      <c r="D16868" s="2">
        <f t="shared" si="263"/>
        <v>1</v>
      </c>
    </row>
    <row r="16869" spans="1:4" x14ac:dyDescent="0.3">
      <c r="A16869" s="34">
        <v>79856</v>
      </c>
      <c r="B16869" s="35">
        <v>1</v>
      </c>
      <c r="C16869" s="35">
        <v>0</v>
      </c>
      <c r="D16869" s="2">
        <f t="shared" si="263"/>
        <v>1</v>
      </c>
    </row>
    <row r="16870" spans="1:4" x14ac:dyDescent="0.3">
      <c r="A16870" s="34">
        <v>79857</v>
      </c>
      <c r="B16870" s="35">
        <v>1</v>
      </c>
      <c r="C16870" s="35">
        <v>0</v>
      </c>
      <c r="D16870" s="2">
        <f t="shared" si="263"/>
        <v>1</v>
      </c>
    </row>
    <row r="16871" spans="1:4" x14ac:dyDescent="0.3">
      <c r="A16871" s="34">
        <v>79858</v>
      </c>
      <c r="B16871" s="35">
        <v>1</v>
      </c>
      <c r="C16871" s="35">
        <v>0</v>
      </c>
      <c r="D16871" s="2">
        <f t="shared" si="263"/>
        <v>1</v>
      </c>
    </row>
    <row r="16872" spans="1:4" x14ac:dyDescent="0.3">
      <c r="A16872" s="34">
        <v>79859</v>
      </c>
      <c r="B16872" s="35">
        <v>1</v>
      </c>
      <c r="C16872" s="35">
        <v>0</v>
      </c>
      <c r="D16872" s="2">
        <f t="shared" si="263"/>
        <v>1</v>
      </c>
    </row>
    <row r="16873" spans="1:4" x14ac:dyDescent="0.3">
      <c r="A16873" s="34">
        <v>79860</v>
      </c>
      <c r="B16873" s="35">
        <v>1</v>
      </c>
      <c r="C16873" s="35">
        <v>0</v>
      </c>
      <c r="D16873" s="2">
        <f t="shared" si="263"/>
        <v>1</v>
      </c>
    </row>
    <row r="16874" spans="1:4" x14ac:dyDescent="0.3">
      <c r="A16874" s="34">
        <v>79861</v>
      </c>
      <c r="B16874" s="35">
        <v>1</v>
      </c>
      <c r="C16874" s="35">
        <v>0</v>
      </c>
      <c r="D16874" s="2">
        <f t="shared" si="263"/>
        <v>1</v>
      </c>
    </row>
    <row r="16875" spans="1:4" x14ac:dyDescent="0.3">
      <c r="A16875" s="34">
        <v>79862</v>
      </c>
      <c r="B16875" s="35">
        <v>1</v>
      </c>
      <c r="C16875" s="35">
        <v>0</v>
      </c>
      <c r="D16875" s="2">
        <f t="shared" si="263"/>
        <v>1</v>
      </c>
    </row>
    <row r="16876" spans="1:4" x14ac:dyDescent="0.3">
      <c r="A16876" s="34">
        <v>79864</v>
      </c>
      <c r="B16876" s="35">
        <v>1</v>
      </c>
      <c r="C16876" s="35">
        <v>0</v>
      </c>
      <c r="D16876" s="2">
        <f t="shared" si="263"/>
        <v>1</v>
      </c>
    </row>
    <row r="16877" spans="1:4" x14ac:dyDescent="0.3">
      <c r="A16877" s="34">
        <v>79865</v>
      </c>
      <c r="B16877" s="35">
        <v>1</v>
      </c>
      <c r="C16877" s="35">
        <v>0</v>
      </c>
      <c r="D16877" s="2">
        <f t="shared" si="263"/>
        <v>1</v>
      </c>
    </row>
    <row r="16878" spans="1:4" x14ac:dyDescent="0.3">
      <c r="A16878" s="34">
        <v>79866</v>
      </c>
      <c r="B16878" s="35">
        <v>1</v>
      </c>
      <c r="C16878" s="35">
        <v>0</v>
      </c>
      <c r="D16878" s="2">
        <f t="shared" si="263"/>
        <v>1</v>
      </c>
    </row>
    <row r="16879" spans="1:4" x14ac:dyDescent="0.3">
      <c r="A16879" s="34">
        <v>79867</v>
      </c>
      <c r="B16879" s="35">
        <v>1</v>
      </c>
      <c r="C16879" s="35">
        <v>0</v>
      </c>
      <c r="D16879" s="2">
        <f t="shared" si="263"/>
        <v>1</v>
      </c>
    </row>
    <row r="16880" spans="1:4" x14ac:dyDescent="0.3">
      <c r="A16880" s="34">
        <v>79868</v>
      </c>
      <c r="B16880" s="35">
        <v>1</v>
      </c>
      <c r="C16880" s="35">
        <v>0</v>
      </c>
      <c r="D16880" s="2">
        <f t="shared" si="263"/>
        <v>1</v>
      </c>
    </row>
    <row r="16881" spans="1:4" x14ac:dyDescent="0.3">
      <c r="A16881" s="34">
        <v>79869</v>
      </c>
      <c r="B16881" s="35">
        <v>1</v>
      </c>
      <c r="C16881" s="35">
        <v>0</v>
      </c>
      <c r="D16881" s="2">
        <f t="shared" si="263"/>
        <v>1</v>
      </c>
    </row>
    <row r="16882" spans="1:4" x14ac:dyDescent="0.3">
      <c r="A16882" s="34">
        <v>79871</v>
      </c>
      <c r="B16882" s="35">
        <v>1</v>
      </c>
      <c r="C16882" s="35">
        <v>0</v>
      </c>
      <c r="D16882" s="2">
        <f t="shared" si="263"/>
        <v>1</v>
      </c>
    </row>
    <row r="16883" spans="1:4" x14ac:dyDescent="0.3">
      <c r="A16883" s="34">
        <v>79872</v>
      </c>
      <c r="B16883" s="35">
        <v>1</v>
      </c>
      <c r="C16883" s="35">
        <v>0</v>
      </c>
      <c r="D16883" s="2">
        <f t="shared" si="263"/>
        <v>1</v>
      </c>
    </row>
    <row r="16884" spans="1:4" x14ac:dyDescent="0.3">
      <c r="A16884" s="34">
        <v>79873</v>
      </c>
      <c r="B16884" s="35">
        <v>1</v>
      </c>
      <c r="C16884" s="35">
        <v>0</v>
      </c>
      <c r="D16884" s="2">
        <f t="shared" si="263"/>
        <v>1</v>
      </c>
    </row>
    <row r="16885" spans="1:4" x14ac:dyDescent="0.3">
      <c r="A16885" s="34">
        <v>79874</v>
      </c>
      <c r="B16885" s="35">
        <v>1</v>
      </c>
      <c r="C16885" s="35">
        <v>0</v>
      </c>
      <c r="D16885" s="2">
        <f t="shared" si="263"/>
        <v>1</v>
      </c>
    </row>
    <row r="16886" spans="1:4" x14ac:dyDescent="0.3">
      <c r="A16886" s="34">
        <v>79875</v>
      </c>
      <c r="B16886" s="35">
        <v>1</v>
      </c>
      <c r="C16886" s="35">
        <v>0</v>
      </c>
      <c r="D16886" s="2">
        <f t="shared" si="263"/>
        <v>1</v>
      </c>
    </row>
    <row r="16887" spans="1:4" x14ac:dyDescent="0.3">
      <c r="A16887" s="34">
        <v>79878</v>
      </c>
      <c r="B16887" s="35">
        <v>1</v>
      </c>
      <c r="C16887" s="35">
        <v>0</v>
      </c>
      <c r="D16887" s="2">
        <f t="shared" si="263"/>
        <v>1</v>
      </c>
    </row>
    <row r="16888" spans="1:4" x14ac:dyDescent="0.3">
      <c r="A16888" s="34">
        <v>79879</v>
      </c>
      <c r="B16888" s="35">
        <v>1</v>
      </c>
      <c r="C16888" s="35">
        <v>0</v>
      </c>
      <c r="D16888" s="2">
        <f t="shared" si="263"/>
        <v>1</v>
      </c>
    </row>
    <row r="16889" spans="1:4" x14ac:dyDescent="0.3">
      <c r="A16889" s="34">
        <v>79880</v>
      </c>
      <c r="B16889" s="35">
        <v>1</v>
      </c>
      <c r="C16889" s="35">
        <v>0</v>
      </c>
      <c r="D16889" s="2">
        <f t="shared" si="263"/>
        <v>1</v>
      </c>
    </row>
    <row r="16890" spans="1:4" x14ac:dyDescent="0.3">
      <c r="A16890" s="34">
        <v>79929</v>
      </c>
      <c r="B16890" s="35">
        <v>1</v>
      </c>
      <c r="C16890" s="35">
        <v>0</v>
      </c>
      <c r="D16890" s="2">
        <f t="shared" si="263"/>
        <v>1</v>
      </c>
    </row>
    <row r="16891" spans="1:4" x14ac:dyDescent="0.3">
      <c r="A16891" s="34">
        <v>79930</v>
      </c>
      <c r="B16891" s="35">
        <v>1</v>
      </c>
      <c r="C16891" s="35">
        <v>0</v>
      </c>
      <c r="D16891" s="2">
        <f t="shared" si="263"/>
        <v>1</v>
      </c>
    </row>
    <row r="16892" spans="1:4" x14ac:dyDescent="0.3">
      <c r="A16892" s="34">
        <v>79931</v>
      </c>
      <c r="B16892" s="35">
        <v>1</v>
      </c>
      <c r="C16892" s="35">
        <v>0</v>
      </c>
      <c r="D16892" s="2">
        <f t="shared" si="263"/>
        <v>1</v>
      </c>
    </row>
    <row r="16893" spans="1:4" x14ac:dyDescent="0.3">
      <c r="A16893" s="34">
        <v>79932</v>
      </c>
      <c r="B16893" s="35">
        <v>1</v>
      </c>
      <c r="C16893" s="35">
        <v>0</v>
      </c>
      <c r="D16893" s="2">
        <f t="shared" si="263"/>
        <v>1</v>
      </c>
    </row>
    <row r="16894" spans="1:4" x14ac:dyDescent="0.3">
      <c r="A16894" s="34">
        <v>79933</v>
      </c>
      <c r="B16894" s="35">
        <v>1</v>
      </c>
      <c r="C16894" s="35">
        <v>0</v>
      </c>
      <c r="D16894" s="2">
        <f t="shared" si="263"/>
        <v>1</v>
      </c>
    </row>
    <row r="16895" spans="1:4" x14ac:dyDescent="0.3">
      <c r="A16895" s="34">
        <v>79934</v>
      </c>
      <c r="B16895" s="35">
        <v>1</v>
      </c>
      <c r="C16895" s="35">
        <v>0</v>
      </c>
      <c r="D16895" s="2">
        <f t="shared" si="263"/>
        <v>1</v>
      </c>
    </row>
    <row r="16896" spans="1:4" x14ac:dyDescent="0.3">
      <c r="A16896" s="34">
        <v>79935</v>
      </c>
      <c r="B16896" s="35">
        <v>1</v>
      </c>
      <c r="C16896" s="35">
        <v>0</v>
      </c>
      <c r="D16896" s="2">
        <f t="shared" si="263"/>
        <v>1</v>
      </c>
    </row>
    <row r="16897" spans="1:4" x14ac:dyDescent="0.3">
      <c r="A16897" s="34">
        <v>79936</v>
      </c>
      <c r="B16897" s="35">
        <v>1</v>
      </c>
      <c r="C16897" s="35">
        <v>0</v>
      </c>
      <c r="D16897" s="2">
        <f t="shared" si="263"/>
        <v>1</v>
      </c>
    </row>
    <row r="16898" spans="1:4" x14ac:dyDescent="0.3">
      <c r="A16898" s="34">
        <v>79937</v>
      </c>
      <c r="B16898" s="35">
        <v>1</v>
      </c>
      <c r="C16898" s="35">
        <v>0</v>
      </c>
      <c r="D16898" s="2">
        <f t="shared" si="263"/>
        <v>1</v>
      </c>
    </row>
    <row r="16899" spans="1:4" x14ac:dyDescent="0.3">
      <c r="A16899" s="34">
        <v>79938</v>
      </c>
      <c r="B16899" s="35">
        <v>1</v>
      </c>
      <c r="C16899" s="35">
        <v>0</v>
      </c>
      <c r="D16899" s="2">
        <f t="shared" ref="D16899:D16962" si="264">B16899+C16899</f>
        <v>1</v>
      </c>
    </row>
    <row r="16900" spans="1:4" x14ac:dyDescent="0.3">
      <c r="A16900" s="34">
        <v>79939</v>
      </c>
      <c r="B16900" s="35">
        <v>1</v>
      </c>
      <c r="C16900" s="35">
        <v>0</v>
      </c>
      <c r="D16900" s="2">
        <f t="shared" si="264"/>
        <v>1</v>
      </c>
    </row>
    <row r="16901" spans="1:4" x14ac:dyDescent="0.3">
      <c r="A16901" s="34">
        <v>79940</v>
      </c>
      <c r="B16901" s="35">
        <v>1</v>
      </c>
      <c r="C16901" s="35">
        <v>0</v>
      </c>
      <c r="D16901" s="2">
        <f t="shared" si="264"/>
        <v>1</v>
      </c>
    </row>
    <row r="16902" spans="1:4" x14ac:dyDescent="0.3">
      <c r="A16902" s="34">
        <v>79941</v>
      </c>
      <c r="B16902" s="35">
        <v>1</v>
      </c>
      <c r="C16902" s="35">
        <v>0</v>
      </c>
      <c r="D16902" s="2">
        <f t="shared" si="264"/>
        <v>1</v>
      </c>
    </row>
    <row r="16903" spans="1:4" x14ac:dyDescent="0.3">
      <c r="A16903" s="34">
        <v>79942</v>
      </c>
      <c r="B16903" s="35">
        <v>1</v>
      </c>
      <c r="C16903" s="35">
        <v>0</v>
      </c>
      <c r="D16903" s="2">
        <f t="shared" si="264"/>
        <v>1</v>
      </c>
    </row>
    <row r="16904" spans="1:4" x14ac:dyDescent="0.3">
      <c r="A16904" s="34">
        <v>79943</v>
      </c>
      <c r="B16904" s="35">
        <v>1</v>
      </c>
      <c r="C16904" s="35">
        <v>0</v>
      </c>
      <c r="D16904" s="2">
        <f t="shared" si="264"/>
        <v>1</v>
      </c>
    </row>
    <row r="16905" spans="1:4" x14ac:dyDescent="0.3">
      <c r="A16905" s="34">
        <v>79944</v>
      </c>
      <c r="B16905" s="35">
        <v>1</v>
      </c>
      <c r="C16905" s="35">
        <v>0</v>
      </c>
      <c r="D16905" s="2">
        <f t="shared" si="264"/>
        <v>1</v>
      </c>
    </row>
    <row r="16906" spans="1:4" x14ac:dyDescent="0.3">
      <c r="A16906" s="34">
        <v>79945</v>
      </c>
      <c r="B16906" s="35">
        <v>1</v>
      </c>
      <c r="C16906" s="35">
        <v>0</v>
      </c>
      <c r="D16906" s="2">
        <f t="shared" si="264"/>
        <v>1</v>
      </c>
    </row>
    <row r="16907" spans="1:4" x14ac:dyDescent="0.3">
      <c r="A16907" s="34">
        <v>79946</v>
      </c>
      <c r="B16907" s="35">
        <v>1</v>
      </c>
      <c r="C16907" s="35">
        <v>0</v>
      </c>
      <c r="D16907" s="2">
        <f t="shared" si="264"/>
        <v>1</v>
      </c>
    </row>
    <row r="16908" spans="1:4" x14ac:dyDescent="0.3">
      <c r="A16908" s="34">
        <v>79947</v>
      </c>
      <c r="B16908" s="35">
        <v>1</v>
      </c>
      <c r="C16908" s="35">
        <v>0</v>
      </c>
      <c r="D16908" s="2">
        <f t="shared" si="264"/>
        <v>1</v>
      </c>
    </row>
    <row r="16909" spans="1:4" x14ac:dyDescent="0.3">
      <c r="A16909" s="34">
        <v>79948</v>
      </c>
      <c r="B16909" s="35">
        <v>1</v>
      </c>
      <c r="C16909" s="35">
        <v>0</v>
      </c>
      <c r="D16909" s="2">
        <f t="shared" si="264"/>
        <v>1</v>
      </c>
    </row>
    <row r="16910" spans="1:4" x14ac:dyDescent="0.3">
      <c r="A16910" s="34">
        <v>79949</v>
      </c>
      <c r="B16910" s="35">
        <v>1</v>
      </c>
      <c r="C16910" s="35">
        <v>0</v>
      </c>
      <c r="D16910" s="2">
        <f t="shared" si="264"/>
        <v>1</v>
      </c>
    </row>
    <row r="16911" spans="1:4" x14ac:dyDescent="0.3">
      <c r="A16911" s="34">
        <v>79950</v>
      </c>
      <c r="B16911" s="35">
        <v>1</v>
      </c>
      <c r="C16911" s="35">
        <v>0</v>
      </c>
      <c r="D16911" s="2">
        <f t="shared" si="264"/>
        <v>1</v>
      </c>
    </row>
    <row r="16912" spans="1:4" x14ac:dyDescent="0.3">
      <c r="A16912" s="34">
        <v>79951</v>
      </c>
      <c r="B16912" s="35">
        <v>2</v>
      </c>
      <c r="C16912" s="35">
        <v>1</v>
      </c>
      <c r="D16912" s="2">
        <f t="shared" si="264"/>
        <v>3</v>
      </c>
    </row>
    <row r="16913" spans="1:4" x14ac:dyDescent="0.3">
      <c r="A16913" s="34">
        <v>79952</v>
      </c>
      <c r="B16913" s="35">
        <v>1</v>
      </c>
      <c r="C16913" s="35">
        <v>0</v>
      </c>
      <c r="D16913" s="2">
        <f t="shared" si="264"/>
        <v>1</v>
      </c>
    </row>
    <row r="16914" spans="1:4" x14ac:dyDescent="0.3">
      <c r="A16914" s="34">
        <v>79953</v>
      </c>
      <c r="B16914" s="35">
        <v>1</v>
      </c>
      <c r="C16914" s="35">
        <v>0</v>
      </c>
      <c r="D16914" s="2">
        <f t="shared" si="264"/>
        <v>1</v>
      </c>
    </row>
    <row r="16915" spans="1:4" x14ac:dyDescent="0.3">
      <c r="A16915" s="34">
        <v>79954</v>
      </c>
      <c r="B16915" s="35">
        <v>1</v>
      </c>
      <c r="C16915" s="35">
        <v>0</v>
      </c>
      <c r="D16915" s="2">
        <f t="shared" si="264"/>
        <v>1</v>
      </c>
    </row>
    <row r="16916" spans="1:4" x14ac:dyDescent="0.3">
      <c r="A16916" s="34">
        <v>79955</v>
      </c>
      <c r="B16916" s="35">
        <v>1</v>
      </c>
      <c r="C16916" s="35">
        <v>0</v>
      </c>
      <c r="D16916" s="2">
        <f t="shared" si="264"/>
        <v>1</v>
      </c>
    </row>
    <row r="16917" spans="1:4" x14ac:dyDescent="0.3">
      <c r="A16917" s="34">
        <v>79956</v>
      </c>
      <c r="B16917" s="35">
        <v>1</v>
      </c>
      <c r="C16917" s="35">
        <v>0</v>
      </c>
      <c r="D16917" s="2">
        <f t="shared" si="264"/>
        <v>1</v>
      </c>
    </row>
    <row r="16918" spans="1:4" x14ac:dyDescent="0.3">
      <c r="A16918" s="34">
        <v>79957</v>
      </c>
      <c r="B16918" s="35">
        <v>1</v>
      </c>
      <c r="C16918" s="35">
        <v>0</v>
      </c>
      <c r="D16918" s="2">
        <f t="shared" si="264"/>
        <v>1</v>
      </c>
    </row>
    <row r="16919" spans="1:4" x14ac:dyDescent="0.3">
      <c r="A16919" s="34">
        <v>79958</v>
      </c>
      <c r="B16919" s="35">
        <v>1</v>
      </c>
      <c r="C16919" s="35">
        <v>0</v>
      </c>
      <c r="D16919" s="2">
        <f t="shared" si="264"/>
        <v>1</v>
      </c>
    </row>
    <row r="16920" spans="1:4" x14ac:dyDescent="0.3">
      <c r="A16920" s="34">
        <v>79959</v>
      </c>
      <c r="B16920" s="35">
        <v>1</v>
      </c>
      <c r="C16920" s="35">
        <v>0</v>
      </c>
      <c r="D16920" s="2">
        <f t="shared" si="264"/>
        <v>1</v>
      </c>
    </row>
    <row r="16921" spans="1:4" x14ac:dyDescent="0.3">
      <c r="A16921" s="34">
        <v>79960</v>
      </c>
      <c r="B16921" s="35">
        <v>1</v>
      </c>
      <c r="C16921" s="35">
        <v>0</v>
      </c>
      <c r="D16921" s="2">
        <f t="shared" si="264"/>
        <v>1</v>
      </c>
    </row>
    <row r="16922" spans="1:4" x14ac:dyDescent="0.3">
      <c r="A16922" s="34">
        <v>79961</v>
      </c>
      <c r="B16922" s="35">
        <v>1</v>
      </c>
      <c r="C16922" s="35">
        <v>0</v>
      </c>
      <c r="D16922" s="2">
        <f t="shared" si="264"/>
        <v>1</v>
      </c>
    </row>
    <row r="16923" spans="1:4" x14ac:dyDescent="0.3">
      <c r="A16923" s="34">
        <v>79962</v>
      </c>
      <c r="B16923" s="35">
        <v>1</v>
      </c>
      <c r="C16923" s="35">
        <v>0</v>
      </c>
      <c r="D16923" s="2">
        <f t="shared" si="264"/>
        <v>1</v>
      </c>
    </row>
    <row r="16924" spans="1:4" x14ac:dyDescent="0.3">
      <c r="A16924" s="34">
        <v>79963</v>
      </c>
      <c r="B16924" s="35">
        <v>1</v>
      </c>
      <c r="C16924" s="35">
        <v>0</v>
      </c>
      <c r="D16924" s="2">
        <f t="shared" si="264"/>
        <v>1</v>
      </c>
    </row>
    <row r="16925" spans="1:4" x14ac:dyDescent="0.3">
      <c r="A16925" s="34">
        <v>79965</v>
      </c>
      <c r="B16925" s="35">
        <v>1</v>
      </c>
      <c r="C16925" s="35">
        <v>0</v>
      </c>
      <c r="D16925" s="2">
        <f t="shared" si="264"/>
        <v>1</v>
      </c>
    </row>
    <row r="16926" spans="1:4" x14ac:dyDescent="0.3">
      <c r="A16926" s="34">
        <v>79966</v>
      </c>
      <c r="B16926" s="35">
        <v>1</v>
      </c>
      <c r="C16926" s="35">
        <v>0</v>
      </c>
      <c r="D16926" s="2">
        <f t="shared" si="264"/>
        <v>1</v>
      </c>
    </row>
    <row r="16927" spans="1:4" x14ac:dyDescent="0.3">
      <c r="A16927" s="34">
        <v>79967</v>
      </c>
      <c r="B16927" s="35">
        <v>1</v>
      </c>
      <c r="C16927" s="35">
        <v>0</v>
      </c>
      <c r="D16927" s="2">
        <f t="shared" si="264"/>
        <v>1</v>
      </c>
    </row>
    <row r="16928" spans="1:4" x14ac:dyDescent="0.3">
      <c r="A16928" s="34">
        <v>79968</v>
      </c>
      <c r="B16928" s="35">
        <v>1</v>
      </c>
      <c r="C16928" s="35">
        <v>0</v>
      </c>
      <c r="D16928" s="2">
        <f t="shared" si="264"/>
        <v>1</v>
      </c>
    </row>
    <row r="16929" spans="1:4" x14ac:dyDescent="0.3">
      <c r="A16929" s="34">
        <v>79969</v>
      </c>
      <c r="B16929" s="35">
        <v>1</v>
      </c>
      <c r="C16929" s="35">
        <v>0</v>
      </c>
      <c r="D16929" s="2">
        <f t="shared" si="264"/>
        <v>1</v>
      </c>
    </row>
    <row r="16930" spans="1:4" x14ac:dyDescent="0.3">
      <c r="A16930" s="34">
        <v>79970</v>
      </c>
      <c r="B16930" s="35">
        <v>1</v>
      </c>
      <c r="C16930" s="35">
        <v>0</v>
      </c>
      <c r="D16930" s="2">
        <f t="shared" si="264"/>
        <v>1</v>
      </c>
    </row>
    <row r="16931" spans="1:4" x14ac:dyDescent="0.3">
      <c r="A16931" s="34">
        <v>79971</v>
      </c>
      <c r="B16931" s="35">
        <v>1</v>
      </c>
      <c r="C16931" s="35">
        <v>0</v>
      </c>
      <c r="D16931" s="2">
        <f t="shared" si="264"/>
        <v>1</v>
      </c>
    </row>
    <row r="16932" spans="1:4" x14ac:dyDescent="0.3">
      <c r="A16932" s="34">
        <v>79972</v>
      </c>
      <c r="B16932" s="35">
        <v>1</v>
      </c>
      <c r="C16932" s="35">
        <v>0</v>
      </c>
      <c r="D16932" s="2">
        <f t="shared" si="264"/>
        <v>1</v>
      </c>
    </row>
    <row r="16933" spans="1:4" x14ac:dyDescent="0.3">
      <c r="A16933" s="34">
        <v>79973</v>
      </c>
      <c r="B16933" s="35">
        <v>1</v>
      </c>
      <c r="C16933" s="35">
        <v>0</v>
      </c>
      <c r="D16933" s="2">
        <f t="shared" si="264"/>
        <v>1</v>
      </c>
    </row>
    <row r="16934" spans="1:4" x14ac:dyDescent="0.3">
      <c r="A16934" s="34">
        <v>79974</v>
      </c>
      <c r="B16934" s="35">
        <v>2</v>
      </c>
      <c r="C16934" s="35">
        <v>1</v>
      </c>
      <c r="D16934" s="2">
        <f t="shared" si="264"/>
        <v>3</v>
      </c>
    </row>
    <row r="16935" spans="1:4" x14ac:dyDescent="0.3">
      <c r="A16935" s="34">
        <v>79975</v>
      </c>
      <c r="B16935" s="35">
        <v>1</v>
      </c>
      <c r="C16935" s="35">
        <v>0</v>
      </c>
      <c r="D16935" s="2">
        <f t="shared" si="264"/>
        <v>1</v>
      </c>
    </row>
    <row r="16936" spans="1:4" x14ac:dyDescent="0.3">
      <c r="A16936" s="34">
        <v>79976</v>
      </c>
      <c r="B16936" s="35">
        <v>1</v>
      </c>
      <c r="C16936" s="35">
        <v>0</v>
      </c>
      <c r="D16936" s="2">
        <f t="shared" si="264"/>
        <v>1</v>
      </c>
    </row>
    <row r="16937" spans="1:4" x14ac:dyDescent="0.3">
      <c r="A16937" s="34">
        <v>79977</v>
      </c>
      <c r="B16937" s="35">
        <v>1</v>
      </c>
      <c r="C16937" s="35">
        <v>0</v>
      </c>
      <c r="D16937" s="2">
        <f t="shared" si="264"/>
        <v>1</v>
      </c>
    </row>
    <row r="16938" spans="1:4" x14ac:dyDescent="0.3">
      <c r="A16938" s="34">
        <v>79978</v>
      </c>
      <c r="B16938" s="35">
        <v>1</v>
      </c>
      <c r="C16938" s="35">
        <v>0</v>
      </c>
      <c r="D16938" s="2">
        <f t="shared" si="264"/>
        <v>1</v>
      </c>
    </row>
    <row r="16939" spans="1:4" x14ac:dyDescent="0.3">
      <c r="A16939" s="34">
        <v>79979</v>
      </c>
      <c r="B16939" s="35">
        <v>1</v>
      </c>
      <c r="C16939" s="35">
        <v>0</v>
      </c>
      <c r="D16939" s="2">
        <f t="shared" si="264"/>
        <v>1</v>
      </c>
    </row>
    <row r="16940" spans="1:4" x14ac:dyDescent="0.3">
      <c r="A16940" s="34">
        <v>79980</v>
      </c>
      <c r="B16940" s="35">
        <v>1</v>
      </c>
      <c r="C16940" s="35">
        <v>0</v>
      </c>
      <c r="D16940" s="2">
        <f t="shared" si="264"/>
        <v>1</v>
      </c>
    </row>
    <row r="16941" spans="1:4" x14ac:dyDescent="0.3">
      <c r="A16941" s="34">
        <v>79981</v>
      </c>
      <c r="B16941" s="35">
        <v>1</v>
      </c>
      <c r="C16941" s="35">
        <v>0</v>
      </c>
      <c r="D16941" s="2">
        <f t="shared" si="264"/>
        <v>1</v>
      </c>
    </row>
    <row r="16942" spans="1:4" x14ac:dyDescent="0.3">
      <c r="A16942" s="34">
        <v>79982</v>
      </c>
      <c r="B16942" s="35">
        <v>1</v>
      </c>
      <c r="C16942" s="35">
        <v>0</v>
      </c>
      <c r="D16942" s="2">
        <f t="shared" si="264"/>
        <v>1</v>
      </c>
    </row>
    <row r="16943" spans="1:4" x14ac:dyDescent="0.3">
      <c r="A16943" s="34">
        <v>79983</v>
      </c>
      <c r="B16943" s="35">
        <v>1</v>
      </c>
      <c r="C16943" s="35">
        <v>0</v>
      </c>
      <c r="D16943" s="2">
        <f t="shared" si="264"/>
        <v>1</v>
      </c>
    </row>
    <row r="16944" spans="1:4" x14ac:dyDescent="0.3">
      <c r="A16944" s="34">
        <v>79984</v>
      </c>
      <c r="B16944" s="35">
        <v>1</v>
      </c>
      <c r="C16944" s="35">
        <v>1</v>
      </c>
      <c r="D16944" s="2">
        <f t="shared" si="264"/>
        <v>2</v>
      </c>
    </row>
    <row r="16945" spans="1:4" x14ac:dyDescent="0.3">
      <c r="A16945" s="34">
        <v>79985</v>
      </c>
      <c r="B16945" s="35">
        <v>1</v>
      </c>
      <c r="C16945" s="35">
        <v>0</v>
      </c>
      <c r="D16945" s="2">
        <f t="shared" si="264"/>
        <v>1</v>
      </c>
    </row>
    <row r="16946" spans="1:4" x14ac:dyDescent="0.3">
      <c r="A16946" s="34">
        <v>79986</v>
      </c>
      <c r="B16946" s="35">
        <v>2</v>
      </c>
      <c r="C16946" s="35">
        <v>1</v>
      </c>
      <c r="D16946" s="2">
        <f t="shared" si="264"/>
        <v>3</v>
      </c>
    </row>
    <row r="16947" spans="1:4" x14ac:dyDescent="0.3">
      <c r="A16947" s="34">
        <v>79987</v>
      </c>
      <c r="B16947" s="35">
        <v>1</v>
      </c>
      <c r="C16947" s="35">
        <v>0</v>
      </c>
      <c r="D16947" s="2">
        <f t="shared" si="264"/>
        <v>1</v>
      </c>
    </row>
    <row r="16948" spans="1:4" x14ac:dyDescent="0.3">
      <c r="A16948" s="34">
        <v>79988</v>
      </c>
      <c r="B16948" s="35">
        <v>1</v>
      </c>
      <c r="C16948" s="35">
        <v>0</v>
      </c>
      <c r="D16948" s="2">
        <f t="shared" si="264"/>
        <v>1</v>
      </c>
    </row>
    <row r="16949" spans="1:4" x14ac:dyDescent="0.3">
      <c r="A16949" s="34">
        <v>79989</v>
      </c>
      <c r="B16949" s="35">
        <v>1</v>
      </c>
      <c r="C16949" s="35">
        <v>0</v>
      </c>
      <c r="D16949" s="2">
        <f t="shared" si="264"/>
        <v>1</v>
      </c>
    </row>
    <row r="16950" spans="1:4" x14ac:dyDescent="0.3">
      <c r="A16950" s="34">
        <v>79991</v>
      </c>
      <c r="B16950" s="35">
        <v>1</v>
      </c>
      <c r="C16950" s="35">
        <v>0</v>
      </c>
      <c r="D16950" s="2">
        <f t="shared" si="264"/>
        <v>1</v>
      </c>
    </row>
    <row r="16951" spans="1:4" x14ac:dyDescent="0.3">
      <c r="A16951" s="34">
        <v>79992</v>
      </c>
      <c r="B16951" s="35">
        <v>1</v>
      </c>
      <c r="C16951" s="35">
        <v>0</v>
      </c>
      <c r="D16951" s="2">
        <f t="shared" si="264"/>
        <v>1</v>
      </c>
    </row>
    <row r="16952" spans="1:4" x14ac:dyDescent="0.3">
      <c r="A16952" s="34">
        <v>79993</v>
      </c>
      <c r="B16952" s="35">
        <v>1</v>
      </c>
      <c r="C16952" s="35">
        <v>0</v>
      </c>
      <c r="D16952" s="2">
        <f t="shared" si="264"/>
        <v>1</v>
      </c>
    </row>
    <row r="16953" spans="1:4" x14ac:dyDescent="0.3">
      <c r="A16953" s="34">
        <v>79996</v>
      </c>
      <c r="B16953" s="35">
        <v>1</v>
      </c>
      <c r="C16953" s="35">
        <v>0</v>
      </c>
      <c r="D16953" s="2">
        <f t="shared" si="264"/>
        <v>1</v>
      </c>
    </row>
    <row r="16954" spans="1:4" x14ac:dyDescent="0.3">
      <c r="A16954" s="34">
        <v>79997</v>
      </c>
      <c r="B16954" s="35">
        <v>1</v>
      </c>
      <c r="C16954" s="35">
        <v>0</v>
      </c>
      <c r="D16954" s="2">
        <f t="shared" si="264"/>
        <v>1</v>
      </c>
    </row>
    <row r="16955" spans="1:4" x14ac:dyDescent="0.3">
      <c r="A16955" s="34">
        <v>79998</v>
      </c>
      <c r="B16955" s="35">
        <v>1</v>
      </c>
      <c r="C16955" s="35">
        <v>0</v>
      </c>
      <c r="D16955" s="2">
        <f t="shared" si="264"/>
        <v>1</v>
      </c>
    </row>
    <row r="16956" spans="1:4" x14ac:dyDescent="0.3">
      <c r="A16956" s="34">
        <v>79999</v>
      </c>
      <c r="B16956" s="35">
        <v>1</v>
      </c>
      <c r="C16956" s="35">
        <v>0</v>
      </c>
      <c r="D16956" s="2">
        <f t="shared" si="264"/>
        <v>1</v>
      </c>
    </row>
    <row r="16957" spans="1:4" x14ac:dyDescent="0.3">
      <c r="A16957" s="34">
        <v>80000</v>
      </c>
      <c r="B16957" s="35">
        <v>1</v>
      </c>
      <c r="C16957" s="35">
        <v>0</v>
      </c>
      <c r="D16957" s="2">
        <f t="shared" si="264"/>
        <v>1</v>
      </c>
    </row>
    <row r="16958" spans="1:4" x14ac:dyDescent="0.3">
      <c r="A16958" s="34">
        <v>80001</v>
      </c>
      <c r="B16958" s="35">
        <v>1</v>
      </c>
      <c r="C16958" s="35">
        <v>0</v>
      </c>
      <c r="D16958" s="2">
        <f t="shared" si="264"/>
        <v>1</v>
      </c>
    </row>
    <row r="16959" spans="1:4" x14ac:dyDescent="0.3">
      <c r="A16959" s="34">
        <v>80002</v>
      </c>
      <c r="B16959" s="35">
        <v>1</v>
      </c>
      <c r="C16959" s="35">
        <v>0</v>
      </c>
      <c r="D16959" s="2">
        <f t="shared" si="264"/>
        <v>1</v>
      </c>
    </row>
    <row r="16960" spans="1:4" x14ac:dyDescent="0.3">
      <c r="A16960" s="34">
        <v>80003</v>
      </c>
      <c r="B16960" s="35">
        <v>1</v>
      </c>
      <c r="C16960" s="35">
        <v>0</v>
      </c>
      <c r="D16960" s="2">
        <f t="shared" si="264"/>
        <v>1</v>
      </c>
    </row>
    <row r="16961" spans="1:4" x14ac:dyDescent="0.3">
      <c r="A16961" s="34">
        <v>80005</v>
      </c>
      <c r="B16961" s="35">
        <v>1</v>
      </c>
      <c r="C16961" s="35">
        <v>0</v>
      </c>
      <c r="D16961" s="2">
        <f t="shared" si="264"/>
        <v>1</v>
      </c>
    </row>
    <row r="16962" spans="1:4" x14ac:dyDescent="0.3">
      <c r="A16962" s="34">
        <v>80006</v>
      </c>
      <c r="B16962" s="35">
        <v>1</v>
      </c>
      <c r="C16962" s="35">
        <v>0</v>
      </c>
      <c r="D16962" s="2">
        <f t="shared" si="264"/>
        <v>1</v>
      </c>
    </row>
    <row r="16963" spans="1:4" x14ac:dyDescent="0.3">
      <c r="A16963" s="34">
        <v>80007</v>
      </c>
      <c r="B16963" s="35">
        <v>1</v>
      </c>
      <c r="C16963" s="35">
        <v>0</v>
      </c>
      <c r="D16963" s="2">
        <f t="shared" ref="D16963:D17026" si="265">B16963+C16963</f>
        <v>1</v>
      </c>
    </row>
    <row r="16964" spans="1:4" x14ac:dyDescent="0.3">
      <c r="A16964" s="34">
        <v>80008</v>
      </c>
      <c r="B16964" s="35">
        <v>1</v>
      </c>
      <c r="C16964" s="35">
        <v>0</v>
      </c>
      <c r="D16964" s="2">
        <f t="shared" si="265"/>
        <v>1</v>
      </c>
    </row>
    <row r="16965" spans="1:4" x14ac:dyDescent="0.3">
      <c r="A16965" s="34">
        <v>80009</v>
      </c>
      <c r="B16965" s="35">
        <v>1</v>
      </c>
      <c r="C16965" s="35">
        <v>0</v>
      </c>
      <c r="D16965" s="2">
        <f t="shared" si="265"/>
        <v>1</v>
      </c>
    </row>
    <row r="16966" spans="1:4" x14ac:dyDescent="0.3">
      <c r="A16966" s="34">
        <v>80010</v>
      </c>
      <c r="B16966" s="35">
        <v>1</v>
      </c>
      <c r="C16966" s="35">
        <v>0</v>
      </c>
      <c r="D16966" s="2">
        <f t="shared" si="265"/>
        <v>1</v>
      </c>
    </row>
    <row r="16967" spans="1:4" x14ac:dyDescent="0.3">
      <c r="A16967" s="34">
        <v>80011</v>
      </c>
      <c r="B16967" s="35">
        <v>1</v>
      </c>
      <c r="C16967" s="35">
        <v>0</v>
      </c>
      <c r="D16967" s="2">
        <f t="shared" si="265"/>
        <v>1</v>
      </c>
    </row>
    <row r="16968" spans="1:4" x14ac:dyDescent="0.3">
      <c r="A16968" s="34">
        <v>80012</v>
      </c>
      <c r="B16968" s="35">
        <v>1</v>
      </c>
      <c r="C16968" s="35">
        <v>0</v>
      </c>
      <c r="D16968" s="2">
        <f t="shared" si="265"/>
        <v>1</v>
      </c>
    </row>
    <row r="16969" spans="1:4" x14ac:dyDescent="0.3">
      <c r="A16969" s="34">
        <v>80013</v>
      </c>
      <c r="B16969" s="35">
        <v>1</v>
      </c>
      <c r="C16969" s="35">
        <v>0</v>
      </c>
      <c r="D16969" s="2">
        <f t="shared" si="265"/>
        <v>1</v>
      </c>
    </row>
    <row r="16970" spans="1:4" x14ac:dyDescent="0.3">
      <c r="A16970" s="34">
        <v>80014</v>
      </c>
      <c r="B16970" s="35">
        <v>1</v>
      </c>
      <c r="C16970" s="35">
        <v>0</v>
      </c>
      <c r="D16970" s="2">
        <f t="shared" si="265"/>
        <v>1</v>
      </c>
    </row>
    <row r="16971" spans="1:4" x14ac:dyDescent="0.3">
      <c r="A16971" s="34">
        <v>80015</v>
      </c>
      <c r="B16971" s="35">
        <v>1</v>
      </c>
      <c r="C16971" s="35">
        <v>0</v>
      </c>
      <c r="D16971" s="2">
        <f t="shared" si="265"/>
        <v>1</v>
      </c>
    </row>
    <row r="16972" spans="1:4" x14ac:dyDescent="0.3">
      <c r="A16972" s="34">
        <v>80016</v>
      </c>
      <c r="B16972" s="35">
        <v>1</v>
      </c>
      <c r="C16972" s="35">
        <v>0</v>
      </c>
      <c r="D16972" s="2">
        <f t="shared" si="265"/>
        <v>1</v>
      </c>
    </row>
    <row r="16973" spans="1:4" x14ac:dyDescent="0.3">
      <c r="A16973" s="34">
        <v>80017</v>
      </c>
      <c r="B16973" s="35">
        <v>1</v>
      </c>
      <c r="C16973" s="35">
        <v>0</v>
      </c>
      <c r="D16973" s="2">
        <f t="shared" si="265"/>
        <v>1</v>
      </c>
    </row>
    <row r="16974" spans="1:4" x14ac:dyDescent="0.3">
      <c r="A16974" s="34">
        <v>80018</v>
      </c>
      <c r="B16974" s="35">
        <v>1</v>
      </c>
      <c r="C16974" s="35">
        <v>0</v>
      </c>
      <c r="D16974" s="2">
        <f t="shared" si="265"/>
        <v>1</v>
      </c>
    </row>
    <row r="16975" spans="1:4" x14ac:dyDescent="0.3">
      <c r="A16975" s="34">
        <v>80019</v>
      </c>
      <c r="B16975" s="35">
        <v>1</v>
      </c>
      <c r="C16975" s="35">
        <v>0</v>
      </c>
      <c r="D16975" s="2">
        <f t="shared" si="265"/>
        <v>1</v>
      </c>
    </row>
    <row r="16976" spans="1:4" x14ac:dyDescent="0.3">
      <c r="A16976" s="34">
        <v>80020</v>
      </c>
      <c r="B16976" s="35">
        <v>1</v>
      </c>
      <c r="C16976" s="35">
        <v>0</v>
      </c>
      <c r="D16976" s="2">
        <f t="shared" si="265"/>
        <v>1</v>
      </c>
    </row>
    <row r="16977" spans="1:4" x14ac:dyDescent="0.3">
      <c r="A16977" s="34">
        <v>80021</v>
      </c>
      <c r="B16977" s="35">
        <v>1</v>
      </c>
      <c r="C16977" s="35">
        <v>0</v>
      </c>
      <c r="D16977" s="2">
        <f t="shared" si="265"/>
        <v>1</v>
      </c>
    </row>
    <row r="16978" spans="1:4" x14ac:dyDescent="0.3">
      <c r="A16978" s="34">
        <v>80022</v>
      </c>
      <c r="B16978" s="35">
        <v>1</v>
      </c>
      <c r="C16978" s="35">
        <v>0</v>
      </c>
      <c r="D16978" s="2">
        <f t="shared" si="265"/>
        <v>1</v>
      </c>
    </row>
    <row r="16979" spans="1:4" x14ac:dyDescent="0.3">
      <c r="A16979" s="34">
        <v>80023</v>
      </c>
      <c r="B16979" s="35">
        <v>1</v>
      </c>
      <c r="C16979" s="35">
        <v>0</v>
      </c>
      <c r="D16979" s="2">
        <f t="shared" si="265"/>
        <v>1</v>
      </c>
    </row>
    <row r="16980" spans="1:4" x14ac:dyDescent="0.3">
      <c r="A16980" s="34">
        <v>80024</v>
      </c>
      <c r="B16980" s="35">
        <v>1</v>
      </c>
      <c r="C16980" s="35">
        <v>0</v>
      </c>
      <c r="D16980" s="2">
        <f t="shared" si="265"/>
        <v>1</v>
      </c>
    </row>
    <row r="16981" spans="1:4" x14ac:dyDescent="0.3">
      <c r="A16981" s="34">
        <v>80025</v>
      </c>
      <c r="B16981" s="35">
        <v>1</v>
      </c>
      <c r="C16981" s="35">
        <v>0</v>
      </c>
      <c r="D16981" s="2">
        <f t="shared" si="265"/>
        <v>1</v>
      </c>
    </row>
    <row r="16982" spans="1:4" x14ac:dyDescent="0.3">
      <c r="A16982" s="34">
        <v>80026</v>
      </c>
      <c r="B16982" s="35">
        <v>1</v>
      </c>
      <c r="C16982" s="35">
        <v>0</v>
      </c>
      <c r="D16982" s="2">
        <f t="shared" si="265"/>
        <v>1</v>
      </c>
    </row>
    <row r="16983" spans="1:4" x14ac:dyDescent="0.3">
      <c r="A16983" s="34">
        <v>80027</v>
      </c>
      <c r="B16983" s="35">
        <v>1</v>
      </c>
      <c r="C16983" s="35">
        <v>0</v>
      </c>
      <c r="D16983" s="2">
        <f t="shared" si="265"/>
        <v>1</v>
      </c>
    </row>
    <row r="16984" spans="1:4" x14ac:dyDescent="0.3">
      <c r="A16984" s="34">
        <v>80028</v>
      </c>
      <c r="B16984" s="35">
        <v>1</v>
      </c>
      <c r="C16984" s="35">
        <v>0</v>
      </c>
      <c r="D16984" s="2">
        <f t="shared" si="265"/>
        <v>1</v>
      </c>
    </row>
    <row r="16985" spans="1:4" x14ac:dyDescent="0.3">
      <c r="A16985" s="34">
        <v>80030</v>
      </c>
      <c r="B16985" s="35">
        <v>2</v>
      </c>
      <c r="C16985" s="35">
        <v>1</v>
      </c>
      <c r="D16985" s="2">
        <f t="shared" si="265"/>
        <v>3</v>
      </c>
    </row>
    <row r="16986" spans="1:4" x14ac:dyDescent="0.3">
      <c r="A16986" s="34">
        <v>80031</v>
      </c>
      <c r="B16986" s="35">
        <v>1</v>
      </c>
      <c r="C16986" s="35">
        <v>0</v>
      </c>
      <c r="D16986" s="2">
        <f t="shared" si="265"/>
        <v>1</v>
      </c>
    </row>
    <row r="16987" spans="1:4" x14ac:dyDescent="0.3">
      <c r="A16987" s="34">
        <v>80032</v>
      </c>
      <c r="B16987" s="35">
        <v>1</v>
      </c>
      <c r="C16987" s="35">
        <v>0</v>
      </c>
      <c r="D16987" s="2">
        <f t="shared" si="265"/>
        <v>1</v>
      </c>
    </row>
    <row r="16988" spans="1:4" x14ac:dyDescent="0.3">
      <c r="A16988" s="34">
        <v>80033</v>
      </c>
      <c r="B16988" s="35">
        <v>1</v>
      </c>
      <c r="C16988" s="35">
        <v>0</v>
      </c>
      <c r="D16988" s="2">
        <f t="shared" si="265"/>
        <v>1</v>
      </c>
    </row>
    <row r="16989" spans="1:4" x14ac:dyDescent="0.3">
      <c r="A16989" s="34">
        <v>80034</v>
      </c>
      <c r="B16989" s="35">
        <v>1</v>
      </c>
      <c r="C16989" s="35">
        <v>0</v>
      </c>
      <c r="D16989" s="2">
        <f t="shared" si="265"/>
        <v>1</v>
      </c>
    </row>
    <row r="16990" spans="1:4" x14ac:dyDescent="0.3">
      <c r="A16990" s="34">
        <v>80035</v>
      </c>
      <c r="B16990" s="35">
        <v>1</v>
      </c>
      <c r="C16990" s="35">
        <v>0</v>
      </c>
      <c r="D16990" s="2">
        <f t="shared" si="265"/>
        <v>1</v>
      </c>
    </row>
    <row r="16991" spans="1:4" x14ac:dyDescent="0.3">
      <c r="A16991" s="34">
        <v>80036</v>
      </c>
      <c r="B16991" s="35">
        <v>1</v>
      </c>
      <c r="C16991" s="35">
        <v>0</v>
      </c>
      <c r="D16991" s="2">
        <f t="shared" si="265"/>
        <v>1</v>
      </c>
    </row>
    <row r="16992" spans="1:4" x14ac:dyDescent="0.3">
      <c r="A16992" s="34">
        <v>80037</v>
      </c>
      <c r="B16992" s="35">
        <v>1</v>
      </c>
      <c r="C16992" s="35">
        <v>0</v>
      </c>
      <c r="D16992" s="2">
        <f t="shared" si="265"/>
        <v>1</v>
      </c>
    </row>
    <row r="16993" spans="1:4" x14ac:dyDescent="0.3">
      <c r="A16993" s="34">
        <v>80038</v>
      </c>
      <c r="B16993" s="35">
        <v>1</v>
      </c>
      <c r="C16993" s="35">
        <v>0</v>
      </c>
      <c r="D16993" s="2">
        <f t="shared" si="265"/>
        <v>1</v>
      </c>
    </row>
    <row r="16994" spans="1:4" x14ac:dyDescent="0.3">
      <c r="A16994" s="34">
        <v>80039</v>
      </c>
      <c r="B16994" s="35">
        <v>1</v>
      </c>
      <c r="C16994" s="35">
        <v>0</v>
      </c>
      <c r="D16994" s="2">
        <f t="shared" si="265"/>
        <v>1</v>
      </c>
    </row>
    <row r="16995" spans="1:4" x14ac:dyDescent="0.3">
      <c r="A16995" s="34">
        <v>80040</v>
      </c>
      <c r="B16995" s="35">
        <v>1</v>
      </c>
      <c r="C16995" s="35">
        <v>0</v>
      </c>
      <c r="D16995" s="2">
        <f t="shared" si="265"/>
        <v>1</v>
      </c>
    </row>
    <row r="16996" spans="1:4" x14ac:dyDescent="0.3">
      <c r="A16996" s="34">
        <v>80041</v>
      </c>
      <c r="B16996" s="35">
        <v>1</v>
      </c>
      <c r="C16996" s="35">
        <v>0</v>
      </c>
      <c r="D16996" s="2">
        <f t="shared" si="265"/>
        <v>1</v>
      </c>
    </row>
    <row r="16997" spans="1:4" x14ac:dyDescent="0.3">
      <c r="A16997" s="34">
        <v>80042</v>
      </c>
      <c r="B16997" s="35">
        <v>1</v>
      </c>
      <c r="C16997" s="35">
        <v>0</v>
      </c>
      <c r="D16997" s="2">
        <f t="shared" si="265"/>
        <v>1</v>
      </c>
    </row>
    <row r="16998" spans="1:4" x14ac:dyDescent="0.3">
      <c r="A16998" s="34">
        <v>80043</v>
      </c>
      <c r="B16998" s="35">
        <v>1</v>
      </c>
      <c r="C16998" s="35">
        <v>0</v>
      </c>
      <c r="D16998" s="2">
        <f t="shared" si="265"/>
        <v>1</v>
      </c>
    </row>
    <row r="16999" spans="1:4" x14ac:dyDescent="0.3">
      <c r="A16999" s="34">
        <v>80044</v>
      </c>
      <c r="B16999" s="35">
        <v>1</v>
      </c>
      <c r="C16999" s="35">
        <v>0</v>
      </c>
      <c r="D16999" s="2">
        <f t="shared" si="265"/>
        <v>1</v>
      </c>
    </row>
    <row r="17000" spans="1:4" x14ac:dyDescent="0.3">
      <c r="A17000" s="34">
        <v>80045</v>
      </c>
      <c r="B17000" s="35">
        <v>1</v>
      </c>
      <c r="C17000" s="35">
        <v>0</v>
      </c>
      <c r="D17000" s="2">
        <f t="shared" si="265"/>
        <v>1</v>
      </c>
    </row>
    <row r="17001" spans="1:4" x14ac:dyDescent="0.3">
      <c r="A17001" s="34">
        <v>80046</v>
      </c>
      <c r="B17001" s="35">
        <v>1</v>
      </c>
      <c r="C17001" s="35">
        <v>0</v>
      </c>
      <c r="D17001" s="2">
        <f t="shared" si="265"/>
        <v>1</v>
      </c>
    </row>
    <row r="17002" spans="1:4" x14ac:dyDescent="0.3">
      <c r="A17002" s="34">
        <v>80047</v>
      </c>
      <c r="B17002" s="35">
        <v>1</v>
      </c>
      <c r="C17002" s="35">
        <v>0</v>
      </c>
      <c r="D17002" s="2">
        <f t="shared" si="265"/>
        <v>1</v>
      </c>
    </row>
    <row r="17003" spans="1:4" x14ac:dyDescent="0.3">
      <c r="A17003" s="34">
        <v>80048</v>
      </c>
      <c r="B17003" s="35">
        <v>1</v>
      </c>
      <c r="C17003" s="35">
        <v>0</v>
      </c>
      <c r="D17003" s="2">
        <f t="shared" si="265"/>
        <v>1</v>
      </c>
    </row>
    <row r="17004" spans="1:4" x14ac:dyDescent="0.3">
      <c r="A17004" s="34">
        <v>80049</v>
      </c>
      <c r="B17004" s="35">
        <v>1</v>
      </c>
      <c r="C17004" s="35">
        <v>0</v>
      </c>
      <c r="D17004" s="2">
        <f t="shared" si="265"/>
        <v>1</v>
      </c>
    </row>
    <row r="17005" spans="1:4" x14ac:dyDescent="0.3">
      <c r="A17005" s="34">
        <v>80050</v>
      </c>
      <c r="B17005" s="35">
        <v>1</v>
      </c>
      <c r="C17005" s="35">
        <v>0</v>
      </c>
      <c r="D17005" s="2">
        <f t="shared" si="265"/>
        <v>1</v>
      </c>
    </row>
    <row r="17006" spans="1:4" x14ac:dyDescent="0.3">
      <c r="A17006" s="34">
        <v>80051</v>
      </c>
      <c r="B17006" s="35">
        <v>1</v>
      </c>
      <c r="C17006" s="35">
        <v>0</v>
      </c>
      <c r="D17006" s="2">
        <f t="shared" si="265"/>
        <v>1</v>
      </c>
    </row>
    <row r="17007" spans="1:4" x14ac:dyDescent="0.3">
      <c r="A17007" s="34">
        <v>80052</v>
      </c>
      <c r="B17007" s="35">
        <v>2</v>
      </c>
      <c r="C17007" s="35">
        <v>1</v>
      </c>
      <c r="D17007" s="2">
        <f t="shared" si="265"/>
        <v>3</v>
      </c>
    </row>
    <row r="17008" spans="1:4" x14ac:dyDescent="0.3">
      <c r="A17008" s="34">
        <v>80053</v>
      </c>
      <c r="B17008" s="35">
        <v>1</v>
      </c>
      <c r="C17008" s="35">
        <v>0</v>
      </c>
      <c r="D17008" s="2">
        <f t="shared" si="265"/>
        <v>1</v>
      </c>
    </row>
    <row r="17009" spans="1:4" x14ac:dyDescent="0.3">
      <c r="A17009" s="34">
        <v>80054</v>
      </c>
      <c r="B17009" s="35">
        <v>1</v>
      </c>
      <c r="C17009" s="35">
        <v>0</v>
      </c>
      <c r="D17009" s="2">
        <f t="shared" si="265"/>
        <v>1</v>
      </c>
    </row>
    <row r="17010" spans="1:4" x14ac:dyDescent="0.3">
      <c r="A17010" s="34">
        <v>80055</v>
      </c>
      <c r="B17010" s="35">
        <v>1</v>
      </c>
      <c r="C17010" s="35">
        <v>0</v>
      </c>
      <c r="D17010" s="2">
        <f t="shared" si="265"/>
        <v>1</v>
      </c>
    </row>
    <row r="17011" spans="1:4" x14ac:dyDescent="0.3">
      <c r="A17011" s="34">
        <v>80056</v>
      </c>
      <c r="B17011" s="35">
        <v>1</v>
      </c>
      <c r="C17011" s="35">
        <v>0</v>
      </c>
      <c r="D17011" s="2">
        <f t="shared" si="265"/>
        <v>1</v>
      </c>
    </row>
    <row r="17012" spans="1:4" x14ac:dyDescent="0.3">
      <c r="A17012" s="34">
        <v>80057</v>
      </c>
      <c r="B17012" s="35">
        <v>1</v>
      </c>
      <c r="C17012" s="35">
        <v>0</v>
      </c>
      <c r="D17012" s="2">
        <f t="shared" si="265"/>
        <v>1</v>
      </c>
    </row>
    <row r="17013" spans="1:4" x14ac:dyDescent="0.3">
      <c r="A17013" s="34">
        <v>80058</v>
      </c>
      <c r="B17013" s="35">
        <v>1</v>
      </c>
      <c r="C17013" s="35">
        <v>0</v>
      </c>
      <c r="D17013" s="2">
        <f t="shared" si="265"/>
        <v>1</v>
      </c>
    </row>
    <row r="17014" spans="1:4" x14ac:dyDescent="0.3">
      <c r="A17014" s="34">
        <v>80059</v>
      </c>
      <c r="B17014" s="35">
        <v>1</v>
      </c>
      <c r="C17014" s="35">
        <v>0</v>
      </c>
      <c r="D17014" s="2">
        <f t="shared" si="265"/>
        <v>1</v>
      </c>
    </row>
    <row r="17015" spans="1:4" x14ac:dyDescent="0.3">
      <c r="A17015" s="34">
        <v>80060</v>
      </c>
      <c r="B17015" s="35">
        <v>1</v>
      </c>
      <c r="C17015" s="35">
        <v>0</v>
      </c>
      <c r="D17015" s="2">
        <f t="shared" si="265"/>
        <v>1</v>
      </c>
    </row>
    <row r="17016" spans="1:4" x14ac:dyDescent="0.3">
      <c r="A17016" s="34">
        <v>80061</v>
      </c>
      <c r="B17016" s="35">
        <v>1</v>
      </c>
      <c r="C17016" s="35">
        <v>0</v>
      </c>
      <c r="D17016" s="2">
        <f t="shared" si="265"/>
        <v>1</v>
      </c>
    </row>
    <row r="17017" spans="1:4" x14ac:dyDescent="0.3">
      <c r="A17017" s="34">
        <v>80062</v>
      </c>
      <c r="B17017" s="35">
        <v>2</v>
      </c>
      <c r="C17017" s="35">
        <v>1</v>
      </c>
      <c r="D17017" s="2">
        <f t="shared" si="265"/>
        <v>3</v>
      </c>
    </row>
    <row r="17018" spans="1:4" x14ac:dyDescent="0.3">
      <c r="A17018" s="34">
        <v>80063</v>
      </c>
      <c r="B17018" s="35">
        <v>1</v>
      </c>
      <c r="C17018" s="35">
        <v>0</v>
      </c>
      <c r="D17018" s="2">
        <f t="shared" si="265"/>
        <v>1</v>
      </c>
    </row>
    <row r="17019" spans="1:4" x14ac:dyDescent="0.3">
      <c r="A17019" s="34">
        <v>80064</v>
      </c>
      <c r="B17019" s="35">
        <v>1</v>
      </c>
      <c r="C17019" s="35">
        <v>0</v>
      </c>
      <c r="D17019" s="2">
        <f t="shared" si="265"/>
        <v>1</v>
      </c>
    </row>
    <row r="17020" spans="1:4" x14ac:dyDescent="0.3">
      <c r="A17020" s="34">
        <v>80065</v>
      </c>
      <c r="B17020" s="35">
        <v>1</v>
      </c>
      <c r="C17020" s="35">
        <v>0</v>
      </c>
      <c r="D17020" s="2">
        <f t="shared" si="265"/>
        <v>1</v>
      </c>
    </row>
    <row r="17021" spans="1:4" x14ac:dyDescent="0.3">
      <c r="A17021" s="34">
        <v>80066</v>
      </c>
      <c r="B17021" s="35">
        <v>1</v>
      </c>
      <c r="C17021" s="35">
        <v>0</v>
      </c>
      <c r="D17021" s="2">
        <f t="shared" si="265"/>
        <v>1</v>
      </c>
    </row>
    <row r="17022" spans="1:4" x14ac:dyDescent="0.3">
      <c r="A17022" s="34">
        <v>80067</v>
      </c>
      <c r="B17022" s="35">
        <v>1</v>
      </c>
      <c r="C17022" s="35">
        <v>0</v>
      </c>
      <c r="D17022" s="2">
        <f t="shared" si="265"/>
        <v>1</v>
      </c>
    </row>
    <row r="17023" spans="1:4" x14ac:dyDescent="0.3">
      <c r="A17023" s="34">
        <v>80068</v>
      </c>
      <c r="B17023" s="35">
        <v>1</v>
      </c>
      <c r="C17023" s="35">
        <v>0</v>
      </c>
      <c r="D17023" s="2">
        <f t="shared" si="265"/>
        <v>1</v>
      </c>
    </row>
    <row r="17024" spans="1:4" x14ac:dyDescent="0.3">
      <c r="A17024" s="34">
        <v>80069</v>
      </c>
      <c r="B17024" s="35">
        <v>1</v>
      </c>
      <c r="C17024" s="35">
        <v>0</v>
      </c>
      <c r="D17024" s="2">
        <f t="shared" si="265"/>
        <v>1</v>
      </c>
    </row>
    <row r="17025" spans="1:4" x14ac:dyDescent="0.3">
      <c r="A17025" s="34">
        <v>80070</v>
      </c>
      <c r="B17025" s="35">
        <v>1</v>
      </c>
      <c r="C17025" s="35">
        <v>0</v>
      </c>
      <c r="D17025" s="2">
        <f t="shared" si="265"/>
        <v>1</v>
      </c>
    </row>
    <row r="17026" spans="1:4" x14ac:dyDescent="0.3">
      <c r="A17026" s="34">
        <v>80071</v>
      </c>
      <c r="B17026" s="35">
        <v>1</v>
      </c>
      <c r="C17026" s="35">
        <v>0</v>
      </c>
      <c r="D17026" s="2">
        <f t="shared" si="265"/>
        <v>1</v>
      </c>
    </row>
    <row r="17027" spans="1:4" x14ac:dyDescent="0.3">
      <c r="A17027" s="34">
        <v>80072</v>
      </c>
      <c r="B17027" s="35">
        <v>1</v>
      </c>
      <c r="C17027" s="35">
        <v>0</v>
      </c>
      <c r="D17027" s="2">
        <f t="shared" ref="D17027:D17090" si="266">B17027+C17027</f>
        <v>1</v>
      </c>
    </row>
    <row r="17028" spans="1:4" x14ac:dyDescent="0.3">
      <c r="A17028" s="34">
        <v>80073</v>
      </c>
      <c r="B17028" s="35">
        <v>1</v>
      </c>
      <c r="C17028" s="35">
        <v>0</v>
      </c>
      <c r="D17028" s="2">
        <f t="shared" si="266"/>
        <v>1</v>
      </c>
    </row>
    <row r="17029" spans="1:4" x14ac:dyDescent="0.3">
      <c r="A17029" s="34">
        <v>80074</v>
      </c>
      <c r="B17029" s="35">
        <v>1</v>
      </c>
      <c r="C17029" s="35">
        <v>0</v>
      </c>
      <c r="D17029" s="2">
        <f t="shared" si="266"/>
        <v>1</v>
      </c>
    </row>
    <row r="17030" spans="1:4" x14ac:dyDescent="0.3">
      <c r="A17030" s="34">
        <v>80075</v>
      </c>
      <c r="B17030" s="35">
        <v>1</v>
      </c>
      <c r="C17030" s="35">
        <v>0</v>
      </c>
      <c r="D17030" s="2">
        <f t="shared" si="266"/>
        <v>1</v>
      </c>
    </row>
    <row r="17031" spans="1:4" x14ac:dyDescent="0.3">
      <c r="A17031" s="34">
        <v>80076</v>
      </c>
      <c r="B17031" s="35">
        <v>1</v>
      </c>
      <c r="C17031" s="35">
        <v>0</v>
      </c>
      <c r="D17031" s="2">
        <f t="shared" si="266"/>
        <v>1</v>
      </c>
    </row>
    <row r="17032" spans="1:4" x14ac:dyDescent="0.3">
      <c r="A17032" s="34">
        <v>80077</v>
      </c>
      <c r="B17032" s="35">
        <v>1</v>
      </c>
      <c r="C17032" s="35">
        <v>0</v>
      </c>
      <c r="D17032" s="2">
        <f t="shared" si="266"/>
        <v>1</v>
      </c>
    </row>
    <row r="17033" spans="1:4" x14ac:dyDescent="0.3">
      <c r="A17033" s="34">
        <v>80078</v>
      </c>
      <c r="B17033" s="35">
        <v>1</v>
      </c>
      <c r="C17033" s="35">
        <v>0</v>
      </c>
      <c r="D17033" s="2">
        <f t="shared" si="266"/>
        <v>1</v>
      </c>
    </row>
    <row r="17034" spans="1:4" x14ac:dyDescent="0.3">
      <c r="A17034" s="34">
        <v>80079</v>
      </c>
      <c r="B17034" s="35">
        <v>1</v>
      </c>
      <c r="C17034" s="35">
        <v>0</v>
      </c>
      <c r="D17034" s="2">
        <f t="shared" si="266"/>
        <v>1</v>
      </c>
    </row>
    <row r="17035" spans="1:4" x14ac:dyDescent="0.3">
      <c r="A17035" s="34">
        <v>80080</v>
      </c>
      <c r="B17035" s="35">
        <v>1</v>
      </c>
      <c r="C17035" s="35">
        <v>0</v>
      </c>
      <c r="D17035" s="2">
        <f t="shared" si="266"/>
        <v>1</v>
      </c>
    </row>
    <row r="17036" spans="1:4" x14ac:dyDescent="0.3">
      <c r="A17036" s="34">
        <v>80081</v>
      </c>
      <c r="B17036" s="35">
        <v>1</v>
      </c>
      <c r="C17036" s="35">
        <v>0</v>
      </c>
      <c r="D17036" s="2">
        <f t="shared" si="266"/>
        <v>1</v>
      </c>
    </row>
    <row r="17037" spans="1:4" x14ac:dyDescent="0.3">
      <c r="A17037" s="34">
        <v>80082</v>
      </c>
      <c r="B17037" s="35">
        <v>1</v>
      </c>
      <c r="C17037" s="35">
        <v>0</v>
      </c>
      <c r="D17037" s="2">
        <f t="shared" si="266"/>
        <v>1</v>
      </c>
    </row>
    <row r="17038" spans="1:4" x14ac:dyDescent="0.3">
      <c r="A17038" s="34">
        <v>80083</v>
      </c>
      <c r="B17038" s="35">
        <v>1</v>
      </c>
      <c r="C17038" s="35">
        <v>0</v>
      </c>
      <c r="D17038" s="2">
        <f t="shared" si="266"/>
        <v>1</v>
      </c>
    </row>
    <row r="17039" spans="1:4" x14ac:dyDescent="0.3">
      <c r="A17039" s="34">
        <v>80084</v>
      </c>
      <c r="B17039" s="35">
        <v>1</v>
      </c>
      <c r="C17039" s="35">
        <v>0</v>
      </c>
      <c r="D17039" s="2">
        <f t="shared" si="266"/>
        <v>1</v>
      </c>
    </row>
    <row r="17040" spans="1:4" x14ac:dyDescent="0.3">
      <c r="A17040" s="34">
        <v>80085</v>
      </c>
      <c r="B17040" s="35">
        <v>1</v>
      </c>
      <c r="C17040" s="35">
        <v>0</v>
      </c>
      <c r="D17040" s="2">
        <f t="shared" si="266"/>
        <v>1</v>
      </c>
    </row>
    <row r="17041" spans="1:4" x14ac:dyDescent="0.3">
      <c r="A17041" s="34">
        <v>80086</v>
      </c>
      <c r="B17041" s="35">
        <v>1</v>
      </c>
      <c r="C17041" s="35">
        <v>0</v>
      </c>
      <c r="D17041" s="2">
        <f t="shared" si="266"/>
        <v>1</v>
      </c>
    </row>
    <row r="17042" spans="1:4" x14ac:dyDescent="0.3">
      <c r="A17042" s="34">
        <v>80087</v>
      </c>
      <c r="B17042" s="35">
        <v>1</v>
      </c>
      <c r="C17042" s="35">
        <v>0</v>
      </c>
      <c r="D17042" s="2">
        <f t="shared" si="266"/>
        <v>1</v>
      </c>
    </row>
    <row r="17043" spans="1:4" x14ac:dyDescent="0.3">
      <c r="A17043" s="34">
        <v>80088</v>
      </c>
      <c r="B17043" s="35">
        <v>1</v>
      </c>
      <c r="C17043" s="35">
        <v>0</v>
      </c>
      <c r="D17043" s="2">
        <f t="shared" si="266"/>
        <v>1</v>
      </c>
    </row>
    <row r="17044" spans="1:4" x14ac:dyDescent="0.3">
      <c r="A17044" s="34">
        <v>80090</v>
      </c>
      <c r="B17044" s="35">
        <v>2</v>
      </c>
      <c r="C17044" s="35">
        <v>1</v>
      </c>
      <c r="D17044" s="2">
        <f t="shared" si="266"/>
        <v>3</v>
      </c>
    </row>
    <row r="17045" spans="1:4" x14ac:dyDescent="0.3">
      <c r="A17045" s="34">
        <v>80091</v>
      </c>
      <c r="B17045" s="35">
        <v>1</v>
      </c>
      <c r="C17045" s="35">
        <v>0</v>
      </c>
      <c r="D17045" s="2">
        <f t="shared" si="266"/>
        <v>1</v>
      </c>
    </row>
    <row r="17046" spans="1:4" x14ac:dyDescent="0.3">
      <c r="A17046" s="34">
        <v>80092</v>
      </c>
      <c r="B17046" s="35">
        <v>1</v>
      </c>
      <c r="C17046" s="35">
        <v>0</v>
      </c>
      <c r="D17046" s="2">
        <f t="shared" si="266"/>
        <v>1</v>
      </c>
    </row>
    <row r="17047" spans="1:4" x14ac:dyDescent="0.3">
      <c r="A17047" s="34">
        <v>80093</v>
      </c>
      <c r="B17047" s="35">
        <v>1</v>
      </c>
      <c r="C17047" s="35">
        <v>0</v>
      </c>
      <c r="D17047" s="2">
        <f t="shared" si="266"/>
        <v>1</v>
      </c>
    </row>
    <row r="17048" spans="1:4" x14ac:dyDescent="0.3">
      <c r="A17048" s="34">
        <v>80112</v>
      </c>
      <c r="B17048" s="35">
        <v>1</v>
      </c>
      <c r="C17048" s="35">
        <v>0</v>
      </c>
      <c r="D17048" s="2">
        <f t="shared" si="266"/>
        <v>1</v>
      </c>
    </row>
    <row r="17049" spans="1:4" x14ac:dyDescent="0.3">
      <c r="A17049" s="34">
        <v>80113</v>
      </c>
      <c r="B17049" s="35">
        <v>1</v>
      </c>
      <c r="C17049" s="35">
        <v>0</v>
      </c>
      <c r="D17049" s="2">
        <f t="shared" si="266"/>
        <v>1</v>
      </c>
    </row>
    <row r="17050" spans="1:4" x14ac:dyDescent="0.3">
      <c r="A17050" s="34">
        <v>80114</v>
      </c>
      <c r="B17050" s="35">
        <v>1</v>
      </c>
      <c r="C17050" s="35">
        <v>0</v>
      </c>
      <c r="D17050" s="2">
        <f t="shared" si="266"/>
        <v>1</v>
      </c>
    </row>
    <row r="17051" spans="1:4" x14ac:dyDescent="0.3">
      <c r="A17051" s="34">
        <v>80115</v>
      </c>
      <c r="B17051" s="35">
        <v>1</v>
      </c>
      <c r="C17051" s="35">
        <v>0</v>
      </c>
      <c r="D17051" s="2">
        <f t="shared" si="266"/>
        <v>1</v>
      </c>
    </row>
    <row r="17052" spans="1:4" x14ac:dyDescent="0.3">
      <c r="A17052" s="34">
        <v>80116</v>
      </c>
      <c r="B17052" s="35">
        <v>1</v>
      </c>
      <c r="C17052" s="35">
        <v>0</v>
      </c>
      <c r="D17052" s="2">
        <f t="shared" si="266"/>
        <v>1</v>
      </c>
    </row>
    <row r="17053" spans="1:4" x14ac:dyDescent="0.3">
      <c r="A17053" s="34">
        <v>80117</v>
      </c>
      <c r="B17053" s="35">
        <v>1</v>
      </c>
      <c r="C17053" s="35">
        <v>0</v>
      </c>
      <c r="D17053" s="2">
        <f t="shared" si="266"/>
        <v>1</v>
      </c>
    </row>
    <row r="17054" spans="1:4" x14ac:dyDescent="0.3">
      <c r="A17054" s="34">
        <v>80118</v>
      </c>
      <c r="B17054" s="35">
        <v>1</v>
      </c>
      <c r="C17054" s="35">
        <v>0</v>
      </c>
      <c r="D17054" s="2">
        <f t="shared" si="266"/>
        <v>1</v>
      </c>
    </row>
    <row r="17055" spans="1:4" x14ac:dyDescent="0.3">
      <c r="A17055" s="34">
        <v>80119</v>
      </c>
      <c r="B17055" s="35">
        <v>1</v>
      </c>
      <c r="C17055" s="35">
        <v>0</v>
      </c>
      <c r="D17055" s="2">
        <f t="shared" si="266"/>
        <v>1</v>
      </c>
    </row>
    <row r="17056" spans="1:4" x14ac:dyDescent="0.3">
      <c r="A17056" s="34">
        <v>80121</v>
      </c>
      <c r="B17056" s="35">
        <v>2</v>
      </c>
      <c r="C17056" s="35">
        <v>1</v>
      </c>
      <c r="D17056" s="2">
        <f t="shared" si="266"/>
        <v>3</v>
      </c>
    </row>
    <row r="17057" spans="1:4" x14ac:dyDescent="0.3">
      <c r="A17057" s="34">
        <v>80122</v>
      </c>
      <c r="B17057" s="35">
        <v>1</v>
      </c>
      <c r="C17057" s="35">
        <v>0</v>
      </c>
      <c r="D17057" s="2">
        <f t="shared" si="266"/>
        <v>1</v>
      </c>
    </row>
    <row r="17058" spans="1:4" x14ac:dyDescent="0.3">
      <c r="A17058" s="34">
        <v>80123</v>
      </c>
      <c r="B17058" s="35">
        <v>1</v>
      </c>
      <c r="C17058" s="35">
        <v>0</v>
      </c>
      <c r="D17058" s="2">
        <f t="shared" si="266"/>
        <v>1</v>
      </c>
    </row>
    <row r="17059" spans="1:4" x14ac:dyDescent="0.3">
      <c r="A17059" s="34">
        <v>80124</v>
      </c>
      <c r="B17059" s="35">
        <v>1</v>
      </c>
      <c r="C17059" s="35">
        <v>0</v>
      </c>
      <c r="D17059" s="2">
        <f t="shared" si="266"/>
        <v>1</v>
      </c>
    </row>
    <row r="17060" spans="1:4" x14ac:dyDescent="0.3">
      <c r="A17060" s="34">
        <v>80125</v>
      </c>
      <c r="B17060" s="35">
        <v>2</v>
      </c>
      <c r="C17060" s="35">
        <v>1</v>
      </c>
      <c r="D17060" s="2">
        <f t="shared" si="266"/>
        <v>3</v>
      </c>
    </row>
    <row r="17061" spans="1:4" x14ac:dyDescent="0.3">
      <c r="A17061" s="34">
        <v>80126</v>
      </c>
      <c r="B17061" s="35">
        <v>1</v>
      </c>
      <c r="C17061" s="35">
        <v>0</v>
      </c>
      <c r="D17061" s="2">
        <f t="shared" si="266"/>
        <v>1</v>
      </c>
    </row>
    <row r="17062" spans="1:4" x14ac:dyDescent="0.3">
      <c r="A17062" s="34">
        <v>80127</v>
      </c>
      <c r="B17062" s="35">
        <v>1</v>
      </c>
      <c r="C17062" s="35">
        <v>0</v>
      </c>
      <c r="D17062" s="2">
        <f t="shared" si="266"/>
        <v>1</v>
      </c>
    </row>
    <row r="17063" spans="1:4" x14ac:dyDescent="0.3">
      <c r="A17063" s="34">
        <v>80128</v>
      </c>
      <c r="B17063" s="35">
        <v>1</v>
      </c>
      <c r="C17063" s="35">
        <v>0</v>
      </c>
      <c r="D17063" s="2">
        <f t="shared" si="266"/>
        <v>1</v>
      </c>
    </row>
    <row r="17064" spans="1:4" x14ac:dyDescent="0.3">
      <c r="A17064" s="34">
        <v>80129</v>
      </c>
      <c r="B17064" s="35">
        <v>2</v>
      </c>
      <c r="C17064" s="35">
        <v>1</v>
      </c>
      <c r="D17064" s="2">
        <f t="shared" si="266"/>
        <v>3</v>
      </c>
    </row>
    <row r="17065" spans="1:4" x14ac:dyDescent="0.3">
      <c r="A17065" s="34">
        <v>80130</v>
      </c>
      <c r="B17065" s="35">
        <v>1</v>
      </c>
      <c r="C17065" s="35">
        <v>0</v>
      </c>
      <c r="D17065" s="2">
        <f t="shared" si="266"/>
        <v>1</v>
      </c>
    </row>
    <row r="17066" spans="1:4" x14ac:dyDescent="0.3">
      <c r="A17066" s="34">
        <v>80131</v>
      </c>
      <c r="B17066" s="35">
        <v>1</v>
      </c>
      <c r="C17066" s="35">
        <v>0</v>
      </c>
      <c r="D17066" s="2">
        <f t="shared" si="266"/>
        <v>1</v>
      </c>
    </row>
    <row r="17067" spans="1:4" x14ac:dyDescent="0.3">
      <c r="A17067" s="34">
        <v>80132</v>
      </c>
      <c r="B17067" s="35">
        <v>1</v>
      </c>
      <c r="C17067" s="35">
        <v>0</v>
      </c>
      <c r="D17067" s="2">
        <f t="shared" si="266"/>
        <v>1</v>
      </c>
    </row>
    <row r="17068" spans="1:4" x14ac:dyDescent="0.3">
      <c r="A17068" s="34">
        <v>80133</v>
      </c>
      <c r="B17068" s="35">
        <v>1</v>
      </c>
      <c r="C17068" s="35">
        <v>0</v>
      </c>
      <c r="D17068" s="2">
        <f t="shared" si="266"/>
        <v>1</v>
      </c>
    </row>
    <row r="17069" spans="1:4" x14ac:dyDescent="0.3">
      <c r="A17069" s="34">
        <v>80134</v>
      </c>
      <c r="B17069" s="35">
        <v>1</v>
      </c>
      <c r="C17069" s="35">
        <v>0</v>
      </c>
      <c r="D17069" s="2">
        <f t="shared" si="266"/>
        <v>1</v>
      </c>
    </row>
    <row r="17070" spans="1:4" x14ac:dyDescent="0.3">
      <c r="A17070" s="34">
        <v>80135</v>
      </c>
      <c r="B17070" s="35">
        <v>1</v>
      </c>
      <c r="C17070" s="35">
        <v>0</v>
      </c>
      <c r="D17070" s="2">
        <f t="shared" si="266"/>
        <v>1</v>
      </c>
    </row>
    <row r="17071" spans="1:4" x14ac:dyDescent="0.3">
      <c r="A17071" s="34">
        <v>80136</v>
      </c>
      <c r="B17071" s="35">
        <v>1</v>
      </c>
      <c r="C17071" s="35">
        <v>0</v>
      </c>
      <c r="D17071" s="2">
        <f t="shared" si="266"/>
        <v>1</v>
      </c>
    </row>
    <row r="17072" spans="1:4" x14ac:dyDescent="0.3">
      <c r="A17072" s="34">
        <v>80137</v>
      </c>
      <c r="B17072" s="35">
        <v>1</v>
      </c>
      <c r="C17072" s="35">
        <v>0</v>
      </c>
      <c r="D17072" s="2">
        <f t="shared" si="266"/>
        <v>1</v>
      </c>
    </row>
    <row r="17073" spans="1:4" x14ac:dyDescent="0.3">
      <c r="A17073" s="34">
        <v>80138</v>
      </c>
      <c r="B17073" s="35">
        <v>1</v>
      </c>
      <c r="C17073" s="35">
        <v>0</v>
      </c>
      <c r="D17073" s="2">
        <f t="shared" si="266"/>
        <v>1</v>
      </c>
    </row>
    <row r="17074" spans="1:4" x14ac:dyDescent="0.3">
      <c r="A17074" s="34">
        <v>80139</v>
      </c>
      <c r="B17074" s="35">
        <v>1</v>
      </c>
      <c r="C17074" s="35">
        <v>0</v>
      </c>
      <c r="D17074" s="2">
        <f t="shared" si="266"/>
        <v>1</v>
      </c>
    </row>
    <row r="17075" spans="1:4" x14ac:dyDescent="0.3">
      <c r="A17075" s="34">
        <v>80140</v>
      </c>
      <c r="B17075" s="35">
        <v>2</v>
      </c>
      <c r="C17075" s="35">
        <v>1</v>
      </c>
      <c r="D17075" s="2">
        <f t="shared" si="266"/>
        <v>3</v>
      </c>
    </row>
    <row r="17076" spans="1:4" x14ac:dyDescent="0.3">
      <c r="A17076" s="34">
        <v>80141</v>
      </c>
      <c r="B17076" s="35">
        <v>1</v>
      </c>
      <c r="C17076" s="35">
        <v>0</v>
      </c>
      <c r="D17076" s="2">
        <f t="shared" si="266"/>
        <v>1</v>
      </c>
    </row>
    <row r="17077" spans="1:4" x14ac:dyDescent="0.3">
      <c r="A17077" s="34">
        <v>80142</v>
      </c>
      <c r="B17077" s="35">
        <v>2</v>
      </c>
      <c r="C17077" s="35">
        <v>1</v>
      </c>
      <c r="D17077" s="2">
        <f t="shared" si="266"/>
        <v>3</v>
      </c>
    </row>
    <row r="17078" spans="1:4" x14ac:dyDescent="0.3">
      <c r="A17078" s="34">
        <v>80143</v>
      </c>
      <c r="B17078" s="35">
        <v>1</v>
      </c>
      <c r="C17078" s="35">
        <v>0</v>
      </c>
      <c r="D17078" s="2">
        <f t="shared" si="266"/>
        <v>1</v>
      </c>
    </row>
    <row r="17079" spans="1:4" x14ac:dyDescent="0.3">
      <c r="A17079" s="34">
        <v>80144</v>
      </c>
      <c r="B17079" s="35">
        <v>1</v>
      </c>
      <c r="C17079" s="35">
        <v>0</v>
      </c>
      <c r="D17079" s="2">
        <f t="shared" si="266"/>
        <v>1</v>
      </c>
    </row>
    <row r="17080" spans="1:4" x14ac:dyDescent="0.3">
      <c r="A17080" s="34">
        <v>80145</v>
      </c>
      <c r="B17080" s="35">
        <v>2</v>
      </c>
      <c r="C17080" s="35">
        <v>1</v>
      </c>
      <c r="D17080" s="2">
        <f t="shared" si="266"/>
        <v>3</v>
      </c>
    </row>
    <row r="17081" spans="1:4" x14ac:dyDescent="0.3">
      <c r="A17081" s="34">
        <v>80146</v>
      </c>
      <c r="B17081" s="35">
        <v>1</v>
      </c>
      <c r="C17081" s="35">
        <v>0</v>
      </c>
      <c r="D17081" s="2">
        <f t="shared" si="266"/>
        <v>1</v>
      </c>
    </row>
    <row r="17082" spans="1:4" x14ac:dyDescent="0.3">
      <c r="A17082" s="34">
        <v>80147</v>
      </c>
      <c r="B17082" s="35">
        <v>1</v>
      </c>
      <c r="C17082" s="35">
        <v>0</v>
      </c>
      <c r="D17082" s="2">
        <f t="shared" si="266"/>
        <v>1</v>
      </c>
    </row>
    <row r="17083" spans="1:4" x14ac:dyDescent="0.3">
      <c r="A17083" s="34">
        <v>80148</v>
      </c>
      <c r="B17083" s="35">
        <v>1</v>
      </c>
      <c r="C17083" s="35">
        <v>0</v>
      </c>
      <c r="D17083" s="2">
        <f t="shared" si="266"/>
        <v>1</v>
      </c>
    </row>
    <row r="17084" spans="1:4" x14ac:dyDescent="0.3">
      <c r="A17084" s="34">
        <v>80149</v>
      </c>
      <c r="B17084" s="35">
        <v>1</v>
      </c>
      <c r="C17084" s="35">
        <v>0</v>
      </c>
      <c r="D17084" s="2">
        <f t="shared" si="266"/>
        <v>1</v>
      </c>
    </row>
    <row r="17085" spans="1:4" x14ac:dyDescent="0.3">
      <c r="A17085" s="34">
        <v>80150</v>
      </c>
      <c r="B17085" s="35">
        <v>1</v>
      </c>
      <c r="C17085" s="35">
        <v>0</v>
      </c>
      <c r="D17085" s="2">
        <f t="shared" si="266"/>
        <v>1</v>
      </c>
    </row>
    <row r="17086" spans="1:4" x14ac:dyDescent="0.3">
      <c r="A17086" s="34">
        <v>80151</v>
      </c>
      <c r="B17086" s="35">
        <v>1</v>
      </c>
      <c r="C17086" s="35">
        <v>0</v>
      </c>
      <c r="D17086" s="2">
        <f t="shared" si="266"/>
        <v>1</v>
      </c>
    </row>
    <row r="17087" spans="1:4" x14ac:dyDescent="0.3">
      <c r="A17087" s="34">
        <v>80152</v>
      </c>
      <c r="B17087" s="35">
        <v>1</v>
      </c>
      <c r="C17087" s="35">
        <v>0</v>
      </c>
      <c r="D17087" s="2">
        <f t="shared" si="266"/>
        <v>1</v>
      </c>
    </row>
    <row r="17088" spans="1:4" x14ac:dyDescent="0.3">
      <c r="A17088" s="34">
        <v>80153</v>
      </c>
      <c r="B17088" s="35">
        <v>1</v>
      </c>
      <c r="C17088" s="35">
        <v>0</v>
      </c>
      <c r="D17088" s="2">
        <f t="shared" si="266"/>
        <v>1</v>
      </c>
    </row>
    <row r="17089" spans="1:4" x14ac:dyDescent="0.3">
      <c r="A17089" s="34">
        <v>80154</v>
      </c>
      <c r="B17089" s="35">
        <v>1</v>
      </c>
      <c r="C17089" s="35">
        <v>0</v>
      </c>
      <c r="D17089" s="2">
        <f t="shared" si="266"/>
        <v>1</v>
      </c>
    </row>
    <row r="17090" spans="1:4" x14ac:dyDescent="0.3">
      <c r="A17090" s="34">
        <v>80155</v>
      </c>
      <c r="B17090" s="35">
        <v>1</v>
      </c>
      <c r="C17090" s="35">
        <v>0</v>
      </c>
      <c r="D17090" s="2">
        <f t="shared" si="266"/>
        <v>1</v>
      </c>
    </row>
    <row r="17091" spans="1:4" x14ac:dyDescent="0.3">
      <c r="A17091" s="34">
        <v>80156</v>
      </c>
      <c r="B17091" s="35">
        <v>1</v>
      </c>
      <c r="C17091" s="35">
        <v>0</v>
      </c>
      <c r="D17091" s="2">
        <f t="shared" ref="D17091:D17154" si="267">B17091+C17091</f>
        <v>1</v>
      </c>
    </row>
    <row r="17092" spans="1:4" x14ac:dyDescent="0.3">
      <c r="A17092" s="34">
        <v>80157</v>
      </c>
      <c r="B17092" s="35">
        <v>1</v>
      </c>
      <c r="C17092" s="35">
        <v>0</v>
      </c>
      <c r="D17092" s="2">
        <f t="shared" si="267"/>
        <v>1</v>
      </c>
    </row>
    <row r="17093" spans="1:4" x14ac:dyDescent="0.3">
      <c r="A17093" s="34">
        <v>80158</v>
      </c>
      <c r="B17093" s="35">
        <v>2</v>
      </c>
      <c r="C17093" s="35">
        <v>1</v>
      </c>
      <c r="D17093" s="2">
        <f t="shared" si="267"/>
        <v>3</v>
      </c>
    </row>
    <row r="17094" spans="1:4" x14ac:dyDescent="0.3">
      <c r="A17094" s="34">
        <v>80159</v>
      </c>
      <c r="B17094" s="35">
        <v>1</v>
      </c>
      <c r="C17094" s="35">
        <v>0</v>
      </c>
      <c r="D17094" s="2">
        <f t="shared" si="267"/>
        <v>1</v>
      </c>
    </row>
    <row r="17095" spans="1:4" x14ac:dyDescent="0.3">
      <c r="A17095" s="34">
        <v>80160</v>
      </c>
      <c r="B17095" s="35">
        <v>2</v>
      </c>
      <c r="C17095" s="35">
        <v>1</v>
      </c>
      <c r="D17095" s="2">
        <f t="shared" si="267"/>
        <v>3</v>
      </c>
    </row>
    <row r="17096" spans="1:4" x14ac:dyDescent="0.3">
      <c r="A17096" s="34">
        <v>80161</v>
      </c>
      <c r="B17096" s="35">
        <v>1</v>
      </c>
      <c r="C17096" s="35">
        <v>0</v>
      </c>
      <c r="D17096" s="2">
        <f t="shared" si="267"/>
        <v>1</v>
      </c>
    </row>
    <row r="17097" spans="1:4" x14ac:dyDescent="0.3">
      <c r="A17097" s="34">
        <v>80162</v>
      </c>
      <c r="B17097" s="35">
        <v>1</v>
      </c>
      <c r="C17097" s="35">
        <v>0</v>
      </c>
      <c r="D17097" s="2">
        <f t="shared" si="267"/>
        <v>1</v>
      </c>
    </row>
    <row r="17098" spans="1:4" x14ac:dyDescent="0.3">
      <c r="A17098" s="34">
        <v>80163</v>
      </c>
      <c r="B17098" s="35">
        <v>1</v>
      </c>
      <c r="C17098" s="35">
        <v>0</v>
      </c>
      <c r="D17098" s="2">
        <f t="shared" si="267"/>
        <v>1</v>
      </c>
    </row>
    <row r="17099" spans="1:4" x14ac:dyDescent="0.3">
      <c r="A17099" s="34">
        <v>80164</v>
      </c>
      <c r="B17099" s="35">
        <v>1</v>
      </c>
      <c r="C17099" s="35">
        <v>0</v>
      </c>
      <c r="D17099" s="2">
        <f t="shared" si="267"/>
        <v>1</v>
      </c>
    </row>
    <row r="17100" spans="1:4" x14ac:dyDescent="0.3">
      <c r="A17100" s="34">
        <v>80165</v>
      </c>
      <c r="B17100" s="35">
        <v>1</v>
      </c>
      <c r="C17100" s="35">
        <v>0</v>
      </c>
      <c r="D17100" s="2">
        <f t="shared" si="267"/>
        <v>1</v>
      </c>
    </row>
    <row r="17101" spans="1:4" x14ac:dyDescent="0.3">
      <c r="A17101" s="34">
        <v>80166</v>
      </c>
      <c r="B17101" s="35">
        <v>1</v>
      </c>
      <c r="C17101" s="35">
        <v>0</v>
      </c>
      <c r="D17101" s="2">
        <f t="shared" si="267"/>
        <v>1</v>
      </c>
    </row>
    <row r="17102" spans="1:4" x14ac:dyDescent="0.3">
      <c r="A17102" s="34">
        <v>80167</v>
      </c>
      <c r="B17102" s="35">
        <v>1</v>
      </c>
      <c r="C17102" s="35">
        <v>0</v>
      </c>
      <c r="D17102" s="2">
        <f t="shared" si="267"/>
        <v>1</v>
      </c>
    </row>
    <row r="17103" spans="1:4" x14ac:dyDescent="0.3">
      <c r="A17103" s="34">
        <v>80168</v>
      </c>
      <c r="B17103" s="35">
        <v>1</v>
      </c>
      <c r="C17103" s="35">
        <v>0</v>
      </c>
      <c r="D17103" s="2">
        <f t="shared" si="267"/>
        <v>1</v>
      </c>
    </row>
    <row r="17104" spans="1:4" x14ac:dyDescent="0.3">
      <c r="A17104" s="34">
        <v>80169</v>
      </c>
      <c r="B17104" s="35">
        <v>1</v>
      </c>
      <c r="C17104" s="35">
        <v>0</v>
      </c>
      <c r="D17104" s="2">
        <f t="shared" si="267"/>
        <v>1</v>
      </c>
    </row>
    <row r="17105" spans="1:4" x14ac:dyDescent="0.3">
      <c r="A17105" s="34">
        <v>80170</v>
      </c>
      <c r="B17105" s="35">
        <v>1</v>
      </c>
      <c r="C17105" s="35">
        <v>0</v>
      </c>
      <c r="D17105" s="2">
        <f t="shared" si="267"/>
        <v>1</v>
      </c>
    </row>
    <row r="17106" spans="1:4" x14ac:dyDescent="0.3">
      <c r="A17106" s="34">
        <v>80171</v>
      </c>
      <c r="B17106" s="35">
        <v>1</v>
      </c>
      <c r="C17106" s="35">
        <v>0</v>
      </c>
      <c r="D17106" s="2">
        <f t="shared" si="267"/>
        <v>1</v>
      </c>
    </row>
    <row r="17107" spans="1:4" x14ac:dyDescent="0.3">
      <c r="A17107" s="34">
        <v>80172</v>
      </c>
      <c r="B17107" s="35">
        <v>1</v>
      </c>
      <c r="C17107" s="35">
        <v>0</v>
      </c>
      <c r="D17107" s="2">
        <f t="shared" si="267"/>
        <v>1</v>
      </c>
    </row>
    <row r="17108" spans="1:4" x14ac:dyDescent="0.3">
      <c r="A17108" s="34">
        <v>80173</v>
      </c>
      <c r="B17108" s="35">
        <v>1</v>
      </c>
      <c r="C17108" s="35">
        <v>0</v>
      </c>
      <c r="D17108" s="2">
        <f t="shared" si="267"/>
        <v>1</v>
      </c>
    </row>
    <row r="17109" spans="1:4" x14ac:dyDescent="0.3">
      <c r="A17109" s="34">
        <v>80174</v>
      </c>
      <c r="B17109" s="35">
        <v>2</v>
      </c>
      <c r="C17109" s="35">
        <v>1</v>
      </c>
      <c r="D17109" s="2">
        <f t="shared" si="267"/>
        <v>3</v>
      </c>
    </row>
    <row r="17110" spans="1:4" x14ac:dyDescent="0.3">
      <c r="A17110" s="34">
        <v>80175</v>
      </c>
      <c r="B17110" s="35">
        <v>1</v>
      </c>
      <c r="C17110" s="35">
        <v>0</v>
      </c>
      <c r="D17110" s="2">
        <f t="shared" si="267"/>
        <v>1</v>
      </c>
    </row>
    <row r="17111" spans="1:4" x14ac:dyDescent="0.3">
      <c r="A17111" s="34">
        <v>80176</v>
      </c>
      <c r="B17111" s="35">
        <v>1</v>
      </c>
      <c r="C17111" s="35">
        <v>0</v>
      </c>
      <c r="D17111" s="2">
        <f t="shared" si="267"/>
        <v>1</v>
      </c>
    </row>
    <row r="17112" spans="1:4" x14ac:dyDescent="0.3">
      <c r="A17112" s="34">
        <v>80177</v>
      </c>
      <c r="B17112" s="35">
        <v>1</v>
      </c>
      <c r="C17112" s="35">
        <v>0</v>
      </c>
      <c r="D17112" s="2">
        <f t="shared" si="267"/>
        <v>1</v>
      </c>
    </row>
    <row r="17113" spans="1:4" x14ac:dyDescent="0.3">
      <c r="A17113" s="34">
        <v>80178</v>
      </c>
      <c r="B17113" s="35">
        <v>1</v>
      </c>
      <c r="C17113" s="35">
        <v>0</v>
      </c>
      <c r="D17113" s="2">
        <f t="shared" si="267"/>
        <v>1</v>
      </c>
    </row>
    <row r="17114" spans="1:4" x14ac:dyDescent="0.3">
      <c r="A17114" s="34">
        <v>80179</v>
      </c>
      <c r="B17114" s="35">
        <v>1</v>
      </c>
      <c r="C17114" s="35">
        <v>0</v>
      </c>
      <c r="D17114" s="2">
        <f t="shared" si="267"/>
        <v>1</v>
      </c>
    </row>
    <row r="17115" spans="1:4" x14ac:dyDescent="0.3">
      <c r="A17115" s="34">
        <v>80180</v>
      </c>
      <c r="B17115" s="35">
        <v>1</v>
      </c>
      <c r="C17115" s="35">
        <v>0</v>
      </c>
      <c r="D17115" s="2">
        <f t="shared" si="267"/>
        <v>1</v>
      </c>
    </row>
    <row r="17116" spans="1:4" x14ac:dyDescent="0.3">
      <c r="A17116" s="34">
        <v>80181</v>
      </c>
      <c r="B17116" s="35">
        <v>1</v>
      </c>
      <c r="C17116" s="35">
        <v>0</v>
      </c>
      <c r="D17116" s="2">
        <f t="shared" si="267"/>
        <v>1</v>
      </c>
    </row>
    <row r="17117" spans="1:4" x14ac:dyDescent="0.3">
      <c r="A17117" s="34">
        <v>80182</v>
      </c>
      <c r="B17117" s="35">
        <v>1</v>
      </c>
      <c r="C17117" s="35">
        <v>0</v>
      </c>
      <c r="D17117" s="2">
        <f t="shared" si="267"/>
        <v>1</v>
      </c>
    </row>
    <row r="17118" spans="1:4" x14ac:dyDescent="0.3">
      <c r="A17118" s="34">
        <v>80183</v>
      </c>
      <c r="B17118" s="35">
        <v>2</v>
      </c>
      <c r="C17118" s="35">
        <v>1</v>
      </c>
      <c r="D17118" s="2">
        <f t="shared" si="267"/>
        <v>3</v>
      </c>
    </row>
    <row r="17119" spans="1:4" x14ac:dyDescent="0.3">
      <c r="A17119" s="34">
        <v>80184</v>
      </c>
      <c r="B17119" s="35">
        <v>1</v>
      </c>
      <c r="C17119" s="35">
        <v>0</v>
      </c>
      <c r="D17119" s="2">
        <f t="shared" si="267"/>
        <v>1</v>
      </c>
    </row>
    <row r="17120" spans="1:4" x14ac:dyDescent="0.3">
      <c r="A17120" s="34">
        <v>80185</v>
      </c>
      <c r="B17120" s="35">
        <v>1</v>
      </c>
      <c r="C17120" s="35">
        <v>0</v>
      </c>
      <c r="D17120" s="2">
        <f t="shared" si="267"/>
        <v>1</v>
      </c>
    </row>
    <row r="17121" spans="1:4" x14ac:dyDescent="0.3">
      <c r="A17121" s="34">
        <v>80186</v>
      </c>
      <c r="B17121" s="35">
        <v>1</v>
      </c>
      <c r="C17121" s="35">
        <v>0</v>
      </c>
      <c r="D17121" s="2">
        <f t="shared" si="267"/>
        <v>1</v>
      </c>
    </row>
    <row r="17122" spans="1:4" x14ac:dyDescent="0.3">
      <c r="A17122" s="34">
        <v>80187</v>
      </c>
      <c r="B17122" s="35">
        <v>1</v>
      </c>
      <c r="C17122" s="35">
        <v>0</v>
      </c>
      <c r="D17122" s="2">
        <f t="shared" si="267"/>
        <v>1</v>
      </c>
    </row>
    <row r="17123" spans="1:4" x14ac:dyDescent="0.3">
      <c r="A17123" s="34">
        <v>80188</v>
      </c>
      <c r="B17123" s="35">
        <v>1</v>
      </c>
      <c r="C17123" s="35">
        <v>0</v>
      </c>
      <c r="D17123" s="2">
        <f t="shared" si="267"/>
        <v>1</v>
      </c>
    </row>
    <row r="17124" spans="1:4" x14ac:dyDescent="0.3">
      <c r="A17124" s="34">
        <v>80189</v>
      </c>
      <c r="B17124" s="35">
        <v>1</v>
      </c>
      <c r="C17124" s="35">
        <v>0</v>
      </c>
      <c r="D17124" s="2">
        <f t="shared" si="267"/>
        <v>1</v>
      </c>
    </row>
    <row r="17125" spans="1:4" x14ac:dyDescent="0.3">
      <c r="A17125" s="34">
        <v>80191</v>
      </c>
      <c r="B17125" s="35">
        <v>1</v>
      </c>
      <c r="C17125" s="35">
        <v>0</v>
      </c>
      <c r="D17125" s="2">
        <f t="shared" si="267"/>
        <v>1</v>
      </c>
    </row>
    <row r="17126" spans="1:4" x14ac:dyDescent="0.3">
      <c r="A17126" s="34">
        <v>80192</v>
      </c>
      <c r="B17126" s="35">
        <v>1</v>
      </c>
      <c r="C17126" s="35">
        <v>0</v>
      </c>
      <c r="D17126" s="2">
        <f t="shared" si="267"/>
        <v>1</v>
      </c>
    </row>
    <row r="17127" spans="1:4" x14ac:dyDescent="0.3">
      <c r="A17127" s="34">
        <v>80193</v>
      </c>
      <c r="B17127" s="35">
        <v>1</v>
      </c>
      <c r="C17127" s="35">
        <v>0</v>
      </c>
      <c r="D17127" s="2">
        <f t="shared" si="267"/>
        <v>1</v>
      </c>
    </row>
    <row r="17128" spans="1:4" x14ac:dyDescent="0.3">
      <c r="A17128" s="34">
        <v>80194</v>
      </c>
      <c r="B17128" s="35">
        <v>1</v>
      </c>
      <c r="C17128" s="35">
        <v>0</v>
      </c>
      <c r="D17128" s="2">
        <f t="shared" si="267"/>
        <v>1</v>
      </c>
    </row>
    <row r="17129" spans="1:4" x14ac:dyDescent="0.3">
      <c r="A17129" s="34">
        <v>80195</v>
      </c>
      <c r="B17129" s="35">
        <v>1</v>
      </c>
      <c r="C17129" s="35">
        <v>0</v>
      </c>
      <c r="D17129" s="2">
        <f t="shared" si="267"/>
        <v>1</v>
      </c>
    </row>
    <row r="17130" spans="1:4" x14ac:dyDescent="0.3">
      <c r="A17130" s="34">
        <v>80196</v>
      </c>
      <c r="B17130" s="35">
        <v>1</v>
      </c>
      <c r="C17130" s="35">
        <v>0</v>
      </c>
      <c r="D17130" s="2">
        <f t="shared" si="267"/>
        <v>1</v>
      </c>
    </row>
    <row r="17131" spans="1:4" x14ac:dyDescent="0.3">
      <c r="A17131" s="34">
        <v>80197</v>
      </c>
      <c r="B17131" s="35">
        <v>1</v>
      </c>
      <c r="C17131" s="35">
        <v>0</v>
      </c>
      <c r="D17131" s="2">
        <f t="shared" si="267"/>
        <v>1</v>
      </c>
    </row>
    <row r="17132" spans="1:4" x14ac:dyDescent="0.3">
      <c r="A17132" s="34">
        <v>80198</v>
      </c>
      <c r="B17132" s="35">
        <v>1</v>
      </c>
      <c r="C17132" s="35">
        <v>0</v>
      </c>
      <c r="D17132" s="2">
        <f t="shared" si="267"/>
        <v>1</v>
      </c>
    </row>
    <row r="17133" spans="1:4" x14ac:dyDescent="0.3">
      <c r="A17133" s="34">
        <v>80199</v>
      </c>
      <c r="B17133" s="35">
        <v>1</v>
      </c>
      <c r="C17133" s="35">
        <v>0</v>
      </c>
      <c r="D17133" s="2">
        <f t="shared" si="267"/>
        <v>1</v>
      </c>
    </row>
    <row r="17134" spans="1:4" x14ac:dyDescent="0.3">
      <c r="A17134" s="34">
        <v>80200</v>
      </c>
      <c r="B17134" s="35">
        <v>1</v>
      </c>
      <c r="C17134" s="35">
        <v>0</v>
      </c>
      <c r="D17134" s="2">
        <f t="shared" si="267"/>
        <v>1</v>
      </c>
    </row>
    <row r="17135" spans="1:4" x14ac:dyDescent="0.3">
      <c r="A17135" s="34">
        <v>80201</v>
      </c>
      <c r="B17135" s="35">
        <v>2</v>
      </c>
      <c r="C17135" s="35">
        <v>1</v>
      </c>
      <c r="D17135" s="2">
        <f t="shared" si="267"/>
        <v>3</v>
      </c>
    </row>
    <row r="17136" spans="1:4" x14ac:dyDescent="0.3">
      <c r="A17136" s="34">
        <v>80202</v>
      </c>
      <c r="B17136" s="35">
        <v>1</v>
      </c>
      <c r="C17136" s="35">
        <v>0</v>
      </c>
      <c r="D17136" s="2">
        <f t="shared" si="267"/>
        <v>1</v>
      </c>
    </row>
    <row r="17137" spans="1:4" x14ac:dyDescent="0.3">
      <c r="A17137" s="34">
        <v>80233</v>
      </c>
      <c r="B17137" s="35">
        <v>1</v>
      </c>
      <c r="C17137" s="35">
        <v>0</v>
      </c>
      <c r="D17137" s="2">
        <f t="shared" si="267"/>
        <v>1</v>
      </c>
    </row>
    <row r="17138" spans="1:4" x14ac:dyDescent="0.3">
      <c r="A17138" s="34">
        <v>80234</v>
      </c>
      <c r="B17138" s="35">
        <v>1</v>
      </c>
      <c r="C17138" s="35">
        <v>0</v>
      </c>
      <c r="D17138" s="2">
        <f t="shared" si="267"/>
        <v>1</v>
      </c>
    </row>
    <row r="17139" spans="1:4" x14ac:dyDescent="0.3">
      <c r="A17139" s="34">
        <v>80235</v>
      </c>
      <c r="B17139" s="35">
        <v>1</v>
      </c>
      <c r="C17139" s="35">
        <v>0</v>
      </c>
      <c r="D17139" s="2">
        <f t="shared" si="267"/>
        <v>1</v>
      </c>
    </row>
    <row r="17140" spans="1:4" x14ac:dyDescent="0.3">
      <c r="A17140" s="34">
        <v>80236</v>
      </c>
      <c r="B17140" s="35">
        <v>1</v>
      </c>
      <c r="C17140" s="35">
        <v>0</v>
      </c>
      <c r="D17140" s="2">
        <f t="shared" si="267"/>
        <v>1</v>
      </c>
    </row>
    <row r="17141" spans="1:4" x14ac:dyDescent="0.3">
      <c r="A17141" s="34">
        <v>80237</v>
      </c>
      <c r="B17141" s="35">
        <v>1</v>
      </c>
      <c r="C17141" s="35">
        <v>0</v>
      </c>
      <c r="D17141" s="2">
        <f t="shared" si="267"/>
        <v>1</v>
      </c>
    </row>
    <row r="17142" spans="1:4" x14ac:dyDescent="0.3">
      <c r="A17142" s="34">
        <v>80238</v>
      </c>
      <c r="B17142" s="35">
        <v>1</v>
      </c>
      <c r="C17142" s="35">
        <v>0</v>
      </c>
      <c r="D17142" s="2">
        <f t="shared" si="267"/>
        <v>1</v>
      </c>
    </row>
    <row r="17143" spans="1:4" x14ac:dyDescent="0.3">
      <c r="A17143" s="34">
        <v>80239</v>
      </c>
      <c r="B17143" s="35">
        <v>1</v>
      </c>
      <c r="C17143" s="35">
        <v>0</v>
      </c>
      <c r="D17143" s="2">
        <f t="shared" si="267"/>
        <v>1</v>
      </c>
    </row>
    <row r="17144" spans="1:4" x14ac:dyDescent="0.3">
      <c r="A17144" s="34">
        <v>80240</v>
      </c>
      <c r="B17144" s="35">
        <v>1</v>
      </c>
      <c r="C17144" s="35">
        <v>0</v>
      </c>
      <c r="D17144" s="2">
        <f t="shared" si="267"/>
        <v>1</v>
      </c>
    </row>
    <row r="17145" spans="1:4" x14ac:dyDescent="0.3">
      <c r="A17145" s="34">
        <v>80241</v>
      </c>
      <c r="B17145" s="35">
        <v>2</v>
      </c>
      <c r="C17145" s="35">
        <v>1</v>
      </c>
      <c r="D17145" s="2">
        <f t="shared" si="267"/>
        <v>3</v>
      </c>
    </row>
    <row r="17146" spans="1:4" x14ac:dyDescent="0.3">
      <c r="A17146" s="34">
        <v>80242</v>
      </c>
      <c r="B17146" s="35">
        <v>2</v>
      </c>
      <c r="C17146" s="35">
        <v>1</v>
      </c>
      <c r="D17146" s="2">
        <f t="shared" si="267"/>
        <v>3</v>
      </c>
    </row>
    <row r="17147" spans="1:4" x14ac:dyDescent="0.3">
      <c r="A17147" s="34">
        <v>80244</v>
      </c>
      <c r="B17147" s="35">
        <v>2</v>
      </c>
      <c r="C17147" s="35">
        <v>1</v>
      </c>
      <c r="D17147" s="2">
        <f t="shared" si="267"/>
        <v>3</v>
      </c>
    </row>
    <row r="17148" spans="1:4" x14ac:dyDescent="0.3">
      <c r="A17148" s="34">
        <v>80245</v>
      </c>
      <c r="B17148" s="35">
        <v>2</v>
      </c>
      <c r="C17148" s="35">
        <v>1</v>
      </c>
      <c r="D17148" s="2">
        <f t="shared" si="267"/>
        <v>3</v>
      </c>
    </row>
    <row r="17149" spans="1:4" x14ac:dyDescent="0.3">
      <c r="A17149" s="34">
        <v>80246</v>
      </c>
      <c r="B17149" s="35">
        <v>1</v>
      </c>
      <c r="C17149" s="35">
        <v>0</v>
      </c>
      <c r="D17149" s="2">
        <f t="shared" si="267"/>
        <v>1</v>
      </c>
    </row>
    <row r="17150" spans="1:4" x14ac:dyDescent="0.3">
      <c r="A17150" s="34">
        <v>80247</v>
      </c>
      <c r="B17150" s="35">
        <v>1</v>
      </c>
      <c r="C17150" s="35">
        <v>0</v>
      </c>
      <c r="D17150" s="2">
        <f t="shared" si="267"/>
        <v>1</v>
      </c>
    </row>
    <row r="17151" spans="1:4" x14ac:dyDescent="0.3">
      <c r="A17151" s="34">
        <v>80248</v>
      </c>
      <c r="B17151" s="35">
        <v>1</v>
      </c>
      <c r="C17151" s="35">
        <v>0</v>
      </c>
      <c r="D17151" s="2">
        <f t="shared" si="267"/>
        <v>1</v>
      </c>
    </row>
    <row r="17152" spans="1:4" x14ac:dyDescent="0.3">
      <c r="A17152" s="34">
        <v>80249</v>
      </c>
      <c r="B17152" s="35">
        <v>1</v>
      </c>
      <c r="C17152" s="35">
        <v>0</v>
      </c>
      <c r="D17152" s="2">
        <f t="shared" si="267"/>
        <v>1</v>
      </c>
    </row>
    <row r="17153" spans="1:4" x14ac:dyDescent="0.3">
      <c r="A17153" s="34">
        <v>80251</v>
      </c>
      <c r="B17153" s="35">
        <v>1</v>
      </c>
      <c r="C17153" s="35">
        <v>0</v>
      </c>
      <c r="D17153" s="2">
        <f t="shared" si="267"/>
        <v>1</v>
      </c>
    </row>
    <row r="17154" spans="1:4" x14ac:dyDescent="0.3">
      <c r="A17154" s="34">
        <v>80252</v>
      </c>
      <c r="B17154" s="35">
        <v>1</v>
      </c>
      <c r="C17154" s="35">
        <v>0</v>
      </c>
      <c r="D17154" s="2">
        <f t="shared" si="267"/>
        <v>1</v>
      </c>
    </row>
    <row r="17155" spans="1:4" x14ac:dyDescent="0.3">
      <c r="A17155" s="34">
        <v>80253</v>
      </c>
      <c r="B17155" s="35">
        <v>1</v>
      </c>
      <c r="C17155" s="35">
        <v>0</v>
      </c>
      <c r="D17155" s="2">
        <f t="shared" ref="D17155:D17218" si="268">B17155+C17155</f>
        <v>1</v>
      </c>
    </row>
    <row r="17156" spans="1:4" x14ac:dyDescent="0.3">
      <c r="A17156" s="34">
        <v>80254</v>
      </c>
      <c r="B17156" s="35">
        <v>1</v>
      </c>
      <c r="C17156" s="35">
        <v>0</v>
      </c>
      <c r="D17156" s="2">
        <f t="shared" si="268"/>
        <v>1</v>
      </c>
    </row>
    <row r="17157" spans="1:4" x14ac:dyDescent="0.3">
      <c r="A17157" s="34">
        <v>80255</v>
      </c>
      <c r="B17157" s="35">
        <v>1</v>
      </c>
      <c r="C17157" s="35">
        <v>0</v>
      </c>
      <c r="D17157" s="2">
        <f t="shared" si="268"/>
        <v>1</v>
      </c>
    </row>
    <row r="17158" spans="1:4" x14ac:dyDescent="0.3">
      <c r="A17158" s="34">
        <v>80256</v>
      </c>
      <c r="B17158" s="35">
        <v>1</v>
      </c>
      <c r="C17158" s="35">
        <v>0</v>
      </c>
      <c r="D17158" s="2">
        <f t="shared" si="268"/>
        <v>1</v>
      </c>
    </row>
    <row r="17159" spans="1:4" x14ac:dyDescent="0.3">
      <c r="A17159" s="34">
        <v>80257</v>
      </c>
      <c r="B17159" s="35">
        <v>1</v>
      </c>
      <c r="C17159" s="35">
        <v>0</v>
      </c>
      <c r="D17159" s="2">
        <f t="shared" si="268"/>
        <v>1</v>
      </c>
    </row>
    <row r="17160" spans="1:4" x14ac:dyDescent="0.3">
      <c r="A17160" s="34">
        <v>80258</v>
      </c>
      <c r="B17160" s="35">
        <v>1</v>
      </c>
      <c r="C17160" s="35">
        <v>0</v>
      </c>
      <c r="D17160" s="2">
        <f t="shared" si="268"/>
        <v>1</v>
      </c>
    </row>
    <row r="17161" spans="1:4" x14ac:dyDescent="0.3">
      <c r="A17161" s="34">
        <v>80259</v>
      </c>
      <c r="B17161" s="35">
        <v>1</v>
      </c>
      <c r="C17161" s="35">
        <v>0</v>
      </c>
      <c r="D17161" s="2">
        <f t="shared" si="268"/>
        <v>1</v>
      </c>
    </row>
    <row r="17162" spans="1:4" x14ac:dyDescent="0.3">
      <c r="A17162" s="34">
        <v>80260</v>
      </c>
      <c r="B17162" s="35">
        <v>1</v>
      </c>
      <c r="C17162" s="35">
        <v>0</v>
      </c>
      <c r="D17162" s="2">
        <f t="shared" si="268"/>
        <v>1</v>
      </c>
    </row>
    <row r="17163" spans="1:4" x14ac:dyDescent="0.3">
      <c r="A17163" s="34">
        <v>80261</v>
      </c>
      <c r="B17163" s="35">
        <v>1</v>
      </c>
      <c r="C17163" s="35">
        <v>0</v>
      </c>
      <c r="D17163" s="2">
        <f t="shared" si="268"/>
        <v>1</v>
      </c>
    </row>
    <row r="17164" spans="1:4" x14ac:dyDescent="0.3">
      <c r="A17164" s="34">
        <v>80262</v>
      </c>
      <c r="B17164" s="35">
        <v>1</v>
      </c>
      <c r="C17164" s="35">
        <v>0</v>
      </c>
      <c r="D17164" s="2">
        <f t="shared" si="268"/>
        <v>1</v>
      </c>
    </row>
    <row r="17165" spans="1:4" x14ac:dyDescent="0.3">
      <c r="A17165" s="34">
        <v>80263</v>
      </c>
      <c r="B17165" s="35">
        <v>1</v>
      </c>
      <c r="C17165" s="35">
        <v>0</v>
      </c>
      <c r="D17165" s="2">
        <f t="shared" si="268"/>
        <v>1</v>
      </c>
    </row>
    <row r="17166" spans="1:4" x14ac:dyDescent="0.3">
      <c r="A17166" s="34">
        <v>80264</v>
      </c>
      <c r="B17166" s="35">
        <v>1</v>
      </c>
      <c r="C17166" s="35">
        <v>0</v>
      </c>
      <c r="D17166" s="2">
        <f t="shared" si="268"/>
        <v>1</v>
      </c>
    </row>
    <row r="17167" spans="1:4" x14ac:dyDescent="0.3">
      <c r="A17167" s="34">
        <v>80265</v>
      </c>
      <c r="B17167" s="35">
        <v>1</v>
      </c>
      <c r="C17167" s="35">
        <v>0</v>
      </c>
      <c r="D17167" s="2">
        <f t="shared" si="268"/>
        <v>1</v>
      </c>
    </row>
    <row r="17168" spans="1:4" x14ac:dyDescent="0.3">
      <c r="A17168" s="34">
        <v>80266</v>
      </c>
      <c r="B17168" s="35">
        <v>1</v>
      </c>
      <c r="C17168" s="35">
        <v>0</v>
      </c>
      <c r="D17168" s="2">
        <f t="shared" si="268"/>
        <v>1</v>
      </c>
    </row>
    <row r="17169" spans="1:4" x14ac:dyDescent="0.3">
      <c r="A17169" s="34">
        <v>80267</v>
      </c>
      <c r="B17169" s="35">
        <v>1</v>
      </c>
      <c r="C17169" s="35">
        <v>0</v>
      </c>
      <c r="D17169" s="2">
        <f t="shared" si="268"/>
        <v>1</v>
      </c>
    </row>
    <row r="17170" spans="1:4" x14ac:dyDescent="0.3">
      <c r="A17170" s="34">
        <v>80268</v>
      </c>
      <c r="B17170" s="35">
        <v>1</v>
      </c>
      <c r="C17170" s="35">
        <v>0</v>
      </c>
      <c r="D17170" s="2">
        <f t="shared" si="268"/>
        <v>1</v>
      </c>
    </row>
    <row r="17171" spans="1:4" x14ac:dyDescent="0.3">
      <c r="A17171" s="34">
        <v>80269</v>
      </c>
      <c r="B17171" s="35">
        <v>1</v>
      </c>
      <c r="C17171" s="35">
        <v>0</v>
      </c>
      <c r="D17171" s="2">
        <f t="shared" si="268"/>
        <v>1</v>
      </c>
    </row>
    <row r="17172" spans="1:4" x14ac:dyDescent="0.3">
      <c r="A17172" s="34">
        <v>80270</v>
      </c>
      <c r="B17172" s="35">
        <v>1</v>
      </c>
      <c r="C17172" s="35">
        <v>0</v>
      </c>
      <c r="D17172" s="2">
        <f t="shared" si="268"/>
        <v>1</v>
      </c>
    </row>
    <row r="17173" spans="1:4" x14ac:dyDescent="0.3">
      <c r="A17173" s="34">
        <v>80271</v>
      </c>
      <c r="B17173" s="35">
        <v>1</v>
      </c>
      <c r="C17173" s="35">
        <v>0</v>
      </c>
      <c r="D17173" s="2">
        <f t="shared" si="268"/>
        <v>1</v>
      </c>
    </row>
    <row r="17174" spans="1:4" x14ac:dyDescent="0.3">
      <c r="A17174" s="34">
        <v>80272</v>
      </c>
      <c r="B17174" s="35">
        <v>1</v>
      </c>
      <c r="C17174" s="35">
        <v>0</v>
      </c>
      <c r="D17174" s="2">
        <f t="shared" si="268"/>
        <v>1</v>
      </c>
    </row>
    <row r="17175" spans="1:4" x14ac:dyDescent="0.3">
      <c r="A17175" s="34">
        <v>80273</v>
      </c>
      <c r="B17175" s="35">
        <v>1</v>
      </c>
      <c r="C17175" s="35">
        <v>0</v>
      </c>
      <c r="D17175" s="2">
        <f t="shared" si="268"/>
        <v>1</v>
      </c>
    </row>
    <row r="17176" spans="1:4" x14ac:dyDescent="0.3">
      <c r="A17176" s="34">
        <v>80274</v>
      </c>
      <c r="B17176" s="35">
        <v>1</v>
      </c>
      <c r="C17176" s="35">
        <v>0</v>
      </c>
      <c r="D17176" s="2">
        <f t="shared" si="268"/>
        <v>1</v>
      </c>
    </row>
    <row r="17177" spans="1:4" x14ac:dyDescent="0.3">
      <c r="A17177" s="34">
        <v>80275</v>
      </c>
      <c r="B17177" s="35">
        <v>1</v>
      </c>
      <c r="C17177" s="35">
        <v>0</v>
      </c>
      <c r="D17177" s="2">
        <f t="shared" si="268"/>
        <v>1</v>
      </c>
    </row>
    <row r="17178" spans="1:4" x14ac:dyDescent="0.3">
      <c r="A17178" s="34">
        <v>80276</v>
      </c>
      <c r="B17178" s="35">
        <v>1</v>
      </c>
      <c r="C17178" s="35">
        <v>0</v>
      </c>
      <c r="D17178" s="2">
        <f t="shared" si="268"/>
        <v>1</v>
      </c>
    </row>
    <row r="17179" spans="1:4" x14ac:dyDescent="0.3">
      <c r="A17179" s="34">
        <v>80277</v>
      </c>
      <c r="B17179" s="35">
        <v>1</v>
      </c>
      <c r="C17179" s="35">
        <v>0</v>
      </c>
      <c r="D17179" s="2">
        <f t="shared" si="268"/>
        <v>1</v>
      </c>
    </row>
    <row r="17180" spans="1:4" x14ac:dyDescent="0.3">
      <c r="A17180" s="34">
        <v>80278</v>
      </c>
      <c r="B17180" s="35">
        <v>1</v>
      </c>
      <c r="C17180" s="35">
        <v>0</v>
      </c>
      <c r="D17180" s="2">
        <f t="shared" si="268"/>
        <v>1</v>
      </c>
    </row>
    <row r="17181" spans="1:4" x14ac:dyDescent="0.3">
      <c r="A17181" s="34">
        <v>80279</v>
      </c>
      <c r="B17181" s="35">
        <v>1</v>
      </c>
      <c r="C17181" s="35">
        <v>0</v>
      </c>
      <c r="D17181" s="2">
        <f t="shared" si="268"/>
        <v>1</v>
      </c>
    </row>
    <row r="17182" spans="1:4" x14ac:dyDescent="0.3">
      <c r="A17182" s="34">
        <v>80280</v>
      </c>
      <c r="B17182" s="35">
        <v>1</v>
      </c>
      <c r="C17182" s="35">
        <v>0</v>
      </c>
      <c r="D17182" s="2">
        <f t="shared" si="268"/>
        <v>1</v>
      </c>
    </row>
    <row r="17183" spans="1:4" x14ac:dyDescent="0.3">
      <c r="A17183" s="34">
        <v>80281</v>
      </c>
      <c r="B17183" s="35">
        <v>1</v>
      </c>
      <c r="C17183" s="35">
        <v>0</v>
      </c>
      <c r="D17183" s="2">
        <f t="shared" si="268"/>
        <v>1</v>
      </c>
    </row>
    <row r="17184" spans="1:4" x14ac:dyDescent="0.3">
      <c r="A17184" s="34">
        <v>80282</v>
      </c>
      <c r="B17184" s="35">
        <v>1</v>
      </c>
      <c r="C17184" s="35">
        <v>0</v>
      </c>
      <c r="D17184" s="2">
        <f t="shared" si="268"/>
        <v>1</v>
      </c>
    </row>
    <row r="17185" spans="1:4" x14ac:dyDescent="0.3">
      <c r="A17185" s="34">
        <v>80283</v>
      </c>
      <c r="B17185" s="35">
        <v>1</v>
      </c>
      <c r="C17185" s="35">
        <v>0</v>
      </c>
      <c r="D17185" s="2">
        <f t="shared" si="268"/>
        <v>1</v>
      </c>
    </row>
    <row r="17186" spans="1:4" x14ac:dyDescent="0.3">
      <c r="A17186" s="34">
        <v>80284</v>
      </c>
      <c r="B17186" s="35">
        <v>1</v>
      </c>
      <c r="C17186" s="35">
        <v>0</v>
      </c>
      <c r="D17186" s="2">
        <f t="shared" si="268"/>
        <v>1</v>
      </c>
    </row>
    <row r="17187" spans="1:4" x14ac:dyDescent="0.3">
      <c r="A17187" s="34">
        <v>80285</v>
      </c>
      <c r="B17187" s="35">
        <v>1</v>
      </c>
      <c r="C17187" s="35">
        <v>0</v>
      </c>
      <c r="D17187" s="2">
        <f t="shared" si="268"/>
        <v>1</v>
      </c>
    </row>
    <row r="17188" spans="1:4" x14ac:dyDescent="0.3">
      <c r="A17188" s="34">
        <v>80286</v>
      </c>
      <c r="B17188" s="35">
        <v>1</v>
      </c>
      <c r="C17188" s="35">
        <v>0</v>
      </c>
      <c r="D17188" s="2">
        <f t="shared" si="268"/>
        <v>1</v>
      </c>
    </row>
    <row r="17189" spans="1:4" x14ac:dyDescent="0.3">
      <c r="A17189" s="34">
        <v>80287</v>
      </c>
      <c r="B17189" s="35">
        <v>1</v>
      </c>
      <c r="C17189" s="35">
        <v>0</v>
      </c>
      <c r="D17189" s="2">
        <f t="shared" si="268"/>
        <v>1</v>
      </c>
    </row>
    <row r="17190" spans="1:4" x14ac:dyDescent="0.3">
      <c r="A17190" s="34">
        <v>80288</v>
      </c>
      <c r="B17190" s="35">
        <v>1</v>
      </c>
      <c r="C17190" s="35">
        <v>0</v>
      </c>
      <c r="D17190" s="2">
        <f t="shared" si="268"/>
        <v>1</v>
      </c>
    </row>
    <row r="17191" spans="1:4" x14ac:dyDescent="0.3">
      <c r="A17191" s="34">
        <v>80289</v>
      </c>
      <c r="B17191" s="35">
        <v>1</v>
      </c>
      <c r="C17191" s="35">
        <v>0</v>
      </c>
      <c r="D17191" s="2">
        <f t="shared" si="268"/>
        <v>1</v>
      </c>
    </row>
    <row r="17192" spans="1:4" x14ac:dyDescent="0.3">
      <c r="A17192" s="34">
        <v>80290</v>
      </c>
      <c r="B17192" s="35">
        <v>1</v>
      </c>
      <c r="C17192" s="35">
        <v>0</v>
      </c>
      <c r="D17192" s="2">
        <f t="shared" si="268"/>
        <v>1</v>
      </c>
    </row>
    <row r="17193" spans="1:4" x14ac:dyDescent="0.3">
      <c r="A17193" s="34">
        <v>80291</v>
      </c>
      <c r="B17193" s="35">
        <v>1</v>
      </c>
      <c r="C17193" s="35">
        <v>0</v>
      </c>
      <c r="D17193" s="2">
        <f t="shared" si="268"/>
        <v>1</v>
      </c>
    </row>
    <row r="17194" spans="1:4" x14ac:dyDescent="0.3">
      <c r="A17194" s="34">
        <v>80292</v>
      </c>
      <c r="B17194" s="35">
        <v>1</v>
      </c>
      <c r="C17194" s="35">
        <v>0</v>
      </c>
      <c r="D17194" s="2">
        <f t="shared" si="268"/>
        <v>1</v>
      </c>
    </row>
    <row r="17195" spans="1:4" x14ac:dyDescent="0.3">
      <c r="A17195" s="34">
        <v>80293</v>
      </c>
      <c r="B17195" s="35">
        <v>1</v>
      </c>
      <c r="C17195" s="35">
        <v>0</v>
      </c>
      <c r="D17195" s="2">
        <f t="shared" si="268"/>
        <v>1</v>
      </c>
    </row>
    <row r="17196" spans="1:4" x14ac:dyDescent="0.3">
      <c r="A17196" s="34">
        <v>80294</v>
      </c>
      <c r="B17196" s="35">
        <v>1</v>
      </c>
      <c r="C17196" s="35">
        <v>0</v>
      </c>
      <c r="D17196" s="2">
        <f t="shared" si="268"/>
        <v>1</v>
      </c>
    </row>
    <row r="17197" spans="1:4" x14ac:dyDescent="0.3">
      <c r="A17197" s="34">
        <v>80295</v>
      </c>
      <c r="B17197" s="35">
        <v>1</v>
      </c>
      <c r="C17197" s="35">
        <v>0</v>
      </c>
      <c r="D17197" s="2">
        <f t="shared" si="268"/>
        <v>1</v>
      </c>
    </row>
    <row r="17198" spans="1:4" x14ac:dyDescent="0.3">
      <c r="A17198" s="34">
        <v>80296</v>
      </c>
      <c r="B17198" s="35">
        <v>1</v>
      </c>
      <c r="C17198" s="35">
        <v>0</v>
      </c>
      <c r="D17198" s="2">
        <f t="shared" si="268"/>
        <v>1</v>
      </c>
    </row>
    <row r="17199" spans="1:4" x14ac:dyDescent="0.3">
      <c r="A17199" s="34">
        <v>80297</v>
      </c>
      <c r="B17199" s="35">
        <v>1</v>
      </c>
      <c r="C17199" s="35">
        <v>0</v>
      </c>
      <c r="D17199" s="2">
        <f t="shared" si="268"/>
        <v>1</v>
      </c>
    </row>
    <row r="17200" spans="1:4" x14ac:dyDescent="0.3">
      <c r="A17200" s="34">
        <v>80298</v>
      </c>
      <c r="B17200" s="35">
        <v>1</v>
      </c>
      <c r="C17200" s="35">
        <v>0</v>
      </c>
      <c r="D17200" s="2">
        <f t="shared" si="268"/>
        <v>1</v>
      </c>
    </row>
    <row r="17201" spans="1:4" x14ac:dyDescent="0.3">
      <c r="A17201" s="34">
        <v>80299</v>
      </c>
      <c r="B17201" s="35">
        <v>1</v>
      </c>
      <c r="C17201" s="35">
        <v>0</v>
      </c>
      <c r="D17201" s="2">
        <f t="shared" si="268"/>
        <v>1</v>
      </c>
    </row>
    <row r="17202" spans="1:4" x14ac:dyDescent="0.3">
      <c r="A17202" s="34">
        <v>80300</v>
      </c>
      <c r="B17202" s="35">
        <v>1</v>
      </c>
      <c r="C17202" s="35">
        <v>0</v>
      </c>
      <c r="D17202" s="2">
        <f t="shared" si="268"/>
        <v>1</v>
      </c>
    </row>
    <row r="17203" spans="1:4" x14ac:dyDescent="0.3">
      <c r="A17203" s="34">
        <v>80301</v>
      </c>
      <c r="B17203" s="35">
        <v>1</v>
      </c>
      <c r="C17203" s="35">
        <v>0</v>
      </c>
      <c r="D17203" s="2">
        <f t="shared" si="268"/>
        <v>1</v>
      </c>
    </row>
    <row r="17204" spans="1:4" x14ac:dyDescent="0.3">
      <c r="A17204" s="34">
        <v>80302</v>
      </c>
      <c r="B17204" s="35">
        <v>1</v>
      </c>
      <c r="C17204" s="35">
        <v>0</v>
      </c>
      <c r="D17204" s="2">
        <f t="shared" si="268"/>
        <v>1</v>
      </c>
    </row>
    <row r="17205" spans="1:4" x14ac:dyDescent="0.3">
      <c r="A17205" s="34">
        <v>80304</v>
      </c>
      <c r="B17205" s="35">
        <v>1</v>
      </c>
      <c r="C17205" s="35">
        <v>0</v>
      </c>
      <c r="D17205" s="2">
        <f t="shared" si="268"/>
        <v>1</v>
      </c>
    </row>
    <row r="17206" spans="1:4" x14ac:dyDescent="0.3">
      <c r="A17206" s="34">
        <v>80306</v>
      </c>
      <c r="B17206" s="35">
        <v>2</v>
      </c>
      <c r="C17206" s="35">
        <v>1</v>
      </c>
      <c r="D17206" s="2">
        <f t="shared" si="268"/>
        <v>3</v>
      </c>
    </row>
    <row r="17207" spans="1:4" x14ac:dyDescent="0.3">
      <c r="A17207" s="34">
        <v>80307</v>
      </c>
      <c r="B17207" s="35">
        <v>1</v>
      </c>
      <c r="C17207" s="35">
        <v>0</v>
      </c>
      <c r="D17207" s="2">
        <f t="shared" si="268"/>
        <v>1</v>
      </c>
    </row>
    <row r="17208" spans="1:4" x14ac:dyDescent="0.3">
      <c r="A17208" s="34">
        <v>80308</v>
      </c>
      <c r="B17208" s="35">
        <v>1</v>
      </c>
      <c r="C17208" s="35">
        <v>0</v>
      </c>
      <c r="D17208" s="2">
        <f t="shared" si="268"/>
        <v>1</v>
      </c>
    </row>
    <row r="17209" spans="1:4" x14ac:dyDescent="0.3">
      <c r="A17209" s="34">
        <v>80309</v>
      </c>
      <c r="B17209" s="35">
        <v>1</v>
      </c>
      <c r="C17209" s="35">
        <v>0</v>
      </c>
      <c r="D17209" s="2">
        <f t="shared" si="268"/>
        <v>1</v>
      </c>
    </row>
    <row r="17210" spans="1:4" x14ac:dyDescent="0.3">
      <c r="A17210" s="34">
        <v>80310</v>
      </c>
      <c r="B17210" s="35">
        <v>1</v>
      </c>
      <c r="C17210" s="35">
        <v>0</v>
      </c>
      <c r="D17210" s="2">
        <f t="shared" si="268"/>
        <v>1</v>
      </c>
    </row>
    <row r="17211" spans="1:4" x14ac:dyDescent="0.3">
      <c r="A17211" s="34">
        <v>80311</v>
      </c>
      <c r="B17211" s="35">
        <v>1</v>
      </c>
      <c r="C17211" s="35">
        <v>0</v>
      </c>
      <c r="D17211" s="2">
        <f t="shared" si="268"/>
        <v>1</v>
      </c>
    </row>
    <row r="17212" spans="1:4" x14ac:dyDescent="0.3">
      <c r="A17212" s="34">
        <v>80312</v>
      </c>
      <c r="B17212" s="35">
        <v>1</v>
      </c>
      <c r="C17212" s="35">
        <v>0</v>
      </c>
      <c r="D17212" s="2">
        <f t="shared" si="268"/>
        <v>1</v>
      </c>
    </row>
    <row r="17213" spans="1:4" x14ac:dyDescent="0.3">
      <c r="A17213" s="34">
        <v>80313</v>
      </c>
      <c r="B17213" s="35">
        <v>1</v>
      </c>
      <c r="C17213" s="35">
        <v>0</v>
      </c>
      <c r="D17213" s="2">
        <f t="shared" si="268"/>
        <v>1</v>
      </c>
    </row>
    <row r="17214" spans="1:4" x14ac:dyDescent="0.3">
      <c r="A17214" s="34">
        <v>80314</v>
      </c>
      <c r="B17214" s="35">
        <v>1</v>
      </c>
      <c r="C17214" s="35">
        <v>0</v>
      </c>
      <c r="D17214" s="2">
        <f t="shared" si="268"/>
        <v>1</v>
      </c>
    </row>
    <row r="17215" spans="1:4" x14ac:dyDescent="0.3">
      <c r="A17215" s="34">
        <v>80315</v>
      </c>
      <c r="B17215" s="35">
        <v>1</v>
      </c>
      <c r="C17215" s="35">
        <v>0</v>
      </c>
      <c r="D17215" s="2">
        <f t="shared" si="268"/>
        <v>1</v>
      </c>
    </row>
    <row r="17216" spans="1:4" x14ac:dyDescent="0.3">
      <c r="A17216" s="34">
        <v>80316</v>
      </c>
      <c r="B17216" s="35">
        <v>1</v>
      </c>
      <c r="C17216" s="35">
        <v>0</v>
      </c>
      <c r="D17216" s="2">
        <f t="shared" si="268"/>
        <v>1</v>
      </c>
    </row>
    <row r="17217" spans="1:4" x14ac:dyDescent="0.3">
      <c r="A17217" s="34">
        <v>80317</v>
      </c>
      <c r="B17217" s="35">
        <v>1</v>
      </c>
      <c r="C17217" s="35">
        <v>0</v>
      </c>
      <c r="D17217" s="2">
        <f t="shared" si="268"/>
        <v>1</v>
      </c>
    </row>
    <row r="17218" spans="1:4" x14ac:dyDescent="0.3">
      <c r="A17218" s="34">
        <v>80318</v>
      </c>
      <c r="B17218" s="35">
        <v>1</v>
      </c>
      <c r="C17218" s="35">
        <v>0</v>
      </c>
      <c r="D17218" s="2">
        <f t="shared" si="268"/>
        <v>1</v>
      </c>
    </row>
    <row r="17219" spans="1:4" x14ac:dyDescent="0.3">
      <c r="A17219" s="34">
        <v>80339</v>
      </c>
      <c r="B17219" s="35">
        <v>1</v>
      </c>
      <c r="C17219" s="35">
        <v>0</v>
      </c>
      <c r="D17219" s="2">
        <f t="shared" ref="D17219:D17282" si="269">B17219+C17219</f>
        <v>1</v>
      </c>
    </row>
    <row r="17220" spans="1:4" x14ac:dyDescent="0.3">
      <c r="A17220" s="34">
        <v>80340</v>
      </c>
      <c r="B17220" s="35">
        <v>1</v>
      </c>
      <c r="C17220" s="35">
        <v>0</v>
      </c>
      <c r="D17220" s="2">
        <f t="shared" si="269"/>
        <v>1</v>
      </c>
    </row>
    <row r="17221" spans="1:4" x14ac:dyDescent="0.3">
      <c r="A17221" s="34">
        <v>80341</v>
      </c>
      <c r="B17221" s="35">
        <v>1</v>
      </c>
      <c r="C17221" s="35">
        <v>0</v>
      </c>
      <c r="D17221" s="2">
        <f t="shared" si="269"/>
        <v>1</v>
      </c>
    </row>
    <row r="17222" spans="1:4" x14ac:dyDescent="0.3">
      <c r="A17222" s="34">
        <v>80342</v>
      </c>
      <c r="B17222" s="35">
        <v>1</v>
      </c>
      <c r="C17222" s="35">
        <v>0</v>
      </c>
      <c r="D17222" s="2">
        <f t="shared" si="269"/>
        <v>1</v>
      </c>
    </row>
    <row r="17223" spans="1:4" x14ac:dyDescent="0.3">
      <c r="A17223" s="34">
        <v>80343</v>
      </c>
      <c r="B17223" s="35">
        <v>2</v>
      </c>
      <c r="C17223" s="35">
        <v>1</v>
      </c>
      <c r="D17223" s="2">
        <f t="shared" si="269"/>
        <v>3</v>
      </c>
    </row>
    <row r="17224" spans="1:4" x14ac:dyDescent="0.3">
      <c r="A17224" s="34">
        <v>80344</v>
      </c>
      <c r="B17224" s="35">
        <v>1</v>
      </c>
      <c r="C17224" s="35">
        <v>0</v>
      </c>
      <c r="D17224" s="2">
        <f t="shared" si="269"/>
        <v>1</v>
      </c>
    </row>
    <row r="17225" spans="1:4" x14ac:dyDescent="0.3">
      <c r="A17225" s="34">
        <v>80345</v>
      </c>
      <c r="B17225" s="35">
        <v>1</v>
      </c>
      <c r="C17225" s="35">
        <v>0</v>
      </c>
      <c r="D17225" s="2">
        <f t="shared" si="269"/>
        <v>1</v>
      </c>
    </row>
    <row r="17226" spans="1:4" x14ac:dyDescent="0.3">
      <c r="A17226" s="34">
        <v>80346</v>
      </c>
      <c r="B17226" s="35">
        <v>1</v>
      </c>
      <c r="C17226" s="35">
        <v>0</v>
      </c>
      <c r="D17226" s="2">
        <f t="shared" si="269"/>
        <v>1</v>
      </c>
    </row>
    <row r="17227" spans="1:4" x14ac:dyDescent="0.3">
      <c r="A17227" s="34">
        <v>80347</v>
      </c>
      <c r="B17227" s="35">
        <v>2</v>
      </c>
      <c r="C17227" s="35">
        <v>1</v>
      </c>
      <c r="D17227" s="2">
        <f t="shared" si="269"/>
        <v>3</v>
      </c>
    </row>
    <row r="17228" spans="1:4" x14ac:dyDescent="0.3">
      <c r="A17228" s="34">
        <v>80348</v>
      </c>
      <c r="B17228" s="35">
        <v>1</v>
      </c>
      <c r="C17228" s="35">
        <v>0</v>
      </c>
      <c r="D17228" s="2">
        <f t="shared" si="269"/>
        <v>1</v>
      </c>
    </row>
    <row r="17229" spans="1:4" x14ac:dyDescent="0.3">
      <c r="A17229" s="34">
        <v>80349</v>
      </c>
      <c r="B17229" s="35">
        <v>2</v>
      </c>
      <c r="C17229" s="35">
        <v>1</v>
      </c>
      <c r="D17229" s="2">
        <f t="shared" si="269"/>
        <v>3</v>
      </c>
    </row>
    <row r="17230" spans="1:4" x14ac:dyDescent="0.3">
      <c r="A17230" s="34">
        <v>80350</v>
      </c>
      <c r="B17230" s="35">
        <v>2</v>
      </c>
      <c r="C17230" s="35">
        <v>1</v>
      </c>
      <c r="D17230" s="2">
        <f t="shared" si="269"/>
        <v>3</v>
      </c>
    </row>
    <row r="17231" spans="1:4" x14ac:dyDescent="0.3">
      <c r="A17231" s="34">
        <v>80351</v>
      </c>
      <c r="B17231" s="35">
        <v>1</v>
      </c>
      <c r="C17231" s="35">
        <v>0</v>
      </c>
      <c r="D17231" s="2">
        <f t="shared" si="269"/>
        <v>1</v>
      </c>
    </row>
    <row r="17232" spans="1:4" x14ac:dyDescent="0.3">
      <c r="A17232" s="34">
        <v>80352</v>
      </c>
      <c r="B17232" s="35">
        <v>1</v>
      </c>
      <c r="C17232" s="35">
        <v>0</v>
      </c>
      <c r="D17232" s="2">
        <f t="shared" si="269"/>
        <v>1</v>
      </c>
    </row>
    <row r="17233" spans="1:4" x14ac:dyDescent="0.3">
      <c r="A17233" s="34">
        <v>80353</v>
      </c>
      <c r="B17233" s="35">
        <v>1</v>
      </c>
      <c r="C17233" s="35">
        <v>0</v>
      </c>
      <c r="D17233" s="2">
        <f t="shared" si="269"/>
        <v>1</v>
      </c>
    </row>
    <row r="17234" spans="1:4" x14ac:dyDescent="0.3">
      <c r="A17234" s="34">
        <v>80354</v>
      </c>
      <c r="B17234" s="35">
        <v>1</v>
      </c>
      <c r="C17234" s="35">
        <v>0</v>
      </c>
      <c r="D17234" s="2">
        <f t="shared" si="269"/>
        <v>1</v>
      </c>
    </row>
    <row r="17235" spans="1:4" x14ac:dyDescent="0.3">
      <c r="A17235" s="34">
        <v>80355</v>
      </c>
      <c r="B17235" s="35">
        <v>1</v>
      </c>
      <c r="C17235" s="35">
        <v>0</v>
      </c>
      <c r="D17235" s="2">
        <f t="shared" si="269"/>
        <v>1</v>
      </c>
    </row>
    <row r="17236" spans="1:4" x14ac:dyDescent="0.3">
      <c r="A17236" s="34">
        <v>80356</v>
      </c>
      <c r="B17236" s="35">
        <v>2</v>
      </c>
      <c r="C17236" s="35">
        <v>1</v>
      </c>
      <c r="D17236" s="2">
        <f t="shared" si="269"/>
        <v>3</v>
      </c>
    </row>
    <row r="17237" spans="1:4" x14ac:dyDescent="0.3">
      <c r="A17237" s="34">
        <v>80357</v>
      </c>
      <c r="B17237" s="35">
        <v>1</v>
      </c>
      <c r="C17237" s="35">
        <v>0</v>
      </c>
      <c r="D17237" s="2">
        <f t="shared" si="269"/>
        <v>1</v>
      </c>
    </row>
    <row r="17238" spans="1:4" x14ac:dyDescent="0.3">
      <c r="A17238" s="34">
        <v>80358</v>
      </c>
      <c r="B17238" s="35">
        <v>1</v>
      </c>
      <c r="C17238" s="35">
        <v>0</v>
      </c>
      <c r="D17238" s="2">
        <f t="shared" si="269"/>
        <v>1</v>
      </c>
    </row>
    <row r="17239" spans="1:4" x14ac:dyDescent="0.3">
      <c r="A17239" s="34">
        <v>80359</v>
      </c>
      <c r="B17239" s="35">
        <v>1</v>
      </c>
      <c r="C17239" s="35">
        <v>0</v>
      </c>
      <c r="D17239" s="2">
        <f t="shared" si="269"/>
        <v>1</v>
      </c>
    </row>
    <row r="17240" spans="1:4" x14ac:dyDescent="0.3">
      <c r="A17240" s="34">
        <v>80360</v>
      </c>
      <c r="B17240" s="35">
        <v>1</v>
      </c>
      <c r="C17240" s="35">
        <v>0</v>
      </c>
      <c r="D17240" s="2">
        <f t="shared" si="269"/>
        <v>1</v>
      </c>
    </row>
    <row r="17241" spans="1:4" x14ac:dyDescent="0.3">
      <c r="A17241" s="34">
        <v>80361</v>
      </c>
      <c r="B17241" s="35">
        <v>1</v>
      </c>
      <c r="C17241" s="35">
        <v>0</v>
      </c>
      <c r="D17241" s="2">
        <f t="shared" si="269"/>
        <v>1</v>
      </c>
    </row>
    <row r="17242" spans="1:4" x14ac:dyDescent="0.3">
      <c r="A17242" s="34">
        <v>80362</v>
      </c>
      <c r="B17242" s="35">
        <v>1</v>
      </c>
      <c r="C17242" s="35">
        <v>0</v>
      </c>
      <c r="D17242" s="2">
        <f t="shared" si="269"/>
        <v>1</v>
      </c>
    </row>
    <row r="17243" spans="1:4" x14ac:dyDescent="0.3">
      <c r="A17243" s="34">
        <v>80363</v>
      </c>
      <c r="B17243" s="35">
        <v>1</v>
      </c>
      <c r="C17243" s="35">
        <v>0</v>
      </c>
      <c r="D17243" s="2">
        <f t="shared" si="269"/>
        <v>1</v>
      </c>
    </row>
    <row r="17244" spans="1:4" x14ac:dyDescent="0.3">
      <c r="A17244" s="34">
        <v>80364</v>
      </c>
      <c r="B17244" s="35">
        <v>1</v>
      </c>
      <c r="C17244" s="35">
        <v>0</v>
      </c>
      <c r="D17244" s="2">
        <f t="shared" si="269"/>
        <v>1</v>
      </c>
    </row>
    <row r="17245" spans="1:4" x14ac:dyDescent="0.3">
      <c r="A17245" s="34">
        <v>80365</v>
      </c>
      <c r="B17245" s="35">
        <v>1</v>
      </c>
      <c r="C17245" s="35">
        <v>0</v>
      </c>
      <c r="D17245" s="2">
        <f t="shared" si="269"/>
        <v>1</v>
      </c>
    </row>
    <row r="17246" spans="1:4" x14ac:dyDescent="0.3">
      <c r="A17246" s="34">
        <v>80366</v>
      </c>
      <c r="B17246" s="35">
        <v>1</v>
      </c>
      <c r="C17246" s="35">
        <v>0</v>
      </c>
      <c r="D17246" s="2">
        <f t="shared" si="269"/>
        <v>1</v>
      </c>
    </row>
    <row r="17247" spans="1:4" x14ac:dyDescent="0.3">
      <c r="A17247" s="34">
        <v>80367</v>
      </c>
      <c r="B17247" s="35">
        <v>1</v>
      </c>
      <c r="C17247" s="35">
        <v>0</v>
      </c>
      <c r="D17247" s="2">
        <f t="shared" si="269"/>
        <v>1</v>
      </c>
    </row>
    <row r="17248" spans="1:4" x14ac:dyDescent="0.3">
      <c r="A17248" s="34">
        <v>80368</v>
      </c>
      <c r="B17248" s="35">
        <v>1</v>
      </c>
      <c r="C17248" s="35">
        <v>0</v>
      </c>
      <c r="D17248" s="2">
        <f t="shared" si="269"/>
        <v>1</v>
      </c>
    </row>
    <row r="17249" spans="1:4" x14ac:dyDescent="0.3">
      <c r="A17249" s="34">
        <v>80369</v>
      </c>
      <c r="B17249" s="35">
        <v>1</v>
      </c>
      <c r="C17249" s="35">
        <v>0</v>
      </c>
      <c r="D17249" s="2">
        <f t="shared" si="269"/>
        <v>1</v>
      </c>
    </row>
    <row r="17250" spans="1:4" x14ac:dyDescent="0.3">
      <c r="A17250" s="34">
        <v>80370</v>
      </c>
      <c r="B17250" s="35">
        <v>1</v>
      </c>
      <c r="C17250" s="35">
        <v>0</v>
      </c>
      <c r="D17250" s="2">
        <f t="shared" si="269"/>
        <v>1</v>
      </c>
    </row>
    <row r="17251" spans="1:4" x14ac:dyDescent="0.3">
      <c r="A17251" s="34">
        <v>80372</v>
      </c>
      <c r="B17251" s="35">
        <v>1</v>
      </c>
      <c r="C17251" s="35">
        <v>0</v>
      </c>
      <c r="D17251" s="2">
        <f t="shared" si="269"/>
        <v>1</v>
      </c>
    </row>
    <row r="17252" spans="1:4" x14ac:dyDescent="0.3">
      <c r="A17252" s="34">
        <v>80373</v>
      </c>
      <c r="B17252" s="35">
        <v>1</v>
      </c>
      <c r="C17252" s="35">
        <v>0</v>
      </c>
      <c r="D17252" s="2">
        <f t="shared" si="269"/>
        <v>1</v>
      </c>
    </row>
    <row r="17253" spans="1:4" x14ac:dyDescent="0.3">
      <c r="A17253" s="34">
        <v>80374</v>
      </c>
      <c r="B17253" s="35">
        <v>1</v>
      </c>
      <c r="C17253" s="35">
        <v>0</v>
      </c>
      <c r="D17253" s="2">
        <f t="shared" si="269"/>
        <v>1</v>
      </c>
    </row>
    <row r="17254" spans="1:4" x14ac:dyDescent="0.3">
      <c r="A17254" s="34">
        <v>80375</v>
      </c>
      <c r="B17254" s="35">
        <v>1</v>
      </c>
      <c r="C17254" s="35">
        <v>0</v>
      </c>
      <c r="D17254" s="2">
        <f t="shared" si="269"/>
        <v>1</v>
      </c>
    </row>
    <row r="17255" spans="1:4" x14ac:dyDescent="0.3">
      <c r="A17255" s="34">
        <v>80376</v>
      </c>
      <c r="B17255" s="35">
        <v>1</v>
      </c>
      <c r="C17255" s="35">
        <v>0</v>
      </c>
      <c r="D17255" s="2">
        <f t="shared" si="269"/>
        <v>1</v>
      </c>
    </row>
    <row r="17256" spans="1:4" x14ac:dyDescent="0.3">
      <c r="A17256" s="34">
        <v>80377</v>
      </c>
      <c r="B17256" s="35">
        <v>1</v>
      </c>
      <c r="C17256" s="35">
        <v>0</v>
      </c>
      <c r="D17256" s="2">
        <f t="shared" si="269"/>
        <v>1</v>
      </c>
    </row>
    <row r="17257" spans="1:4" x14ac:dyDescent="0.3">
      <c r="A17257" s="34">
        <v>80378</v>
      </c>
      <c r="B17257" s="35">
        <v>2</v>
      </c>
      <c r="C17257" s="35">
        <v>1</v>
      </c>
      <c r="D17257" s="2">
        <f t="shared" si="269"/>
        <v>3</v>
      </c>
    </row>
    <row r="17258" spans="1:4" x14ac:dyDescent="0.3">
      <c r="A17258" s="34">
        <v>80379</v>
      </c>
      <c r="B17258" s="35">
        <v>1</v>
      </c>
      <c r="C17258" s="35">
        <v>0</v>
      </c>
      <c r="D17258" s="2">
        <f t="shared" si="269"/>
        <v>1</v>
      </c>
    </row>
    <row r="17259" spans="1:4" x14ac:dyDescent="0.3">
      <c r="A17259" s="34">
        <v>80380</v>
      </c>
      <c r="B17259" s="35">
        <v>1</v>
      </c>
      <c r="C17259" s="35">
        <v>0</v>
      </c>
      <c r="D17259" s="2">
        <f t="shared" si="269"/>
        <v>1</v>
      </c>
    </row>
    <row r="17260" spans="1:4" x14ac:dyDescent="0.3">
      <c r="A17260" s="34">
        <v>80381</v>
      </c>
      <c r="B17260" s="35">
        <v>1</v>
      </c>
      <c r="C17260" s="35">
        <v>0</v>
      </c>
      <c r="D17260" s="2">
        <f t="shared" si="269"/>
        <v>1</v>
      </c>
    </row>
    <row r="17261" spans="1:4" x14ac:dyDescent="0.3">
      <c r="A17261" s="34">
        <v>80382</v>
      </c>
      <c r="B17261" s="35">
        <v>1</v>
      </c>
      <c r="C17261" s="35">
        <v>0</v>
      </c>
      <c r="D17261" s="2">
        <f t="shared" si="269"/>
        <v>1</v>
      </c>
    </row>
    <row r="17262" spans="1:4" x14ac:dyDescent="0.3">
      <c r="A17262" s="34">
        <v>80383</v>
      </c>
      <c r="B17262" s="35">
        <v>1</v>
      </c>
      <c r="C17262" s="35">
        <v>0</v>
      </c>
      <c r="D17262" s="2">
        <f t="shared" si="269"/>
        <v>1</v>
      </c>
    </row>
    <row r="17263" spans="1:4" x14ac:dyDescent="0.3">
      <c r="A17263" s="34">
        <v>80384</v>
      </c>
      <c r="B17263" s="35">
        <v>1</v>
      </c>
      <c r="C17263" s="35">
        <v>0</v>
      </c>
      <c r="D17263" s="2">
        <f t="shared" si="269"/>
        <v>1</v>
      </c>
    </row>
    <row r="17264" spans="1:4" x14ac:dyDescent="0.3">
      <c r="A17264" s="34">
        <v>80385</v>
      </c>
      <c r="B17264" s="35">
        <v>1</v>
      </c>
      <c r="C17264" s="35">
        <v>0</v>
      </c>
      <c r="D17264" s="2">
        <f t="shared" si="269"/>
        <v>1</v>
      </c>
    </row>
    <row r="17265" spans="1:4" x14ac:dyDescent="0.3">
      <c r="A17265" s="34">
        <v>80386</v>
      </c>
      <c r="B17265" s="35">
        <v>1</v>
      </c>
      <c r="C17265" s="35">
        <v>0</v>
      </c>
      <c r="D17265" s="2">
        <f t="shared" si="269"/>
        <v>1</v>
      </c>
    </row>
    <row r="17266" spans="1:4" x14ac:dyDescent="0.3">
      <c r="A17266" s="34">
        <v>80387</v>
      </c>
      <c r="B17266" s="35">
        <v>1</v>
      </c>
      <c r="C17266" s="35">
        <v>0</v>
      </c>
      <c r="D17266" s="2">
        <f t="shared" si="269"/>
        <v>1</v>
      </c>
    </row>
    <row r="17267" spans="1:4" x14ac:dyDescent="0.3">
      <c r="A17267" s="34">
        <v>80388</v>
      </c>
      <c r="B17267" s="35">
        <v>1</v>
      </c>
      <c r="C17267" s="35">
        <v>0</v>
      </c>
      <c r="D17267" s="2">
        <f t="shared" si="269"/>
        <v>1</v>
      </c>
    </row>
    <row r="17268" spans="1:4" x14ac:dyDescent="0.3">
      <c r="A17268" s="34">
        <v>80389</v>
      </c>
      <c r="B17268" s="35">
        <v>2</v>
      </c>
      <c r="C17268" s="35">
        <v>1</v>
      </c>
      <c r="D17268" s="2">
        <f t="shared" si="269"/>
        <v>3</v>
      </c>
    </row>
    <row r="17269" spans="1:4" x14ac:dyDescent="0.3">
      <c r="A17269" s="34">
        <v>80390</v>
      </c>
      <c r="B17269" s="35">
        <v>1</v>
      </c>
      <c r="C17269" s="35">
        <v>0</v>
      </c>
      <c r="D17269" s="2">
        <f t="shared" si="269"/>
        <v>1</v>
      </c>
    </row>
    <row r="17270" spans="1:4" x14ac:dyDescent="0.3">
      <c r="A17270" s="34">
        <v>80391</v>
      </c>
      <c r="B17270" s="35">
        <v>1</v>
      </c>
      <c r="C17270" s="35">
        <v>0</v>
      </c>
      <c r="D17270" s="2">
        <f t="shared" si="269"/>
        <v>1</v>
      </c>
    </row>
    <row r="17271" spans="1:4" x14ac:dyDescent="0.3">
      <c r="A17271" s="34">
        <v>80392</v>
      </c>
      <c r="B17271" s="35">
        <v>1</v>
      </c>
      <c r="C17271" s="35">
        <v>0</v>
      </c>
      <c r="D17271" s="2">
        <f t="shared" si="269"/>
        <v>1</v>
      </c>
    </row>
    <row r="17272" spans="1:4" x14ac:dyDescent="0.3">
      <c r="A17272" s="34">
        <v>80393</v>
      </c>
      <c r="B17272" s="35">
        <v>1</v>
      </c>
      <c r="C17272" s="35">
        <v>0</v>
      </c>
      <c r="D17272" s="2">
        <f t="shared" si="269"/>
        <v>1</v>
      </c>
    </row>
    <row r="17273" spans="1:4" x14ac:dyDescent="0.3">
      <c r="A17273" s="34">
        <v>80394</v>
      </c>
      <c r="B17273" s="35">
        <v>1</v>
      </c>
      <c r="C17273" s="35">
        <v>0</v>
      </c>
      <c r="D17273" s="2">
        <f t="shared" si="269"/>
        <v>1</v>
      </c>
    </row>
    <row r="17274" spans="1:4" x14ac:dyDescent="0.3">
      <c r="A17274" s="34">
        <v>80395</v>
      </c>
      <c r="B17274" s="35">
        <v>2</v>
      </c>
      <c r="C17274" s="35">
        <v>1</v>
      </c>
      <c r="D17274" s="2">
        <f t="shared" si="269"/>
        <v>3</v>
      </c>
    </row>
    <row r="17275" spans="1:4" x14ac:dyDescent="0.3">
      <c r="A17275" s="34">
        <v>80396</v>
      </c>
      <c r="B17275" s="35">
        <v>1</v>
      </c>
      <c r="C17275" s="35">
        <v>0</v>
      </c>
      <c r="D17275" s="2">
        <f t="shared" si="269"/>
        <v>1</v>
      </c>
    </row>
    <row r="17276" spans="1:4" x14ac:dyDescent="0.3">
      <c r="A17276" s="34">
        <v>80397</v>
      </c>
      <c r="B17276" s="35">
        <v>1</v>
      </c>
      <c r="C17276" s="35">
        <v>0</v>
      </c>
      <c r="D17276" s="2">
        <f t="shared" si="269"/>
        <v>1</v>
      </c>
    </row>
    <row r="17277" spans="1:4" x14ac:dyDescent="0.3">
      <c r="A17277" s="34">
        <v>80398</v>
      </c>
      <c r="B17277" s="35">
        <v>1</v>
      </c>
      <c r="C17277" s="35">
        <v>0</v>
      </c>
      <c r="D17277" s="2">
        <f t="shared" si="269"/>
        <v>1</v>
      </c>
    </row>
    <row r="17278" spans="1:4" x14ac:dyDescent="0.3">
      <c r="A17278" s="34">
        <v>80400</v>
      </c>
      <c r="B17278" s="35">
        <v>1</v>
      </c>
      <c r="C17278" s="35">
        <v>0</v>
      </c>
      <c r="D17278" s="2">
        <f t="shared" si="269"/>
        <v>1</v>
      </c>
    </row>
    <row r="17279" spans="1:4" x14ac:dyDescent="0.3">
      <c r="A17279" s="34">
        <v>80401</v>
      </c>
      <c r="B17279" s="35">
        <v>1</v>
      </c>
      <c r="C17279" s="35">
        <v>0</v>
      </c>
      <c r="D17279" s="2">
        <f t="shared" si="269"/>
        <v>1</v>
      </c>
    </row>
    <row r="17280" spans="1:4" x14ac:dyDescent="0.3">
      <c r="A17280" s="34">
        <v>80402</v>
      </c>
      <c r="B17280" s="35">
        <v>1</v>
      </c>
      <c r="C17280" s="35">
        <v>0</v>
      </c>
      <c r="D17280" s="2">
        <f t="shared" si="269"/>
        <v>1</v>
      </c>
    </row>
    <row r="17281" spans="1:4" x14ac:dyDescent="0.3">
      <c r="A17281" s="34">
        <v>80403</v>
      </c>
      <c r="B17281" s="35">
        <v>1</v>
      </c>
      <c r="C17281" s="35">
        <v>0</v>
      </c>
      <c r="D17281" s="2">
        <f t="shared" si="269"/>
        <v>1</v>
      </c>
    </row>
    <row r="17282" spans="1:4" x14ac:dyDescent="0.3">
      <c r="A17282" s="34">
        <v>80404</v>
      </c>
      <c r="B17282" s="35">
        <v>1</v>
      </c>
      <c r="C17282" s="35">
        <v>0</v>
      </c>
      <c r="D17282" s="2">
        <f t="shared" si="269"/>
        <v>1</v>
      </c>
    </row>
    <row r="17283" spans="1:4" x14ac:dyDescent="0.3">
      <c r="A17283" s="34">
        <v>80405</v>
      </c>
      <c r="B17283" s="35">
        <v>1</v>
      </c>
      <c r="C17283" s="35">
        <v>0</v>
      </c>
      <c r="D17283" s="2">
        <f t="shared" ref="D17283:D17346" si="270">B17283+C17283</f>
        <v>1</v>
      </c>
    </row>
    <row r="17284" spans="1:4" x14ac:dyDescent="0.3">
      <c r="A17284" s="34">
        <v>80407</v>
      </c>
      <c r="B17284" s="35">
        <v>1</v>
      </c>
      <c r="C17284" s="35">
        <v>0</v>
      </c>
      <c r="D17284" s="2">
        <f t="shared" si="270"/>
        <v>1</v>
      </c>
    </row>
    <row r="17285" spans="1:4" x14ac:dyDescent="0.3">
      <c r="A17285" s="34">
        <v>80408</v>
      </c>
      <c r="B17285" s="35">
        <v>1</v>
      </c>
      <c r="C17285" s="35">
        <v>0</v>
      </c>
      <c r="D17285" s="2">
        <f t="shared" si="270"/>
        <v>1</v>
      </c>
    </row>
    <row r="17286" spans="1:4" x14ac:dyDescent="0.3">
      <c r="A17286" s="34">
        <v>80409</v>
      </c>
      <c r="B17286" s="35">
        <v>1</v>
      </c>
      <c r="C17286" s="35">
        <v>0</v>
      </c>
      <c r="D17286" s="2">
        <f t="shared" si="270"/>
        <v>1</v>
      </c>
    </row>
    <row r="17287" spans="1:4" x14ac:dyDescent="0.3">
      <c r="A17287" s="34">
        <v>80410</v>
      </c>
      <c r="B17287" s="35">
        <v>1</v>
      </c>
      <c r="C17287" s="35">
        <v>0</v>
      </c>
      <c r="D17287" s="2">
        <f t="shared" si="270"/>
        <v>1</v>
      </c>
    </row>
    <row r="17288" spans="1:4" x14ac:dyDescent="0.3">
      <c r="A17288" s="34">
        <v>80411</v>
      </c>
      <c r="B17288" s="35">
        <v>1</v>
      </c>
      <c r="C17288" s="35">
        <v>0</v>
      </c>
      <c r="D17288" s="2">
        <f t="shared" si="270"/>
        <v>1</v>
      </c>
    </row>
    <row r="17289" spans="1:4" x14ac:dyDescent="0.3">
      <c r="A17289" s="34">
        <v>80412</v>
      </c>
      <c r="B17289" s="35">
        <v>1</v>
      </c>
      <c r="C17289" s="35">
        <v>0</v>
      </c>
      <c r="D17289" s="2">
        <f t="shared" si="270"/>
        <v>1</v>
      </c>
    </row>
    <row r="17290" spans="1:4" x14ac:dyDescent="0.3">
      <c r="A17290" s="34">
        <v>80413</v>
      </c>
      <c r="B17290" s="35">
        <v>1</v>
      </c>
      <c r="C17290" s="35">
        <v>0</v>
      </c>
      <c r="D17290" s="2">
        <f t="shared" si="270"/>
        <v>1</v>
      </c>
    </row>
    <row r="17291" spans="1:4" x14ac:dyDescent="0.3">
      <c r="A17291" s="34">
        <v>80414</v>
      </c>
      <c r="B17291" s="35">
        <v>1</v>
      </c>
      <c r="C17291" s="35">
        <v>0</v>
      </c>
      <c r="D17291" s="2">
        <f t="shared" si="270"/>
        <v>1</v>
      </c>
    </row>
    <row r="17292" spans="1:4" x14ac:dyDescent="0.3">
      <c r="A17292" s="34">
        <v>80415</v>
      </c>
      <c r="B17292" s="35">
        <v>1</v>
      </c>
      <c r="C17292" s="35">
        <v>0</v>
      </c>
      <c r="D17292" s="2">
        <f t="shared" si="270"/>
        <v>1</v>
      </c>
    </row>
    <row r="17293" spans="1:4" x14ac:dyDescent="0.3">
      <c r="A17293" s="34">
        <v>80416</v>
      </c>
      <c r="B17293" s="35">
        <v>1</v>
      </c>
      <c r="C17293" s="35">
        <v>0</v>
      </c>
      <c r="D17293" s="2">
        <f t="shared" si="270"/>
        <v>1</v>
      </c>
    </row>
    <row r="17294" spans="1:4" x14ac:dyDescent="0.3">
      <c r="A17294" s="34">
        <v>80418</v>
      </c>
      <c r="B17294" s="35">
        <v>2</v>
      </c>
      <c r="C17294" s="35">
        <v>1</v>
      </c>
      <c r="D17294" s="2">
        <f t="shared" si="270"/>
        <v>3</v>
      </c>
    </row>
    <row r="17295" spans="1:4" x14ac:dyDescent="0.3">
      <c r="A17295" s="34">
        <v>80419</v>
      </c>
      <c r="B17295" s="35">
        <v>1</v>
      </c>
      <c r="C17295" s="35">
        <v>0</v>
      </c>
      <c r="D17295" s="2">
        <f t="shared" si="270"/>
        <v>1</v>
      </c>
    </row>
    <row r="17296" spans="1:4" x14ac:dyDescent="0.3">
      <c r="A17296" s="34">
        <v>80420</v>
      </c>
      <c r="B17296" s="35">
        <v>1</v>
      </c>
      <c r="C17296" s="35">
        <v>0</v>
      </c>
      <c r="D17296" s="2">
        <f t="shared" si="270"/>
        <v>1</v>
      </c>
    </row>
    <row r="17297" spans="1:4" x14ac:dyDescent="0.3">
      <c r="A17297" s="34">
        <v>80421</v>
      </c>
      <c r="B17297" s="35">
        <v>1</v>
      </c>
      <c r="C17297" s="35">
        <v>1</v>
      </c>
      <c r="D17297" s="2">
        <f t="shared" si="270"/>
        <v>2</v>
      </c>
    </row>
    <row r="17298" spans="1:4" x14ac:dyDescent="0.3">
      <c r="A17298" s="34">
        <v>80422</v>
      </c>
      <c r="B17298" s="35">
        <v>1</v>
      </c>
      <c r="C17298" s="35">
        <v>0</v>
      </c>
      <c r="D17298" s="2">
        <f t="shared" si="270"/>
        <v>1</v>
      </c>
    </row>
    <row r="17299" spans="1:4" x14ac:dyDescent="0.3">
      <c r="A17299" s="34">
        <v>80423</v>
      </c>
      <c r="B17299" s="35">
        <v>1</v>
      </c>
      <c r="C17299" s="35">
        <v>0</v>
      </c>
      <c r="D17299" s="2">
        <f t="shared" si="270"/>
        <v>1</v>
      </c>
    </row>
    <row r="17300" spans="1:4" x14ac:dyDescent="0.3">
      <c r="A17300" s="34">
        <v>80424</v>
      </c>
      <c r="B17300" s="35">
        <v>1</v>
      </c>
      <c r="C17300" s="35">
        <v>0</v>
      </c>
      <c r="D17300" s="2">
        <f t="shared" si="270"/>
        <v>1</v>
      </c>
    </row>
    <row r="17301" spans="1:4" x14ac:dyDescent="0.3">
      <c r="A17301" s="34">
        <v>80428</v>
      </c>
      <c r="B17301" s="35">
        <v>1</v>
      </c>
      <c r="C17301" s="35">
        <v>0</v>
      </c>
      <c r="D17301" s="2">
        <f t="shared" si="270"/>
        <v>1</v>
      </c>
    </row>
    <row r="17302" spans="1:4" x14ac:dyDescent="0.3">
      <c r="A17302" s="34">
        <v>80429</v>
      </c>
      <c r="B17302" s="35">
        <v>2</v>
      </c>
      <c r="C17302" s="35">
        <v>1</v>
      </c>
      <c r="D17302" s="2">
        <f t="shared" si="270"/>
        <v>3</v>
      </c>
    </row>
    <row r="17303" spans="1:4" x14ac:dyDescent="0.3">
      <c r="A17303" s="34">
        <v>80430</v>
      </c>
      <c r="B17303" s="35">
        <v>1</v>
      </c>
      <c r="C17303" s="35">
        <v>0</v>
      </c>
      <c r="D17303" s="2">
        <f t="shared" si="270"/>
        <v>1</v>
      </c>
    </row>
    <row r="17304" spans="1:4" x14ac:dyDescent="0.3">
      <c r="A17304" s="34">
        <v>80431</v>
      </c>
      <c r="B17304" s="35">
        <v>1</v>
      </c>
      <c r="C17304" s="35">
        <v>0</v>
      </c>
      <c r="D17304" s="2">
        <f t="shared" si="270"/>
        <v>1</v>
      </c>
    </row>
    <row r="17305" spans="1:4" x14ac:dyDescent="0.3">
      <c r="A17305" s="34">
        <v>80432</v>
      </c>
      <c r="B17305" s="35">
        <v>1</v>
      </c>
      <c r="C17305" s="35">
        <v>0</v>
      </c>
      <c r="D17305" s="2">
        <f t="shared" si="270"/>
        <v>1</v>
      </c>
    </row>
    <row r="17306" spans="1:4" x14ac:dyDescent="0.3">
      <c r="A17306" s="34">
        <v>80433</v>
      </c>
      <c r="B17306" s="35">
        <v>1</v>
      </c>
      <c r="C17306" s="35">
        <v>0</v>
      </c>
      <c r="D17306" s="2">
        <f t="shared" si="270"/>
        <v>1</v>
      </c>
    </row>
    <row r="17307" spans="1:4" x14ac:dyDescent="0.3">
      <c r="A17307" s="34">
        <v>80434</v>
      </c>
      <c r="B17307" s="35">
        <v>1</v>
      </c>
      <c r="C17307" s="35">
        <v>0</v>
      </c>
      <c r="D17307" s="2">
        <f t="shared" si="270"/>
        <v>1</v>
      </c>
    </row>
    <row r="17308" spans="1:4" x14ac:dyDescent="0.3">
      <c r="A17308" s="34">
        <v>80435</v>
      </c>
      <c r="B17308" s="35">
        <v>1</v>
      </c>
      <c r="C17308" s="35">
        <v>1</v>
      </c>
      <c r="D17308" s="2">
        <f t="shared" si="270"/>
        <v>2</v>
      </c>
    </row>
    <row r="17309" spans="1:4" x14ac:dyDescent="0.3">
      <c r="A17309" s="34">
        <v>80436</v>
      </c>
      <c r="B17309" s="35">
        <v>1</v>
      </c>
      <c r="C17309" s="35">
        <v>0</v>
      </c>
      <c r="D17309" s="2">
        <f t="shared" si="270"/>
        <v>1</v>
      </c>
    </row>
    <row r="17310" spans="1:4" x14ac:dyDescent="0.3">
      <c r="A17310" s="34">
        <v>80437</v>
      </c>
      <c r="B17310" s="35">
        <v>1</v>
      </c>
      <c r="C17310" s="35">
        <v>0</v>
      </c>
      <c r="D17310" s="2">
        <f t="shared" si="270"/>
        <v>1</v>
      </c>
    </row>
    <row r="17311" spans="1:4" x14ac:dyDescent="0.3">
      <c r="A17311" s="34">
        <v>80438</v>
      </c>
      <c r="B17311" s="35">
        <v>1</v>
      </c>
      <c r="C17311" s="35">
        <v>0</v>
      </c>
      <c r="D17311" s="2">
        <f t="shared" si="270"/>
        <v>1</v>
      </c>
    </row>
    <row r="17312" spans="1:4" x14ac:dyDescent="0.3">
      <c r="A17312" s="34">
        <v>80439</v>
      </c>
      <c r="B17312" s="35">
        <v>1</v>
      </c>
      <c r="C17312" s="35">
        <v>0</v>
      </c>
      <c r="D17312" s="2">
        <f t="shared" si="270"/>
        <v>1</v>
      </c>
    </row>
    <row r="17313" spans="1:4" x14ac:dyDescent="0.3">
      <c r="A17313" s="34">
        <v>80440</v>
      </c>
      <c r="B17313" s="35">
        <v>1</v>
      </c>
      <c r="C17313" s="35">
        <v>0</v>
      </c>
      <c r="D17313" s="2">
        <f t="shared" si="270"/>
        <v>1</v>
      </c>
    </row>
    <row r="17314" spans="1:4" x14ac:dyDescent="0.3">
      <c r="A17314" s="34">
        <v>80441</v>
      </c>
      <c r="B17314" s="35">
        <v>1</v>
      </c>
      <c r="C17314" s="35">
        <v>0</v>
      </c>
      <c r="D17314" s="2">
        <f t="shared" si="270"/>
        <v>1</v>
      </c>
    </row>
    <row r="17315" spans="1:4" x14ac:dyDescent="0.3">
      <c r="A17315" s="34">
        <v>80442</v>
      </c>
      <c r="B17315" s="35">
        <v>1</v>
      </c>
      <c r="C17315" s="35">
        <v>0</v>
      </c>
      <c r="D17315" s="2">
        <f t="shared" si="270"/>
        <v>1</v>
      </c>
    </row>
    <row r="17316" spans="1:4" x14ac:dyDescent="0.3">
      <c r="A17316" s="34">
        <v>80443</v>
      </c>
      <c r="B17316" s="35">
        <v>1</v>
      </c>
      <c r="C17316" s="35">
        <v>0</v>
      </c>
      <c r="D17316" s="2">
        <f t="shared" si="270"/>
        <v>1</v>
      </c>
    </row>
    <row r="17317" spans="1:4" x14ac:dyDescent="0.3">
      <c r="A17317" s="34">
        <v>80444</v>
      </c>
      <c r="B17317" s="35">
        <v>1</v>
      </c>
      <c r="C17317" s="35">
        <v>0</v>
      </c>
      <c r="D17317" s="2">
        <f t="shared" si="270"/>
        <v>1</v>
      </c>
    </row>
    <row r="17318" spans="1:4" x14ac:dyDescent="0.3">
      <c r="A17318" s="34">
        <v>80445</v>
      </c>
      <c r="B17318" s="35">
        <v>1</v>
      </c>
      <c r="C17318" s="35">
        <v>0</v>
      </c>
      <c r="D17318" s="2">
        <f t="shared" si="270"/>
        <v>1</v>
      </c>
    </row>
    <row r="17319" spans="1:4" x14ac:dyDescent="0.3">
      <c r="A17319" s="34">
        <v>80446</v>
      </c>
      <c r="B17319" s="35">
        <v>1</v>
      </c>
      <c r="C17319" s="35">
        <v>0</v>
      </c>
      <c r="D17319" s="2">
        <f t="shared" si="270"/>
        <v>1</v>
      </c>
    </row>
    <row r="17320" spans="1:4" x14ac:dyDescent="0.3">
      <c r="A17320" s="34">
        <v>80447</v>
      </c>
      <c r="B17320" s="35">
        <v>1</v>
      </c>
      <c r="C17320" s="35">
        <v>0</v>
      </c>
      <c r="D17320" s="2">
        <f t="shared" si="270"/>
        <v>1</v>
      </c>
    </row>
    <row r="17321" spans="1:4" x14ac:dyDescent="0.3">
      <c r="A17321" s="34">
        <v>80449</v>
      </c>
      <c r="B17321" s="35">
        <v>1</v>
      </c>
      <c r="C17321" s="35">
        <v>0</v>
      </c>
      <c r="D17321" s="2">
        <f t="shared" si="270"/>
        <v>1</v>
      </c>
    </row>
    <row r="17322" spans="1:4" x14ac:dyDescent="0.3">
      <c r="A17322" s="34">
        <v>80450</v>
      </c>
      <c r="B17322" s="35">
        <v>1</v>
      </c>
      <c r="C17322" s="35">
        <v>0</v>
      </c>
      <c r="D17322" s="2">
        <f t="shared" si="270"/>
        <v>1</v>
      </c>
    </row>
    <row r="17323" spans="1:4" x14ac:dyDescent="0.3">
      <c r="A17323" s="34">
        <v>80451</v>
      </c>
      <c r="B17323" s="35">
        <v>1</v>
      </c>
      <c r="C17323" s="35">
        <v>0</v>
      </c>
      <c r="D17323" s="2">
        <f t="shared" si="270"/>
        <v>1</v>
      </c>
    </row>
    <row r="17324" spans="1:4" x14ac:dyDescent="0.3">
      <c r="A17324" s="34">
        <v>80452</v>
      </c>
      <c r="B17324" s="35">
        <v>1</v>
      </c>
      <c r="C17324" s="35">
        <v>0</v>
      </c>
      <c r="D17324" s="2">
        <f t="shared" si="270"/>
        <v>1</v>
      </c>
    </row>
    <row r="17325" spans="1:4" x14ac:dyDescent="0.3">
      <c r="A17325" s="34">
        <v>80453</v>
      </c>
      <c r="B17325" s="35">
        <v>1</v>
      </c>
      <c r="C17325" s="35">
        <v>0</v>
      </c>
      <c r="D17325" s="2">
        <f t="shared" si="270"/>
        <v>1</v>
      </c>
    </row>
    <row r="17326" spans="1:4" x14ac:dyDescent="0.3">
      <c r="A17326" s="34">
        <v>80454</v>
      </c>
      <c r="B17326" s="35">
        <v>1</v>
      </c>
      <c r="C17326" s="35">
        <v>0</v>
      </c>
      <c r="D17326" s="2">
        <f t="shared" si="270"/>
        <v>1</v>
      </c>
    </row>
    <row r="17327" spans="1:4" x14ac:dyDescent="0.3">
      <c r="A17327" s="34">
        <v>80455</v>
      </c>
      <c r="B17327" s="35">
        <v>1</v>
      </c>
      <c r="C17327" s="35">
        <v>0</v>
      </c>
      <c r="D17327" s="2">
        <f t="shared" si="270"/>
        <v>1</v>
      </c>
    </row>
    <row r="17328" spans="1:4" x14ac:dyDescent="0.3">
      <c r="A17328" s="34">
        <v>80456</v>
      </c>
      <c r="B17328" s="35">
        <v>1</v>
      </c>
      <c r="C17328" s="35">
        <v>0</v>
      </c>
      <c r="D17328" s="2">
        <f t="shared" si="270"/>
        <v>1</v>
      </c>
    </row>
    <row r="17329" spans="1:4" x14ac:dyDescent="0.3">
      <c r="A17329" s="34">
        <v>80457</v>
      </c>
      <c r="B17329" s="35">
        <v>1</v>
      </c>
      <c r="C17329" s="35">
        <v>0</v>
      </c>
      <c r="D17329" s="2">
        <f t="shared" si="270"/>
        <v>1</v>
      </c>
    </row>
    <row r="17330" spans="1:4" x14ac:dyDescent="0.3">
      <c r="A17330" s="34">
        <v>80458</v>
      </c>
      <c r="B17330" s="35">
        <v>1</v>
      </c>
      <c r="C17330" s="35">
        <v>0</v>
      </c>
      <c r="D17330" s="2">
        <f t="shared" si="270"/>
        <v>1</v>
      </c>
    </row>
    <row r="17331" spans="1:4" x14ac:dyDescent="0.3">
      <c r="A17331" s="34">
        <v>80459</v>
      </c>
      <c r="B17331" s="35">
        <v>1</v>
      </c>
      <c r="C17331" s="35">
        <v>0</v>
      </c>
      <c r="D17331" s="2">
        <f t="shared" si="270"/>
        <v>1</v>
      </c>
    </row>
    <row r="17332" spans="1:4" x14ac:dyDescent="0.3">
      <c r="A17332" s="34">
        <v>80460</v>
      </c>
      <c r="B17332" s="35">
        <v>1</v>
      </c>
      <c r="C17332" s="35">
        <v>0</v>
      </c>
      <c r="D17332" s="2">
        <f t="shared" si="270"/>
        <v>1</v>
      </c>
    </row>
    <row r="17333" spans="1:4" x14ac:dyDescent="0.3">
      <c r="A17333" s="34">
        <v>80461</v>
      </c>
      <c r="B17333" s="35">
        <v>1</v>
      </c>
      <c r="C17333" s="35">
        <v>0</v>
      </c>
      <c r="D17333" s="2">
        <f t="shared" si="270"/>
        <v>1</v>
      </c>
    </row>
    <row r="17334" spans="1:4" x14ac:dyDescent="0.3">
      <c r="A17334" s="34">
        <v>80462</v>
      </c>
      <c r="B17334" s="35">
        <v>1</v>
      </c>
      <c r="C17334" s="35">
        <v>0</v>
      </c>
      <c r="D17334" s="2">
        <f t="shared" si="270"/>
        <v>1</v>
      </c>
    </row>
    <row r="17335" spans="1:4" x14ac:dyDescent="0.3">
      <c r="A17335" s="34">
        <v>80463</v>
      </c>
      <c r="B17335" s="35">
        <v>1</v>
      </c>
      <c r="C17335" s="35">
        <v>0</v>
      </c>
      <c r="D17335" s="2">
        <f t="shared" si="270"/>
        <v>1</v>
      </c>
    </row>
    <row r="17336" spans="1:4" x14ac:dyDescent="0.3">
      <c r="A17336" s="34">
        <v>80464</v>
      </c>
      <c r="B17336" s="35">
        <v>1</v>
      </c>
      <c r="C17336" s="35">
        <v>0</v>
      </c>
      <c r="D17336" s="2">
        <f t="shared" si="270"/>
        <v>1</v>
      </c>
    </row>
    <row r="17337" spans="1:4" x14ac:dyDescent="0.3">
      <c r="A17337" s="34">
        <v>80465</v>
      </c>
      <c r="B17337" s="35">
        <v>1</v>
      </c>
      <c r="C17337" s="35">
        <v>0</v>
      </c>
      <c r="D17337" s="2">
        <f t="shared" si="270"/>
        <v>1</v>
      </c>
    </row>
    <row r="17338" spans="1:4" x14ac:dyDescent="0.3">
      <c r="A17338" s="34">
        <v>80512</v>
      </c>
      <c r="B17338" s="35">
        <v>1</v>
      </c>
      <c r="C17338" s="35">
        <v>0</v>
      </c>
      <c r="D17338" s="2">
        <f t="shared" si="270"/>
        <v>1</v>
      </c>
    </row>
    <row r="17339" spans="1:4" x14ac:dyDescent="0.3">
      <c r="A17339" s="34">
        <v>80513</v>
      </c>
      <c r="B17339" s="35">
        <v>1</v>
      </c>
      <c r="C17339" s="35">
        <v>0</v>
      </c>
      <c r="D17339" s="2">
        <f t="shared" si="270"/>
        <v>1</v>
      </c>
    </row>
    <row r="17340" spans="1:4" x14ac:dyDescent="0.3">
      <c r="A17340" s="34">
        <v>80514</v>
      </c>
      <c r="B17340" s="35">
        <v>1</v>
      </c>
      <c r="C17340" s="35">
        <v>0</v>
      </c>
      <c r="D17340" s="2">
        <f t="shared" si="270"/>
        <v>1</v>
      </c>
    </row>
    <row r="17341" spans="1:4" x14ac:dyDescent="0.3">
      <c r="A17341" s="34">
        <v>80515</v>
      </c>
      <c r="B17341" s="35">
        <v>2</v>
      </c>
      <c r="C17341" s="35">
        <v>1</v>
      </c>
      <c r="D17341" s="2">
        <f t="shared" si="270"/>
        <v>3</v>
      </c>
    </row>
    <row r="17342" spans="1:4" x14ac:dyDescent="0.3">
      <c r="A17342" s="34">
        <v>80516</v>
      </c>
      <c r="B17342" s="35">
        <v>2</v>
      </c>
      <c r="C17342" s="35">
        <v>1</v>
      </c>
      <c r="D17342" s="2">
        <f t="shared" si="270"/>
        <v>3</v>
      </c>
    </row>
    <row r="17343" spans="1:4" x14ac:dyDescent="0.3">
      <c r="A17343" s="34">
        <v>80517</v>
      </c>
      <c r="B17343" s="35">
        <v>1</v>
      </c>
      <c r="C17343" s="35">
        <v>0</v>
      </c>
      <c r="D17343" s="2">
        <f t="shared" si="270"/>
        <v>1</v>
      </c>
    </row>
    <row r="17344" spans="1:4" x14ac:dyDescent="0.3">
      <c r="A17344" s="34">
        <v>80518</v>
      </c>
      <c r="B17344" s="35">
        <v>1</v>
      </c>
      <c r="C17344" s="35">
        <v>0</v>
      </c>
      <c r="D17344" s="2">
        <f t="shared" si="270"/>
        <v>1</v>
      </c>
    </row>
    <row r="17345" spans="1:4" x14ac:dyDescent="0.3">
      <c r="A17345" s="34">
        <v>80519</v>
      </c>
      <c r="B17345" s="35">
        <v>1</v>
      </c>
      <c r="C17345" s="35">
        <v>0</v>
      </c>
      <c r="D17345" s="2">
        <f t="shared" si="270"/>
        <v>1</v>
      </c>
    </row>
    <row r="17346" spans="1:4" x14ac:dyDescent="0.3">
      <c r="A17346" s="34">
        <v>80520</v>
      </c>
      <c r="B17346" s="35">
        <v>1</v>
      </c>
      <c r="C17346" s="35">
        <v>0</v>
      </c>
      <c r="D17346" s="2">
        <f t="shared" si="270"/>
        <v>1</v>
      </c>
    </row>
    <row r="17347" spans="1:4" x14ac:dyDescent="0.3">
      <c r="A17347" s="34">
        <v>80521</v>
      </c>
      <c r="B17347" s="35">
        <v>1</v>
      </c>
      <c r="C17347" s="35">
        <v>0</v>
      </c>
      <c r="D17347" s="2">
        <f t="shared" ref="D17347:D17410" si="271">B17347+C17347</f>
        <v>1</v>
      </c>
    </row>
    <row r="17348" spans="1:4" x14ac:dyDescent="0.3">
      <c r="A17348" s="34">
        <v>80523</v>
      </c>
      <c r="B17348" s="35">
        <v>1</v>
      </c>
      <c r="C17348" s="35">
        <v>0</v>
      </c>
      <c r="D17348" s="2">
        <f t="shared" si="271"/>
        <v>1</v>
      </c>
    </row>
    <row r="17349" spans="1:4" x14ac:dyDescent="0.3">
      <c r="A17349" s="34">
        <v>80525</v>
      </c>
      <c r="B17349" s="35">
        <v>1</v>
      </c>
      <c r="C17349" s="35">
        <v>0</v>
      </c>
      <c r="D17349" s="2">
        <f t="shared" si="271"/>
        <v>1</v>
      </c>
    </row>
    <row r="17350" spans="1:4" x14ac:dyDescent="0.3">
      <c r="A17350" s="34">
        <v>80526</v>
      </c>
      <c r="B17350" s="35">
        <v>1</v>
      </c>
      <c r="C17350" s="35">
        <v>0</v>
      </c>
      <c r="D17350" s="2">
        <f t="shared" si="271"/>
        <v>1</v>
      </c>
    </row>
    <row r="17351" spans="1:4" x14ac:dyDescent="0.3">
      <c r="A17351" s="34">
        <v>80527</v>
      </c>
      <c r="B17351" s="35">
        <v>1</v>
      </c>
      <c r="C17351" s="35">
        <v>0</v>
      </c>
      <c r="D17351" s="2">
        <f t="shared" si="271"/>
        <v>1</v>
      </c>
    </row>
    <row r="17352" spans="1:4" x14ac:dyDescent="0.3">
      <c r="A17352" s="34">
        <v>80528</v>
      </c>
      <c r="B17352" s="35">
        <v>1</v>
      </c>
      <c r="C17352" s="35">
        <v>0</v>
      </c>
      <c r="D17352" s="2">
        <f t="shared" si="271"/>
        <v>1</v>
      </c>
    </row>
    <row r="17353" spans="1:4" x14ac:dyDescent="0.3">
      <c r="A17353" s="34">
        <v>80529</v>
      </c>
      <c r="B17353" s="35">
        <v>1</v>
      </c>
      <c r="C17353" s="35">
        <v>0</v>
      </c>
      <c r="D17353" s="2">
        <f t="shared" si="271"/>
        <v>1</v>
      </c>
    </row>
    <row r="17354" spans="1:4" x14ac:dyDescent="0.3">
      <c r="A17354" s="34">
        <v>80530</v>
      </c>
      <c r="B17354" s="35">
        <v>1</v>
      </c>
      <c r="C17354" s="35">
        <v>0</v>
      </c>
      <c r="D17354" s="2">
        <f t="shared" si="271"/>
        <v>1</v>
      </c>
    </row>
    <row r="17355" spans="1:4" x14ac:dyDescent="0.3">
      <c r="A17355" s="34">
        <v>80531</v>
      </c>
      <c r="B17355" s="35">
        <v>1</v>
      </c>
      <c r="C17355" s="35">
        <v>0</v>
      </c>
      <c r="D17355" s="2">
        <f t="shared" si="271"/>
        <v>1</v>
      </c>
    </row>
    <row r="17356" spans="1:4" x14ac:dyDescent="0.3">
      <c r="A17356" s="34">
        <v>80532</v>
      </c>
      <c r="B17356" s="35">
        <v>1</v>
      </c>
      <c r="C17356" s="35">
        <v>0</v>
      </c>
      <c r="D17356" s="2">
        <f t="shared" si="271"/>
        <v>1</v>
      </c>
    </row>
    <row r="17357" spans="1:4" x14ac:dyDescent="0.3">
      <c r="A17357" s="34">
        <v>80533</v>
      </c>
      <c r="B17357" s="35">
        <v>1</v>
      </c>
      <c r="C17357" s="35">
        <v>0</v>
      </c>
      <c r="D17357" s="2">
        <f t="shared" si="271"/>
        <v>1</v>
      </c>
    </row>
    <row r="17358" spans="1:4" x14ac:dyDescent="0.3">
      <c r="A17358" s="34">
        <v>80534</v>
      </c>
      <c r="B17358" s="35">
        <v>1</v>
      </c>
      <c r="C17358" s="35">
        <v>0</v>
      </c>
      <c r="D17358" s="2">
        <f t="shared" si="271"/>
        <v>1</v>
      </c>
    </row>
    <row r="17359" spans="1:4" x14ac:dyDescent="0.3">
      <c r="A17359" s="34">
        <v>80535</v>
      </c>
      <c r="B17359" s="35">
        <v>1</v>
      </c>
      <c r="C17359" s="35">
        <v>0</v>
      </c>
      <c r="D17359" s="2">
        <f t="shared" si="271"/>
        <v>1</v>
      </c>
    </row>
    <row r="17360" spans="1:4" x14ac:dyDescent="0.3">
      <c r="A17360" s="34">
        <v>80536</v>
      </c>
      <c r="B17360" s="35">
        <v>1</v>
      </c>
      <c r="C17360" s="35">
        <v>0</v>
      </c>
      <c r="D17360" s="2">
        <f t="shared" si="271"/>
        <v>1</v>
      </c>
    </row>
    <row r="17361" spans="1:4" x14ac:dyDescent="0.3">
      <c r="A17361" s="34">
        <v>80537</v>
      </c>
      <c r="B17361" s="35">
        <v>2</v>
      </c>
      <c r="C17361" s="35">
        <v>1</v>
      </c>
      <c r="D17361" s="2">
        <f t="shared" si="271"/>
        <v>3</v>
      </c>
    </row>
    <row r="17362" spans="1:4" x14ac:dyDescent="0.3">
      <c r="A17362" s="34">
        <v>80538</v>
      </c>
      <c r="B17362" s="35">
        <v>1</v>
      </c>
      <c r="C17362" s="35">
        <v>0</v>
      </c>
      <c r="D17362" s="2">
        <f t="shared" si="271"/>
        <v>1</v>
      </c>
    </row>
    <row r="17363" spans="1:4" x14ac:dyDescent="0.3">
      <c r="A17363" s="34">
        <v>80539</v>
      </c>
      <c r="B17363" s="35">
        <v>1</v>
      </c>
      <c r="C17363" s="35">
        <v>0</v>
      </c>
      <c r="D17363" s="2">
        <f t="shared" si="271"/>
        <v>1</v>
      </c>
    </row>
    <row r="17364" spans="1:4" x14ac:dyDescent="0.3">
      <c r="A17364" s="34">
        <v>80540</v>
      </c>
      <c r="B17364" s="35">
        <v>1</v>
      </c>
      <c r="C17364" s="35">
        <v>0</v>
      </c>
      <c r="D17364" s="2">
        <f t="shared" si="271"/>
        <v>1</v>
      </c>
    </row>
    <row r="17365" spans="1:4" x14ac:dyDescent="0.3">
      <c r="A17365" s="34">
        <v>80541</v>
      </c>
      <c r="B17365" s="35">
        <v>1</v>
      </c>
      <c r="C17365" s="35">
        <v>0</v>
      </c>
      <c r="D17365" s="2">
        <f t="shared" si="271"/>
        <v>1</v>
      </c>
    </row>
    <row r="17366" spans="1:4" x14ac:dyDescent="0.3">
      <c r="A17366" s="34">
        <v>80543</v>
      </c>
      <c r="B17366" s="35">
        <v>1</v>
      </c>
      <c r="C17366" s="35">
        <v>0</v>
      </c>
      <c r="D17366" s="2">
        <f t="shared" si="271"/>
        <v>1</v>
      </c>
    </row>
    <row r="17367" spans="1:4" x14ac:dyDescent="0.3">
      <c r="A17367" s="34">
        <v>80544</v>
      </c>
      <c r="B17367" s="35">
        <v>1</v>
      </c>
      <c r="C17367" s="35">
        <v>0</v>
      </c>
      <c r="D17367" s="2">
        <f t="shared" si="271"/>
        <v>1</v>
      </c>
    </row>
    <row r="17368" spans="1:4" x14ac:dyDescent="0.3">
      <c r="A17368" s="34">
        <v>80545</v>
      </c>
      <c r="B17368" s="35">
        <v>1</v>
      </c>
      <c r="C17368" s="35">
        <v>0</v>
      </c>
      <c r="D17368" s="2">
        <f t="shared" si="271"/>
        <v>1</v>
      </c>
    </row>
    <row r="17369" spans="1:4" x14ac:dyDescent="0.3">
      <c r="A17369" s="34">
        <v>80546</v>
      </c>
      <c r="B17369" s="35">
        <v>1</v>
      </c>
      <c r="C17369" s="35">
        <v>0</v>
      </c>
      <c r="D17369" s="2">
        <f t="shared" si="271"/>
        <v>1</v>
      </c>
    </row>
    <row r="17370" spans="1:4" x14ac:dyDescent="0.3">
      <c r="A17370" s="34">
        <v>80547</v>
      </c>
      <c r="B17370" s="35">
        <v>1</v>
      </c>
      <c r="C17370" s="35">
        <v>0</v>
      </c>
      <c r="D17370" s="2">
        <f t="shared" si="271"/>
        <v>1</v>
      </c>
    </row>
    <row r="17371" spans="1:4" x14ac:dyDescent="0.3">
      <c r="A17371" s="34">
        <v>80548</v>
      </c>
      <c r="B17371" s="35">
        <v>1</v>
      </c>
      <c r="C17371" s="35">
        <v>0</v>
      </c>
      <c r="D17371" s="2">
        <f t="shared" si="271"/>
        <v>1</v>
      </c>
    </row>
    <row r="17372" spans="1:4" x14ac:dyDescent="0.3">
      <c r="A17372" s="34">
        <v>80549</v>
      </c>
      <c r="B17372" s="35">
        <v>1</v>
      </c>
      <c r="C17372" s="35">
        <v>0</v>
      </c>
      <c r="D17372" s="2">
        <f t="shared" si="271"/>
        <v>1</v>
      </c>
    </row>
    <row r="17373" spans="1:4" x14ac:dyDescent="0.3">
      <c r="A17373" s="34">
        <v>80550</v>
      </c>
      <c r="B17373" s="35">
        <v>1</v>
      </c>
      <c r="C17373" s="35">
        <v>0</v>
      </c>
      <c r="D17373" s="2">
        <f t="shared" si="271"/>
        <v>1</v>
      </c>
    </row>
    <row r="17374" spans="1:4" x14ac:dyDescent="0.3">
      <c r="A17374" s="34">
        <v>80551</v>
      </c>
      <c r="B17374" s="35">
        <v>1</v>
      </c>
      <c r="C17374" s="35">
        <v>0</v>
      </c>
      <c r="D17374" s="2">
        <f t="shared" si="271"/>
        <v>1</v>
      </c>
    </row>
    <row r="17375" spans="1:4" x14ac:dyDescent="0.3">
      <c r="A17375" s="34">
        <v>80552</v>
      </c>
      <c r="B17375" s="35">
        <v>1</v>
      </c>
      <c r="C17375" s="35">
        <v>0</v>
      </c>
      <c r="D17375" s="2">
        <f t="shared" si="271"/>
        <v>1</v>
      </c>
    </row>
    <row r="17376" spans="1:4" x14ac:dyDescent="0.3">
      <c r="A17376" s="34">
        <v>80553</v>
      </c>
      <c r="B17376" s="35">
        <v>1</v>
      </c>
      <c r="C17376" s="35">
        <v>0</v>
      </c>
      <c r="D17376" s="2">
        <f t="shared" si="271"/>
        <v>1</v>
      </c>
    </row>
    <row r="17377" spans="1:4" x14ac:dyDescent="0.3">
      <c r="A17377" s="34">
        <v>80554</v>
      </c>
      <c r="B17377" s="35">
        <v>1</v>
      </c>
      <c r="C17377" s="35">
        <v>0</v>
      </c>
      <c r="D17377" s="2">
        <f t="shared" si="271"/>
        <v>1</v>
      </c>
    </row>
    <row r="17378" spans="1:4" x14ac:dyDescent="0.3">
      <c r="A17378" s="34">
        <v>80555</v>
      </c>
      <c r="B17378" s="35">
        <v>1</v>
      </c>
      <c r="C17378" s="35">
        <v>0</v>
      </c>
      <c r="D17378" s="2">
        <f t="shared" si="271"/>
        <v>1</v>
      </c>
    </row>
    <row r="17379" spans="1:4" x14ac:dyDescent="0.3">
      <c r="A17379" s="34">
        <v>80556</v>
      </c>
      <c r="B17379" s="35">
        <v>2</v>
      </c>
      <c r="C17379" s="35">
        <v>1</v>
      </c>
      <c r="D17379" s="2">
        <f t="shared" si="271"/>
        <v>3</v>
      </c>
    </row>
    <row r="17380" spans="1:4" x14ac:dyDescent="0.3">
      <c r="A17380" s="34">
        <v>80557</v>
      </c>
      <c r="B17380" s="35">
        <v>1</v>
      </c>
      <c r="C17380" s="35">
        <v>0</v>
      </c>
      <c r="D17380" s="2">
        <f t="shared" si="271"/>
        <v>1</v>
      </c>
    </row>
    <row r="17381" spans="1:4" x14ac:dyDescent="0.3">
      <c r="A17381" s="34">
        <v>80559</v>
      </c>
      <c r="B17381" s="35">
        <v>1</v>
      </c>
      <c r="C17381" s="35">
        <v>0</v>
      </c>
      <c r="D17381" s="2">
        <f t="shared" si="271"/>
        <v>1</v>
      </c>
    </row>
    <row r="17382" spans="1:4" x14ac:dyDescent="0.3">
      <c r="A17382" s="34">
        <v>80560</v>
      </c>
      <c r="B17382" s="35">
        <v>1</v>
      </c>
      <c r="C17382" s="35">
        <v>0</v>
      </c>
      <c r="D17382" s="2">
        <f t="shared" si="271"/>
        <v>1</v>
      </c>
    </row>
    <row r="17383" spans="1:4" x14ac:dyDescent="0.3">
      <c r="A17383" s="34">
        <v>80561</v>
      </c>
      <c r="B17383" s="35">
        <v>1</v>
      </c>
      <c r="C17383" s="35">
        <v>0</v>
      </c>
      <c r="D17383" s="2">
        <f t="shared" si="271"/>
        <v>1</v>
      </c>
    </row>
    <row r="17384" spans="1:4" x14ac:dyDescent="0.3">
      <c r="A17384" s="34">
        <v>80562</v>
      </c>
      <c r="B17384" s="35">
        <v>1</v>
      </c>
      <c r="C17384" s="35">
        <v>0</v>
      </c>
      <c r="D17384" s="2">
        <f t="shared" si="271"/>
        <v>1</v>
      </c>
    </row>
    <row r="17385" spans="1:4" x14ac:dyDescent="0.3">
      <c r="A17385" s="34">
        <v>80563</v>
      </c>
      <c r="B17385" s="35">
        <v>1</v>
      </c>
      <c r="C17385" s="35">
        <v>0</v>
      </c>
      <c r="D17385" s="2">
        <f t="shared" si="271"/>
        <v>1</v>
      </c>
    </row>
    <row r="17386" spans="1:4" x14ac:dyDescent="0.3">
      <c r="A17386" s="34">
        <v>80573</v>
      </c>
      <c r="B17386" s="35">
        <v>1</v>
      </c>
      <c r="C17386" s="35">
        <v>0</v>
      </c>
      <c r="D17386" s="2">
        <f t="shared" si="271"/>
        <v>1</v>
      </c>
    </row>
    <row r="17387" spans="1:4" x14ac:dyDescent="0.3">
      <c r="A17387" s="34">
        <v>80574</v>
      </c>
      <c r="B17387" s="35">
        <v>1</v>
      </c>
      <c r="C17387" s="35">
        <v>0</v>
      </c>
      <c r="D17387" s="2">
        <f t="shared" si="271"/>
        <v>1</v>
      </c>
    </row>
    <row r="17388" spans="1:4" x14ac:dyDescent="0.3">
      <c r="A17388" s="34">
        <v>80575</v>
      </c>
      <c r="B17388" s="35">
        <v>1</v>
      </c>
      <c r="C17388" s="35">
        <v>0</v>
      </c>
      <c r="D17388" s="2">
        <f t="shared" si="271"/>
        <v>1</v>
      </c>
    </row>
    <row r="17389" spans="1:4" x14ac:dyDescent="0.3">
      <c r="A17389" s="34">
        <v>80576</v>
      </c>
      <c r="B17389" s="35">
        <v>2</v>
      </c>
      <c r="C17389" s="35">
        <v>1</v>
      </c>
      <c r="D17389" s="2">
        <f t="shared" si="271"/>
        <v>3</v>
      </c>
    </row>
    <row r="17390" spans="1:4" x14ac:dyDescent="0.3">
      <c r="A17390" s="34">
        <v>80577</v>
      </c>
      <c r="B17390" s="35">
        <v>1</v>
      </c>
      <c r="C17390" s="35">
        <v>0</v>
      </c>
      <c r="D17390" s="2">
        <f t="shared" si="271"/>
        <v>1</v>
      </c>
    </row>
    <row r="17391" spans="1:4" x14ac:dyDescent="0.3">
      <c r="A17391" s="34">
        <v>80578</v>
      </c>
      <c r="B17391" s="35">
        <v>1</v>
      </c>
      <c r="C17391" s="35">
        <v>0</v>
      </c>
      <c r="D17391" s="2">
        <f t="shared" si="271"/>
        <v>1</v>
      </c>
    </row>
    <row r="17392" spans="1:4" x14ac:dyDescent="0.3">
      <c r="A17392" s="34">
        <v>80579</v>
      </c>
      <c r="B17392" s="35">
        <v>2</v>
      </c>
      <c r="C17392" s="35">
        <v>1</v>
      </c>
      <c r="D17392" s="2">
        <f t="shared" si="271"/>
        <v>3</v>
      </c>
    </row>
    <row r="17393" spans="1:4" x14ac:dyDescent="0.3">
      <c r="A17393" s="34">
        <v>80580</v>
      </c>
      <c r="B17393" s="35">
        <v>1</v>
      </c>
      <c r="C17393" s="35">
        <v>0</v>
      </c>
      <c r="D17393" s="2">
        <f t="shared" si="271"/>
        <v>1</v>
      </c>
    </row>
    <row r="17394" spans="1:4" x14ac:dyDescent="0.3">
      <c r="A17394" s="34">
        <v>80581</v>
      </c>
      <c r="B17394" s="35">
        <v>1</v>
      </c>
      <c r="C17394" s="35">
        <v>0</v>
      </c>
      <c r="D17394" s="2">
        <f t="shared" si="271"/>
        <v>1</v>
      </c>
    </row>
    <row r="17395" spans="1:4" x14ac:dyDescent="0.3">
      <c r="A17395" s="34">
        <v>80582</v>
      </c>
      <c r="B17395" s="35">
        <v>1</v>
      </c>
      <c r="C17395" s="35">
        <v>0</v>
      </c>
      <c r="D17395" s="2">
        <f t="shared" si="271"/>
        <v>1</v>
      </c>
    </row>
    <row r="17396" spans="1:4" x14ac:dyDescent="0.3">
      <c r="A17396" s="34">
        <v>80583</v>
      </c>
      <c r="B17396" s="35">
        <v>2</v>
      </c>
      <c r="C17396" s="35">
        <v>1</v>
      </c>
      <c r="D17396" s="2">
        <f t="shared" si="271"/>
        <v>3</v>
      </c>
    </row>
    <row r="17397" spans="1:4" x14ac:dyDescent="0.3">
      <c r="A17397" s="34">
        <v>80584</v>
      </c>
      <c r="B17397" s="35">
        <v>1</v>
      </c>
      <c r="C17397" s="35">
        <v>0</v>
      </c>
      <c r="D17397" s="2">
        <f t="shared" si="271"/>
        <v>1</v>
      </c>
    </row>
    <row r="17398" spans="1:4" x14ac:dyDescent="0.3">
      <c r="A17398" s="34">
        <v>80585</v>
      </c>
      <c r="B17398" s="35">
        <v>1</v>
      </c>
      <c r="C17398" s="35">
        <v>0</v>
      </c>
      <c r="D17398" s="2">
        <f t="shared" si="271"/>
        <v>1</v>
      </c>
    </row>
    <row r="17399" spans="1:4" x14ac:dyDescent="0.3">
      <c r="A17399" s="34">
        <v>80586</v>
      </c>
      <c r="B17399" s="35">
        <v>1</v>
      </c>
      <c r="C17399" s="35">
        <v>0</v>
      </c>
      <c r="D17399" s="2">
        <f t="shared" si="271"/>
        <v>1</v>
      </c>
    </row>
    <row r="17400" spans="1:4" x14ac:dyDescent="0.3">
      <c r="A17400" s="34">
        <v>80587</v>
      </c>
      <c r="B17400" s="35">
        <v>2</v>
      </c>
      <c r="C17400" s="35">
        <v>1</v>
      </c>
      <c r="D17400" s="2">
        <f t="shared" si="271"/>
        <v>3</v>
      </c>
    </row>
    <row r="17401" spans="1:4" x14ac:dyDescent="0.3">
      <c r="A17401" s="34">
        <v>80588</v>
      </c>
      <c r="B17401" s="35">
        <v>1</v>
      </c>
      <c r="C17401" s="35">
        <v>0</v>
      </c>
      <c r="D17401" s="2">
        <f t="shared" si="271"/>
        <v>1</v>
      </c>
    </row>
    <row r="17402" spans="1:4" x14ac:dyDescent="0.3">
      <c r="A17402" s="34">
        <v>80589</v>
      </c>
      <c r="B17402" s="35">
        <v>1</v>
      </c>
      <c r="C17402" s="35">
        <v>0</v>
      </c>
      <c r="D17402" s="2">
        <f t="shared" si="271"/>
        <v>1</v>
      </c>
    </row>
    <row r="17403" spans="1:4" x14ac:dyDescent="0.3">
      <c r="A17403" s="34">
        <v>80590</v>
      </c>
      <c r="B17403" s="35">
        <v>2</v>
      </c>
      <c r="C17403" s="35">
        <v>1</v>
      </c>
      <c r="D17403" s="2">
        <f t="shared" si="271"/>
        <v>3</v>
      </c>
    </row>
    <row r="17404" spans="1:4" x14ac:dyDescent="0.3">
      <c r="A17404" s="34">
        <v>80591</v>
      </c>
      <c r="B17404" s="35">
        <v>1</v>
      </c>
      <c r="C17404" s="35">
        <v>0</v>
      </c>
      <c r="D17404" s="2">
        <f t="shared" si="271"/>
        <v>1</v>
      </c>
    </row>
    <row r="17405" spans="1:4" x14ac:dyDescent="0.3">
      <c r="A17405" s="34">
        <v>80592</v>
      </c>
      <c r="B17405" s="35">
        <v>1</v>
      </c>
      <c r="C17405" s="35">
        <v>0</v>
      </c>
      <c r="D17405" s="2">
        <f t="shared" si="271"/>
        <v>1</v>
      </c>
    </row>
    <row r="17406" spans="1:4" x14ac:dyDescent="0.3">
      <c r="A17406" s="34">
        <v>80593</v>
      </c>
      <c r="B17406" s="35">
        <v>1</v>
      </c>
      <c r="C17406" s="35">
        <v>0</v>
      </c>
      <c r="D17406" s="2">
        <f t="shared" si="271"/>
        <v>1</v>
      </c>
    </row>
    <row r="17407" spans="1:4" x14ac:dyDescent="0.3">
      <c r="A17407" s="34">
        <v>80594</v>
      </c>
      <c r="B17407" s="35">
        <v>1</v>
      </c>
      <c r="C17407" s="35">
        <v>0</v>
      </c>
      <c r="D17407" s="2">
        <f t="shared" si="271"/>
        <v>1</v>
      </c>
    </row>
    <row r="17408" spans="1:4" x14ac:dyDescent="0.3">
      <c r="A17408" s="34">
        <v>80595</v>
      </c>
      <c r="B17408" s="35">
        <v>1</v>
      </c>
      <c r="C17408" s="35">
        <v>0</v>
      </c>
      <c r="D17408" s="2">
        <f t="shared" si="271"/>
        <v>1</v>
      </c>
    </row>
    <row r="17409" spans="1:4" x14ac:dyDescent="0.3">
      <c r="A17409" s="34">
        <v>80596</v>
      </c>
      <c r="B17409" s="35">
        <v>1</v>
      </c>
      <c r="C17409" s="35">
        <v>0</v>
      </c>
      <c r="D17409" s="2">
        <f t="shared" si="271"/>
        <v>1</v>
      </c>
    </row>
    <row r="17410" spans="1:4" x14ac:dyDescent="0.3">
      <c r="A17410" s="34">
        <v>80597</v>
      </c>
      <c r="B17410" s="35">
        <v>1</v>
      </c>
      <c r="C17410" s="35">
        <v>0</v>
      </c>
      <c r="D17410" s="2">
        <f t="shared" si="271"/>
        <v>1</v>
      </c>
    </row>
    <row r="17411" spans="1:4" x14ac:dyDescent="0.3">
      <c r="A17411" s="34">
        <v>80598</v>
      </c>
      <c r="B17411" s="35">
        <v>1</v>
      </c>
      <c r="C17411" s="35">
        <v>0</v>
      </c>
      <c r="D17411" s="2">
        <f t="shared" ref="D17411:D17474" si="272">B17411+C17411</f>
        <v>1</v>
      </c>
    </row>
    <row r="17412" spans="1:4" x14ac:dyDescent="0.3">
      <c r="A17412" s="34">
        <v>80599</v>
      </c>
      <c r="B17412" s="35">
        <v>1</v>
      </c>
      <c r="C17412" s="35">
        <v>0</v>
      </c>
      <c r="D17412" s="2">
        <f t="shared" si="272"/>
        <v>1</v>
      </c>
    </row>
    <row r="17413" spans="1:4" x14ac:dyDescent="0.3">
      <c r="A17413" s="34">
        <v>80600</v>
      </c>
      <c r="B17413" s="35">
        <v>1</v>
      </c>
      <c r="C17413" s="35">
        <v>0</v>
      </c>
      <c r="D17413" s="2">
        <f t="shared" si="272"/>
        <v>1</v>
      </c>
    </row>
    <row r="17414" spans="1:4" x14ac:dyDescent="0.3">
      <c r="A17414" s="34">
        <v>80601</v>
      </c>
      <c r="B17414" s="35">
        <v>1</v>
      </c>
      <c r="C17414" s="35">
        <v>0</v>
      </c>
      <c r="D17414" s="2">
        <f t="shared" si="272"/>
        <v>1</v>
      </c>
    </row>
    <row r="17415" spans="1:4" x14ac:dyDescent="0.3">
      <c r="A17415" s="34">
        <v>80602</v>
      </c>
      <c r="B17415" s="35">
        <v>1</v>
      </c>
      <c r="C17415" s="35">
        <v>0</v>
      </c>
      <c r="D17415" s="2">
        <f t="shared" si="272"/>
        <v>1</v>
      </c>
    </row>
    <row r="17416" spans="1:4" x14ac:dyDescent="0.3">
      <c r="A17416" s="34">
        <v>80603</v>
      </c>
      <c r="B17416" s="35">
        <v>1</v>
      </c>
      <c r="C17416" s="35">
        <v>0</v>
      </c>
      <c r="D17416" s="2">
        <f t="shared" si="272"/>
        <v>1</v>
      </c>
    </row>
    <row r="17417" spans="1:4" x14ac:dyDescent="0.3">
      <c r="A17417" s="34">
        <v>80604</v>
      </c>
      <c r="B17417" s="35">
        <v>1</v>
      </c>
      <c r="C17417" s="35">
        <v>0</v>
      </c>
      <c r="D17417" s="2">
        <f t="shared" si="272"/>
        <v>1</v>
      </c>
    </row>
    <row r="17418" spans="1:4" x14ac:dyDescent="0.3">
      <c r="A17418" s="34">
        <v>80605</v>
      </c>
      <c r="B17418" s="35">
        <v>1</v>
      </c>
      <c r="C17418" s="35">
        <v>0</v>
      </c>
      <c r="D17418" s="2">
        <f t="shared" si="272"/>
        <v>1</v>
      </c>
    </row>
    <row r="17419" spans="1:4" x14ac:dyDescent="0.3">
      <c r="A17419" s="34">
        <v>80606</v>
      </c>
      <c r="B17419" s="35">
        <v>1</v>
      </c>
      <c r="C17419" s="35">
        <v>0</v>
      </c>
      <c r="D17419" s="2">
        <f t="shared" si="272"/>
        <v>1</v>
      </c>
    </row>
    <row r="17420" spans="1:4" x14ac:dyDescent="0.3">
      <c r="A17420" s="34">
        <v>80607</v>
      </c>
      <c r="B17420" s="35">
        <v>1</v>
      </c>
      <c r="C17420" s="35">
        <v>0</v>
      </c>
      <c r="D17420" s="2">
        <f t="shared" si="272"/>
        <v>1</v>
      </c>
    </row>
    <row r="17421" spans="1:4" x14ac:dyDescent="0.3">
      <c r="A17421" s="34">
        <v>80608</v>
      </c>
      <c r="B17421" s="35">
        <v>1</v>
      </c>
      <c r="C17421" s="35">
        <v>0</v>
      </c>
      <c r="D17421" s="2">
        <f t="shared" si="272"/>
        <v>1</v>
      </c>
    </row>
    <row r="17422" spans="1:4" x14ac:dyDescent="0.3">
      <c r="A17422" s="34">
        <v>80609</v>
      </c>
      <c r="B17422" s="35">
        <v>1</v>
      </c>
      <c r="C17422" s="35">
        <v>0</v>
      </c>
      <c r="D17422" s="2">
        <f t="shared" si="272"/>
        <v>1</v>
      </c>
    </row>
    <row r="17423" spans="1:4" x14ac:dyDescent="0.3">
      <c r="A17423" s="34">
        <v>80610</v>
      </c>
      <c r="B17423" s="35">
        <v>1</v>
      </c>
      <c r="C17423" s="35">
        <v>0</v>
      </c>
      <c r="D17423" s="2">
        <f t="shared" si="272"/>
        <v>1</v>
      </c>
    </row>
    <row r="17424" spans="1:4" x14ac:dyDescent="0.3">
      <c r="A17424" s="34">
        <v>80611</v>
      </c>
      <c r="B17424" s="35">
        <v>1</v>
      </c>
      <c r="C17424" s="35">
        <v>0</v>
      </c>
      <c r="D17424" s="2">
        <f t="shared" si="272"/>
        <v>1</v>
      </c>
    </row>
    <row r="17425" spans="1:4" x14ac:dyDescent="0.3">
      <c r="A17425" s="34">
        <v>80612</v>
      </c>
      <c r="B17425" s="35">
        <v>1</v>
      </c>
      <c r="C17425" s="35">
        <v>0</v>
      </c>
      <c r="D17425" s="2">
        <f t="shared" si="272"/>
        <v>1</v>
      </c>
    </row>
    <row r="17426" spans="1:4" x14ac:dyDescent="0.3">
      <c r="A17426" s="34">
        <v>80613</v>
      </c>
      <c r="B17426" s="35">
        <v>1</v>
      </c>
      <c r="C17426" s="35">
        <v>0</v>
      </c>
      <c r="D17426" s="2">
        <f t="shared" si="272"/>
        <v>1</v>
      </c>
    </row>
    <row r="17427" spans="1:4" x14ac:dyDescent="0.3">
      <c r="A17427" s="34">
        <v>80614</v>
      </c>
      <c r="B17427" s="35">
        <v>1</v>
      </c>
      <c r="C17427" s="35">
        <v>0</v>
      </c>
      <c r="D17427" s="2">
        <f t="shared" si="272"/>
        <v>1</v>
      </c>
    </row>
    <row r="17428" spans="1:4" x14ac:dyDescent="0.3">
      <c r="A17428" s="34">
        <v>80615</v>
      </c>
      <c r="B17428" s="35">
        <v>1</v>
      </c>
      <c r="C17428" s="35">
        <v>0</v>
      </c>
      <c r="D17428" s="2">
        <f t="shared" si="272"/>
        <v>1</v>
      </c>
    </row>
    <row r="17429" spans="1:4" x14ac:dyDescent="0.3">
      <c r="A17429" s="34">
        <v>80616</v>
      </c>
      <c r="B17429" s="35">
        <v>1</v>
      </c>
      <c r="C17429" s="35">
        <v>0</v>
      </c>
      <c r="D17429" s="2">
        <f t="shared" si="272"/>
        <v>1</v>
      </c>
    </row>
    <row r="17430" spans="1:4" x14ac:dyDescent="0.3">
      <c r="A17430" s="34">
        <v>80617</v>
      </c>
      <c r="B17430" s="35">
        <v>1</v>
      </c>
      <c r="C17430" s="35">
        <v>0</v>
      </c>
      <c r="D17430" s="2">
        <f t="shared" si="272"/>
        <v>1</v>
      </c>
    </row>
    <row r="17431" spans="1:4" x14ac:dyDescent="0.3">
      <c r="A17431" s="34">
        <v>80618</v>
      </c>
      <c r="B17431" s="35">
        <v>1</v>
      </c>
      <c r="C17431" s="35">
        <v>0</v>
      </c>
      <c r="D17431" s="2">
        <f t="shared" si="272"/>
        <v>1</v>
      </c>
    </row>
    <row r="17432" spans="1:4" x14ac:dyDescent="0.3">
      <c r="A17432" s="34">
        <v>80619</v>
      </c>
      <c r="B17432" s="35">
        <v>1</v>
      </c>
      <c r="C17432" s="35">
        <v>0</v>
      </c>
      <c r="D17432" s="2">
        <f t="shared" si="272"/>
        <v>1</v>
      </c>
    </row>
    <row r="17433" spans="1:4" x14ac:dyDescent="0.3">
      <c r="A17433" s="34">
        <v>80620</v>
      </c>
      <c r="B17433" s="35">
        <v>1</v>
      </c>
      <c r="C17433" s="35">
        <v>0</v>
      </c>
      <c r="D17433" s="2">
        <f t="shared" si="272"/>
        <v>1</v>
      </c>
    </row>
    <row r="17434" spans="1:4" x14ac:dyDescent="0.3">
      <c r="A17434" s="34">
        <v>80621</v>
      </c>
      <c r="B17434" s="35">
        <v>1</v>
      </c>
      <c r="C17434" s="35">
        <v>0</v>
      </c>
      <c r="D17434" s="2">
        <f t="shared" si="272"/>
        <v>1</v>
      </c>
    </row>
    <row r="17435" spans="1:4" x14ac:dyDescent="0.3">
      <c r="A17435" s="34">
        <v>80622</v>
      </c>
      <c r="B17435" s="35">
        <v>1</v>
      </c>
      <c r="C17435" s="35">
        <v>0</v>
      </c>
      <c r="D17435" s="2">
        <f t="shared" si="272"/>
        <v>1</v>
      </c>
    </row>
    <row r="17436" spans="1:4" x14ac:dyDescent="0.3">
      <c r="A17436" s="34">
        <v>80623</v>
      </c>
      <c r="B17436" s="35">
        <v>1</v>
      </c>
      <c r="C17436" s="35">
        <v>0</v>
      </c>
      <c r="D17436" s="2">
        <f t="shared" si="272"/>
        <v>1</v>
      </c>
    </row>
    <row r="17437" spans="1:4" x14ac:dyDescent="0.3">
      <c r="A17437" s="34">
        <v>80624</v>
      </c>
      <c r="B17437" s="35">
        <v>1</v>
      </c>
      <c r="C17437" s="35">
        <v>0</v>
      </c>
      <c r="D17437" s="2">
        <f t="shared" si="272"/>
        <v>1</v>
      </c>
    </row>
    <row r="17438" spans="1:4" x14ac:dyDescent="0.3">
      <c r="A17438" s="34">
        <v>80625</v>
      </c>
      <c r="B17438" s="35">
        <v>1</v>
      </c>
      <c r="C17438" s="35">
        <v>0</v>
      </c>
      <c r="D17438" s="2">
        <f t="shared" si="272"/>
        <v>1</v>
      </c>
    </row>
    <row r="17439" spans="1:4" x14ac:dyDescent="0.3">
      <c r="A17439" s="34">
        <v>80626</v>
      </c>
      <c r="B17439" s="35">
        <v>1</v>
      </c>
      <c r="C17439" s="35">
        <v>0</v>
      </c>
      <c r="D17439" s="2">
        <f t="shared" si="272"/>
        <v>1</v>
      </c>
    </row>
    <row r="17440" spans="1:4" x14ac:dyDescent="0.3">
      <c r="A17440" s="34">
        <v>80627</v>
      </c>
      <c r="B17440" s="35">
        <v>2</v>
      </c>
      <c r="C17440" s="35">
        <v>1</v>
      </c>
      <c r="D17440" s="2">
        <f t="shared" si="272"/>
        <v>3</v>
      </c>
    </row>
    <row r="17441" spans="1:4" x14ac:dyDescent="0.3">
      <c r="A17441" s="34">
        <v>80629</v>
      </c>
      <c r="B17441" s="35">
        <v>1</v>
      </c>
      <c r="C17441" s="35">
        <v>0</v>
      </c>
      <c r="D17441" s="2">
        <f t="shared" si="272"/>
        <v>1</v>
      </c>
    </row>
    <row r="17442" spans="1:4" x14ac:dyDescent="0.3">
      <c r="A17442" s="34">
        <v>80630</v>
      </c>
      <c r="B17442" s="35">
        <v>1</v>
      </c>
      <c r="C17442" s="35">
        <v>0</v>
      </c>
      <c r="D17442" s="2">
        <f t="shared" si="272"/>
        <v>1</v>
      </c>
    </row>
    <row r="17443" spans="1:4" x14ac:dyDescent="0.3">
      <c r="A17443" s="34">
        <v>80631</v>
      </c>
      <c r="B17443" s="35">
        <v>1</v>
      </c>
      <c r="C17443" s="35">
        <v>0</v>
      </c>
      <c r="D17443" s="2">
        <f t="shared" si="272"/>
        <v>1</v>
      </c>
    </row>
    <row r="17444" spans="1:4" x14ac:dyDescent="0.3">
      <c r="A17444" s="34">
        <v>80632</v>
      </c>
      <c r="B17444" s="35">
        <v>1</v>
      </c>
      <c r="C17444" s="35">
        <v>0</v>
      </c>
      <c r="D17444" s="2">
        <f t="shared" si="272"/>
        <v>1</v>
      </c>
    </row>
    <row r="17445" spans="1:4" x14ac:dyDescent="0.3">
      <c r="A17445" s="34">
        <v>80633</v>
      </c>
      <c r="B17445" s="35">
        <v>1</v>
      </c>
      <c r="C17445" s="35">
        <v>0</v>
      </c>
      <c r="D17445" s="2">
        <f t="shared" si="272"/>
        <v>1</v>
      </c>
    </row>
    <row r="17446" spans="1:4" x14ac:dyDescent="0.3">
      <c r="A17446" s="34">
        <v>80635</v>
      </c>
      <c r="B17446" s="35">
        <v>1</v>
      </c>
      <c r="C17446" s="35">
        <v>0</v>
      </c>
      <c r="D17446" s="2">
        <f t="shared" si="272"/>
        <v>1</v>
      </c>
    </row>
    <row r="17447" spans="1:4" x14ac:dyDescent="0.3">
      <c r="A17447" s="34">
        <v>80636</v>
      </c>
      <c r="B17447" s="35">
        <v>1</v>
      </c>
      <c r="C17447" s="35">
        <v>0</v>
      </c>
      <c r="D17447" s="2">
        <f t="shared" si="272"/>
        <v>1</v>
      </c>
    </row>
    <row r="17448" spans="1:4" x14ac:dyDescent="0.3">
      <c r="A17448" s="34">
        <v>80637</v>
      </c>
      <c r="B17448" s="35">
        <v>1</v>
      </c>
      <c r="C17448" s="35">
        <v>0</v>
      </c>
      <c r="D17448" s="2">
        <f t="shared" si="272"/>
        <v>1</v>
      </c>
    </row>
    <row r="17449" spans="1:4" x14ac:dyDescent="0.3">
      <c r="A17449" s="34">
        <v>80638</v>
      </c>
      <c r="B17449" s="35">
        <v>1</v>
      </c>
      <c r="C17449" s="35">
        <v>0</v>
      </c>
      <c r="D17449" s="2">
        <f t="shared" si="272"/>
        <v>1</v>
      </c>
    </row>
    <row r="17450" spans="1:4" x14ac:dyDescent="0.3">
      <c r="A17450" s="34">
        <v>80646</v>
      </c>
      <c r="B17450" s="35">
        <v>1</v>
      </c>
      <c r="C17450" s="35">
        <v>0</v>
      </c>
      <c r="D17450" s="2">
        <f t="shared" si="272"/>
        <v>1</v>
      </c>
    </row>
    <row r="17451" spans="1:4" x14ac:dyDescent="0.3">
      <c r="A17451" s="34">
        <v>80647</v>
      </c>
      <c r="B17451" s="35">
        <v>1</v>
      </c>
      <c r="C17451" s="35">
        <v>0</v>
      </c>
      <c r="D17451" s="2">
        <f t="shared" si="272"/>
        <v>1</v>
      </c>
    </row>
    <row r="17452" spans="1:4" x14ac:dyDescent="0.3">
      <c r="A17452" s="34">
        <v>80648</v>
      </c>
      <c r="B17452" s="35">
        <v>1</v>
      </c>
      <c r="C17452" s="35">
        <v>0</v>
      </c>
      <c r="D17452" s="2">
        <f t="shared" si="272"/>
        <v>1</v>
      </c>
    </row>
    <row r="17453" spans="1:4" x14ac:dyDescent="0.3">
      <c r="A17453" s="34">
        <v>80649</v>
      </c>
      <c r="B17453" s="35">
        <v>1</v>
      </c>
      <c r="C17453" s="35">
        <v>0</v>
      </c>
      <c r="D17453" s="2">
        <f t="shared" si="272"/>
        <v>1</v>
      </c>
    </row>
    <row r="17454" spans="1:4" x14ac:dyDescent="0.3">
      <c r="A17454" s="34">
        <v>80650</v>
      </c>
      <c r="B17454" s="35">
        <v>1</v>
      </c>
      <c r="C17454" s="35">
        <v>0</v>
      </c>
      <c r="D17454" s="2">
        <f t="shared" si="272"/>
        <v>1</v>
      </c>
    </row>
    <row r="17455" spans="1:4" x14ac:dyDescent="0.3">
      <c r="A17455" s="34">
        <v>80651</v>
      </c>
      <c r="B17455" s="35">
        <v>2</v>
      </c>
      <c r="C17455" s="35">
        <v>1</v>
      </c>
      <c r="D17455" s="2">
        <f t="shared" si="272"/>
        <v>3</v>
      </c>
    </row>
    <row r="17456" spans="1:4" x14ac:dyDescent="0.3">
      <c r="A17456" s="34">
        <v>80652</v>
      </c>
      <c r="B17456" s="35">
        <v>1</v>
      </c>
      <c r="C17456" s="35">
        <v>0</v>
      </c>
      <c r="D17456" s="2">
        <f t="shared" si="272"/>
        <v>1</v>
      </c>
    </row>
    <row r="17457" spans="1:4" x14ac:dyDescent="0.3">
      <c r="A17457" s="34">
        <v>80653</v>
      </c>
      <c r="B17457" s="35">
        <v>2</v>
      </c>
      <c r="C17457" s="35">
        <v>1</v>
      </c>
      <c r="D17457" s="2">
        <f t="shared" si="272"/>
        <v>3</v>
      </c>
    </row>
    <row r="17458" spans="1:4" x14ac:dyDescent="0.3">
      <c r="A17458" s="34">
        <v>80654</v>
      </c>
      <c r="B17458" s="35">
        <v>1</v>
      </c>
      <c r="C17458" s="35">
        <v>0</v>
      </c>
      <c r="D17458" s="2">
        <f t="shared" si="272"/>
        <v>1</v>
      </c>
    </row>
    <row r="17459" spans="1:4" x14ac:dyDescent="0.3">
      <c r="A17459" s="34">
        <v>80655</v>
      </c>
      <c r="B17459" s="35">
        <v>1</v>
      </c>
      <c r="C17459" s="35">
        <v>0</v>
      </c>
      <c r="D17459" s="2">
        <f t="shared" si="272"/>
        <v>1</v>
      </c>
    </row>
    <row r="17460" spans="1:4" x14ac:dyDescent="0.3">
      <c r="A17460" s="34">
        <v>80656</v>
      </c>
      <c r="B17460" s="35">
        <v>1</v>
      </c>
      <c r="C17460" s="35">
        <v>0</v>
      </c>
      <c r="D17460" s="2">
        <f t="shared" si="272"/>
        <v>1</v>
      </c>
    </row>
    <row r="17461" spans="1:4" x14ac:dyDescent="0.3">
      <c r="A17461" s="34">
        <v>80657</v>
      </c>
      <c r="B17461" s="35">
        <v>1</v>
      </c>
      <c r="C17461" s="35">
        <v>0</v>
      </c>
      <c r="D17461" s="2">
        <f t="shared" si="272"/>
        <v>1</v>
      </c>
    </row>
    <row r="17462" spans="1:4" x14ac:dyDescent="0.3">
      <c r="A17462" s="34">
        <v>80658</v>
      </c>
      <c r="B17462" s="35">
        <v>2</v>
      </c>
      <c r="C17462" s="35">
        <v>1</v>
      </c>
      <c r="D17462" s="2">
        <f t="shared" si="272"/>
        <v>3</v>
      </c>
    </row>
    <row r="17463" spans="1:4" x14ac:dyDescent="0.3">
      <c r="A17463" s="34">
        <v>80659</v>
      </c>
      <c r="B17463" s="35">
        <v>1</v>
      </c>
      <c r="C17463" s="35">
        <v>0</v>
      </c>
      <c r="D17463" s="2">
        <f t="shared" si="272"/>
        <v>1</v>
      </c>
    </row>
    <row r="17464" spans="1:4" x14ac:dyDescent="0.3">
      <c r="A17464" s="34">
        <v>80660</v>
      </c>
      <c r="B17464" s="35">
        <v>2</v>
      </c>
      <c r="C17464" s="35">
        <v>1</v>
      </c>
      <c r="D17464" s="2">
        <f t="shared" si="272"/>
        <v>3</v>
      </c>
    </row>
    <row r="17465" spans="1:4" x14ac:dyDescent="0.3">
      <c r="A17465" s="34">
        <v>80661</v>
      </c>
      <c r="B17465" s="35">
        <v>1</v>
      </c>
      <c r="C17465" s="35">
        <v>0</v>
      </c>
      <c r="D17465" s="2">
        <f t="shared" si="272"/>
        <v>1</v>
      </c>
    </row>
    <row r="17466" spans="1:4" x14ac:dyDescent="0.3">
      <c r="A17466" s="34">
        <v>80662</v>
      </c>
      <c r="B17466" s="35">
        <v>1</v>
      </c>
      <c r="C17466" s="35">
        <v>0</v>
      </c>
      <c r="D17466" s="2">
        <f t="shared" si="272"/>
        <v>1</v>
      </c>
    </row>
    <row r="17467" spans="1:4" x14ac:dyDescent="0.3">
      <c r="A17467" s="34">
        <v>80663</v>
      </c>
      <c r="B17467" s="35">
        <v>1</v>
      </c>
      <c r="C17467" s="35">
        <v>0</v>
      </c>
      <c r="D17467" s="2">
        <f t="shared" si="272"/>
        <v>1</v>
      </c>
    </row>
    <row r="17468" spans="1:4" x14ac:dyDescent="0.3">
      <c r="A17468" s="34">
        <v>80664</v>
      </c>
      <c r="B17468" s="35">
        <v>1</v>
      </c>
      <c r="C17468" s="35">
        <v>0</v>
      </c>
      <c r="D17468" s="2">
        <f t="shared" si="272"/>
        <v>1</v>
      </c>
    </row>
    <row r="17469" spans="1:4" x14ac:dyDescent="0.3">
      <c r="A17469" s="34">
        <v>80665</v>
      </c>
      <c r="B17469" s="35">
        <v>1</v>
      </c>
      <c r="C17469" s="35">
        <v>0</v>
      </c>
      <c r="D17469" s="2">
        <f t="shared" si="272"/>
        <v>1</v>
      </c>
    </row>
    <row r="17470" spans="1:4" x14ac:dyDescent="0.3">
      <c r="A17470" s="34">
        <v>80666</v>
      </c>
      <c r="B17470" s="35">
        <v>1</v>
      </c>
      <c r="C17470" s="35">
        <v>0</v>
      </c>
      <c r="D17470" s="2">
        <f t="shared" si="272"/>
        <v>1</v>
      </c>
    </row>
    <row r="17471" spans="1:4" x14ac:dyDescent="0.3">
      <c r="A17471" s="34">
        <v>80667</v>
      </c>
      <c r="B17471" s="35">
        <v>1</v>
      </c>
      <c r="C17471" s="35">
        <v>0</v>
      </c>
      <c r="D17471" s="2">
        <f t="shared" si="272"/>
        <v>1</v>
      </c>
    </row>
    <row r="17472" spans="1:4" x14ac:dyDescent="0.3">
      <c r="A17472" s="34">
        <v>80668</v>
      </c>
      <c r="B17472" s="35">
        <v>1</v>
      </c>
      <c r="C17472" s="35">
        <v>0</v>
      </c>
      <c r="D17472" s="2">
        <f t="shared" si="272"/>
        <v>1</v>
      </c>
    </row>
    <row r="17473" spans="1:4" x14ac:dyDescent="0.3">
      <c r="A17473" s="34">
        <v>80669</v>
      </c>
      <c r="B17473" s="35">
        <v>1</v>
      </c>
      <c r="C17473" s="35">
        <v>0</v>
      </c>
      <c r="D17473" s="2">
        <f t="shared" si="272"/>
        <v>1</v>
      </c>
    </row>
    <row r="17474" spans="1:4" x14ac:dyDescent="0.3">
      <c r="A17474" s="34">
        <v>80670</v>
      </c>
      <c r="B17474" s="35">
        <v>1</v>
      </c>
      <c r="C17474" s="35">
        <v>0</v>
      </c>
      <c r="D17474" s="2">
        <f t="shared" si="272"/>
        <v>1</v>
      </c>
    </row>
    <row r="17475" spans="1:4" x14ac:dyDescent="0.3">
      <c r="A17475" s="34">
        <v>80672</v>
      </c>
      <c r="B17475" s="35">
        <v>1</v>
      </c>
      <c r="C17475" s="35">
        <v>0</v>
      </c>
      <c r="D17475" s="2">
        <f t="shared" ref="D17475:D17538" si="273">B17475+C17475</f>
        <v>1</v>
      </c>
    </row>
    <row r="17476" spans="1:4" x14ac:dyDescent="0.3">
      <c r="A17476" s="34">
        <v>80673</v>
      </c>
      <c r="B17476" s="35">
        <v>1</v>
      </c>
      <c r="C17476" s="35">
        <v>0</v>
      </c>
      <c r="D17476" s="2">
        <f t="shared" si="273"/>
        <v>1</v>
      </c>
    </row>
    <row r="17477" spans="1:4" x14ac:dyDescent="0.3">
      <c r="A17477" s="34">
        <v>80674</v>
      </c>
      <c r="B17477" s="35">
        <v>2</v>
      </c>
      <c r="C17477" s="35">
        <v>0</v>
      </c>
      <c r="D17477" s="2">
        <f t="shared" si="273"/>
        <v>2</v>
      </c>
    </row>
    <row r="17478" spans="1:4" x14ac:dyDescent="0.3">
      <c r="A17478" s="34">
        <v>80675</v>
      </c>
      <c r="B17478" s="35">
        <v>1</v>
      </c>
      <c r="C17478" s="35">
        <v>0</v>
      </c>
      <c r="D17478" s="2">
        <f t="shared" si="273"/>
        <v>1</v>
      </c>
    </row>
    <row r="17479" spans="1:4" x14ac:dyDescent="0.3">
      <c r="A17479" s="34">
        <v>80676</v>
      </c>
      <c r="B17479" s="35">
        <v>1</v>
      </c>
      <c r="C17479" s="35">
        <v>0</v>
      </c>
      <c r="D17479" s="2">
        <f t="shared" si="273"/>
        <v>1</v>
      </c>
    </row>
    <row r="17480" spans="1:4" x14ac:dyDescent="0.3">
      <c r="A17480" s="34">
        <v>80677</v>
      </c>
      <c r="B17480" s="35">
        <v>1</v>
      </c>
      <c r="C17480" s="35">
        <v>0</v>
      </c>
      <c r="D17480" s="2">
        <f t="shared" si="273"/>
        <v>1</v>
      </c>
    </row>
    <row r="17481" spans="1:4" x14ac:dyDescent="0.3">
      <c r="A17481" s="34">
        <v>80678</v>
      </c>
      <c r="B17481" s="35">
        <v>1</v>
      </c>
      <c r="C17481" s="35">
        <v>0</v>
      </c>
      <c r="D17481" s="2">
        <f t="shared" si="273"/>
        <v>1</v>
      </c>
    </row>
    <row r="17482" spans="1:4" x14ac:dyDescent="0.3">
      <c r="A17482" s="34">
        <v>80679</v>
      </c>
      <c r="B17482" s="35">
        <v>1</v>
      </c>
      <c r="C17482" s="35">
        <v>0</v>
      </c>
      <c r="D17482" s="2">
        <f t="shared" si="273"/>
        <v>1</v>
      </c>
    </row>
    <row r="17483" spans="1:4" x14ac:dyDescent="0.3">
      <c r="A17483" s="34">
        <v>80680</v>
      </c>
      <c r="B17483" s="35">
        <v>1</v>
      </c>
      <c r="C17483" s="35">
        <v>0</v>
      </c>
      <c r="D17483" s="2">
        <f t="shared" si="273"/>
        <v>1</v>
      </c>
    </row>
    <row r="17484" spans="1:4" x14ac:dyDescent="0.3">
      <c r="A17484" s="34">
        <v>80681</v>
      </c>
      <c r="B17484" s="35">
        <v>1</v>
      </c>
      <c r="C17484" s="35">
        <v>0</v>
      </c>
      <c r="D17484" s="2">
        <f t="shared" si="273"/>
        <v>1</v>
      </c>
    </row>
    <row r="17485" spans="1:4" x14ac:dyDescent="0.3">
      <c r="A17485" s="34">
        <v>80682</v>
      </c>
      <c r="B17485" s="35">
        <v>1</v>
      </c>
      <c r="C17485" s="35">
        <v>0</v>
      </c>
      <c r="D17485" s="2">
        <f t="shared" si="273"/>
        <v>1</v>
      </c>
    </row>
    <row r="17486" spans="1:4" x14ac:dyDescent="0.3">
      <c r="A17486" s="34">
        <v>80683</v>
      </c>
      <c r="B17486" s="35">
        <v>1</v>
      </c>
      <c r="C17486" s="35">
        <v>0</v>
      </c>
      <c r="D17486" s="2">
        <f t="shared" si="273"/>
        <v>1</v>
      </c>
    </row>
    <row r="17487" spans="1:4" x14ac:dyDescent="0.3">
      <c r="A17487" s="34">
        <v>80684</v>
      </c>
      <c r="B17487" s="35">
        <v>1</v>
      </c>
      <c r="C17487" s="35">
        <v>0</v>
      </c>
      <c r="D17487" s="2">
        <f t="shared" si="273"/>
        <v>1</v>
      </c>
    </row>
    <row r="17488" spans="1:4" x14ac:dyDescent="0.3">
      <c r="A17488" s="34">
        <v>80685</v>
      </c>
      <c r="B17488" s="35">
        <v>1</v>
      </c>
      <c r="C17488" s="35">
        <v>0</v>
      </c>
      <c r="D17488" s="2">
        <f t="shared" si="273"/>
        <v>1</v>
      </c>
    </row>
    <row r="17489" spans="1:4" x14ac:dyDescent="0.3">
      <c r="A17489" s="34">
        <v>80686</v>
      </c>
      <c r="B17489" s="35">
        <v>1</v>
      </c>
      <c r="C17489" s="35">
        <v>0</v>
      </c>
      <c r="D17489" s="2">
        <f t="shared" si="273"/>
        <v>1</v>
      </c>
    </row>
    <row r="17490" spans="1:4" x14ac:dyDescent="0.3">
      <c r="A17490" s="34">
        <v>80687</v>
      </c>
      <c r="B17490" s="35">
        <v>1</v>
      </c>
      <c r="C17490" s="35">
        <v>0</v>
      </c>
      <c r="D17490" s="2">
        <f t="shared" si="273"/>
        <v>1</v>
      </c>
    </row>
    <row r="17491" spans="1:4" x14ac:dyDescent="0.3">
      <c r="A17491" s="34">
        <v>80688</v>
      </c>
      <c r="B17491" s="35">
        <v>1</v>
      </c>
      <c r="C17491" s="35">
        <v>0</v>
      </c>
      <c r="D17491" s="2">
        <f t="shared" si="273"/>
        <v>1</v>
      </c>
    </row>
    <row r="17492" spans="1:4" x14ac:dyDescent="0.3">
      <c r="A17492" s="34">
        <v>80689</v>
      </c>
      <c r="B17492" s="35">
        <v>1</v>
      </c>
      <c r="C17492" s="35">
        <v>0</v>
      </c>
      <c r="D17492" s="2">
        <f t="shared" si="273"/>
        <v>1</v>
      </c>
    </row>
    <row r="17493" spans="1:4" x14ac:dyDescent="0.3">
      <c r="A17493" s="34">
        <v>80690</v>
      </c>
      <c r="B17493" s="35">
        <v>1</v>
      </c>
      <c r="C17493" s="35">
        <v>0</v>
      </c>
      <c r="D17493" s="2">
        <f t="shared" si="273"/>
        <v>1</v>
      </c>
    </row>
    <row r="17494" spans="1:4" x14ac:dyDescent="0.3">
      <c r="A17494" s="34">
        <v>80691</v>
      </c>
      <c r="B17494" s="35">
        <v>1</v>
      </c>
      <c r="C17494" s="35">
        <v>0</v>
      </c>
      <c r="D17494" s="2">
        <f t="shared" si="273"/>
        <v>1</v>
      </c>
    </row>
    <row r="17495" spans="1:4" x14ac:dyDescent="0.3">
      <c r="A17495" s="34">
        <v>80692</v>
      </c>
      <c r="B17495" s="35">
        <v>1</v>
      </c>
      <c r="C17495" s="35">
        <v>0</v>
      </c>
      <c r="D17495" s="2">
        <f t="shared" si="273"/>
        <v>1</v>
      </c>
    </row>
    <row r="17496" spans="1:4" x14ac:dyDescent="0.3">
      <c r="A17496" s="34">
        <v>80693</v>
      </c>
      <c r="B17496" s="35">
        <v>1</v>
      </c>
      <c r="C17496" s="35">
        <v>0</v>
      </c>
      <c r="D17496" s="2">
        <f t="shared" si="273"/>
        <v>1</v>
      </c>
    </row>
    <row r="17497" spans="1:4" x14ac:dyDescent="0.3">
      <c r="A17497" s="34">
        <v>80694</v>
      </c>
      <c r="B17497" s="35">
        <v>1</v>
      </c>
      <c r="C17497" s="35">
        <v>0</v>
      </c>
      <c r="D17497" s="2">
        <f t="shared" si="273"/>
        <v>1</v>
      </c>
    </row>
    <row r="17498" spans="1:4" x14ac:dyDescent="0.3">
      <c r="A17498" s="34">
        <v>80695</v>
      </c>
      <c r="B17498" s="35">
        <v>2</v>
      </c>
      <c r="C17498" s="35">
        <v>1</v>
      </c>
      <c r="D17498" s="2">
        <f t="shared" si="273"/>
        <v>3</v>
      </c>
    </row>
    <row r="17499" spans="1:4" x14ac:dyDescent="0.3">
      <c r="A17499" s="34">
        <v>80696</v>
      </c>
      <c r="B17499" s="35">
        <v>2</v>
      </c>
      <c r="C17499" s="35">
        <v>1</v>
      </c>
      <c r="D17499" s="2">
        <f t="shared" si="273"/>
        <v>3</v>
      </c>
    </row>
    <row r="17500" spans="1:4" x14ac:dyDescent="0.3">
      <c r="A17500" s="34">
        <v>80697</v>
      </c>
      <c r="B17500" s="35">
        <v>1</v>
      </c>
      <c r="C17500" s="35">
        <v>0</v>
      </c>
      <c r="D17500" s="2">
        <f t="shared" si="273"/>
        <v>1</v>
      </c>
    </row>
    <row r="17501" spans="1:4" x14ac:dyDescent="0.3">
      <c r="A17501" s="34">
        <v>80698</v>
      </c>
      <c r="B17501" s="35">
        <v>2</v>
      </c>
      <c r="C17501" s="35">
        <v>1</v>
      </c>
      <c r="D17501" s="2">
        <f t="shared" si="273"/>
        <v>3</v>
      </c>
    </row>
    <row r="17502" spans="1:4" x14ac:dyDescent="0.3">
      <c r="A17502" s="34">
        <v>80699</v>
      </c>
      <c r="B17502" s="35">
        <v>1</v>
      </c>
      <c r="C17502" s="35">
        <v>0</v>
      </c>
      <c r="D17502" s="2">
        <f t="shared" si="273"/>
        <v>1</v>
      </c>
    </row>
    <row r="17503" spans="1:4" x14ac:dyDescent="0.3">
      <c r="A17503" s="34">
        <v>80700</v>
      </c>
      <c r="B17503" s="35">
        <v>1</v>
      </c>
      <c r="C17503" s="35">
        <v>0</v>
      </c>
      <c r="D17503" s="2">
        <f t="shared" si="273"/>
        <v>1</v>
      </c>
    </row>
    <row r="17504" spans="1:4" x14ac:dyDescent="0.3">
      <c r="A17504" s="34">
        <v>80701</v>
      </c>
      <c r="B17504" s="35">
        <v>1</v>
      </c>
      <c r="C17504" s="35">
        <v>0</v>
      </c>
      <c r="D17504" s="2">
        <f t="shared" si="273"/>
        <v>1</v>
      </c>
    </row>
    <row r="17505" spans="1:4" x14ac:dyDescent="0.3">
      <c r="A17505" s="34">
        <v>80702</v>
      </c>
      <c r="B17505" s="35">
        <v>1</v>
      </c>
      <c r="C17505" s="35">
        <v>0</v>
      </c>
      <c r="D17505" s="2">
        <f t="shared" si="273"/>
        <v>1</v>
      </c>
    </row>
    <row r="17506" spans="1:4" x14ac:dyDescent="0.3">
      <c r="A17506" s="34">
        <v>80703</v>
      </c>
      <c r="B17506" s="35">
        <v>1</v>
      </c>
      <c r="C17506" s="35">
        <v>0</v>
      </c>
      <c r="D17506" s="2">
        <f t="shared" si="273"/>
        <v>1</v>
      </c>
    </row>
    <row r="17507" spans="1:4" x14ac:dyDescent="0.3">
      <c r="A17507" s="34">
        <v>80704</v>
      </c>
      <c r="B17507" s="35">
        <v>1</v>
      </c>
      <c r="C17507" s="35">
        <v>0</v>
      </c>
      <c r="D17507" s="2">
        <f t="shared" si="273"/>
        <v>1</v>
      </c>
    </row>
    <row r="17508" spans="1:4" x14ac:dyDescent="0.3">
      <c r="A17508" s="34">
        <v>80705</v>
      </c>
      <c r="B17508" s="35">
        <v>1</v>
      </c>
      <c r="C17508" s="35">
        <v>0</v>
      </c>
      <c r="D17508" s="2">
        <f t="shared" si="273"/>
        <v>1</v>
      </c>
    </row>
    <row r="17509" spans="1:4" x14ac:dyDescent="0.3">
      <c r="A17509" s="34">
        <v>80706</v>
      </c>
      <c r="B17509" s="35">
        <v>1</v>
      </c>
      <c r="C17509" s="35">
        <v>0</v>
      </c>
      <c r="D17509" s="2">
        <f t="shared" si="273"/>
        <v>1</v>
      </c>
    </row>
    <row r="17510" spans="1:4" x14ac:dyDescent="0.3">
      <c r="A17510" s="34">
        <v>80707</v>
      </c>
      <c r="B17510" s="35">
        <v>1</v>
      </c>
      <c r="C17510" s="35">
        <v>0</v>
      </c>
      <c r="D17510" s="2">
        <f t="shared" si="273"/>
        <v>1</v>
      </c>
    </row>
    <row r="17511" spans="1:4" x14ac:dyDescent="0.3">
      <c r="A17511" s="34">
        <v>80708</v>
      </c>
      <c r="B17511" s="35">
        <v>1</v>
      </c>
      <c r="C17511" s="35">
        <v>0</v>
      </c>
      <c r="D17511" s="2">
        <f t="shared" si="273"/>
        <v>1</v>
      </c>
    </row>
    <row r="17512" spans="1:4" x14ac:dyDescent="0.3">
      <c r="A17512" s="34">
        <v>80709</v>
      </c>
      <c r="B17512" s="35">
        <v>1</v>
      </c>
      <c r="C17512" s="35">
        <v>0</v>
      </c>
      <c r="D17512" s="2">
        <f t="shared" si="273"/>
        <v>1</v>
      </c>
    </row>
    <row r="17513" spans="1:4" x14ac:dyDescent="0.3">
      <c r="A17513" s="34">
        <v>80710</v>
      </c>
      <c r="B17513" s="35">
        <v>1</v>
      </c>
      <c r="C17513" s="35">
        <v>0</v>
      </c>
      <c r="D17513" s="2">
        <f t="shared" si="273"/>
        <v>1</v>
      </c>
    </row>
    <row r="17514" spans="1:4" x14ac:dyDescent="0.3">
      <c r="A17514" s="34">
        <v>80719</v>
      </c>
      <c r="B17514" s="35">
        <v>1</v>
      </c>
      <c r="C17514" s="35">
        <v>0</v>
      </c>
      <c r="D17514" s="2">
        <f t="shared" si="273"/>
        <v>1</v>
      </c>
    </row>
    <row r="17515" spans="1:4" x14ac:dyDescent="0.3">
      <c r="A17515" s="34">
        <v>80720</v>
      </c>
      <c r="B17515" s="35">
        <v>1</v>
      </c>
      <c r="C17515" s="35">
        <v>0</v>
      </c>
      <c r="D17515" s="2">
        <f t="shared" si="273"/>
        <v>1</v>
      </c>
    </row>
    <row r="17516" spans="1:4" x14ac:dyDescent="0.3">
      <c r="A17516" s="34">
        <v>80721</v>
      </c>
      <c r="B17516" s="35">
        <v>1</v>
      </c>
      <c r="C17516" s="35">
        <v>0</v>
      </c>
      <c r="D17516" s="2">
        <f t="shared" si="273"/>
        <v>1</v>
      </c>
    </row>
    <row r="17517" spans="1:4" x14ac:dyDescent="0.3">
      <c r="A17517" s="34">
        <v>80722</v>
      </c>
      <c r="B17517" s="35">
        <v>1</v>
      </c>
      <c r="C17517" s="35">
        <v>0</v>
      </c>
      <c r="D17517" s="2">
        <f t="shared" si="273"/>
        <v>1</v>
      </c>
    </row>
    <row r="17518" spans="1:4" x14ac:dyDescent="0.3">
      <c r="A17518" s="34">
        <v>80723</v>
      </c>
      <c r="B17518" s="35">
        <v>1</v>
      </c>
      <c r="C17518" s="35">
        <v>0</v>
      </c>
      <c r="D17518" s="2">
        <f t="shared" si="273"/>
        <v>1</v>
      </c>
    </row>
    <row r="17519" spans="1:4" x14ac:dyDescent="0.3">
      <c r="A17519" s="34">
        <v>80724</v>
      </c>
      <c r="B17519" s="35">
        <v>1</v>
      </c>
      <c r="C17519" s="35">
        <v>0</v>
      </c>
      <c r="D17519" s="2">
        <f t="shared" si="273"/>
        <v>1</v>
      </c>
    </row>
    <row r="17520" spans="1:4" x14ac:dyDescent="0.3">
      <c r="A17520" s="34">
        <v>80725</v>
      </c>
      <c r="B17520" s="35">
        <v>1</v>
      </c>
      <c r="C17520" s="35">
        <v>0</v>
      </c>
      <c r="D17520" s="2">
        <f t="shared" si="273"/>
        <v>1</v>
      </c>
    </row>
    <row r="17521" spans="1:4" x14ac:dyDescent="0.3">
      <c r="A17521" s="34">
        <v>80726</v>
      </c>
      <c r="B17521" s="35">
        <v>1</v>
      </c>
      <c r="C17521" s="35">
        <v>0</v>
      </c>
      <c r="D17521" s="2">
        <f t="shared" si="273"/>
        <v>1</v>
      </c>
    </row>
    <row r="17522" spans="1:4" x14ac:dyDescent="0.3">
      <c r="A17522" s="34">
        <v>80727</v>
      </c>
      <c r="B17522" s="35">
        <v>1</v>
      </c>
      <c r="C17522" s="35">
        <v>0</v>
      </c>
      <c r="D17522" s="2">
        <f t="shared" si="273"/>
        <v>1</v>
      </c>
    </row>
    <row r="17523" spans="1:4" x14ac:dyDescent="0.3">
      <c r="A17523" s="34">
        <v>80728</v>
      </c>
      <c r="B17523" s="35">
        <v>1</v>
      </c>
      <c r="C17523" s="35">
        <v>0</v>
      </c>
      <c r="D17523" s="2">
        <f t="shared" si="273"/>
        <v>1</v>
      </c>
    </row>
    <row r="17524" spans="1:4" x14ac:dyDescent="0.3">
      <c r="A17524" s="34">
        <v>80729</v>
      </c>
      <c r="B17524" s="35">
        <v>2</v>
      </c>
      <c r="C17524" s="35">
        <v>1</v>
      </c>
      <c r="D17524" s="2">
        <f t="shared" si="273"/>
        <v>3</v>
      </c>
    </row>
    <row r="17525" spans="1:4" x14ac:dyDescent="0.3">
      <c r="A17525" s="34">
        <v>80730</v>
      </c>
      <c r="B17525" s="35">
        <v>1</v>
      </c>
      <c r="C17525" s="35">
        <v>0</v>
      </c>
      <c r="D17525" s="2">
        <f t="shared" si="273"/>
        <v>1</v>
      </c>
    </row>
    <row r="17526" spans="1:4" x14ac:dyDescent="0.3">
      <c r="A17526" s="34">
        <v>80731</v>
      </c>
      <c r="B17526" s="35">
        <v>1</v>
      </c>
      <c r="C17526" s="35">
        <v>0</v>
      </c>
      <c r="D17526" s="2">
        <f t="shared" si="273"/>
        <v>1</v>
      </c>
    </row>
    <row r="17527" spans="1:4" x14ac:dyDescent="0.3">
      <c r="A17527" s="34">
        <v>80732</v>
      </c>
      <c r="B17527" s="35">
        <v>1</v>
      </c>
      <c r="C17527" s="35">
        <v>0</v>
      </c>
      <c r="D17527" s="2">
        <f t="shared" si="273"/>
        <v>1</v>
      </c>
    </row>
    <row r="17528" spans="1:4" x14ac:dyDescent="0.3">
      <c r="A17528" s="34">
        <v>80733</v>
      </c>
      <c r="B17528" s="35">
        <v>1</v>
      </c>
      <c r="C17528" s="35">
        <v>0</v>
      </c>
      <c r="D17528" s="2">
        <f t="shared" si="273"/>
        <v>1</v>
      </c>
    </row>
    <row r="17529" spans="1:4" x14ac:dyDescent="0.3">
      <c r="A17529" s="34">
        <v>80734</v>
      </c>
      <c r="B17529" s="35">
        <v>2</v>
      </c>
      <c r="C17529" s="35">
        <v>1</v>
      </c>
      <c r="D17529" s="2">
        <f t="shared" si="273"/>
        <v>3</v>
      </c>
    </row>
    <row r="17530" spans="1:4" x14ac:dyDescent="0.3">
      <c r="A17530" s="34">
        <v>80735</v>
      </c>
      <c r="B17530" s="35">
        <v>2</v>
      </c>
      <c r="C17530" s="35">
        <v>1</v>
      </c>
      <c r="D17530" s="2">
        <f t="shared" si="273"/>
        <v>3</v>
      </c>
    </row>
    <row r="17531" spans="1:4" x14ac:dyDescent="0.3">
      <c r="A17531" s="34">
        <v>80736</v>
      </c>
      <c r="B17531" s="35">
        <v>1</v>
      </c>
      <c r="C17531" s="35">
        <v>0</v>
      </c>
      <c r="D17531" s="2">
        <f t="shared" si="273"/>
        <v>1</v>
      </c>
    </row>
    <row r="17532" spans="1:4" x14ac:dyDescent="0.3">
      <c r="A17532" s="34">
        <v>80737</v>
      </c>
      <c r="B17532" s="35">
        <v>1</v>
      </c>
      <c r="C17532" s="35">
        <v>0</v>
      </c>
      <c r="D17532" s="2">
        <f t="shared" si="273"/>
        <v>1</v>
      </c>
    </row>
    <row r="17533" spans="1:4" x14ac:dyDescent="0.3">
      <c r="A17533" s="34">
        <v>80738</v>
      </c>
      <c r="B17533" s="35">
        <v>1</v>
      </c>
      <c r="C17533" s="35">
        <v>0</v>
      </c>
      <c r="D17533" s="2">
        <f t="shared" si="273"/>
        <v>1</v>
      </c>
    </row>
    <row r="17534" spans="1:4" x14ac:dyDescent="0.3">
      <c r="A17534" s="34">
        <v>80739</v>
      </c>
      <c r="B17534" s="35">
        <v>1</v>
      </c>
      <c r="C17534" s="35">
        <v>0</v>
      </c>
      <c r="D17534" s="2">
        <f t="shared" si="273"/>
        <v>1</v>
      </c>
    </row>
    <row r="17535" spans="1:4" x14ac:dyDescent="0.3">
      <c r="A17535" s="34">
        <v>80740</v>
      </c>
      <c r="B17535" s="35">
        <v>1</v>
      </c>
      <c r="C17535" s="35">
        <v>0</v>
      </c>
      <c r="D17535" s="2">
        <f t="shared" si="273"/>
        <v>1</v>
      </c>
    </row>
    <row r="17536" spans="1:4" x14ac:dyDescent="0.3">
      <c r="A17536" s="34">
        <v>80742</v>
      </c>
      <c r="B17536" s="35">
        <v>1</v>
      </c>
      <c r="C17536" s="35">
        <v>0</v>
      </c>
      <c r="D17536" s="2">
        <f t="shared" si="273"/>
        <v>1</v>
      </c>
    </row>
    <row r="17537" spans="1:4" x14ac:dyDescent="0.3">
      <c r="A17537" s="34">
        <v>80743</v>
      </c>
      <c r="B17537" s="35">
        <v>1</v>
      </c>
      <c r="C17537" s="35">
        <v>0</v>
      </c>
      <c r="D17537" s="2">
        <f t="shared" si="273"/>
        <v>1</v>
      </c>
    </row>
    <row r="17538" spans="1:4" x14ac:dyDescent="0.3">
      <c r="A17538" s="34">
        <v>80744</v>
      </c>
      <c r="B17538" s="35">
        <v>1</v>
      </c>
      <c r="C17538" s="35">
        <v>0</v>
      </c>
      <c r="D17538" s="2">
        <f t="shared" si="273"/>
        <v>1</v>
      </c>
    </row>
    <row r="17539" spans="1:4" x14ac:dyDescent="0.3">
      <c r="A17539" s="34">
        <v>80745</v>
      </c>
      <c r="B17539" s="35">
        <v>1</v>
      </c>
      <c r="C17539" s="35">
        <v>0</v>
      </c>
      <c r="D17539" s="2">
        <f t="shared" ref="D17539:D17602" si="274">B17539+C17539</f>
        <v>1</v>
      </c>
    </row>
    <row r="17540" spans="1:4" x14ac:dyDescent="0.3">
      <c r="A17540" s="34">
        <v>80746</v>
      </c>
      <c r="B17540" s="35">
        <v>2</v>
      </c>
      <c r="C17540" s="35">
        <v>1</v>
      </c>
      <c r="D17540" s="2">
        <f t="shared" si="274"/>
        <v>3</v>
      </c>
    </row>
    <row r="17541" spans="1:4" x14ac:dyDescent="0.3">
      <c r="A17541" s="34">
        <v>80747</v>
      </c>
      <c r="B17541" s="35">
        <v>1</v>
      </c>
      <c r="C17541" s="35">
        <v>0</v>
      </c>
      <c r="D17541" s="2">
        <f t="shared" si="274"/>
        <v>1</v>
      </c>
    </row>
    <row r="17542" spans="1:4" x14ac:dyDescent="0.3">
      <c r="A17542" s="34">
        <v>80748</v>
      </c>
      <c r="B17542" s="35">
        <v>1</v>
      </c>
      <c r="C17542" s="35">
        <v>0</v>
      </c>
      <c r="D17542" s="2">
        <f t="shared" si="274"/>
        <v>1</v>
      </c>
    </row>
    <row r="17543" spans="1:4" x14ac:dyDescent="0.3">
      <c r="A17543" s="34">
        <v>80749</v>
      </c>
      <c r="B17543" s="35">
        <v>1</v>
      </c>
      <c r="C17543" s="35">
        <v>0</v>
      </c>
      <c r="D17543" s="2">
        <f t="shared" si="274"/>
        <v>1</v>
      </c>
    </row>
    <row r="17544" spans="1:4" x14ac:dyDescent="0.3">
      <c r="A17544" s="34">
        <v>80750</v>
      </c>
      <c r="B17544" s="35">
        <v>1</v>
      </c>
      <c r="C17544" s="35">
        <v>0</v>
      </c>
      <c r="D17544" s="2">
        <f t="shared" si="274"/>
        <v>1</v>
      </c>
    </row>
    <row r="17545" spans="1:4" x14ac:dyDescent="0.3">
      <c r="A17545" s="34">
        <v>80751</v>
      </c>
      <c r="B17545" s="35">
        <v>1</v>
      </c>
      <c r="C17545" s="35">
        <v>0</v>
      </c>
      <c r="D17545" s="2">
        <f t="shared" si="274"/>
        <v>1</v>
      </c>
    </row>
    <row r="17546" spans="1:4" x14ac:dyDescent="0.3">
      <c r="A17546" s="34">
        <v>80752</v>
      </c>
      <c r="B17546" s="35">
        <v>1</v>
      </c>
      <c r="C17546" s="35">
        <v>0</v>
      </c>
      <c r="D17546" s="2">
        <f t="shared" si="274"/>
        <v>1</v>
      </c>
    </row>
    <row r="17547" spans="1:4" x14ac:dyDescent="0.3">
      <c r="A17547" s="34">
        <v>80753</v>
      </c>
      <c r="B17547" s="35">
        <v>1</v>
      </c>
      <c r="C17547" s="35">
        <v>0</v>
      </c>
      <c r="D17547" s="2">
        <f t="shared" si="274"/>
        <v>1</v>
      </c>
    </row>
    <row r="17548" spans="1:4" x14ac:dyDescent="0.3">
      <c r="A17548" s="34">
        <v>80754</v>
      </c>
      <c r="B17548" s="35">
        <v>1</v>
      </c>
      <c r="C17548" s="35">
        <v>0</v>
      </c>
      <c r="D17548" s="2">
        <f t="shared" si="274"/>
        <v>1</v>
      </c>
    </row>
    <row r="17549" spans="1:4" x14ac:dyDescent="0.3">
      <c r="A17549" s="34">
        <v>80755</v>
      </c>
      <c r="B17549" s="35">
        <v>1</v>
      </c>
      <c r="C17549" s="35">
        <v>0</v>
      </c>
      <c r="D17549" s="2">
        <f t="shared" si="274"/>
        <v>1</v>
      </c>
    </row>
    <row r="17550" spans="1:4" x14ac:dyDescent="0.3">
      <c r="A17550" s="34">
        <v>80756</v>
      </c>
      <c r="B17550" s="35">
        <v>1</v>
      </c>
      <c r="C17550" s="35">
        <v>0</v>
      </c>
      <c r="D17550" s="2">
        <f t="shared" si="274"/>
        <v>1</v>
      </c>
    </row>
    <row r="17551" spans="1:4" x14ac:dyDescent="0.3">
      <c r="A17551" s="34">
        <v>80757</v>
      </c>
      <c r="B17551" s="35">
        <v>1</v>
      </c>
      <c r="C17551" s="35">
        <v>0</v>
      </c>
      <c r="D17551" s="2">
        <f t="shared" si="274"/>
        <v>1</v>
      </c>
    </row>
    <row r="17552" spans="1:4" x14ac:dyDescent="0.3">
      <c r="A17552" s="34">
        <v>80758</v>
      </c>
      <c r="B17552" s="35">
        <v>1</v>
      </c>
      <c r="C17552" s="35">
        <v>0</v>
      </c>
      <c r="D17552" s="2">
        <f t="shared" si="274"/>
        <v>1</v>
      </c>
    </row>
    <row r="17553" spans="1:4" x14ac:dyDescent="0.3">
      <c r="A17553" s="34">
        <v>80759</v>
      </c>
      <c r="B17553" s="35">
        <v>1</v>
      </c>
      <c r="C17553" s="35">
        <v>0</v>
      </c>
      <c r="D17553" s="2">
        <f t="shared" si="274"/>
        <v>1</v>
      </c>
    </row>
    <row r="17554" spans="1:4" x14ac:dyDescent="0.3">
      <c r="A17554" s="34">
        <v>80760</v>
      </c>
      <c r="B17554" s="35">
        <v>1</v>
      </c>
      <c r="C17554" s="35">
        <v>0</v>
      </c>
      <c r="D17554" s="2">
        <f t="shared" si="274"/>
        <v>1</v>
      </c>
    </row>
    <row r="17555" spans="1:4" x14ac:dyDescent="0.3">
      <c r="A17555" s="34">
        <v>80761</v>
      </c>
      <c r="B17555" s="35">
        <v>1</v>
      </c>
      <c r="C17555" s="35">
        <v>0</v>
      </c>
      <c r="D17555" s="2">
        <f t="shared" si="274"/>
        <v>1</v>
      </c>
    </row>
    <row r="17556" spans="1:4" x14ac:dyDescent="0.3">
      <c r="A17556" s="34">
        <v>80762</v>
      </c>
      <c r="B17556" s="35">
        <v>1</v>
      </c>
      <c r="C17556" s="35">
        <v>0</v>
      </c>
      <c r="D17556" s="2">
        <f t="shared" si="274"/>
        <v>1</v>
      </c>
    </row>
    <row r="17557" spans="1:4" x14ac:dyDescent="0.3">
      <c r="A17557" s="34">
        <v>80763</v>
      </c>
      <c r="B17557" s="35">
        <v>1</v>
      </c>
      <c r="C17557" s="35">
        <v>0</v>
      </c>
      <c r="D17557" s="2">
        <f t="shared" si="274"/>
        <v>1</v>
      </c>
    </row>
    <row r="17558" spans="1:4" x14ac:dyDescent="0.3">
      <c r="A17558" s="34">
        <v>80764</v>
      </c>
      <c r="B17558" s="35">
        <v>1</v>
      </c>
      <c r="C17558" s="35">
        <v>0</v>
      </c>
      <c r="D17558" s="2">
        <f t="shared" si="274"/>
        <v>1</v>
      </c>
    </row>
    <row r="17559" spans="1:4" x14ac:dyDescent="0.3">
      <c r="A17559" s="34">
        <v>80765</v>
      </c>
      <c r="B17559" s="35">
        <v>1</v>
      </c>
      <c r="C17559" s="35">
        <v>0</v>
      </c>
      <c r="D17559" s="2">
        <f t="shared" si="274"/>
        <v>1</v>
      </c>
    </row>
    <row r="17560" spans="1:4" x14ac:dyDescent="0.3">
      <c r="A17560" s="34">
        <v>80766</v>
      </c>
      <c r="B17560" s="35">
        <v>2</v>
      </c>
      <c r="C17560" s="35">
        <v>1</v>
      </c>
      <c r="D17560" s="2">
        <f t="shared" si="274"/>
        <v>3</v>
      </c>
    </row>
    <row r="17561" spans="1:4" x14ac:dyDescent="0.3">
      <c r="A17561" s="34">
        <v>80767</v>
      </c>
      <c r="B17561" s="35">
        <v>1</v>
      </c>
      <c r="C17561" s="35">
        <v>0</v>
      </c>
      <c r="D17561" s="2">
        <f t="shared" si="274"/>
        <v>1</v>
      </c>
    </row>
    <row r="17562" spans="1:4" x14ac:dyDescent="0.3">
      <c r="A17562" s="34">
        <v>80768</v>
      </c>
      <c r="B17562" s="35">
        <v>2</v>
      </c>
      <c r="C17562" s="35">
        <v>1</v>
      </c>
      <c r="D17562" s="2">
        <f t="shared" si="274"/>
        <v>3</v>
      </c>
    </row>
    <row r="17563" spans="1:4" x14ac:dyDescent="0.3">
      <c r="A17563" s="34">
        <v>80769</v>
      </c>
      <c r="B17563" s="35">
        <v>1</v>
      </c>
      <c r="C17563" s="35">
        <v>0</v>
      </c>
      <c r="D17563" s="2">
        <f t="shared" si="274"/>
        <v>1</v>
      </c>
    </row>
    <row r="17564" spans="1:4" x14ac:dyDescent="0.3">
      <c r="A17564" s="34">
        <v>80770</v>
      </c>
      <c r="B17564" s="35">
        <v>1</v>
      </c>
      <c r="C17564" s="35">
        <v>0</v>
      </c>
      <c r="D17564" s="2">
        <f t="shared" si="274"/>
        <v>1</v>
      </c>
    </row>
    <row r="17565" spans="1:4" x14ac:dyDescent="0.3">
      <c r="A17565" s="34">
        <v>80771</v>
      </c>
      <c r="B17565" s="35">
        <v>1</v>
      </c>
      <c r="C17565" s="35">
        <v>0</v>
      </c>
      <c r="D17565" s="2">
        <f t="shared" si="274"/>
        <v>1</v>
      </c>
    </row>
    <row r="17566" spans="1:4" x14ac:dyDescent="0.3">
      <c r="A17566" s="34">
        <v>80772</v>
      </c>
      <c r="B17566" s="35">
        <v>1</v>
      </c>
      <c r="C17566" s="35">
        <v>0</v>
      </c>
      <c r="D17566" s="2">
        <f t="shared" si="274"/>
        <v>1</v>
      </c>
    </row>
    <row r="17567" spans="1:4" x14ac:dyDescent="0.3">
      <c r="A17567" s="34">
        <v>80773</v>
      </c>
      <c r="B17567" s="35">
        <v>1</v>
      </c>
      <c r="C17567" s="35">
        <v>0</v>
      </c>
      <c r="D17567" s="2">
        <f t="shared" si="274"/>
        <v>1</v>
      </c>
    </row>
    <row r="17568" spans="1:4" x14ac:dyDescent="0.3">
      <c r="A17568" s="34">
        <v>80774</v>
      </c>
      <c r="B17568" s="35">
        <v>2</v>
      </c>
      <c r="C17568" s="35">
        <v>1</v>
      </c>
      <c r="D17568" s="2">
        <f t="shared" si="274"/>
        <v>3</v>
      </c>
    </row>
    <row r="17569" spans="1:4" x14ac:dyDescent="0.3">
      <c r="A17569" s="34">
        <v>80775</v>
      </c>
      <c r="B17569" s="35">
        <v>1</v>
      </c>
      <c r="C17569" s="35">
        <v>0</v>
      </c>
      <c r="D17569" s="2">
        <f t="shared" si="274"/>
        <v>1</v>
      </c>
    </row>
    <row r="17570" spans="1:4" x14ac:dyDescent="0.3">
      <c r="A17570" s="34">
        <v>80776</v>
      </c>
      <c r="B17570" s="35">
        <v>2</v>
      </c>
      <c r="C17570" s="35">
        <v>1</v>
      </c>
      <c r="D17570" s="2">
        <f t="shared" si="274"/>
        <v>3</v>
      </c>
    </row>
    <row r="17571" spans="1:4" x14ac:dyDescent="0.3">
      <c r="A17571" s="34">
        <v>80777</v>
      </c>
      <c r="B17571" s="35">
        <v>1</v>
      </c>
      <c r="C17571" s="35">
        <v>0</v>
      </c>
      <c r="D17571" s="2">
        <f t="shared" si="274"/>
        <v>1</v>
      </c>
    </row>
    <row r="17572" spans="1:4" x14ac:dyDescent="0.3">
      <c r="A17572" s="34">
        <v>80778</v>
      </c>
      <c r="B17572" s="35">
        <v>1</v>
      </c>
      <c r="C17572" s="35">
        <v>0</v>
      </c>
      <c r="D17572" s="2">
        <f t="shared" si="274"/>
        <v>1</v>
      </c>
    </row>
    <row r="17573" spans="1:4" x14ac:dyDescent="0.3">
      <c r="A17573" s="34">
        <v>80779</v>
      </c>
      <c r="B17573" s="35">
        <v>1</v>
      </c>
      <c r="C17573" s="35">
        <v>0</v>
      </c>
      <c r="D17573" s="2">
        <f t="shared" si="274"/>
        <v>1</v>
      </c>
    </row>
    <row r="17574" spans="1:4" x14ac:dyDescent="0.3">
      <c r="A17574" s="34">
        <v>80780</v>
      </c>
      <c r="B17574" s="35">
        <v>1</v>
      </c>
      <c r="C17574" s="35">
        <v>0</v>
      </c>
      <c r="D17574" s="2">
        <f t="shared" si="274"/>
        <v>1</v>
      </c>
    </row>
    <row r="17575" spans="1:4" x14ac:dyDescent="0.3">
      <c r="A17575" s="34">
        <v>80782</v>
      </c>
      <c r="B17575" s="35">
        <v>1</v>
      </c>
      <c r="C17575" s="35">
        <v>0</v>
      </c>
      <c r="D17575" s="2">
        <f t="shared" si="274"/>
        <v>1</v>
      </c>
    </row>
    <row r="17576" spans="1:4" x14ac:dyDescent="0.3">
      <c r="A17576" s="34">
        <v>80783</v>
      </c>
      <c r="B17576" s="35">
        <v>1</v>
      </c>
      <c r="C17576" s="35">
        <v>0</v>
      </c>
      <c r="D17576" s="2">
        <f t="shared" si="274"/>
        <v>1</v>
      </c>
    </row>
    <row r="17577" spans="1:4" x14ac:dyDescent="0.3">
      <c r="A17577" s="34">
        <v>80784</v>
      </c>
      <c r="B17577" s="35">
        <v>1</v>
      </c>
      <c r="C17577" s="35">
        <v>0</v>
      </c>
      <c r="D17577" s="2">
        <f t="shared" si="274"/>
        <v>1</v>
      </c>
    </row>
    <row r="17578" spans="1:4" x14ac:dyDescent="0.3">
      <c r="A17578" s="34">
        <v>80785</v>
      </c>
      <c r="B17578" s="35">
        <v>1</v>
      </c>
      <c r="C17578" s="35">
        <v>0</v>
      </c>
      <c r="D17578" s="2">
        <f t="shared" si="274"/>
        <v>1</v>
      </c>
    </row>
    <row r="17579" spans="1:4" x14ac:dyDescent="0.3">
      <c r="A17579" s="34">
        <v>80786</v>
      </c>
      <c r="B17579" s="35">
        <v>1</v>
      </c>
      <c r="C17579" s="35">
        <v>0</v>
      </c>
      <c r="D17579" s="2">
        <f t="shared" si="274"/>
        <v>1</v>
      </c>
    </row>
    <row r="17580" spans="1:4" x14ac:dyDescent="0.3">
      <c r="A17580" s="34">
        <v>80787</v>
      </c>
      <c r="B17580" s="35">
        <v>1</v>
      </c>
      <c r="C17580" s="35">
        <v>0</v>
      </c>
      <c r="D17580" s="2">
        <f t="shared" si="274"/>
        <v>1</v>
      </c>
    </row>
    <row r="17581" spans="1:4" x14ac:dyDescent="0.3">
      <c r="A17581" s="34">
        <v>80788</v>
      </c>
      <c r="B17581" s="35">
        <v>2</v>
      </c>
      <c r="C17581" s="35">
        <v>1</v>
      </c>
      <c r="D17581" s="2">
        <f t="shared" si="274"/>
        <v>3</v>
      </c>
    </row>
    <row r="17582" spans="1:4" x14ac:dyDescent="0.3">
      <c r="A17582" s="34">
        <v>80789</v>
      </c>
      <c r="B17582" s="35">
        <v>1</v>
      </c>
      <c r="C17582" s="35">
        <v>0</v>
      </c>
      <c r="D17582" s="2">
        <f t="shared" si="274"/>
        <v>1</v>
      </c>
    </row>
    <row r="17583" spans="1:4" x14ac:dyDescent="0.3">
      <c r="A17583" s="34">
        <v>80790</v>
      </c>
      <c r="B17583" s="35">
        <v>1</v>
      </c>
      <c r="C17583" s="35">
        <v>0</v>
      </c>
      <c r="D17583" s="2">
        <f t="shared" si="274"/>
        <v>1</v>
      </c>
    </row>
    <row r="17584" spans="1:4" x14ac:dyDescent="0.3">
      <c r="A17584" s="34">
        <v>80791</v>
      </c>
      <c r="B17584" s="35">
        <v>1</v>
      </c>
      <c r="C17584" s="35">
        <v>0</v>
      </c>
      <c r="D17584" s="2">
        <f t="shared" si="274"/>
        <v>1</v>
      </c>
    </row>
    <row r="17585" spans="1:4" x14ac:dyDescent="0.3">
      <c r="A17585" s="34">
        <v>80792</v>
      </c>
      <c r="B17585" s="35">
        <v>1</v>
      </c>
      <c r="C17585" s="35">
        <v>0</v>
      </c>
      <c r="D17585" s="2">
        <f t="shared" si="274"/>
        <v>1</v>
      </c>
    </row>
    <row r="17586" spans="1:4" x14ac:dyDescent="0.3">
      <c r="A17586" s="34">
        <v>80793</v>
      </c>
      <c r="B17586" s="35">
        <v>1</v>
      </c>
      <c r="C17586" s="35">
        <v>0</v>
      </c>
      <c r="D17586" s="2">
        <f t="shared" si="274"/>
        <v>1</v>
      </c>
    </row>
    <row r="17587" spans="1:4" x14ac:dyDescent="0.3">
      <c r="A17587" s="34">
        <v>80794</v>
      </c>
      <c r="B17587" s="35">
        <v>1</v>
      </c>
      <c r="C17587" s="35">
        <v>0</v>
      </c>
      <c r="D17587" s="2">
        <f t="shared" si="274"/>
        <v>1</v>
      </c>
    </row>
    <row r="17588" spans="1:4" x14ac:dyDescent="0.3">
      <c r="A17588" s="34">
        <v>80795</v>
      </c>
      <c r="B17588" s="35">
        <v>1</v>
      </c>
      <c r="C17588" s="35">
        <v>0</v>
      </c>
      <c r="D17588" s="2">
        <f t="shared" si="274"/>
        <v>1</v>
      </c>
    </row>
    <row r="17589" spans="1:4" x14ac:dyDescent="0.3">
      <c r="A17589" s="34">
        <v>80796</v>
      </c>
      <c r="B17589" s="35">
        <v>1</v>
      </c>
      <c r="C17589" s="35">
        <v>0</v>
      </c>
      <c r="D17589" s="2">
        <f t="shared" si="274"/>
        <v>1</v>
      </c>
    </row>
    <row r="17590" spans="1:4" x14ac:dyDescent="0.3">
      <c r="A17590" s="34">
        <v>80797</v>
      </c>
      <c r="B17590" s="35">
        <v>1</v>
      </c>
      <c r="C17590" s="35">
        <v>0</v>
      </c>
      <c r="D17590" s="2">
        <f t="shared" si="274"/>
        <v>1</v>
      </c>
    </row>
    <row r="17591" spans="1:4" x14ac:dyDescent="0.3">
      <c r="A17591" s="34">
        <v>80798</v>
      </c>
      <c r="B17591" s="35">
        <v>1</v>
      </c>
      <c r="C17591" s="35">
        <v>0</v>
      </c>
      <c r="D17591" s="2">
        <f t="shared" si="274"/>
        <v>1</v>
      </c>
    </row>
    <row r="17592" spans="1:4" x14ac:dyDescent="0.3">
      <c r="A17592" s="34">
        <v>80799</v>
      </c>
      <c r="B17592" s="35">
        <v>1</v>
      </c>
      <c r="C17592" s="35">
        <v>0</v>
      </c>
      <c r="D17592" s="2">
        <f t="shared" si="274"/>
        <v>1</v>
      </c>
    </row>
    <row r="17593" spans="1:4" x14ac:dyDescent="0.3">
      <c r="A17593" s="34">
        <v>80800</v>
      </c>
      <c r="B17593" s="35">
        <v>1</v>
      </c>
      <c r="C17593" s="35">
        <v>0</v>
      </c>
      <c r="D17593" s="2">
        <f t="shared" si="274"/>
        <v>1</v>
      </c>
    </row>
    <row r="17594" spans="1:4" x14ac:dyDescent="0.3">
      <c r="A17594" s="34">
        <v>80801</v>
      </c>
      <c r="B17594" s="35">
        <v>1</v>
      </c>
      <c r="C17594" s="35">
        <v>0</v>
      </c>
      <c r="D17594" s="2">
        <f t="shared" si="274"/>
        <v>1</v>
      </c>
    </row>
    <row r="17595" spans="1:4" x14ac:dyDescent="0.3">
      <c r="A17595" s="34">
        <v>80802</v>
      </c>
      <c r="B17595" s="35">
        <v>1</v>
      </c>
      <c r="C17595" s="35">
        <v>0</v>
      </c>
      <c r="D17595" s="2">
        <f t="shared" si="274"/>
        <v>1</v>
      </c>
    </row>
    <row r="17596" spans="1:4" x14ac:dyDescent="0.3">
      <c r="A17596" s="34">
        <v>80803</v>
      </c>
      <c r="B17596" s="35">
        <v>1</v>
      </c>
      <c r="C17596" s="35">
        <v>0</v>
      </c>
      <c r="D17596" s="2">
        <f t="shared" si="274"/>
        <v>1</v>
      </c>
    </row>
    <row r="17597" spans="1:4" x14ac:dyDescent="0.3">
      <c r="A17597" s="34">
        <v>80804</v>
      </c>
      <c r="B17597" s="35">
        <v>1</v>
      </c>
      <c r="C17597" s="35">
        <v>0</v>
      </c>
      <c r="D17597" s="2">
        <f t="shared" si="274"/>
        <v>1</v>
      </c>
    </row>
    <row r="17598" spans="1:4" x14ac:dyDescent="0.3">
      <c r="A17598" s="34">
        <v>80805</v>
      </c>
      <c r="B17598" s="35">
        <v>1</v>
      </c>
      <c r="C17598" s="35">
        <v>0</v>
      </c>
      <c r="D17598" s="2">
        <f t="shared" si="274"/>
        <v>1</v>
      </c>
    </row>
    <row r="17599" spans="1:4" x14ac:dyDescent="0.3">
      <c r="A17599" s="34">
        <v>80806</v>
      </c>
      <c r="B17599" s="35">
        <v>1</v>
      </c>
      <c r="C17599" s="35">
        <v>0</v>
      </c>
      <c r="D17599" s="2">
        <f t="shared" si="274"/>
        <v>1</v>
      </c>
    </row>
    <row r="17600" spans="1:4" x14ac:dyDescent="0.3">
      <c r="A17600" s="34">
        <v>80807</v>
      </c>
      <c r="B17600" s="35">
        <v>1</v>
      </c>
      <c r="C17600" s="35">
        <v>0</v>
      </c>
      <c r="D17600" s="2">
        <f t="shared" si="274"/>
        <v>1</v>
      </c>
    </row>
    <row r="17601" spans="1:4" x14ac:dyDescent="0.3">
      <c r="A17601" s="34">
        <v>80808</v>
      </c>
      <c r="B17601" s="35">
        <v>1</v>
      </c>
      <c r="C17601" s="35">
        <v>0</v>
      </c>
      <c r="D17601" s="2">
        <f t="shared" si="274"/>
        <v>1</v>
      </c>
    </row>
    <row r="17602" spans="1:4" x14ac:dyDescent="0.3">
      <c r="A17602" s="34">
        <v>80809</v>
      </c>
      <c r="B17602" s="35">
        <v>2</v>
      </c>
      <c r="C17602" s="35">
        <v>0</v>
      </c>
      <c r="D17602" s="2">
        <f t="shared" si="274"/>
        <v>2</v>
      </c>
    </row>
    <row r="17603" spans="1:4" x14ac:dyDescent="0.3">
      <c r="A17603" s="34">
        <v>80810</v>
      </c>
      <c r="B17603" s="35">
        <v>1</v>
      </c>
      <c r="C17603" s="35">
        <v>0</v>
      </c>
      <c r="D17603" s="2">
        <f t="shared" ref="D17603:D17666" si="275">B17603+C17603</f>
        <v>1</v>
      </c>
    </row>
    <row r="17604" spans="1:4" x14ac:dyDescent="0.3">
      <c r="A17604" s="34">
        <v>80811</v>
      </c>
      <c r="B17604" s="35">
        <v>1</v>
      </c>
      <c r="C17604" s="35">
        <v>0</v>
      </c>
      <c r="D17604" s="2">
        <f t="shared" si="275"/>
        <v>1</v>
      </c>
    </row>
    <row r="17605" spans="1:4" x14ac:dyDescent="0.3">
      <c r="A17605" s="34">
        <v>80812</v>
      </c>
      <c r="B17605" s="35">
        <v>1</v>
      </c>
      <c r="C17605" s="35">
        <v>0</v>
      </c>
      <c r="D17605" s="2">
        <f t="shared" si="275"/>
        <v>1</v>
      </c>
    </row>
    <row r="17606" spans="1:4" x14ac:dyDescent="0.3">
      <c r="A17606" s="34">
        <v>80813</v>
      </c>
      <c r="B17606" s="35">
        <v>1</v>
      </c>
      <c r="C17606" s="35">
        <v>0</v>
      </c>
      <c r="D17606" s="2">
        <f t="shared" si="275"/>
        <v>1</v>
      </c>
    </row>
    <row r="17607" spans="1:4" x14ac:dyDescent="0.3">
      <c r="A17607" s="34">
        <v>80814</v>
      </c>
      <c r="B17607" s="35">
        <v>1</v>
      </c>
      <c r="C17607" s="35">
        <v>0</v>
      </c>
      <c r="D17607" s="2">
        <f t="shared" si="275"/>
        <v>1</v>
      </c>
    </row>
    <row r="17608" spans="1:4" x14ac:dyDescent="0.3">
      <c r="A17608" s="34">
        <v>80815</v>
      </c>
      <c r="B17608" s="35">
        <v>1</v>
      </c>
      <c r="C17608" s="35">
        <v>0</v>
      </c>
      <c r="D17608" s="2">
        <f t="shared" si="275"/>
        <v>1</v>
      </c>
    </row>
    <row r="17609" spans="1:4" x14ac:dyDescent="0.3">
      <c r="A17609" s="34">
        <v>80817</v>
      </c>
      <c r="B17609" s="35">
        <v>1</v>
      </c>
      <c r="C17609" s="35">
        <v>0</v>
      </c>
      <c r="D17609" s="2">
        <f t="shared" si="275"/>
        <v>1</v>
      </c>
    </row>
    <row r="17610" spans="1:4" x14ac:dyDescent="0.3">
      <c r="A17610" s="34">
        <v>80818</v>
      </c>
      <c r="B17610" s="35">
        <v>1</v>
      </c>
      <c r="C17610" s="35">
        <v>0</v>
      </c>
      <c r="D17610" s="2">
        <f t="shared" si="275"/>
        <v>1</v>
      </c>
    </row>
    <row r="17611" spans="1:4" x14ac:dyDescent="0.3">
      <c r="A17611" s="34">
        <v>80819</v>
      </c>
      <c r="B17611" s="35">
        <v>1</v>
      </c>
      <c r="C17611" s="35">
        <v>0</v>
      </c>
      <c r="D17611" s="2">
        <f t="shared" si="275"/>
        <v>1</v>
      </c>
    </row>
    <row r="17612" spans="1:4" x14ac:dyDescent="0.3">
      <c r="A17612" s="34">
        <v>80820</v>
      </c>
      <c r="B17612" s="35">
        <v>1</v>
      </c>
      <c r="C17612" s="35">
        <v>0</v>
      </c>
      <c r="D17612" s="2">
        <f t="shared" si="275"/>
        <v>1</v>
      </c>
    </row>
    <row r="17613" spans="1:4" x14ac:dyDescent="0.3">
      <c r="A17613" s="34">
        <v>80821</v>
      </c>
      <c r="B17613" s="35">
        <v>1</v>
      </c>
      <c r="C17613" s="35">
        <v>0</v>
      </c>
      <c r="D17613" s="2">
        <f t="shared" si="275"/>
        <v>1</v>
      </c>
    </row>
    <row r="17614" spans="1:4" x14ac:dyDescent="0.3">
      <c r="A17614" s="34">
        <v>80822</v>
      </c>
      <c r="B17614" s="35">
        <v>1</v>
      </c>
      <c r="C17614" s="35">
        <v>0</v>
      </c>
      <c r="D17614" s="2">
        <f t="shared" si="275"/>
        <v>1</v>
      </c>
    </row>
    <row r="17615" spans="1:4" x14ac:dyDescent="0.3">
      <c r="A17615" s="34">
        <v>80861</v>
      </c>
      <c r="B17615" s="35">
        <v>1</v>
      </c>
      <c r="C17615" s="35">
        <v>0</v>
      </c>
      <c r="D17615" s="2">
        <f t="shared" si="275"/>
        <v>1</v>
      </c>
    </row>
    <row r="17616" spans="1:4" x14ac:dyDescent="0.3">
      <c r="A17616" s="34">
        <v>80862</v>
      </c>
      <c r="B17616" s="35">
        <v>1</v>
      </c>
      <c r="C17616" s="35">
        <v>0</v>
      </c>
      <c r="D17616" s="2">
        <f t="shared" si="275"/>
        <v>1</v>
      </c>
    </row>
    <row r="17617" spans="1:4" x14ac:dyDescent="0.3">
      <c r="A17617" s="34">
        <v>80863</v>
      </c>
      <c r="B17617" s="35">
        <v>1</v>
      </c>
      <c r="C17617" s="35">
        <v>0</v>
      </c>
      <c r="D17617" s="2">
        <f t="shared" si="275"/>
        <v>1</v>
      </c>
    </row>
    <row r="17618" spans="1:4" x14ac:dyDescent="0.3">
      <c r="A17618" s="34">
        <v>80864</v>
      </c>
      <c r="B17618" s="35">
        <v>1</v>
      </c>
      <c r="C17618" s="35">
        <v>0</v>
      </c>
      <c r="D17618" s="2">
        <f t="shared" si="275"/>
        <v>1</v>
      </c>
    </row>
    <row r="17619" spans="1:4" x14ac:dyDescent="0.3">
      <c r="A17619" s="34">
        <v>80865</v>
      </c>
      <c r="B17619" s="35">
        <v>1</v>
      </c>
      <c r="C17619" s="35">
        <v>0</v>
      </c>
      <c r="D17619" s="2">
        <f t="shared" si="275"/>
        <v>1</v>
      </c>
    </row>
    <row r="17620" spans="1:4" x14ac:dyDescent="0.3">
      <c r="A17620" s="34">
        <v>80866</v>
      </c>
      <c r="B17620" s="35">
        <v>1</v>
      </c>
      <c r="C17620" s="35">
        <v>0</v>
      </c>
      <c r="D17620" s="2">
        <f t="shared" si="275"/>
        <v>1</v>
      </c>
    </row>
    <row r="17621" spans="1:4" x14ac:dyDescent="0.3">
      <c r="A17621" s="34">
        <v>80867</v>
      </c>
      <c r="B17621" s="35">
        <v>1</v>
      </c>
      <c r="C17621" s="35">
        <v>0</v>
      </c>
      <c r="D17621" s="2">
        <f t="shared" si="275"/>
        <v>1</v>
      </c>
    </row>
    <row r="17622" spans="1:4" x14ac:dyDescent="0.3">
      <c r="A17622" s="34">
        <v>80868</v>
      </c>
      <c r="B17622" s="35">
        <v>1</v>
      </c>
      <c r="C17622" s="35">
        <v>0</v>
      </c>
      <c r="D17622" s="2">
        <f t="shared" si="275"/>
        <v>1</v>
      </c>
    </row>
    <row r="17623" spans="1:4" x14ac:dyDescent="0.3">
      <c r="A17623" s="34">
        <v>80869</v>
      </c>
      <c r="B17623" s="35">
        <v>1</v>
      </c>
      <c r="C17623" s="35">
        <v>0</v>
      </c>
      <c r="D17623" s="2">
        <f t="shared" si="275"/>
        <v>1</v>
      </c>
    </row>
    <row r="17624" spans="1:4" x14ac:dyDescent="0.3">
      <c r="A17624" s="34">
        <v>80871</v>
      </c>
      <c r="B17624" s="35">
        <v>1</v>
      </c>
      <c r="C17624" s="35">
        <v>0</v>
      </c>
      <c r="D17624" s="2">
        <f t="shared" si="275"/>
        <v>1</v>
      </c>
    </row>
    <row r="17625" spans="1:4" x14ac:dyDescent="0.3">
      <c r="A17625" s="34">
        <v>80872</v>
      </c>
      <c r="B17625" s="35">
        <v>1</v>
      </c>
      <c r="C17625" s="35">
        <v>0</v>
      </c>
      <c r="D17625" s="2">
        <f t="shared" si="275"/>
        <v>1</v>
      </c>
    </row>
    <row r="17626" spans="1:4" x14ac:dyDescent="0.3">
      <c r="A17626" s="34">
        <v>80873</v>
      </c>
      <c r="B17626" s="35">
        <v>1</v>
      </c>
      <c r="C17626" s="35">
        <v>0</v>
      </c>
      <c r="D17626" s="2">
        <f t="shared" si="275"/>
        <v>1</v>
      </c>
    </row>
    <row r="17627" spans="1:4" x14ac:dyDescent="0.3">
      <c r="A17627" s="34">
        <v>80874</v>
      </c>
      <c r="B17627" s="35">
        <v>1</v>
      </c>
      <c r="C17627" s="35">
        <v>0</v>
      </c>
      <c r="D17627" s="2">
        <f t="shared" si="275"/>
        <v>1</v>
      </c>
    </row>
    <row r="17628" spans="1:4" x14ac:dyDescent="0.3">
      <c r="A17628" s="34">
        <v>80875</v>
      </c>
      <c r="B17628" s="35">
        <v>1</v>
      </c>
      <c r="C17628" s="35">
        <v>0</v>
      </c>
      <c r="D17628" s="2">
        <f t="shared" si="275"/>
        <v>1</v>
      </c>
    </row>
    <row r="17629" spans="1:4" x14ac:dyDescent="0.3">
      <c r="A17629" s="34">
        <v>80876</v>
      </c>
      <c r="B17629" s="35">
        <v>1</v>
      </c>
      <c r="C17629" s="35">
        <v>0</v>
      </c>
      <c r="D17629" s="2">
        <f t="shared" si="275"/>
        <v>1</v>
      </c>
    </row>
    <row r="17630" spans="1:4" x14ac:dyDescent="0.3">
      <c r="A17630" s="34">
        <v>80877</v>
      </c>
      <c r="B17630" s="35">
        <v>1</v>
      </c>
      <c r="C17630" s="35">
        <v>0</v>
      </c>
      <c r="D17630" s="2">
        <f t="shared" si="275"/>
        <v>1</v>
      </c>
    </row>
    <row r="17631" spans="1:4" x14ac:dyDescent="0.3">
      <c r="A17631" s="34">
        <v>80878</v>
      </c>
      <c r="B17631" s="35">
        <v>1</v>
      </c>
      <c r="C17631" s="35">
        <v>0</v>
      </c>
      <c r="D17631" s="2">
        <f t="shared" si="275"/>
        <v>1</v>
      </c>
    </row>
    <row r="17632" spans="1:4" x14ac:dyDescent="0.3">
      <c r="A17632" s="34">
        <v>80879</v>
      </c>
      <c r="B17632" s="35">
        <v>1</v>
      </c>
      <c r="C17632" s="35">
        <v>0</v>
      </c>
      <c r="D17632" s="2">
        <f t="shared" si="275"/>
        <v>1</v>
      </c>
    </row>
    <row r="17633" spans="1:4" x14ac:dyDescent="0.3">
      <c r="A17633" s="34">
        <v>80880</v>
      </c>
      <c r="B17633" s="35">
        <v>1</v>
      </c>
      <c r="C17633" s="35">
        <v>0</v>
      </c>
      <c r="D17633" s="2">
        <f t="shared" si="275"/>
        <v>1</v>
      </c>
    </row>
    <row r="17634" spans="1:4" x14ac:dyDescent="0.3">
      <c r="A17634" s="34">
        <v>80881</v>
      </c>
      <c r="B17634" s="35">
        <v>1</v>
      </c>
      <c r="C17634" s="35">
        <v>0</v>
      </c>
      <c r="D17634" s="2">
        <f t="shared" si="275"/>
        <v>1</v>
      </c>
    </row>
    <row r="17635" spans="1:4" x14ac:dyDescent="0.3">
      <c r="A17635" s="34">
        <v>80882</v>
      </c>
      <c r="B17635" s="35">
        <v>1</v>
      </c>
      <c r="C17635" s="35">
        <v>0</v>
      </c>
      <c r="D17635" s="2">
        <f t="shared" si="275"/>
        <v>1</v>
      </c>
    </row>
    <row r="17636" spans="1:4" x14ac:dyDescent="0.3">
      <c r="A17636" s="34">
        <v>80883</v>
      </c>
      <c r="B17636" s="35">
        <v>1</v>
      </c>
      <c r="C17636" s="35">
        <v>0</v>
      </c>
      <c r="D17636" s="2">
        <f t="shared" si="275"/>
        <v>1</v>
      </c>
    </row>
    <row r="17637" spans="1:4" x14ac:dyDescent="0.3">
      <c r="A17637" s="34">
        <v>80884</v>
      </c>
      <c r="B17637" s="35">
        <v>1</v>
      </c>
      <c r="C17637" s="35">
        <v>0</v>
      </c>
      <c r="D17637" s="2">
        <f t="shared" si="275"/>
        <v>1</v>
      </c>
    </row>
    <row r="17638" spans="1:4" x14ac:dyDescent="0.3">
      <c r="A17638" s="34">
        <v>80885</v>
      </c>
      <c r="B17638" s="35">
        <v>1</v>
      </c>
      <c r="C17638" s="35">
        <v>0</v>
      </c>
      <c r="D17638" s="2">
        <f t="shared" si="275"/>
        <v>1</v>
      </c>
    </row>
    <row r="17639" spans="1:4" x14ac:dyDescent="0.3">
      <c r="A17639" s="34">
        <v>80886</v>
      </c>
      <c r="B17639" s="35">
        <v>1</v>
      </c>
      <c r="C17639" s="35">
        <v>0</v>
      </c>
      <c r="D17639" s="2">
        <f t="shared" si="275"/>
        <v>1</v>
      </c>
    </row>
    <row r="17640" spans="1:4" x14ac:dyDescent="0.3">
      <c r="A17640" s="34">
        <v>80887</v>
      </c>
      <c r="B17640" s="35">
        <v>1</v>
      </c>
      <c r="C17640" s="35">
        <v>0</v>
      </c>
      <c r="D17640" s="2">
        <f t="shared" si="275"/>
        <v>1</v>
      </c>
    </row>
    <row r="17641" spans="1:4" x14ac:dyDescent="0.3">
      <c r="A17641" s="34">
        <v>80888</v>
      </c>
      <c r="B17641" s="35">
        <v>1</v>
      </c>
      <c r="C17641" s="35">
        <v>0</v>
      </c>
      <c r="D17641" s="2">
        <f t="shared" si="275"/>
        <v>1</v>
      </c>
    </row>
    <row r="17642" spans="1:4" x14ac:dyDescent="0.3">
      <c r="A17642" s="34">
        <v>80889</v>
      </c>
      <c r="B17642" s="35">
        <v>1</v>
      </c>
      <c r="C17642" s="35">
        <v>0</v>
      </c>
      <c r="D17642" s="2">
        <f t="shared" si="275"/>
        <v>1</v>
      </c>
    </row>
    <row r="17643" spans="1:4" x14ac:dyDescent="0.3">
      <c r="A17643" s="34">
        <v>80890</v>
      </c>
      <c r="B17643" s="35">
        <v>1</v>
      </c>
      <c r="C17643" s="35">
        <v>0</v>
      </c>
      <c r="D17643" s="2">
        <f t="shared" si="275"/>
        <v>1</v>
      </c>
    </row>
    <row r="17644" spans="1:4" x14ac:dyDescent="0.3">
      <c r="A17644" s="34">
        <v>80892</v>
      </c>
      <c r="B17644" s="35">
        <v>1</v>
      </c>
      <c r="C17644" s="35">
        <v>0</v>
      </c>
      <c r="D17644" s="2">
        <f t="shared" si="275"/>
        <v>1</v>
      </c>
    </row>
    <row r="17645" spans="1:4" x14ac:dyDescent="0.3">
      <c r="A17645" s="34">
        <v>80894</v>
      </c>
      <c r="B17645" s="35">
        <v>1</v>
      </c>
      <c r="C17645" s="35">
        <v>0</v>
      </c>
      <c r="D17645" s="2">
        <f t="shared" si="275"/>
        <v>1</v>
      </c>
    </row>
    <row r="17646" spans="1:4" x14ac:dyDescent="0.3">
      <c r="A17646" s="34">
        <v>80895</v>
      </c>
      <c r="B17646" s="35">
        <v>1</v>
      </c>
      <c r="C17646" s="35">
        <v>0</v>
      </c>
      <c r="D17646" s="2">
        <f t="shared" si="275"/>
        <v>1</v>
      </c>
    </row>
    <row r="17647" spans="1:4" x14ac:dyDescent="0.3">
      <c r="A17647" s="34">
        <v>80896</v>
      </c>
      <c r="B17647" s="35">
        <v>1</v>
      </c>
      <c r="C17647" s="35">
        <v>0</v>
      </c>
      <c r="D17647" s="2">
        <f t="shared" si="275"/>
        <v>1</v>
      </c>
    </row>
    <row r="17648" spans="1:4" x14ac:dyDescent="0.3">
      <c r="A17648" s="34">
        <v>80897</v>
      </c>
      <c r="B17648" s="35">
        <v>1</v>
      </c>
      <c r="C17648" s="35">
        <v>0</v>
      </c>
      <c r="D17648" s="2">
        <f t="shared" si="275"/>
        <v>1</v>
      </c>
    </row>
    <row r="17649" spans="1:4" x14ac:dyDescent="0.3">
      <c r="A17649" s="34">
        <v>80898</v>
      </c>
      <c r="B17649" s="35">
        <v>1</v>
      </c>
      <c r="C17649" s="35">
        <v>0</v>
      </c>
      <c r="D17649" s="2">
        <f t="shared" si="275"/>
        <v>1</v>
      </c>
    </row>
    <row r="17650" spans="1:4" x14ac:dyDescent="0.3">
      <c r="A17650" s="34">
        <v>80899</v>
      </c>
      <c r="B17650" s="35">
        <v>1</v>
      </c>
      <c r="C17650" s="35">
        <v>0</v>
      </c>
      <c r="D17650" s="2">
        <f t="shared" si="275"/>
        <v>1</v>
      </c>
    </row>
    <row r="17651" spans="1:4" x14ac:dyDescent="0.3">
      <c r="A17651" s="34">
        <v>80900</v>
      </c>
      <c r="B17651" s="35">
        <v>1</v>
      </c>
      <c r="C17651" s="35">
        <v>0</v>
      </c>
      <c r="D17651" s="2">
        <f t="shared" si="275"/>
        <v>1</v>
      </c>
    </row>
    <row r="17652" spans="1:4" x14ac:dyDescent="0.3">
      <c r="A17652" s="34">
        <v>80901</v>
      </c>
      <c r="B17652" s="35">
        <v>1</v>
      </c>
      <c r="C17652" s="35">
        <v>0</v>
      </c>
      <c r="D17652" s="2">
        <f t="shared" si="275"/>
        <v>1</v>
      </c>
    </row>
    <row r="17653" spans="1:4" x14ac:dyDescent="0.3">
      <c r="A17653" s="34">
        <v>80902</v>
      </c>
      <c r="B17653" s="35">
        <v>1</v>
      </c>
      <c r="C17653" s="35">
        <v>0</v>
      </c>
      <c r="D17653" s="2">
        <f t="shared" si="275"/>
        <v>1</v>
      </c>
    </row>
    <row r="17654" spans="1:4" x14ac:dyDescent="0.3">
      <c r="A17654" s="34">
        <v>80903</v>
      </c>
      <c r="B17654" s="35">
        <v>1</v>
      </c>
      <c r="C17654" s="35">
        <v>0</v>
      </c>
      <c r="D17654" s="2">
        <f t="shared" si="275"/>
        <v>1</v>
      </c>
    </row>
    <row r="17655" spans="1:4" x14ac:dyDescent="0.3">
      <c r="A17655" s="34">
        <v>80904</v>
      </c>
      <c r="B17655" s="35">
        <v>1</v>
      </c>
      <c r="C17655" s="35">
        <v>0</v>
      </c>
      <c r="D17655" s="2">
        <f t="shared" si="275"/>
        <v>1</v>
      </c>
    </row>
    <row r="17656" spans="1:4" x14ac:dyDescent="0.3">
      <c r="A17656" s="34">
        <v>80905</v>
      </c>
      <c r="B17656" s="35">
        <v>1</v>
      </c>
      <c r="C17656" s="35">
        <v>0</v>
      </c>
      <c r="D17656" s="2">
        <f t="shared" si="275"/>
        <v>1</v>
      </c>
    </row>
    <row r="17657" spans="1:4" x14ac:dyDescent="0.3">
      <c r="A17657" s="34">
        <v>80906</v>
      </c>
      <c r="B17657" s="35">
        <v>1</v>
      </c>
      <c r="C17657" s="35">
        <v>0</v>
      </c>
      <c r="D17657" s="2">
        <f t="shared" si="275"/>
        <v>1</v>
      </c>
    </row>
    <row r="17658" spans="1:4" x14ac:dyDescent="0.3">
      <c r="A17658" s="34">
        <v>80907</v>
      </c>
      <c r="B17658" s="35">
        <v>1</v>
      </c>
      <c r="C17658" s="35">
        <v>0</v>
      </c>
      <c r="D17658" s="2">
        <f t="shared" si="275"/>
        <v>1</v>
      </c>
    </row>
    <row r="17659" spans="1:4" x14ac:dyDescent="0.3">
      <c r="A17659" s="34">
        <v>80908</v>
      </c>
      <c r="B17659" s="35">
        <v>1</v>
      </c>
      <c r="C17659" s="35">
        <v>0</v>
      </c>
      <c r="D17659" s="2">
        <f t="shared" si="275"/>
        <v>1</v>
      </c>
    </row>
    <row r="17660" spans="1:4" x14ac:dyDescent="0.3">
      <c r="A17660" s="34">
        <v>80909</v>
      </c>
      <c r="B17660" s="35">
        <v>1</v>
      </c>
      <c r="C17660" s="35">
        <v>0</v>
      </c>
      <c r="D17660" s="2">
        <f t="shared" si="275"/>
        <v>1</v>
      </c>
    </row>
    <row r="17661" spans="1:4" x14ac:dyDescent="0.3">
      <c r="A17661" s="34">
        <v>80910</v>
      </c>
      <c r="B17661" s="35">
        <v>1</v>
      </c>
      <c r="C17661" s="35">
        <v>0</v>
      </c>
      <c r="D17661" s="2">
        <f t="shared" si="275"/>
        <v>1</v>
      </c>
    </row>
    <row r="17662" spans="1:4" x14ac:dyDescent="0.3">
      <c r="A17662" s="34">
        <v>80911</v>
      </c>
      <c r="B17662" s="35">
        <v>1</v>
      </c>
      <c r="C17662" s="35">
        <v>0</v>
      </c>
      <c r="D17662" s="2">
        <f t="shared" si="275"/>
        <v>1</v>
      </c>
    </row>
    <row r="17663" spans="1:4" x14ac:dyDescent="0.3">
      <c r="A17663" s="34">
        <v>80912</v>
      </c>
      <c r="B17663" s="35">
        <v>1</v>
      </c>
      <c r="C17663" s="35">
        <v>0</v>
      </c>
      <c r="D17663" s="2">
        <f t="shared" si="275"/>
        <v>1</v>
      </c>
    </row>
    <row r="17664" spans="1:4" x14ac:dyDescent="0.3">
      <c r="A17664" s="34">
        <v>80913</v>
      </c>
      <c r="B17664" s="35">
        <v>1</v>
      </c>
      <c r="C17664" s="35">
        <v>0</v>
      </c>
      <c r="D17664" s="2">
        <f t="shared" si="275"/>
        <v>1</v>
      </c>
    </row>
    <row r="17665" spans="1:4" x14ac:dyDescent="0.3">
      <c r="A17665" s="34">
        <v>80914</v>
      </c>
      <c r="B17665" s="35">
        <v>1</v>
      </c>
      <c r="C17665" s="35">
        <v>0</v>
      </c>
      <c r="D17665" s="2">
        <f t="shared" si="275"/>
        <v>1</v>
      </c>
    </row>
    <row r="17666" spans="1:4" x14ac:dyDescent="0.3">
      <c r="A17666" s="34">
        <v>80915</v>
      </c>
      <c r="B17666" s="35">
        <v>1</v>
      </c>
      <c r="C17666" s="35">
        <v>0</v>
      </c>
      <c r="D17666" s="2">
        <f t="shared" si="275"/>
        <v>1</v>
      </c>
    </row>
    <row r="17667" spans="1:4" x14ac:dyDescent="0.3">
      <c r="A17667" s="34">
        <v>80916</v>
      </c>
      <c r="B17667" s="35">
        <v>1</v>
      </c>
      <c r="C17667" s="35">
        <v>0</v>
      </c>
      <c r="D17667" s="2">
        <f t="shared" ref="D17667:D17730" si="276">B17667+C17667</f>
        <v>1</v>
      </c>
    </row>
    <row r="17668" spans="1:4" x14ac:dyDescent="0.3">
      <c r="A17668" s="34">
        <v>80917</v>
      </c>
      <c r="B17668" s="35">
        <v>1</v>
      </c>
      <c r="C17668" s="35">
        <v>0</v>
      </c>
      <c r="D17668" s="2">
        <f t="shared" si="276"/>
        <v>1</v>
      </c>
    </row>
    <row r="17669" spans="1:4" x14ac:dyDescent="0.3">
      <c r="A17669" s="34">
        <v>80918</v>
      </c>
      <c r="B17669" s="35">
        <v>1</v>
      </c>
      <c r="C17669" s="35">
        <v>0</v>
      </c>
      <c r="D17669" s="2">
        <f t="shared" si="276"/>
        <v>1</v>
      </c>
    </row>
    <row r="17670" spans="1:4" x14ac:dyDescent="0.3">
      <c r="A17670" s="34">
        <v>80920</v>
      </c>
      <c r="B17670" s="35">
        <v>1</v>
      </c>
      <c r="C17670" s="35">
        <v>0</v>
      </c>
      <c r="D17670" s="2">
        <f t="shared" si="276"/>
        <v>1</v>
      </c>
    </row>
    <row r="17671" spans="1:4" x14ac:dyDescent="0.3">
      <c r="A17671" s="34">
        <v>80921</v>
      </c>
      <c r="B17671" s="35">
        <v>1</v>
      </c>
      <c r="C17671" s="35">
        <v>0</v>
      </c>
      <c r="D17671" s="2">
        <f t="shared" si="276"/>
        <v>1</v>
      </c>
    </row>
    <row r="17672" spans="1:4" x14ac:dyDescent="0.3">
      <c r="A17672" s="34">
        <v>80922</v>
      </c>
      <c r="B17672" s="35">
        <v>1</v>
      </c>
      <c r="C17672" s="35">
        <v>0</v>
      </c>
      <c r="D17672" s="2">
        <f t="shared" si="276"/>
        <v>1</v>
      </c>
    </row>
    <row r="17673" spans="1:4" x14ac:dyDescent="0.3">
      <c r="A17673" s="34">
        <v>80923</v>
      </c>
      <c r="B17673" s="35">
        <v>1</v>
      </c>
      <c r="C17673" s="35">
        <v>0</v>
      </c>
      <c r="D17673" s="2">
        <f t="shared" si="276"/>
        <v>1</v>
      </c>
    </row>
    <row r="17674" spans="1:4" x14ac:dyDescent="0.3">
      <c r="A17674" s="34">
        <v>80924</v>
      </c>
      <c r="B17674" s="35">
        <v>2</v>
      </c>
      <c r="C17674" s="35">
        <v>1</v>
      </c>
      <c r="D17674" s="2">
        <f t="shared" si="276"/>
        <v>3</v>
      </c>
    </row>
    <row r="17675" spans="1:4" x14ac:dyDescent="0.3">
      <c r="A17675" s="34">
        <v>80925</v>
      </c>
      <c r="B17675" s="35">
        <v>1</v>
      </c>
      <c r="C17675" s="35">
        <v>0</v>
      </c>
      <c r="D17675" s="2">
        <f t="shared" si="276"/>
        <v>1</v>
      </c>
    </row>
    <row r="17676" spans="1:4" x14ac:dyDescent="0.3">
      <c r="A17676" s="34">
        <v>80928</v>
      </c>
      <c r="B17676" s="35">
        <v>1</v>
      </c>
      <c r="C17676" s="35">
        <v>0</v>
      </c>
      <c r="D17676" s="2">
        <f t="shared" si="276"/>
        <v>1</v>
      </c>
    </row>
    <row r="17677" spans="1:4" x14ac:dyDescent="0.3">
      <c r="A17677" s="34">
        <v>80929</v>
      </c>
      <c r="B17677" s="35">
        <v>1</v>
      </c>
      <c r="C17677" s="35">
        <v>0</v>
      </c>
      <c r="D17677" s="2">
        <f t="shared" si="276"/>
        <v>1</v>
      </c>
    </row>
    <row r="17678" spans="1:4" x14ac:dyDescent="0.3">
      <c r="A17678" s="34">
        <v>80930</v>
      </c>
      <c r="B17678" s="35">
        <v>1</v>
      </c>
      <c r="C17678" s="35">
        <v>0</v>
      </c>
      <c r="D17678" s="2">
        <f t="shared" si="276"/>
        <v>1</v>
      </c>
    </row>
    <row r="17679" spans="1:4" x14ac:dyDescent="0.3">
      <c r="A17679" s="34">
        <v>80931</v>
      </c>
      <c r="B17679" s="35">
        <v>2</v>
      </c>
      <c r="C17679" s="35">
        <v>1</v>
      </c>
      <c r="D17679" s="2">
        <f t="shared" si="276"/>
        <v>3</v>
      </c>
    </row>
    <row r="17680" spans="1:4" x14ac:dyDescent="0.3">
      <c r="A17680" s="34">
        <v>80932</v>
      </c>
      <c r="B17680" s="35">
        <v>1</v>
      </c>
      <c r="C17680" s="35">
        <v>0</v>
      </c>
      <c r="D17680" s="2">
        <f t="shared" si="276"/>
        <v>1</v>
      </c>
    </row>
    <row r="17681" spans="1:4" x14ac:dyDescent="0.3">
      <c r="A17681" s="34">
        <v>80933</v>
      </c>
      <c r="B17681" s="35">
        <v>1</v>
      </c>
      <c r="C17681" s="35">
        <v>0</v>
      </c>
      <c r="D17681" s="2">
        <f t="shared" si="276"/>
        <v>1</v>
      </c>
    </row>
    <row r="17682" spans="1:4" x14ac:dyDescent="0.3">
      <c r="A17682" s="34">
        <v>80934</v>
      </c>
      <c r="B17682" s="35">
        <v>2</v>
      </c>
      <c r="C17682" s="35">
        <v>1</v>
      </c>
      <c r="D17682" s="2">
        <f t="shared" si="276"/>
        <v>3</v>
      </c>
    </row>
    <row r="17683" spans="1:4" x14ac:dyDescent="0.3">
      <c r="A17683" s="34">
        <v>80935</v>
      </c>
      <c r="B17683" s="35">
        <v>1</v>
      </c>
      <c r="C17683" s="35">
        <v>0</v>
      </c>
      <c r="D17683" s="2">
        <f t="shared" si="276"/>
        <v>1</v>
      </c>
    </row>
    <row r="17684" spans="1:4" x14ac:dyDescent="0.3">
      <c r="A17684" s="34">
        <v>80936</v>
      </c>
      <c r="B17684" s="35">
        <v>1</v>
      </c>
      <c r="C17684" s="35">
        <v>0</v>
      </c>
      <c r="D17684" s="2">
        <f t="shared" si="276"/>
        <v>1</v>
      </c>
    </row>
    <row r="17685" spans="1:4" x14ac:dyDescent="0.3">
      <c r="A17685" s="34">
        <v>80937</v>
      </c>
      <c r="B17685" s="35">
        <v>1</v>
      </c>
      <c r="C17685" s="35">
        <v>0</v>
      </c>
      <c r="D17685" s="2">
        <f t="shared" si="276"/>
        <v>1</v>
      </c>
    </row>
    <row r="17686" spans="1:4" x14ac:dyDescent="0.3">
      <c r="A17686" s="34">
        <v>80938</v>
      </c>
      <c r="B17686" s="35">
        <v>1</v>
      </c>
      <c r="C17686" s="35">
        <v>0</v>
      </c>
      <c r="D17686" s="2">
        <f t="shared" si="276"/>
        <v>1</v>
      </c>
    </row>
    <row r="17687" spans="1:4" x14ac:dyDescent="0.3">
      <c r="A17687" s="34">
        <v>80939</v>
      </c>
      <c r="B17687" s="35">
        <v>1</v>
      </c>
      <c r="C17687" s="35">
        <v>0</v>
      </c>
      <c r="D17687" s="2">
        <f t="shared" si="276"/>
        <v>1</v>
      </c>
    </row>
    <row r="17688" spans="1:4" x14ac:dyDescent="0.3">
      <c r="A17688" s="34">
        <v>80940</v>
      </c>
      <c r="B17688" s="35">
        <v>1</v>
      </c>
      <c r="C17688" s="35">
        <v>0</v>
      </c>
      <c r="D17688" s="2">
        <f t="shared" si="276"/>
        <v>1</v>
      </c>
    </row>
    <row r="17689" spans="1:4" x14ac:dyDescent="0.3">
      <c r="A17689" s="34">
        <v>80941</v>
      </c>
      <c r="B17689" s="35">
        <v>1</v>
      </c>
      <c r="C17689" s="35">
        <v>0</v>
      </c>
      <c r="D17689" s="2">
        <f t="shared" si="276"/>
        <v>1</v>
      </c>
    </row>
    <row r="17690" spans="1:4" x14ac:dyDescent="0.3">
      <c r="A17690" s="34">
        <v>80942</v>
      </c>
      <c r="B17690" s="35">
        <v>1</v>
      </c>
      <c r="C17690" s="35">
        <v>0</v>
      </c>
      <c r="D17690" s="2">
        <f t="shared" si="276"/>
        <v>1</v>
      </c>
    </row>
    <row r="17691" spans="1:4" x14ac:dyDescent="0.3">
      <c r="A17691" s="34">
        <v>80943</v>
      </c>
      <c r="B17691" s="35">
        <v>2</v>
      </c>
      <c r="C17691" s="35">
        <v>1</v>
      </c>
      <c r="D17691" s="2">
        <f t="shared" si="276"/>
        <v>3</v>
      </c>
    </row>
    <row r="17692" spans="1:4" x14ac:dyDescent="0.3">
      <c r="A17692" s="34">
        <v>80944</v>
      </c>
      <c r="B17692" s="35">
        <v>1</v>
      </c>
      <c r="C17692" s="35">
        <v>0</v>
      </c>
      <c r="D17692" s="2">
        <f t="shared" si="276"/>
        <v>1</v>
      </c>
    </row>
    <row r="17693" spans="1:4" x14ac:dyDescent="0.3">
      <c r="A17693" s="34">
        <v>80945</v>
      </c>
      <c r="B17693" s="35">
        <v>1</v>
      </c>
      <c r="C17693" s="35">
        <v>0</v>
      </c>
      <c r="D17693" s="2">
        <f t="shared" si="276"/>
        <v>1</v>
      </c>
    </row>
    <row r="17694" spans="1:4" x14ac:dyDescent="0.3">
      <c r="A17694" s="34">
        <v>80946</v>
      </c>
      <c r="B17694" s="35">
        <v>1</v>
      </c>
      <c r="C17694" s="35">
        <v>0</v>
      </c>
      <c r="D17694" s="2">
        <f t="shared" si="276"/>
        <v>1</v>
      </c>
    </row>
    <row r="17695" spans="1:4" x14ac:dyDescent="0.3">
      <c r="A17695" s="34">
        <v>80947</v>
      </c>
      <c r="B17695" s="35">
        <v>1</v>
      </c>
      <c r="C17695" s="35">
        <v>0</v>
      </c>
      <c r="D17695" s="2">
        <f t="shared" si="276"/>
        <v>1</v>
      </c>
    </row>
    <row r="17696" spans="1:4" x14ac:dyDescent="0.3">
      <c r="A17696" s="34">
        <v>80948</v>
      </c>
      <c r="B17696" s="35">
        <v>1</v>
      </c>
      <c r="C17696" s="35">
        <v>0</v>
      </c>
      <c r="D17696" s="2">
        <f t="shared" si="276"/>
        <v>1</v>
      </c>
    </row>
    <row r="17697" spans="1:4" x14ac:dyDescent="0.3">
      <c r="A17697" s="34">
        <v>80949</v>
      </c>
      <c r="B17697" s="35">
        <v>1</v>
      </c>
      <c r="C17697" s="35">
        <v>0</v>
      </c>
      <c r="D17697" s="2">
        <f t="shared" si="276"/>
        <v>1</v>
      </c>
    </row>
    <row r="17698" spans="1:4" x14ac:dyDescent="0.3">
      <c r="A17698" s="34">
        <v>80950</v>
      </c>
      <c r="B17698" s="35">
        <v>1</v>
      </c>
      <c r="C17698" s="35">
        <v>0</v>
      </c>
      <c r="D17698" s="2">
        <f t="shared" si="276"/>
        <v>1</v>
      </c>
    </row>
    <row r="17699" spans="1:4" x14ac:dyDescent="0.3">
      <c r="A17699" s="34">
        <v>80951</v>
      </c>
      <c r="B17699" s="35">
        <v>1</v>
      </c>
      <c r="C17699" s="35">
        <v>0</v>
      </c>
      <c r="D17699" s="2">
        <f t="shared" si="276"/>
        <v>1</v>
      </c>
    </row>
    <row r="17700" spans="1:4" x14ac:dyDescent="0.3">
      <c r="A17700" s="34">
        <v>80952</v>
      </c>
      <c r="B17700" s="35">
        <v>2</v>
      </c>
      <c r="C17700" s="35">
        <v>1</v>
      </c>
      <c r="D17700" s="2">
        <f t="shared" si="276"/>
        <v>3</v>
      </c>
    </row>
    <row r="17701" spans="1:4" x14ac:dyDescent="0.3">
      <c r="A17701" s="34">
        <v>80953</v>
      </c>
      <c r="B17701" s="35">
        <v>1</v>
      </c>
      <c r="C17701" s="35">
        <v>0</v>
      </c>
      <c r="D17701" s="2">
        <f t="shared" si="276"/>
        <v>1</v>
      </c>
    </row>
    <row r="17702" spans="1:4" x14ac:dyDescent="0.3">
      <c r="A17702" s="34">
        <v>80954</v>
      </c>
      <c r="B17702" s="35">
        <v>1</v>
      </c>
      <c r="C17702" s="35">
        <v>0</v>
      </c>
      <c r="D17702" s="2">
        <f t="shared" si="276"/>
        <v>1</v>
      </c>
    </row>
    <row r="17703" spans="1:4" x14ac:dyDescent="0.3">
      <c r="A17703" s="34">
        <v>80956</v>
      </c>
      <c r="B17703" s="35">
        <v>1</v>
      </c>
      <c r="C17703" s="35">
        <v>0</v>
      </c>
      <c r="D17703" s="2">
        <f t="shared" si="276"/>
        <v>1</v>
      </c>
    </row>
    <row r="17704" spans="1:4" x14ac:dyDescent="0.3">
      <c r="A17704" s="34">
        <v>80957</v>
      </c>
      <c r="B17704" s="35">
        <v>1</v>
      </c>
      <c r="C17704" s="35">
        <v>0</v>
      </c>
      <c r="D17704" s="2">
        <f t="shared" si="276"/>
        <v>1</v>
      </c>
    </row>
    <row r="17705" spans="1:4" x14ac:dyDescent="0.3">
      <c r="A17705" s="34">
        <v>80958</v>
      </c>
      <c r="B17705" s="35">
        <v>1</v>
      </c>
      <c r="C17705" s="35">
        <v>0</v>
      </c>
      <c r="D17705" s="2">
        <f t="shared" si="276"/>
        <v>1</v>
      </c>
    </row>
    <row r="17706" spans="1:4" x14ac:dyDescent="0.3">
      <c r="A17706" s="34">
        <v>80959</v>
      </c>
      <c r="B17706" s="35">
        <v>1</v>
      </c>
      <c r="C17706" s="35">
        <v>0</v>
      </c>
      <c r="D17706" s="2">
        <f t="shared" si="276"/>
        <v>1</v>
      </c>
    </row>
    <row r="17707" spans="1:4" x14ac:dyDescent="0.3">
      <c r="A17707" s="34">
        <v>80960</v>
      </c>
      <c r="B17707" s="35">
        <v>1</v>
      </c>
      <c r="C17707" s="35">
        <v>0</v>
      </c>
      <c r="D17707" s="2">
        <f t="shared" si="276"/>
        <v>1</v>
      </c>
    </row>
    <row r="17708" spans="1:4" x14ac:dyDescent="0.3">
      <c r="A17708" s="34">
        <v>80961</v>
      </c>
      <c r="B17708" s="35">
        <v>1</v>
      </c>
      <c r="C17708" s="35">
        <v>0</v>
      </c>
      <c r="D17708" s="2">
        <f t="shared" si="276"/>
        <v>1</v>
      </c>
    </row>
    <row r="17709" spans="1:4" x14ac:dyDescent="0.3">
      <c r="A17709" s="34">
        <v>80962</v>
      </c>
      <c r="B17709" s="35">
        <v>1</v>
      </c>
      <c r="C17709" s="35">
        <v>0</v>
      </c>
      <c r="D17709" s="2">
        <f t="shared" si="276"/>
        <v>1</v>
      </c>
    </row>
    <row r="17710" spans="1:4" x14ac:dyDescent="0.3">
      <c r="A17710" s="34">
        <v>80963</v>
      </c>
      <c r="B17710" s="35">
        <v>1</v>
      </c>
      <c r="C17710" s="35">
        <v>0</v>
      </c>
      <c r="D17710" s="2">
        <f t="shared" si="276"/>
        <v>1</v>
      </c>
    </row>
    <row r="17711" spans="1:4" x14ac:dyDescent="0.3">
      <c r="A17711" s="34">
        <v>80965</v>
      </c>
      <c r="B17711" s="35">
        <v>1</v>
      </c>
      <c r="C17711" s="35">
        <v>0</v>
      </c>
      <c r="D17711" s="2">
        <f t="shared" si="276"/>
        <v>1</v>
      </c>
    </row>
    <row r="17712" spans="1:4" x14ac:dyDescent="0.3">
      <c r="A17712" s="34">
        <v>80966</v>
      </c>
      <c r="B17712" s="35">
        <v>1</v>
      </c>
      <c r="C17712" s="35">
        <v>0</v>
      </c>
      <c r="D17712" s="2">
        <f t="shared" si="276"/>
        <v>1</v>
      </c>
    </row>
    <row r="17713" spans="1:4" x14ac:dyDescent="0.3">
      <c r="A17713" s="34">
        <v>80967</v>
      </c>
      <c r="B17713" s="35">
        <v>1</v>
      </c>
      <c r="C17713" s="35">
        <v>0</v>
      </c>
      <c r="D17713" s="2">
        <f t="shared" si="276"/>
        <v>1</v>
      </c>
    </row>
    <row r="17714" spans="1:4" x14ac:dyDescent="0.3">
      <c r="A17714" s="34">
        <v>80968</v>
      </c>
      <c r="B17714" s="35">
        <v>1</v>
      </c>
      <c r="C17714" s="35">
        <v>0</v>
      </c>
      <c r="D17714" s="2">
        <f t="shared" si="276"/>
        <v>1</v>
      </c>
    </row>
    <row r="17715" spans="1:4" x14ac:dyDescent="0.3">
      <c r="A17715" s="34">
        <v>80969</v>
      </c>
      <c r="B17715" s="35">
        <v>1</v>
      </c>
      <c r="C17715" s="35">
        <v>0</v>
      </c>
      <c r="D17715" s="2">
        <f t="shared" si="276"/>
        <v>1</v>
      </c>
    </row>
    <row r="17716" spans="1:4" x14ac:dyDescent="0.3">
      <c r="A17716" s="34">
        <v>80970</v>
      </c>
      <c r="B17716" s="35">
        <v>1</v>
      </c>
      <c r="C17716" s="35">
        <v>0</v>
      </c>
      <c r="D17716" s="2">
        <f t="shared" si="276"/>
        <v>1</v>
      </c>
    </row>
    <row r="17717" spans="1:4" x14ac:dyDescent="0.3">
      <c r="A17717" s="34">
        <v>80971</v>
      </c>
      <c r="B17717" s="35">
        <v>1</v>
      </c>
      <c r="C17717" s="35">
        <v>0</v>
      </c>
      <c r="D17717" s="2">
        <f t="shared" si="276"/>
        <v>1</v>
      </c>
    </row>
    <row r="17718" spans="1:4" x14ac:dyDescent="0.3">
      <c r="A17718" s="34">
        <v>80972</v>
      </c>
      <c r="B17718" s="35">
        <v>1</v>
      </c>
      <c r="C17718" s="35">
        <v>0</v>
      </c>
      <c r="D17718" s="2">
        <f t="shared" si="276"/>
        <v>1</v>
      </c>
    </row>
    <row r="17719" spans="1:4" x14ac:dyDescent="0.3">
      <c r="A17719" s="34">
        <v>80973</v>
      </c>
      <c r="B17719" s="35">
        <v>1</v>
      </c>
      <c r="C17719" s="35">
        <v>0</v>
      </c>
      <c r="D17719" s="2">
        <f t="shared" si="276"/>
        <v>1</v>
      </c>
    </row>
    <row r="17720" spans="1:4" x14ac:dyDescent="0.3">
      <c r="A17720" s="34">
        <v>80974</v>
      </c>
      <c r="B17720" s="35">
        <v>1</v>
      </c>
      <c r="C17720" s="35">
        <v>0</v>
      </c>
      <c r="D17720" s="2">
        <f t="shared" si="276"/>
        <v>1</v>
      </c>
    </row>
    <row r="17721" spans="1:4" x14ac:dyDescent="0.3">
      <c r="A17721" s="34">
        <v>80975</v>
      </c>
      <c r="B17721" s="35">
        <v>1</v>
      </c>
      <c r="C17721" s="35">
        <v>0</v>
      </c>
      <c r="D17721" s="2">
        <f t="shared" si="276"/>
        <v>1</v>
      </c>
    </row>
    <row r="17722" spans="1:4" x14ac:dyDescent="0.3">
      <c r="A17722" s="34">
        <v>80976</v>
      </c>
      <c r="B17722" s="35">
        <v>1</v>
      </c>
      <c r="C17722" s="35">
        <v>0</v>
      </c>
      <c r="D17722" s="2">
        <f t="shared" si="276"/>
        <v>1</v>
      </c>
    </row>
    <row r="17723" spans="1:4" x14ac:dyDescent="0.3">
      <c r="A17723" s="34">
        <v>80977</v>
      </c>
      <c r="B17723" s="35">
        <v>1</v>
      </c>
      <c r="C17723" s="35">
        <v>0</v>
      </c>
      <c r="D17723" s="2">
        <f t="shared" si="276"/>
        <v>1</v>
      </c>
    </row>
    <row r="17724" spans="1:4" x14ac:dyDescent="0.3">
      <c r="A17724" s="34">
        <v>80978</v>
      </c>
      <c r="B17724" s="35">
        <v>1</v>
      </c>
      <c r="C17724" s="35">
        <v>0</v>
      </c>
      <c r="D17724" s="2">
        <f t="shared" si="276"/>
        <v>1</v>
      </c>
    </row>
    <row r="17725" spans="1:4" x14ac:dyDescent="0.3">
      <c r="A17725" s="34">
        <v>80979</v>
      </c>
      <c r="B17725" s="35">
        <v>1</v>
      </c>
      <c r="C17725" s="35">
        <v>0</v>
      </c>
      <c r="D17725" s="2">
        <f t="shared" si="276"/>
        <v>1</v>
      </c>
    </row>
    <row r="17726" spans="1:4" x14ac:dyDescent="0.3">
      <c r="A17726" s="34">
        <v>80980</v>
      </c>
      <c r="B17726" s="35">
        <v>1</v>
      </c>
      <c r="C17726" s="35">
        <v>0</v>
      </c>
      <c r="D17726" s="2">
        <f t="shared" si="276"/>
        <v>1</v>
      </c>
    </row>
    <row r="17727" spans="1:4" x14ac:dyDescent="0.3">
      <c r="A17727" s="34">
        <v>80981</v>
      </c>
      <c r="B17727" s="35">
        <v>1</v>
      </c>
      <c r="C17727" s="35">
        <v>0</v>
      </c>
      <c r="D17727" s="2">
        <f t="shared" si="276"/>
        <v>1</v>
      </c>
    </row>
    <row r="17728" spans="1:4" x14ac:dyDescent="0.3">
      <c r="A17728" s="34">
        <v>80982</v>
      </c>
      <c r="B17728" s="35">
        <v>1</v>
      </c>
      <c r="C17728" s="35">
        <v>0</v>
      </c>
      <c r="D17728" s="2">
        <f t="shared" si="276"/>
        <v>1</v>
      </c>
    </row>
    <row r="17729" spans="1:4" x14ac:dyDescent="0.3">
      <c r="A17729" s="34">
        <v>80983</v>
      </c>
      <c r="B17729" s="35">
        <v>1</v>
      </c>
      <c r="C17729" s="35">
        <v>0</v>
      </c>
      <c r="D17729" s="2">
        <f t="shared" si="276"/>
        <v>1</v>
      </c>
    </row>
    <row r="17730" spans="1:4" x14ac:dyDescent="0.3">
      <c r="A17730" s="34">
        <v>80984</v>
      </c>
      <c r="B17730" s="35">
        <v>1</v>
      </c>
      <c r="C17730" s="35">
        <v>0</v>
      </c>
      <c r="D17730" s="2">
        <f t="shared" si="276"/>
        <v>1</v>
      </c>
    </row>
    <row r="17731" spans="1:4" x14ac:dyDescent="0.3">
      <c r="A17731" s="34">
        <v>80985</v>
      </c>
      <c r="B17731" s="35">
        <v>1</v>
      </c>
      <c r="C17731" s="35">
        <v>0</v>
      </c>
      <c r="D17731" s="2">
        <f t="shared" ref="D17731:D17794" si="277">B17731+C17731</f>
        <v>1</v>
      </c>
    </row>
    <row r="17732" spans="1:4" x14ac:dyDescent="0.3">
      <c r="A17732" s="34">
        <v>80986</v>
      </c>
      <c r="B17732" s="35">
        <v>1</v>
      </c>
      <c r="C17732" s="35">
        <v>0</v>
      </c>
      <c r="D17732" s="2">
        <f t="shared" si="277"/>
        <v>1</v>
      </c>
    </row>
    <row r="17733" spans="1:4" x14ac:dyDescent="0.3">
      <c r="A17733" s="34">
        <v>80987</v>
      </c>
      <c r="B17733" s="35">
        <v>1</v>
      </c>
      <c r="C17733" s="35">
        <v>0</v>
      </c>
      <c r="D17733" s="2">
        <f t="shared" si="277"/>
        <v>1</v>
      </c>
    </row>
    <row r="17734" spans="1:4" x14ac:dyDescent="0.3">
      <c r="A17734" s="34">
        <v>80988</v>
      </c>
      <c r="B17734" s="35">
        <v>1</v>
      </c>
      <c r="C17734" s="35">
        <v>0</v>
      </c>
      <c r="D17734" s="2">
        <f t="shared" si="277"/>
        <v>1</v>
      </c>
    </row>
    <row r="17735" spans="1:4" x14ac:dyDescent="0.3">
      <c r="A17735" s="34">
        <v>80989</v>
      </c>
      <c r="B17735" s="35">
        <v>1</v>
      </c>
      <c r="C17735" s="35">
        <v>0</v>
      </c>
      <c r="D17735" s="2">
        <f t="shared" si="277"/>
        <v>1</v>
      </c>
    </row>
    <row r="17736" spans="1:4" x14ac:dyDescent="0.3">
      <c r="A17736" s="34">
        <v>81049</v>
      </c>
      <c r="B17736" s="35">
        <v>1</v>
      </c>
      <c r="C17736" s="35">
        <v>0</v>
      </c>
      <c r="D17736" s="2">
        <f t="shared" si="277"/>
        <v>1</v>
      </c>
    </row>
    <row r="17737" spans="1:4" x14ac:dyDescent="0.3">
      <c r="A17737" s="34">
        <v>81050</v>
      </c>
      <c r="B17737" s="35">
        <v>1</v>
      </c>
      <c r="C17737" s="35">
        <v>0</v>
      </c>
      <c r="D17737" s="2">
        <f t="shared" si="277"/>
        <v>1</v>
      </c>
    </row>
    <row r="17738" spans="1:4" x14ac:dyDescent="0.3">
      <c r="A17738" s="34">
        <v>81051</v>
      </c>
      <c r="B17738" s="35">
        <v>1</v>
      </c>
      <c r="C17738" s="35">
        <v>0</v>
      </c>
      <c r="D17738" s="2">
        <f t="shared" si="277"/>
        <v>1</v>
      </c>
    </row>
    <row r="17739" spans="1:4" x14ac:dyDescent="0.3">
      <c r="A17739" s="34">
        <v>81052</v>
      </c>
      <c r="B17739" s="35">
        <v>1</v>
      </c>
      <c r="C17739" s="35">
        <v>0</v>
      </c>
      <c r="D17739" s="2">
        <f t="shared" si="277"/>
        <v>1</v>
      </c>
    </row>
    <row r="17740" spans="1:4" x14ac:dyDescent="0.3">
      <c r="A17740" s="34">
        <v>81053</v>
      </c>
      <c r="B17740" s="35">
        <v>2</v>
      </c>
      <c r="C17740" s="35">
        <v>1</v>
      </c>
      <c r="D17740" s="2">
        <f t="shared" si="277"/>
        <v>3</v>
      </c>
    </row>
    <row r="17741" spans="1:4" x14ac:dyDescent="0.3">
      <c r="A17741" s="34">
        <v>81054</v>
      </c>
      <c r="B17741" s="35">
        <v>2</v>
      </c>
      <c r="C17741" s="35">
        <v>1</v>
      </c>
      <c r="D17741" s="2">
        <f t="shared" si="277"/>
        <v>3</v>
      </c>
    </row>
    <row r="17742" spans="1:4" x14ac:dyDescent="0.3">
      <c r="A17742" s="34">
        <v>81055</v>
      </c>
      <c r="B17742" s="35">
        <v>2</v>
      </c>
      <c r="C17742" s="35">
        <v>1</v>
      </c>
      <c r="D17742" s="2">
        <f t="shared" si="277"/>
        <v>3</v>
      </c>
    </row>
    <row r="17743" spans="1:4" x14ac:dyDescent="0.3">
      <c r="A17743" s="34">
        <v>81056</v>
      </c>
      <c r="B17743" s="35">
        <v>1</v>
      </c>
      <c r="C17743" s="35">
        <v>0</v>
      </c>
      <c r="D17743" s="2">
        <f t="shared" si="277"/>
        <v>1</v>
      </c>
    </row>
    <row r="17744" spans="1:4" x14ac:dyDescent="0.3">
      <c r="A17744" s="34">
        <v>81057</v>
      </c>
      <c r="B17744" s="35">
        <v>1</v>
      </c>
      <c r="C17744" s="35">
        <v>0</v>
      </c>
      <c r="D17744" s="2">
        <f t="shared" si="277"/>
        <v>1</v>
      </c>
    </row>
    <row r="17745" spans="1:4" x14ac:dyDescent="0.3">
      <c r="A17745" s="34">
        <v>81058</v>
      </c>
      <c r="B17745" s="35">
        <v>1</v>
      </c>
      <c r="C17745" s="35">
        <v>0</v>
      </c>
      <c r="D17745" s="2">
        <f t="shared" si="277"/>
        <v>1</v>
      </c>
    </row>
    <row r="17746" spans="1:4" x14ac:dyDescent="0.3">
      <c r="A17746" s="34">
        <v>81059</v>
      </c>
      <c r="B17746" s="35">
        <v>1</v>
      </c>
      <c r="C17746" s="35">
        <v>0</v>
      </c>
      <c r="D17746" s="2">
        <f t="shared" si="277"/>
        <v>1</v>
      </c>
    </row>
    <row r="17747" spans="1:4" x14ac:dyDescent="0.3">
      <c r="A17747" s="34">
        <v>81060</v>
      </c>
      <c r="B17747" s="35">
        <v>1</v>
      </c>
      <c r="C17747" s="35">
        <v>0</v>
      </c>
      <c r="D17747" s="2">
        <f t="shared" si="277"/>
        <v>1</v>
      </c>
    </row>
    <row r="17748" spans="1:4" x14ac:dyDescent="0.3">
      <c r="A17748" s="34">
        <v>81061</v>
      </c>
      <c r="B17748" s="35">
        <v>1</v>
      </c>
      <c r="C17748" s="35">
        <v>0</v>
      </c>
      <c r="D17748" s="2">
        <f t="shared" si="277"/>
        <v>1</v>
      </c>
    </row>
    <row r="17749" spans="1:4" x14ac:dyDescent="0.3">
      <c r="A17749" s="34">
        <v>81062</v>
      </c>
      <c r="B17749" s="35">
        <v>1</v>
      </c>
      <c r="C17749" s="35">
        <v>0</v>
      </c>
      <c r="D17749" s="2">
        <f t="shared" si="277"/>
        <v>1</v>
      </c>
    </row>
    <row r="17750" spans="1:4" x14ac:dyDescent="0.3">
      <c r="A17750" s="34">
        <v>81063</v>
      </c>
      <c r="B17750" s="35">
        <v>2</v>
      </c>
      <c r="C17750" s="35">
        <v>1</v>
      </c>
      <c r="D17750" s="2">
        <f t="shared" si="277"/>
        <v>3</v>
      </c>
    </row>
    <row r="17751" spans="1:4" x14ac:dyDescent="0.3">
      <c r="A17751" s="34">
        <v>81064</v>
      </c>
      <c r="B17751" s="35">
        <v>1</v>
      </c>
      <c r="C17751" s="35">
        <v>0</v>
      </c>
      <c r="D17751" s="2">
        <f t="shared" si="277"/>
        <v>1</v>
      </c>
    </row>
    <row r="17752" spans="1:4" x14ac:dyDescent="0.3">
      <c r="A17752" s="34">
        <v>81065</v>
      </c>
      <c r="B17752" s="35">
        <v>1</v>
      </c>
      <c r="C17752" s="35">
        <v>0</v>
      </c>
      <c r="D17752" s="2">
        <f t="shared" si="277"/>
        <v>1</v>
      </c>
    </row>
    <row r="17753" spans="1:4" x14ac:dyDescent="0.3">
      <c r="A17753" s="34">
        <v>81066</v>
      </c>
      <c r="B17753" s="35">
        <v>1</v>
      </c>
      <c r="C17753" s="35">
        <v>0</v>
      </c>
      <c r="D17753" s="2">
        <f t="shared" si="277"/>
        <v>1</v>
      </c>
    </row>
    <row r="17754" spans="1:4" x14ac:dyDescent="0.3">
      <c r="A17754" s="34">
        <v>81067</v>
      </c>
      <c r="B17754" s="35">
        <v>1</v>
      </c>
      <c r="C17754" s="35">
        <v>0</v>
      </c>
      <c r="D17754" s="2">
        <f t="shared" si="277"/>
        <v>1</v>
      </c>
    </row>
    <row r="17755" spans="1:4" x14ac:dyDescent="0.3">
      <c r="A17755" s="34">
        <v>81068</v>
      </c>
      <c r="B17755" s="35">
        <v>1</v>
      </c>
      <c r="C17755" s="35">
        <v>0</v>
      </c>
      <c r="D17755" s="2">
        <f t="shared" si="277"/>
        <v>1</v>
      </c>
    </row>
    <row r="17756" spans="1:4" x14ac:dyDescent="0.3">
      <c r="A17756" s="34">
        <v>81069</v>
      </c>
      <c r="B17756" s="35">
        <v>1</v>
      </c>
      <c r="C17756" s="35">
        <v>0</v>
      </c>
      <c r="D17756" s="2">
        <f t="shared" si="277"/>
        <v>1</v>
      </c>
    </row>
    <row r="17757" spans="1:4" x14ac:dyDescent="0.3">
      <c r="A17757" s="34">
        <v>81070</v>
      </c>
      <c r="B17757" s="35">
        <v>1</v>
      </c>
      <c r="C17757" s="35">
        <v>0</v>
      </c>
      <c r="D17757" s="2">
        <f t="shared" si="277"/>
        <v>1</v>
      </c>
    </row>
    <row r="17758" spans="1:4" x14ac:dyDescent="0.3">
      <c r="A17758" s="34">
        <v>81071</v>
      </c>
      <c r="B17758" s="35">
        <v>1</v>
      </c>
      <c r="C17758" s="35">
        <v>0</v>
      </c>
      <c r="D17758" s="2">
        <f t="shared" si="277"/>
        <v>1</v>
      </c>
    </row>
    <row r="17759" spans="1:4" x14ac:dyDescent="0.3">
      <c r="A17759" s="34">
        <v>81072</v>
      </c>
      <c r="B17759" s="35">
        <v>1</v>
      </c>
      <c r="C17759" s="35">
        <v>0</v>
      </c>
      <c r="D17759" s="2">
        <f t="shared" si="277"/>
        <v>1</v>
      </c>
    </row>
    <row r="17760" spans="1:4" x14ac:dyDescent="0.3">
      <c r="A17760" s="34">
        <v>81073</v>
      </c>
      <c r="B17760" s="35">
        <v>1</v>
      </c>
      <c r="C17760" s="35">
        <v>0</v>
      </c>
      <c r="D17760" s="2">
        <f t="shared" si="277"/>
        <v>1</v>
      </c>
    </row>
    <row r="17761" spans="1:4" x14ac:dyDescent="0.3">
      <c r="A17761" s="34">
        <v>81074</v>
      </c>
      <c r="B17761" s="35">
        <v>1</v>
      </c>
      <c r="C17761" s="35">
        <v>0</v>
      </c>
      <c r="D17761" s="2">
        <f t="shared" si="277"/>
        <v>1</v>
      </c>
    </row>
    <row r="17762" spans="1:4" x14ac:dyDescent="0.3">
      <c r="A17762" s="34">
        <v>81075</v>
      </c>
      <c r="B17762" s="35">
        <v>2</v>
      </c>
      <c r="C17762" s="35">
        <v>1</v>
      </c>
      <c r="D17762" s="2">
        <f t="shared" si="277"/>
        <v>3</v>
      </c>
    </row>
    <row r="17763" spans="1:4" x14ac:dyDescent="0.3">
      <c r="A17763" s="34">
        <v>81076</v>
      </c>
      <c r="B17763" s="35">
        <v>1</v>
      </c>
      <c r="C17763" s="35">
        <v>0</v>
      </c>
      <c r="D17763" s="2">
        <f t="shared" si="277"/>
        <v>1</v>
      </c>
    </row>
    <row r="17764" spans="1:4" x14ac:dyDescent="0.3">
      <c r="A17764" s="34">
        <v>81077</v>
      </c>
      <c r="B17764" s="35">
        <v>1</v>
      </c>
      <c r="C17764" s="35">
        <v>0</v>
      </c>
      <c r="D17764" s="2">
        <f t="shared" si="277"/>
        <v>1</v>
      </c>
    </row>
    <row r="17765" spans="1:4" x14ac:dyDescent="0.3">
      <c r="A17765" s="34">
        <v>81078</v>
      </c>
      <c r="B17765" s="35">
        <v>1</v>
      </c>
      <c r="C17765" s="35">
        <v>0</v>
      </c>
      <c r="D17765" s="2">
        <f t="shared" si="277"/>
        <v>1</v>
      </c>
    </row>
    <row r="17766" spans="1:4" x14ac:dyDescent="0.3">
      <c r="A17766" s="34">
        <v>81079</v>
      </c>
      <c r="B17766" s="35">
        <v>1</v>
      </c>
      <c r="C17766" s="35">
        <v>0</v>
      </c>
      <c r="D17766" s="2">
        <f t="shared" si="277"/>
        <v>1</v>
      </c>
    </row>
    <row r="17767" spans="1:4" x14ac:dyDescent="0.3">
      <c r="A17767" s="34">
        <v>81080</v>
      </c>
      <c r="B17767" s="35">
        <v>1</v>
      </c>
      <c r="C17767" s="35">
        <v>0</v>
      </c>
      <c r="D17767" s="2">
        <f t="shared" si="277"/>
        <v>1</v>
      </c>
    </row>
    <row r="17768" spans="1:4" x14ac:dyDescent="0.3">
      <c r="A17768" s="34">
        <v>81081</v>
      </c>
      <c r="B17768" s="35">
        <v>1</v>
      </c>
      <c r="C17768" s="35">
        <v>0</v>
      </c>
      <c r="D17768" s="2">
        <f t="shared" si="277"/>
        <v>1</v>
      </c>
    </row>
    <row r="17769" spans="1:4" x14ac:dyDescent="0.3">
      <c r="A17769" s="34">
        <v>81082</v>
      </c>
      <c r="B17769" s="35">
        <v>1</v>
      </c>
      <c r="C17769" s="35">
        <v>0</v>
      </c>
      <c r="D17769" s="2">
        <f t="shared" si="277"/>
        <v>1</v>
      </c>
    </row>
    <row r="17770" spans="1:4" x14ac:dyDescent="0.3">
      <c r="A17770" s="34">
        <v>81083</v>
      </c>
      <c r="B17770" s="35">
        <v>1</v>
      </c>
      <c r="C17770" s="35">
        <v>0</v>
      </c>
      <c r="D17770" s="2">
        <f t="shared" si="277"/>
        <v>1</v>
      </c>
    </row>
    <row r="17771" spans="1:4" x14ac:dyDescent="0.3">
      <c r="A17771" s="34">
        <v>81084</v>
      </c>
      <c r="B17771" s="35">
        <v>1</v>
      </c>
      <c r="C17771" s="35">
        <v>0</v>
      </c>
      <c r="D17771" s="2">
        <f t="shared" si="277"/>
        <v>1</v>
      </c>
    </row>
    <row r="17772" spans="1:4" x14ac:dyDescent="0.3">
      <c r="A17772" s="34">
        <v>81085</v>
      </c>
      <c r="B17772" s="35">
        <v>1</v>
      </c>
      <c r="C17772" s="35">
        <v>0</v>
      </c>
      <c r="D17772" s="2">
        <f t="shared" si="277"/>
        <v>1</v>
      </c>
    </row>
    <row r="17773" spans="1:4" x14ac:dyDescent="0.3">
      <c r="A17773" s="34">
        <v>81086</v>
      </c>
      <c r="B17773" s="35">
        <v>1</v>
      </c>
      <c r="C17773" s="35">
        <v>0</v>
      </c>
      <c r="D17773" s="2">
        <f t="shared" si="277"/>
        <v>1</v>
      </c>
    </row>
    <row r="17774" spans="1:4" x14ac:dyDescent="0.3">
      <c r="A17774" s="34">
        <v>81087</v>
      </c>
      <c r="B17774" s="35">
        <v>1</v>
      </c>
      <c r="C17774" s="35">
        <v>0</v>
      </c>
      <c r="D17774" s="2">
        <f t="shared" si="277"/>
        <v>1</v>
      </c>
    </row>
    <row r="17775" spans="1:4" x14ac:dyDescent="0.3">
      <c r="A17775" s="34">
        <v>81088</v>
      </c>
      <c r="B17775" s="35">
        <v>1</v>
      </c>
      <c r="C17775" s="35">
        <v>0</v>
      </c>
      <c r="D17775" s="2">
        <f t="shared" si="277"/>
        <v>1</v>
      </c>
    </row>
    <row r="17776" spans="1:4" x14ac:dyDescent="0.3">
      <c r="A17776" s="34">
        <v>81089</v>
      </c>
      <c r="B17776" s="35">
        <v>1</v>
      </c>
      <c r="C17776" s="35">
        <v>0</v>
      </c>
      <c r="D17776" s="2">
        <f t="shared" si="277"/>
        <v>1</v>
      </c>
    </row>
    <row r="17777" spans="1:4" x14ac:dyDescent="0.3">
      <c r="A17777" s="34">
        <v>81090</v>
      </c>
      <c r="B17777" s="35">
        <v>1</v>
      </c>
      <c r="C17777" s="35">
        <v>0</v>
      </c>
      <c r="D17777" s="2">
        <f t="shared" si="277"/>
        <v>1</v>
      </c>
    </row>
    <row r="17778" spans="1:4" x14ac:dyDescent="0.3">
      <c r="A17778" s="34">
        <v>81091</v>
      </c>
      <c r="B17778" s="35">
        <v>1</v>
      </c>
      <c r="C17778" s="35">
        <v>0</v>
      </c>
      <c r="D17778" s="2">
        <f t="shared" si="277"/>
        <v>1</v>
      </c>
    </row>
    <row r="17779" spans="1:4" x14ac:dyDescent="0.3">
      <c r="A17779" s="34">
        <v>81092</v>
      </c>
      <c r="B17779" s="35">
        <v>1</v>
      </c>
      <c r="C17779" s="35">
        <v>0</v>
      </c>
      <c r="D17779" s="2">
        <f t="shared" si="277"/>
        <v>1</v>
      </c>
    </row>
    <row r="17780" spans="1:4" x14ac:dyDescent="0.3">
      <c r="A17780" s="34">
        <v>81093</v>
      </c>
      <c r="B17780" s="35">
        <v>1</v>
      </c>
      <c r="C17780" s="35">
        <v>0</v>
      </c>
      <c r="D17780" s="2">
        <f t="shared" si="277"/>
        <v>1</v>
      </c>
    </row>
    <row r="17781" spans="1:4" x14ac:dyDescent="0.3">
      <c r="A17781" s="34">
        <v>81094</v>
      </c>
      <c r="B17781" s="35">
        <v>1</v>
      </c>
      <c r="C17781" s="35">
        <v>0</v>
      </c>
      <c r="D17781" s="2">
        <f t="shared" si="277"/>
        <v>1</v>
      </c>
    </row>
    <row r="17782" spans="1:4" x14ac:dyDescent="0.3">
      <c r="A17782" s="34">
        <v>81095</v>
      </c>
      <c r="B17782" s="35">
        <v>1</v>
      </c>
      <c r="C17782" s="35">
        <v>0</v>
      </c>
      <c r="D17782" s="2">
        <f t="shared" si="277"/>
        <v>1</v>
      </c>
    </row>
    <row r="17783" spans="1:4" x14ac:dyDescent="0.3">
      <c r="A17783" s="34">
        <v>81096</v>
      </c>
      <c r="B17783" s="35">
        <v>1</v>
      </c>
      <c r="C17783" s="35">
        <v>0</v>
      </c>
      <c r="D17783" s="2">
        <f t="shared" si="277"/>
        <v>1</v>
      </c>
    </row>
    <row r="17784" spans="1:4" x14ac:dyDescent="0.3">
      <c r="A17784" s="34">
        <v>81097</v>
      </c>
      <c r="B17784" s="35">
        <v>1</v>
      </c>
      <c r="C17784" s="35">
        <v>0</v>
      </c>
      <c r="D17784" s="2">
        <f t="shared" si="277"/>
        <v>1</v>
      </c>
    </row>
    <row r="17785" spans="1:4" x14ac:dyDescent="0.3">
      <c r="A17785" s="34">
        <v>81098</v>
      </c>
      <c r="B17785" s="35">
        <v>1</v>
      </c>
      <c r="C17785" s="35">
        <v>0</v>
      </c>
      <c r="D17785" s="2">
        <f t="shared" si="277"/>
        <v>1</v>
      </c>
    </row>
    <row r="17786" spans="1:4" x14ac:dyDescent="0.3">
      <c r="A17786" s="34">
        <v>81099</v>
      </c>
      <c r="B17786" s="35">
        <v>1</v>
      </c>
      <c r="C17786" s="35">
        <v>0</v>
      </c>
      <c r="D17786" s="2">
        <f t="shared" si="277"/>
        <v>1</v>
      </c>
    </row>
    <row r="17787" spans="1:4" x14ac:dyDescent="0.3">
      <c r="A17787" s="34">
        <v>81100</v>
      </c>
      <c r="B17787" s="35">
        <v>1</v>
      </c>
      <c r="C17787" s="35">
        <v>0</v>
      </c>
      <c r="D17787" s="2">
        <f t="shared" si="277"/>
        <v>1</v>
      </c>
    </row>
    <row r="17788" spans="1:4" x14ac:dyDescent="0.3">
      <c r="A17788" s="34">
        <v>81101</v>
      </c>
      <c r="B17788" s="35">
        <v>1</v>
      </c>
      <c r="C17788" s="35">
        <v>0</v>
      </c>
      <c r="D17788" s="2">
        <f t="shared" si="277"/>
        <v>1</v>
      </c>
    </row>
    <row r="17789" spans="1:4" x14ac:dyDescent="0.3">
      <c r="A17789" s="34">
        <v>81102</v>
      </c>
      <c r="B17789" s="35">
        <v>1</v>
      </c>
      <c r="C17789" s="35">
        <v>0</v>
      </c>
      <c r="D17789" s="2">
        <f t="shared" si="277"/>
        <v>1</v>
      </c>
    </row>
    <row r="17790" spans="1:4" x14ac:dyDescent="0.3">
      <c r="A17790" s="34">
        <v>81103</v>
      </c>
      <c r="B17790" s="35">
        <v>1</v>
      </c>
      <c r="C17790" s="35">
        <v>0</v>
      </c>
      <c r="D17790" s="2">
        <f t="shared" si="277"/>
        <v>1</v>
      </c>
    </row>
    <row r="17791" spans="1:4" x14ac:dyDescent="0.3">
      <c r="A17791" s="34">
        <v>81104</v>
      </c>
      <c r="B17791" s="35">
        <v>1</v>
      </c>
      <c r="C17791" s="35">
        <v>0</v>
      </c>
      <c r="D17791" s="2">
        <f t="shared" si="277"/>
        <v>1</v>
      </c>
    </row>
    <row r="17792" spans="1:4" x14ac:dyDescent="0.3">
      <c r="A17792" s="34">
        <v>81105</v>
      </c>
      <c r="B17792" s="35">
        <v>1</v>
      </c>
      <c r="C17792" s="35">
        <v>0</v>
      </c>
      <c r="D17792" s="2">
        <f t="shared" si="277"/>
        <v>1</v>
      </c>
    </row>
    <row r="17793" spans="1:4" x14ac:dyDescent="0.3">
      <c r="A17793" s="34">
        <v>81106</v>
      </c>
      <c r="B17793" s="35">
        <v>1</v>
      </c>
      <c r="C17793" s="35">
        <v>0</v>
      </c>
      <c r="D17793" s="2">
        <f t="shared" si="277"/>
        <v>1</v>
      </c>
    </row>
    <row r="17794" spans="1:4" x14ac:dyDescent="0.3">
      <c r="A17794" s="34">
        <v>81107</v>
      </c>
      <c r="B17794" s="35">
        <v>1</v>
      </c>
      <c r="C17794" s="35">
        <v>0</v>
      </c>
      <c r="D17794" s="2">
        <f t="shared" si="277"/>
        <v>1</v>
      </c>
    </row>
    <row r="17795" spans="1:4" x14ac:dyDescent="0.3">
      <c r="A17795" s="34">
        <v>81108</v>
      </c>
      <c r="B17795" s="35">
        <v>1</v>
      </c>
      <c r="C17795" s="35">
        <v>0</v>
      </c>
      <c r="D17795" s="2">
        <f t="shared" ref="D17795:D17858" si="278">B17795+C17795</f>
        <v>1</v>
      </c>
    </row>
    <row r="17796" spans="1:4" x14ac:dyDescent="0.3">
      <c r="A17796" s="34">
        <v>81109</v>
      </c>
      <c r="B17796" s="35">
        <v>1</v>
      </c>
      <c r="C17796" s="35">
        <v>0</v>
      </c>
      <c r="D17796" s="2">
        <f t="shared" si="278"/>
        <v>1</v>
      </c>
    </row>
    <row r="17797" spans="1:4" x14ac:dyDescent="0.3">
      <c r="A17797" s="34">
        <v>81110</v>
      </c>
      <c r="B17797" s="35">
        <v>1</v>
      </c>
      <c r="C17797" s="35">
        <v>0</v>
      </c>
      <c r="D17797" s="2">
        <f t="shared" si="278"/>
        <v>1</v>
      </c>
    </row>
    <row r="17798" spans="1:4" x14ac:dyDescent="0.3">
      <c r="A17798" s="34">
        <v>81111</v>
      </c>
      <c r="B17798" s="35">
        <v>1</v>
      </c>
      <c r="C17798" s="35">
        <v>0</v>
      </c>
      <c r="D17798" s="2">
        <f t="shared" si="278"/>
        <v>1</v>
      </c>
    </row>
    <row r="17799" spans="1:4" x14ac:dyDescent="0.3">
      <c r="A17799" s="34">
        <v>81120</v>
      </c>
      <c r="B17799" s="35">
        <v>1</v>
      </c>
      <c r="C17799" s="35">
        <v>0</v>
      </c>
      <c r="D17799" s="2">
        <f t="shared" si="278"/>
        <v>1</v>
      </c>
    </row>
    <row r="17800" spans="1:4" x14ac:dyDescent="0.3">
      <c r="A17800" s="34">
        <v>81121</v>
      </c>
      <c r="B17800" s="35">
        <v>2</v>
      </c>
      <c r="C17800" s="35">
        <v>1</v>
      </c>
      <c r="D17800" s="2">
        <f t="shared" si="278"/>
        <v>3</v>
      </c>
    </row>
    <row r="17801" spans="1:4" x14ac:dyDescent="0.3">
      <c r="A17801" s="34">
        <v>81122</v>
      </c>
      <c r="B17801" s="35">
        <v>1</v>
      </c>
      <c r="C17801" s="35">
        <v>0</v>
      </c>
      <c r="D17801" s="2">
        <f t="shared" si="278"/>
        <v>1</v>
      </c>
    </row>
    <row r="17802" spans="1:4" x14ac:dyDescent="0.3">
      <c r="A17802" s="34">
        <v>81123</v>
      </c>
      <c r="B17802" s="35">
        <v>1</v>
      </c>
      <c r="C17802" s="35">
        <v>0</v>
      </c>
      <c r="D17802" s="2">
        <f t="shared" si="278"/>
        <v>1</v>
      </c>
    </row>
    <row r="17803" spans="1:4" x14ac:dyDescent="0.3">
      <c r="A17803" s="34">
        <v>81124</v>
      </c>
      <c r="B17803" s="35">
        <v>1</v>
      </c>
      <c r="C17803" s="35">
        <v>0</v>
      </c>
      <c r="D17803" s="2">
        <f t="shared" si="278"/>
        <v>1</v>
      </c>
    </row>
    <row r="17804" spans="1:4" x14ac:dyDescent="0.3">
      <c r="A17804" s="34">
        <v>81125</v>
      </c>
      <c r="B17804" s="35">
        <v>1</v>
      </c>
      <c r="C17804" s="35">
        <v>0</v>
      </c>
      <c r="D17804" s="2">
        <f t="shared" si="278"/>
        <v>1</v>
      </c>
    </row>
    <row r="17805" spans="1:4" x14ac:dyDescent="0.3">
      <c r="A17805" s="34">
        <v>81126</v>
      </c>
      <c r="B17805" s="35">
        <v>1</v>
      </c>
      <c r="C17805" s="35">
        <v>0</v>
      </c>
      <c r="D17805" s="2">
        <f t="shared" si="278"/>
        <v>1</v>
      </c>
    </row>
    <row r="17806" spans="1:4" x14ac:dyDescent="0.3">
      <c r="A17806" s="34">
        <v>81127</v>
      </c>
      <c r="B17806" s="35">
        <v>1</v>
      </c>
      <c r="C17806" s="35">
        <v>0</v>
      </c>
      <c r="D17806" s="2">
        <f t="shared" si="278"/>
        <v>1</v>
      </c>
    </row>
    <row r="17807" spans="1:4" x14ac:dyDescent="0.3">
      <c r="A17807" s="34">
        <v>81128</v>
      </c>
      <c r="B17807" s="35">
        <v>2</v>
      </c>
      <c r="C17807" s="35">
        <v>1</v>
      </c>
      <c r="D17807" s="2">
        <f t="shared" si="278"/>
        <v>3</v>
      </c>
    </row>
    <row r="17808" spans="1:4" x14ac:dyDescent="0.3">
      <c r="A17808" s="34">
        <v>81129</v>
      </c>
      <c r="B17808" s="35">
        <v>1</v>
      </c>
      <c r="C17808" s="35">
        <v>0</v>
      </c>
      <c r="D17808" s="2">
        <f t="shared" si="278"/>
        <v>1</v>
      </c>
    </row>
    <row r="17809" spans="1:4" x14ac:dyDescent="0.3">
      <c r="A17809" s="34">
        <v>81130</v>
      </c>
      <c r="B17809" s="35">
        <v>1</v>
      </c>
      <c r="C17809" s="35">
        <v>0</v>
      </c>
      <c r="D17809" s="2">
        <f t="shared" si="278"/>
        <v>1</v>
      </c>
    </row>
    <row r="17810" spans="1:4" x14ac:dyDescent="0.3">
      <c r="A17810" s="34">
        <v>81132</v>
      </c>
      <c r="B17810" s="35">
        <v>1</v>
      </c>
      <c r="C17810" s="35">
        <v>0</v>
      </c>
      <c r="D17810" s="2">
        <f t="shared" si="278"/>
        <v>1</v>
      </c>
    </row>
    <row r="17811" spans="1:4" x14ac:dyDescent="0.3">
      <c r="A17811" s="34">
        <v>81134</v>
      </c>
      <c r="B17811" s="35">
        <v>2</v>
      </c>
      <c r="C17811" s="35">
        <v>1</v>
      </c>
      <c r="D17811" s="2">
        <f t="shared" si="278"/>
        <v>3</v>
      </c>
    </row>
    <row r="17812" spans="1:4" x14ac:dyDescent="0.3">
      <c r="A17812" s="34">
        <v>81135</v>
      </c>
      <c r="B17812" s="35">
        <v>1</v>
      </c>
      <c r="C17812" s="35">
        <v>0</v>
      </c>
      <c r="D17812" s="2">
        <f t="shared" si="278"/>
        <v>1</v>
      </c>
    </row>
    <row r="17813" spans="1:4" x14ac:dyDescent="0.3">
      <c r="A17813" s="34">
        <v>81136</v>
      </c>
      <c r="B17813" s="35">
        <v>1</v>
      </c>
      <c r="C17813" s="35">
        <v>0</v>
      </c>
      <c r="D17813" s="2">
        <f t="shared" si="278"/>
        <v>1</v>
      </c>
    </row>
    <row r="17814" spans="1:4" x14ac:dyDescent="0.3">
      <c r="A17814" s="34">
        <v>81137</v>
      </c>
      <c r="B17814" s="35">
        <v>2</v>
      </c>
      <c r="C17814" s="35">
        <v>1</v>
      </c>
      <c r="D17814" s="2">
        <f t="shared" si="278"/>
        <v>3</v>
      </c>
    </row>
    <row r="17815" spans="1:4" x14ac:dyDescent="0.3">
      <c r="A17815" s="34">
        <v>81138</v>
      </c>
      <c r="B17815" s="35">
        <v>1</v>
      </c>
      <c r="C17815" s="35">
        <v>0</v>
      </c>
      <c r="D17815" s="2">
        <f t="shared" si="278"/>
        <v>1</v>
      </c>
    </row>
    <row r="17816" spans="1:4" x14ac:dyDescent="0.3">
      <c r="A17816" s="34">
        <v>81139</v>
      </c>
      <c r="B17816" s="35">
        <v>1</v>
      </c>
      <c r="C17816" s="35">
        <v>0</v>
      </c>
      <c r="D17816" s="2">
        <f t="shared" si="278"/>
        <v>1</v>
      </c>
    </row>
    <row r="17817" spans="1:4" x14ac:dyDescent="0.3">
      <c r="A17817" s="34">
        <v>81140</v>
      </c>
      <c r="B17817" s="35">
        <v>1</v>
      </c>
      <c r="C17817" s="35">
        <v>0</v>
      </c>
      <c r="D17817" s="2">
        <f t="shared" si="278"/>
        <v>1</v>
      </c>
    </row>
    <row r="17818" spans="1:4" x14ac:dyDescent="0.3">
      <c r="A17818" s="34">
        <v>81141</v>
      </c>
      <c r="B17818" s="35">
        <v>1</v>
      </c>
      <c r="C17818" s="35">
        <v>0</v>
      </c>
      <c r="D17818" s="2">
        <f t="shared" si="278"/>
        <v>1</v>
      </c>
    </row>
    <row r="17819" spans="1:4" x14ac:dyDescent="0.3">
      <c r="A17819" s="34">
        <v>81142</v>
      </c>
      <c r="B17819" s="35">
        <v>1</v>
      </c>
      <c r="C17819" s="35">
        <v>0</v>
      </c>
      <c r="D17819" s="2">
        <f t="shared" si="278"/>
        <v>1</v>
      </c>
    </row>
    <row r="17820" spans="1:4" x14ac:dyDescent="0.3">
      <c r="A17820" s="34">
        <v>81143</v>
      </c>
      <c r="B17820" s="35">
        <v>1</v>
      </c>
      <c r="C17820" s="35">
        <v>0</v>
      </c>
      <c r="D17820" s="2">
        <f t="shared" si="278"/>
        <v>1</v>
      </c>
    </row>
    <row r="17821" spans="1:4" x14ac:dyDescent="0.3">
      <c r="A17821" s="34">
        <v>81144</v>
      </c>
      <c r="B17821" s="35">
        <v>1</v>
      </c>
      <c r="C17821" s="35">
        <v>0</v>
      </c>
      <c r="D17821" s="2">
        <f t="shared" si="278"/>
        <v>1</v>
      </c>
    </row>
    <row r="17822" spans="1:4" x14ac:dyDescent="0.3">
      <c r="A17822" s="34">
        <v>81145</v>
      </c>
      <c r="B17822" s="35">
        <v>1</v>
      </c>
      <c r="C17822" s="35">
        <v>0</v>
      </c>
      <c r="D17822" s="2">
        <f t="shared" si="278"/>
        <v>1</v>
      </c>
    </row>
    <row r="17823" spans="1:4" x14ac:dyDescent="0.3">
      <c r="A17823" s="34">
        <v>81146</v>
      </c>
      <c r="B17823" s="35">
        <v>1</v>
      </c>
      <c r="C17823" s="35">
        <v>0</v>
      </c>
      <c r="D17823" s="2">
        <f t="shared" si="278"/>
        <v>1</v>
      </c>
    </row>
    <row r="17824" spans="1:4" x14ac:dyDescent="0.3">
      <c r="A17824" s="34">
        <v>81147</v>
      </c>
      <c r="B17824" s="35">
        <v>1</v>
      </c>
      <c r="C17824" s="35">
        <v>0</v>
      </c>
      <c r="D17824" s="2">
        <f t="shared" si="278"/>
        <v>1</v>
      </c>
    </row>
    <row r="17825" spans="1:4" x14ac:dyDescent="0.3">
      <c r="A17825" s="34">
        <v>81149</v>
      </c>
      <c r="B17825" s="35">
        <v>1</v>
      </c>
      <c r="C17825" s="35">
        <v>0</v>
      </c>
      <c r="D17825" s="2">
        <f t="shared" si="278"/>
        <v>1</v>
      </c>
    </row>
    <row r="17826" spans="1:4" x14ac:dyDescent="0.3">
      <c r="A17826" s="34">
        <v>81150</v>
      </c>
      <c r="B17826" s="35">
        <v>1</v>
      </c>
      <c r="C17826" s="35">
        <v>0</v>
      </c>
      <c r="D17826" s="2">
        <f t="shared" si="278"/>
        <v>1</v>
      </c>
    </row>
    <row r="17827" spans="1:4" x14ac:dyDescent="0.3">
      <c r="A17827" s="34">
        <v>81151</v>
      </c>
      <c r="B17827" s="35">
        <v>1</v>
      </c>
      <c r="C17827" s="35">
        <v>0</v>
      </c>
      <c r="D17827" s="2">
        <f t="shared" si="278"/>
        <v>1</v>
      </c>
    </row>
    <row r="17828" spans="1:4" x14ac:dyDescent="0.3">
      <c r="A17828" s="34">
        <v>81152</v>
      </c>
      <c r="B17828" s="35">
        <v>1</v>
      </c>
      <c r="C17828" s="35">
        <v>0</v>
      </c>
      <c r="D17828" s="2">
        <f t="shared" si="278"/>
        <v>1</v>
      </c>
    </row>
    <row r="17829" spans="1:4" x14ac:dyDescent="0.3">
      <c r="A17829" s="34">
        <v>81153</v>
      </c>
      <c r="B17829" s="35">
        <v>1</v>
      </c>
      <c r="C17829" s="35">
        <v>0</v>
      </c>
      <c r="D17829" s="2">
        <f t="shared" si="278"/>
        <v>1</v>
      </c>
    </row>
    <row r="17830" spans="1:4" x14ac:dyDescent="0.3">
      <c r="A17830" s="34">
        <v>81155</v>
      </c>
      <c r="B17830" s="35">
        <v>2</v>
      </c>
      <c r="C17830" s="35">
        <v>1</v>
      </c>
      <c r="D17830" s="2">
        <f t="shared" si="278"/>
        <v>3</v>
      </c>
    </row>
    <row r="17831" spans="1:4" x14ac:dyDescent="0.3">
      <c r="A17831" s="34">
        <v>81156</v>
      </c>
      <c r="B17831" s="35">
        <v>1</v>
      </c>
      <c r="C17831" s="35">
        <v>0</v>
      </c>
      <c r="D17831" s="2">
        <f t="shared" si="278"/>
        <v>1</v>
      </c>
    </row>
    <row r="17832" spans="1:4" x14ac:dyDescent="0.3">
      <c r="A17832" s="34">
        <v>81157</v>
      </c>
      <c r="B17832" s="35">
        <v>1</v>
      </c>
      <c r="C17832" s="35">
        <v>0</v>
      </c>
      <c r="D17832" s="2">
        <f t="shared" si="278"/>
        <v>1</v>
      </c>
    </row>
    <row r="17833" spans="1:4" x14ac:dyDescent="0.3">
      <c r="A17833" s="34">
        <v>81158</v>
      </c>
      <c r="B17833" s="35">
        <v>1</v>
      </c>
      <c r="C17833" s="35">
        <v>0</v>
      </c>
      <c r="D17833" s="2">
        <f t="shared" si="278"/>
        <v>1</v>
      </c>
    </row>
    <row r="17834" spans="1:4" x14ac:dyDescent="0.3">
      <c r="A17834" s="34">
        <v>81159</v>
      </c>
      <c r="B17834" s="35">
        <v>1</v>
      </c>
      <c r="C17834" s="35">
        <v>0</v>
      </c>
      <c r="D17834" s="2">
        <f t="shared" si="278"/>
        <v>1</v>
      </c>
    </row>
    <row r="17835" spans="1:4" x14ac:dyDescent="0.3">
      <c r="A17835" s="34">
        <v>81160</v>
      </c>
      <c r="B17835" s="35">
        <v>1</v>
      </c>
      <c r="C17835" s="35">
        <v>0</v>
      </c>
      <c r="D17835" s="2">
        <f t="shared" si="278"/>
        <v>1</v>
      </c>
    </row>
    <row r="17836" spans="1:4" x14ac:dyDescent="0.3">
      <c r="A17836" s="34">
        <v>81161</v>
      </c>
      <c r="B17836" s="35">
        <v>1</v>
      </c>
      <c r="C17836" s="35">
        <v>0</v>
      </c>
      <c r="D17836" s="2">
        <f t="shared" si="278"/>
        <v>1</v>
      </c>
    </row>
    <row r="17837" spans="1:4" x14ac:dyDescent="0.3">
      <c r="A17837" s="34">
        <v>81162</v>
      </c>
      <c r="B17837" s="35">
        <v>1</v>
      </c>
      <c r="C17837" s="35">
        <v>0</v>
      </c>
      <c r="D17837" s="2">
        <f t="shared" si="278"/>
        <v>1</v>
      </c>
    </row>
    <row r="17838" spans="1:4" x14ac:dyDescent="0.3">
      <c r="A17838" s="34">
        <v>81163</v>
      </c>
      <c r="B17838" s="35">
        <v>1</v>
      </c>
      <c r="C17838" s="35">
        <v>0</v>
      </c>
      <c r="D17838" s="2">
        <f t="shared" si="278"/>
        <v>1</v>
      </c>
    </row>
    <row r="17839" spans="1:4" x14ac:dyDescent="0.3">
      <c r="A17839" s="34">
        <v>81165</v>
      </c>
      <c r="B17839" s="35">
        <v>1</v>
      </c>
      <c r="C17839" s="35">
        <v>0</v>
      </c>
      <c r="D17839" s="2">
        <f t="shared" si="278"/>
        <v>1</v>
      </c>
    </row>
    <row r="17840" spans="1:4" x14ac:dyDescent="0.3">
      <c r="A17840" s="34">
        <v>81166</v>
      </c>
      <c r="B17840" s="35">
        <v>1</v>
      </c>
      <c r="C17840" s="35">
        <v>0</v>
      </c>
      <c r="D17840" s="2">
        <f t="shared" si="278"/>
        <v>1</v>
      </c>
    </row>
    <row r="17841" spans="1:4" x14ac:dyDescent="0.3">
      <c r="A17841" s="34">
        <v>81167</v>
      </c>
      <c r="B17841" s="35">
        <v>1</v>
      </c>
      <c r="C17841" s="35">
        <v>0</v>
      </c>
      <c r="D17841" s="2">
        <f t="shared" si="278"/>
        <v>1</v>
      </c>
    </row>
    <row r="17842" spans="1:4" x14ac:dyDescent="0.3">
      <c r="A17842" s="34">
        <v>81168</v>
      </c>
      <c r="B17842" s="35">
        <v>1</v>
      </c>
      <c r="C17842" s="35">
        <v>0</v>
      </c>
      <c r="D17842" s="2">
        <f t="shared" si="278"/>
        <v>1</v>
      </c>
    </row>
    <row r="17843" spans="1:4" x14ac:dyDescent="0.3">
      <c r="A17843" s="34">
        <v>81169</v>
      </c>
      <c r="B17843" s="35">
        <v>1</v>
      </c>
      <c r="C17843" s="35">
        <v>0</v>
      </c>
      <c r="D17843" s="2">
        <f t="shared" si="278"/>
        <v>1</v>
      </c>
    </row>
    <row r="17844" spans="1:4" x14ac:dyDescent="0.3">
      <c r="A17844" s="34">
        <v>81170</v>
      </c>
      <c r="B17844" s="35">
        <v>1</v>
      </c>
      <c r="C17844" s="35">
        <v>0</v>
      </c>
      <c r="D17844" s="2">
        <f t="shared" si="278"/>
        <v>1</v>
      </c>
    </row>
    <row r="17845" spans="1:4" x14ac:dyDescent="0.3">
      <c r="A17845" s="34">
        <v>81171</v>
      </c>
      <c r="B17845" s="35">
        <v>1</v>
      </c>
      <c r="C17845" s="35">
        <v>0</v>
      </c>
      <c r="D17845" s="2">
        <f t="shared" si="278"/>
        <v>1</v>
      </c>
    </row>
    <row r="17846" spans="1:4" x14ac:dyDescent="0.3">
      <c r="A17846" s="34">
        <v>81172</v>
      </c>
      <c r="B17846" s="35">
        <v>1</v>
      </c>
      <c r="C17846" s="35">
        <v>0</v>
      </c>
      <c r="D17846" s="2">
        <f t="shared" si="278"/>
        <v>1</v>
      </c>
    </row>
    <row r="17847" spans="1:4" x14ac:dyDescent="0.3">
      <c r="A17847" s="34">
        <v>81173</v>
      </c>
      <c r="B17847" s="35">
        <v>1</v>
      </c>
      <c r="C17847" s="35">
        <v>0</v>
      </c>
      <c r="D17847" s="2">
        <f t="shared" si="278"/>
        <v>1</v>
      </c>
    </row>
    <row r="17848" spans="1:4" x14ac:dyDescent="0.3">
      <c r="A17848" s="34">
        <v>81174</v>
      </c>
      <c r="B17848" s="35">
        <v>1</v>
      </c>
      <c r="C17848" s="35">
        <v>0</v>
      </c>
      <c r="D17848" s="2">
        <f t="shared" si="278"/>
        <v>1</v>
      </c>
    </row>
    <row r="17849" spans="1:4" x14ac:dyDescent="0.3">
      <c r="A17849" s="34">
        <v>81175</v>
      </c>
      <c r="B17849" s="35">
        <v>1</v>
      </c>
      <c r="C17849" s="35">
        <v>0</v>
      </c>
      <c r="D17849" s="2">
        <f t="shared" si="278"/>
        <v>1</v>
      </c>
    </row>
    <row r="17850" spans="1:4" x14ac:dyDescent="0.3">
      <c r="A17850" s="34">
        <v>81176</v>
      </c>
      <c r="B17850" s="35">
        <v>1</v>
      </c>
      <c r="C17850" s="35">
        <v>0</v>
      </c>
      <c r="D17850" s="2">
        <f t="shared" si="278"/>
        <v>1</v>
      </c>
    </row>
    <row r="17851" spans="1:4" x14ac:dyDescent="0.3">
      <c r="A17851" s="34">
        <v>81177</v>
      </c>
      <c r="B17851" s="35">
        <v>1</v>
      </c>
      <c r="C17851" s="35">
        <v>0</v>
      </c>
      <c r="D17851" s="2">
        <f t="shared" si="278"/>
        <v>1</v>
      </c>
    </row>
    <row r="17852" spans="1:4" x14ac:dyDescent="0.3">
      <c r="A17852" s="34">
        <v>81178</v>
      </c>
      <c r="B17852" s="35">
        <v>1</v>
      </c>
      <c r="C17852" s="35">
        <v>0</v>
      </c>
      <c r="D17852" s="2">
        <f t="shared" si="278"/>
        <v>1</v>
      </c>
    </row>
    <row r="17853" spans="1:4" x14ac:dyDescent="0.3">
      <c r="A17853" s="34">
        <v>81179</v>
      </c>
      <c r="B17853" s="35">
        <v>1</v>
      </c>
      <c r="C17853" s="35">
        <v>0</v>
      </c>
      <c r="D17853" s="2">
        <f t="shared" si="278"/>
        <v>1</v>
      </c>
    </row>
    <row r="17854" spans="1:4" x14ac:dyDescent="0.3">
      <c r="A17854" s="34">
        <v>81180</v>
      </c>
      <c r="B17854" s="35">
        <v>1</v>
      </c>
      <c r="C17854" s="35">
        <v>0</v>
      </c>
      <c r="D17854" s="2">
        <f t="shared" si="278"/>
        <v>1</v>
      </c>
    </row>
    <row r="17855" spans="1:4" x14ac:dyDescent="0.3">
      <c r="A17855" s="34">
        <v>81181</v>
      </c>
      <c r="B17855" s="35">
        <v>1</v>
      </c>
      <c r="C17855" s="35">
        <v>0</v>
      </c>
      <c r="D17855" s="2">
        <f t="shared" si="278"/>
        <v>1</v>
      </c>
    </row>
    <row r="17856" spans="1:4" x14ac:dyDescent="0.3">
      <c r="A17856" s="34">
        <v>81182</v>
      </c>
      <c r="B17856" s="35">
        <v>1</v>
      </c>
      <c r="C17856" s="35">
        <v>0</v>
      </c>
      <c r="D17856" s="2">
        <f t="shared" si="278"/>
        <v>1</v>
      </c>
    </row>
    <row r="17857" spans="1:4" x14ac:dyDescent="0.3">
      <c r="A17857" s="34">
        <v>81183</v>
      </c>
      <c r="B17857" s="35">
        <v>1</v>
      </c>
      <c r="C17857" s="35">
        <v>0</v>
      </c>
      <c r="D17857" s="2">
        <f t="shared" si="278"/>
        <v>1</v>
      </c>
    </row>
    <row r="17858" spans="1:4" x14ac:dyDescent="0.3">
      <c r="A17858" s="34">
        <v>81184</v>
      </c>
      <c r="B17858" s="35">
        <v>1</v>
      </c>
      <c r="C17858" s="35">
        <v>0</v>
      </c>
      <c r="D17858" s="2">
        <f t="shared" si="278"/>
        <v>1</v>
      </c>
    </row>
    <row r="17859" spans="1:4" x14ac:dyDescent="0.3">
      <c r="A17859" s="34">
        <v>81186</v>
      </c>
      <c r="B17859" s="35">
        <v>1</v>
      </c>
      <c r="C17859" s="35">
        <v>0</v>
      </c>
      <c r="D17859" s="2">
        <f t="shared" ref="D17859:D17890" si="279">B17859+C17859</f>
        <v>1</v>
      </c>
    </row>
    <row r="17860" spans="1:4" x14ac:dyDescent="0.3">
      <c r="A17860" s="34">
        <v>81187</v>
      </c>
      <c r="B17860" s="35">
        <v>1</v>
      </c>
      <c r="C17860" s="35">
        <v>0</v>
      </c>
      <c r="D17860" s="2">
        <f t="shared" si="279"/>
        <v>1</v>
      </c>
    </row>
    <row r="17861" spans="1:4" x14ac:dyDescent="0.3">
      <c r="A17861" s="34">
        <v>81188</v>
      </c>
      <c r="B17861" s="35">
        <v>1</v>
      </c>
      <c r="C17861" s="35">
        <v>0</v>
      </c>
      <c r="D17861" s="2">
        <f t="shared" si="279"/>
        <v>1</v>
      </c>
    </row>
    <row r="17862" spans="1:4" x14ac:dyDescent="0.3">
      <c r="A17862" s="34">
        <v>81189</v>
      </c>
      <c r="B17862" s="35">
        <v>1</v>
      </c>
      <c r="C17862" s="35">
        <v>0</v>
      </c>
      <c r="D17862" s="2">
        <f t="shared" si="279"/>
        <v>1</v>
      </c>
    </row>
    <row r="17863" spans="1:4" x14ac:dyDescent="0.3">
      <c r="A17863" s="34">
        <v>81190</v>
      </c>
      <c r="B17863" s="35">
        <v>1</v>
      </c>
      <c r="C17863" s="35">
        <v>0</v>
      </c>
      <c r="D17863" s="2">
        <f t="shared" si="279"/>
        <v>1</v>
      </c>
    </row>
    <row r="17864" spans="1:4" x14ac:dyDescent="0.3">
      <c r="A17864" s="34">
        <v>81191</v>
      </c>
      <c r="B17864" s="35">
        <v>1</v>
      </c>
      <c r="C17864" s="35">
        <v>0</v>
      </c>
      <c r="D17864" s="2">
        <f t="shared" si="279"/>
        <v>1</v>
      </c>
    </row>
    <row r="17865" spans="1:4" x14ac:dyDescent="0.3">
      <c r="A17865" s="34">
        <v>81192</v>
      </c>
      <c r="B17865" s="35">
        <v>1</v>
      </c>
      <c r="C17865" s="35">
        <v>0</v>
      </c>
      <c r="D17865" s="2">
        <f t="shared" si="279"/>
        <v>1</v>
      </c>
    </row>
    <row r="17866" spans="1:4" x14ac:dyDescent="0.3">
      <c r="A17866" s="34">
        <v>81193</v>
      </c>
      <c r="B17866" s="35">
        <v>2</v>
      </c>
      <c r="C17866" s="35">
        <v>1</v>
      </c>
      <c r="D17866" s="2">
        <f t="shared" si="279"/>
        <v>3</v>
      </c>
    </row>
    <row r="17867" spans="1:4" x14ac:dyDescent="0.3">
      <c r="A17867" s="34">
        <v>81194</v>
      </c>
      <c r="B17867" s="35">
        <v>2</v>
      </c>
      <c r="C17867" s="35">
        <v>1</v>
      </c>
      <c r="D17867" s="2">
        <f t="shared" si="279"/>
        <v>3</v>
      </c>
    </row>
    <row r="17868" spans="1:4" x14ac:dyDescent="0.3">
      <c r="A17868" s="34">
        <v>81196</v>
      </c>
      <c r="B17868" s="35">
        <v>2</v>
      </c>
      <c r="C17868" s="35">
        <v>1</v>
      </c>
      <c r="D17868" s="2">
        <f t="shared" si="279"/>
        <v>3</v>
      </c>
    </row>
    <row r="17869" spans="1:4" x14ac:dyDescent="0.3">
      <c r="A17869" s="34">
        <v>81197</v>
      </c>
      <c r="B17869" s="35">
        <v>1</v>
      </c>
      <c r="C17869" s="35">
        <v>0</v>
      </c>
      <c r="D17869" s="2">
        <f t="shared" si="279"/>
        <v>1</v>
      </c>
    </row>
    <row r="17870" spans="1:4" x14ac:dyDescent="0.3">
      <c r="A17870" s="34">
        <v>81198</v>
      </c>
      <c r="B17870" s="35">
        <v>2</v>
      </c>
      <c r="C17870" s="35">
        <v>1</v>
      </c>
      <c r="D17870" s="2">
        <f t="shared" si="279"/>
        <v>3</v>
      </c>
    </row>
    <row r="17871" spans="1:4" x14ac:dyDescent="0.3">
      <c r="A17871" s="34">
        <v>81199</v>
      </c>
      <c r="B17871" s="35">
        <v>1</v>
      </c>
      <c r="C17871" s="35">
        <v>0</v>
      </c>
      <c r="D17871" s="2">
        <f t="shared" si="279"/>
        <v>1</v>
      </c>
    </row>
    <row r="17872" spans="1:4" x14ac:dyDescent="0.3">
      <c r="A17872" s="34">
        <v>81200</v>
      </c>
      <c r="B17872" s="35">
        <v>1</v>
      </c>
      <c r="C17872" s="35">
        <v>0</v>
      </c>
      <c r="D17872" s="2">
        <f t="shared" si="279"/>
        <v>1</v>
      </c>
    </row>
    <row r="17873" spans="1:4" x14ac:dyDescent="0.3">
      <c r="A17873" s="34">
        <v>81201</v>
      </c>
      <c r="B17873" s="35">
        <v>1</v>
      </c>
      <c r="C17873" s="35">
        <v>0</v>
      </c>
      <c r="D17873" s="2">
        <f t="shared" si="279"/>
        <v>1</v>
      </c>
    </row>
    <row r="17874" spans="1:4" x14ac:dyDescent="0.3">
      <c r="A17874" s="34">
        <v>81202</v>
      </c>
      <c r="B17874" s="35">
        <v>1</v>
      </c>
      <c r="C17874" s="35">
        <v>0</v>
      </c>
      <c r="D17874" s="2">
        <f t="shared" si="279"/>
        <v>1</v>
      </c>
    </row>
    <row r="17875" spans="1:4" x14ac:dyDescent="0.3">
      <c r="A17875" s="34">
        <v>81203</v>
      </c>
      <c r="B17875" s="35">
        <v>2</v>
      </c>
      <c r="C17875" s="35">
        <v>1</v>
      </c>
      <c r="D17875" s="2">
        <f t="shared" si="279"/>
        <v>3</v>
      </c>
    </row>
    <row r="17876" spans="1:4" x14ac:dyDescent="0.3">
      <c r="A17876" s="34">
        <v>81204</v>
      </c>
      <c r="B17876" s="35">
        <v>1</v>
      </c>
      <c r="C17876" s="35">
        <v>0</v>
      </c>
      <c r="D17876" s="2">
        <f t="shared" si="279"/>
        <v>1</v>
      </c>
    </row>
    <row r="17877" spans="1:4" x14ac:dyDescent="0.3">
      <c r="A17877" s="34">
        <v>81205</v>
      </c>
      <c r="B17877" s="35">
        <v>1</v>
      </c>
      <c r="C17877" s="35">
        <v>0</v>
      </c>
      <c r="D17877" s="2">
        <f t="shared" si="279"/>
        <v>1</v>
      </c>
    </row>
    <row r="17878" spans="1:4" x14ac:dyDescent="0.3">
      <c r="A17878" s="34">
        <v>81206</v>
      </c>
      <c r="B17878" s="35">
        <v>1</v>
      </c>
      <c r="C17878" s="35">
        <v>0</v>
      </c>
      <c r="D17878" s="2">
        <f t="shared" si="279"/>
        <v>1</v>
      </c>
    </row>
    <row r="17879" spans="1:4" x14ac:dyDescent="0.3">
      <c r="A17879" s="34">
        <v>81207</v>
      </c>
      <c r="B17879" s="35">
        <v>1</v>
      </c>
      <c r="C17879" s="35">
        <v>0</v>
      </c>
      <c r="D17879" s="2">
        <f t="shared" si="279"/>
        <v>1</v>
      </c>
    </row>
    <row r="17880" spans="1:4" x14ac:dyDescent="0.3">
      <c r="A17880" s="34">
        <v>81209</v>
      </c>
      <c r="B17880" s="35">
        <v>1</v>
      </c>
      <c r="C17880" s="35">
        <v>0</v>
      </c>
      <c r="D17880" s="2">
        <f t="shared" si="279"/>
        <v>1</v>
      </c>
    </row>
    <row r="17881" spans="1:4" x14ac:dyDescent="0.3">
      <c r="A17881" s="34">
        <v>81210</v>
      </c>
      <c r="B17881" s="35">
        <v>1</v>
      </c>
      <c r="C17881" s="35">
        <v>0</v>
      </c>
      <c r="D17881" s="2">
        <f t="shared" si="279"/>
        <v>1</v>
      </c>
    </row>
    <row r="17882" spans="1:4" x14ac:dyDescent="0.3">
      <c r="A17882" s="34">
        <v>81213</v>
      </c>
      <c r="B17882" s="35">
        <v>1</v>
      </c>
      <c r="C17882" s="35">
        <v>0</v>
      </c>
      <c r="D17882" s="2">
        <f t="shared" si="279"/>
        <v>1</v>
      </c>
    </row>
    <row r="17883" spans="1:4" x14ac:dyDescent="0.3">
      <c r="A17883" s="34">
        <v>81240</v>
      </c>
      <c r="B17883" s="35">
        <v>1</v>
      </c>
      <c r="C17883" s="35">
        <v>0</v>
      </c>
      <c r="D17883" s="2">
        <f t="shared" si="279"/>
        <v>1</v>
      </c>
    </row>
    <row r="17884" spans="1:4" x14ac:dyDescent="0.3">
      <c r="A17884" s="34">
        <v>81243</v>
      </c>
      <c r="B17884" s="35">
        <v>1</v>
      </c>
      <c r="C17884" s="35">
        <v>0</v>
      </c>
      <c r="D17884" s="2">
        <f t="shared" si="279"/>
        <v>1</v>
      </c>
    </row>
    <row r="17885" spans="1:4" x14ac:dyDescent="0.3">
      <c r="A17885" s="34">
        <v>81244</v>
      </c>
      <c r="B17885" s="35">
        <v>1</v>
      </c>
      <c r="C17885" s="35">
        <v>0</v>
      </c>
      <c r="D17885" s="2">
        <f t="shared" si="279"/>
        <v>1</v>
      </c>
    </row>
    <row r="17886" spans="1:4" x14ac:dyDescent="0.3">
      <c r="A17886" s="34">
        <v>81245</v>
      </c>
      <c r="B17886" s="35">
        <v>1</v>
      </c>
      <c r="C17886" s="35">
        <v>0</v>
      </c>
      <c r="D17886" s="2">
        <f t="shared" si="279"/>
        <v>1</v>
      </c>
    </row>
    <row r="17887" spans="1:4" x14ac:dyDescent="0.3">
      <c r="A17887" s="34">
        <v>81246</v>
      </c>
      <c r="B17887" s="35">
        <v>1</v>
      </c>
      <c r="C17887" s="35">
        <v>0</v>
      </c>
      <c r="D17887" s="2">
        <f t="shared" si="279"/>
        <v>1</v>
      </c>
    </row>
    <row r="17888" spans="1:4" x14ac:dyDescent="0.3">
      <c r="A17888" s="34">
        <v>81248</v>
      </c>
      <c r="B17888" s="35">
        <v>1</v>
      </c>
      <c r="C17888" s="35">
        <v>0</v>
      </c>
      <c r="D17888" s="2">
        <f t="shared" si="279"/>
        <v>1</v>
      </c>
    </row>
    <row r="17889" spans="1:4" x14ac:dyDescent="0.3">
      <c r="A17889" s="34">
        <v>81250</v>
      </c>
      <c r="B17889" s="35">
        <v>1</v>
      </c>
      <c r="C17889" s="35">
        <v>0</v>
      </c>
      <c r="D17889" s="2">
        <f t="shared" si="279"/>
        <v>1</v>
      </c>
    </row>
    <row r="17890" spans="1:4" x14ac:dyDescent="0.3">
      <c r="A17890" s="34">
        <v>81253</v>
      </c>
      <c r="B17890" s="35">
        <v>1</v>
      </c>
      <c r="C17890" s="35">
        <v>0</v>
      </c>
      <c r="D17890" s="2">
        <f t="shared" si="279"/>
        <v>1</v>
      </c>
    </row>
  </sheetData>
  <autoFilter ref="A1:D17890" xr:uid="{38975C1D-4AE9-46A5-B69F-A43CE6761E63}"/>
  <conditionalFormatting sqref="A1">
    <cfRule type="duplicateValues" dxfId="5" priority="4"/>
    <cfRule type="duplicateValues" dxfId="4" priority="5"/>
  </conditionalFormatting>
  <conditionalFormatting sqref="A2:A17890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089de-fbcb-4273-99e1-da05513ea3d0">
      <Terms xmlns="http://schemas.microsoft.com/office/infopath/2007/PartnerControls"/>
    </lcf76f155ced4ddcb4097134ff3c332f>
    <TaxCatchAll xmlns="d3b0c89e-4cf9-4131-8f93-e930e748987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A8736163078B46BA45051ACB50C0B2" ma:contentTypeVersion="16" ma:contentTypeDescription="Create a new document." ma:contentTypeScope="" ma:versionID="eba104363948eb0d5fc7aa876fbffee4">
  <xsd:schema xmlns:xsd="http://www.w3.org/2001/XMLSchema" xmlns:xs="http://www.w3.org/2001/XMLSchema" xmlns:p="http://schemas.microsoft.com/office/2006/metadata/properties" xmlns:ns2="d3b0c89e-4cf9-4131-8f93-e930e748987a" xmlns:ns3="45c089de-fbcb-4273-99e1-da05513ea3d0" targetNamespace="http://schemas.microsoft.com/office/2006/metadata/properties" ma:root="true" ma:fieldsID="555926096f768082105fc6d9096f87f1" ns2:_="" ns3:_="">
    <xsd:import namespace="d3b0c89e-4cf9-4131-8f93-e930e748987a"/>
    <xsd:import namespace="45c089de-fbcb-4273-99e1-da05513ea3d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0c89e-4cf9-4131-8f93-e930e74898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38b487-a1f2-45e9-84a0-a3fee2a9ffc3}" ma:internalName="TaxCatchAll" ma:showField="CatchAllData" ma:web="d3b0c89e-4cf9-4131-8f93-e930e7489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089de-fbcb-4273-99e1-da05513ea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CBD467-D7A5-4C7F-B140-59D5D2C85EB2}">
  <ds:schemaRefs>
    <ds:schemaRef ds:uri="http://schemas.microsoft.com/office/2006/metadata/properties"/>
    <ds:schemaRef ds:uri="http://schemas.microsoft.com/office/infopath/2007/PartnerControls"/>
    <ds:schemaRef ds:uri="45c089de-fbcb-4273-99e1-da05513ea3d0"/>
    <ds:schemaRef ds:uri="d3b0c89e-4cf9-4131-8f93-e930e748987a"/>
  </ds:schemaRefs>
</ds:datastoreItem>
</file>

<file path=customXml/itemProps2.xml><?xml version="1.0" encoding="utf-8"?>
<ds:datastoreItem xmlns:ds="http://schemas.openxmlformats.org/officeDocument/2006/customXml" ds:itemID="{D6C5202A-FC63-4438-8913-DE4C94B5E0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B5B82E-A5E4-4830-9B6A-56B1ED902E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0c89e-4cf9-4131-8f93-e930e748987a"/>
    <ds:schemaRef ds:uri="45c089de-fbcb-4273-99e1-da05513ea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BASE TARIFA 2025</vt:lpstr>
      <vt:lpstr>ENTREGA DE DATAFONOS EN BODEGAS</vt:lpstr>
      <vt:lpstr>TD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Lini Hernández</dc:creator>
  <cp:keywords/>
  <dc:description/>
  <cp:lastModifiedBy>Lini Jhojana Hernandez Mora</cp:lastModifiedBy>
  <cp:revision/>
  <dcterms:created xsi:type="dcterms:W3CDTF">2025-09-05T13:38:40Z</dcterms:created>
  <dcterms:modified xsi:type="dcterms:W3CDTF">2026-01-14T20:01:21Z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0x010100C0A8736163078B46BA45051ACB50C0B2</vt:lpwstr>
  </property>
  <property fmtid="{D5CDD505-2E9C-101B-9397-08002B2CF9AE}" pid="3" name="MediaServiceImageTags">
    <vt:lpwstr/>
  </property>
</Properties>
</file>